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emircan.aslanhan\Documents\GitHub\customer-analysis\assets\"/>
    </mc:Choice>
  </mc:AlternateContent>
  <xr:revisionPtr revIDLastSave="0" documentId="13_ncr:1_{60FB9223-D8D7-42BA-BF97-470CBBEA172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2" r:id="rId1"/>
  </sheets>
  <externalReferences>
    <externalReference r:id="rId2"/>
    <externalReference r:id="rId3"/>
    <externalReference r:id="rId4"/>
  </externalReferences>
  <definedNames>
    <definedName name="_xlnm._FilterDatabase" localSheetId="0" hidden="1">Sheet1!$A$1:$BJ$530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30" i="2" l="1"/>
  <c r="R529" i="2"/>
  <c r="R528" i="2"/>
  <c r="R527" i="2"/>
  <c r="R526" i="2"/>
  <c r="R525" i="2"/>
  <c r="R524" i="2"/>
  <c r="R523" i="2"/>
  <c r="R522" i="2"/>
  <c r="R521" i="2"/>
  <c r="R520" i="2"/>
  <c r="R519" i="2"/>
  <c r="R518" i="2"/>
  <c r="R517" i="2"/>
  <c r="R516" i="2"/>
  <c r="R515" i="2"/>
  <c r="R514" i="2"/>
  <c r="R513" i="2"/>
  <c r="R512" i="2"/>
  <c r="R511" i="2"/>
  <c r="R510" i="2"/>
  <c r="R509" i="2"/>
  <c r="R508" i="2"/>
  <c r="R507" i="2"/>
  <c r="R506" i="2"/>
  <c r="R505" i="2"/>
  <c r="R504" i="2"/>
  <c r="R503" i="2"/>
  <c r="R502" i="2"/>
  <c r="R501" i="2"/>
  <c r="R500" i="2"/>
  <c r="R499" i="2"/>
  <c r="R498" i="2"/>
  <c r="R497" i="2"/>
  <c r="R496" i="2"/>
  <c r="R495" i="2"/>
  <c r="R494" i="2"/>
  <c r="R493" i="2"/>
  <c r="R492" i="2"/>
  <c r="R491" i="2"/>
  <c r="R490" i="2"/>
  <c r="R489" i="2"/>
  <c r="R488" i="2"/>
  <c r="R487" i="2"/>
  <c r="R486" i="2"/>
  <c r="R485" i="2"/>
  <c r="R484" i="2"/>
  <c r="R483" i="2"/>
  <c r="R482" i="2"/>
  <c r="R481" i="2"/>
  <c r="R480" i="2"/>
  <c r="R479" i="2"/>
  <c r="R478" i="2"/>
  <c r="R477" i="2"/>
  <c r="R476" i="2"/>
  <c r="R475" i="2"/>
  <c r="R474" i="2"/>
  <c r="R473" i="2"/>
  <c r="R472" i="2"/>
  <c r="R471" i="2"/>
  <c r="R470" i="2"/>
  <c r="R469" i="2"/>
  <c r="R468" i="2"/>
  <c r="R467" i="2"/>
  <c r="R466" i="2"/>
  <c r="R465" i="2"/>
  <c r="R464" i="2"/>
  <c r="R463" i="2"/>
  <c r="R462" i="2"/>
  <c r="R461" i="2"/>
  <c r="R460" i="2"/>
  <c r="R459" i="2"/>
  <c r="R458" i="2"/>
  <c r="R457" i="2"/>
  <c r="R456" i="2"/>
  <c r="R455" i="2"/>
  <c r="R454" i="2"/>
  <c r="R453" i="2"/>
  <c r="R452" i="2"/>
  <c r="R450" i="2"/>
  <c r="R449" i="2"/>
  <c r="R448" i="2"/>
  <c r="R447" i="2"/>
  <c r="R446" i="2"/>
  <c r="R445" i="2"/>
  <c r="R444" i="2"/>
  <c r="R443" i="2"/>
  <c r="R442" i="2"/>
  <c r="R441" i="2"/>
  <c r="R440" i="2"/>
  <c r="R439" i="2"/>
  <c r="R438" i="2"/>
  <c r="R437" i="2"/>
  <c r="R436" i="2"/>
  <c r="R434" i="2"/>
  <c r="R428" i="2"/>
  <c r="R427" i="2"/>
  <c r="R426" i="2"/>
  <c r="R425" i="2"/>
  <c r="R424" i="2"/>
  <c r="R423" i="2"/>
  <c r="R422" i="2"/>
  <c r="R421" i="2"/>
  <c r="R420" i="2"/>
  <c r="R419" i="2"/>
  <c r="R418" i="2"/>
  <c r="R417" i="2"/>
  <c r="R416" i="2"/>
  <c r="R415" i="2"/>
  <c r="R414" i="2"/>
  <c r="R413" i="2"/>
  <c r="R412" i="2"/>
  <c r="R411" i="2"/>
  <c r="R410" i="2"/>
  <c r="R409" i="2"/>
  <c r="R408" i="2"/>
  <c r="R407" i="2"/>
  <c r="R406" i="2"/>
  <c r="R405" i="2"/>
  <c r="R404" i="2"/>
  <c r="R403" i="2"/>
  <c r="R402" i="2"/>
  <c r="R401" i="2"/>
  <c r="R400" i="2"/>
  <c r="R399" i="2"/>
  <c r="R398" i="2"/>
  <c r="R397" i="2"/>
  <c r="R396" i="2"/>
  <c r="R395" i="2"/>
  <c r="R394" i="2"/>
  <c r="R393" i="2"/>
  <c r="R392" i="2"/>
  <c r="R391" i="2"/>
  <c r="R390" i="2"/>
  <c r="R389" i="2"/>
  <c r="R388" i="2"/>
  <c r="R387" i="2"/>
  <c r="R386" i="2"/>
  <c r="R385" i="2"/>
  <c r="R384" i="2"/>
  <c r="R383" i="2"/>
  <c r="R382" i="2"/>
  <c r="R381" i="2"/>
  <c r="R380" i="2"/>
  <c r="R379" i="2"/>
  <c r="R378" i="2"/>
  <c r="R377" i="2"/>
  <c r="R376" i="2"/>
  <c r="R375" i="2"/>
  <c r="R374" i="2"/>
  <c r="R373" i="2"/>
  <c r="R372" i="2"/>
  <c r="R371" i="2"/>
  <c r="R370" i="2"/>
  <c r="R369" i="2"/>
  <c r="R368" i="2"/>
  <c r="R367" i="2"/>
  <c r="R366" i="2"/>
  <c r="R365" i="2"/>
  <c r="R364" i="2"/>
  <c r="R363" i="2"/>
  <c r="R362" i="2"/>
  <c r="R361" i="2"/>
  <c r="R360" i="2"/>
  <c r="R359" i="2"/>
  <c r="R358" i="2"/>
  <c r="R357" i="2"/>
  <c r="R356" i="2"/>
  <c r="R355" i="2"/>
  <c r="R354" i="2"/>
  <c r="R353" i="2"/>
  <c r="R352" i="2"/>
  <c r="R351" i="2"/>
  <c r="R350" i="2"/>
  <c r="R349" i="2"/>
  <c r="R348" i="2"/>
  <c r="R347" i="2"/>
  <c r="R346" i="2"/>
  <c r="R345" i="2"/>
  <c r="R344" i="2"/>
  <c r="R343" i="2"/>
  <c r="R342" i="2"/>
  <c r="R341" i="2"/>
  <c r="R340" i="2"/>
  <c r="R339" i="2"/>
  <c r="R338" i="2"/>
  <c r="R337" i="2"/>
  <c r="R336" i="2"/>
  <c r="R335" i="2"/>
  <c r="R334" i="2"/>
  <c r="R333" i="2"/>
  <c r="R332" i="2"/>
  <c r="R331" i="2"/>
  <c r="R330" i="2"/>
  <c r="R329" i="2"/>
  <c r="R328" i="2"/>
  <c r="R327" i="2"/>
  <c r="R326" i="2"/>
  <c r="R325" i="2"/>
  <c r="R324" i="2"/>
  <c r="R323" i="2"/>
  <c r="R322" i="2"/>
  <c r="R321" i="2"/>
  <c r="R320" i="2"/>
  <c r="R319" i="2"/>
  <c r="R318" i="2"/>
  <c r="R317" i="2"/>
  <c r="R316" i="2"/>
  <c r="R315" i="2"/>
  <c r="R314" i="2"/>
  <c r="R313" i="2"/>
  <c r="R312" i="2"/>
  <c r="R311" i="2"/>
  <c r="R310" i="2"/>
  <c r="R309" i="2"/>
  <c r="R308" i="2"/>
  <c r="R307" i="2"/>
  <c r="R306" i="2"/>
  <c r="R305" i="2"/>
  <c r="R304" i="2"/>
  <c r="R303" i="2"/>
  <c r="R302" i="2"/>
  <c r="R301" i="2"/>
  <c r="R300" i="2"/>
  <c r="R299" i="2"/>
  <c r="R296" i="2"/>
  <c r="R295" i="2"/>
  <c r="R294" i="2"/>
  <c r="R293" i="2"/>
  <c r="R292" i="2"/>
  <c r="R291" i="2"/>
  <c r="R290" i="2"/>
  <c r="R289" i="2"/>
  <c r="R288" i="2"/>
  <c r="R287" i="2"/>
  <c r="R286" i="2"/>
  <c r="R285" i="2"/>
  <c r="R284" i="2"/>
  <c r="R283" i="2"/>
  <c r="R282" i="2"/>
  <c r="R281" i="2"/>
  <c r="R280" i="2"/>
  <c r="R279" i="2"/>
  <c r="R278" i="2"/>
  <c r="R277" i="2"/>
  <c r="R276" i="2"/>
  <c r="R275" i="2"/>
  <c r="R274" i="2"/>
  <c r="R273" i="2"/>
  <c r="R272" i="2"/>
  <c r="R271" i="2"/>
  <c r="R270" i="2"/>
  <c r="R269" i="2"/>
  <c r="R268" i="2"/>
  <c r="R267" i="2"/>
  <c r="R266" i="2"/>
  <c r="R265" i="2"/>
  <c r="R263" i="2"/>
  <c r="R262" i="2"/>
  <c r="R261" i="2"/>
  <c r="R260" i="2"/>
  <c r="R259" i="2"/>
  <c r="R258" i="2"/>
  <c r="R257" i="2"/>
  <c r="R256" i="2"/>
  <c r="R255" i="2"/>
  <c r="R254" i="2"/>
  <c r="R253" i="2"/>
  <c r="R252" i="2"/>
  <c r="R251" i="2"/>
  <c r="R250" i="2"/>
  <c r="R249" i="2"/>
  <c r="R248" i="2"/>
  <c r="R247" i="2"/>
  <c r="R246" i="2"/>
  <c r="R245" i="2"/>
  <c r="R244" i="2"/>
  <c r="R243" i="2"/>
  <c r="R242" i="2"/>
  <c r="R241" i="2"/>
  <c r="R240" i="2"/>
  <c r="R239" i="2"/>
  <c r="R238" i="2"/>
  <c r="R237" i="2"/>
  <c r="R236" i="2"/>
  <c r="R235" i="2"/>
  <c r="R234" i="2"/>
  <c r="R233" i="2"/>
  <c r="R232" i="2"/>
  <c r="R231" i="2"/>
  <c r="R230" i="2"/>
  <c r="R229" i="2"/>
  <c r="R228" i="2"/>
  <c r="R227" i="2"/>
  <c r="R226" i="2"/>
  <c r="R225" i="2"/>
  <c r="R224" i="2"/>
  <c r="R223" i="2"/>
  <c r="R222" i="2"/>
  <c r="R221" i="2"/>
  <c r="R220" i="2"/>
  <c r="R219" i="2"/>
  <c r="R218" i="2"/>
  <c r="R217" i="2"/>
  <c r="R216" i="2"/>
  <c r="R215" i="2"/>
  <c r="R214" i="2"/>
  <c r="R213" i="2"/>
  <c r="R212" i="2"/>
  <c r="R211" i="2"/>
  <c r="R210" i="2"/>
  <c r="R209" i="2"/>
  <c r="R208" i="2"/>
  <c r="R207" i="2"/>
  <c r="R205" i="2"/>
  <c r="R204" i="2"/>
  <c r="R203" i="2"/>
  <c r="R202" i="2"/>
  <c r="R201" i="2"/>
  <c r="R200" i="2"/>
  <c r="R199" i="2"/>
  <c r="R198" i="2"/>
  <c r="R197" i="2"/>
  <c r="R196" i="2"/>
  <c r="R195" i="2"/>
  <c r="R194" i="2"/>
  <c r="R193" i="2"/>
  <c r="R192" i="2"/>
  <c r="R191" i="2"/>
  <c r="R190" i="2"/>
  <c r="R189" i="2"/>
  <c r="R188" i="2"/>
  <c r="R187" i="2"/>
  <c r="R186" i="2"/>
  <c r="R185" i="2"/>
  <c r="R184" i="2"/>
  <c r="R183" i="2"/>
  <c r="R182" i="2"/>
  <c r="R181" i="2"/>
  <c r="R180" i="2"/>
  <c r="R179" i="2"/>
  <c r="R178" i="2"/>
  <c r="R177" i="2"/>
  <c r="R176" i="2"/>
  <c r="R175" i="2"/>
  <c r="R174" i="2"/>
  <c r="R173" i="2"/>
  <c r="R172" i="2"/>
  <c r="R171" i="2"/>
  <c r="R170" i="2"/>
  <c r="R169" i="2"/>
  <c r="R168" i="2"/>
  <c r="R167" i="2"/>
  <c r="R166" i="2"/>
  <c r="R165" i="2"/>
  <c r="R164" i="2"/>
  <c r="R163" i="2"/>
  <c r="R162" i="2"/>
  <c r="R161" i="2"/>
  <c r="R160" i="2"/>
  <c r="R159" i="2"/>
  <c r="R158" i="2"/>
  <c r="R157" i="2"/>
  <c r="R156" i="2"/>
  <c r="R155" i="2"/>
  <c r="R154" i="2"/>
  <c r="R153" i="2"/>
  <c r="R152" i="2"/>
  <c r="R151" i="2"/>
  <c r="R150" i="2"/>
  <c r="R149" i="2"/>
  <c r="R148" i="2"/>
  <c r="R147" i="2"/>
  <c r="R146" i="2"/>
  <c r="R145" i="2"/>
  <c r="R144" i="2"/>
  <c r="R143" i="2"/>
  <c r="R142" i="2"/>
  <c r="R141" i="2"/>
  <c r="R140" i="2"/>
  <c r="R139" i="2"/>
  <c r="R138" i="2"/>
  <c r="R137" i="2"/>
  <c r="R136" i="2"/>
  <c r="R135" i="2"/>
  <c r="R134" i="2"/>
  <c r="R133" i="2"/>
  <c r="R132" i="2"/>
  <c r="R131" i="2"/>
  <c r="R130" i="2"/>
  <c r="R129" i="2"/>
  <c r="R128" i="2"/>
  <c r="R127" i="2"/>
  <c r="R126" i="2"/>
  <c r="R125" i="2"/>
  <c r="R124" i="2"/>
  <c r="R123" i="2"/>
  <c r="R122" i="2"/>
  <c r="R121" i="2"/>
  <c r="R120" i="2"/>
  <c r="R119" i="2"/>
  <c r="R118" i="2"/>
  <c r="R117" i="2"/>
  <c r="R116" i="2"/>
  <c r="R115" i="2"/>
  <c r="R114" i="2"/>
  <c r="R113" i="2"/>
  <c r="R112" i="2"/>
  <c r="R111" i="2"/>
  <c r="R110" i="2"/>
  <c r="R109" i="2"/>
  <c r="R108" i="2"/>
  <c r="R107" i="2"/>
  <c r="R106" i="2"/>
  <c r="R105" i="2"/>
  <c r="R104" i="2"/>
  <c r="R103" i="2"/>
  <c r="R102" i="2"/>
  <c r="R101" i="2"/>
  <c r="R100" i="2"/>
  <c r="R99" i="2"/>
  <c r="R98" i="2"/>
  <c r="R97" i="2"/>
  <c r="R96" i="2"/>
  <c r="R95" i="2"/>
  <c r="R94" i="2"/>
  <c r="R93" i="2"/>
  <c r="R92" i="2"/>
  <c r="R91" i="2"/>
  <c r="R90" i="2"/>
  <c r="R89" i="2"/>
  <c r="R88" i="2"/>
  <c r="R87" i="2"/>
  <c r="R86" i="2"/>
  <c r="R85" i="2"/>
  <c r="R84" i="2"/>
  <c r="R83" i="2"/>
  <c r="R82" i="2"/>
  <c r="R81" i="2"/>
  <c r="R80" i="2"/>
  <c r="R79" i="2"/>
  <c r="R78" i="2"/>
  <c r="R77" i="2"/>
  <c r="R76" i="2"/>
  <c r="R75" i="2"/>
  <c r="R74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3" i="2"/>
  <c r="R2" i="2"/>
  <c r="U183" i="2" a="1"/>
  <c r="U183" i="2" s="1"/>
  <c r="Q433" i="2"/>
  <c r="Q432" i="2"/>
  <c r="Q431" i="2"/>
  <c r="Q430" i="2"/>
  <c r="Q429" i="2"/>
  <c r="P433" i="2"/>
  <c r="P432" i="2"/>
  <c r="P431" i="2"/>
  <c r="P430" i="2"/>
  <c r="P429" i="2"/>
  <c r="N530" i="2"/>
  <c r="N529" i="2"/>
  <c r="N528" i="2"/>
  <c r="N527" i="2"/>
  <c r="N526" i="2"/>
  <c r="N525" i="2"/>
  <c r="N524" i="2"/>
  <c r="N523" i="2"/>
  <c r="N522" i="2"/>
  <c r="N521" i="2"/>
  <c r="N520" i="2"/>
  <c r="N519" i="2"/>
  <c r="N518" i="2"/>
  <c r="N517" i="2"/>
  <c r="N516" i="2"/>
  <c r="N515" i="2"/>
  <c r="N514" i="2"/>
  <c r="N513" i="2"/>
  <c r="N512" i="2"/>
  <c r="N511" i="2"/>
  <c r="N510" i="2"/>
  <c r="N509" i="2"/>
  <c r="N508" i="2"/>
  <c r="N507" i="2"/>
  <c r="N506" i="2"/>
  <c r="N505" i="2"/>
  <c r="N504" i="2"/>
  <c r="N503" i="2"/>
  <c r="N502" i="2"/>
  <c r="N501" i="2"/>
  <c r="N500" i="2"/>
  <c r="N499" i="2"/>
  <c r="N498" i="2"/>
  <c r="N497" i="2"/>
  <c r="N496" i="2"/>
  <c r="N495" i="2"/>
  <c r="N494" i="2"/>
  <c r="N493" i="2"/>
  <c r="N492" i="2"/>
  <c r="N491" i="2"/>
  <c r="N490" i="2"/>
  <c r="N489" i="2"/>
  <c r="N488" i="2"/>
  <c r="N487" i="2"/>
  <c r="N486" i="2"/>
  <c r="N485" i="2"/>
  <c r="N484" i="2"/>
  <c r="N483" i="2"/>
  <c r="N482" i="2"/>
  <c r="N481" i="2"/>
  <c r="N480" i="2"/>
  <c r="N479" i="2"/>
  <c r="N478" i="2"/>
  <c r="N477" i="2"/>
  <c r="N476" i="2"/>
  <c r="N475" i="2"/>
  <c r="N474" i="2"/>
  <c r="N473" i="2"/>
  <c r="N472" i="2"/>
  <c r="N471" i="2"/>
  <c r="N470" i="2"/>
  <c r="N469" i="2"/>
  <c r="N468" i="2"/>
  <c r="N467" i="2"/>
  <c r="N466" i="2"/>
  <c r="N465" i="2"/>
  <c r="N464" i="2"/>
  <c r="N463" i="2"/>
  <c r="N462" i="2"/>
  <c r="N461" i="2"/>
  <c r="N460" i="2"/>
  <c r="N459" i="2"/>
  <c r="N458" i="2"/>
  <c r="N457" i="2"/>
  <c r="N456" i="2"/>
  <c r="N455" i="2"/>
  <c r="N454" i="2"/>
  <c r="N453" i="2"/>
  <c r="N452" i="2"/>
  <c r="N450" i="2"/>
  <c r="N449" i="2"/>
  <c r="N448" i="2"/>
  <c r="N447" i="2"/>
  <c r="N446" i="2"/>
  <c r="N445" i="2"/>
  <c r="N444" i="2"/>
  <c r="N443" i="2"/>
  <c r="N442" i="2"/>
  <c r="N441" i="2"/>
  <c r="N440" i="2"/>
  <c r="N439" i="2"/>
  <c r="N438" i="2"/>
  <c r="N437" i="2"/>
  <c r="N436" i="2"/>
  <c r="N434" i="2"/>
  <c r="N428" i="2"/>
  <c r="N427" i="2"/>
  <c r="N426" i="2"/>
  <c r="Q426" i="2" s="1"/>
  <c r="N425" i="2"/>
  <c r="N424" i="2"/>
  <c r="N423" i="2"/>
  <c r="N422" i="2"/>
  <c r="N421" i="2"/>
  <c r="N419" i="2"/>
  <c r="N418" i="2"/>
  <c r="N417" i="2"/>
  <c r="N416" i="2"/>
  <c r="N415" i="2"/>
  <c r="N414" i="2"/>
  <c r="N413" i="2"/>
  <c r="N412" i="2"/>
  <c r="N411" i="2"/>
  <c r="N410" i="2"/>
  <c r="N409" i="2"/>
  <c r="N408" i="2"/>
  <c r="N407" i="2"/>
  <c r="N406" i="2"/>
  <c r="N405" i="2"/>
  <c r="N404" i="2"/>
  <c r="N403" i="2"/>
  <c r="N402" i="2"/>
  <c r="N401" i="2"/>
  <c r="N400" i="2"/>
  <c r="N399" i="2"/>
  <c r="N398" i="2"/>
  <c r="N397" i="2"/>
  <c r="N396" i="2"/>
  <c r="N395" i="2"/>
  <c r="N394" i="2"/>
  <c r="N393" i="2"/>
  <c r="N392" i="2"/>
  <c r="N391" i="2"/>
  <c r="N389" i="2"/>
  <c r="N388" i="2"/>
  <c r="N387" i="2"/>
  <c r="N386" i="2"/>
  <c r="N385" i="2"/>
  <c r="N384" i="2"/>
  <c r="N383" i="2"/>
  <c r="N382" i="2"/>
  <c r="N381" i="2"/>
  <c r="N380" i="2"/>
  <c r="N379" i="2"/>
  <c r="N378" i="2"/>
  <c r="N377" i="2"/>
  <c r="N376" i="2"/>
  <c r="N375" i="2"/>
  <c r="N374" i="2"/>
  <c r="N373" i="2"/>
  <c r="N372" i="2"/>
  <c r="N371" i="2"/>
  <c r="N370" i="2"/>
  <c r="N369" i="2"/>
  <c r="N368" i="2"/>
  <c r="N367" i="2"/>
  <c r="N366" i="2"/>
  <c r="N365" i="2"/>
  <c r="N364" i="2"/>
  <c r="N363" i="2"/>
  <c r="N362" i="2"/>
  <c r="N361" i="2"/>
  <c r="N360" i="2"/>
  <c r="N359" i="2"/>
  <c r="N358" i="2"/>
  <c r="N357" i="2"/>
  <c r="N356" i="2"/>
  <c r="N355" i="2"/>
  <c r="N354" i="2"/>
  <c r="N353" i="2"/>
  <c r="N352" i="2"/>
  <c r="N351" i="2"/>
  <c r="N350" i="2"/>
  <c r="N349" i="2"/>
  <c r="N348" i="2"/>
  <c r="N347" i="2"/>
  <c r="N346" i="2"/>
  <c r="N345" i="2"/>
  <c r="N344" i="2"/>
  <c r="N343" i="2"/>
  <c r="N342" i="2"/>
  <c r="N341" i="2"/>
  <c r="N340" i="2"/>
  <c r="N339" i="2"/>
  <c r="N338" i="2"/>
  <c r="N337" i="2"/>
  <c r="N336" i="2"/>
  <c r="N335" i="2"/>
  <c r="N334" i="2"/>
  <c r="N333" i="2"/>
  <c r="N332" i="2"/>
  <c r="N331" i="2"/>
  <c r="N330" i="2"/>
  <c r="N329" i="2"/>
  <c r="N328" i="2"/>
  <c r="N327" i="2"/>
  <c r="N326" i="2"/>
  <c r="N325" i="2"/>
  <c r="N324" i="2"/>
  <c r="N323" i="2"/>
  <c r="N322" i="2"/>
  <c r="N321" i="2"/>
  <c r="N320" i="2"/>
  <c r="N319" i="2"/>
  <c r="N318" i="2"/>
  <c r="N317" i="2"/>
  <c r="N316" i="2"/>
  <c r="N315" i="2"/>
  <c r="N314" i="2"/>
  <c r="N313" i="2"/>
  <c r="N312" i="2"/>
  <c r="N311" i="2"/>
  <c r="N310" i="2"/>
  <c r="N309" i="2"/>
  <c r="N308" i="2"/>
  <c r="N307" i="2"/>
  <c r="N306" i="2"/>
  <c r="N305" i="2"/>
  <c r="N304" i="2"/>
  <c r="N303" i="2"/>
  <c r="N302" i="2"/>
  <c r="N301" i="2"/>
  <c r="N300" i="2"/>
  <c r="N299" i="2"/>
  <c r="N296" i="2"/>
  <c r="N295" i="2"/>
  <c r="N294" i="2"/>
  <c r="N293" i="2"/>
  <c r="N292" i="2"/>
  <c r="N291" i="2"/>
  <c r="N290" i="2"/>
  <c r="N289" i="2"/>
  <c r="N288" i="2"/>
  <c r="N287" i="2"/>
  <c r="N286" i="2"/>
  <c r="N285" i="2"/>
  <c r="N284" i="2"/>
  <c r="N283" i="2"/>
  <c r="N282" i="2"/>
  <c r="N281" i="2"/>
  <c r="N280" i="2"/>
  <c r="N279" i="2"/>
  <c r="N278" i="2"/>
  <c r="N277" i="2"/>
  <c r="N276" i="2"/>
  <c r="N275" i="2"/>
  <c r="N274" i="2"/>
  <c r="N273" i="2"/>
  <c r="N272" i="2"/>
  <c r="N271" i="2"/>
  <c r="N270" i="2"/>
  <c r="N269" i="2"/>
  <c r="N268" i="2"/>
  <c r="N267" i="2"/>
  <c r="N266" i="2"/>
  <c r="N265" i="2"/>
  <c r="N263" i="2"/>
  <c r="N262" i="2"/>
  <c r="N261" i="2"/>
  <c r="N260" i="2"/>
  <c r="N259" i="2"/>
  <c r="N258" i="2"/>
  <c r="N257" i="2"/>
  <c r="N256" i="2"/>
  <c r="N255" i="2"/>
  <c r="N254" i="2"/>
  <c r="N253" i="2"/>
  <c r="N252" i="2"/>
  <c r="N251" i="2"/>
  <c r="N250" i="2"/>
  <c r="N249" i="2"/>
  <c r="N248" i="2"/>
  <c r="N247" i="2"/>
  <c r="N246" i="2"/>
  <c r="N245" i="2"/>
  <c r="N244" i="2"/>
  <c r="N243" i="2"/>
  <c r="N242" i="2"/>
  <c r="N241" i="2"/>
  <c r="N240" i="2"/>
  <c r="N239" i="2"/>
  <c r="N238" i="2"/>
  <c r="N237" i="2"/>
  <c r="N236" i="2"/>
  <c r="N235" i="2"/>
  <c r="N234" i="2"/>
  <c r="N233" i="2"/>
  <c r="N232" i="2"/>
  <c r="N231" i="2"/>
  <c r="N230" i="2"/>
  <c r="N229" i="2"/>
  <c r="N228" i="2"/>
  <c r="N227" i="2"/>
  <c r="N226" i="2"/>
  <c r="N225" i="2"/>
  <c r="N224" i="2"/>
  <c r="N223" i="2"/>
  <c r="N222" i="2"/>
  <c r="N221" i="2"/>
  <c r="N220" i="2"/>
  <c r="N219" i="2"/>
  <c r="N218" i="2"/>
  <c r="N217" i="2"/>
  <c r="N216" i="2"/>
  <c r="N215" i="2"/>
  <c r="N214" i="2"/>
  <c r="N213" i="2"/>
  <c r="N212" i="2"/>
  <c r="N211" i="2"/>
  <c r="N210" i="2"/>
  <c r="N209" i="2"/>
  <c r="N208" i="2"/>
  <c r="N207" i="2"/>
  <c r="N205" i="2"/>
  <c r="N204" i="2"/>
  <c r="N203" i="2"/>
  <c r="N202" i="2"/>
  <c r="N201" i="2"/>
  <c r="N200" i="2"/>
  <c r="N199" i="2"/>
  <c r="N198" i="2"/>
  <c r="N197" i="2"/>
  <c r="N196" i="2"/>
  <c r="N194" i="2"/>
  <c r="N193" i="2"/>
  <c r="N192" i="2"/>
  <c r="N190" i="2"/>
  <c r="N189" i="2"/>
  <c r="N188" i="2"/>
  <c r="N187" i="2"/>
  <c r="N186" i="2"/>
  <c r="N185" i="2"/>
  <c r="N184" i="2"/>
  <c r="N183" i="2"/>
  <c r="N182" i="2"/>
  <c r="N181" i="2"/>
  <c r="N180" i="2"/>
  <c r="N179" i="2"/>
  <c r="N178" i="2"/>
  <c r="N177" i="2"/>
  <c r="N176" i="2"/>
  <c r="N175" i="2"/>
  <c r="N174" i="2"/>
  <c r="N173" i="2"/>
  <c r="N172" i="2"/>
  <c r="N171" i="2"/>
  <c r="N170" i="2"/>
  <c r="N169" i="2"/>
  <c r="N167" i="2"/>
  <c r="N166" i="2"/>
  <c r="N165" i="2"/>
  <c r="N164" i="2"/>
  <c r="N163" i="2"/>
  <c r="N162" i="2"/>
  <c r="N161" i="2"/>
  <c r="N160" i="2"/>
  <c r="N159" i="2"/>
  <c r="N158" i="2"/>
  <c r="N157" i="2"/>
  <c r="N156" i="2"/>
  <c r="N155" i="2"/>
  <c r="N153" i="2"/>
  <c r="N152" i="2"/>
  <c r="N151" i="2"/>
  <c r="N149" i="2"/>
  <c r="N148" i="2"/>
  <c r="N147" i="2"/>
  <c r="N146" i="2"/>
  <c r="N145" i="2"/>
  <c r="N144" i="2"/>
  <c r="N143" i="2"/>
  <c r="N142" i="2"/>
  <c r="N141" i="2"/>
  <c r="N140" i="2"/>
  <c r="N139" i="2"/>
  <c r="N138" i="2"/>
  <c r="N137" i="2"/>
  <c r="N136" i="2"/>
  <c r="N135" i="2"/>
  <c r="N134" i="2"/>
  <c r="N133" i="2"/>
  <c r="N132" i="2"/>
  <c r="N131" i="2"/>
  <c r="N130" i="2"/>
  <c r="N129" i="2"/>
  <c r="N128" i="2"/>
  <c r="N127" i="2"/>
  <c r="N126" i="2"/>
  <c r="N125" i="2"/>
  <c r="N124" i="2"/>
  <c r="N123" i="2"/>
  <c r="N122" i="2"/>
  <c r="N121" i="2"/>
  <c r="N120" i="2"/>
  <c r="N119" i="2"/>
  <c r="N118" i="2"/>
  <c r="N117" i="2"/>
  <c r="N116" i="2"/>
  <c r="N115" i="2"/>
  <c r="N114" i="2"/>
  <c r="N113" i="2"/>
  <c r="N112" i="2"/>
  <c r="N111" i="2"/>
  <c r="N110" i="2"/>
  <c r="N109" i="2"/>
  <c r="N107" i="2"/>
  <c r="N106" i="2"/>
  <c r="N105" i="2"/>
  <c r="N104" i="2"/>
  <c r="N103" i="2"/>
  <c r="N102" i="2"/>
  <c r="N101" i="2"/>
  <c r="N100" i="2"/>
  <c r="N99" i="2"/>
  <c r="N98" i="2"/>
  <c r="N97" i="2"/>
  <c r="N96" i="2"/>
  <c r="N95" i="2"/>
  <c r="N94" i="2"/>
  <c r="N93" i="2"/>
  <c r="N91" i="2"/>
  <c r="N90" i="2"/>
  <c r="N89" i="2"/>
  <c r="N88" i="2"/>
  <c r="N87" i="2"/>
  <c r="N86" i="2"/>
  <c r="N85" i="2"/>
  <c r="N84" i="2"/>
  <c r="N83" i="2"/>
  <c r="N82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N67" i="2"/>
  <c r="N66" i="2"/>
  <c r="N65" i="2"/>
  <c r="N64" i="2"/>
  <c r="N63" i="2"/>
  <c r="N62" i="2"/>
  <c r="N61" i="2"/>
  <c r="N60" i="2"/>
  <c r="N59" i="2"/>
  <c r="N58" i="2"/>
  <c r="N57" i="2"/>
  <c r="N56" i="2"/>
  <c r="N55" i="2"/>
  <c r="N53" i="2"/>
  <c r="N52" i="2"/>
  <c r="N51" i="2"/>
  <c r="N50" i="2"/>
  <c r="N49" i="2"/>
  <c r="N48" i="2"/>
  <c r="N47" i="2"/>
  <c r="N46" i="2"/>
  <c r="N45" i="2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3" i="2"/>
  <c r="N2" i="2"/>
  <c r="W530" i="2" a="1"/>
  <c r="W530" i="2" s="1"/>
  <c r="W529" i="2" a="1"/>
  <c r="W529" i="2" s="1"/>
  <c r="W528" i="2" a="1"/>
  <c r="W528" i="2" s="1"/>
  <c r="W527" i="2" a="1"/>
  <c r="W527" i="2" s="1"/>
  <c r="W526" i="2" a="1"/>
  <c r="W526" i="2" s="1"/>
  <c r="W525" i="2" a="1"/>
  <c r="W525" i="2" s="1"/>
  <c r="W524" i="2" a="1"/>
  <c r="W524" i="2" s="1"/>
  <c r="W523" i="2" a="1"/>
  <c r="W523" i="2" s="1"/>
  <c r="W522" i="2" a="1"/>
  <c r="W522" i="2" s="1"/>
  <c r="W521" i="2" a="1"/>
  <c r="W521" i="2" s="1"/>
  <c r="W520" i="2" a="1"/>
  <c r="W520" i="2" s="1"/>
  <c r="W519" i="2" a="1"/>
  <c r="W519" i="2" s="1"/>
  <c r="W518" i="2" a="1"/>
  <c r="W518" i="2" s="1"/>
  <c r="W517" i="2" a="1"/>
  <c r="W517" i="2" s="1"/>
  <c r="W516" i="2" a="1"/>
  <c r="W516" i="2" s="1"/>
  <c r="W515" i="2" a="1"/>
  <c r="W515" i="2" s="1"/>
  <c r="W514" i="2" a="1"/>
  <c r="W514" i="2" s="1"/>
  <c r="W513" i="2" a="1"/>
  <c r="W513" i="2" s="1"/>
  <c r="W512" i="2" a="1"/>
  <c r="W512" i="2" s="1"/>
  <c r="W511" i="2" a="1"/>
  <c r="W511" i="2" s="1"/>
  <c r="W510" i="2" a="1"/>
  <c r="W510" i="2" s="1"/>
  <c r="W509" i="2" a="1"/>
  <c r="W509" i="2" s="1"/>
  <c r="W508" i="2" a="1"/>
  <c r="W508" i="2" s="1"/>
  <c r="W507" i="2" a="1"/>
  <c r="W507" i="2" s="1"/>
  <c r="W506" i="2" a="1"/>
  <c r="W506" i="2" s="1"/>
  <c r="W505" i="2" a="1"/>
  <c r="W505" i="2" s="1"/>
  <c r="W504" i="2" a="1"/>
  <c r="W504" i="2" s="1"/>
  <c r="W503" i="2" a="1"/>
  <c r="W503" i="2" s="1"/>
  <c r="W502" i="2" a="1"/>
  <c r="W502" i="2" s="1"/>
  <c r="W501" i="2" a="1"/>
  <c r="W501" i="2" s="1"/>
  <c r="W500" i="2" a="1"/>
  <c r="W500" i="2" s="1"/>
  <c r="W499" i="2" a="1"/>
  <c r="W499" i="2" s="1"/>
  <c r="W498" i="2" a="1"/>
  <c r="W498" i="2" s="1"/>
  <c r="W497" i="2" a="1"/>
  <c r="W497" i="2" s="1"/>
  <c r="W496" i="2" a="1"/>
  <c r="W496" i="2" s="1"/>
  <c r="W495" i="2" a="1"/>
  <c r="W495" i="2" s="1"/>
  <c r="W494" i="2" a="1"/>
  <c r="W494" i="2" s="1"/>
  <c r="W493" i="2" a="1"/>
  <c r="W493" i="2" s="1"/>
  <c r="W492" i="2" a="1"/>
  <c r="W492" i="2" s="1"/>
  <c r="W491" i="2" a="1"/>
  <c r="W491" i="2" s="1"/>
  <c r="W490" i="2" a="1"/>
  <c r="W490" i="2" s="1"/>
  <c r="W489" i="2" a="1"/>
  <c r="W489" i="2" s="1"/>
  <c r="W488" i="2" a="1"/>
  <c r="W488" i="2" s="1"/>
  <c r="W487" i="2" a="1"/>
  <c r="W487" i="2" s="1"/>
  <c r="W486" i="2" a="1"/>
  <c r="W486" i="2" s="1"/>
  <c r="W485" i="2" a="1"/>
  <c r="W485" i="2" s="1"/>
  <c r="W484" i="2" a="1"/>
  <c r="W484" i="2" s="1"/>
  <c r="W483" i="2" a="1"/>
  <c r="W483" i="2" s="1"/>
  <c r="W482" i="2" a="1"/>
  <c r="W482" i="2" s="1"/>
  <c r="W481" i="2" a="1"/>
  <c r="W481" i="2" s="1"/>
  <c r="W480" i="2" a="1"/>
  <c r="W480" i="2" s="1"/>
  <c r="W479" i="2" a="1"/>
  <c r="W479" i="2" s="1"/>
  <c r="W478" i="2" a="1"/>
  <c r="W478" i="2" s="1"/>
  <c r="W477" i="2" a="1"/>
  <c r="W477" i="2" s="1"/>
  <c r="W476" i="2" a="1"/>
  <c r="W476" i="2" s="1"/>
  <c r="W475" i="2" a="1"/>
  <c r="W475" i="2" s="1"/>
  <c r="W474" i="2" a="1"/>
  <c r="W474" i="2" s="1"/>
  <c r="W473" i="2" a="1"/>
  <c r="W473" i="2" s="1"/>
  <c r="W472" i="2" a="1"/>
  <c r="W472" i="2" s="1"/>
  <c r="W471" i="2" a="1"/>
  <c r="W471" i="2" s="1"/>
  <c r="W470" i="2" a="1"/>
  <c r="W470" i="2" s="1"/>
  <c r="W469" i="2" a="1"/>
  <c r="W469" i="2" s="1"/>
  <c r="W468" i="2" a="1"/>
  <c r="W468" i="2" s="1"/>
  <c r="W467" i="2" a="1"/>
  <c r="W467" i="2" s="1"/>
  <c r="W466" i="2" a="1"/>
  <c r="W466" i="2" s="1"/>
  <c r="W465" i="2" a="1"/>
  <c r="W465" i="2" s="1"/>
  <c r="W464" i="2" a="1"/>
  <c r="W464" i="2" s="1"/>
  <c r="W463" i="2" a="1"/>
  <c r="W463" i="2" s="1"/>
  <c r="W462" i="2" a="1"/>
  <c r="W462" i="2" s="1"/>
  <c r="W461" i="2" a="1"/>
  <c r="W461" i="2" s="1"/>
  <c r="W460" i="2" a="1"/>
  <c r="W460" i="2" s="1"/>
  <c r="W459" i="2" a="1"/>
  <c r="W459" i="2" s="1"/>
  <c r="W458" i="2" a="1"/>
  <c r="W458" i="2" s="1"/>
  <c r="W457" i="2" a="1"/>
  <c r="W457" i="2" s="1"/>
  <c r="W456" i="2" a="1"/>
  <c r="W456" i="2" s="1"/>
  <c r="W455" i="2" a="1"/>
  <c r="W455" i="2" s="1"/>
  <c r="W454" i="2" a="1"/>
  <c r="W454" i="2" s="1"/>
  <c r="W453" i="2" a="1"/>
  <c r="W453" i="2" s="1"/>
  <c r="W452" i="2" a="1"/>
  <c r="W452" i="2" s="1"/>
  <c r="W451" i="2" a="1"/>
  <c r="W451" i="2" s="1"/>
  <c r="W450" i="2" a="1"/>
  <c r="W450" i="2" s="1"/>
  <c r="W449" i="2" a="1"/>
  <c r="W449" i="2" s="1"/>
  <c r="W448" i="2" a="1"/>
  <c r="W448" i="2" s="1"/>
  <c r="W447" i="2" a="1"/>
  <c r="W447" i="2" s="1"/>
  <c r="W446" i="2" a="1"/>
  <c r="W446" i="2" s="1"/>
  <c r="W445" i="2" a="1"/>
  <c r="W445" i="2" s="1"/>
  <c r="W444" i="2" a="1"/>
  <c r="W444" i="2" s="1"/>
  <c r="W443" i="2" a="1"/>
  <c r="W443" i="2" s="1"/>
  <c r="W442" i="2" a="1"/>
  <c r="W442" i="2" s="1"/>
  <c r="W441" i="2" a="1"/>
  <c r="W441" i="2" s="1"/>
  <c r="W440" i="2" a="1"/>
  <c r="W440" i="2" s="1"/>
  <c r="W439" i="2" a="1"/>
  <c r="W439" i="2" s="1"/>
  <c r="W438" i="2" a="1"/>
  <c r="W438" i="2" s="1"/>
  <c r="W437" i="2" a="1"/>
  <c r="W437" i="2" s="1"/>
  <c r="W436" i="2" a="1"/>
  <c r="W436" i="2" s="1"/>
  <c r="W435" i="2" a="1"/>
  <c r="W435" i="2" s="1"/>
  <c r="W434" i="2" a="1"/>
  <c r="W434" i="2" s="1"/>
  <c r="W433" i="2" a="1"/>
  <c r="W433" i="2" s="1"/>
  <c r="W432" i="2" a="1"/>
  <c r="W432" i="2" s="1"/>
  <c r="W431" i="2" a="1"/>
  <c r="W431" i="2" s="1"/>
  <c r="W430" i="2" a="1"/>
  <c r="W430" i="2" s="1"/>
  <c r="W429" i="2" a="1"/>
  <c r="W429" i="2" s="1"/>
  <c r="W428" i="2" a="1"/>
  <c r="W428" i="2" s="1"/>
  <c r="W427" i="2" a="1"/>
  <c r="W427" i="2" s="1"/>
  <c r="W426" i="2" a="1"/>
  <c r="W426" i="2" s="1"/>
  <c r="W425" i="2" a="1"/>
  <c r="W425" i="2" s="1"/>
  <c r="W424" i="2" a="1"/>
  <c r="W424" i="2" s="1"/>
  <c r="W423" i="2" a="1"/>
  <c r="W423" i="2" s="1"/>
  <c r="W422" i="2" a="1"/>
  <c r="W422" i="2" s="1"/>
  <c r="W421" i="2" a="1"/>
  <c r="W421" i="2" s="1"/>
  <c r="W420" i="2" a="1"/>
  <c r="W420" i="2" s="1"/>
  <c r="W419" i="2" a="1"/>
  <c r="W419" i="2" s="1"/>
  <c r="W418" i="2" a="1"/>
  <c r="W418" i="2" s="1"/>
  <c r="W417" i="2" a="1"/>
  <c r="W417" i="2" s="1"/>
  <c r="W416" i="2" a="1"/>
  <c r="W416" i="2" s="1"/>
  <c r="W415" i="2" a="1"/>
  <c r="W415" i="2" s="1"/>
  <c r="W414" i="2" a="1"/>
  <c r="W414" i="2" s="1"/>
  <c r="W413" i="2" a="1"/>
  <c r="W413" i="2" s="1"/>
  <c r="W412" i="2" a="1"/>
  <c r="W412" i="2" s="1"/>
  <c r="W411" i="2" a="1"/>
  <c r="W411" i="2" s="1"/>
  <c r="W410" i="2" a="1"/>
  <c r="W410" i="2" s="1"/>
  <c r="W409" i="2" a="1"/>
  <c r="W409" i="2" s="1"/>
  <c r="W408" i="2" a="1"/>
  <c r="W408" i="2" s="1"/>
  <c r="W407" i="2" a="1"/>
  <c r="W407" i="2" s="1"/>
  <c r="W406" i="2" a="1"/>
  <c r="W406" i="2" s="1"/>
  <c r="W405" i="2" a="1"/>
  <c r="W405" i="2" s="1"/>
  <c r="W404" i="2" a="1"/>
  <c r="W404" i="2" s="1"/>
  <c r="W403" i="2" a="1"/>
  <c r="W403" i="2" s="1"/>
  <c r="W402" i="2" a="1"/>
  <c r="W402" i="2" s="1"/>
  <c r="W401" i="2" a="1"/>
  <c r="W401" i="2" s="1"/>
  <c r="W400" i="2" a="1"/>
  <c r="W400" i="2" s="1"/>
  <c r="W399" i="2" a="1"/>
  <c r="W399" i="2" s="1"/>
  <c r="W398" i="2" a="1"/>
  <c r="W398" i="2" s="1"/>
  <c r="W397" i="2" a="1"/>
  <c r="W397" i="2" s="1"/>
  <c r="W396" i="2" a="1"/>
  <c r="W396" i="2" s="1"/>
  <c r="W395" i="2" a="1"/>
  <c r="W395" i="2" s="1"/>
  <c r="W394" i="2" a="1"/>
  <c r="W394" i="2" s="1"/>
  <c r="W393" i="2" a="1"/>
  <c r="W393" i="2" s="1"/>
  <c r="W392" i="2" a="1"/>
  <c r="W392" i="2" s="1"/>
  <c r="W391" i="2" a="1"/>
  <c r="W391" i="2" s="1"/>
  <c r="W390" i="2" a="1"/>
  <c r="W390" i="2" s="1"/>
  <c r="W389" i="2" a="1"/>
  <c r="W389" i="2" s="1"/>
  <c r="W388" i="2" a="1"/>
  <c r="W388" i="2" s="1"/>
  <c r="W387" i="2" a="1"/>
  <c r="W387" i="2" s="1"/>
  <c r="W386" i="2" a="1"/>
  <c r="W386" i="2" s="1"/>
  <c r="W385" i="2" a="1"/>
  <c r="W385" i="2" s="1"/>
  <c r="W384" i="2" a="1"/>
  <c r="W384" i="2" s="1"/>
  <c r="W383" i="2" a="1"/>
  <c r="W383" i="2" s="1"/>
  <c r="W382" i="2" a="1"/>
  <c r="W382" i="2" s="1"/>
  <c r="W381" i="2" a="1"/>
  <c r="W381" i="2" s="1"/>
  <c r="W380" i="2" a="1"/>
  <c r="W380" i="2" s="1"/>
  <c r="W379" i="2" a="1"/>
  <c r="W379" i="2" s="1"/>
  <c r="W378" i="2" a="1"/>
  <c r="W378" i="2" s="1"/>
  <c r="W377" i="2" a="1"/>
  <c r="W377" i="2" s="1"/>
  <c r="W376" i="2" a="1"/>
  <c r="W376" i="2" s="1"/>
  <c r="W375" i="2" a="1"/>
  <c r="W375" i="2" s="1"/>
  <c r="W374" i="2" a="1"/>
  <c r="W374" i="2" s="1"/>
  <c r="W373" i="2" a="1"/>
  <c r="W373" i="2" s="1"/>
  <c r="W372" i="2" a="1"/>
  <c r="W372" i="2" s="1"/>
  <c r="W371" i="2" a="1"/>
  <c r="W371" i="2" s="1"/>
  <c r="W370" i="2" a="1"/>
  <c r="W370" i="2" s="1"/>
  <c r="W369" i="2" a="1"/>
  <c r="W369" i="2" s="1"/>
  <c r="W368" i="2" a="1"/>
  <c r="W368" i="2" s="1"/>
  <c r="W367" i="2" a="1"/>
  <c r="W367" i="2" s="1"/>
  <c r="W366" i="2" a="1"/>
  <c r="W366" i="2" s="1"/>
  <c r="W365" i="2" a="1"/>
  <c r="W365" i="2" s="1"/>
  <c r="W364" i="2" a="1"/>
  <c r="W364" i="2" s="1"/>
  <c r="W363" i="2" a="1"/>
  <c r="W363" i="2" s="1"/>
  <c r="W362" i="2" a="1"/>
  <c r="W362" i="2" s="1"/>
  <c r="W361" i="2" a="1"/>
  <c r="W361" i="2" s="1"/>
  <c r="W360" i="2" a="1"/>
  <c r="W360" i="2" s="1"/>
  <c r="W359" i="2" a="1"/>
  <c r="W359" i="2" s="1"/>
  <c r="W358" i="2" a="1"/>
  <c r="W358" i="2" s="1"/>
  <c r="W357" i="2" a="1"/>
  <c r="W357" i="2" s="1"/>
  <c r="W356" i="2" a="1"/>
  <c r="W356" i="2" s="1"/>
  <c r="W355" i="2" a="1"/>
  <c r="W355" i="2" s="1"/>
  <c r="W354" i="2" a="1"/>
  <c r="W354" i="2" s="1"/>
  <c r="W353" i="2" a="1"/>
  <c r="W353" i="2" s="1"/>
  <c r="W352" i="2" a="1"/>
  <c r="W352" i="2" s="1"/>
  <c r="W351" i="2" a="1"/>
  <c r="W351" i="2" s="1"/>
  <c r="W350" i="2" a="1"/>
  <c r="W350" i="2" s="1"/>
  <c r="W349" i="2" a="1"/>
  <c r="W349" i="2" s="1"/>
  <c r="W348" i="2" a="1"/>
  <c r="W348" i="2" s="1"/>
  <c r="W347" i="2" a="1"/>
  <c r="W347" i="2" s="1"/>
  <c r="W346" i="2" a="1"/>
  <c r="W346" i="2" s="1"/>
  <c r="W345" i="2" a="1"/>
  <c r="W345" i="2" s="1"/>
  <c r="W344" i="2" a="1"/>
  <c r="W344" i="2" s="1"/>
  <c r="W343" i="2" a="1"/>
  <c r="W343" i="2" s="1"/>
  <c r="W342" i="2" a="1"/>
  <c r="W342" i="2" s="1"/>
  <c r="W341" i="2" a="1"/>
  <c r="W341" i="2" s="1"/>
  <c r="W340" i="2" a="1"/>
  <c r="W340" i="2" s="1"/>
  <c r="W339" i="2" a="1"/>
  <c r="W339" i="2" s="1"/>
  <c r="W338" i="2" a="1"/>
  <c r="W338" i="2" s="1"/>
  <c r="W337" i="2" a="1"/>
  <c r="W337" i="2" s="1"/>
  <c r="W336" i="2" a="1"/>
  <c r="W336" i="2" s="1"/>
  <c r="W335" i="2" a="1"/>
  <c r="W335" i="2" s="1"/>
  <c r="W334" i="2" a="1"/>
  <c r="W334" i="2" s="1"/>
  <c r="W333" i="2" a="1"/>
  <c r="W333" i="2" s="1"/>
  <c r="W332" i="2" a="1"/>
  <c r="W332" i="2" s="1"/>
  <c r="W331" i="2" a="1"/>
  <c r="W331" i="2" s="1"/>
  <c r="W330" i="2" a="1"/>
  <c r="W330" i="2" s="1"/>
  <c r="W329" i="2" a="1"/>
  <c r="W329" i="2" s="1"/>
  <c r="W328" i="2" a="1"/>
  <c r="W328" i="2" s="1"/>
  <c r="W327" i="2" a="1"/>
  <c r="W327" i="2" s="1"/>
  <c r="W326" i="2" a="1"/>
  <c r="W326" i="2" s="1"/>
  <c r="W325" i="2" a="1"/>
  <c r="W325" i="2" s="1"/>
  <c r="W324" i="2" a="1"/>
  <c r="W324" i="2" s="1"/>
  <c r="W323" i="2" a="1"/>
  <c r="W323" i="2" s="1"/>
  <c r="W322" i="2" a="1"/>
  <c r="W322" i="2" s="1"/>
  <c r="W321" i="2" a="1"/>
  <c r="W321" i="2" s="1"/>
  <c r="W320" i="2" a="1"/>
  <c r="W320" i="2" s="1"/>
  <c r="W319" i="2" a="1"/>
  <c r="W319" i="2" s="1"/>
  <c r="W318" i="2" a="1"/>
  <c r="W318" i="2" s="1"/>
  <c r="W317" i="2" a="1"/>
  <c r="W317" i="2" s="1"/>
  <c r="W316" i="2" a="1"/>
  <c r="W316" i="2" s="1"/>
  <c r="W315" i="2" a="1"/>
  <c r="W315" i="2" s="1"/>
  <c r="W314" i="2" a="1"/>
  <c r="W314" i="2" s="1"/>
  <c r="W313" i="2" a="1"/>
  <c r="W313" i="2" s="1"/>
  <c r="W312" i="2" a="1"/>
  <c r="W312" i="2" s="1"/>
  <c r="W311" i="2" a="1"/>
  <c r="W311" i="2" s="1"/>
  <c r="W310" i="2" a="1"/>
  <c r="W310" i="2" s="1"/>
  <c r="W309" i="2" a="1"/>
  <c r="W309" i="2" s="1"/>
  <c r="W308" i="2" a="1"/>
  <c r="W308" i="2" s="1"/>
  <c r="W307" i="2" a="1"/>
  <c r="W307" i="2" s="1"/>
  <c r="W306" i="2" a="1"/>
  <c r="W306" i="2" s="1"/>
  <c r="W305" i="2" a="1"/>
  <c r="W305" i="2" s="1"/>
  <c r="W304" i="2" a="1"/>
  <c r="W304" i="2" s="1"/>
  <c r="W303" i="2" a="1"/>
  <c r="W303" i="2" s="1"/>
  <c r="W302" i="2" a="1"/>
  <c r="W302" i="2" s="1"/>
  <c r="W301" i="2" a="1"/>
  <c r="W301" i="2" s="1"/>
  <c r="W300" i="2" a="1"/>
  <c r="W300" i="2" s="1"/>
  <c r="W299" i="2" a="1"/>
  <c r="W299" i="2" s="1"/>
  <c r="W298" i="2" a="1"/>
  <c r="W298" i="2" s="1"/>
  <c r="W297" i="2" a="1"/>
  <c r="W297" i="2" s="1"/>
  <c r="W296" i="2" a="1"/>
  <c r="W296" i="2" s="1"/>
  <c r="W295" i="2" a="1"/>
  <c r="W295" i="2" s="1"/>
  <c r="W294" i="2" a="1"/>
  <c r="W294" i="2" s="1"/>
  <c r="W293" i="2" a="1"/>
  <c r="W293" i="2" s="1"/>
  <c r="W292" i="2" a="1"/>
  <c r="W292" i="2" s="1"/>
  <c r="W291" i="2" a="1"/>
  <c r="W291" i="2" s="1"/>
  <c r="W290" i="2" a="1"/>
  <c r="W290" i="2" s="1"/>
  <c r="W289" i="2" a="1"/>
  <c r="W289" i="2" s="1"/>
  <c r="W288" i="2" a="1"/>
  <c r="W288" i="2" s="1"/>
  <c r="W287" i="2" a="1"/>
  <c r="W287" i="2" s="1"/>
  <c r="W286" i="2" a="1"/>
  <c r="W286" i="2" s="1"/>
  <c r="W285" i="2" a="1"/>
  <c r="W285" i="2" s="1"/>
  <c r="W284" i="2" a="1"/>
  <c r="W284" i="2" s="1"/>
  <c r="W283" i="2" a="1"/>
  <c r="W283" i="2" s="1"/>
  <c r="W282" i="2" a="1"/>
  <c r="W282" i="2" s="1"/>
  <c r="W281" i="2" a="1"/>
  <c r="W281" i="2" s="1"/>
  <c r="W280" i="2" a="1"/>
  <c r="W280" i="2" s="1"/>
  <c r="W279" i="2" a="1"/>
  <c r="W279" i="2" s="1"/>
  <c r="W278" i="2" a="1"/>
  <c r="W278" i="2" s="1"/>
  <c r="W277" i="2" a="1"/>
  <c r="W277" i="2" s="1"/>
  <c r="W276" i="2" a="1"/>
  <c r="W276" i="2" s="1"/>
  <c r="W275" i="2" a="1"/>
  <c r="W275" i="2" s="1"/>
  <c r="W274" i="2" a="1"/>
  <c r="W274" i="2" s="1"/>
  <c r="W273" i="2" a="1"/>
  <c r="W273" i="2" s="1"/>
  <c r="W272" i="2" a="1"/>
  <c r="W272" i="2" s="1"/>
  <c r="W271" i="2" a="1"/>
  <c r="W271" i="2" s="1"/>
  <c r="W270" i="2" a="1"/>
  <c r="W270" i="2" s="1"/>
  <c r="W269" i="2" a="1"/>
  <c r="W269" i="2" s="1"/>
  <c r="W268" i="2" a="1"/>
  <c r="W268" i="2" s="1"/>
  <c r="W267" i="2" a="1"/>
  <c r="W267" i="2" s="1"/>
  <c r="W266" i="2" a="1"/>
  <c r="W266" i="2" s="1"/>
  <c r="W265" i="2" a="1"/>
  <c r="W265" i="2" s="1"/>
  <c r="W264" i="2" a="1"/>
  <c r="W264" i="2" s="1"/>
  <c r="W263" i="2" a="1"/>
  <c r="W263" i="2" s="1"/>
  <c r="W262" i="2" a="1"/>
  <c r="W262" i="2" s="1"/>
  <c r="W261" i="2" a="1"/>
  <c r="W261" i="2" s="1"/>
  <c r="W260" i="2" a="1"/>
  <c r="W260" i="2" s="1"/>
  <c r="W259" i="2" a="1"/>
  <c r="W259" i="2" s="1"/>
  <c r="W258" i="2" a="1"/>
  <c r="W258" i="2" s="1"/>
  <c r="W257" i="2" a="1"/>
  <c r="W257" i="2" s="1"/>
  <c r="W256" i="2" a="1"/>
  <c r="W256" i="2" s="1"/>
  <c r="W255" i="2" a="1"/>
  <c r="W255" i="2" s="1"/>
  <c r="W254" i="2" a="1"/>
  <c r="W254" i="2" s="1"/>
  <c r="W253" i="2" a="1"/>
  <c r="W253" i="2" s="1"/>
  <c r="W252" i="2" a="1"/>
  <c r="W252" i="2" s="1"/>
  <c r="W251" i="2" a="1"/>
  <c r="W251" i="2" s="1"/>
  <c r="W250" i="2" a="1"/>
  <c r="W250" i="2" s="1"/>
  <c r="W249" i="2" a="1"/>
  <c r="W249" i="2" s="1"/>
  <c r="W248" i="2" a="1"/>
  <c r="W248" i="2" s="1"/>
  <c r="W247" i="2" a="1"/>
  <c r="W247" i="2" s="1"/>
  <c r="W246" i="2" a="1"/>
  <c r="W246" i="2" s="1"/>
  <c r="W245" i="2" a="1"/>
  <c r="W245" i="2" s="1"/>
  <c r="W244" i="2" a="1"/>
  <c r="W244" i="2" s="1"/>
  <c r="W243" i="2" a="1"/>
  <c r="W243" i="2" s="1"/>
  <c r="W242" i="2" a="1"/>
  <c r="W242" i="2" s="1"/>
  <c r="W241" i="2" a="1"/>
  <c r="W241" i="2" s="1"/>
  <c r="W240" i="2" a="1"/>
  <c r="W240" i="2" s="1"/>
  <c r="W239" i="2" a="1"/>
  <c r="W239" i="2" s="1"/>
  <c r="W238" i="2" a="1"/>
  <c r="W238" i="2" s="1"/>
  <c r="W237" i="2" a="1"/>
  <c r="W237" i="2" s="1"/>
  <c r="W236" i="2" a="1"/>
  <c r="W236" i="2" s="1"/>
  <c r="W235" i="2" a="1"/>
  <c r="W235" i="2" s="1"/>
  <c r="W234" i="2" a="1"/>
  <c r="W234" i="2" s="1"/>
  <c r="W233" i="2" a="1"/>
  <c r="W233" i="2" s="1"/>
  <c r="W232" i="2" a="1"/>
  <c r="W232" i="2" s="1"/>
  <c r="W231" i="2" a="1"/>
  <c r="W231" i="2" s="1"/>
  <c r="W230" i="2" a="1"/>
  <c r="W230" i="2" s="1"/>
  <c r="W229" i="2" a="1"/>
  <c r="W229" i="2" s="1"/>
  <c r="W228" i="2" a="1"/>
  <c r="W228" i="2" s="1"/>
  <c r="W227" i="2" a="1"/>
  <c r="W227" i="2" s="1"/>
  <c r="W226" i="2" a="1"/>
  <c r="W226" i="2" s="1"/>
  <c r="W225" i="2" a="1"/>
  <c r="W225" i="2" s="1"/>
  <c r="W224" i="2" a="1"/>
  <c r="W224" i="2" s="1"/>
  <c r="W223" i="2" a="1"/>
  <c r="W223" i="2" s="1"/>
  <c r="W222" i="2" a="1"/>
  <c r="W222" i="2" s="1"/>
  <c r="W221" i="2" a="1"/>
  <c r="W221" i="2" s="1"/>
  <c r="W220" i="2" a="1"/>
  <c r="W220" i="2" s="1"/>
  <c r="W219" i="2" a="1"/>
  <c r="W219" i="2" s="1"/>
  <c r="W218" i="2" a="1"/>
  <c r="W218" i="2" s="1"/>
  <c r="W217" i="2" a="1"/>
  <c r="W217" i="2" s="1"/>
  <c r="W216" i="2" a="1"/>
  <c r="W216" i="2" s="1"/>
  <c r="W215" i="2" a="1"/>
  <c r="W215" i="2" s="1"/>
  <c r="W214" i="2" a="1"/>
  <c r="W214" i="2" s="1"/>
  <c r="W213" i="2" a="1"/>
  <c r="W213" i="2" s="1"/>
  <c r="W212" i="2" a="1"/>
  <c r="W212" i="2" s="1"/>
  <c r="W211" i="2" a="1"/>
  <c r="W211" i="2" s="1"/>
  <c r="W210" i="2" a="1"/>
  <c r="W210" i="2" s="1"/>
  <c r="W209" i="2" a="1"/>
  <c r="W209" i="2" s="1"/>
  <c r="W208" i="2" a="1"/>
  <c r="W208" i="2" s="1"/>
  <c r="W207" i="2" a="1"/>
  <c r="W207" i="2" s="1"/>
  <c r="W206" i="2" a="1"/>
  <c r="W206" i="2" s="1"/>
  <c r="W205" i="2" a="1"/>
  <c r="W205" i="2" s="1"/>
  <c r="W204" i="2" a="1"/>
  <c r="W204" i="2" s="1"/>
  <c r="W203" i="2" a="1"/>
  <c r="W203" i="2" s="1"/>
  <c r="W202" i="2" a="1"/>
  <c r="W202" i="2" s="1"/>
  <c r="W201" i="2" a="1"/>
  <c r="W201" i="2" s="1"/>
  <c r="W200" i="2" a="1"/>
  <c r="W200" i="2" s="1"/>
  <c r="W199" i="2" a="1"/>
  <c r="W199" i="2" s="1"/>
  <c r="W198" i="2" a="1"/>
  <c r="W198" i="2" s="1"/>
  <c r="W197" i="2" a="1"/>
  <c r="W197" i="2" s="1"/>
  <c r="W196" i="2" a="1"/>
  <c r="W196" i="2" s="1"/>
  <c r="W195" i="2" a="1"/>
  <c r="W195" i="2" s="1"/>
  <c r="W194" i="2" a="1"/>
  <c r="W194" i="2" s="1"/>
  <c r="W193" i="2" a="1"/>
  <c r="W193" i="2" s="1"/>
  <c r="W192" i="2" a="1"/>
  <c r="W192" i="2" s="1"/>
  <c r="W191" i="2" a="1"/>
  <c r="W191" i="2" s="1"/>
  <c r="W190" i="2" a="1"/>
  <c r="W190" i="2" s="1"/>
  <c r="W189" i="2" a="1"/>
  <c r="W189" i="2" s="1"/>
  <c r="W188" i="2" a="1"/>
  <c r="W188" i="2" s="1"/>
  <c r="W187" i="2" a="1"/>
  <c r="W187" i="2" s="1"/>
  <c r="W186" i="2" a="1"/>
  <c r="W186" i="2" s="1"/>
  <c r="W185" i="2" a="1"/>
  <c r="W185" i="2" s="1"/>
  <c r="W184" i="2" a="1"/>
  <c r="W184" i="2" s="1"/>
  <c r="W183" i="2" a="1"/>
  <c r="W183" i="2" s="1"/>
  <c r="W182" i="2" a="1"/>
  <c r="W182" i="2" s="1"/>
  <c r="W181" i="2" a="1"/>
  <c r="W181" i="2" s="1"/>
  <c r="W180" i="2" a="1"/>
  <c r="W180" i="2" s="1"/>
  <c r="W179" i="2" a="1"/>
  <c r="W179" i="2" s="1"/>
  <c r="W178" i="2" a="1"/>
  <c r="W178" i="2" s="1"/>
  <c r="W177" i="2" a="1"/>
  <c r="W177" i="2" s="1"/>
  <c r="W176" i="2" a="1"/>
  <c r="W176" i="2" s="1"/>
  <c r="W175" i="2" a="1"/>
  <c r="W175" i="2" s="1"/>
  <c r="W174" i="2" a="1"/>
  <c r="W174" i="2" s="1"/>
  <c r="W173" i="2" a="1"/>
  <c r="W173" i="2" s="1"/>
  <c r="W172" i="2" a="1"/>
  <c r="W172" i="2" s="1"/>
  <c r="W171" i="2" a="1"/>
  <c r="W171" i="2" s="1"/>
  <c r="W170" i="2" a="1"/>
  <c r="W170" i="2" s="1"/>
  <c r="W169" i="2" a="1"/>
  <c r="W169" i="2" s="1"/>
  <c r="W168" i="2" a="1"/>
  <c r="W168" i="2" s="1"/>
  <c r="W167" i="2" a="1"/>
  <c r="W167" i="2" s="1"/>
  <c r="W166" i="2" a="1"/>
  <c r="W166" i="2" s="1"/>
  <c r="W165" i="2" a="1"/>
  <c r="W165" i="2" s="1"/>
  <c r="W164" i="2" a="1"/>
  <c r="W164" i="2" s="1"/>
  <c r="W163" i="2" a="1"/>
  <c r="W163" i="2" s="1"/>
  <c r="W162" i="2" a="1"/>
  <c r="W162" i="2" s="1"/>
  <c r="W161" i="2" a="1"/>
  <c r="W161" i="2" s="1"/>
  <c r="W160" i="2" a="1"/>
  <c r="W160" i="2" s="1"/>
  <c r="W159" i="2" a="1"/>
  <c r="W159" i="2" s="1"/>
  <c r="W158" i="2" a="1"/>
  <c r="W158" i="2" s="1"/>
  <c r="W157" i="2" a="1"/>
  <c r="W157" i="2" s="1"/>
  <c r="W156" i="2" a="1"/>
  <c r="W156" i="2" s="1"/>
  <c r="W155" i="2" a="1"/>
  <c r="W155" i="2" s="1"/>
  <c r="W154" i="2" a="1"/>
  <c r="W154" i="2" s="1"/>
  <c r="W153" i="2" a="1"/>
  <c r="W153" i="2" s="1"/>
  <c r="W152" i="2" a="1"/>
  <c r="W152" i="2" s="1"/>
  <c r="W151" i="2" a="1"/>
  <c r="W151" i="2" s="1"/>
  <c r="W150" i="2" a="1"/>
  <c r="W150" i="2" s="1"/>
  <c r="W149" i="2" a="1"/>
  <c r="W149" i="2" s="1"/>
  <c r="W148" i="2" a="1"/>
  <c r="W148" i="2" s="1"/>
  <c r="W147" i="2" a="1"/>
  <c r="W147" i="2" s="1"/>
  <c r="W146" i="2" a="1"/>
  <c r="W146" i="2" s="1"/>
  <c r="W145" i="2" a="1"/>
  <c r="W145" i="2" s="1"/>
  <c r="W144" i="2" a="1"/>
  <c r="W144" i="2" s="1"/>
  <c r="W143" i="2" a="1"/>
  <c r="W143" i="2" s="1"/>
  <c r="W142" i="2" a="1"/>
  <c r="W142" i="2" s="1"/>
  <c r="W141" i="2" a="1"/>
  <c r="W141" i="2" s="1"/>
  <c r="W140" i="2" a="1"/>
  <c r="W140" i="2" s="1"/>
  <c r="W139" i="2" a="1"/>
  <c r="W139" i="2" s="1"/>
  <c r="W138" i="2" a="1"/>
  <c r="W138" i="2" s="1"/>
  <c r="W137" i="2" a="1"/>
  <c r="W137" i="2" s="1"/>
  <c r="W136" i="2" a="1"/>
  <c r="W136" i="2" s="1"/>
  <c r="W135" i="2" a="1"/>
  <c r="W135" i="2" s="1"/>
  <c r="W134" i="2" a="1"/>
  <c r="W134" i="2" s="1"/>
  <c r="W133" i="2" a="1"/>
  <c r="W133" i="2" s="1"/>
  <c r="W132" i="2" a="1"/>
  <c r="W132" i="2" s="1"/>
  <c r="W131" i="2" a="1"/>
  <c r="W131" i="2" s="1"/>
  <c r="W130" i="2" a="1"/>
  <c r="W130" i="2" s="1"/>
  <c r="W129" i="2" a="1"/>
  <c r="W129" i="2" s="1"/>
  <c r="W128" i="2" a="1"/>
  <c r="W128" i="2" s="1"/>
  <c r="W127" i="2" a="1"/>
  <c r="W127" i="2" s="1"/>
  <c r="W126" i="2" a="1"/>
  <c r="W126" i="2" s="1"/>
  <c r="W125" i="2" a="1"/>
  <c r="W125" i="2" s="1"/>
  <c r="W124" i="2" a="1"/>
  <c r="W124" i="2" s="1"/>
  <c r="W123" i="2" a="1"/>
  <c r="W123" i="2" s="1"/>
  <c r="W122" i="2" a="1"/>
  <c r="W122" i="2" s="1"/>
  <c r="W121" i="2" a="1"/>
  <c r="W121" i="2" s="1"/>
  <c r="W120" i="2" a="1"/>
  <c r="W120" i="2" s="1"/>
  <c r="W119" i="2" a="1"/>
  <c r="W119" i="2" s="1"/>
  <c r="W118" i="2" a="1"/>
  <c r="W118" i="2" s="1"/>
  <c r="W117" i="2" a="1"/>
  <c r="W117" i="2" s="1"/>
  <c r="W116" i="2" a="1"/>
  <c r="W116" i="2" s="1"/>
  <c r="W115" i="2" a="1"/>
  <c r="W115" i="2" s="1"/>
  <c r="W114" i="2" a="1"/>
  <c r="W114" i="2" s="1"/>
  <c r="W113" i="2" a="1"/>
  <c r="W113" i="2" s="1"/>
  <c r="W112" i="2" a="1"/>
  <c r="W112" i="2" s="1"/>
  <c r="W111" i="2" a="1"/>
  <c r="W111" i="2" s="1"/>
  <c r="W110" i="2" a="1"/>
  <c r="W110" i="2" s="1"/>
  <c r="W109" i="2" a="1"/>
  <c r="W109" i="2" s="1"/>
  <c r="W108" i="2" a="1"/>
  <c r="W108" i="2" s="1"/>
  <c r="W107" i="2" a="1"/>
  <c r="W107" i="2" s="1"/>
  <c r="W106" i="2" a="1"/>
  <c r="W106" i="2" s="1"/>
  <c r="W105" i="2" a="1"/>
  <c r="W105" i="2" s="1"/>
  <c r="W104" i="2" a="1"/>
  <c r="W104" i="2" s="1"/>
  <c r="W103" i="2" a="1"/>
  <c r="W103" i="2" s="1"/>
  <c r="W102" i="2" a="1"/>
  <c r="W102" i="2" s="1"/>
  <c r="W101" i="2" a="1"/>
  <c r="W101" i="2" s="1"/>
  <c r="W100" i="2" a="1"/>
  <c r="W100" i="2" s="1"/>
  <c r="W99" i="2" a="1"/>
  <c r="W99" i="2" s="1"/>
  <c r="W98" i="2" a="1"/>
  <c r="W98" i="2" s="1"/>
  <c r="W97" i="2" a="1"/>
  <c r="W97" i="2" s="1"/>
  <c r="W96" i="2" a="1"/>
  <c r="W96" i="2" s="1"/>
  <c r="W95" i="2" a="1"/>
  <c r="W95" i="2" s="1"/>
  <c r="W94" i="2" a="1"/>
  <c r="W94" i="2" s="1"/>
  <c r="W93" i="2" a="1"/>
  <c r="W93" i="2" s="1"/>
  <c r="W92" i="2" a="1"/>
  <c r="W92" i="2" s="1"/>
  <c r="W91" i="2" a="1"/>
  <c r="W91" i="2" s="1"/>
  <c r="W90" i="2" a="1"/>
  <c r="W90" i="2" s="1"/>
  <c r="W89" i="2" a="1"/>
  <c r="W89" i="2" s="1"/>
  <c r="W88" i="2" a="1"/>
  <c r="W88" i="2" s="1"/>
  <c r="W87" i="2" a="1"/>
  <c r="W87" i="2" s="1"/>
  <c r="W86" i="2" a="1"/>
  <c r="W86" i="2" s="1"/>
  <c r="W85" i="2" a="1"/>
  <c r="W85" i="2" s="1"/>
  <c r="W84" i="2" a="1"/>
  <c r="W84" i="2" s="1"/>
  <c r="W83" i="2" a="1"/>
  <c r="W83" i="2" s="1"/>
  <c r="W82" i="2" a="1"/>
  <c r="W82" i="2" s="1"/>
  <c r="W81" i="2" a="1"/>
  <c r="W81" i="2" s="1"/>
  <c r="W80" i="2" a="1"/>
  <c r="W80" i="2" s="1"/>
  <c r="W79" i="2" a="1"/>
  <c r="W79" i="2" s="1"/>
  <c r="W78" i="2" a="1"/>
  <c r="W78" i="2" s="1"/>
  <c r="W77" i="2" a="1"/>
  <c r="W77" i="2" s="1"/>
  <c r="W76" i="2" a="1"/>
  <c r="W76" i="2" s="1"/>
  <c r="W75" i="2" a="1"/>
  <c r="W75" i="2" s="1"/>
  <c r="W74" i="2" a="1"/>
  <c r="W74" i="2" s="1"/>
  <c r="W73" i="2" a="1"/>
  <c r="W73" i="2" s="1"/>
  <c r="W72" i="2" a="1"/>
  <c r="W72" i="2" s="1"/>
  <c r="W71" i="2" a="1"/>
  <c r="W71" i="2" s="1"/>
  <c r="W70" i="2" a="1"/>
  <c r="W70" i="2" s="1"/>
  <c r="W69" i="2" a="1"/>
  <c r="W69" i="2" s="1"/>
  <c r="W68" i="2" a="1"/>
  <c r="W68" i="2" s="1"/>
  <c r="W67" i="2" a="1"/>
  <c r="W67" i="2" s="1"/>
  <c r="W66" i="2" a="1"/>
  <c r="W66" i="2" s="1"/>
  <c r="W65" i="2" a="1"/>
  <c r="W65" i="2" s="1"/>
  <c r="W64" i="2" a="1"/>
  <c r="W64" i="2" s="1"/>
  <c r="W63" i="2" a="1"/>
  <c r="W63" i="2" s="1"/>
  <c r="W62" i="2" a="1"/>
  <c r="W62" i="2" s="1"/>
  <c r="W61" i="2" a="1"/>
  <c r="W61" i="2" s="1"/>
  <c r="W60" i="2" a="1"/>
  <c r="W60" i="2" s="1"/>
  <c r="W59" i="2" a="1"/>
  <c r="W59" i="2" s="1"/>
  <c r="W58" i="2" a="1"/>
  <c r="W58" i="2" s="1"/>
  <c r="W57" i="2" a="1"/>
  <c r="W57" i="2" s="1"/>
  <c r="W56" i="2" a="1"/>
  <c r="W56" i="2" s="1"/>
  <c r="W55" i="2" a="1"/>
  <c r="W55" i="2" s="1"/>
  <c r="W54" i="2" a="1"/>
  <c r="W54" i="2" s="1"/>
  <c r="W53" i="2" a="1"/>
  <c r="W53" i="2" s="1"/>
  <c r="W52" i="2" a="1"/>
  <c r="W52" i="2" s="1"/>
  <c r="W51" i="2" a="1"/>
  <c r="W51" i="2" s="1"/>
  <c r="W50" i="2" a="1"/>
  <c r="W50" i="2" s="1"/>
  <c r="W49" i="2" a="1"/>
  <c r="W49" i="2" s="1"/>
  <c r="W48" i="2" a="1"/>
  <c r="W48" i="2" s="1"/>
  <c r="W47" i="2" a="1"/>
  <c r="W47" i="2" s="1"/>
  <c r="W46" i="2" a="1"/>
  <c r="W46" i="2" s="1"/>
  <c r="W45" i="2" a="1"/>
  <c r="W45" i="2" s="1"/>
  <c r="W44" i="2" a="1"/>
  <c r="W44" i="2" s="1"/>
  <c r="W43" i="2" a="1"/>
  <c r="W43" i="2" s="1"/>
  <c r="W42" i="2" a="1"/>
  <c r="W42" i="2" s="1"/>
  <c r="W41" i="2" a="1"/>
  <c r="W41" i="2" s="1"/>
  <c r="W40" i="2" a="1"/>
  <c r="W40" i="2" s="1"/>
  <c r="W39" i="2" a="1"/>
  <c r="W39" i="2" s="1"/>
  <c r="W38" i="2" a="1"/>
  <c r="W38" i="2" s="1"/>
  <c r="W37" i="2" a="1"/>
  <c r="W37" i="2" s="1"/>
  <c r="W36" i="2" a="1"/>
  <c r="W36" i="2" s="1"/>
  <c r="W35" i="2" a="1"/>
  <c r="W35" i="2" s="1"/>
  <c r="W34" i="2" a="1"/>
  <c r="W34" i="2" s="1"/>
  <c r="W33" i="2" a="1"/>
  <c r="W33" i="2" s="1"/>
  <c r="W32" i="2" a="1"/>
  <c r="W32" i="2" s="1"/>
  <c r="W31" i="2" a="1"/>
  <c r="W31" i="2" s="1"/>
  <c r="W30" i="2" a="1"/>
  <c r="W30" i="2" s="1"/>
  <c r="W29" i="2" a="1"/>
  <c r="W29" i="2" s="1"/>
  <c r="W28" i="2" a="1"/>
  <c r="W28" i="2" s="1"/>
  <c r="W27" i="2" a="1"/>
  <c r="W27" i="2" s="1"/>
  <c r="W26" i="2" a="1"/>
  <c r="W26" i="2" s="1"/>
  <c r="W25" i="2" a="1"/>
  <c r="W25" i="2" s="1"/>
  <c r="W24" i="2" a="1"/>
  <c r="W24" i="2" s="1"/>
  <c r="W23" i="2" a="1"/>
  <c r="W23" i="2" s="1"/>
  <c r="W22" i="2" a="1"/>
  <c r="W22" i="2" s="1"/>
  <c r="W21" i="2" a="1"/>
  <c r="W21" i="2" s="1"/>
  <c r="W20" i="2" a="1"/>
  <c r="W20" i="2" s="1"/>
  <c r="W19" i="2" a="1"/>
  <c r="W19" i="2" s="1"/>
  <c r="W18" i="2" a="1"/>
  <c r="W18" i="2" s="1"/>
  <c r="W17" i="2" a="1"/>
  <c r="W17" i="2" s="1"/>
  <c r="W16" i="2" a="1"/>
  <c r="W16" i="2" s="1"/>
  <c r="W15" i="2" a="1"/>
  <c r="W15" i="2" s="1"/>
  <c r="W14" i="2" a="1"/>
  <c r="W14" i="2" s="1"/>
  <c r="W13" i="2" a="1"/>
  <c r="W13" i="2" s="1"/>
  <c r="W12" i="2" a="1"/>
  <c r="W12" i="2" s="1"/>
  <c r="W11" i="2" a="1"/>
  <c r="W11" i="2" s="1"/>
  <c r="W10" i="2" a="1"/>
  <c r="W10" i="2" s="1"/>
  <c r="W9" i="2" a="1"/>
  <c r="W9" i="2" s="1"/>
  <c r="W8" i="2" a="1"/>
  <c r="W8" i="2" s="1"/>
  <c r="W7" i="2" a="1"/>
  <c r="W7" i="2" s="1"/>
  <c r="W6" i="2" a="1"/>
  <c r="W6" i="2" s="1"/>
  <c r="W5" i="2" a="1"/>
  <c r="W5" i="2" s="1"/>
  <c r="W4" i="2" a="1"/>
  <c r="W4" i="2" s="1"/>
  <c r="W3" i="2" a="1"/>
  <c r="W3" i="2" s="1"/>
  <c r="W2" i="2" a="1"/>
  <c r="W2" i="2" s="1"/>
  <c r="V530" i="2" a="1"/>
  <c r="V530" i="2" s="1"/>
  <c r="V529" i="2" a="1"/>
  <c r="V529" i="2" s="1"/>
  <c r="V528" i="2" a="1"/>
  <c r="V528" i="2" s="1"/>
  <c r="V527" i="2" a="1"/>
  <c r="V527" i="2" s="1"/>
  <c r="V526" i="2" a="1"/>
  <c r="V526" i="2" s="1"/>
  <c r="V525" i="2" a="1"/>
  <c r="V525" i="2" s="1"/>
  <c r="V524" i="2" a="1"/>
  <c r="V524" i="2" s="1"/>
  <c r="V523" i="2" a="1"/>
  <c r="V523" i="2" s="1"/>
  <c r="V522" i="2" a="1"/>
  <c r="V522" i="2" s="1"/>
  <c r="V521" i="2" a="1"/>
  <c r="V521" i="2" s="1"/>
  <c r="V520" i="2" a="1"/>
  <c r="V520" i="2" s="1"/>
  <c r="V519" i="2" a="1"/>
  <c r="V519" i="2" s="1"/>
  <c r="V518" i="2" a="1"/>
  <c r="V518" i="2" s="1"/>
  <c r="V517" i="2" a="1"/>
  <c r="V517" i="2" s="1"/>
  <c r="V516" i="2" a="1"/>
  <c r="V516" i="2" s="1"/>
  <c r="V515" i="2" a="1"/>
  <c r="V515" i="2" s="1"/>
  <c r="V514" i="2" a="1"/>
  <c r="V514" i="2" s="1"/>
  <c r="V513" i="2" a="1"/>
  <c r="V513" i="2" s="1"/>
  <c r="V512" i="2" a="1"/>
  <c r="V512" i="2" s="1"/>
  <c r="V511" i="2" a="1"/>
  <c r="V511" i="2" s="1"/>
  <c r="V510" i="2" a="1"/>
  <c r="V510" i="2" s="1"/>
  <c r="V509" i="2" a="1"/>
  <c r="V509" i="2" s="1"/>
  <c r="V508" i="2" a="1"/>
  <c r="V508" i="2" s="1"/>
  <c r="V507" i="2" a="1"/>
  <c r="V507" i="2" s="1"/>
  <c r="V506" i="2" a="1"/>
  <c r="V506" i="2" s="1"/>
  <c r="V505" i="2" a="1"/>
  <c r="V505" i="2" s="1"/>
  <c r="V504" i="2" a="1"/>
  <c r="V504" i="2" s="1"/>
  <c r="V503" i="2" a="1"/>
  <c r="V503" i="2" s="1"/>
  <c r="V502" i="2" a="1"/>
  <c r="V502" i="2" s="1"/>
  <c r="V501" i="2" a="1"/>
  <c r="V501" i="2" s="1"/>
  <c r="V500" i="2" a="1"/>
  <c r="V500" i="2" s="1"/>
  <c r="V499" i="2" a="1"/>
  <c r="V499" i="2" s="1"/>
  <c r="V498" i="2" a="1"/>
  <c r="V498" i="2" s="1"/>
  <c r="V497" i="2" a="1"/>
  <c r="V497" i="2" s="1"/>
  <c r="V496" i="2" a="1"/>
  <c r="V496" i="2" s="1"/>
  <c r="V495" i="2" a="1"/>
  <c r="V495" i="2" s="1"/>
  <c r="V494" i="2" a="1"/>
  <c r="V494" i="2" s="1"/>
  <c r="V493" i="2" a="1"/>
  <c r="V493" i="2" s="1"/>
  <c r="V492" i="2" a="1"/>
  <c r="V492" i="2" s="1"/>
  <c r="V491" i="2" a="1"/>
  <c r="V491" i="2" s="1"/>
  <c r="V490" i="2" a="1"/>
  <c r="V490" i="2" s="1"/>
  <c r="V489" i="2" a="1"/>
  <c r="V489" i="2" s="1"/>
  <c r="V488" i="2" a="1"/>
  <c r="V488" i="2" s="1"/>
  <c r="V487" i="2" a="1"/>
  <c r="V487" i="2" s="1"/>
  <c r="V486" i="2" a="1"/>
  <c r="V486" i="2" s="1"/>
  <c r="V485" i="2" a="1"/>
  <c r="V485" i="2" s="1"/>
  <c r="V484" i="2" a="1"/>
  <c r="V484" i="2" s="1"/>
  <c r="V483" i="2" a="1"/>
  <c r="V483" i="2" s="1"/>
  <c r="V482" i="2" a="1"/>
  <c r="V482" i="2" s="1"/>
  <c r="V481" i="2" a="1"/>
  <c r="V481" i="2" s="1"/>
  <c r="V480" i="2" a="1"/>
  <c r="V480" i="2" s="1"/>
  <c r="V479" i="2" a="1"/>
  <c r="V479" i="2" s="1"/>
  <c r="V478" i="2" a="1"/>
  <c r="V478" i="2" s="1"/>
  <c r="V477" i="2" a="1"/>
  <c r="V477" i="2" s="1"/>
  <c r="V476" i="2" a="1"/>
  <c r="V476" i="2" s="1"/>
  <c r="V475" i="2" a="1"/>
  <c r="V475" i="2" s="1"/>
  <c r="V474" i="2" a="1"/>
  <c r="V474" i="2" s="1"/>
  <c r="V473" i="2" a="1"/>
  <c r="V473" i="2" s="1"/>
  <c r="V472" i="2" a="1"/>
  <c r="V472" i="2" s="1"/>
  <c r="V471" i="2" a="1"/>
  <c r="V471" i="2" s="1"/>
  <c r="V470" i="2" a="1"/>
  <c r="V470" i="2" s="1"/>
  <c r="V469" i="2" a="1"/>
  <c r="V469" i="2" s="1"/>
  <c r="V468" i="2" a="1"/>
  <c r="V468" i="2" s="1"/>
  <c r="V467" i="2" a="1"/>
  <c r="V467" i="2" s="1"/>
  <c r="V466" i="2" a="1"/>
  <c r="V466" i="2" s="1"/>
  <c r="V465" i="2" a="1"/>
  <c r="V465" i="2" s="1"/>
  <c r="V464" i="2" a="1"/>
  <c r="V464" i="2" s="1"/>
  <c r="V463" i="2" a="1"/>
  <c r="V463" i="2" s="1"/>
  <c r="V462" i="2" a="1"/>
  <c r="V462" i="2" s="1"/>
  <c r="V461" i="2" a="1"/>
  <c r="V461" i="2" s="1"/>
  <c r="V460" i="2" a="1"/>
  <c r="V460" i="2" s="1"/>
  <c r="V459" i="2" a="1"/>
  <c r="V459" i="2" s="1"/>
  <c r="V458" i="2" a="1"/>
  <c r="V458" i="2" s="1"/>
  <c r="V457" i="2" a="1"/>
  <c r="V457" i="2" s="1"/>
  <c r="V456" i="2" a="1"/>
  <c r="V456" i="2" s="1"/>
  <c r="V455" i="2" a="1"/>
  <c r="V455" i="2" s="1"/>
  <c r="V454" i="2" a="1"/>
  <c r="V454" i="2" s="1"/>
  <c r="V453" i="2" a="1"/>
  <c r="V453" i="2" s="1"/>
  <c r="V452" i="2" a="1"/>
  <c r="V452" i="2" s="1"/>
  <c r="V451" i="2" a="1"/>
  <c r="V451" i="2" s="1"/>
  <c r="V450" i="2" a="1"/>
  <c r="V450" i="2" s="1"/>
  <c r="V449" i="2" a="1"/>
  <c r="V449" i="2" s="1"/>
  <c r="V448" i="2" a="1"/>
  <c r="V448" i="2" s="1"/>
  <c r="V447" i="2" a="1"/>
  <c r="V447" i="2" s="1"/>
  <c r="V446" i="2" a="1"/>
  <c r="V446" i="2" s="1"/>
  <c r="V445" i="2" a="1"/>
  <c r="V445" i="2" s="1"/>
  <c r="V444" i="2" a="1"/>
  <c r="V444" i="2" s="1"/>
  <c r="V443" i="2" a="1"/>
  <c r="V443" i="2" s="1"/>
  <c r="V442" i="2" a="1"/>
  <c r="V442" i="2" s="1"/>
  <c r="V441" i="2" a="1"/>
  <c r="V441" i="2" s="1"/>
  <c r="V440" i="2" a="1"/>
  <c r="V440" i="2" s="1"/>
  <c r="V439" i="2" a="1"/>
  <c r="V439" i="2" s="1"/>
  <c r="V438" i="2" a="1"/>
  <c r="V438" i="2" s="1"/>
  <c r="V437" i="2" a="1"/>
  <c r="V437" i="2" s="1"/>
  <c r="V436" i="2" a="1"/>
  <c r="V436" i="2" s="1"/>
  <c r="V435" i="2" a="1"/>
  <c r="V435" i="2" s="1"/>
  <c r="V434" i="2" a="1"/>
  <c r="V434" i="2" s="1"/>
  <c r="V433" i="2" a="1"/>
  <c r="V433" i="2" s="1"/>
  <c r="V432" i="2" a="1"/>
  <c r="V432" i="2" s="1"/>
  <c r="V431" i="2" a="1"/>
  <c r="V431" i="2" s="1"/>
  <c r="V430" i="2" a="1"/>
  <c r="V430" i="2" s="1"/>
  <c r="V429" i="2" a="1"/>
  <c r="V429" i="2" s="1"/>
  <c r="V428" i="2" a="1"/>
  <c r="V428" i="2" s="1"/>
  <c r="V427" i="2" a="1"/>
  <c r="V427" i="2" s="1"/>
  <c r="V426" i="2" a="1"/>
  <c r="V426" i="2" s="1"/>
  <c r="V425" i="2" a="1"/>
  <c r="V425" i="2" s="1"/>
  <c r="V424" i="2" a="1"/>
  <c r="V424" i="2" s="1"/>
  <c r="V423" i="2" a="1"/>
  <c r="V423" i="2" s="1"/>
  <c r="V422" i="2" a="1"/>
  <c r="V422" i="2" s="1"/>
  <c r="V421" i="2" a="1"/>
  <c r="V421" i="2" s="1"/>
  <c r="V420" i="2" a="1"/>
  <c r="V420" i="2" s="1"/>
  <c r="V419" i="2" a="1"/>
  <c r="V419" i="2" s="1"/>
  <c r="V418" i="2" a="1"/>
  <c r="V418" i="2" s="1"/>
  <c r="V417" i="2" a="1"/>
  <c r="V417" i="2" s="1"/>
  <c r="V416" i="2" a="1"/>
  <c r="V416" i="2" s="1"/>
  <c r="V415" i="2" a="1"/>
  <c r="V415" i="2" s="1"/>
  <c r="V414" i="2" a="1"/>
  <c r="V414" i="2" s="1"/>
  <c r="V413" i="2" a="1"/>
  <c r="V413" i="2" s="1"/>
  <c r="V412" i="2" a="1"/>
  <c r="V412" i="2" s="1"/>
  <c r="V411" i="2" a="1"/>
  <c r="V411" i="2" s="1"/>
  <c r="V410" i="2" a="1"/>
  <c r="V410" i="2" s="1"/>
  <c r="V409" i="2" a="1"/>
  <c r="V409" i="2" s="1"/>
  <c r="V408" i="2" a="1"/>
  <c r="V408" i="2" s="1"/>
  <c r="V407" i="2" a="1"/>
  <c r="V407" i="2" s="1"/>
  <c r="V406" i="2" a="1"/>
  <c r="V406" i="2" s="1"/>
  <c r="V405" i="2" a="1"/>
  <c r="V405" i="2" s="1"/>
  <c r="V404" i="2" a="1"/>
  <c r="V404" i="2" s="1"/>
  <c r="V403" i="2" a="1"/>
  <c r="V403" i="2" s="1"/>
  <c r="V402" i="2" a="1"/>
  <c r="V402" i="2" s="1"/>
  <c r="V401" i="2" a="1"/>
  <c r="V401" i="2" s="1"/>
  <c r="V400" i="2" a="1"/>
  <c r="V400" i="2" s="1"/>
  <c r="V399" i="2" a="1"/>
  <c r="V399" i="2" s="1"/>
  <c r="V398" i="2" a="1"/>
  <c r="V398" i="2" s="1"/>
  <c r="V397" i="2" a="1"/>
  <c r="V397" i="2" s="1"/>
  <c r="V396" i="2" a="1"/>
  <c r="V396" i="2" s="1"/>
  <c r="V395" i="2" a="1"/>
  <c r="V395" i="2" s="1"/>
  <c r="V394" i="2" a="1"/>
  <c r="V394" i="2" s="1"/>
  <c r="V393" i="2" a="1"/>
  <c r="V393" i="2" s="1"/>
  <c r="V392" i="2" a="1"/>
  <c r="V392" i="2" s="1"/>
  <c r="V391" i="2" a="1"/>
  <c r="V391" i="2" s="1"/>
  <c r="V390" i="2" a="1"/>
  <c r="V390" i="2" s="1"/>
  <c r="V389" i="2" a="1"/>
  <c r="V389" i="2" s="1"/>
  <c r="V388" i="2" a="1"/>
  <c r="V388" i="2" s="1"/>
  <c r="V387" i="2" a="1"/>
  <c r="V387" i="2" s="1"/>
  <c r="V386" i="2" a="1"/>
  <c r="V386" i="2" s="1"/>
  <c r="V385" i="2" a="1"/>
  <c r="V385" i="2" s="1"/>
  <c r="V384" i="2" a="1"/>
  <c r="V384" i="2" s="1"/>
  <c r="V383" i="2" a="1"/>
  <c r="V383" i="2" s="1"/>
  <c r="V382" i="2" a="1"/>
  <c r="V382" i="2" s="1"/>
  <c r="V381" i="2" a="1"/>
  <c r="V381" i="2" s="1"/>
  <c r="V380" i="2" a="1"/>
  <c r="V380" i="2" s="1"/>
  <c r="V379" i="2" a="1"/>
  <c r="V379" i="2" s="1"/>
  <c r="V378" i="2" a="1"/>
  <c r="V378" i="2" s="1"/>
  <c r="V377" i="2" a="1"/>
  <c r="V377" i="2" s="1"/>
  <c r="V376" i="2" a="1"/>
  <c r="V376" i="2" s="1"/>
  <c r="V375" i="2" a="1"/>
  <c r="V375" i="2" s="1"/>
  <c r="V374" i="2" a="1"/>
  <c r="V374" i="2" s="1"/>
  <c r="V373" i="2" a="1"/>
  <c r="V373" i="2" s="1"/>
  <c r="V372" i="2" a="1"/>
  <c r="V372" i="2" s="1"/>
  <c r="V371" i="2" a="1"/>
  <c r="V371" i="2" s="1"/>
  <c r="V370" i="2" a="1"/>
  <c r="V370" i="2" s="1"/>
  <c r="V369" i="2" a="1"/>
  <c r="V369" i="2" s="1"/>
  <c r="V368" i="2" a="1"/>
  <c r="V368" i="2" s="1"/>
  <c r="V367" i="2" a="1"/>
  <c r="V367" i="2" s="1"/>
  <c r="V366" i="2" a="1"/>
  <c r="V366" i="2" s="1"/>
  <c r="V365" i="2" a="1"/>
  <c r="V365" i="2" s="1"/>
  <c r="V364" i="2" a="1"/>
  <c r="V364" i="2" s="1"/>
  <c r="V363" i="2" a="1"/>
  <c r="V363" i="2" s="1"/>
  <c r="V362" i="2" a="1"/>
  <c r="V362" i="2" s="1"/>
  <c r="V361" i="2" a="1"/>
  <c r="V361" i="2" s="1"/>
  <c r="V360" i="2" a="1"/>
  <c r="V360" i="2" s="1"/>
  <c r="V359" i="2" a="1"/>
  <c r="V359" i="2" s="1"/>
  <c r="V358" i="2" a="1"/>
  <c r="V358" i="2" s="1"/>
  <c r="V357" i="2" a="1"/>
  <c r="V357" i="2" s="1"/>
  <c r="V356" i="2" a="1"/>
  <c r="V356" i="2" s="1"/>
  <c r="V355" i="2" a="1"/>
  <c r="V355" i="2" s="1"/>
  <c r="V354" i="2" a="1"/>
  <c r="V354" i="2" s="1"/>
  <c r="V353" i="2" a="1"/>
  <c r="V353" i="2" s="1"/>
  <c r="V352" i="2" a="1"/>
  <c r="V352" i="2" s="1"/>
  <c r="V351" i="2" a="1"/>
  <c r="V351" i="2" s="1"/>
  <c r="V350" i="2" a="1"/>
  <c r="V350" i="2" s="1"/>
  <c r="V349" i="2" a="1"/>
  <c r="V349" i="2" s="1"/>
  <c r="V348" i="2" a="1"/>
  <c r="V348" i="2" s="1"/>
  <c r="V347" i="2" a="1"/>
  <c r="V347" i="2" s="1"/>
  <c r="V346" i="2" a="1"/>
  <c r="V346" i="2" s="1"/>
  <c r="V345" i="2" a="1"/>
  <c r="V345" i="2" s="1"/>
  <c r="V344" i="2" a="1"/>
  <c r="V344" i="2" s="1"/>
  <c r="V343" i="2" a="1"/>
  <c r="V343" i="2" s="1"/>
  <c r="V342" i="2" a="1"/>
  <c r="V342" i="2" s="1"/>
  <c r="V341" i="2" a="1"/>
  <c r="V341" i="2" s="1"/>
  <c r="V340" i="2" a="1"/>
  <c r="V340" i="2" s="1"/>
  <c r="V339" i="2" a="1"/>
  <c r="V339" i="2" s="1"/>
  <c r="V338" i="2" a="1"/>
  <c r="V338" i="2" s="1"/>
  <c r="V337" i="2" a="1"/>
  <c r="V337" i="2" s="1"/>
  <c r="V336" i="2" a="1"/>
  <c r="V336" i="2" s="1"/>
  <c r="V335" i="2" a="1"/>
  <c r="V335" i="2" s="1"/>
  <c r="V334" i="2" a="1"/>
  <c r="V334" i="2" s="1"/>
  <c r="V333" i="2" a="1"/>
  <c r="V333" i="2" s="1"/>
  <c r="V332" i="2" a="1"/>
  <c r="V332" i="2" s="1"/>
  <c r="V331" i="2" a="1"/>
  <c r="V331" i="2" s="1"/>
  <c r="V330" i="2" a="1"/>
  <c r="V330" i="2" s="1"/>
  <c r="V329" i="2" a="1"/>
  <c r="V329" i="2" s="1"/>
  <c r="V328" i="2" a="1"/>
  <c r="V328" i="2" s="1"/>
  <c r="V327" i="2" a="1"/>
  <c r="V327" i="2" s="1"/>
  <c r="V326" i="2" a="1"/>
  <c r="V326" i="2" s="1"/>
  <c r="V325" i="2" a="1"/>
  <c r="V325" i="2" s="1"/>
  <c r="V324" i="2" a="1"/>
  <c r="V324" i="2" s="1"/>
  <c r="V323" i="2" a="1"/>
  <c r="V323" i="2" s="1"/>
  <c r="V322" i="2" a="1"/>
  <c r="V322" i="2" s="1"/>
  <c r="V321" i="2" a="1"/>
  <c r="V321" i="2" s="1"/>
  <c r="V320" i="2" a="1"/>
  <c r="V320" i="2" s="1"/>
  <c r="V319" i="2" a="1"/>
  <c r="V319" i="2" s="1"/>
  <c r="V318" i="2" a="1"/>
  <c r="V318" i="2" s="1"/>
  <c r="V317" i="2" a="1"/>
  <c r="V317" i="2" s="1"/>
  <c r="V316" i="2" a="1"/>
  <c r="V316" i="2" s="1"/>
  <c r="V315" i="2" a="1"/>
  <c r="V315" i="2" s="1"/>
  <c r="V314" i="2" a="1"/>
  <c r="V314" i="2" s="1"/>
  <c r="V313" i="2" a="1"/>
  <c r="V313" i="2" s="1"/>
  <c r="V312" i="2" a="1"/>
  <c r="V312" i="2" s="1"/>
  <c r="V311" i="2" a="1"/>
  <c r="V311" i="2" s="1"/>
  <c r="V310" i="2" a="1"/>
  <c r="V310" i="2" s="1"/>
  <c r="V309" i="2" a="1"/>
  <c r="V309" i="2" s="1"/>
  <c r="V308" i="2" a="1"/>
  <c r="V308" i="2" s="1"/>
  <c r="V307" i="2" a="1"/>
  <c r="V307" i="2" s="1"/>
  <c r="V306" i="2" a="1"/>
  <c r="V306" i="2" s="1"/>
  <c r="V305" i="2" a="1"/>
  <c r="V305" i="2" s="1"/>
  <c r="V304" i="2" a="1"/>
  <c r="V304" i="2" s="1"/>
  <c r="V303" i="2" a="1"/>
  <c r="V303" i="2" s="1"/>
  <c r="V302" i="2" a="1"/>
  <c r="V302" i="2" s="1"/>
  <c r="V301" i="2" a="1"/>
  <c r="V301" i="2" s="1"/>
  <c r="V300" i="2" a="1"/>
  <c r="V300" i="2" s="1"/>
  <c r="V299" i="2" a="1"/>
  <c r="V299" i="2" s="1"/>
  <c r="V298" i="2" a="1"/>
  <c r="V298" i="2" s="1"/>
  <c r="V297" i="2" a="1"/>
  <c r="V297" i="2" s="1"/>
  <c r="V296" i="2" a="1"/>
  <c r="V296" i="2" s="1"/>
  <c r="V295" i="2" a="1"/>
  <c r="V295" i="2" s="1"/>
  <c r="V294" i="2" a="1"/>
  <c r="V294" i="2" s="1"/>
  <c r="V293" i="2" a="1"/>
  <c r="V293" i="2" s="1"/>
  <c r="V292" i="2" a="1"/>
  <c r="V292" i="2" s="1"/>
  <c r="V291" i="2" a="1"/>
  <c r="V291" i="2" s="1"/>
  <c r="V290" i="2" a="1"/>
  <c r="V290" i="2" s="1"/>
  <c r="V289" i="2" a="1"/>
  <c r="V289" i="2" s="1"/>
  <c r="V288" i="2" a="1"/>
  <c r="V288" i="2" s="1"/>
  <c r="V287" i="2" a="1"/>
  <c r="V287" i="2" s="1"/>
  <c r="V286" i="2" a="1"/>
  <c r="V286" i="2" s="1"/>
  <c r="V285" i="2" a="1"/>
  <c r="V285" i="2" s="1"/>
  <c r="V284" i="2" a="1"/>
  <c r="V284" i="2" s="1"/>
  <c r="V283" i="2" a="1"/>
  <c r="V283" i="2" s="1"/>
  <c r="V282" i="2" a="1"/>
  <c r="V282" i="2" s="1"/>
  <c r="V281" i="2" a="1"/>
  <c r="V281" i="2" s="1"/>
  <c r="V280" i="2" a="1"/>
  <c r="V280" i="2" s="1"/>
  <c r="V279" i="2" a="1"/>
  <c r="V279" i="2" s="1"/>
  <c r="V278" i="2" a="1"/>
  <c r="V278" i="2" s="1"/>
  <c r="V277" i="2" a="1"/>
  <c r="V277" i="2" s="1"/>
  <c r="V276" i="2" a="1"/>
  <c r="V276" i="2" s="1"/>
  <c r="V275" i="2" a="1"/>
  <c r="V275" i="2" s="1"/>
  <c r="V274" i="2" a="1"/>
  <c r="V274" i="2" s="1"/>
  <c r="V273" i="2" a="1"/>
  <c r="V273" i="2" s="1"/>
  <c r="V272" i="2" a="1"/>
  <c r="V272" i="2" s="1"/>
  <c r="V271" i="2" a="1"/>
  <c r="V271" i="2" s="1"/>
  <c r="V270" i="2" a="1"/>
  <c r="V270" i="2" s="1"/>
  <c r="V269" i="2" a="1"/>
  <c r="V269" i="2" s="1"/>
  <c r="V268" i="2" a="1"/>
  <c r="V268" i="2" s="1"/>
  <c r="V267" i="2" a="1"/>
  <c r="V267" i="2" s="1"/>
  <c r="V266" i="2" a="1"/>
  <c r="V266" i="2" s="1"/>
  <c r="V265" i="2" a="1"/>
  <c r="V265" i="2" s="1"/>
  <c r="V264" i="2" a="1"/>
  <c r="V264" i="2" s="1"/>
  <c r="V263" i="2" a="1"/>
  <c r="V263" i="2" s="1"/>
  <c r="V262" i="2" a="1"/>
  <c r="V262" i="2" s="1"/>
  <c r="V261" i="2" a="1"/>
  <c r="V261" i="2" s="1"/>
  <c r="V260" i="2" a="1"/>
  <c r="V260" i="2" s="1"/>
  <c r="V259" i="2" a="1"/>
  <c r="V259" i="2" s="1"/>
  <c r="V258" i="2" a="1"/>
  <c r="V258" i="2" s="1"/>
  <c r="V257" i="2" a="1"/>
  <c r="V257" i="2" s="1"/>
  <c r="V256" i="2" a="1"/>
  <c r="V256" i="2" s="1"/>
  <c r="V255" i="2" a="1"/>
  <c r="V255" i="2" s="1"/>
  <c r="V254" i="2" a="1"/>
  <c r="V254" i="2" s="1"/>
  <c r="V253" i="2" a="1"/>
  <c r="V253" i="2" s="1"/>
  <c r="V252" i="2" a="1"/>
  <c r="V252" i="2" s="1"/>
  <c r="V251" i="2" a="1"/>
  <c r="V251" i="2" s="1"/>
  <c r="V250" i="2" a="1"/>
  <c r="V250" i="2" s="1"/>
  <c r="V249" i="2" a="1"/>
  <c r="V249" i="2" s="1"/>
  <c r="V248" i="2" a="1"/>
  <c r="V248" i="2" s="1"/>
  <c r="V247" i="2" a="1"/>
  <c r="V247" i="2" s="1"/>
  <c r="V246" i="2" a="1"/>
  <c r="V246" i="2" s="1"/>
  <c r="V245" i="2" a="1"/>
  <c r="V245" i="2" s="1"/>
  <c r="V244" i="2" a="1"/>
  <c r="V244" i="2" s="1"/>
  <c r="V243" i="2" a="1"/>
  <c r="V243" i="2" s="1"/>
  <c r="V242" i="2" a="1"/>
  <c r="V242" i="2" s="1"/>
  <c r="V241" i="2" a="1"/>
  <c r="V241" i="2" s="1"/>
  <c r="V240" i="2" a="1"/>
  <c r="V240" i="2" s="1"/>
  <c r="V239" i="2" a="1"/>
  <c r="V239" i="2" s="1"/>
  <c r="V238" i="2" a="1"/>
  <c r="V238" i="2" s="1"/>
  <c r="V237" i="2" a="1"/>
  <c r="V237" i="2" s="1"/>
  <c r="V236" i="2" a="1"/>
  <c r="V236" i="2" s="1"/>
  <c r="V235" i="2" a="1"/>
  <c r="V235" i="2" s="1"/>
  <c r="V234" i="2" a="1"/>
  <c r="V234" i="2" s="1"/>
  <c r="V233" i="2" a="1"/>
  <c r="V233" i="2" s="1"/>
  <c r="V232" i="2" a="1"/>
  <c r="V232" i="2" s="1"/>
  <c r="V231" i="2" a="1"/>
  <c r="V231" i="2" s="1"/>
  <c r="V230" i="2" a="1"/>
  <c r="V230" i="2" s="1"/>
  <c r="V229" i="2" a="1"/>
  <c r="V229" i="2" s="1"/>
  <c r="V228" i="2" a="1"/>
  <c r="V228" i="2" s="1"/>
  <c r="V227" i="2" a="1"/>
  <c r="V227" i="2" s="1"/>
  <c r="V226" i="2" a="1"/>
  <c r="V226" i="2" s="1"/>
  <c r="V225" i="2" a="1"/>
  <c r="V225" i="2" s="1"/>
  <c r="V224" i="2" a="1"/>
  <c r="V224" i="2" s="1"/>
  <c r="V223" i="2" a="1"/>
  <c r="V223" i="2" s="1"/>
  <c r="V222" i="2" a="1"/>
  <c r="V222" i="2" s="1"/>
  <c r="V221" i="2" a="1"/>
  <c r="V221" i="2" s="1"/>
  <c r="V220" i="2" a="1"/>
  <c r="V220" i="2" s="1"/>
  <c r="V219" i="2" a="1"/>
  <c r="V219" i="2" s="1"/>
  <c r="V218" i="2" a="1"/>
  <c r="V218" i="2" s="1"/>
  <c r="V217" i="2" a="1"/>
  <c r="V217" i="2" s="1"/>
  <c r="V216" i="2" a="1"/>
  <c r="V216" i="2" s="1"/>
  <c r="V215" i="2" a="1"/>
  <c r="V215" i="2" s="1"/>
  <c r="V214" i="2" a="1"/>
  <c r="V214" i="2" s="1"/>
  <c r="V213" i="2" a="1"/>
  <c r="V213" i="2" s="1"/>
  <c r="V212" i="2" a="1"/>
  <c r="V212" i="2" s="1"/>
  <c r="V211" i="2" a="1"/>
  <c r="V211" i="2" s="1"/>
  <c r="V210" i="2" a="1"/>
  <c r="V210" i="2" s="1"/>
  <c r="V209" i="2" a="1"/>
  <c r="V209" i="2" s="1"/>
  <c r="V208" i="2" a="1"/>
  <c r="V208" i="2" s="1"/>
  <c r="V207" i="2" a="1"/>
  <c r="V207" i="2" s="1"/>
  <c r="V206" i="2" a="1"/>
  <c r="V206" i="2" s="1"/>
  <c r="V205" i="2" a="1"/>
  <c r="V205" i="2" s="1"/>
  <c r="V204" i="2" a="1"/>
  <c r="V204" i="2" s="1"/>
  <c r="V203" i="2" a="1"/>
  <c r="V203" i="2" s="1"/>
  <c r="V202" i="2" a="1"/>
  <c r="V202" i="2" s="1"/>
  <c r="V201" i="2" a="1"/>
  <c r="V201" i="2" s="1"/>
  <c r="V200" i="2" a="1"/>
  <c r="V200" i="2" s="1"/>
  <c r="V199" i="2" a="1"/>
  <c r="V199" i="2" s="1"/>
  <c r="V198" i="2" a="1"/>
  <c r="V198" i="2" s="1"/>
  <c r="V197" i="2" a="1"/>
  <c r="V197" i="2" s="1"/>
  <c r="V196" i="2" a="1"/>
  <c r="V196" i="2" s="1"/>
  <c r="V195" i="2" a="1"/>
  <c r="V195" i="2" s="1"/>
  <c r="V194" i="2" a="1"/>
  <c r="V194" i="2" s="1"/>
  <c r="V193" i="2" a="1"/>
  <c r="V193" i="2" s="1"/>
  <c r="V192" i="2" a="1"/>
  <c r="V192" i="2" s="1"/>
  <c r="V191" i="2" a="1"/>
  <c r="V191" i="2" s="1"/>
  <c r="V190" i="2" a="1"/>
  <c r="V190" i="2" s="1"/>
  <c r="V189" i="2" a="1"/>
  <c r="V189" i="2" s="1"/>
  <c r="V188" i="2" a="1"/>
  <c r="V188" i="2" s="1"/>
  <c r="V187" i="2" a="1"/>
  <c r="V187" i="2" s="1"/>
  <c r="V186" i="2" a="1"/>
  <c r="V186" i="2" s="1"/>
  <c r="V185" i="2" a="1"/>
  <c r="V185" i="2" s="1"/>
  <c r="V184" i="2" a="1"/>
  <c r="V184" i="2" s="1"/>
  <c r="V183" i="2" a="1"/>
  <c r="V183" i="2" s="1"/>
  <c r="V182" i="2" a="1"/>
  <c r="V182" i="2" s="1"/>
  <c r="V181" i="2" a="1"/>
  <c r="V181" i="2" s="1"/>
  <c r="V180" i="2" a="1"/>
  <c r="V180" i="2" s="1"/>
  <c r="V179" i="2" a="1"/>
  <c r="V179" i="2" s="1"/>
  <c r="V178" i="2" a="1"/>
  <c r="V178" i="2" s="1"/>
  <c r="V177" i="2" a="1"/>
  <c r="V177" i="2" s="1"/>
  <c r="V176" i="2" a="1"/>
  <c r="V176" i="2" s="1"/>
  <c r="V175" i="2" a="1"/>
  <c r="V175" i="2" s="1"/>
  <c r="V174" i="2" a="1"/>
  <c r="V174" i="2" s="1"/>
  <c r="V173" i="2" a="1"/>
  <c r="V173" i="2" s="1"/>
  <c r="V172" i="2" a="1"/>
  <c r="V172" i="2" s="1"/>
  <c r="V171" i="2" a="1"/>
  <c r="V171" i="2" s="1"/>
  <c r="V170" i="2" a="1"/>
  <c r="V170" i="2" s="1"/>
  <c r="V169" i="2" a="1"/>
  <c r="V169" i="2" s="1"/>
  <c r="V168" i="2" a="1"/>
  <c r="V168" i="2" s="1"/>
  <c r="V167" i="2" a="1"/>
  <c r="V167" i="2" s="1"/>
  <c r="V166" i="2" a="1"/>
  <c r="V166" i="2" s="1"/>
  <c r="V165" i="2" a="1"/>
  <c r="V165" i="2" s="1"/>
  <c r="V164" i="2" a="1"/>
  <c r="V164" i="2" s="1"/>
  <c r="V163" i="2" a="1"/>
  <c r="V163" i="2" s="1"/>
  <c r="V162" i="2" a="1"/>
  <c r="V162" i="2" s="1"/>
  <c r="V161" i="2" a="1"/>
  <c r="V161" i="2" s="1"/>
  <c r="V160" i="2" a="1"/>
  <c r="V160" i="2" s="1"/>
  <c r="V159" i="2" a="1"/>
  <c r="V159" i="2" s="1"/>
  <c r="V158" i="2" a="1"/>
  <c r="V158" i="2" s="1"/>
  <c r="V157" i="2" a="1"/>
  <c r="V157" i="2" s="1"/>
  <c r="V156" i="2" a="1"/>
  <c r="V156" i="2" s="1"/>
  <c r="V155" i="2" a="1"/>
  <c r="V155" i="2" s="1"/>
  <c r="V154" i="2" a="1"/>
  <c r="V154" i="2" s="1"/>
  <c r="V153" i="2" a="1"/>
  <c r="V153" i="2" s="1"/>
  <c r="V152" i="2" a="1"/>
  <c r="V152" i="2" s="1"/>
  <c r="V151" i="2" a="1"/>
  <c r="V151" i="2" s="1"/>
  <c r="V150" i="2" a="1"/>
  <c r="V150" i="2" s="1"/>
  <c r="V149" i="2" a="1"/>
  <c r="V149" i="2" s="1"/>
  <c r="V148" i="2" a="1"/>
  <c r="V148" i="2" s="1"/>
  <c r="V147" i="2" a="1"/>
  <c r="V147" i="2" s="1"/>
  <c r="V146" i="2" a="1"/>
  <c r="V146" i="2" s="1"/>
  <c r="V145" i="2" a="1"/>
  <c r="V145" i="2" s="1"/>
  <c r="V144" i="2" a="1"/>
  <c r="V144" i="2" s="1"/>
  <c r="V143" i="2" a="1"/>
  <c r="V143" i="2" s="1"/>
  <c r="V142" i="2" a="1"/>
  <c r="V142" i="2" s="1"/>
  <c r="V141" i="2" a="1"/>
  <c r="V141" i="2" s="1"/>
  <c r="V140" i="2" a="1"/>
  <c r="V140" i="2" s="1"/>
  <c r="V139" i="2" a="1"/>
  <c r="V139" i="2" s="1"/>
  <c r="V138" i="2" a="1"/>
  <c r="V138" i="2" s="1"/>
  <c r="V137" i="2" a="1"/>
  <c r="V137" i="2" s="1"/>
  <c r="V136" i="2" a="1"/>
  <c r="V136" i="2" s="1"/>
  <c r="V135" i="2" a="1"/>
  <c r="V135" i="2" s="1"/>
  <c r="V134" i="2" a="1"/>
  <c r="V134" i="2" s="1"/>
  <c r="V133" i="2" a="1"/>
  <c r="V133" i="2" s="1"/>
  <c r="V132" i="2" a="1"/>
  <c r="V132" i="2" s="1"/>
  <c r="V131" i="2" a="1"/>
  <c r="V131" i="2" s="1"/>
  <c r="V130" i="2" a="1"/>
  <c r="V130" i="2" s="1"/>
  <c r="V129" i="2" a="1"/>
  <c r="V129" i="2" s="1"/>
  <c r="V128" i="2" a="1"/>
  <c r="V128" i="2" s="1"/>
  <c r="V127" i="2" a="1"/>
  <c r="V127" i="2" s="1"/>
  <c r="V126" i="2" a="1"/>
  <c r="V126" i="2" s="1"/>
  <c r="V125" i="2" a="1"/>
  <c r="V125" i="2" s="1"/>
  <c r="V124" i="2" a="1"/>
  <c r="V124" i="2" s="1"/>
  <c r="V123" i="2" a="1"/>
  <c r="V123" i="2" s="1"/>
  <c r="V122" i="2" a="1"/>
  <c r="V122" i="2" s="1"/>
  <c r="V121" i="2" a="1"/>
  <c r="V121" i="2" s="1"/>
  <c r="V120" i="2" a="1"/>
  <c r="V120" i="2" s="1"/>
  <c r="V119" i="2" a="1"/>
  <c r="V119" i="2" s="1"/>
  <c r="V118" i="2" a="1"/>
  <c r="V118" i="2" s="1"/>
  <c r="V117" i="2" a="1"/>
  <c r="V117" i="2" s="1"/>
  <c r="V116" i="2" a="1"/>
  <c r="V116" i="2" s="1"/>
  <c r="V115" i="2" a="1"/>
  <c r="V115" i="2" s="1"/>
  <c r="V114" i="2" a="1"/>
  <c r="V114" i="2" s="1"/>
  <c r="V113" i="2" a="1"/>
  <c r="V113" i="2" s="1"/>
  <c r="V112" i="2" a="1"/>
  <c r="V112" i="2" s="1"/>
  <c r="V111" i="2" a="1"/>
  <c r="V111" i="2" s="1"/>
  <c r="V110" i="2" a="1"/>
  <c r="V110" i="2" s="1"/>
  <c r="V109" i="2" a="1"/>
  <c r="V109" i="2" s="1"/>
  <c r="V108" i="2" a="1"/>
  <c r="V108" i="2" s="1"/>
  <c r="V107" i="2" a="1"/>
  <c r="V107" i="2" s="1"/>
  <c r="V106" i="2" a="1"/>
  <c r="V106" i="2" s="1"/>
  <c r="V105" i="2" a="1"/>
  <c r="V105" i="2" s="1"/>
  <c r="V104" i="2" a="1"/>
  <c r="V104" i="2" s="1"/>
  <c r="V103" i="2" a="1"/>
  <c r="V103" i="2" s="1"/>
  <c r="V102" i="2" a="1"/>
  <c r="V102" i="2" s="1"/>
  <c r="V101" i="2" a="1"/>
  <c r="V101" i="2" s="1"/>
  <c r="V100" i="2" a="1"/>
  <c r="V100" i="2" s="1"/>
  <c r="V99" i="2" a="1"/>
  <c r="V99" i="2" s="1"/>
  <c r="V98" i="2" a="1"/>
  <c r="V98" i="2" s="1"/>
  <c r="V97" i="2" a="1"/>
  <c r="V97" i="2" s="1"/>
  <c r="V96" i="2" a="1"/>
  <c r="V96" i="2" s="1"/>
  <c r="V95" i="2" a="1"/>
  <c r="V95" i="2" s="1"/>
  <c r="V94" i="2" a="1"/>
  <c r="V94" i="2" s="1"/>
  <c r="V93" i="2" a="1"/>
  <c r="V93" i="2" s="1"/>
  <c r="V92" i="2" a="1"/>
  <c r="V92" i="2" s="1"/>
  <c r="V91" i="2" a="1"/>
  <c r="V91" i="2" s="1"/>
  <c r="V90" i="2" a="1"/>
  <c r="V90" i="2" s="1"/>
  <c r="V89" i="2" a="1"/>
  <c r="V89" i="2" s="1"/>
  <c r="V88" i="2" a="1"/>
  <c r="V88" i="2" s="1"/>
  <c r="V87" i="2" a="1"/>
  <c r="V87" i="2" s="1"/>
  <c r="V86" i="2" a="1"/>
  <c r="V86" i="2" s="1"/>
  <c r="V85" i="2" a="1"/>
  <c r="V85" i="2" s="1"/>
  <c r="V84" i="2" a="1"/>
  <c r="V84" i="2" s="1"/>
  <c r="V83" i="2" a="1"/>
  <c r="V83" i="2" s="1"/>
  <c r="V82" i="2" a="1"/>
  <c r="V82" i="2" s="1"/>
  <c r="V81" i="2" a="1"/>
  <c r="V81" i="2" s="1"/>
  <c r="V80" i="2" a="1"/>
  <c r="V80" i="2" s="1"/>
  <c r="V79" i="2" a="1"/>
  <c r="V79" i="2" s="1"/>
  <c r="V78" i="2" a="1"/>
  <c r="V78" i="2" s="1"/>
  <c r="V77" i="2" a="1"/>
  <c r="V77" i="2" s="1"/>
  <c r="V76" i="2" a="1"/>
  <c r="V76" i="2" s="1"/>
  <c r="V75" i="2" a="1"/>
  <c r="V75" i="2" s="1"/>
  <c r="V74" i="2" a="1"/>
  <c r="V74" i="2" s="1"/>
  <c r="V73" i="2" a="1"/>
  <c r="V73" i="2" s="1"/>
  <c r="V72" i="2" a="1"/>
  <c r="V72" i="2" s="1"/>
  <c r="V71" i="2" a="1"/>
  <c r="V71" i="2" s="1"/>
  <c r="V70" i="2" a="1"/>
  <c r="V70" i="2" s="1"/>
  <c r="V69" i="2" a="1"/>
  <c r="V69" i="2" s="1"/>
  <c r="V68" i="2" a="1"/>
  <c r="V68" i="2" s="1"/>
  <c r="V67" i="2" a="1"/>
  <c r="V67" i="2" s="1"/>
  <c r="V66" i="2" a="1"/>
  <c r="V66" i="2" s="1"/>
  <c r="V65" i="2" a="1"/>
  <c r="V65" i="2" s="1"/>
  <c r="V64" i="2" a="1"/>
  <c r="V64" i="2" s="1"/>
  <c r="V63" i="2" a="1"/>
  <c r="V63" i="2" s="1"/>
  <c r="V62" i="2" a="1"/>
  <c r="V62" i="2" s="1"/>
  <c r="V61" i="2" a="1"/>
  <c r="V61" i="2" s="1"/>
  <c r="V60" i="2" a="1"/>
  <c r="V60" i="2" s="1"/>
  <c r="V59" i="2" a="1"/>
  <c r="V59" i="2" s="1"/>
  <c r="V58" i="2" a="1"/>
  <c r="V58" i="2" s="1"/>
  <c r="V57" i="2" a="1"/>
  <c r="V57" i="2" s="1"/>
  <c r="V56" i="2" a="1"/>
  <c r="V56" i="2" s="1"/>
  <c r="V55" i="2" a="1"/>
  <c r="V55" i="2" s="1"/>
  <c r="V54" i="2" a="1"/>
  <c r="V54" i="2" s="1"/>
  <c r="V53" i="2" a="1"/>
  <c r="V53" i="2" s="1"/>
  <c r="V52" i="2" a="1"/>
  <c r="V52" i="2" s="1"/>
  <c r="V51" i="2" a="1"/>
  <c r="V51" i="2" s="1"/>
  <c r="V50" i="2" a="1"/>
  <c r="V50" i="2" s="1"/>
  <c r="V49" i="2" a="1"/>
  <c r="V49" i="2" s="1"/>
  <c r="V48" i="2" a="1"/>
  <c r="V48" i="2" s="1"/>
  <c r="V47" i="2" a="1"/>
  <c r="V47" i="2" s="1"/>
  <c r="V46" i="2" a="1"/>
  <c r="V46" i="2" s="1"/>
  <c r="V45" i="2" a="1"/>
  <c r="V45" i="2" s="1"/>
  <c r="V44" i="2" a="1"/>
  <c r="V44" i="2" s="1"/>
  <c r="V43" i="2" a="1"/>
  <c r="V43" i="2" s="1"/>
  <c r="V42" i="2" a="1"/>
  <c r="V42" i="2" s="1"/>
  <c r="V41" i="2" a="1"/>
  <c r="V41" i="2" s="1"/>
  <c r="V40" i="2" a="1"/>
  <c r="V40" i="2" s="1"/>
  <c r="V39" i="2" a="1"/>
  <c r="V39" i="2" s="1"/>
  <c r="V38" i="2" a="1"/>
  <c r="V38" i="2" s="1"/>
  <c r="V37" i="2" a="1"/>
  <c r="V37" i="2" s="1"/>
  <c r="V36" i="2" a="1"/>
  <c r="V36" i="2" s="1"/>
  <c r="V35" i="2" a="1"/>
  <c r="V35" i="2" s="1"/>
  <c r="V34" i="2" a="1"/>
  <c r="V34" i="2" s="1"/>
  <c r="V33" i="2" a="1"/>
  <c r="V33" i="2" s="1"/>
  <c r="V32" i="2" a="1"/>
  <c r="V32" i="2" s="1"/>
  <c r="V31" i="2" a="1"/>
  <c r="V31" i="2" s="1"/>
  <c r="V30" i="2" a="1"/>
  <c r="V30" i="2" s="1"/>
  <c r="V29" i="2" a="1"/>
  <c r="V29" i="2" s="1"/>
  <c r="V28" i="2" a="1"/>
  <c r="V28" i="2" s="1"/>
  <c r="V27" i="2" a="1"/>
  <c r="V27" i="2" s="1"/>
  <c r="V26" i="2" a="1"/>
  <c r="V26" i="2" s="1"/>
  <c r="V25" i="2" a="1"/>
  <c r="V25" i="2" s="1"/>
  <c r="V24" i="2" a="1"/>
  <c r="V24" i="2" s="1"/>
  <c r="V23" i="2" a="1"/>
  <c r="V23" i="2" s="1"/>
  <c r="V22" i="2" a="1"/>
  <c r="V22" i="2" s="1"/>
  <c r="V21" i="2" a="1"/>
  <c r="V21" i="2" s="1"/>
  <c r="V20" i="2" a="1"/>
  <c r="V20" i="2" s="1"/>
  <c r="V19" i="2" a="1"/>
  <c r="V19" i="2" s="1"/>
  <c r="V18" i="2" a="1"/>
  <c r="V18" i="2" s="1"/>
  <c r="V17" i="2" a="1"/>
  <c r="V17" i="2" s="1"/>
  <c r="V16" i="2" a="1"/>
  <c r="V16" i="2" s="1"/>
  <c r="V15" i="2" a="1"/>
  <c r="V15" i="2" s="1"/>
  <c r="V14" i="2" a="1"/>
  <c r="V14" i="2" s="1"/>
  <c r="V13" i="2" a="1"/>
  <c r="V13" i="2" s="1"/>
  <c r="V12" i="2" a="1"/>
  <c r="V12" i="2" s="1"/>
  <c r="V11" i="2" a="1"/>
  <c r="V11" i="2" s="1"/>
  <c r="V10" i="2" a="1"/>
  <c r="V10" i="2" s="1"/>
  <c r="V9" i="2" a="1"/>
  <c r="V9" i="2" s="1"/>
  <c r="V8" i="2" a="1"/>
  <c r="V8" i="2" s="1"/>
  <c r="V7" i="2" a="1"/>
  <c r="V7" i="2" s="1"/>
  <c r="V6" i="2" a="1"/>
  <c r="V6" i="2" s="1"/>
  <c r="V5" i="2" a="1"/>
  <c r="V5" i="2" s="1"/>
  <c r="V4" i="2" a="1"/>
  <c r="V4" i="2" s="1"/>
  <c r="V3" i="2" a="1"/>
  <c r="V3" i="2" s="1"/>
  <c r="V2" i="2" a="1"/>
  <c r="V2" i="2" s="1"/>
  <c r="K433" i="2"/>
  <c r="K432" i="2"/>
  <c r="K431" i="2"/>
  <c r="K430" i="2"/>
  <c r="K429" i="2"/>
  <c r="K428" i="2"/>
  <c r="K427" i="2"/>
  <c r="K426" i="2"/>
  <c r="K425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O451" i="2" s="1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O435" i="2" s="1"/>
  <c r="H434" i="2"/>
  <c r="O434" i="2" s="1"/>
  <c r="H433" i="2"/>
  <c r="O433" i="2" s="1"/>
  <c r="H432" i="2"/>
  <c r="O432" i="2" s="1"/>
  <c r="H431" i="2"/>
  <c r="O431" i="2" s="1"/>
  <c r="H430" i="2"/>
  <c r="O430" i="2" s="1"/>
  <c r="H429" i="2"/>
  <c r="O429" i="2" s="1"/>
  <c r="H428" i="2"/>
  <c r="H427" i="2"/>
  <c r="H426" i="2"/>
  <c r="O426" i="2" s="1"/>
  <c r="H425" i="2"/>
  <c r="H424" i="2"/>
  <c r="H423" i="2"/>
  <c r="H422" i="2"/>
  <c r="H421" i="2"/>
  <c r="H420" i="2"/>
  <c r="O420" i="2" s="1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O390" i="2" s="1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O298" i="2" s="1"/>
  <c r="H297" i="2"/>
  <c r="O297" i="2" s="1"/>
  <c r="H296" i="2"/>
  <c r="H295" i="2"/>
  <c r="H294" i="2"/>
  <c r="H293" i="2"/>
  <c r="H292" i="2"/>
  <c r="H291" i="2"/>
  <c r="H290" i="2"/>
  <c r="O290" i="2" s="1"/>
  <c r="H289" i="2"/>
  <c r="H288" i="2"/>
  <c r="H287" i="2"/>
  <c r="H286" i="2"/>
  <c r="H285" i="2"/>
  <c r="H284" i="2"/>
  <c r="H283" i="2"/>
  <c r="H282" i="2"/>
  <c r="O282" i="2" s="1"/>
  <c r="H281" i="2"/>
  <c r="H280" i="2"/>
  <c r="H279" i="2"/>
  <c r="H278" i="2"/>
  <c r="H277" i="2"/>
  <c r="H276" i="2"/>
  <c r="H275" i="2"/>
  <c r="H274" i="2"/>
  <c r="O274" i="2" s="1"/>
  <c r="H273" i="2"/>
  <c r="H272" i="2"/>
  <c r="H271" i="2"/>
  <c r="H270" i="2"/>
  <c r="H269" i="2"/>
  <c r="H268" i="2"/>
  <c r="H267" i="2"/>
  <c r="H266" i="2"/>
  <c r="O266" i="2" s="1"/>
  <c r="H265" i="2"/>
  <c r="H264" i="2"/>
  <c r="O264" i="2" s="1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O206" i="2" s="1"/>
  <c r="H205" i="2"/>
  <c r="H204" i="2"/>
  <c r="H203" i="2"/>
  <c r="H202" i="2"/>
  <c r="H201" i="2"/>
  <c r="H200" i="2"/>
  <c r="H199" i="2"/>
  <c r="H198" i="2"/>
  <c r="H197" i="2"/>
  <c r="H196" i="2"/>
  <c r="H195" i="2"/>
  <c r="O195" i="2" s="1"/>
  <c r="H194" i="2"/>
  <c r="H193" i="2"/>
  <c r="H192" i="2"/>
  <c r="H191" i="2"/>
  <c r="O191" i="2" s="1"/>
  <c r="H190" i="2"/>
  <c r="H189" i="2"/>
  <c r="H188" i="2"/>
  <c r="H187" i="2"/>
  <c r="H186" i="2"/>
  <c r="O186" i="2" s="1"/>
  <c r="H185" i="2"/>
  <c r="H184" i="2"/>
  <c r="H183" i="2"/>
  <c r="H182" i="2"/>
  <c r="H181" i="2"/>
  <c r="H180" i="2"/>
  <c r="H179" i="2"/>
  <c r="H178" i="2"/>
  <c r="O178" i="2" s="1"/>
  <c r="H177" i="2"/>
  <c r="H176" i="2"/>
  <c r="H175" i="2"/>
  <c r="H174" i="2"/>
  <c r="H173" i="2"/>
  <c r="H172" i="2"/>
  <c r="H171" i="2"/>
  <c r="H170" i="2"/>
  <c r="O170" i="2" s="1"/>
  <c r="H169" i="2"/>
  <c r="H168" i="2"/>
  <c r="O168" i="2" s="1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O154" i="2" s="1"/>
  <c r="H153" i="2"/>
  <c r="H152" i="2"/>
  <c r="H151" i="2"/>
  <c r="H150" i="2"/>
  <c r="O150" i="2" s="1"/>
  <c r="H149" i="2"/>
  <c r="H148" i="2"/>
  <c r="H147" i="2"/>
  <c r="H146" i="2"/>
  <c r="O146" i="2" s="1"/>
  <c r="H145" i="2"/>
  <c r="H144" i="2"/>
  <c r="H143" i="2"/>
  <c r="H142" i="2"/>
  <c r="H141" i="2"/>
  <c r="H140" i="2"/>
  <c r="H139" i="2"/>
  <c r="H138" i="2"/>
  <c r="O138" i="2" s="1"/>
  <c r="H137" i="2"/>
  <c r="H136" i="2"/>
  <c r="H135" i="2"/>
  <c r="H134" i="2"/>
  <c r="H133" i="2"/>
  <c r="H132" i="2"/>
  <c r="H131" i="2"/>
  <c r="H130" i="2"/>
  <c r="O130" i="2" s="1"/>
  <c r="H129" i="2"/>
  <c r="H128" i="2"/>
  <c r="H127" i="2"/>
  <c r="H126" i="2"/>
  <c r="H125" i="2"/>
  <c r="H124" i="2"/>
  <c r="H123" i="2"/>
  <c r="H122" i="2"/>
  <c r="O122" i="2" s="1"/>
  <c r="H121" i="2"/>
  <c r="H120" i="2"/>
  <c r="H119" i="2"/>
  <c r="H118" i="2"/>
  <c r="H117" i="2"/>
  <c r="H116" i="2"/>
  <c r="H115" i="2"/>
  <c r="H114" i="2"/>
  <c r="O114" i="2" s="1"/>
  <c r="H113" i="2"/>
  <c r="H112" i="2"/>
  <c r="H111" i="2"/>
  <c r="H110" i="2"/>
  <c r="H109" i="2"/>
  <c r="H108" i="2"/>
  <c r="O108" i="2" s="1"/>
  <c r="H107" i="2"/>
  <c r="H106" i="2"/>
  <c r="O106" i="2" s="1"/>
  <c r="H105" i="2"/>
  <c r="H104" i="2"/>
  <c r="H103" i="2"/>
  <c r="H102" i="2"/>
  <c r="H101" i="2"/>
  <c r="H100" i="2"/>
  <c r="H99" i="2"/>
  <c r="H98" i="2"/>
  <c r="O98" i="2" s="1"/>
  <c r="H97" i="2"/>
  <c r="H96" i="2"/>
  <c r="H95" i="2"/>
  <c r="H94" i="2"/>
  <c r="H93" i="2"/>
  <c r="H92" i="2"/>
  <c r="O92" i="2" s="1"/>
  <c r="H91" i="2"/>
  <c r="H90" i="2"/>
  <c r="H89" i="2"/>
  <c r="H88" i="2"/>
  <c r="H87" i="2"/>
  <c r="H86" i="2"/>
  <c r="H85" i="2"/>
  <c r="H84" i="2"/>
  <c r="H83" i="2"/>
  <c r="H82" i="2"/>
  <c r="H81" i="2"/>
  <c r="O81" i="2" s="1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O54" i="2" s="1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O4" i="2" s="1"/>
  <c r="H3" i="2"/>
  <c r="H2" i="2"/>
  <c r="O2" i="2" s="1"/>
  <c r="E530" i="2"/>
  <c r="L530" i="2" s="1"/>
  <c r="E529" i="2"/>
  <c r="L529" i="2" s="1"/>
  <c r="E528" i="2"/>
  <c r="L528" i="2" s="1"/>
  <c r="E527" i="2"/>
  <c r="L527" i="2" s="1"/>
  <c r="E526" i="2"/>
  <c r="L526" i="2" s="1"/>
  <c r="E525" i="2"/>
  <c r="L525" i="2" s="1"/>
  <c r="E524" i="2"/>
  <c r="L524" i="2" s="1"/>
  <c r="E523" i="2"/>
  <c r="L523" i="2" s="1"/>
  <c r="E522" i="2"/>
  <c r="L522" i="2" s="1"/>
  <c r="E521" i="2"/>
  <c r="L521" i="2" s="1"/>
  <c r="E520" i="2"/>
  <c r="L520" i="2" s="1"/>
  <c r="E519" i="2"/>
  <c r="L519" i="2" s="1"/>
  <c r="E518" i="2"/>
  <c r="L518" i="2" s="1"/>
  <c r="E517" i="2"/>
  <c r="L517" i="2" s="1"/>
  <c r="E516" i="2"/>
  <c r="L516" i="2" s="1"/>
  <c r="E515" i="2"/>
  <c r="L515" i="2" s="1"/>
  <c r="E514" i="2"/>
  <c r="L514" i="2" s="1"/>
  <c r="E513" i="2"/>
  <c r="L513" i="2" s="1"/>
  <c r="E512" i="2"/>
  <c r="L512" i="2" s="1"/>
  <c r="E511" i="2"/>
  <c r="L511" i="2" s="1"/>
  <c r="E510" i="2"/>
  <c r="L510" i="2" s="1"/>
  <c r="E509" i="2"/>
  <c r="L509" i="2" s="1"/>
  <c r="E508" i="2"/>
  <c r="L508" i="2" s="1"/>
  <c r="E507" i="2"/>
  <c r="L507" i="2" s="1"/>
  <c r="E506" i="2"/>
  <c r="L506" i="2" s="1"/>
  <c r="E505" i="2"/>
  <c r="L505" i="2" s="1"/>
  <c r="E504" i="2"/>
  <c r="L504" i="2" s="1"/>
  <c r="E503" i="2"/>
  <c r="L503" i="2" s="1"/>
  <c r="E502" i="2"/>
  <c r="L502" i="2" s="1"/>
  <c r="E501" i="2"/>
  <c r="L501" i="2" s="1"/>
  <c r="E500" i="2"/>
  <c r="L500" i="2" s="1"/>
  <c r="E499" i="2"/>
  <c r="L499" i="2" s="1"/>
  <c r="E498" i="2"/>
  <c r="E497" i="2"/>
  <c r="L497" i="2" s="1"/>
  <c r="E496" i="2"/>
  <c r="L496" i="2" s="1"/>
  <c r="E495" i="2"/>
  <c r="L495" i="2" s="1"/>
  <c r="E494" i="2"/>
  <c r="L494" i="2" s="1"/>
  <c r="E493" i="2"/>
  <c r="L493" i="2" s="1"/>
  <c r="E492" i="2"/>
  <c r="L492" i="2" s="1"/>
  <c r="E491" i="2"/>
  <c r="L491" i="2" s="1"/>
  <c r="E490" i="2"/>
  <c r="L490" i="2" s="1"/>
  <c r="E489" i="2"/>
  <c r="L489" i="2" s="1"/>
  <c r="E488" i="2"/>
  <c r="L488" i="2" s="1"/>
  <c r="E487" i="2"/>
  <c r="L487" i="2" s="1"/>
  <c r="E486" i="2"/>
  <c r="L486" i="2" s="1"/>
  <c r="E485" i="2"/>
  <c r="L485" i="2" s="1"/>
  <c r="E484" i="2"/>
  <c r="L484" i="2" s="1"/>
  <c r="E483" i="2"/>
  <c r="L483" i="2" s="1"/>
  <c r="E482" i="2"/>
  <c r="L482" i="2" s="1"/>
  <c r="E481" i="2"/>
  <c r="L481" i="2" s="1"/>
  <c r="E480" i="2"/>
  <c r="L480" i="2" s="1"/>
  <c r="E479" i="2"/>
  <c r="L479" i="2" s="1"/>
  <c r="E478" i="2"/>
  <c r="L478" i="2" s="1"/>
  <c r="E477" i="2"/>
  <c r="L477" i="2" s="1"/>
  <c r="E476" i="2"/>
  <c r="L476" i="2" s="1"/>
  <c r="E475" i="2"/>
  <c r="L475" i="2" s="1"/>
  <c r="E474" i="2"/>
  <c r="L474" i="2" s="1"/>
  <c r="E473" i="2"/>
  <c r="L473" i="2" s="1"/>
  <c r="E472" i="2"/>
  <c r="L472" i="2" s="1"/>
  <c r="E471" i="2"/>
  <c r="L471" i="2" s="1"/>
  <c r="E470" i="2"/>
  <c r="L470" i="2" s="1"/>
  <c r="E469" i="2"/>
  <c r="L469" i="2" s="1"/>
  <c r="E468" i="2"/>
  <c r="L468" i="2" s="1"/>
  <c r="E467" i="2"/>
  <c r="L467" i="2" s="1"/>
  <c r="E466" i="2"/>
  <c r="L466" i="2" s="1"/>
  <c r="E465" i="2"/>
  <c r="L465" i="2" s="1"/>
  <c r="E464" i="2"/>
  <c r="L464" i="2" s="1"/>
  <c r="E463" i="2"/>
  <c r="L463" i="2" s="1"/>
  <c r="E462" i="2"/>
  <c r="L462" i="2" s="1"/>
  <c r="E461" i="2"/>
  <c r="L461" i="2" s="1"/>
  <c r="E460" i="2"/>
  <c r="L460" i="2" s="1"/>
  <c r="E459" i="2"/>
  <c r="L459" i="2" s="1"/>
  <c r="E458" i="2"/>
  <c r="L458" i="2" s="1"/>
  <c r="E457" i="2"/>
  <c r="L457" i="2" s="1"/>
  <c r="E456" i="2"/>
  <c r="L456" i="2" s="1"/>
  <c r="E455" i="2"/>
  <c r="L455" i="2" s="1"/>
  <c r="E454" i="2"/>
  <c r="L454" i="2" s="1"/>
  <c r="E453" i="2"/>
  <c r="L453" i="2" s="1"/>
  <c r="E452" i="2"/>
  <c r="L452" i="2" s="1"/>
  <c r="E451" i="2"/>
  <c r="L451" i="2" s="1"/>
  <c r="E450" i="2"/>
  <c r="E449" i="2"/>
  <c r="L449" i="2" s="1"/>
  <c r="E448" i="2"/>
  <c r="L448" i="2" s="1"/>
  <c r="E447" i="2"/>
  <c r="L447" i="2" s="1"/>
  <c r="E446" i="2"/>
  <c r="L446" i="2" s="1"/>
  <c r="E445" i="2"/>
  <c r="L445" i="2" s="1"/>
  <c r="E444" i="2"/>
  <c r="L444" i="2" s="1"/>
  <c r="E443" i="2"/>
  <c r="L443" i="2" s="1"/>
  <c r="E442" i="2"/>
  <c r="L442" i="2" s="1"/>
  <c r="E441" i="2"/>
  <c r="L441" i="2" s="1"/>
  <c r="E440" i="2"/>
  <c r="L440" i="2" s="1"/>
  <c r="E439" i="2"/>
  <c r="L439" i="2" s="1"/>
  <c r="E438" i="2"/>
  <c r="L438" i="2" s="1"/>
  <c r="E437" i="2"/>
  <c r="L437" i="2" s="1"/>
  <c r="E436" i="2"/>
  <c r="L436" i="2" s="1"/>
  <c r="E435" i="2"/>
  <c r="L435" i="2" s="1"/>
  <c r="E434" i="2"/>
  <c r="L434" i="2" s="1"/>
  <c r="E433" i="2"/>
  <c r="E432" i="2"/>
  <c r="I432" i="2" s="1"/>
  <c r="E431" i="2"/>
  <c r="E430" i="2"/>
  <c r="I430" i="2" s="1"/>
  <c r="E429" i="2"/>
  <c r="E428" i="2"/>
  <c r="E427" i="2"/>
  <c r="E426" i="2"/>
  <c r="E425" i="2"/>
  <c r="L425" i="2" s="1"/>
  <c r="E424" i="2"/>
  <c r="L424" i="2" s="1"/>
  <c r="E423" i="2"/>
  <c r="L423" i="2" s="1"/>
  <c r="E422" i="2"/>
  <c r="L422" i="2" s="1"/>
  <c r="E421" i="2"/>
  <c r="L421" i="2" s="1"/>
  <c r="E420" i="2"/>
  <c r="L420" i="2" s="1"/>
  <c r="E419" i="2"/>
  <c r="L419" i="2" s="1"/>
  <c r="E418" i="2"/>
  <c r="L418" i="2" s="1"/>
  <c r="E417" i="2"/>
  <c r="L417" i="2" s="1"/>
  <c r="E416" i="2"/>
  <c r="L416" i="2" s="1"/>
  <c r="E415" i="2"/>
  <c r="L415" i="2" s="1"/>
  <c r="E414" i="2"/>
  <c r="L414" i="2" s="1"/>
  <c r="E413" i="2"/>
  <c r="L413" i="2" s="1"/>
  <c r="E412" i="2"/>
  <c r="L412" i="2" s="1"/>
  <c r="E411" i="2"/>
  <c r="L411" i="2" s="1"/>
  <c r="E410" i="2"/>
  <c r="L410" i="2" s="1"/>
  <c r="E409" i="2"/>
  <c r="L409" i="2" s="1"/>
  <c r="E408" i="2"/>
  <c r="L408" i="2" s="1"/>
  <c r="E407" i="2"/>
  <c r="L407" i="2" s="1"/>
  <c r="E406" i="2"/>
  <c r="L406" i="2" s="1"/>
  <c r="E405" i="2"/>
  <c r="L405" i="2" s="1"/>
  <c r="E404" i="2"/>
  <c r="L404" i="2" s="1"/>
  <c r="E403" i="2"/>
  <c r="L403" i="2" s="1"/>
  <c r="E402" i="2"/>
  <c r="L402" i="2" s="1"/>
  <c r="E401" i="2"/>
  <c r="L401" i="2" s="1"/>
  <c r="E400" i="2"/>
  <c r="L400" i="2" s="1"/>
  <c r="E399" i="2"/>
  <c r="L399" i="2" s="1"/>
  <c r="E398" i="2"/>
  <c r="L398" i="2" s="1"/>
  <c r="E397" i="2"/>
  <c r="L397" i="2" s="1"/>
  <c r="E396" i="2"/>
  <c r="L396" i="2" s="1"/>
  <c r="E395" i="2"/>
  <c r="L395" i="2" s="1"/>
  <c r="E394" i="2"/>
  <c r="L394" i="2" s="1"/>
  <c r="E393" i="2"/>
  <c r="L393" i="2" s="1"/>
  <c r="E392" i="2"/>
  <c r="L392" i="2" s="1"/>
  <c r="E391" i="2"/>
  <c r="L391" i="2" s="1"/>
  <c r="E390" i="2"/>
  <c r="L390" i="2" s="1"/>
  <c r="E389" i="2"/>
  <c r="L389" i="2" s="1"/>
  <c r="E388" i="2"/>
  <c r="L388" i="2" s="1"/>
  <c r="E387" i="2"/>
  <c r="L387" i="2" s="1"/>
  <c r="E386" i="2"/>
  <c r="L386" i="2" s="1"/>
  <c r="E385" i="2"/>
  <c r="L385" i="2" s="1"/>
  <c r="E384" i="2"/>
  <c r="L384" i="2" s="1"/>
  <c r="E383" i="2"/>
  <c r="L383" i="2" s="1"/>
  <c r="E382" i="2"/>
  <c r="L382" i="2" s="1"/>
  <c r="E381" i="2"/>
  <c r="L381" i="2" s="1"/>
  <c r="E380" i="2"/>
  <c r="L380" i="2" s="1"/>
  <c r="E379" i="2"/>
  <c r="L379" i="2" s="1"/>
  <c r="E378" i="2"/>
  <c r="L378" i="2" s="1"/>
  <c r="E377" i="2"/>
  <c r="L377" i="2" s="1"/>
  <c r="E376" i="2"/>
  <c r="L376" i="2" s="1"/>
  <c r="E375" i="2"/>
  <c r="L375" i="2" s="1"/>
  <c r="E374" i="2"/>
  <c r="L374" i="2" s="1"/>
  <c r="E373" i="2"/>
  <c r="L373" i="2" s="1"/>
  <c r="E372" i="2"/>
  <c r="L372" i="2" s="1"/>
  <c r="E371" i="2"/>
  <c r="L371" i="2" s="1"/>
  <c r="E370" i="2"/>
  <c r="L370" i="2" s="1"/>
  <c r="E369" i="2"/>
  <c r="L369" i="2" s="1"/>
  <c r="E368" i="2"/>
  <c r="L368" i="2" s="1"/>
  <c r="E367" i="2"/>
  <c r="L367" i="2" s="1"/>
  <c r="E366" i="2"/>
  <c r="L366" i="2" s="1"/>
  <c r="E365" i="2"/>
  <c r="L365" i="2" s="1"/>
  <c r="E364" i="2"/>
  <c r="L364" i="2" s="1"/>
  <c r="E363" i="2"/>
  <c r="L363" i="2" s="1"/>
  <c r="E362" i="2"/>
  <c r="L362" i="2" s="1"/>
  <c r="E361" i="2"/>
  <c r="L361" i="2" s="1"/>
  <c r="E360" i="2"/>
  <c r="L360" i="2" s="1"/>
  <c r="E359" i="2"/>
  <c r="L359" i="2" s="1"/>
  <c r="E358" i="2"/>
  <c r="L358" i="2" s="1"/>
  <c r="E357" i="2"/>
  <c r="L357" i="2" s="1"/>
  <c r="E356" i="2"/>
  <c r="L356" i="2" s="1"/>
  <c r="E355" i="2"/>
  <c r="L355" i="2" s="1"/>
  <c r="E354" i="2"/>
  <c r="L354" i="2" s="1"/>
  <c r="E353" i="2"/>
  <c r="L353" i="2" s="1"/>
  <c r="E352" i="2"/>
  <c r="L352" i="2" s="1"/>
  <c r="E351" i="2"/>
  <c r="L351" i="2" s="1"/>
  <c r="E350" i="2"/>
  <c r="L350" i="2" s="1"/>
  <c r="E349" i="2"/>
  <c r="L349" i="2" s="1"/>
  <c r="E348" i="2"/>
  <c r="L348" i="2" s="1"/>
  <c r="E347" i="2"/>
  <c r="L347" i="2" s="1"/>
  <c r="E346" i="2"/>
  <c r="L346" i="2" s="1"/>
  <c r="E345" i="2"/>
  <c r="L345" i="2" s="1"/>
  <c r="E344" i="2"/>
  <c r="L344" i="2" s="1"/>
  <c r="E343" i="2"/>
  <c r="L343" i="2" s="1"/>
  <c r="E342" i="2"/>
  <c r="L342" i="2" s="1"/>
  <c r="E341" i="2"/>
  <c r="L341" i="2" s="1"/>
  <c r="E340" i="2"/>
  <c r="L340" i="2" s="1"/>
  <c r="E339" i="2"/>
  <c r="L339" i="2" s="1"/>
  <c r="E338" i="2"/>
  <c r="L338" i="2" s="1"/>
  <c r="E337" i="2"/>
  <c r="L337" i="2" s="1"/>
  <c r="E336" i="2"/>
  <c r="L336" i="2" s="1"/>
  <c r="E335" i="2"/>
  <c r="L335" i="2" s="1"/>
  <c r="E334" i="2"/>
  <c r="L334" i="2" s="1"/>
  <c r="E333" i="2"/>
  <c r="L333" i="2" s="1"/>
  <c r="E332" i="2"/>
  <c r="L332" i="2" s="1"/>
  <c r="E331" i="2"/>
  <c r="L331" i="2" s="1"/>
  <c r="E330" i="2"/>
  <c r="L330" i="2" s="1"/>
  <c r="E329" i="2"/>
  <c r="L329" i="2" s="1"/>
  <c r="E328" i="2"/>
  <c r="L328" i="2" s="1"/>
  <c r="E327" i="2"/>
  <c r="L327" i="2" s="1"/>
  <c r="E326" i="2"/>
  <c r="L326" i="2" s="1"/>
  <c r="E325" i="2"/>
  <c r="L325" i="2" s="1"/>
  <c r="E324" i="2"/>
  <c r="L324" i="2" s="1"/>
  <c r="E323" i="2"/>
  <c r="L323" i="2" s="1"/>
  <c r="E322" i="2"/>
  <c r="L322" i="2" s="1"/>
  <c r="E321" i="2"/>
  <c r="L321" i="2" s="1"/>
  <c r="E320" i="2"/>
  <c r="L320" i="2" s="1"/>
  <c r="E319" i="2"/>
  <c r="L319" i="2" s="1"/>
  <c r="E318" i="2"/>
  <c r="L318" i="2" s="1"/>
  <c r="E317" i="2"/>
  <c r="L317" i="2" s="1"/>
  <c r="E316" i="2"/>
  <c r="L316" i="2" s="1"/>
  <c r="E315" i="2"/>
  <c r="L315" i="2" s="1"/>
  <c r="E314" i="2"/>
  <c r="L314" i="2" s="1"/>
  <c r="E313" i="2"/>
  <c r="L313" i="2" s="1"/>
  <c r="E312" i="2"/>
  <c r="L312" i="2" s="1"/>
  <c r="E311" i="2"/>
  <c r="L311" i="2" s="1"/>
  <c r="E310" i="2"/>
  <c r="L310" i="2" s="1"/>
  <c r="E309" i="2"/>
  <c r="L309" i="2" s="1"/>
  <c r="E308" i="2"/>
  <c r="L308" i="2" s="1"/>
  <c r="E307" i="2"/>
  <c r="L307" i="2" s="1"/>
  <c r="E306" i="2"/>
  <c r="L306" i="2" s="1"/>
  <c r="E305" i="2"/>
  <c r="L305" i="2" s="1"/>
  <c r="E304" i="2"/>
  <c r="L304" i="2" s="1"/>
  <c r="E303" i="2"/>
  <c r="L303" i="2" s="1"/>
  <c r="E302" i="2"/>
  <c r="L302" i="2" s="1"/>
  <c r="E301" i="2"/>
  <c r="L301" i="2" s="1"/>
  <c r="E300" i="2"/>
  <c r="L300" i="2" s="1"/>
  <c r="E299" i="2"/>
  <c r="L299" i="2" s="1"/>
  <c r="E298" i="2"/>
  <c r="L298" i="2" s="1"/>
  <c r="E297" i="2"/>
  <c r="L297" i="2" s="1"/>
  <c r="E296" i="2"/>
  <c r="L296" i="2" s="1"/>
  <c r="E295" i="2"/>
  <c r="L295" i="2" s="1"/>
  <c r="E294" i="2"/>
  <c r="L294" i="2" s="1"/>
  <c r="E293" i="2"/>
  <c r="L293" i="2" s="1"/>
  <c r="E292" i="2"/>
  <c r="L292" i="2" s="1"/>
  <c r="E291" i="2"/>
  <c r="L291" i="2" s="1"/>
  <c r="E290" i="2"/>
  <c r="L290" i="2" s="1"/>
  <c r="E289" i="2"/>
  <c r="L289" i="2" s="1"/>
  <c r="E288" i="2"/>
  <c r="L288" i="2" s="1"/>
  <c r="E287" i="2"/>
  <c r="L287" i="2" s="1"/>
  <c r="E286" i="2"/>
  <c r="L286" i="2" s="1"/>
  <c r="E285" i="2"/>
  <c r="L285" i="2" s="1"/>
  <c r="E284" i="2"/>
  <c r="L284" i="2" s="1"/>
  <c r="E283" i="2"/>
  <c r="L283" i="2" s="1"/>
  <c r="E282" i="2"/>
  <c r="L282" i="2" s="1"/>
  <c r="E281" i="2"/>
  <c r="L281" i="2" s="1"/>
  <c r="E280" i="2"/>
  <c r="L280" i="2" s="1"/>
  <c r="E279" i="2"/>
  <c r="L279" i="2" s="1"/>
  <c r="E278" i="2"/>
  <c r="L278" i="2" s="1"/>
  <c r="E277" i="2"/>
  <c r="L277" i="2" s="1"/>
  <c r="E276" i="2"/>
  <c r="L276" i="2" s="1"/>
  <c r="E275" i="2"/>
  <c r="L275" i="2" s="1"/>
  <c r="E274" i="2"/>
  <c r="L274" i="2" s="1"/>
  <c r="E273" i="2"/>
  <c r="L273" i="2" s="1"/>
  <c r="E272" i="2"/>
  <c r="L272" i="2" s="1"/>
  <c r="E271" i="2"/>
  <c r="L271" i="2" s="1"/>
  <c r="E270" i="2"/>
  <c r="L270" i="2" s="1"/>
  <c r="E269" i="2"/>
  <c r="L269" i="2" s="1"/>
  <c r="E268" i="2"/>
  <c r="L268" i="2" s="1"/>
  <c r="E267" i="2"/>
  <c r="L267" i="2" s="1"/>
  <c r="E266" i="2"/>
  <c r="L266" i="2" s="1"/>
  <c r="E265" i="2"/>
  <c r="L265" i="2" s="1"/>
  <c r="E264" i="2"/>
  <c r="L264" i="2" s="1"/>
  <c r="E263" i="2"/>
  <c r="L263" i="2" s="1"/>
  <c r="E262" i="2"/>
  <c r="L262" i="2" s="1"/>
  <c r="E261" i="2"/>
  <c r="L261" i="2" s="1"/>
  <c r="E260" i="2"/>
  <c r="L260" i="2" s="1"/>
  <c r="E259" i="2"/>
  <c r="L259" i="2" s="1"/>
  <c r="E258" i="2"/>
  <c r="L258" i="2" s="1"/>
  <c r="E257" i="2"/>
  <c r="L257" i="2" s="1"/>
  <c r="E256" i="2"/>
  <c r="L256" i="2" s="1"/>
  <c r="E255" i="2"/>
  <c r="L255" i="2" s="1"/>
  <c r="E254" i="2"/>
  <c r="L254" i="2" s="1"/>
  <c r="E253" i="2"/>
  <c r="L253" i="2" s="1"/>
  <c r="E252" i="2"/>
  <c r="L252" i="2" s="1"/>
  <c r="E251" i="2"/>
  <c r="L251" i="2" s="1"/>
  <c r="E250" i="2"/>
  <c r="L250" i="2" s="1"/>
  <c r="E249" i="2"/>
  <c r="L249" i="2" s="1"/>
  <c r="E248" i="2"/>
  <c r="L248" i="2" s="1"/>
  <c r="E247" i="2"/>
  <c r="L247" i="2" s="1"/>
  <c r="E246" i="2"/>
  <c r="L246" i="2" s="1"/>
  <c r="E245" i="2"/>
  <c r="L245" i="2" s="1"/>
  <c r="E244" i="2"/>
  <c r="L244" i="2" s="1"/>
  <c r="E243" i="2"/>
  <c r="L243" i="2" s="1"/>
  <c r="E242" i="2"/>
  <c r="L242" i="2" s="1"/>
  <c r="E241" i="2"/>
  <c r="L241" i="2" s="1"/>
  <c r="E240" i="2"/>
  <c r="L240" i="2" s="1"/>
  <c r="E239" i="2"/>
  <c r="L239" i="2" s="1"/>
  <c r="E238" i="2"/>
  <c r="L238" i="2" s="1"/>
  <c r="E237" i="2"/>
  <c r="L237" i="2" s="1"/>
  <c r="E236" i="2"/>
  <c r="L236" i="2" s="1"/>
  <c r="E235" i="2"/>
  <c r="L235" i="2" s="1"/>
  <c r="E234" i="2"/>
  <c r="L234" i="2" s="1"/>
  <c r="E233" i="2"/>
  <c r="L233" i="2" s="1"/>
  <c r="E232" i="2"/>
  <c r="L232" i="2" s="1"/>
  <c r="E231" i="2"/>
  <c r="L231" i="2" s="1"/>
  <c r="E230" i="2"/>
  <c r="L230" i="2" s="1"/>
  <c r="E229" i="2"/>
  <c r="L229" i="2" s="1"/>
  <c r="E228" i="2"/>
  <c r="L228" i="2" s="1"/>
  <c r="E227" i="2"/>
  <c r="L227" i="2" s="1"/>
  <c r="E226" i="2"/>
  <c r="L226" i="2" s="1"/>
  <c r="E225" i="2"/>
  <c r="L225" i="2" s="1"/>
  <c r="E224" i="2"/>
  <c r="L224" i="2" s="1"/>
  <c r="E223" i="2"/>
  <c r="L223" i="2" s="1"/>
  <c r="E222" i="2"/>
  <c r="L222" i="2" s="1"/>
  <c r="E221" i="2"/>
  <c r="L221" i="2" s="1"/>
  <c r="E220" i="2"/>
  <c r="L220" i="2" s="1"/>
  <c r="E219" i="2"/>
  <c r="L219" i="2" s="1"/>
  <c r="E218" i="2"/>
  <c r="L218" i="2" s="1"/>
  <c r="E217" i="2"/>
  <c r="L217" i="2" s="1"/>
  <c r="E216" i="2"/>
  <c r="L216" i="2" s="1"/>
  <c r="E215" i="2"/>
  <c r="L215" i="2" s="1"/>
  <c r="E214" i="2"/>
  <c r="L214" i="2" s="1"/>
  <c r="E213" i="2"/>
  <c r="L213" i="2" s="1"/>
  <c r="E212" i="2"/>
  <c r="L212" i="2" s="1"/>
  <c r="E211" i="2"/>
  <c r="L211" i="2" s="1"/>
  <c r="E210" i="2"/>
  <c r="L210" i="2" s="1"/>
  <c r="E209" i="2"/>
  <c r="L209" i="2" s="1"/>
  <c r="E208" i="2"/>
  <c r="L208" i="2" s="1"/>
  <c r="E207" i="2"/>
  <c r="L207" i="2" s="1"/>
  <c r="E206" i="2"/>
  <c r="L206" i="2" s="1"/>
  <c r="E205" i="2"/>
  <c r="L205" i="2" s="1"/>
  <c r="E204" i="2"/>
  <c r="L204" i="2" s="1"/>
  <c r="E203" i="2"/>
  <c r="L203" i="2" s="1"/>
  <c r="E202" i="2"/>
  <c r="L202" i="2" s="1"/>
  <c r="E201" i="2"/>
  <c r="L201" i="2" s="1"/>
  <c r="E200" i="2"/>
  <c r="L200" i="2" s="1"/>
  <c r="E199" i="2"/>
  <c r="L199" i="2" s="1"/>
  <c r="E198" i="2"/>
  <c r="L198" i="2" s="1"/>
  <c r="E197" i="2"/>
  <c r="L197" i="2" s="1"/>
  <c r="E196" i="2"/>
  <c r="L196" i="2" s="1"/>
  <c r="E195" i="2"/>
  <c r="L195" i="2" s="1"/>
  <c r="E194" i="2"/>
  <c r="L194" i="2" s="1"/>
  <c r="E193" i="2"/>
  <c r="L193" i="2" s="1"/>
  <c r="E192" i="2"/>
  <c r="L192" i="2" s="1"/>
  <c r="E191" i="2"/>
  <c r="L191" i="2" s="1"/>
  <c r="E190" i="2"/>
  <c r="L190" i="2" s="1"/>
  <c r="E189" i="2"/>
  <c r="L189" i="2" s="1"/>
  <c r="E188" i="2"/>
  <c r="L188" i="2" s="1"/>
  <c r="E187" i="2"/>
  <c r="L187" i="2" s="1"/>
  <c r="E186" i="2"/>
  <c r="L186" i="2" s="1"/>
  <c r="E185" i="2"/>
  <c r="L185" i="2" s="1"/>
  <c r="E184" i="2"/>
  <c r="L184" i="2" s="1"/>
  <c r="E183" i="2"/>
  <c r="E182" i="2"/>
  <c r="L182" i="2" s="1"/>
  <c r="E181" i="2"/>
  <c r="L181" i="2" s="1"/>
  <c r="E180" i="2"/>
  <c r="L180" i="2" s="1"/>
  <c r="E179" i="2"/>
  <c r="L179" i="2" s="1"/>
  <c r="E178" i="2"/>
  <c r="L178" i="2" s="1"/>
  <c r="E177" i="2"/>
  <c r="L177" i="2" s="1"/>
  <c r="E176" i="2"/>
  <c r="L176" i="2" s="1"/>
  <c r="E175" i="2"/>
  <c r="L175" i="2" s="1"/>
  <c r="E174" i="2"/>
  <c r="L174" i="2" s="1"/>
  <c r="E173" i="2"/>
  <c r="L173" i="2" s="1"/>
  <c r="E172" i="2"/>
  <c r="L172" i="2" s="1"/>
  <c r="E171" i="2"/>
  <c r="L171" i="2" s="1"/>
  <c r="E170" i="2"/>
  <c r="L170" i="2" s="1"/>
  <c r="E169" i="2"/>
  <c r="L169" i="2" s="1"/>
  <c r="E168" i="2"/>
  <c r="L168" i="2" s="1"/>
  <c r="E167" i="2"/>
  <c r="L167" i="2" s="1"/>
  <c r="E166" i="2"/>
  <c r="L166" i="2" s="1"/>
  <c r="E165" i="2"/>
  <c r="L165" i="2" s="1"/>
  <c r="E164" i="2"/>
  <c r="L164" i="2" s="1"/>
  <c r="E163" i="2"/>
  <c r="L163" i="2" s="1"/>
  <c r="E162" i="2"/>
  <c r="L162" i="2" s="1"/>
  <c r="E161" i="2"/>
  <c r="L161" i="2" s="1"/>
  <c r="E160" i="2"/>
  <c r="L160" i="2" s="1"/>
  <c r="E159" i="2"/>
  <c r="L159" i="2" s="1"/>
  <c r="E158" i="2"/>
  <c r="L158" i="2" s="1"/>
  <c r="E157" i="2"/>
  <c r="L157" i="2" s="1"/>
  <c r="E156" i="2"/>
  <c r="L156" i="2" s="1"/>
  <c r="E155" i="2"/>
  <c r="L155" i="2" s="1"/>
  <c r="E154" i="2"/>
  <c r="L154" i="2" s="1"/>
  <c r="E153" i="2"/>
  <c r="L153" i="2" s="1"/>
  <c r="E152" i="2"/>
  <c r="L152" i="2" s="1"/>
  <c r="E151" i="2"/>
  <c r="L151" i="2" s="1"/>
  <c r="E150" i="2"/>
  <c r="L150" i="2" s="1"/>
  <c r="E149" i="2"/>
  <c r="L149" i="2" s="1"/>
  <c r="E148" i="2"/>
  <c r="L148" i="2" s="1"/>
  <c r="E147" i="2"/>
  <c r="L147" i="2" s="1"/>
  <c r="E146" i="2"/>
  <c r="L146" i="2" s="1"/>
  <c r="E145" i="2"/>
  <c r="L145" i="2" s="1"/>
  <c r="E144" i="2"/>
  <c r="L144" i="2" s="1"/>
  <c r="E143" i="2"/>
  <c r="L143" i="2" s="1"/>
  <c r="E142" i="2"/>
  <c r="L142" i="2" s="1"/>
  <c r="E141" i="2"/>
  <c r="L141" i="2" s="1"/>
  <c r="E140" i="2"/>
  <c r="L140" i="2" s="1"/>
  <c r="E139" i="2"/>
  <c r="L139" i="2" s="1"/>
  <c r="E138" i="2"/>
  <c r="L138" i="2" s="1"/>
  <c r="E137" i="2"/>
  <c r="L137" i="2" s="1"/>
  <c r="E136" i="2"/>
  <c r="L136" i="2" s="1"/>
  <c r="E135" i="2"/>
  <c r="L135" i="2" s="1"/>
  <c r="E134" i="2"/>
  <c r="L134" i="2" s="1"/>
  <c r="E133" i="2"/>
  <c r="L133" i="2" s="1"/>
  <c r="E132" i="2"/>
  <c r="L132" i="2" s="1"/>
  <c r="E131" i="2"/>
  <c r="L131" i="2" s="1"/>
  <c r="E130" i="2"/>
  <c r="L130" i="2" s="1"/>
  <c r="E129" i="2"/>
  <c r="L129" i="2" s="1"/>
  <c r="E128" i="2"/>
  <c r="L128" i="2" s="1"/>
  <c r="E127" i="2"/>
  <c r="L127" i="2" s="1"/>
  <c r="E126" i="2"/>
  <c r="L126" i="2" s="1"/>
  <c r="E125" i="2"/>
  <c r="L125" i="2" s="1"/>
  <c r="E124" i="2"/>
  <c r="L124" i="2" s="1"/>
  <c r="E123" i="2"/>
  <c r="L123" i="2" s="1"/>
  <c r="E122" i="2"/>
  <c r="L122" i="2" s="1"/>
  <c r="E121" i="2"/>
  <c r="L121" i="2" s="1"/>
  <c r="E120" i="2"/>
  <c r="L120" i="2" s="1"/>
  <c r="E119" i="2"/>
  <c r="L119" i="2" s="1"/>
  <c r="E118" i="2"/>
  <c r="L118" i="2" s="1"/>
  <c r="E117" i="2"/>
  <c r="L117" i="2" s="1"/>
  <c r="E116" i="2"/>
  <c r="L116" i="2" s="1"/>
  <c r="E115" i="2"/>
  <c r="L115" i="2" s="1"/>
  <c r="E114" i="2"/>
  <c r="L114" i="2" s="1"/>
  <c r="E113" i="2"/>
  <c r="L113" i="2" s="1"/>
  <c r="E112" i="2"/>
  <c r="L112" i="2" s="1"/>
  <c r="E111" i="2"/>
  <c r="L111" i="2" s="1"/>
  <c r="E110" i="2"/>
  <c r="L110" i="2" s="1"/>
  <c r="E109" i="2"/>
  <c r="L109" i="2" s="1"/>
  <c r="E108" i="2"/>
  <c r="L108" i="2" s="1"/>
  <c r="E107" i="2"/>
  <c r="L107" i="2" s="1"/>
  <c r="E106" i="2"/>
  <c r="L106" i="2" s="1"/>
  <c r="E105" i="2"/>
  <c r="L105" i="2" s="1"/>
  <c r="E104" i="2"/>
  <c r="L104" i="2" s="1"/>
  <c r="E103" i="2"/>
  <c r="L103" i="2" s="1"/>
  <c r="E102" i="2"/>
  <c r="L102" i="2" s="1"/>
  <c r="E101" i="2"/>
  <c r="L101" i="2" s="1"/>
  <c r="E100" i="2"/>
  <c r="L100" i="2" s="1"/>
  <c r="E99" i="2"/>
  <c r="L99" i="2" s="1"/>
  <c r="E98" i="2"/>
  <c r="L98" i="2" s="1"/>
  <c r="E97" i="2"/>
  <c r="L97" i="2" s="1"/>
  <c r="E96" i="2"/>
  <c r="L96" i="2" s="1"/>
  <c r="E95" i="2"/>
  <c r="L95" i="2" s="1"/>
  <c r="E94" i="2"/>
  <c r="L94" i="2" s="1"/>
  <c r="E93" i="2"/>
  <c r="L93" i="2" s="1"/>
  <c r="E92" i="2"/>
  <c r="L92" i="2" s="1"/>
  <c r="E91" i="2"/>
  <c r="L91" i="2" s="1"/>
  <c r="E90" i="2"/>
  <c r="L90" i="2" s="1"/>
  <c r="E89" i="2"/>
  <c r="L89" i="2" s="1"/>
  <c r="E88" i="2"/>
  <c r="L88" i="2" s="1"/>
  <c r="E87" i="2"/>
  <c r="L87" i="2" s="1"/>
  <c r="E86" i="2"/>
  <c r="L86" i="2" s="1"/>
  <c r="E85" i="2"/>
  <c r="L85" i="2" s="1"/>
  <c r="E84" i="2"/>
  <c r="L84" i="2" s="1"/>
  <c r="E83" i="2"/>
  <c r="L83" i="2" s="1"/>
  <c r="E82" i="2"/>
  <c r="L82" i="2" s="1"/>
  <c r="E81" i="2"/>
  <c r="L81" i="2" s="1"/>
  <c r="E80" i="2"/>
  <c r="L80" i="2" s="1"/>
  <c r="E79" i="2"/>
  <c r="L79" i="2" s="1"/>
  <c r="E78" i="2"/>
  <c r="L78" i="2" s="1"/>
  <c r="E77" i="2"/>
  <c r="L77" i="2" s="1"/>
  <c r="E76" i="2"/>
  <c r="L76" i="2" s="1"/>
  <c r="E75" i="2"/>
  <c r="L75" i="2" s="1"/>
  <c r="E74" i="2"/>
  <c r="L74" i="2" s="1"/>
  <c r="E73" i="2"/>
  <c r="L73" i="2" s="1"/>
  <c r="E72" i="2"/>
  <c r="L72" i="2" s="1"/>
  <c r="E71" i="2"/>
  <c r="L71" i="2" s="1"/>
  <c r="E70" i="2"/>
  <c r="L70" i="2" s="1"/>
  <c r="E69" i="2"/>
  <c r="L69" i="2" s="1"/>
  <c r="E68" i="2"/>
  <c r="L68" i="2" s="1"/>
  <c r="E67" i="2"/>
  <c r="L67" i="2" s="1"/>
  <c r="E66" i="2"/>
  <c r="L66" i="2" s="1"/>
  <c r="E65" i="2"/>
  <c r="L65" i="2" s="1"/>
  <c r="E64" i="2"/>
  <c r="L64" i="2" s="1"/>
  <c r="E63" i="2"/>
  <c r="L63" i="2" s="1"/>
  <c r="E62" i="2"/>
  <c r="L62" i="2" s="1"/>
  <c r="E61" i="2"/>
  <c r="L61" i="2" s="1"/>
  <c r="E60" i="2"/>
  <c r="L60" i="2" s="1"/>
  <c r="E59" i="2"/>
  <c r="L59" i="2" s="1"/>
  <c r="E58" i="2"/>
  <c r="L58" i="2" s="1"/>
  <c r="E57" i="2"/>
  <c r="L57" i="2" s="1"/>
  <c r="E56" i="2"/>
  <c r="L56" i="2" s="1"/>
  <c r="E55" i="2"/>
  <c r="L55" i="2" s="1"/>
  <c r="E54" i="2"/>
  <c r="L54" i="2" s="1"/>
  <c r="E53" i="2"/>
  <c r="L53" i="2" s="1"/>
  <c r="E52" i="2"/>
  <c r="L52" i="2" s="1"/>
  <c r="E51" i="2"/>
  <c r="L51" i="2" s="1"/>
  <c r="E50" i="2"/>
  <c r="L50" i="2" s="1"/>
  <c r="E49" i="2"/>
  <c r="L49" i="2" s="1"/>
  <c r="E48" i="2"/>
  <c r="L48" i="2" s="1"/>
  <c r="E47" i="2"/>
  <c r="L47" i="2" s="1"/>
  <c r="E46" i="2"/>
  <c r="L46" i="2" s="1"/>
  <c r="E45" i="2"/>
  <c r="L45" i="2" s="1"/>
  <c r="E44" i="2"/>
  <c r="L44" i="2" s="1"/>
  <c r="E43" i="2"/>
  <c r="L43" i="2" s="1"/>
  <c r="E42" i="2"/>
  <c r="L42" i="2" s="1"/>
  <c r="E41" i="2"/>
  <c r="L41" i="2" s="1"/>
  <c r="E40" i="2"/>
  <c r="L40" i="2" s="1"/>
  <c r="E39" i="2"/>
  <c r="L39" i="2" s="1"/>
  <c r="E38" i="2"/>
  <c r="L38" i="2" s="1"/>
  <c r="E37" i="2"/>
  <c r="L37" i="2" s="1"/>
  <c r="E36" i="2"/>
  <c r="L36" i="2" s="1"/>
  <c r="E35" i="2"/>
  <c r="L35" i="2" s="1"/>
  <c r="E34" i="2"/>
  <c r="L34" i="2" s="1"/>
  <c r="E33" i="2"/>
  <c r="L33" i="2" s="1"/>
  <c r="E32" i="2"/>
  <c r="L32" i="2" s="1"/>
  <c r="E31" i="2"/>
  <c r="L31" i="2" s="1"/>
  <c r="E30" i="2"/>
  <c r="L30" i="2" s="1"/>
  <c r="E29" i="2"/>
  <c r="L29" i="2" s="1"/>
  <c r="E28" i="2"/>
  <c r="L28" i="2" s="1"/>
  <c r="E27" i="2"/>
  <c r="L27" i="2" s="1"/>
  <c r="E26" i="2"/>
  <c r="L26" i="2" s="1"/>
  <c r="E25" i="2"/>
  <c r="L25" i="2" s="1"/>
  <c r="E24" i="2"/>
  <c r="L24" i="2" s="1"/>
  <c r="E23" i="2"/>
  <c r="L23" i="2" s="1"/>
  <c r="E22" i="2"/>
  <c r="L22" i="2" s="1"/>
  <c r="E21" i="2"/>
  <c r="L21" i="2" s="1"/>
  <c r="E20" i="2"/>
  <c r="L20" i="2" s="1"/>
  <c r="E19" i="2"/>
  <c r="L19" i="2" s="1"/>
  <c r="E18" i="2"/>
  <c r="L18" i="2" s="1"/>
  <c r="E17" i="2"/>
  <c r="L17" i="2" s="1"/>
  <c r="E16" i="2"/>
  <c r="L16" i="2" s="1"/>
  <c r="E15" i="2"/>
  <c r="L15" i="2" s="1"/>
  <c r="E14" i="2"/>
  <c r="L14" i="2" s="1"/>
  <c r="E13" i="2"/>
  <c r="L13" i="2" s="1"/>
  <c r="E12" i="2"/>
  <c r="L12" i="2" s="1"/>
  <c r="E11" i="2"/>
  <c r="L11" i="2" s="1"/>
  <c r="E10" i="2"/>
  <c r="L10" i="2" s="1"/>
  <c r="E9" i="2"/>
  <c r="L9" i="2" s="1"/>
  <c r="E8" i="2"/>
  <c r="L8" i="2" s="1"/>
  <c r="E7" i="2"/>
  <c r="L7" i="2" s="1"/>
  <c r="E6" i="2"/>
  <c r="L6" i="2" s="1"/>
  <c r="E5" i="2"/>
  <c r="L5" i="2" s="1"/>
  <c r="E4" i="2"/>
  <c r="L4" i="2" s="1"/>
  <c r="E3" i="2"/>
  <c r="L3" i="2" s="1"/>
  <c r="E2" i="2"/>
  <c r="F315" i="2"/>
  <c r="O427" i="2" l="1"/>
  <c r="O162" i="2"/>
  <c r="O394" i="2"/>
  <c r="O402" i="2"/>
  <c r="O410" i="2"/>
  <c r="O418" i="2"/>
  <c r="O458" i="2"/>
  <c r="O466" i="2"/>
  <c r="O474" i="2"/>
  <c r="O482" i="2"/>
  <c r="O490" i="2"/>
  <c r="O498" i="2"/>
  <c r="O506" i="2"/>
  <c r="O514" i="2"/>
  <c r="O522" i="2"/>
  <c r="O530" i="2"/>
  <c r="O58" i="2"/>
  <c r="O66" i="2"/>
  <c r="O74" i="2"/>
  <c r="O202" i="2"/>
  <c r="O211" i="2"/>
  <c r="O219" i="2"/>
  <c r="O227" i="2"/>
  <c r="O235" i="2"/>
  <c r="O243" i="2"/>
  <c r="O251" i="2"/>
  <c r="O259" i="2"/>
  <c r="L183" i="2"/>
  <c r="O131" i="2"/>
  <c r="O139" i="2"/>
  <c r="O147" i="2"/>
  <c r="O400" i="2"/>
  <c r="O496" i="2"/>
  <c r="O16" i="2"/>
  <c r="O24" i="2"/>
  <c r="O65" i="2"/>
  <c r="O73" i="2"/>
  <c r="O99" i="2"/>
  <c r="O107" i="2"/>
  <c r="O124" i="2"/>
  <c r="O166" i="2"/>
  <c r="O175" i="2"/>
  <c r="O183" i="2"/>
  <c r="O192" i="2"/>
  <c r="O201" i="2"/>
  <c r="O301" i="2"/>
  <c r="O309" i="2"/>
  <c r="O317" i="2"/>
  <c r="O325" i="2"/>
  <c r="O333" i="2"/>
  <c r="O341" i="2"/>
  <c r="O349" i="2"/>
  <c r="O357" i="2"/>
  <c r="O365" i="2"/>
  <c r="O373" i="2"/>
  <c r="O381" i="2"/>
  <c r="O389" i="2"/>
  <c r="O398" i="2"/>
  <c r="O9" i="2"/>
  <c r="O17" i="2"/>
  <c r="O25" i="2"/>
  <c r="O33" i="2"/>
  <c r="O41" i="2"/>
  <c r="O49" i="2"/>
  <c r="O83" i="2"/>
  <c r="O91" i="2"/>
  <c r="O100" i="2"/>
  <c r="O109" i="2"/>
  <c r="O117" i="2"/>
  <c r="O125" i="2"/>
  <c r="O133" i="2"/>
  <c r="O141" i="2"/>
  <c r="O149" i="2"/>
  <c r="O159" i="2"/>
  <c r="O167" i="2"/>
  <c r="O176" i="2"/>
  <c r="O184" i="2"/>
  <c r="O193" i="2"/>
  <c r="O268" i="2"/>
  <c r="O276" i="2"/>
  <c r="O284" i="2"/>
  <c r="O292" i="2"/>
  <c r="O302" i="2"/>
  <c r="O310" i="2"/>
  <c r="O318" i="2"/>
  <c r="O326" i="2"/>
  <c r="O334" i="2"/>
  <c r="O342" i="2"/>
  <c r="O350" i="2"/>
  <c r="O358" i="2"/>
  <c r="O366" i="2"/>
  <c r="O374" i="2"/>
  <c r="O382" i="2"/>
  <c r="O391" i="2"/>
  <c r="O48" i="2"/>
  <c r="O158" i="2"/>
  <c r="O11" i="2"/>
  <c r="O19" i="2"/>
  <c r="O27" i="2"/>
  <c r="O35" i="2"/>
  <c r="O43" i="2"/>
  <c r="O51" i="2"/>
  <c r="O60" i="2"/>
  <c r="O68" i="2"/>
  <c r="O76" i="2"/>
  <c r="O85" i="2"/>
  <c r="O94" i="2"/>
  <c r="O102" i="2"/>
  <c r="O111" i="2"/>
  <c r="O119" i="2"/>
  <c r="O127" i="2"/>
  <c r="O135" i="2"/>
  <c r="O143" i="2"/>
  <c r="O152" i="2"/>
  <c r="O161" i="2"/>
  <c r="O196" i="2"/>
  <c r="O204" i="2"/>
  <c r="O213" i="2"/>
  <c r="O221" i="2"/>
  <c r="O229" i="2"/>
  <c r="O237" i="2"/>
  <c r="O245" i="2"/>
  <c r="O253" i="2"/>
  <c r="O261" i="2"/>
  <c r="O270" i="2"/>
  <c r="O278" i="2"/>
  <c r="O286" i="2"/>
  <c r="O294" i="2"/>
  <c r="O304" i="2"/>
  <c r="O312" i="2"/>
  <c r="O320" i="2"/>
  <c r="O328" i="2"/>
  <c r="O336" i="2"/>
  <c r="O344" i="2"/>
  <c r="O352" i="2"/>
  <c r="O360" i="2"/>
  <c r="O368" i="2"/>
  <c r="O376" i="2"/>
  <c r="O384" i="2"/>
  <c r="O393" i="2"/>
  <c r="O401" i="2"/>
  <c r="O409" i="2"/>
  <c r="O417" i="2"/>
  <c r="O440" i="2"/>
  <c r="O448" i="2"/>
  <c r="O8" i="2"/>
  <c r="O32" i="2"/>
  <c r="O40" i="2"/>
  <c r="O57" i="2"/>
  <c r="O132" i="2"/>
  <c r="O75" i="2"/>
  <c r="O101" i="2"/>
  <c r="O134" i="2"/>
  <c r="O160" i="2"/>
  <c r="O177" i="2"/>
  <c r="O212" i="2"/>
  <c r="O220" i="2"/>
  <c r="O228" i="2"/>
  <c r="O244" i="2"/>
  <c r="O252" i="2"/>
  <c r="O277" i="2"/>
  <c r="O285" i="2"/>
  <c r="O293" i="2"/>
  <c r="O343" i="2"/>
  <c r="O416" i="2"/>
  <c r="O464" i="2"/>
  <c r="O480" i="2"/>
  <c r="O488" i="2"/>
  <c r="O504" i="2"/>
  <c r="O520" i="2"/>
  <c r="O528" i="2"/>
  <c r="O12" i="2"/>
  <c r="O20" i="2"/>
  <c r="O28" i="2"/>
  <c r="O36" i="2"/>
  <c r="O44" i="2"/>
  <c r="O52" i="2"/>
  <c r="O61" i="2"/>
  <c r="O69" i="2"/>
  <c r="O77" i="2"/>
  <c r="O86" i="2"/>
  <c r="O95" i="2"/>
  <c r="O103" i="2"/>
  <c r="O112" i="2"/>
  <c r="O120" i="2"/>
  <c r="O128" i="2"/>
  <c r="O136" i="2"/>
  <c r="O144" i="2"/>
  <c r="O153" i="2"/>
  <c r="O171" i="2"/>
  <c r="O179" i="2"/>
  <c r="O187" i="2"/>
  <c r="O197" i="2"/>
  <c r="O205" i="2"/>
  <c r="O214" i="2"/>
  <c r="O222" i="2"/>
  <c r="O230" i="2"/>
  <c r="O238" i="2"/>
  <c r="O246" i="2"/>
  <c r="O254" i="2"/>
  <c r="O262" i="2"/>
  <c r="O271" i="2"/>
  <c r="O279" i="2"/>
  <c r="O287" i="2"/>
  <c r="O295" i="2"/>
  <c r="O305" i="2"/>
  <c r="O313" i="2"/>
  <c r="O321" i="2"/>
  <c r="O329" i="2"/>
  <c r="O337" i="2"/>
  <c r="O345" i="2"/>
  <c r="O353" i="2"/>
  <c r="O361" i="2"/>
  <c r="O369" i="2"/>
  <c r="O377" i="2"/>
  <c r="O385" i="2"/>
  <c r="Q427" i="2"/>
  <c r="P427" i="2"/>
  <c r="O441" i="2"/>
  <c r="O449" i="2"/>
  <c r="P426" i="2"/>
  <c r="O140" i="2"/>
  <c r="O67" i="2"/>
  <c r="O84" i="2"/>
  <c r="O110" i="2"/>
  <c r="O118" i="2"/>
  <c r="O142" i="2"/>
  <c r="O169" i="2"/>
  <c r="O185" i="2"/>
  <c r="O236" i="2"/>
  <c r="O269" i="2"/>
  <c r="O311" i="2"/>
  <c r="O335" i="2"/>
  <c r="O367" i="2"/>
  <c r="O375" i="2"/>
  <c r="O383" i="2"/>
  <c r="O425" i="2"/>
  <c r="Q425" i="2"/>
  <c r="P425" i="2"/>
  <c r="O439" i="2"/>
  <c r="O447" i="2"/>
  <c r="O512" i="2"/>
  <c r="O13" i="2"/>
  <c r="O21" i="2"/>
  <c r="O29" i="2"/>
  <c r="O37" i="2"/>
  <c r="O45" i="2"/>
  <c r="O53" i="2"/>
  <c r="O62" i="2"/>
  <c r="O70" i="2"/>
  <c r="O78" i="2"/>
  <c r="O87" i="2"/>
  <c r="O96" i="2"/>
  <c r="O104" i="2"/>
  <c r="O113" i="2"/>
  <c r="O121" i="2"/>
  <c r="O129" i="2"/>
  <c r="O137" i="2"/>
  <c r="O145" i="2"/>
  <c r="O155" i="2"/>
  <c r="O163" i="2"/>
  <c r="O172" i="2"/>
  <c r="O180" i="2"/>
  <c r="O188" i="2"/>
  <c r="O198" i="2"/>
  <c r="O207" i="2"/>
  <c r="O215" i="2"/>
  <c r="O223" i="2"/>
  <c r="O231" i="2"/>
  <c r="O239" i="2"/>
  <c r="O247" i="2"/>
  <c r="O255" i="2"/>
  <c r="O263" i="2"/>
  <c r="O272" i="2"/>
  <c r="O280" i="2"/>
  <c r="O288" i="2"/>
  <c r="O296" i="2"/>
  <c r="O306" i="2"/>
  <c r="O314" i="2"/>
  <c r="O322" i="2"/>
  <c r="O330" i="2"/>
  <c r="O338" i="2"/>
  <c r="O346" i="2"/>
  <c r="O354" i="2"/>
  <c r="O362" i="2"/>
  <c r="O370" i="2"/>
  <c r="O378" i="2"/>
  <c r="O386" i="2"/>
  <c r="O395" i="2"/>
  <c r="O148" i="2"/>
  <c r="O59" i="2"/>
  <c r="O93" i="2"/>
  <c r="O126" i="2"/>
  <c r="O151" i="2"/>
  <c r="O260" i="2"/>
  <c r="O303" i="2"/>
  <c r="O319" i="2"/>
  <c r="O327" i="2"/>
  <c r="O351" i="2"/>
  <c r="O359" i="2"/>
  <c r="O392" i="2"/>
  <c r="O408" i="2"/>
  <c r="O456" i="2"/>
  <c r="O472" i="2"/>
  <c r="O10" i="2"/>
  <c r="O18" i="2"/>
  <c r="O26" i="2"/>
  <c r="O34" i="2"/>
  <c r="O42" i="2"/>
  <c r="O50" i="2"/>
  <c r="O82" i="2"/>
  <c r="O90" i="2"/>
  <c r="O194" i="2"/>
  <c r="O210" i="2"/>
  <c r="O218" i="2"/>
  <c r="O226" i="2"/>
  <c r="O234" i="2"/>
  <c r="O242" i="2"/>
  <c r="O250" i="2"/>
  <c r="O258" i="2"/>
  <c r="O6" i="2"/>
  <c r="O14" i="2"/>
  <c r="O22" i="2"/>
  <c r="O30" i="2"/>
  <c r="O38" i="2"/>
  <c r="O46" i="2"/>
  <c r="O55" i="2"/>
  <c r="O63" i="2"/>
  <c r="O71" i="2"/>
  <c r="O79" i="2"/>
  <c r="O88" i="2"/>
  <c r="O97" i="2"/>
  <c r="O105" i="2"/>
  <c r="O156" i="2"/>
  <c r="O164" i="2"/>
  <c r="O173" i="2"/>
  <c r="O181" i="2"/>
  <c r="O189" i="2"/>
  <c r="O199" i="2"/>
  <c r="O208" i="2"/>
  <c r="O216" i="2"/>
  <c r="O224" i="2"/>
  <c r="O232" i="2"/>
  <c r="O240" i="2"/>
  <c r="O248" i="2"/>
  <c r="O256" i="2"/>
  <c r="O265" i="2"/>
  <c r="O273" i="2"/>
  <c r="O281" i="2"/>
  <c r="O289" i="2"/>
  <c r="O299" i="2"/>
  <c r="O307" i="2"/>
  <c r="O315" i="2"/>
  <c r="P315" i="2"/>
  <c r="O323" i="2"/>
  <c r="O331" i="2"/>
  <c r="O339" i="2"/>
  <c r="O347" i="2"/>
  <c r="O355" i="2"/>
  <c r="O363" i="2"/>
  <c r="O371" i="2"/>
  <c r="O379" i="2"/>
  <c r="O387" i="2"/>
  <c r="O396" i="2"/>
  <c r="O404" i="2"/>
  <c r="O412" i="2"/>
  <c r="O421" i="2"/>
  <c r="O116" i="2"/>
  <c r="O203" i="2"/>
  <c r="O267" i="2"/>
  <c r="O275" i="2"/>
  <c r="O283" i="2"/>
  <c r="O291" i="2"/>
  <c r="O7" i="2"/>
  <c r="O15" i="2"/>
  <c r="O23" i="2"/>
  <c r="O31" i="2"/>
  <c r="O39" i="2"/>
  <c r="O47" i="2"/>
  <c r="O56" i="2"/>
  <c r="O64" i="2"/>
  <c r="O72" i="2"/>
  <c r="O80" i="2"/>
  <c r="O89" i="2"/>
  <c r="O115" i="2"/>
  <c r="O123" i="2"/>
  <c r="O157" i="2"/>
  <c r="O165" i="2"/>
  <c r="O174" i="2"/>
  <c r="O182" i="2"/>
  <c r="O190" i="2"/>
  <c r="O200" i="2"/>
  <c r="O209" i="2"/>
  <c r="O217" i="2"/>
  <c r="O225" i="2"/>
  <c r="O233" i="2"/>
  <c r="O241" i="2"/>
  <c r="O249" i="2"/>
  <c r="O257" i="2"/>
  <c r="O300" i="2"/>
  <c r="O308" i="2"/>
  <c r="O316" i="2"/>
  <c r="O324" i="2"/>
  <c r="O332" i="2"/>
  <c r="O340" i="2"/>
  <c r="O348" i="2"/>
  <c r="O356" i="2"/>
  <c r="O457" i="2"/>
  <c r="O465" i="2"/>
  <c r="O473" i="2"/>
  <c r="O481" i="2"/>
  <c r="O489" i="2"/>
  <c r="O497" i="2"/>
  <c r="O505" i="2"/>
  <c r="O513" i="2"/>
  <c r="O521" i="2"/>
  <c r="O529" i="2"/>
  <c r="O403" i="2"/>
  <c r="O411" i="2"/>
  <c r="O419" i="2"/>
  <c r="O428" i="2"/>
  <c r="Q428" i="2"/>
  <c r="P428" i="2"/>
  <c r="O442" i="2"/>
  <c r="O450" i="2"/>
  <c r="O459" i="2"/>
  <c r="O467" i="2"/>
  <c r="O475" i="2"/>
  <c r="O483" i="2"/>
  <c r="O491" i="2"/>
  <c r="O499" i="2"/>
  <c r="O507" i="2"/>
  <c r="O515" i="2"/>
  <c r="O523" i="2"/>
  <c r="O443" i="2"/>
  <c r="O452" i="2"/>
  <c r="O460" i="2"/>
  <c r="O468" i="2"/>
  <c r="O476" i="2"/>
  <c r="O484" i="2"/>
  <c r="O492" i="2"/>
  <c r="O500" i="2"/>
  <c r="O508" i="2"/>
  <c r="O516" i="2"/>
  <c r="O524" i="2"/>
  <c r="O364" i="2"/>
  <c r="O372" i="2"/>
  <c r="O380" i="2"/>
  <c r="O388" i="2"/>
  <c r="O397" i="2"/>
  <c r="O405" i="2"/>
  <c r="O413" i="2"/>
  <c r="O422" i="2"/>
  <c r="O436" i="2"/>
  <c r="O444" i="2"/>
  <c r="O453" i="2"/>
  <c r="O461" i="2"/>
  <c r="O469" i="2"/>
  <c r="O477" i="2"/>
  <c r="O485" i="2"/>
  <c r="O493" i="2"/>
  <c r="O501" i="2"/>
  <c r="O509" i="2"/>
  <c r="O517" i="2"/>
  <c r="O525" i="2"/>
  <c r="O406" i="2"/>
  <c r="O414" i="2"/>
  <c r="O423" i="2"/>
  <c r="O437" i="2"/>
  <c r="O445" i="2"/>
  <c r="O454" i="2"/>
  <c r="O462" i="2"/>
  <c r="O470" i="2"/>
  <c r="O478" i="2"/>
  <c r="O486" i="2"/>
  <c r="O494" i="2"/>
  <c r="O502" i="2"/>
  <c r="O510" i="2"/>
  <c r="O518" i="2"/>
  <c r="O526" i="2"/>
  <c r="O399" i="2"/>
  <c r="O407" i="2"/>
  <c r="O415" i="2"/>
  <c r="O424" i="2"/>
  <c r="O438" i="2"/>
  <c r="O446" i="2"/>
  <c r="O455" i="2"/>
  <c r="O463" i="2"/>
  <c r="O471" i="2"/>
  <c r="O479" i="2"/>
  <c r="O487" i="2"/>
  <c r="O495" i="2"/>
  <c r="O503" i="2"/>
  <c r="O511" i="2"/>
  <c r="O519" i="2"/>
  <c r="O527" i="2"/>
  <c r="O3" i="2"/>
  <c r="O5" i="2"/>
  <c r="I315" i="2"/>
  <c r="I425" i="2"/>
  <c r="L2" i="2"/>
  <c r="L426" i="2"/>
  <c r="J426" i="2"/>
  <c r="I426" i="2"/>
  <c r="L450" i="2"/>
  <c r="L498" i="2"/>
  <c r="I427" i="2"/>
  <c r="J427" i="2"/>
  <c r="J425" i="2"/>
  <c r="L427" i="2"/>
  <c r="J429" i="2"/>
  <c r="L429" i="2"/>
  <c r="I429" i="2"/>
  <c r="L428" i="2"/>
  <c r="J428" i="2"/>
  <c r="I428" i="2"/>
  <c r="J430" i="2"/>
  <c r="L430" i="2"/>
  <c r="L431" i="2"/>
  <c r="J431" i="2"/>
  <c r="I431" i="2"/>
  <c r="L432" i="2"/>
  <c r="J432" i="2"/>
  <c r="L433" i="2"/>
  <c r="J433" i="2"/>
  <c r="I433" i="2"/>
  <c r="F14" i="2" l="1"/>
  <c r="F243" i="2"/>
  <c r="F260" i="2"/>
  <c r="F138" i="2"/>
  <c r="F404" i="2"/>
  <c r="F374" i="2"/>
  <c r="F276" i="2"/>
  <c r="F137" i="2"/>
  <c r="F396" i="2"/>
  <c r="F476" i="2"/>
  <c r="G47" i="2"/>
  <c r="Q47" i="2" s="1"/>
  <c r="F84" i="2"/>
  <c r="F207" i="2"/>
  <c r="F45" i="2"/>
  <c r="F37" i="2"/>
  <c r="F370" i="2"/>
  <c r="F51" i="2"/>
  <c r="F424" i="2"/>
  <c r="F422" i="2"/>
  <c r="F110" i="2"/>
  <c r="F134" i="2"/>
  <c r="F100" i="2"/>
  <c r="F455" i="2"/>
  <c r="F277" i="2"/>
  <c r="F272" i="2"/>
  <c r="F234" i="2"/>
  <c r="F294" i="2"/>
  <c r="F500" i="2"/>
  <c r="F163" i="2"/>
  <c r="F339" i="2"/>
  <c r="F275" i="2"/>
  <c r="F384" i="2"/>
  <c r="F350" i="2"/>
  <c r="F517" i="2"/>
  <c r="F346" i="2"/>
  <c r="G108" i="2"/>
  <c r="Q108" i="2" s="1"/>
  <c r="G121" i="2"/>
  <c r="Q121" i="2" s="1"/>
  <c r="G104" i="2"/>
  <c r="Q104" i="2" s="1"/>
  <c r="G176" i="2"/>
  <c r="Q176" i="2" s="1"/>
  <c r="G72" i="2"/>
  <c r="Q72" i="2" s="1"/>
  <c r="G357" i="2"/>
  <c r="Q357" i="2" s="1"/>
  <c r="G114" i="2"/>
  <c r="Q114" i="2" s="1"/>
  <c r="G143" i="2"/>
  <c r="Q143" i="2" s="1"/>
  <c r="G323" i="2"/>
  <c r="Q323" i="2" s="1"/>
  <c r="G197" i="2"/>
  <c r="Q197" i="2" s="1"/>
  <c r="G448" i="2"/>
  <c r="Q448" i="2" s="1"/>
  <c r="G379" i="2"/>
  <c r="Q379" i="2" s="1"/>
  <c r="G31" i="2"/>
  <c r="Q31" i="2" s="1"/>
  <c r="G18" i="2"/>
  <c r="Q18" i="2" s="1"/>
  <c r="G68" i="2"/>
  <c r="Q68" i="2" s="1"/>
  <c r="G262" i="2"/>
  <c r="Q262" i="2" s="1"/>
  <c r="G420" i="2"/>
  <c r="Q420" i="2" s="1"/>
  <c r="G468" i="2"/>
  <c r="Q468" i="2" s="1"/>
  <c r="G329" i="2"/>
  <c r="Q329" i="2" s="1"/>
  <c r="G69" i="2"/>
  <c r="Q69" i="2" s="1"/>
  <c r="G7" i="2"/>
  <c r="Q7" i="2" s="1"/>
  <c r="G168" i="2"/>
  <c r="Q168" i="2" s="1"/>
  <c r="G152" i="2"/>
  <c r="Q152" i="2" s="1"/>
  <c r="G320" i="2"/>
  <c r="Q320" i="2" s="1"/>
  <c r="G217" i="2"/>
  <c r="Q217" i="2" s="1"/>
  <c r="G310" i="2"/>
  <c r="Q310" i="2" s="1"/>
  <c r="G389" i="2"/>
  <c r="Q389" i="2" s="1"/>
  <c r="G6" i="2"/>
  <c r="Q6" i="2" s="1"/>
  <c r="G169" i="2"/>
  <c r="Q169" i="2" s="1"/>
  <c r="G378" i="2"/>
  <c r="Q378" i="2" s="1"/>
  <c r="G106" i="2"/>
  <c r="Q106" i="2" s="1"/>
  <c r="G123" i="2"/>
  <c r="Q123" i="2" s="1"/>
  <c r="G441" i="2"/>
  <c r="Q441" i="2" s="1"/>
  <c r="G321" i="2"/>
  <c r="Q321" i="2" s="1"/>
  <c r="G340" i="2"/>
  <c r="Q340" i="2" s="1"/>
  <c r="G26" i="2"/>
  <c r="Q26" i="2" s="1"/>
  <c r="G471" i="2"/>
  <c r="Q471" i="2" s="1"/>
  <c r="G11" i="2"/>
  <c r="Q11" i="2" s="1"/>
  <c r="G228" i="2"/>
  <c r="Q228" i="2" s="1"/>
  <c r="G25" i="2"/>
  <c r="Q25" i="2" s="1"/>
  <c r="G465" i="2"/>
  <c r="Q465" i="2" s="1"/>
  <c r="G246" i="2"/>
  <c r="Q246" i="2" s="1"/>
  <c r="G291" i="2"/>
  <c r="Q291" i="2" s="1"/>
  <c r="G403" i="2"/>
  <c r="Q403" i="2" s="1"/>
  <c r="G413" i="2"/>
  <c r="Q413" i="2" s="1"/>
  <c r="G214" i="2"/>
  <c r="Q214" i="2" s="1"/>
  <c r="G355" i="2"/>
  <c r="Q355" i="2" s="1"/>
  <c r="G212" i="2"/>
  <c r="Q212" i="2" s="1"/>
  <c r="G464" i="2"/>
  <c r="Q464" i="2" s="1"/>
  <c r="G259" i="2"/>
  <c r="Q259" i="2" s="1"/>
  <c r="G380" i="2"/>
  <c r="Q380" i="2" s="1"/>
  <c r="G462" i="2"/>
  <c r="Q462" i="2" s="1"/>
  <c r="F269" i="2"/>
  <c r="F173" i="2"/>
  <c r="F70" i="2"/>
  <c r="F36" i="2"/>
  <c r="F372" i="2"/>
  <c r="F239" i="2"/>
  <c r="F158" i="2"/>
  <c r="F289" i="2"/>
  <c r="F293" i="2"/>
  <c r="F523" i="2"/>
  <c r="F286" i="2"/>
  <c r="F172" i="2"/>
  <c r="F183" i="2"/>
  <c r="G445" i="2"/>
  <c r="Q445" i="2" s="1"/>
  <c r="G15" i="2"/>
  <c r="Q15" i="2" s="1"/>
  <c r="G511" i="2"/>
  <c r="Q511" i="2" s="1"/>
  <c r="G453" i="2"/>
  <c r="Q453" i="2" s="1"/>
  <c r="G437" i="2"/>
  <c r="Q437" i="2" s="1"/>
  <c r="G74" i="2"/>
  <c r="Q74" i="2" s="1"/>
  <c r="G34" i="2"/>
  <c r="Q34" i="2" s="1"/>
  <c r="G204" i="2"/>
  <c r="Q204" i="2" s="1"/>
  <c r="G219" i="2"/>
  <c r="Q219" i="2" s="1"/>
  <c r="F345" i="2"/>
  <c r="F226" i="2"/>
  <c r="F144" i="2"/>
  <c r="F98" i="2"/>
  <c r="F264" i="2"/>
  <c r="F83" i="2"/>
  <c r="F250" i="2"/>
  <c r="F71" i="2"/>
  <c r="F66" i="2"/>
  <c r="F28" i="2"/>
  <c r="F56" i="2"/>
  <c r="F112" i="2"/>
  <c r="F247" i="2"/>
  <c r="F463" i="2"/>
  <c r="F402" i="2"/>
  <c r="F155" i="2"/>
  <c r="F311" i="2"/>
  <c r="F141" i="2"/>
  <c r="F481" i="2"/>
  <c r="F12" i="2"/>
  <c r="F274" i="2"/>
  <c r="F40" i="2"/>
  <c r="F32" i="2"/>
  <c r="F196" i="2"/>
  <c r="F87" i="2"/>
  <c r="F140" i="2"/>
  <c r="F211" i="2"/>
  <c r="F65" i="2"/>
  <c r="F508" i="2"/>
  <c r="F21" i="2"/>
  <c r="F236" i="2"/>
  <c r="F406" i="2"/>
  <c r="F154" i="2"/>
  <c r="F273" i="2"/>
  <c r="F473" i="2"/>
  <c r="F349" i="2"/>
  <c r="F318" i="2"/>
  <c r="F116" i="2"/>
  <c r="F224" i="2"/>
  <c r="F282" i="2"/>
  <c r="F516" i="2"/>
  <c r="F414" i="2"/>
  <c r="F133" i="2"/>
  <c r="F382" i="2"/>
  <c r="F304" i="2"/>
  <c r="F395" i="2"/>
  <c r="F366" i="2"/>
  <c r="F94" i="2"/>
  <c r="F513" i="2"/>
  <c r="F301" i="2"/>
  <c r="F330" i="2"/>
  <c r="G111" i="2"/>
  <c r="Q111" i="2" s="1"/>
  <c r="G14" i="2"/>
  <c r="Q14" i="2" s="1"/>
  <c r="G231" i="2"/>
  <c r="Q231" i="2" s="1"/>
  <c r="G105" i="2"/>
  <c r="Q105" i="2" s="1"/>
  <c r="G162" i="2"/>
  <c r="Q162" i="2" s="1"/>
  <c r="G52" i="2"/>
  <c r="Q52" i="2" s="1"/>
  <c r="G467" i="2"/>
  <c r="Q467" i="2" s="1"/>
  <c r="G243" i="2"/>
  <c r="Q243" i="2" s="1"/>
  <c r="G195" i="2"/>
  <c r="Q195" i="2" s="1"/>
  <c r="G230" i="2"/>
  <c r="Q230" i="2" s="1"/>
  <c r="G373" i="2"/>
  <c r="Q373" i="2" s="1"/>
  <c r="G449" i="2"/>
  <c r="Q449" i="2" s="1"/>
  <c r="G442" i="2"/>
  <c r="Q442" i="2" s="1"/>
  <c r="G260" i="2"/>
  <c r="Q260" i="2" s="1"/>
  <c r="G435" i="2"/>
  <c r="Q435" i="2" s="1"/>
  <c r="G75" i="2"/>
  <c r="Q75" i="2" s="1"/>
  <c r="G4" i="2"/>
  <c r="Q4" i="2" s="1"/>
  <c r="G27" i="2"/>
  <c r="Q27" i="2" s="1"/>
  <c r="G109" i="2"/>
  <c r="Q109" i="2" s="1"/>
  <c r="G138" i="2"/>
  <c r="Q138" i="2" s="1"/>
  <c r="G89" i="2"/>
  <c r="Q89" i="2" s="1"/>
  <c r="G404" i="2"/>
  <c r="Q404" i="2" s="1"/>
  <c r="G312" i="2"/>
  <c r="Q312" i="2" s="1"/>
  <c r="G135" i="2"/>
  <c r="Q135" i="2" s="1"/>
  <c r="G300" i="2"/>
  <c r="Q300" i="2" s="1"/>
  <c r="G33" i="2"/>
  <c r="Q33" i="2" s="1"/>
  <c r="G218" i="2"/>
  <c r="Q218" i="2" s="1"/>
  <c r="G374" i="2"/>
  <c r="Q374" i="2" s="1"/>
  <c r="G477" i="2"/>
  <c r="Q477" i="2" s="1"/>
  <c r="G17" i="2"/>
  <c r="Q17" i="2" s="1"/>
  <c r="G16" i="2"/>
  <c r="Q16" i="2" s="1"/>
  <c r="G512" i="2"/>
  <c r="Q512" i="2" s="1"/>
  <c r="G348" i="2"/>
  <c r="Q348" i="2" s="1"/>
  <c r="G276" i="2"/>
  <c r="Q276" i="2" s="1"/>
  <c r="G220" i="2"/>
  <c r="Q220" i="2" s="1"/>
  <c r="G208" i="2"/>
  <c r="Q208" i="2" s="1"/>
  <c r="G392" i="2"/>
  <c r="Q392" i="2" s="1"/>
  <c r="G137" i="2"/>
  <c r="Q137" i="2" s="1"/>
  <c r="G165" i="2"/>
  <c r="Q165" i="2" s="1"/>
  <c r="G242" i="2"/>
  <c r="Q242" i="2" s="1"/>
  <c r="G482" i="2"/>
  <c r="Q482" i="2" s="1"/>
  <c r="G142" i="2"/>
  <c r="Q142" i="2" s="1"/>
  <c r="G319" i="2"/>
  <c r="Q319" i="2" s="1"/>
  <c r="G396" i="2"/>
  <c r="Q396" i="2" s="1"/>
  <c r="G410" i="2"/>
  <c r="Q410" i="2" s="1"/>
  <c r="G515" i="2"/>
  <c r="Q515" i="2" s="1"/>
  <c r="G191" i="2"/>
  <c r="Q191" i="2" s="1"/>
  <c r="G519" i="2"/>
  <c r="Q519" i="2" s="1"/>
  <c r="G476" i="2"/>
  <c r="Q476" i="2" s="1"/>
  <c r="G342" i="2"/>
  <c r="Q342" i="2" s="1"/>
  <c r="G132" i="2"/>
  <c r="Q132" i="2" s="1"/>
  <c r="G381" i="2"/>
  <c r="Q381" i="2" s="1"/>
  <c r="F445" i="2"/>
  <c r="F15" i="2"/>
  <c r="F511" i="2"/>
  <c r="F453" i="2"/>
  <c r="F437" i="2"/>
  <c r="F74" i="2"/>
  <c r="F34" i="2"/>
  <c r="F204" i="2"/>
  <c r="F219" i="2"/>
  <c r="F524" i="2"/>
  <c r="F295" i="2"/>
  <c r="F202" i="2"/>
  <c r="F248" i="2"/>
  <c r="G288" i="2"/>
  <c r="Q288" i="2" s="1"/>
  <c r="G82" i="2"/>
  <c r="Q82" i="2" s="1"/>
  <c r="G314" i="2"/>
  <c r="Q314" i="2" s="1"/>
  <c r="G452" i="2"/>
  <c r="Q452" i="2" s="1"/>
  <c r="G209" i="2"/>
  <c r="Q209" i="2" s="1"/>
  <c r="G484" i="2"/>
  <c r="Q484" i="2" s="1"/>
  <c r="G80" i="2"/>
  <c r="Q80" i="2" s="1"/>
  <c r="G192" i="2"/>
  <c r="Q192" i="2" s="1"/>
  <c r="G363" i="2"/>
  <c r="Q363" i="2" s="1"/>
  <c r="G525" i="2"/>
  <c r="Q525" i="2" s="1"/>
  <c r="G447" i="2"/>
  <c r="Q447" i="2" s="1"/>
  <c r="G13" i="2"/>
  <c r="Q13" i="2" s="1"/>
  <c r="G261" i="2"/>
  <c r="Q261" i="2" s="1"/>
  <c r="F105" i="2"/>
  <c r="F195" i="2"/>
  <c r="F435" i="2"/>
  <c r="F89" i="2"/>
  <c r="F218" i="2"/>
  <c r="F348" i="2"/>
  <c r="F165" i="2"/>
  <c r="F410" i="2"/>
  <c r="F132" i="2"/>
  <c r="G88" i="2"/>
  <c r="Q88" i="2" s="1"/>
  <c r="F149" i="2"/>
  <c r="F253" i="2"/>
  <c r="F496" i="2"/>
  <c r="F175" i="2"/>
  <c r="F156" i="2"/>
  <c r="F409" i="2"/>
  <c r="F58" i="2"/>
  <c r="F81" i="2"/>
  <c r="F189" i="2"/>
  <c r="F412" i="2"/>
  <c r="F78" i="2"/>
  <c r="F55" i="2"/>
  <c r="F401" i="2"/>
  <c r="F351" i="2"/>
  <c r="F470" i="2"/>
  <c r="F492" i="2"/>
  <c r="F494" i="2"/>
  <c r="F296" i="2"/>
  <c r="F185" i="2"/>
  <c r="F503" i="2"/>
  <c r="F103" i="2"/>
  <c r="F278" i="2"/>
  <c r="F365" i="2"/>
  <c r="F456" i="2"/>
  <c r="F371" i="2"/>
  <c r="F337" i="2"/>
  <c r="F166" i="2"/>
  <c r="F368" i="2"/>
  <c r="F198" i="2"/>
  <c r="F99" i="2"/>
  <c r="F393" i="2"/>
  <c r="F352" i="2"/>
  <c r="F472" i="2"/>
  <c r="F343" i="2"/>
  <c r="F215" i="2"/>
  <c r="F491" i="2"/>
  <c r="F338" i="2"/>
  <c r="F359" i="2"/>
  <c r="F53" i="2"/>
  <c r="G179" i="2"/>
  <c r="Q179" i="2" s="1"/>
  <c r="G451" i="2"/>
  <c r="Q451" i="2" s="1"/>
  <c r="G84" i="2"/>
  <c r="Q84" i="2" s="1"/>
  <c r="G439" i="2"/>
  <c r="Q439" i="2" s="1"/>
  <c r="G149" i="2"/>
  <c r="Q149" i="2" s="1"/>
  <c r="G29" i="2"/>
  <c r="Q29" i="2" s="1"/>
  <c r="G207" i="2"/>
  <c r="Q207" i="2" s="1"/>
  <c r="G199" i="2"/>
  <c r="Q199" i="2" s="1"/>
  <c r="G423" i="2"/>
  <c r="Q423" i="2" s="1"/>
  <c r="G253" i="2"/>
  <c r="Q253" i="2" s="1"/>
  <c r="G119" i="2"/>
  <c r="Q119" i="2" s="1"/>
  <c r="G45" i="2"/>
  <c r="Q45" i="2" s="1"/>
  <c r="G38" i="2"/>
  <c r="Q38" i="2" s="1"/>
  <c r="G146" i="2"/>
  <c r="Q146" i="2" s="1"/>
  <c r="G496" i="2"/>
  <c r="Q496" i="2" s="1"/>
  <c r="G49" i="2"/>
  <c r="Q49" i="2" s="1"/>
  <c r="G37" i="2"/>
  <c r="Q37" i="2" s="1"/>
  <c r="G42" i="2"/>
  <c r="Q42" i="2" s="1"/>
  <c r="G93" i="2"/>
  <c r="Q93" i="2" s="1"/>
  <c r="G175" i="2"/>
  <c r="Q175" i="2" s="1"/>
  <c r="G370" i="2"/>
  <c r="Q370" i="2" s="1"/>
  <c r="G502" i="2"/>
  <c r="Q502" i="2" s="1"/>
  <c r="G478" i="2"/>
  <c r="Q478" i="2" s="1"/>
  <c r="G156" i="2"/>
  <c r="Q156" i="2" s="1"/>
  <c r="G51" i="2"/>
  <c r="Q51" i="2" s="1"/>
  <c r="G495" i="2"/>
  <c r="Q495" i="2" s="1"/>
  <c r="G148" i="2"/>
  <c r="Q148" i="2" s="1"/>
  <c r="G131" i="2"/>
  <c r="Q131" i="2" s="1"/>
  <c r="G409" i="2"/>
  <c r="Q409" i="2" s="1"/>
  <c r="G424" i="2"/>
  <c r="Q424" i="2" s="1"/>
  <c r="G44" i="2"/>
  <c r="Q44" i="2" s="1"/>
  <c r="G255" i="2"/>
  <c r="Q255" i="2" s="1"/>
  <c r="G115" i="2"/>
  <c r="Q115" i="2" s="1"/>
  <c r="G159" i="2"/>
  <c r="Q159" i="2" s="1"/>
  <c r="G399" i="2"/>
  <c r="Q399" i="2" s="1"/>
  <c r="G35" i="2"/>
  <c r="Q35" i="2" s="1"/>
  <c r="G367" i="2"/>
  <c r="Q367" i="2" s="1"/>
  <c r="G457" i="2"/>
  <c r="Q457" i="2" s="1"/>
  <c r="G193" i="2"/>
  <c r="Q193" i="2" s="1"/>
  <c r="G499" i="2"/>
  <c r="Q499" i="2" s="1"/>
  <c r="G507" i="2"/>
  <c r="Q507" i="2" s="1"/>
  <c r="G256" i="2"/>
  <c r="Q256" i="2" s="1"/>
  <c r="G505" i="2"/>
  <c r="Q505" i="2" s="1"/>
  <c r="G356" i="2"/>
  <c r="Q356" i="2" s="1"/>
  <c r="G283" i="2"/>
  <c r="Q283" i="2" s="1"/>
  <c r="G386" i="2"/>
  <c r="Q386" i="2" s="1"/>
  <c r="G184" i="2"/>
  <c r="Q184" i="2" s="1"/>
  <c r="G514" i="2"/>
  <c r="Q514" i="2" s="1"/>
  <c r="G466" i="2"/>
  <c r="Q466" i="2" s="1"/>
  <c r="G229" i="2"/>
  <c r="Q229" i="2" s="1"/>
  <c r="G344" i="2"/>
  <c r="Q344" i="2" s="1"/>
  <c r="G526" i="2"/>
  <c r="Q526" i="2" s="1"/>
  <c r="F288" i="2"/>
  <c r="F82" i="2"/>
  <c r="F314" i="2"/>
  <c r="F452" i="2"/>
  <c r="F209" i="2"/>
  <c r="F484" i="2"/>
  <c r="F80" i="2"/>
  <c r="F192" i="2"/>
  <c r="F363" i="2"/>
  <c r="F525" i="2"/>
  <c r="F447" i="2"/>
  <c r="F13" i="2"/>
  <c r="F261" i="2"/>
  <c r="G161" i="2"/>
  <c r="Q161" i="2" s="1"/>
  <c r="G120" i="2"/>
  <c r="Q120" i="2" s="1"/>
  <c r="G222" i="2"/>
  <c r="Q222" i="2" s="1"/>
  <c r="G190" i="2"/>
  <c r="Q190" i="2" s="1"/>
  <c r="G147" i="2"/>
  <c r="Q147" i="2" s="1"/>
  <c r="G268" i="2"/>
  <c r="Q268" i="2" s="1"/>
  <c r="G436" i="2"/>
  <c r="Q436" i="2" s="1"/>
  <c r="G30" i="2"/>
  <c r="Q30" i="2" s="1"/>
  <c r="G306" i="2"/>
  <c r="Q306" i="2" s="1"/>
  <c r="G50" i="2"/>
  <c r="Q50" i="2" s="1"/>
  <c r="G529" i="2"/>
  <c r="Q529" i="2" s="1"/>
  <c r="G73" i="2"/>
  <c r="Q73" i="2" s="1"/>
  <c r="G102" i="2"/>
  <c r="Q102" i="2" s="1"/>
  <c r="G267" i="2"/>
  <c r="Q267" i="2" s="1"/>
  <c r="G258" i="2"/>
  <c r="Q258" i="2" s="1"/>
  <c r="F467" i="2"/>
  <c r="F449" i="2"/>
  <c r="F27" i="2"/>
  <c r="F300" i="2"/>
  <c r="F17" i="2"/>
  <c r="F220" i="2"/>
  <c r="F319" i="2"/>
  <c r="F342" i="2"/>
  <c r="G308" i="2"/>
  <c r="Q308" i="2" s="1"/>
  <c r="F29" i="2"/>
  <c r="F38" i="2"/>
  <c r="F42" i="2"/>
  <c r="F478" i="2"/>
  <c r="F131" i="2"/>
  <c r="F63" i="2"/>
  <c r="F205" i="2"/>
  <c r="F178" i="2"/>
  <c r="F76" i="2"/>
  <c r="F388" i="2"/>
  <c r="F124" i="2"/>
  <c r="F182" i="2"/>
  <c r="F405" i="2"/>
  <c r="F493" i="2"/>
  <c r="F387" i="2"/>
  <c r="F266" i="2"/>
  <c r="F54" i="2"/>
  <c r="F408" i="2"/>
  <c r="F153" i="2"/>
  <c r="F225" i="2"/>
  <c r="F77" i="2"/>
  <c r="F23" i="2"/>
  <c r="F443" i="2"/>
  <c r="F347" i="2"/>
  <c r="F489" i="2"/>
  <c r="F419" i="2"/>
  <c r="F333" i="2"/>
  <c r="F281" i="2"/>
  <c r="F483" i="2"/>
  <c r="F271" i="2"/>
  <c r="F287" i="2"/>
  <c r="F125" i="2"/>
  <c r="F237" i="2"/>
  <c r="F303" i="2"/>
  <c r="F383" i="2"/>
  <c r="F101" i="2"/>
  <c r="F95" i="2"/>
  <c r="F308" i="2"/>
  <c r="F150" i="2"/>
  <c r="F461" i="2"/>
  <c r="F223" i="2"/>
  <c r="F390" i="2"/>
  <c r="F128" i="2"/>
  <c r="F62" i="2"/>
  <c r="F41" i="2"/>
  <c r="F407" i="2"/>
  <c r="F113" i="2"/>
  <c r="F280" i="2"/>
  <c r="F221" i="2"/>
  <c r="F299" i="2"/>
  <c r="F398" i="2"/>
  <c r="F488" i="2"/>
  <c r="F490" i="2"/>
  <c r="F487" i="2"/>
  <c r="F501" i="2"/>
  <c r="F509" i="2"/>
  <c r="F297" i="2"/>
  <c r="F391" i="2"/>
  <c r="F459" i="2"/>
  <c r="F480" i="2"/>
  <c r="F170" i="2"/>
  <c r="G298" i="2"/>
  <c r="Q298" i="2" s="1"/>
  <c r="G58" i="2"/>
  <c r="Q58" i="2" s="1"/>
  <c r="G19" i="2"/>
  <c r="Q19" i="2" s="1"/>
  <c r="G81" i="2"/>
  <c r="Q81" i="2" s="1"/>
  <c r="G59" i="2"/>
  <c r="Q59" i="2" s="1"/>
  <c r="G189" i="2"/>
  <c r="Q189" i="2" s="1"/>
  <c r="G200" i="2"/>
  <c r="Q200" i="2" s="1"/>
  <c r="G100" i="2"/>
  <c r="Q100" i="2" s="1"/>
  <c r="G455" i="2"/>
  <c r="Q455" i="2" s="1"/>
  <c r="G328" i="2"/>
  <c r="Q328" i="2" s="1"/>
  <c r="G277" i="2"/>
  <c r="Q277" i="2" s="1"/>
  <c r="G124" i="2"/>
  <c r="Q124" i="2" s="1"/>
  <c r="G272" i="2"/>
  <c r="Q272" i="2" s="1"/>
  <c r="G182" i="2"/>
  <c r="Q182" i="2" s="1"/>
  <c r="G234" i="2"/>
  <c r="Q234" i="2" s="1"/>
  <c r="G405" i="2"/>
  <c r="Q405" i="2" s="1"/>
  <c r="G294" i="2"/>
  <c r="Q294" i="2" s="1"/>
  <c r="G500" i="2"/>
  <c r="Q500" i="2" s="1"/>
  <c r="G492" i="2"/>
  <c r="Q492" i="2" s="1"/>
  <c r="G163" i="2"/>
  <c r="Q163" i="2" s="1"/>
  <c r="G387" i="2"/>
  <c r="Q387" i="2" s="1"/>
  <c r="G339" i="2"/>
  <c r="Q339" i="2" s="1"/>
  <c r="G266" i="2"/>
  <c r="Q266" i="2" s="1"/>
  <c r="G384" i="2"/>
  <c r="Q384" i="2" s="1"/>
  <c r="G517" i="2"/>
  <c r="Q517" i="2" s="1"/>
  <c r="G315" i="2"/>
  <c r="Q315" i="2" s="1"/>
  <c r="F161" i="2"/>
  <c r="F120" i="2"/>
  <c r="F190" i="2"/>
  <c r="F147" i="2"/>
  <c r="F268" i="2"/>
  <c r="F436" i="2"/>
  <c r="F30" i="2"/>
  <c r="F306" i="2"/>
  <c r="F50" i="2"/>
  <c r="F529" i="2"/>
  <c r="F73" i="2"/>
  <c r="F102" i="2"/>
  <c r="F267" i="2"/>
  <c r="F258" i="2"/>
  <c r="G171" i="2"/>
  <c r="Q171" i="2" s="1"/>
  <c r="G354" i="2"/>
  <c r="Q354" i="2" s="1"/>
  <c r="G160" i="2"/>
  <c r="Q160" i="2" s="1"/>
  <c r="G249" i="2"/>
  <c r="Q249" i="2" s="1"/>
  <c r="G263" i="2"/>
  <c r="Q263" i="2" s="1"/>
  <c r="G521" i="2"/>
  <c r="Q521" i="2" s="1"/>
  <c r="G2" i="2"/>
  <c r="Q2" i="2" s="1"/>
  <c r="G107" i="2"/>
  <c r="Q107" i="2" s="1"/>
  <c r="G279" i="2"/>
  <c r="Q279" i="2" s="1"/>
  <c r="G528" i="2"/>
  <c r="Q528" i="2" s="1"/>
  <c r="G530" i="2"/>
  <c r="Q530" i="2" s="1"/>
  <c r="G91" i="2"/>
  <c r="Q91" i="2" s="1"/>
  <c r="G181" i="2"/>
  <c r="Q181" i="2" s="1"/>
  <c r="G270" i="2"/>
  <c r="Q270" i="2" s="1"/>
  <c r="F162" i="2"/>
  <c r="F373" i="2"/>
  <c r="F4" i="2"/>
  <c r="F33" i="2"/>
  <c r="F512" i="2"/>
  <c r="F242" i="2"/>
  <c r="F515" i="2"/>
  <c r="F381" i="2"/>
  <c r="F179" i="2"/>
  <c r="F199" i="2"/>
  <c r="F146" i="2"/>
  <c r="F93" i="2"/>
  <c r="F495" i="2"/>
  <c r="F298" i="2"/>
  <c r="F19" i="2"/>
  <c r="F59" i="2"/>
  <c r="F200" i="2"/>
  <c r="F328" i="2"/>
  <c r="F240" i="2"/>
  <c r="F474" i="2"/>
  <c r="F335" i="2"/>
  <c r="F187" i="2"/>
  <c r="F385" i="2"/>
  <c r="F136" i="2"/>
  <c r="F454" i="2"/>
  <c r="F117" i="2"/>
  <c r="F3" i="2"/>
  <c r="F139" i="2"/>
  <c r="F458" i="2"/>
  <c r="F92" i="2"/>
  <c r="F90" i="2"/>
  <c r="F375" i="2"/>
  <c r="F394" i="2"/>
  <c r="F325" i="2"/>
  <c r="F47" i="2"/>
  <c r="F88" i="2"/>
  <c r="F177" i="2"/>
  <c r="F126" i="2"/>
  <c r="F411" i="2"/>
  <c r="F421" i="2"/>
  <c r="F265" i="2"/>
  <c r="F167" i="2"/>
  <c r="F479" i="2"/>
  <c r="F186" i="2"/>
  <c r="F24" i="2"/>
  <c r="F313" i="2"/>
  <c r="F57" i="2"/>
  <c r="F376" i="2"/>
  <c r="F127" i="2"/>
  <c r="F377" i="2"/>
  <c r="F254" i="2"/>
  <c r="F290" i="2"/>
  <c r="F324" i="2"/>
  <c r="F353" i="2"/>
  <c r="F417" i="2"/>
  <c r="F302" i="2"/>
  <c r="F241" i="2"/>
  <c r="F460" i="2"/>
  <c r="F292" i="2"/>
  <c r="G63" i="2"/>
  <c r="Q63" i="2" s="1"/>
  <c r="G422" i="2"/>
  <c r="Q422" i="2" s="1"/>
  <c r="G205" i="2"/>
  <c r="Q205" i="2" s="1"/>
  <c r="G110" i="2"/>
  <c r="Q110" i="2" s="1"/>
  <c r="G178" i="2"/>
  <c r="Q178" i="2" s="1"/>
  <c r="G134" i="2"/>
  <c r="Q134" i="2" s="1"/>
  <c r="G76" i="2"/>
  <c r="Q76" i="2" s="1"/>
  <c r="G412" i="2"/>
  <c r="Q412" i="2" s="1"/>
  <c r="G78" i="2"/>
  <c r="Q78" i="2" s="1"/>
  <c r="G388" i="2"/>
  <c r="Q388" i="2" s="1"/>
  <c r="G55" i="2"/>
  <c r="Q55" i="2" s="1"/>
  <c r="G240" i="2"/>
  <c r="Q240" i="2" s="1"/>
  <c r="G401" i="2"/>
  <c r="Q401" i="2" s="1"/>
  <c r="G474" i="2"/>
  <c r="Q474" i="2" s="1"/>
  <c r="G351" i="2"/>
  <c r="Q351" i="2" s="1"/>
  <c r="G335" i="2"/>
  <c r="Q335" i="2" s="1"/>
  <c r="G470" i="2"/>
  <c r="Q470" i="2" s="1"/>
  <c r="G493" i="2"/>
  <c r="Q493" i="2" s="1"/>
  <c r="G187" i="2"/>
  <c r="Q187" i="2" s="1"/>
  <c r="G494" i="2"/>
  <c r="Q494" i="2" s="1"/>
  <c r="G385" i="2"/>
  <c r="Q385" i="2" s="1"/>
  <c r="G296" i="2"/>
  <c r="Q296" i="2" s="1"/>
  <c r="G275" i="2"/>
  <c r="Q275" i="2" s="1"/>
  <c r="G350" i="2"/>
  <c r="Q350" i="2" s="1"/>
  <c r="G346" i="2"/>
  <c r="Q346" i="2" s="1"/>
  <c r="F222" i="2"/>
  <c r="F86" i="2"/>
  <c r="F5" i="2"/>
  <c r="F180" i="2"/>
  <c r="F504" i="2"/>
  <c r="F358" i="2"/>
  <c r="F497" i="2"/>
  <c r="F227" i="2"/>
  <c r="F67" i="2"/>
  <c r="F85" i="2"/>
  <c r="F9" i="2"/>
  <c r="F157" i="2"/>
  <c r="F332" i="2"/>
  <c r="F469" i="2"/>
  <c r="F122" i="2"/>
  <c r="F10" i="2"/>
  <c r="F418" i="2"/>
  <c r="F498" i="2"/>
  <c r="F145" i="2"/>
  <c r="F194" i="2"/>
  <c r="F97" i="2"/>
  <c r="F64" i="2"/>
  <c r="F22" i="2"/>
  <c r="F39" i="2"/>
  <c r="F8" i="2"/>
  <c r="F244" i="2"/>
  <c r="F485" i="2"/>
  <c r="F506" i="2"/>
  <c r="F48" i="2"/>
  <c r="F364" i="2"/>
  <c r="F129" i="2"/>
  <c r="F400" i="2"/>
  <c r="F164" i="2"/>
  <c r="F317" i="2"/>
  <c r="F444" i="2"/>
  <c r="F203" i="2"/>
  <c r="F151" i="2"/>
  <c r="F397" i="2"/>
  <c r="F369" i="2"/>
  <c r="F188" i="2"/>
  <c r="F336" i="2"/>
  <c r="F416" i="2"/>
  <c r="F213" i="2"/>
  <c r="F520" i="2"/>
  <c r="F415" i="2"/>
  <c r="F305" i="2"/>
  <c r="F245" i="2"/>
  <c r="F232" i="2"/>
  <c r="F341" i="2"/>
  <c r="F518" i="2"/>
  <c r="F331" i="2"/>
  <c r="F130" i="2"/>
  <c r="G345" i="2"/>
  <c r="Q345" i="2" s="1"/>
  <c r="G226" i="2"/>
  <c r="Q226" i="2" s="1"/>
  <c r="G144" i="2"/>
  <c r="Q144" i="2" s="1"/>
  <c r="G98" i="2"/>
  <c r="Q98" i="2" s="1"/>
  <c r="G264" i="2"/>
  <c r="Q264" i="2" s="1"/>
  <c r="G83" i="2"/>
  <c r="Q83" i="2" s="1"/>
  <c r="G250" i="2"/>
  <c r="Q250" i="2" s="1"/>
  <c r="G71" i="2"/>
  <c r="Q71" i="2" s="1"/>
  <c r="G66" i="2"/>
  <c r="Q66" i="2" s="1"/>
  <c r="G28" i="2"/>
  <c r="Q28" i="2" s="1"/>
  <c r="G56" i="2"/>
  <c r="Q56" i="2" s="1"/>
  <c r="G112" i="2"/>
  <c r="Q112" i="2" s="1"/>
  <c r="G247" i="2"/>
  <c r="Q247" i="2" s="1"/>
  <c r="G463" i="2"/>
  <c r="Q463" i="2" s="1"/>
  <c r="G402" i="2"/>
  <c r="Q402" i="2" s="1"/>
  <c r="G155" i="2"/>
  <c r="Q155" i="2" s="1"/>
  <c r="G311" i="2"/>
  <c r="Q311" i="2" s="1"/>
  <c r="G141" i="2"/>
  <c r="Q141" i="2" s="1"/>
  <c r="G481" i="2"/>
  <c r="Q481" i="2" s="1"/>
  <c r="G12" i="2"/>
  <c r="Q12" i="2" s="1"/>
  <c r="G274" i="2"/>
  <c r="Q274" i="2" s="1"/>
  <c r="G40" i="2"/>
  <c r="Q40" i="2" s="1"/>
  <c r="G32" i="2"/>
  <c r="Q32" i="2" s="1"/>
  <c r="G196" i="2"/>
  <c r="Q196" i="2" s="1"/>
  <c r="G87" i="2"/>
  <c r="Q87" i="2" s="1"/>
  <c r="G140" i="2"/>
  <c r="Q140" i="2" s="1"/>
  <c r="G211" i="2"/>
  <c r="Q211" i="2" s="1"/>
  <c r="G65" i="2"/>
  <c r="Q65" i="2" s="1"/>
  <c r="G508" i="2"/>
  <c r="Q508" i="2" s="1"/>
  <c r="G21" i="2"/>
  <c r="Q21" i="2" s="1"/>
  <c r="G236" i="2"/>
  <c r="Q236" i="2" s="1"/>
  <c r="G406" i="2"/>
  <c r="Q406" i="2" s="1"/>
  <c r="G154" i="2"/>
  <c r="Q154" i="2" s="1"/>
  <c r="G273" i="2"/>
  <c r="Q273" i="2" s="1"/>
  <c r="G473" i="2"/>
  <c r="Q473" i="2" s="1"/>
  <c r="G349" i="2"/>
  <c r="Q349" i="2" s="1"/>
  <c r="G318" i="2"/>
  <c r="Q318" i="2" s="1"/>
  <c r="G116" i="2"/>
  <c r="Q116" i="2" s="1"/>
  <c r="G224" i="2"/>
  <c r="Q224" i="2" s="1"/>
  <c r="G282" i="2"/>
  <c r="Q282" i="2" s="1"/>
  <c r="G516" i="2"/>
  <c r="Q516" i="2" s="1"/>
  <c r="G414" i="2"/>
  <c r="Q414" i="2" s="1"/>
  <c r="G133" i="2"/>
  <c r="Q133" i="2" s="1"/>
  <c r="G382" i="2"/>
  <c r="Q382" i="2" s="1"/>
  <c r="G304" i="2"/>
  <c r="Q304" i="2" s="1"/>
  <c r="G395" i="2"/>
  <c r="Q395" i="2" s="1"/>
  <c r="G366" i="2"/>
  <c r="Q366" i="2" s="1"/>
  <c r="G94" i="2"/>
  <c r="Q94" i="2" s="1"/>
  <c r="G513" i="2"/>
  <c r="Q513" i="2" s="1"/>
  <c r="G301" i="2"/>
  <c r="Q301" i="2" s="1"/>
  <c r="G330" i="2"/>
  <c r="Q330" i="2" s="1"/>
  <c r="F171" i="2"/>
  <c r="F354" i="2"/>
  <c r="F160" i="2"/>
  <c r="F249" i="2"/>
  <c r="F263" i="2"/>
  <c r="F521" i="2"/>
  <c r="F2" i="2"/>
  <c r="F107" i="2"/>
  <c r="F279" i="2"/>
  <c r="F528" i="2"/>
  <c r="F530" i="2"/>
  <c r="F91" i="2"/>
  <c r="F181" i="2"/>
  <c r="F270" i="2"/>
  <c r="G201" i="2"/>
  <c r="Q201" i="2" s="1"/>
  <c r="G361" i="2"/>
  <c r="Q361" i="2" s="1"/>
  <c r="G238" i="2"/>
  <c r="Q238" i="2" s="1"/>
  <c r="G252" i="2"/>
  <c r="Q252" i="2" s="1"/>
  <c r="G60" i="2"/>
  <c r="Q60" i="2" s="1"/>
  <c r="G434" i="2"/>
  <c r="Q434" i="2" s="1"/>
  <c r="G510" i="2"/>
  <c r="Q510" i="2" s="1"/>
  <c r="G79" i="2"/>
  <c r="Q79" i="2" s="1"/>
  <c r="G326" i="2"/>
  <c r="Q326" i="2" s="1"/>
  <c r="G285" i="2"/>
  <c r="Q285" i="2" s="1"/>
  <c r="G450" i="2"/>
  <c r="Q450" i="2" s="1"/>
  <c r="G174" i="2"/>
  <c r="Q174" i="2" s="1"/>
  <c r="G446" i="2"/>
  <c r="Q446" i="2" s="1"/>
  <c r="G233" i="2"/>
  <c r="Q233" i="2" s="1"/>
  <c r="F111" i="2"/>
  <c r="F52" i="2"/>
  <c r="F442" i="2"/>
  <c r="F109" i="2"/>
  <c r="F135" i="2"/>
  <c r="F16" i="2"/>
  <c r="F208" i="2"/>
  <c r="F482" i="2"/>
  <c r="F191" i="2"/>
  <c r="G101" i="2"/>
  <c r="Q101" i="2" s="1"/>
  <c r="F451" i="2"/>
  <c r="F423" i="2"/>
  <c r="F108" i="2"/>
  <c r="F121" i="2"/>
  <c r="F104" i="2"/>
  <c r="F176" i="2"/>
  <c r="F72" i="2"/>
  <c r="F357" i="2"/>
  <c r="F114" i="2"/>
  <c r="F143" i="2"/>
  <c r="F323" i="2"/>
  <c r="F197" i="2"/>
  <c r="F448" i="2"/>
  <c r="F379" i="2"/>
  <c r="F31" i="2"/>
  <c r="F18" i="2"/>
  <c r="F68" i="2"/>
  <c r="F262" i="2"/>
  <c r="F420" i="2"/>
  <c r="F468" i="2"/>
  <c r="F329" i="2"/>
  <c r="F69" i="2"/>
  <c r="F7" i="2"/>
  <c r="F168" i="2"/>
  <c r="F152" i="2"/>
  <c r="F320" i="2"/>
  <c r="F217" i="2"/>
  <c r="F310" i="2"/>
  <c r="F389" i="2"/>
  <c r="F6" i="2"/>
  <c r="F169" i="2"/>
  <c r="F378" i="2"/>
  <c r="F106" i="2"/>
  <c r="F123" i="2"/>
  <c r="F441" i="2"/>
  <c r="F321" i="2"/>
  <c r="F340" i="2"/>
  <c r="F26" i="2"/>
  <c r="F471" i="2"/>
  <c r="F11" i="2"/>
  <c r="F228" i="2"/>
  <c r="F25" i="2"/>
  <c r="F465" i="2"/>
  <c r="F246" i="2"/>
  <c r="F291" i="2"/>
  <c r="F403" i="2"/>
  <c r="F413" i="2"/>
  <c r="F214" i="2"/>
  <c r="F355" i="2"/>
  <c r="F212" i="2"/>
  <c r="F464" i="2"/>
  <c r="F259" i="2"/>
  <c r="F380" i="2"/>
  <c r="F462" i="2"/>
  <c r="G136" i="2"/>
  <c r="Q136" i="2" s="1"/>
  <c r="G185" i="2"/>
  <c r="Q185" i="2" s="1"/>
  <c r="G54" i="2"/>
  <c r="Q54" i="2" s="1"/>
  <c r="G454" i="2"/>
  <c r="Q454" i="2" s="1"/>
  <c r="G503" i="2"/>
  <c r="Q503" i="2" s="1"/>
  <c r="G408" i="2"/>
  <c r="Q408" i="2" s="1"/>
  <c r="G117" i="2"/>
  <c r="Q117" i="2" s="1"/>
  <c r="G103" i="2"/>
  <c r="Q103" i="2" s="1"/>
  <c r="G153" i="2"/>
  <c r="Q153" i="2" s="1"/>
  <c r="G3" i="2"/>
  <c r="Q3" i="2" s="1"/>
  <c r="G278" i="2"/>
  <c r="Q278" i="2" s="1"/>
  <c r="G225" i="2"/>
  <c r="Q225" i="2" s="1"/>
  <c r="G365" i="2"/>
  <c r="Q365" i="2" s="1"/>
  <c r="G139" i="2"/>
  <c r="Q139" i="2" s="1"/>
  <c r="G456" i="2"/>
  <c r="Q456" i="2" s="1"/>
  <c r="G77" i="2"/>
  <c r="Q77" i="2" s="1"/>
  <c r="G458" i="2"/>
  <c r="Q458" i="2" s="1"/>
  <c r="G371" i="2"/>
  <c r="Q371" i="2" s="1"/>
  <c r="G23" i="2"/>
  <c r="Q23" i="2" s="1"/>
  <c r="G92" i="2"/>
  <c r="Q92" i="2" s="1"/>
  <c r="G337" i="2"/>
  <c r="Q337" i="2" s="1"/>
  <c r="G443" i="2"/>
  <c r="Q443" i="2" s="1"/>
  <c r="G90" i="2"/>
  <c r="Q90" i="2" s="1"/>
  <c r="G166" i="2"/>
  <c r="Q166" i="2" s="1"/>
  <c r="G347" i="2"/>
  <c r="Q347" i="2" s="1"/>
  <c r="G375" i="2"/>
  <c r="Q375" i="2" s="1"/>
  <c r="G368" i="2"/>
  <c r="Q368" i="2" s="1"/>
  <c r="G489" i="2"/>
  <c r="Q489" i="2" s="1"/>
  <c r="G198" i="2"/>
  <c r="Q198" i="2" s="1"/>
  <c r="G419" i="2"/>
  <c r="Q419" i="2" s="1"/>
  <c r="G99" i="2"/>
  <c r="Q99" i="2" s="1"/>
  <c r="G333" i="2"/>
  <c r="Q333" i="2" s="1"/>
  <c r="G393" i="2"/>
  <c r="Q393" i="2" s="1"/>
  <c r="G281" i="2"/>
  <c r="Q281" i="2" s="1"/>
  <c r="G483" i="2"/>
  <c r="Q483" i="2" s="1"/>
  <c r="G352" i="2"/>
  <c r="Q352" i="2" s="1"/>
  <c r="G271" i="2"/>
  <c r="Q271" i="2" s="1"/>
  <c r="G472" i="2"/>
  <c r="Q472" i="2" s="1"/>
  <c r="G287" i="2"/>
  <c r="Q287" i="2" s="1"/>
  <c r="G343" i="2"/>
  <c r="Q343" i="2" s="1"/>
  <c r="G125" i="2"/>
  <c r="Q125" i="2" s="1"/>
  <c r="G215" i="2"/>
  <c r="Q215" i="2" s="1"/>
  <c r="G237" i="2"/>
  <c r="Q237" i="2" s="1"/>
  <c r="G491" i="2"/>
  <c r="Q491" i="2" s="1"/>
  <c r="G303" i="2"/>
  <c r="Q303" i="2" s="1"/>
  <c r="G394" i="2"/>
  <c r="Q394" i="2" s="1"/>
  <c r="G338" i="2"/>
  <c r="Q338" i="2" s="1"/>
  <c r="G359" i="2"/>
  <c r="Q359" i="2" s="1"/>
  <c r="G383" i="2"/>
  <c r="Q383" i="2" s="1"/>
  <c r="G325" i="2"/>
  <c r="Q325" i="2" s="1"/>
  <c r="G53" i="2"/>
  <c r="Q53" i="2" s="1"/>
  <c r="F201" i="2"/>
  <c r="F361" i="2"/>
  <c r="F238" i="2"/>
  <c r="F252" i="2"/>
  <c r="F60" i="2"/>
  <c r="F434" i="2"/>
  <c r="F510" i="2"/>
  <c r="F79" i="2"/>
  <c r="F326" i="2"/>
  <c r="F285" i="2"/>
  <c r="F450" i="2"/>
  <c r="F174" i="2"/>
  <c r="F446" i="2"/>
  <c r="F233" i="2"/>
  <c r="G334" i="2"/>
  <c r="Q334" i="2" s="1"/>
  <c r="G360" i="2"/>
  <c r="Q360" i="2" s="1"/>
  <c r="G206" i="2"/>
  <c r="Q206" i="2" s="1"/>
  <c r="G438" i="2"/>
  <c r="Q438" i="2" s="1"/>
  <c r="G475" i="2"/>
  <c r="Q475" i="2" s="1"/>
  <c r="G118" i="2"/>
  <c r="Q118" i="2" s="1"/>
  <c r="G486" i="2"/>
  <c r="Q486" i="2" s="1"/>
  <c r="G251" i="2"/>
  <c r="Q251" i="2" s="1"/>
  <c r="G307" i="2"/>
  <c r="Q307" i="2" s="1"/>
  <c r="G527" i="2"/>
  <c r="Q527" i="2" s="1"/>
  <c r="G316" i="2"/>
  <c r="Q316" i="2" s="1"/>
  <c r="G440" i="2"/>
  <c r="Q440" i="2" s="1"/>
  <c r="G20" i="2"/>
  <c r="Q20" i="2" s="1"/>
  <c r="G61" i="2"/>
  <c r="Q61" i="2" s="1"/>
  <c r="G235" i="2"/>
  <c r="Q235" i="2" s="1"/>
  <c r="G177" i="2"/>
  <c r="Q177" i="2" s="1"/>
  <c r="G150" i="2"/>
  <c r="Q150" i="2" s="1"/>
  <c r="G126" i="2"/>
  <c r="Q126" i="2" s="1"/>
  <c r="G461" i="2"/>
  <c r="Q461" i="2" s="1"/>
  <c r="G411" i="2"/>
  <c r="Q411" i="2" s="1"/>
  <c r="G223" i="2"/>
  <c r="Q223" i="2" s="1"/>
  <c r="G421" i="2"/>
  <c r="Q421" i="2" s="1"/>
  <c r="G390" i="2"/>
  <c r="Q390" i="2" s="1"/>
  <c r="G265" i="2"/>
  <c r="Q265" i="2" s="1"/>
  <c r="G128" i="2"/>
  <c r="Q128" i="2" s="1"/>
  <c r="G167" i="2"/>
  <c r="Q167" i="2" s="1"/>
  <c r="G62" i="2"/>
  <c r="Q62" i="2" s="1"/>
  <c r="G479" i="2"/>
  <c r="Q479" i="2" s="1"/>
  <c r="G41" i="2"/>
  <c r="Q41" i="2" s="1"/>
  <c r="G186" i="2"/>
  <c r="Q186" i="2" s="1"/>
  <c r="G407" i="2"/>
  <c r="Q407" i="2" s="1"/>
  <c r="G24" i="2"/>
  <c r="Q24" i="2" s="1"/>
  <c r="G113" i="2"/>
  <c r="Q113" i="2" s="1"/>
  <c r="G313" i="2"/>
  <c r="Q313" i="2" s="1"/>
  <c r="G280" i="2"/>
  <c r="Q280" i="2" s="1"/>
  <c r="G57" i="2"/>
  <c r="Q57" i="2" s="1"/>
  <c r="G221" i="2"/>
  <c r="Q221" i="2" s="1"/>
  <c r="G376" i="2"/>
  <c r="Q376" i="2" s="1"/>
  <c r="G299" i="2"/>
  <c r="Q299" i="2" s="1"/>
  <c r="G127" i="2"/>
  <c r="Q127" i="2" s="1"/>
  <c r="G398" i="2"/>
  <c r="Q398" i="2" s="1"/>
  <c r="G377" i="2"/>
  <c r="Q377" i="2" s="1"/>
  <c r="G488" i="2"/>
  <c r="Q488" i="2" s="1"/>
  <c r="G254" i="2"/>
  <c r="Q254" i="2" s="1"/>
  <c r="G490" i="2"/>
  <c r="Q490" i="2" s="1"/>
  <c r="G487" i="2"/>
  <c r="Q487" i="2" s="1"/>
  <c r="G290" i="2"/>
  <c r="Q290" i="2" s="1"/>
  <c r="G501" i="2"/>
  <c r="Q501" i="2" s="1"/>
  <c r="G324" i="2"/>
  <c r="Q324" i="2" s="1"/>
  <c r="G509" i="2"/>
  <c r="Q509" i="2" s="1"/>
  <c r="G353" i="2"/>
  <c r="Q353" i="2" s="1"/>
  <c r="G297" i="2"/>
  <c r="Q297" i="2" s="1"/>
  <c r="G417" i="2"/>
  <c r="Q417" i="2" s="1"/>
  <c r="G391" i="2"/>
  <c r="Q391" i="2" s="1"/>
  <c r="G302" i="2"/>
  <c r="Q302" i="2" s="1"/>
  <c r="G459" i="2"/>
  <c r="Q459" i="2" s="1"/>
  <c r="G241" i="2"/>
  <c r="Q241" i="2" s="1"/>
  <c r="G480" i="2"/>
  <c r="Q480" i="2" s="1"/>
  <c r="G460" i="2"/>
  <c r="Q460" i="2" s="1"/>
  <c r="G170" i="2"/>
  <c r="Q170" i="2" s="1"/>
  <c r="G292" i="2"/>
  <c r="Q292" i="2" s="1"/>
  <c r="F334" i="2"/>
  <c r="F360" i="2"/>
  <c r="F206" i="2"/>
  <c r="F438" i="2"/>
  <c r="F475" i="2"/>
  <c r="F118" i="2"/>
  <c r="F486" i="2"/>
  <c r="F251" i="2"/>
  <c r="F307" i="2"/>
  <c r="F527" i="2"/>
  <c r="F316" i="2"/>
  <c r="F440" i="2"/>
  <c r="F20" i="2"/>
  <c r="F61" i="2"/>
  <c r="F235" i="2"/>
  <c r="G322" i="2"/>
  <c r="Q322" i="2" s="1"/>
  <c r="G362" i="2"/>
  <c r="Q362" i="2" s="1"/>
  <c r="G216" i="2"/>
  <c r="Q216" i="2" s="1"/>
  <c r="G309" i="2"/>
  <c r="Q309" i="2" s="1"/>
  <c r="G43" i="2"/>
  <c r="Q43" i="2" s="1"/>
  <c r="G96" i="2"/>
  <c r="Q96" i="2" s="1"/>
  <c r="G327" i="2"/>
  <c r="Q327" i="2" s="1"/>
  <c r="G210" i="2"/>
  <c r="Q210" i="2" s="1"/>
  <c r="G257" i="2"/>
  <c r="Q257" i="2" s="1"/>
  <c r="G522" i="2"/>
  <c r="Q522" i="2" s="1"/>
  <c r="G284" i="2"/>
  <c r="Q284" i="2" s="1"/>
  <c r="G46" i="2"/>
  <c r="Q46" i="2" s="1"/>
  <c r="F231" i="2"/>
  <c r="F230" i="2"/>
  <c r="F75" i="2"/>
  <c r="F312" i="2"/>
  <c r="F477" i="2"/>
  <c r="F392" i="2"/>
  <c r="F142" i="2"/>
  <c r="F519" i="2"/>
  <c r="G95" i="2"/>
  <c r="Q95" i="2" s="1"/>
  <c r="F439" i="2"/>
  <c r="F119" i="2"/>
  <c r="F49" i="2"/>
  <c r="F502" i="2"/>
  <c r="F148" i="2"/>
  <c r="F44" i="2"/>
  <c r="F255" i="2"/>
  <c r="F115" i="2"/>
  <c r="F159" i="2"/>
  <c r="F399" i="2"/>
  <c r="F35" i="2"/>
  <c r="F367" i="2"/>
  <c r="F457" i="2"/>
  <c r="F193" i="2"/>
  <c r="F499" i="2"/>
  <c r="F507" i="2"/>
  <c r="F256" i="2"/>
  <c r="F505" i="2"/>
  <c r="F356" i="2"/>
  <c r="F283" i="2"/>
  <c r="F386" i="2"/>
  <c r="F184" i="2"/>
  <c r="F514" i="2"/>
  <c r="F466" i="2"/>
  <c r="F229" i="2"/>
  <c r="F344" i="2"/>
  <c r="F526" i="2"/>
  <c r="G86" i="2"/>
  <c r="Q86" i="2" s="1"/>
  <c r="G5" i="2"/>
  <c r="Q5" i="2" s="1"/>
  <c r="G180" i="2"/>
  <c r="Q180" i="2" s="1"/>
  <c r="G504" i="2"/>
  <c r="Q504" i="2" s="1"/>
  <c r="G358" i="2"/>
  <c r="Q358" i="2" s="1"/>
  <c r="G497" i="2"/>
  <c r="Q497" i="2" s="1"/>
  <c r="G227" i="2"/>
  <c r="Q227" i="2" s="1"/>
  <c r="G67" i="2"/>
  <c r="Q67" i="2" s="1"/>
  <c r="G85" i="2"/>
  <c r="Q85" i="2" s="1"/>
  <c r="G9" i="2"/>
  <c r="Q9" i="2" s="1"/>
  <c r="G157" i="2"/>
  <c r="Q157" i="2" s="1"/>
  <c r="G332" i="2"/>
  <c r="Q332" i="2" s="1"/>
  <c r="G469" i="2"/>
  <c r="Q469" i="2" s="1"/>
  <c r="G122" i="2"/>
  <c r="Q122" i="2" s="1"/>
  <c r="G10" i="2"/>
  <c r="Q10" i="2" s="1"/>
  <c r="G418" i="2"/>
  <c r="Q418" i="2" s="1"/>
  <c r="G498" i="2"/>
  <c r="Q498" i="2" s="1"/>
  <c r="G145" i="2"/>
  <c r="Q145" i="2" s="1"/>
  <c r="G194" i="2"/>
  <c r="Q194" i="2" s="1"/>
  <c r="G97" i="2"/>
  <c r="Q97" i="2" s="1"/>
  <c r="G64" i="2"/>
  <c r="Q64" i="2" s="1"/>
  <c r="G22" i="2"/>
  <c r="Q22" i="2" s="1"/>
  <c r="G39" i="2"/>
  <c r="Q39" i="2" s="1"/>
  <c r="G8" i="2"/>
  <c r="Q8" i="2" s="1"/>
  <c r="G244" i="2"/>
  <c r="Q244" i="2" s="1"/>
  <c r="G485" i="2"/>
  <c r="Q485" i="2" s="1"/>
  <c r="G506" i="2"/>
  <c r="Q506" i="2" s="1"/>
  <c r="G48" i="2"/>
  <c r="Q48" i="2" s="1"/>
  <c r="G364" i="2"/>
  <c r="Q364" i="2" s="1"/>
  <c r="G129" i="2"/>
  <c r="Q129" i="2" s="1"/>
  <c r="G400" i="2"/>
  <c r="Q400" i="2" s="1"/>
  <c r="G164" i="2"/>
  <c r="Q164" i="2" s="1"/>
  <c r="G317" i="2"/>
  <c r="Q317" i="2" s="1"/>
  <c r="G444" i="2"/>
  <c r="Q444" i="2" s="1"/>
  <c r="G203" i="2"/>
  <c r="Q203" i="2" s="1"/>
  <c r="G151" i="2"/>
  <c r="Q151" i="2" s="1"/>
  <c r="G397" i="2"/>
  <c r="Q397" i="2" s="1"/>
  <c r="G369" i="2"/>
  <c r="Q369" i="2" s="1"/>
  <c r="G188" i="2"/>
  <c r="Q188" i="2" s="1"/>
  <c r="G336" i="2"/>
  <c r="Q336" i="2" s="1"/>
  <c r="G416" i="2"/>
  <c r="Q416" i="2" s="1"/>
  <c r="G213" i="2"/>
  <c r="Q213" i="2" s="1"/>
  <c r="G520" i="2"/>
  <c r="Q520" i="2" s="1"/>
  <c r="G415" i="2"/>
  <c r="Q415" i="2" s="1"/>
  <c r="G305" i="2"/>
  <c r="Q305" i="2" s="1"/>
  <c r="G245" i="2"/>
  <c r="Q245" i="2" s="1"/>
  <c r="G232" i="2"/>
  <c r="Q232" i="2" s="1"/>
  <c r="G341" i="2"/>
  <c r="Q341" i="2" s="1"/>
  <c r="G518" i="2"/>
  <c r="Q518" i="2" s="1"/>
  <c r="G331" i="2"/>
  <c r="Q331" i="2" s="1"/>
  <c r="G130" i="2"/>
  <c r="Q130" i="2" s="1"/>
  <c r="F322" i="2"/>
  <c r="F362" i="2"/>
  <c r="F216" i="2"/>
  <c r="F309" i="2"/>
  <c r="F43" i="2"/>
  <c r="F96" i="2"/>
  <c r="F327" i="2"/>
  <c r="F210" i="2"/>
  <c r="F257" i="2"/>
  <c r="F522" i="2"/>
  <c r="F284" i="2"/>
  <c r="F46" i="2"/>
  <c r="G269" i="2"/>
  <c r="Q269" i="2" s="1"/>
  <c r="G173" i="2"/>
  <c r="Q173" i="2" s="1"/>
  <c r="G70" i="2"/>
  <c r="Q70" i="2" s="1"/>
  <c r="G36" i="2"/>
  <c r="Q36" i="2" s="1"/>
  <c r="G372" i="2"/>
  <c r="Q372" i="2" s="1"/>
  <c r="G239" i="2"/>
  <c r="Q239" i="2" s="1"/>
  <c r="G158" i="2"/>
  <c r="Q158" i="2" s="1"/>
  <c r="G289" i="2"/>
  <c r="Q289" i="2" s="1"/>
  <c r="G293" i="2"/>
  <c r="Q293" i="2" s="1"/>
  <c r="G523" i="2"/>
  <c r="Q523" i="2" s="1"/>
  <c r="G286" i="2"/>
  <c r="Q286" i="2" s="1"/>
  <c r="G172" i="2"/>
  <c r="Q172" i="2" s="1"/>
  <c r="G183" i="2"/>
  <c r="Q183" i="2" s="1"/>
  <c r="G524" i="2"/>
  <c r="Q524" i="2" s="1"/>
  <c r="G295" i="2"/>
  <c r="Q295" i="2" s="1"/>
  <c r="G202" i="2"/>
  <c r="Q202" i="2" s="1"/>
  <c r="G248" i="2"/>
  <c r="Q248" i="2" s="1"/>
  <c r="I102" i="2" l="1"/>
  <c r="P102" i="2"/>
  <c r="I459" i="2"/>
  <c r="P459" i="2"/>
  <c r="I383" i="2"/>
  <c r="P383" i="2"/>
  <c r="I387" i="2"/>
  <c r="P387" i="2"/>
  <c r="I393" i="2"/>
  <c r="P393" i="2"/>
  <c r="I470" i="2"/>
  <c r="P470" i="2"/>
  <c r="I58" i="2"/>
  <c r="P58" i="2"/>
  <c r="I34" i="2"/>
  <c r="P34" i="2"/>
  <c r="I301" i="2"/>
  <c r="P301" i="2"/>
  <c r="I273" i="2"/>
  <c r="P273" i="2"/>
  <c r="I141" i="2"/>
  <c r="P141" i="2"/>
  <c r="I289" i="2"/>
  <c r="P289" i="2"/>
  <c r="I37" i="2"/>
  <c r="P37" i="2"/>
  <c r="I96" i="2"/>
  <c r="P96" i="2"/>
  <c r="I502" i="2"/>
  <c r="P502" i="2"/>
  <c r="I440" i="2"/>
  <c r="P440" i="2"/>
  <c r="I321" i="2"/>
  <c r="P321" i="2"/>
  <c r="I197" i="2"/>
  <c r="P197" i="2"/>
  <c r="I354" i="2"/>
  <c r="P354" i="2"/>
  <c r="I164" i="2"/>
  <c r="P164" i="2"/>
  <c r="I504" i="2"/>
  <c r="P504" i="2"/>
  <c r="I265" i="2"/>
  <c r="P265" i="2"/>
  <c r="I335" i="2"/>
  <c r="P335" i="2"/>
  <c r="I512" i="2"/>
  <c r="P512" i="2"/>
  <c r="I50" i="2"/>
  <c r="P50" i="2"/>
  <c r="I280" i="2"/>
  <c r="P280" i="2"/>
  <c r="I281" i="2"/>
  <c r="P281" i="2"/>
  <c r="I182" i="2"/>
  <c r="P182" i="2"/>
  <c r="I491" i="2"/>
  <c r="P491" i="2"/>
  <c r="I492" i="2"/>
  <c r="P492" i="2"/>
  <c r="I366" i="2"/>
  <c r="P366" i="2"/>
  <c r="I211" i="2"/>
  <c r="P211" i="2"/>
  <c r="I56" i="2"/>
  <c r="P56" i="2"/>
  <c r="I110" i="2"/>
  <c r="P110" i="2"/>
  <c r="I322" i="2"/>
  <c r="P322" i="2"/>
  <c r="I526" i="2"/>
  <c r="P526" i="2"/>
  <c r="I255" i="2"/>
  <c r="P255" i="2"/>
  <c r="I434" i="2"/>
  <c r="P434" i="2"/>
  <c r="I441" i="2"/>
  <c r="P441" i="2"/>
  <c r="I31" i="2"/>
  <c r="P31" i="2"/>
  <c r="I111" i="2"/>
  <c r="P111" i="2"/>
  <c r="I181" i="2"/>
  <c r="P181" i="2"/>
  <c r="I520" i="2"/>
  <c r="P520" i="2"/>
  <c r="I506" i="2"/>
  <c r="P506" i="2"/>
  <c r="I157" i="2"/>
  <c r="P157" i="2"/>
  <c r="I302" i="2"/>
  <c r="P302" i="2"/>
  <c r="I290" i="2"/>
  <c r="P290" i="2"/>
  <c r="I186" i="2"/>
  <c r="P186" i="2"/>
  <c r="I421" i="2"/>
  <c r="P421" i="2"/>
  <c r="I88" i="2"/>
  <c r="P88" i="2"/>
  <c r="I139" i="2"/>
  <c r="P139" i="2"/>
  <c r="I136" i="2"/>
  <c r="P136" i="2"/>
  <c r="I474" i="2"/>
  <c r="P474" i="2"/>
  <c r="I59" i="2"/>
  <c r="P59" i="2"/>
  <c r="I93" i="2"/>
  <c r="P93" i="2"/>
  <c r="I381" i="2"/>
  <c r="P381" i="2"/>
  <c r="I33" i="2"/>
  <c r="P33" i="2"/>
  <c r="I306" i="2"/>
  <c r="P306" i="2"/>
  <c r="I147" i="2"/>
  <c r="P147" i="2"/>
  <c r="I501" i="2"/>
  <c r="P501" i="2"/>
  <c r="I398" i="2"/>
  <c r="P398" i="2"/>
  <c r="I113" i="2"/>
  <c r="P113" i="2"/>
  <c r="I128" i="2"/>
  <c r="P128" i="2"/>
  <c r="I150" i="2"/>
  <c r="P150" i="2"/>
  <c r="I287" i="2"/>
  <c r="P287" i="2"/>
  <c r="I333" i="2"/>
  <c r="P333" i="2"/>
  <c r="I443" i="2"/>
  <c r="P443" i="2"/>
  <c r="I153" i="2"/>
  <c r="P153" i="2"/>
  <c r="I124" i="2"/>
  <c r="P124" i="2"/>
  <c r="I205" i="2"/>
  <c r="P205" i="2"/>
  <c r="I42" i="2"/>
  <c r="P42" i="2"/>
  <c r="I342" i="2"/>
  <c r="P342" i="2"/>
  <c r="I300" i="2"/>
  <c r="P300" i="2"/>
  <c r="I13" i="2"/>
  <c r="P13" i="2"/>
  <c r="I192" i="2"/>
  <c r="P192" i="2"/>
  <c r="I452" i="2"/>
  <c r="P452" i="2"/>
  <c r="I53" i="2"/>
  <c r="P53" i="2"/>
  <c r="I215" i="2"/>
  <c r="P215" i="2"/>
  <c r="I166" i="2"/>
  <c r="P166" i="2"/>
  <c r="I365" i="2"/>
  <c r="P365" i="2"/>
  <c r="I185" i="2"/>
  <c r="P185" i="2"/>
  <c r="I78" i="2"/>
  <c r="P78" i="2"/>
  <c r="I496" i="2"/>
  <c r="P496" i="2"/>
  <c r="I132" i="2"/>
  <c r="P132" i="2"/>
  <c r="I218" i="2"/>
  <c r="P218" i="2"/>
  <c r="I105" i="2"/>
  <c r="P105" i="2"/>
  <c r="I295" i="2"/>
  <c r="P295" i="2"/>
  <c r="I511" i="2"/>
  <c r="P511" i="2"/>
  <c r="I395" i="2"/>
  <c r="P395" i="2"/>
  <c r="I414" i="2"/>
  <c r="P414" i="2"/>
  <c r="I116" i="2"/>
  <c r="P116" i="2"/>
  <c r="I21" i="2"/>
  <c r="P21" i="2"/>
  <c r="I140" i="2"/>
  <c r="P140" i="2"/>
  <c r="I40" i="2"/>
  <c r="P40" i="2"/>
  <c r="I463" i="2"/>
  <c r="P463" i="2"/>
  <c r="I28" i="2"/>
  <c r="P28" i="2"/>
  <c r="I83" i="2"/>
  <c r="P83" i="2"/>
  <c r="I226" i="2"/>
  <c r="P226" i="2"/>
  <c r="I172" i="2"/>
  <c r="P172" i="2"/>
  <c r="I36" i="2"/>
  <c r="P36" i="2"/>
  <c r="I346" i="2"/>
  <c r="P346" i="2"/>
  <c r="I275" i="2"/>
  <c r="P275" i="2"/>
  <c r="I294" i="2"/>
  <c r="P294" i="2"/>
  <c r="I455" i="2"/>
  <c r="P455" i="2"/>
  <c r="I422" i="2"/>
  <c r="P422" i="2"/>
  <c r="I276" i="2"/>
  <c r="P276" i="2"/>
  <c r="I260" i="2"/>
  <c r="P260" i="2"/>
  <c r="I522" i="2"/>
  <c r="P522" i="2"/>
  <c r="I362" i="2"/>
  <c r="P362" i="2"/>
  <c r="I507" i="2"/>
  <c r="P507" i="2"/>
  <c r="I477" i="2"/>
  <c r="P477" i="2"/>
  <c r="I438" i="2"/>
  <c r="P438" i="2"/>
  <c r="I450" i="2"/>
  <c r="P450" i="2"/>
  <c r="I378" i="2"/>
  <c r="P378" i="2"/>
  <c r="I468" i="2"/>
  <c r="P468" i="2"/>
  <c r="I121" i="2"/>
  <c r="P121" i="2"/>
  <c r="I521" i="2"/>
  <c r="P521" i="2"/>
  <c r="I336" i="2"/>
  <c r="P336" i="2"/>
  <c r="I8" i="2"/>
  <c r="P8" i="2"/>
  <c r="I332" i="2"/>
  <c r="P332" i="2"/>
  <c r="I127" i="2"/>
  <c r="P127" i="2"/>
  <c r="I394" i="2"/>
  <c r="P394" i="2"/>
  <c r="I495" i="2"/>
  <c r="P495" i="2"/>
  <c r="I162" i="2"/>
  <c r="P162" i="2"/>
  <c r="I267" i="2"/>
  <c r="P267" i="2"/>
  <c r="I161" i="2"/>
  <c r="P161" i="2"/>
  <c r="I509" i="2"/>
  <c r="P509" i="2"/>
  <c r="I461" i="2"/>
  <c r="P461" i="2"/>
  <c r="I225" i="2"/>
  <c r="P225" i="2"/>
  <c r="I209" i="2"/>
  <c r="P209" i="2"/>
  <c r="I456" i="2"/>
  <c r="P456" i="2"/>
  <c r="I195" i="2"/>
  <c r="P195" i="2"/>
  <c r="I202" i="2"/>
  <c r="P202" i="2"/>
  <c r="I330" i="2"/>
  <c r="P330" i="2"/>
  <c r="I236" i="2"/>
  <c r="P236" i="2"/>
  <c r="I402" i="2"/>
  <c r="P402" i="2"/>
  <c r="I269" i="2"/>
  <c r="P269" i="2"/>
  <c r="I384" i="2"/>
  <c r="P384" i="2"/>
  <c r="I277" i="2"/>
  <c r="P277" i="2"/>
  <c r="I138" i="2"/>
  <c r="P138" i="2"/>
  <c r="I43" i="2"/>
  <c r="P43" i="2"/>
  <c r="I514" i="2"/>
  <c r="P514" i="2"/>
  <c r="I49" i="2"/>
  <c r="P49" i="2"/>
  <c r="I486" i="2"/>
  <c r="P486" i="2"/>
  <c r="I233" i="2"/>
  <c r="P233" i="2"/>
  <c r="I471" i="2"/>
  <c r="P471" i="2"/>
  <c r="I420" i="2"/>
  <c r="P420" i="2"/>
  <c r="I72" i="2"/>
  <c r="P72" i="2"/>
  <c r="I135" i="2"/>
  <c r="P135" i="2"/>
  <c r="I171" i="2"/>
  <c r="P171" i="2"/>
  <c r="I130" i="2"/>
  <c r="P130" i="2"/>
  <c r="I188" i="2"/>
  <c r="P188" i="2"/>
  <c r="I400" i="2"/>
  <c r="P400" i="2"/>
  <c r="I39" i="2"/>
  <c r="P39" i="2"/>
  <c r="I227" i="2"/>
  <c r="P227" i="2"/>
  <c r="I376" i="2"/>
  <c r="P376" i="2"/>
  <c r="I210" i="2"/>
  <c r="P210" i="2"/>
  <c r="I309" i="2"/>
  <c r="P309" i="2"/>
  <c r="I184" i="2"/>
  <c r="P184" i="2"/>
  <c r="I193" i="2"/>
  <c r="P193" i="2"/>
  <c r="I44" i="2"/>
  <c r="P44" i="2"/>
  <c r="I142" i="2"/>
  <c r="P142" i="2"/>
  <c r="I75" i="2"/>
  <c r="P75" i="2"/>
  <c r="I61" i="2"/>
  <c r="P61" i="2"/>
  <c r="I118" i="2"/>
  <c r="P118" i="2"/>
  <c r="I326" i="2"/>
  <c r="P326" i="2"/>
  <c r="I201" i="2"/>
  <c r="P201" i="2"/>
  <c r="I212" i="2"/>
  <c r="P212" i="2"/>
  <c r="I25" i="2"/>
  <c r="P25" i="2"/>
  <c r="I123" i="2"/>
  <c r="P123" i="2"/>
  <c r="I320" i="2"/>
  <c r="P320" i="2"/>
  <c r="I262" i="2"/>
  <c r="P262" i="2"/>
  <c r="I379" i="2"/>
  <c r="P379" i="2"/>
  <c r="I176" i="2"/>
  <c r="P176" i="2"/>
  <c r="I482" i="2"/>
  <c r="P482" i="2"/>
  <c r="I109" i="2"/>
  <c r="P109" i="2"/>
  <c r="I107" i="2"/>
  <c r="P107" i="2"/>
  <c r="I245" i="2"/>
  <c r="P245" i="2"/>
  <c r="I369" i="2"/>
  <c r="P369" i="2"/>
  <c r="I129" i="2"/>
  <c r="P129" i="2"/>
  <c r="I22" i="2"/>
  <c r="P22" i="2"/>
  <c r="I122" i="2"/>
  <c r="P122" i="2"/>
  <c r="I497" i="2"/>
  <c r="P497" i="2"/>
  <c r="I417" i="2"/>
  <c r="P417" i="2"/>
  <c r="I57" i="2"/>
  <c r="P57" i="2"/>
  <c r="I411" i="2"/>
  <c r="P411" i="2"/>
  <c r="I90" i="2"/>
  <c r="P90" i="2"/>
  <c r="I240" i="2"/>
  <c r="P240" i="2"/>
  <c r="I146" i="2"/>
  <c r="P146" i="2"/>
  <c r="I30" i="2"/>
  <c r="P30" i="2"/>
  <c r="I391" i="2"/>
  <c r="P391" i="2"/>
  <c r="I299" i="2"/>
  <c r="P299" i="2"/>
  <c r="I390" i="2"/>
  <c r="P390" i="2"/>
  <c r="I303" i="2"/>
  <c r="P303" i="2"/>
  <c r="I419" i="2"/>
  <c r="P419" i="2"/>
  <c r="I408" i="2"/>
  <c r="P408" i="2"/>
  <c r="I493" i="2"/>
  <c r="P493" i="2"/>
  <c r="I63" i="2"/>
  <c r="P63" i="2"/>
  <c r="I319" i="2"/>
  <c r="P319" i="2"/>
  <c r="I447" i="2"/>
  <c r="P447" i="2"/>
  <c r="I314" i="2"/>
  <c r="P314" i="2"/>
  <c r="I343" i="2"/>
  <c r="P343" i="2"/>
  <c r="I337" i="2"/>
  <c r="P337" i="2"/>
  <c r="I296" i="2"/>
  <c r="P296" i="2"/>
  <c r="I412" i="2"/>
  <c r="P412" i="2"/>
  <c r="I253" i="2"/>
  <c r="P253" i="2"/>
  <c r="I89" i="2"/>
  <c r="P89" i="2"/>
  <c r="I74" i="2"/>
  <c r="P74" i="2"/>
  <c r="I513" i="2"/>
  <c r="P513" i="2"/>
  <c r="I516" i="2"/>
  <c r="P516" i="2"/>
  <c r="I154" i="2"/>
  <c r="P154" i="2"/>
  <c r="I87" i="2"/>
  <c r="P87" i="2"/>
  <c r="I311" i="2"/>
  <c r="P311" i="2"/>
  <c r="I247" i="2"/>
  <c r="P247" i="2"/>
  <c r="I264" i="2"/>
  <c r="P264" i="2"/>
  <c r="I345" i="2"/>
  <c r="P345" i="2"/>
  <c r="I158" i="2"/>
  <c r="P158" i="2"/>
  <c r="I517" i="2"/>
  <c r="P517" i="2"/>
  <c r="I234" i="2"/>
  <c r="P234" i="2"/>
  <c r="I100" i="2"/>
  <c r="P100" i="2"/>
  <c r="I424" i="2"/>
  <c r="P424" i="2"/>
  <c r="I45" i="2"/>
  <c r="P45" i="2"/>
  <c r="I476" i="2"/>
  <c r="P476" i="2"/>
  <c r="I374" i="2"/>
  <c r="P374" i="2"/>
  <c r="I243" i="2"/>
  <c r="P243" i="2"/>
  <c r="I466" i="2"/>
  <c r="P466" i="2"/>
  <c r="I115" i="2"/>
  <c r="P115" i="2"/>
  <c r="I231" i="2"/>
  <c r="P231" i="2"/>
  <c r="I251" i="2"/>
  <c r="P251" i="2"/>
  <c r="I238" i="2"/>
  <c r="P238" i="2"/>
  <c r="I259" i="2"/>
  <c r="P259" i="2"/>
  <c r="I246" i="2"/>
  <c r="P246" i="2"/>
  <c r="I168" i="2"/>
  <c r="P168" i="2"/>
  <c r="I415" i="2"/>
  <c r="P415" i="2"/>
  <c r="I97" i="2"/>
  <c r="P97" i="2"/>
  <c r="I241" i="2"/>
  <c r="P241" i="2"/>
  <c r="I177" i="2"/>
  <c r="P177" i="2"/>
  <c r="I200" i="2"/>
  <c r="P200" i="2"/>
  <c r="I268" i="2"/>
  <c r="P268" i="2"/>
  <c r="I488" i="2"/>
  <c r="P488" i="2"/>
  <c r="I125" i="2"/>
  <c r="P125" i="2"/>
  <c r="I266" i="2"/>
  <c r="P266" i="2"/>
  <c r="I467" i="2"/>
  <c r="P467" i="2"/>
  <c r="I363" i="2"/>
  <c r="P363" i="2"/>
  <c r="I503" i="2"/>
  <c r="P503" i="2"/>
  <c r="I175" i="2"/>
  <c r="P175" i="2"/>
  <c r="I348" i="2"/>
  <c r="P348" i="2"/>
  <c r="I204" i="2"/>
  <c r="P204" i="2"/>
  <c r="I224" i="2"/>
  <c r="P224" i="2"/>
  <c r="I481" i="2"/>
  <c r="P481" i="2"/>
  <c r="I372" i="2"/>
  <c r="P372" i="2"/>
  <c r="I84" i="2"/>
  <c r="P84" i="2"/>
  <c r="I257" i="2"/>
  <c r="P257" i="2"/>
  <c r="I356" i="2"/>
  <c r="P356" i="2"/>
  <c r="I519" i="2"/>
  <c r="P519" i="2"/>
  <c r="I235" i="2"/>
  <c r="P235" i="2"/>
  <c r="I413" i="2"/>
  <c r="P413" i="2"/>
  <c r="I217" i="2"/>
  <c r="P217" i="2"/>
  <c r="I323" i="2"/>
  <c r="P323" i="2"/>
  <c r="I279" i="2"/>
  <c r="P279" i="2"/>
  <c r="I232" i="2"/>
  <c r="P232" i="2"/>
  <c r="I203" i="2"/>
  <c r="P203" i="2"/>
  <c r="I194" i="2"/>
  <c r="P194" i="2"/>
  <c r="I180" i="2"/>
  <c r="P180" i="2"/>
  <c r="I375" i="2"/>
  <c r="P375" i="2"/>
  <c r="I46" i="2"/>
  <c r="P46" i="2"/>
  <c r="I344" i="2"/>
  <c r="P344" i="2"/>
  <c r="I505" i="2"/>
  <c r="P505" i="2"/>
  <c r="I399" i="2"/>
  <c r="P399" i="2"/>
  <c r="I119" i="2"/>
  <c r="P119" i="2"/>
  <c r="I527" i="2"/>
  <c r="P527" i="2"/>
  <c r="I360" i="2"/>
  <c r="P360" i="2"/>
  <c r="I446" i="2"/>
  <c r="P446" i="2"/>
  <c r="I60" i="2"/>
  <c r="P60" i="2"/>
  <c r="I462" i="2"/>
  <c r="P462" i="2"/>
  <c r="I403" i="2"/>
  <c r="P403" i="2"/>
  <c r="I26" i="2"/>
  <c r="P26" i="2"/>
  <c r="I6" i="2"/>
  <c r="P6" i="2"/>
  <c r="I69" i="2"/>
  <c r="P69" i="2"/>
  <c r="I143" i="2"/>
  <c r="P143" i="2"/>
  <c r="I423" i="2"/>
  <c r="P423" i="2"/>
  <c r="I91" i="2"/>
  <c r="P91" i="2"/>
  <c r="I249" i="2"/>
  <c r="P249" i="2"/>
  <c r="I331" i="2"/>
  <c r="P331" i="2"/>
  <c r="I213" i="2"/>
  <c r="P213" i="2"/>
  <c r="I444" i="2"/>
  <c r="P444" i="2"/>
  <c r="I485" i="2"/>
  <c r="P485" i="2"/>
  <c r="I145" i="2"/>
  <c r="P145" i="2"/>
  <c r="I9" i="2"/>
  <c r="P9" i="2"/>
  <c r="I292" i="2"/>
  <c r="P292" i="2"/>
  <c r="I254" i="2"/>
  <c r="P254" i="2"/>
  <c r="I479" i="2"/>
  <c r="P479" i="2"/>
  <c r="I47" i="2"/>
  <c r="P47" i="2"/>
  <c r="I385" i="2"/>
  <c r="P385" i="2"/>
  <c r="I19" i="2"/>
  <c r="P19" i="2"/>
  <c r="I515" i="2"/>
  <c r="P515" i="2"/>
  <c r="I73" i="2"/>
  <c r="P73" i="2"/>
  <c r="I190" i="2"/>
  <c r="P190" i="2"/>
  <c r="I487" i="2"/>
  <c r="P487" i="2"/>
  <c r="I407" i="2"/>
  <c r="P407" i="2"/>
  <c r="I308" i="2"/>
  <c r="P308" i="2"/>
  <c r="I271" i="2"/>
  <c r="P271" i="2"/>
  <c r="I23" i="2"/>
  <c r="P23" i="2"/>
  <c r="I388" i="2"/>
  <c r="P388" i="2"/>
  <c r="I38" i="2"/>
  <c r="P38" i="2"/>
  <c r="I27" i="2"/>
  <c r="P27" i="2"/>
  <c r="I80" i="2"/>
  <c r="P80" i="2"/>
  <c r="I359" i="2"/>
  <c r="P359" i="2"/>
  <c r="I99" i="2"/>
  <c r="P99" i="2"/>
  <c r="I278" i="2"/>
  <c r="P278" i="2"/>
  <c r="I351" i="2"/>
  <c r="P351" i="2"/>
  <c r="I409" i="2"/>
  <c r="P409" i="2"/>
  <c r="I410" i="2"/>
  <c r="P410" i="2"/>
  <c r="I524" i="2"/>
  <c r="P524" i="2"/>
  <c r="I15" i="2"/>
  <c r="P15" i="2"/>
  <c r="I304" i="2"/>
  <c r="P304" i="2"/>
  <c r="I318" i="2"/>
  <c r="P318" i="2"/>
  <c r="I508" i="2"/>
  <c r="P508" i="2"/>
  <c r="I274" i="2"/>
  <c r="P274" i="2"/>
  <c r="I66" i="2"/>
  <c r="P66" i="2"/>
  <c r="I286" i="2"/>
  <c r="P286" i="2"/>
  <c r="I70" i="2"/>
  <c r="P70" i="2"/>
  <c r="I339" i="2"/>
  <c r="P339" i="2"/>
  <c r="I367" i="2"/>
  <c r="P367" i="2"/>
  <c r="I214" i="2"/>
  <c r="P214" i="2"/>
  <c r="I310" i="2"/>
  <c r="P310" i="2"/>
  <c r="I357" i="2"/>
  <c r="P357" i="2"/>
  <c r="I16" i="2"/>
  <c r="P16" i="2"/>
  <c r="I528" i="2"/>
  <c r="P528" i="2"/>
  <c r="I151" i="2"/>
  <c r="P151" i="2"/>
  <c r="I418" i="2"/>
  <c r="P418" i="2"/>
  <c r="I222" i="2"/>
  <c r="P222" i="2"/>
  <c r="I24" i="2"/>
  <c r="P24" i="2"/>
  <c r="I458" i="2"/>
  <c r="P458" i="2"/>
  <c r="I179" i="2"/>
  <c r="P179" i="2"/>
  <c r="I62" i="2"/>
  <c r="P62" i="2"/>
  <c r="I347" i="2"/>
  <c r="P347" i="2"/>
  <c r="I178" i="2"/>
  <c r="P178" i="2"/>
  <c r="I17" i="2"/>
  <c r="P17" i="2"/>
  <c r="I261" i="2"/>
  <c r="P261" i="2"/>
  <c r="I288" i="2"/>
  <c r="P288" i="2"/>
  <c r="I352" i="2"/>
  <c r="P352" i="2"/>
  <c r="I55" i="2"/>
  <c r="P55" i="2"/>
  <c r="I453" i="2"/>
  <c r="P453" i="2"/>
  <c r="I133" i="2"/>
  <c r="P133" i="2"/>
  <c r="I32" i="2"/>
  <c r="P32" i="2"/>
  <c r="I144" i="2"/>
  <c r="P144" i="2"/>
  <c r="I183" i="2"/>
  <c r="P183" i="2"/>
  <c r="I500" i="2"/>
  <c r="P500" i="2"/>
  <c r="I137" i="2"/>
  <c r="P137" i="2"/>
  <c r="I499" i="2"/>
  <c r="P499" i="2"/>
  <c r="I312" i="2"/>
  <c r="P312" i="2"/>
  <c r="I316" i="2"/>
  <c r="P316" i="2"/>
  <c r="I285" i="2"/>
  <c r="P285" i="2"/>
  <c r="I464" i="2"/>
  <c r="P464" i="2"/>
  <c r="I169" i="2"/>
  <c r="P169" i="2"/>
  <c r="I108" i="2"/>
  <c r="P108" i="2"/>
  <c r="I263" i="2"/>
  <c r="P263" i="2"/>
  <c r="I10" i="2"/>
  <c r="P10" i="2"/>
  <c r="I327" i="2"/>
  <c r="P327" i="2"/>
  <c r="I229" i="2"/>
  <c r="P229" i="2"/>
  <c r="I256" i="2"/>
  <c r="P256" i="2"/>
  <c r="I159" i="2"/>
  <c r="P159" i="2"/>
  <c r="I439" i="2"/>
  <c r="P439" i="2"/>
  <c r="I230" i="2"/>
  <c r="P230" i="2"/>
  <c r="I20" i="2"/>
  <c r="P20" i="2"/>
  <c r="I475" i="2"/>
  <c r="P475" i="2"/>
  <c r="I174" i="2"/>
  <c r="P174" i="2"/>
  <c r="I252" i="2"/>
  <c r="P252" i="2"/>
  <c r="I380" i="2"/>
  <c r="P380" i="2"/>
  <c r="I355" i="2"/>
  <c r="P355" i="2"/>
  <c r="I228" i="2"/>
  <c r="P228" i="2"/>
  <c r="I106" i="2"/>
  <c r="P106" i="2"/>
  <c r="I152" i="2"/>
  <c r="P152" i="2"/>
  <c r="I68" i="2"/>
  <c r="P68" i="2"/>
  <c r="I114" i="2"/>
  <c r="P114" i="2"/>
  <c r="I451" i="2"/>
  <c r="P451" i="2"/>
  <c r="I442" i="2"/>
  <c r="P442" i="2"/>
  <c r="I530" i="2"/>
  <c r="P530" i="2"/>
  <c r="I160" i="2"/>
  <c r="P160" i="2"/>
  <c r="I416" i="2"/>
  <c r="P416" i="2"/>
  <c r="I317" i="2"/>
  <c r="P317" i="2"/>
  <c r="I244" i="2"/>
  <c r="P244" i="2"/>
  <c r="I498" i="2"/>
  <c r="P498" i="2"/>
  <c r="I85" i="2"/>
  <c r="P85" i="2"/>
  <c r="I358" i="2"/>
  <c r="P358" i="2"/>
  <c r="I353" i="2"/>
  <c r="P353" i="2"/>
  <c r="I313" i="2"/>
  <c r="P313" i="2"/>
  <c r="I126" i="2"/>
  <c r="P126" i="2"/>
  <c r="I92" i="2"/>
  <c r="P92" i="2"/>
  <c r="I187" i="2"/>
  <c r="P187" i="2"/>
  <c r="I298" i="2"/>
  <c r="P298" i="2"/>
  <c r="I242" i="2"/>
  <c r="P242" i="2"/>
  <c r="I529" i="2"/>
  <c r="P529" i="2"/>
  <c r="I120" i="2"/>
  <c r="P120" i="2"/>
  <c r="I297" i="2"/>
  <c r="P297" i="2"/>
  <c r="I221" i="2"/>
  <c r="P221" i="2"/>
  <c r="I223" i="2"/>
  <c r="P223" i="2"/>
  <c r="I237" i="2"/>
  <c r="P237" i="2"/>
  <c r="I489" i="2"/>
  <c r="P489" i="2"/>
  <c r="I54" i="2"/>
  <c r="P54" i="2"/>
  <c r="I405" i="2"/>
  <c r="P405" i="2"/>
  <c r="I131" i="2"/>
  <c r="P131" i="2"/>
  <c r="I220" i="2"/>
  <c r="P220" i="2"/>
  <c r="I449" i="2"/>
  <c r="P449" i="2"/>
  <c r="I82" i="2"/>
  <c r="P82" i="2"/>
  <c r="I472" i="2"/>
  <c r="P472" i="2"/>
  <c r="I371" i="2"/>
  <c r="P371" i="2"/>
  <c r="I494" i="2"/>
  <c r="P494" i="2"/>
  <c r="I189" i="2"/>
  <c r="P189" i="2"/>
  <c r="I149" i="2"/>
  <c r="P149" i="2"/>
  <c r="I435" i="2"/>
  <c r="P435" i="2"/>
  <c r="I248" i="2"/>
  <c r="P248" i="2"/>
  <c r="I219" i="2"/>
  <c r="P219" i="2"/>
  <c r="I445" i="2"/>
  <c r="P445" i="2"/>
  <c r="I94" i="2"/>
  <c r="P94" i="2"/>
  <c r="I382" i="2"/>
  <c r="P382" i="2"/>
  <c r="I282" i="2"/>
  <c r="P282" i="2"/>
  <c r="I349" i="2"/>
  <c r="P349" i="2"/>
  <c r="I406" i="2"/>
  <c r="P406" i="2"/>
  <c r="I196" i="2"/>
  <c r="P196" i="2"/>
  <c r="I12" i="2"/>
  <c r="P12" i="2"/>
  <c r="I155" i="2"/>
  <c r="P155" i="2"/>
  <c r="I112" i="2"/>
  <c r="P112" i="2"/>
  <c r="I71" i="2"/>
  <c r="P71" i="2"/>
  <c r="I98" i="2"/>
  <c r="P98" i="2"/>
  <c r="I523" i="2"/>
  <c r="P523" i="2"/>
  <c r="I239" i="2"/>
  <c r="P239" i="2"/>
  <c r="I173" i="2"/>
  <c r="P173" i="2"/>
  <c r="I350" i="2"/>
  <c r="P350" i="2"/>
  <c r="I163" i="2"/>
  <c r="P163" i="2"/>
  <c r="I272" i="2"/>
  <c r="P272" i="2"/>
  <c r="I134" i="2"/>
  <c r="P134" i="2"/>
  <c r="I51" i="2"/>
  <c r="P51" i="2"/>
  <c r="I207" i="2"/>
  <c r="P207" i="2"/>
  <c r="I396" i="2"/>
  <c r="P396" i="2"/>
  <c r="I404" i="2"/>
  <c r="P404" i="2"/>
  <c r="I14" i="2"/>
  <c r="P14" i="2"/>
  <c r="I283" i="2"/>
  <c r="P283" i="2"/>
  <c r="I510" i="2"/>
  <c r="P510" i="2"/>
  <c r="I11" i="2"/>
  <c r="P11" i="2"/>
  <c r="I18" i="2"/>
  <c r="P18" i="2"/>
  <c r="I52" i="2"/>
  <c r="P52" i="2"/>
  <c r="I270" i="2"/>
  <c r="P270" i="2"/>
  <c r="I341" i="2"/>
  <c r="P341" i="2"/>
  <c r="I48" i="2"/>
  <c r="P48" i="2"/>
  <c r="I67" i="2"/>
  <c r="P67" i="2"/>
  <c r="I324" i="2"/>
  <c r="P324" i="2"/>
  <c r="I454" i="2"/>
  <c r="P454" i="2"/>
  <c r="I480" i="2"/>
  <c r="P480" i="2"/>
  <c r="I101" i="2"/>
  <c r="P101" i="2"/>
  <c r="I478" i="2"/>
  <c r="P478" i="2"/>
  <c r="I368" i="2"/>
  <c r="P368" i="2"/>
  <c r="I81" i="2"/>
  <c r="P81" i="2"/>
  <c r="I473" i="2"/>
  <c r="P473" i="2"/>
  <c r="I250" i="2"/>
  <c r="P250" i="2"/>
  <c r="I293" i="2"/>
  <c r="P293" i="2"/>
  <c r="I370" i="2"/>
  <c r="P370" i="2"/>
  <c r="I35" i="2"/>
  <c r="P35" i="2"/>
  <c r="I206" i="2"/>
  <c r="P206" i="2"/>
  <c r="I361" i="2"/>
  <c r="P361" i="2"/>
  <c r="I465" i="2"/>
  <c r="P465" i="2"/>
  <c r="I7" i="2"/>
  <c r="P7" i="2"/>
  <c r="I191" i="2"/>
  <c r="P191" i="2"/>
  <c r="I284" i="2"/>
  <c r="P284" i="2"/>
  <c r="I216" i="2"/>
  <c r="P216" i="2"/>
  <c r="I386" i="2"/>
  <c r="P386" i="2"/>
  <c r="I457" i="2"/>
  <c r="P457" i="2"/>
  <c r="I148" i="2"/>
  <c r="P148" i="2"/>
  <c r="I392" i="2"/>
  <c r="P392" i="2"/>
  <c r="I307" i="2"/>
  <c r="P307" i="2"/>
  <c r="I334" i="2"/>
  <c r="P334" i="2"/>
  <c r="I79" i="2"/>
  <c r="P79" i="2"/>
  <c r="I291" i="2"/>
  <c r="P291" i="2"/>
  <c r="I340" i="2"/>
  <c r="P340" i="2"/>
  <c r="I389" i="2"/>
  <c r="P389" i="2"/>
  <c r="I329" i="2"/>
  <c r="P329" i="2"/>
  <c r="I448" i="2"/>
  <c r="P448" i="2"/>
  <c r="I104" i="2"/>
  <c r="P104" i="2"/>
  <c r="I208" i="2"/>
  <c r="P208" i="2"/>
  <c r="I518" i="2"/>
  <c r="P518" i="2"/>
  <c r="I305" i="2"/>
  <c r="P305" i="2"/>
  <c r="I397" i="2"/>
  <c r="P397" i="2"/>
  <c r="I364" i="2"/>
  <c r="P364" i="2"/>
  <c r="I64" i="2"/>
  <c r="P64" i="2"/>
  <c r="I469" i="2"/>
  <c r="P469" i="2"/>
  <c r="I86" i="2"/>
  <c r="P86" i="2"/>
  <c r="I460" i="2"/>
  <c r="P460" i="2"/>
  <c r="I377" i="2"/>
  <c r="P377" i="2"/>
  <c r="I167" i="2"/>
  <c r="P167" i="2"/>
  <c r="I325" i="2"/>
  <c r="P325" i="2"/>
  <c r="I117" i="2"/>
  <c r="P117" i="2"/>
  <c r="I328" i="2"/>
  <c r="P328" i="2"/>
  <c r="I199" i="2"/>
  <c r="P199" i="2"/>
  <c r="I373" i="2"/>
  <c r="P373" i="2"/>
  <c r="I258" i="2"/>
  <c r="P258" i="2"/>
  <c r="I436" i="2"/>
  <c r="P436" i="2"/>
  <c r="I170" i="2"/>
  <c r="P170" i="2"/>
  <c r="I490" i="2"/>
  <c r="P490" i="2"/>
  <c r="I41" i="2"/>
  <c r="P41" i="2"/>
  <c r="I95" i="2"/>
  <c r="P95" i="2"/>
  <c r="I483" i="2"/>
  <c r="P483" i="2"/>
  <c r="I77" i="2"/>
  <c r="P77" i="2"/>
  <c r="I76" i="2"/>
  <c r="P76" i="2"/>
  <c r="I29" i="2"/>
  <c r="P29" i="2"/>
  <c r="I525" i="2"/>
  <c r="P525" i="2"/>
  <c r="I484" i="2"/>
  <c r="P484" i="2"/>
  <c r="I338" i="2"/>
  <c r="P338" i="2"/>
  <c r="I198" i="2"/>
  <c r="P198" i="2"/>
  <c r="I103" i="2"/>
  <c r="P103" i="2"/>
  <c r="I401" i="2"/>
  <c r="P401" i="2"/>
  <c r="I156" i="2"/>
  <c r="P156" i="2"/>
  <c r="I165" i="2"/>
  <c r="P165" i="2"/>
  <c r="I437" i="2"/>
  <c r="P437" i="2"/>
  <c r="I65" i="2"/>
  <c r="P65" i="2"/>
  <c r="I5" i="2"/>
  <c r="P5" i="2"/>
  <c r="I3" i="2"/>
  <c r="P3" i="2"/>
  <c r="I4" i="2"/>
  <c r="P4" i="2"/>
  <c r="I2" i="2"/>
  <c r="P2" i="2"/>
  <c r="K173" i="2"/>
  <c r="J173" i="2"/>
  <c r="K397" i="2"/>
  <c r="J397" i="2"/>
  <c r="J86" i="2"/>
  <c r="K86" i="2"/>
  <c r="K322" i="2"/>
  <c r="J322" i="2"/>
  <c r="K417" i="2"/>
  <c r="J417" i="2"/>
  <c r="K128" i="2"/>
  <c r="J128" i="2"/>
  <c r="J475" i="2"/>
  <c r="K475" i="2"/>
  <c r="K394" i="2"/>
  <c r="J394" i="2"/>
  <c r="J139" i="2"/>
  <c r="K139" i="2"/>
  <c r="J174" i="2"/>
  <c r="K174" i="2"/>
  <c r="K87" i="2"/>
  <c r="J87" i="2"/>
  <c r="J66" i="2"/>
  <c r="K66" i="2"/>
  <c r="K474" i="2"/>
  <c r="J474" i="2"/>
  <c r="K530" i="2"/>
  <c r="J530" i="2"/>
  <c r="K2" i="2"/>
  <c r="J2" i="2"/>
  <c r="K266" i="2"/>
  <c r="J266" i="2"/>
  <c r="K492" i="2"/>
  <c r="J492" i="2"/>
  <c r="J234" i="2"/>
  <c r="K234" i="2"/>
  <c r="J277" i="2"/>
  <c r="K277" i="2"/>
  <c r="J200" i="2"/>
  <c r="K200" i="2"/>
  <c r="K19" i="2"/>
  <c r="J19" i="2"/>
  <c r="K308" i="2"/>
  <c r="J308" i="2"/>
  <c r="K73" i="2"/>
  <c r="J73" i="2"/>
  <c r="K30" i="2"/>
  <c r="J30" i="2"/>
  <c r="J190" i="2"/>
  <c r="K190" i="2"/>
  <c r="K466" i="2"/>
  <c r="J466" i="2"/>
  <c r="K283" i="2"/>
  <c r="J283" i="2"/>
  <c r="J507" i="2"/>
  <c r="K507" i="2"/>
  <c r="J367" i="2"/>
  <c r="K367" i="2"/>
  <c r="K115" i="2"/>
  <c r="J115" i="2"/>
  <c r="J409" i="2"/>
  <c r="K409" i="2"/>
  <c r="J51" i="2"/>
  <c r="K51" i="2"/>
  <c r="K370" i="2"/>
  <c r="J370" i="2"/>
  <c r="K37" i="2"/>
  <c r="J37" i="2"/>
  <c r="J38" i="2"/>
  <c r="K38" i="2"/>
  <c r="J423" i="2"/>
  <c r="K423" i="2"/>
  <c r="K149" i="2"/>
  <c r="J149" i="2"/>
  <c r="K179" i="2"/>
  <c r="J179" i="2"/>
  <c r="J88" i="2"/>
  <c r="K88" i="2"/>
  <c r="K447" i="2"/>
  <c r="J447" i="2"/>
  <c r="J80" i="2"/>
  <c r="K80" i="2"/>
  <c r="J314" i="2"/>
  <c r="K314" i="2"/>
  <c r="K381" i="2"/>
  <c r="J381" i="2"/>
  <c r="J519" i="2"/>
  <c r="K519" i="2"/>
  <c r="J396" i="2"/>
  <c r="K396" i="2"/>
  <c r="K242" i="2"/>
  <c r="J242" i="2"/>
  <c r="K208" i="2"/>
  <c r="J208" i="2"/>
  <c r="J512" i="2"/>
  <c r="K512" i="2"/>
  <c r="J374" i="2"/>
  <c r="K374" i="2"/>
  <c r="J135" i="2"/>
  <c r="K135" i="2"/>
  <c r="K138" i="2"/>
  <c r="J138" i="2"/>
  <c r="J75" i="2"/>
  <c r="K75" i="2"/>
  <c r="J449" i="2"/>
  <c r="K449" i="2"/>
  <c r="J243" i="2"/>
  <c r="K243" i="2"/>
  <c r="J105" i="2"/>
  <c r="K105" i="2"/>
  <c r="J204" i="2"/>
  <c r="K204" i="2"/>
  <c r="K453" i="2"/>
  <c r="J453" i="2"/>
  <c r="J464" i="2"/>
  <c r="K464" i="2"/>
  <c r="K413" i="2"/>
  <c r="J413" i="2"/>
  <c r="K465" i="2"/>
  <c r="J465" i="2"/>
  <c r="J471" i="2"/>
  <c r="K471" i="2"/>
  <c r="K441" i="2"/>
  <c r="J441" i="2"/>
  <c r="J169" i="2"/>
  <c r="K169" i="2"/>
  <c r="K217" i="2"/>
  <c r="J217" i="2"/>
  <c r="K7" i="2"/>
  <c r="J7" i="2"/>
  <c r="J420" i="2"/>
  <c r="K420" i="2"/>
  <c r="K31" i="2"/>
  <c r="J31" i="2"/>
  <c r="K323" i="2"/>
  <c r="J323" i="2"/>
  <c r="K72" i="2"/>
  <c r="J72" i="2"/>
  <c r="J108" i="2"/>
  <c r="K108" i="2"/>
  <c r="K523" i="2"/>
  <c r="J523" i="2"/>
  <c r="K518" i="2"/>
  <c r="J518" i="2"/>
  <c r="J498" i="2"/>
  <c r="K498" i="2"/>
  <c r="J95" i="2"/>
  <c r="K95" i="2"/>
  <c r="K324" i="2"/>
  <c r="J324" i="2"/>
  <c r="J41" i="2"/>
  <c r="K41" i="2"/>
  <c r="J334" i="2"/>
  <c r="K334" i="2"/>
  <c r="K215" i="2"/>
  <c r="J215" i="2"/>
  <c r="K408" i="2"/>
  <c r="J408" i="2"/>
  <c r="K79" i="2"/>
  <c r="J79" i="2"/>
  <c r="J513" i="2"/>
  <c r="K513" i="2"/>
  <c r="K154" i="2"/>
  <c r="J154" i="2"/>
  <c r="K345" i="2"/>
  <c r="J345" i="2"/>
  <c r="J134" i="2"/>
  <c r="K134" i="2"/>
  <c r="J248" i="2"/>
  <c r="K248" i="2"/>
  <c r="K293" i="2"/>
  <c r="J293" i="2"/>
  <c r="K269" i="2"/>
  <c r="J269" i="2"/>
  <c r="J341" i="2"/>
  <c r="K341" i="2"/>
  <c r="J151" i="2"/>
  <c r="K151" i="2"/>
  <c r="K48" i="2"/>
  <c r="J48" i="2"/>
  <c r="J418" i="2"/>
  <c r="K418" i="2"/>
  <c r="J67" i="2"/>
  <c r="K67" i="2"/>
  <c r="K46" i="2"/>
  <c r="J46" i="2"/>
  <c r="K170" i="2"/>
  <c r="J170" i="2"/>
  <c r="K297" i="2"/>
  <c r="J297" i="2"/>
  <c r="J254" i="2"/>
  <c r="K254" i="2"/>
  <c r="J24" i="2"/>
  <c r="K24" i="2"/>
  <c r="J265" i="2"/>
  <c r="K265" i="2"/>
  <c r="K177" i="2"/>
  <c r="J177" i="2"/>
  <c r="K251" i="2"/>
  <c r="J251" i="2"/>
  <c r="K303" i="2"/>
  <c r="J303" i="2"/>
  <c r="J271" i="2"/>
  <c r="K271" i="2"/>
  <c r="J198" i="2"/>
  <c r="K198" i="2"/>
  <c r="J337" i="2"/>
  <c r="K337" i="2"/>
  <c r="J153" i="2"/>
  <c r="K153" i="2"/>
  <c r="K136" i="2"/>
  <c r="J136" i="2"/>
  <c r="J510" i="2"/>
  <c r="K510" i="2"/>
  <c r="J382" i="2"/>
  <c r="K382" i="2"/>
  <c r="K349" i="2"/>
  <c r="J349" i="2"/>
  <c r="J65" i="2"/>
  <c r="K65" i="2"/>
  <c r="K12" i="2"/>
  <c r="J12" i="2"/>
  <c r="J112" i="2"/>
  <c r="K112" i="2"/>
  <c r="K346" i="2"/>
  <c r="J346" i="2"/>
  <c r="J401" i="2"/>
  <c r="K401" i="2"/>
  <c r="J178" i="2"/>
  <c r="K178" i="2"/>
  <c r="J270" i="2"/>
  <c r="K270" i="2"/>
  <c r="K521" i="2"/>
  <c r="J521" i="2"/>
  <c r="J315" i="2"/>
  <c r="K315" i="2"/>
  <c r="J182" i="2"/>
  <c r="K182" i="2"/>
  <c r="K189" i="2"/>
  <c r="J189" i="2"/>
  <c r="K258" i="2"/>
  <c r="J258" i="2"/>
  <c r="K529" i="2"/>
  <c r="J529" i="2"/>
  <c r="J436" i="2"/>
  <c r="K436" i="2"/>
  <c r="J222" i="2"/>
  <c r="K222" i="2"/>
  <c r="J526" i="2"/>
  <c r="K526" i="2"/>
  <c r="K514" i="2"/>
  <c r="J514" i="2"/>
  <c r="K499" i="2"/>
  <c r="J499" i="2"/>
  <c r="K35" i="2"/>
  <c r="J35" i="2"/>
  <c r="J255" i="2"/>
  <c r="K255" i="2"/>
  <c r="K131" i="2"/>
  <c r="J131" i="2"/>
  <c r="K156" i="2"/>
  <c r="J156" i="2"/>
  <c r="J175" i="2"/>
  <c r="K175" i="2"/>
  <c r="J49" i="2"/>
  <c r="K49" i="2"/>
  <c r="K45" i="2"/>
  <c r="J45" i="2"/>
  <c r="K199" i="2"/>
  <c r="J199" i="2"/>
  <c r="K439" i="2"/>
  <c r="J439" i="2"/>
  <c r="J525" i="2"/>
  <c r="K525" i="2"/>
  <c r="J484" i="2"/>
  <c r="K484" i="2"/>
  <c r="J82" i="2"/>
  <c r="K82" i="2"/>
  <c r="K132" i="2"/>
  <c r="J132" i="2"/>
  <c r="K191" i="2"/>
  <c r="J191" i="2"/>
  <c r="J319" i="2"/>
  <c r="K319" i="2"/>
  <c r="K165" i="2"/>
  <c r="J165" i="2"/>
  <c r="K220" i="2"/>
  <c r="J220" i="2"/>
  <c r="K16" i="2"/>
  <c r="J16" i="2"/>
  <c r="K218" i="2"/>
  <c r="J218" i="2"/>
  <c r="K312" i="2"/>
  <c r="J312" i="2"/>
  <c r="K109" i="2"/>
  <c r="J109" i="2"/>
  <c r="K435" i="2"/>
  <c r="J435" i="2"/>
  <c r="K373" i="2"/>
  <c r="J373" i="2"/>
  <c r="K467" i="2"/>
  <c r="J467" i="2"/>
  <c r="K231" i="2"/>
  <c r="J231" i="2"/>
  <c r="J34" i="2"/>
  <c r="K34" i="2"/>
  <c r="K511" i="2"/>
  <c r="J511" i="2"/>
  <c r="J462" i="2"/>
  <c r="K462" i="2"/>
  <c r="K212" i="2"/>
  <c r="J212" i="2"/>
  <c r="K403" i="2"/>
  <c r="J403" i="2"/>
  <c r="J25" i="2"/>
  <c r="K25" i="2"/>
  <c r="K26" i="2"/>
  <c r="J26" i="2"/>
  <c r="J123" i="2"/>
  <c r="K123" i="2"/>
  <c r="K6" i="2"/>
  <c r="J6" i="2"/>
  <c r="J320" i="2"/>
  <c r="K320" i="2"/>
  <c r="K69" i="2"/>
  <c r="J69" i="2"/>
  <c r="J262" i="2"/>
  <c r="K262" i="2"/>
  <c r="K379" i="2"/>
  <c r="J379" i="2"/>
  <c r="J143" i="2"/>
  <c r="K143" i="2"/>
  <c r="J176" i="2"/>
  <c r="K176" i="2"/>
  <c r="J47" i="2"/>
  <c r="K47" i="2"/>
  <c r="J239" i="2"/>
  <c r="K239" i="2"/>
  <c r="K305" i="2"/>
  <c r="J305" i="2"/>
  <c r="K183" i="2"/>
  <c r="J183" i="2"/>
  <c r="J372" i="2"/>
  <c r="K372" i="2"/>
  <c r="K415" i="2"/>
  <c r="J415" i="2"/>
  <c r="J336" i="2"/>
  <c r="K336" i="2"/>
  <c r="J164" i="2"/>
  <c r="K164" i="2"/>
  <c r="K8" i="2"/>
  <c r="J8" i="2"/>
  <c r="J97" i="2"/>
  <c r="K97" i="2"/>
  <c r="J332" i="2"/>
  <c r="K332" i="2"/>
  <c r="K504" i="2"/>
  <c r="J504" i="2"/>
  <c r="J210" i="2"/>
  <c r="K210" i="2"/>
  <c r="J309" i="2"/>
  <c r="K309" i="2"/>
  <c r="K459" i="2"/>
  <c r="J459" i="2"/>
  <c r="K501" i="2"/>
  <c r="J501" i="2"/>
  <c r="K127" i="2"/>
  <c r="J127" i="2"/>
  <c r="K57" i="2"/>
  <c r="J57" i="2"/>
  <c r="K479" i="2"/>
  <c r="J479" i="2"/>
  <c r="J411" i="2"/>
  <c r="K411" i="2"/>
  <c r="K440" i="2"/>
  <c r="J440" i="2"/>
  <c r="J438" i="2"/>
  <c r="K438" i="2"/>
  <c r="J383" i="2"/>
  <c r="K383" i="2"/>
  <c r="K125" i="2"/>
  <c r="J125" i="2"/>
  <c r="K393" i="2"/>
  <c r="J393" i="2"/>
  <c r="J347" i="2"/>
  <c r="K347" i="2"/>
  <c r="K458" i="2"/>
  <c r="J458" i="2"/>
  <c r="K365" i="2"/>
  <c r="J365" i="2"/>
  <c r="K503" i="2"/>
  <c r="J503" i="2"/>
  <c r="K450" i="2"/>
  <c r="J450" i="2"/>
  <c r="J238" i="2"/>
  <c r="K238" i="2"/>
  <c r="K94" i="2"/>
  <c r="J94" i="2"/>
  <c r="J282" i="2"/>
  <c r="K282" i="2"/>
  <c r="J406" i="2"/>
  <c r="K406" i="2"/>
  <c r="J196" i="2"/>
  <c r="K196" i="2"/>
  <c r="J155" i="2"/>
  <c r="K155" i="2"/>
  <c r="K71" i="2"/>
  <c r="J71" i="2"/>
  <c r="J98" i="2"/>
  <c r="K98" i="2"/>
  <c r="K385" i="2"/>
  <c r="J385" i="2"/>
  <c r="J470" i="2"/>
  <c r="K470" i="2"/>
  <c r="J78" i="2"/>
  <c r="K78" i="2"/>
  <c r="K63" i="2"/>
  <c r="J63" i="2"/>
  <c r="J528" i="2"/>
  <c r="K528" i="2"/>
  <c r="K354" i="2"/>
  <c r="J354" i="2"/>
  <c r="J339" i="2"/>
  <c r="K339" i="2"/>
  <c r="K500" i="2"/>
  <c r="J500" i="2"/>
  <c r="K328" i="2"/>
  <c r="J328" i="2"/>
  <c r="J58" i="2"/>
  <c r="K58" i="2"/>
  <c r="K356" i="2"/>
  <c r="J356" i="2"/>
  <c r="K364" i="2"/>
  <c r="J364" i="2"/>
  <c r="K469" i="2"/>
  <c r="J469" i="2"/>
  <c r="J257" i="2"/>
  <c r="K257" i="2"/>
  <c r="J398" i="2"/>
  <c r="K398" i="2"/>
  <c r="K223" i="2"/>
  <c r="J223" i="2"/>
  <c r="K281" i="2"/>
  <c r="J281" i="2"/>
  <c r="K371" i="2"/>
  <c r="J371" i="2"/>
  <c r="J508" i="2"/>
  <c r="K508" i="2"/>
  <c r="J247" i="2"/>
  <c r="K247" i="2"/>
  <c r="J493" i="2"/>
  <c r="K493" i="2"/>
  <c r="K160" i="2"/>
  <c r="J160" i="2"/>
  <c r="K202" i="2"/>
  <c r="J202" i="2"/>
  <c r="J289" i="2"/>
  <c r="K289" i="2"/>
  <c r="K232" i="2"/>
  <c r="J232" i="2"/>
  <c r="J188" i="2"/>
  <c r="K188" i="2"/>
  <c r="J400" i="2"/>
  <c r="K400" i="2"/>
  <c r="J39" i="2"/>
  <c r="K39" i="2"/>
  <c r="J10" i="2"/>
  <c r="K10" i="2"/>
  <c r="J227" i="2"/>
  <c r="K227" i="2"/>
  <c r="K180" i="2"/>
  <c r="J180" i="2"/>
  <c r="J284" i="2"/>
  <c r="K284" i="2"/>
  <c r="J216" i="2"/>
  <c r="K216" i="2"/>
  <c r="J302" i="2"/>
  <c r="K302" i="2"/>
  <c r="K290" i="2"/>
  <c r="J290" i="2"/>
  <c r="K299" i="2"/>
  <c r="J299" i="2"/>
  <c r="K407" i="2"/>
  <c r="J407" i="2"/>
  <c r="J390" i="2"/>
  <c r="K390" i="2"/>
  <c r="J235" i="2"/>
  <c r="K235" i="2"/>
  <c r="J486" i="2"/>
  <c r="K486" i="2"/>
  <c r="K359" i="2"/>
  <c r="J359" i="2"/>
  <c r="K491" i="2"/>
  <c r="J491" i="2"/>
  <c r="K333" i="2"/>
  <c r="J333" i="2"/>
  <c r="J166" i="2"/>
  <c r="K166" i="2"/>
  <c r="K77" i="2"/>
  <c r="J77" i="2"/>
  <c r="K454" i="2"/>
  <c r="J454" i="2"/>
  <c r="K285" i="2"/>
  <c r="J285" i="2"/>
  <c r="J361" i="2"/>
  <c r="K361" i="2"/>
  <c r="K330" i="2"/>
  <c r="J330" i="2"/>
  <c r="K133" i="2"/>
  <c r="J133" i="2"/>
  <c r="J473" i="2"/>
  <c r="K473" i="2"/>
  <c r="K32" i="2"/>
  <c r="J32" i="2"/>
  <c r="K402" i="2"/>
  <c r="J402" i="2"/>
  <c r="K250" i="2"/>
  <c r="J250" i="2"/>
  <c r="J494" i="2"/>
  <c r="K494" i="2"/>
  <c r="K240" i="2"/>
  <c r="J240" i="2"/>
  <c r="K110" i="2"/>
  <c r="J110" i="2"/>
  <c r="K181" i="2"/>
  <c r="J181" i="2"/>
  <c r="K263" i="2"/>
  <c r="J263" i="2"/>
  <c r="J387" i="2"/>
  <c r="K387" i="2"/>
  <c r="K272" i="2"/>
  <c r="J272" i="2"/>
  <c r="K59" i="2"/>
  <c r="J59" i="2"/>
  <c r="J298" i="2"/>
  <c r="K298" i="2"/>
  <c r="K267" i="2"/>
  <c r="J267" i="2"/>
  <c r="J50" i="2"/>
  <c r="K50" i="2"/>
  <c r="J268" i="2"/>
  <c r="K268" i="2"/>
  <c r="J120" i="2"/>
  <c r="K120" i="2"/>
  <c r="K344" i="2"/>
  <c r="J344" i="2"/>
  <c r="K184" i="2"/>
  <c r="J184" i="2"/>
  <c r="K505" i="2"/>
  <c r="J505" i="2"/>
  <c r="K193" i="2"/>
  <c r="J193" i="2"/>
  <c r="J44" i="2"/>
  <c r="K44" i="2"/>
  <c r="J148" i="2"/>
  <c r="K148" i="2"/>
  <c r="J478" i="2"/>
  <c r="K478" i="2"/>
  <c r="J93" i="2"/>
  <c r="K93" i="2"/>
  <c r="K496" i="2"/>
  <c r="J496" i="2"/>
  <c r="J119" i="2"/>
  <c r="K119" i="2"/>
  <c r="J207" i="2"/>
  <c r="K207" i="2"/>
  <c r="K84" i="2"/>
  <c r="J84" i="2"/>
  <c r="K261" i="2"/>
  <c r="J261" i="2"/>
  <c r="J363" i="2"/>
  <c r="K363" i="2"/>
  <c r="J209" i="2"/>
  <c r="K209" i="2"/>
  <c r="J288" i="2"/>
  <c r="K288" i="2"/>
  <c r="J342" i="2"/>
  <c r="K342" i="2"/>
  <c r="K515" i="2"/>
  <c r="J515" i="2"/>
  <c r="K142" i="2"/>
  <c r="J142" i="2"/>
  <c r="J137" i="2"/>
  <c r="K137" i="2"/>
  <c r="J276" i="2"/>
  <c r="K276" i="2"/>
  <c r="K17" i="2"/>
  <c r="J17" i="2"/>
  <c r="K33" i="2"/>
  <c r="J33" i="2"/>
  <c r="K404" i="2"/>
  <c r="J404" i="2"/>
  <c r="J27" i="2"/>
  <c r="K27" i="2"/>
  <c r="K260" i="2"/>
  <c r="J260" i="2"/>
  <c r="J230" i="2"/>
  <c r="K230" i="2"/>
  <c r="J52" i="2"/>
  <c r="K52" i="2"/>
  <c r="K14" i="2"/>
  <c r="J14" i="2"/>
  <c r="K74" i="2"/>
  <c r="J74" i="2"/>
  <c r="J15" i="2"/>
  <c r="K15" i="2"/>
  <c r="K380" i="2"/>
  <c r="J380" i="2"/>
  <c r="J355" i="2"/>
  <c r="K355" i="2"/>
  <c r="K291" i="2"/>
  <c r="J291" i="2"/>
  <c r="K228" i="2"/>
  <c r="J228" i="2"/>
  <c r="J340" i="2"/>
  <c r="K340" i="2"/>
  <c r="J106" i="2"/>
  <c r="K106" i="2"/>
  <c r="K389" i="2"/>
  <c r="J389" i="2"/>
  <c r="K152" i="2"/>
  <c r="J152" i="2"/>
  <c r="K329" i="2"/>
  <c r="J329" i="2"/>
  <c r="J68" i="2"/>
  <c r="K68" i="2"/>
  <c r="K448" i="2"/>
  <c r="J448" i="2"/>
  <c r="J114" i="2"/>
  <c r="K114" i="2"/>
  <c r="J104" i="2"/>
  <c r="K104" i="2"/>
  <c r="K317" i="2"/>
  <c r="J317" i="2"/>
  <c r="K85" i="2"/>
  <c r="J85" i="2"/>
  <c r="J43" i="2"/>
  <c r="K43" i="2"/>
  <c r="J241" i="2"/>
  <c r="K241" i="2"/>
  <c r="K221" i="2"/>
  <c r="J221" i="2"/>
  <c r="J20" i="2"/>
  <c r="K20" i="2"/>
  <c r="K419" i="2"/>
  <c r="J419" i="2"/>
  <c r="K3" i="2"/>
  <c r="J3" i="2"/>
  <c r="J318" i="2"/>
  <c r="K318" i="2"/>
  <c r="J296" i="2"/>
  <c r="K296" i="2"/>
  <c r="J422" i="2"/>
  <c r="K422" i="2"/>
  <c r="K172" i="2"/>
  <c r="J172" i="2"/>
  <c r="K36" i="2"/>
  <c r="J36" i="2"/>
  <c r="J130" i="2"/>
  <c r="K130" i="2"/>
  <c r="K520" i="2"/>
  <c r="J520" i="2"/>
  <c r="K203" i="2"/>
  <c r="J203" i="2"/>
  <c r="K506" i="2"/>
  <c r="J506" i="2"/>
  <c r="K194" i="2"/>
  <c r="J194" i="2"/>
  <c r="K157" i="2"/>
  <c r="J157" i="2"/>
  <c r="K327" i="2"/>
  <c r="J327" i="2"/>
  <c r="K460" i="2"/>
  <c r="J460" i="2"/>
  <c r="J353" i="2"/>
  <c r="K353" i="2"/>
  <c r="J488" i="2"/>
  <c r="K488" i="2"/>
  <c r="J280" i="2"/>
  <c r="K280" i="2"/>
  <c r="K62" i="2"/>
  <c r="J62" i="2"/>
  <c r="K461" i="2"/>
  <c r="J461" i="2"/>
  <c r="K316" i="2"/>
  <c r="J316" i="2"/>
  <c r="J206" i="2"/>
  <c r="K206" i="2"/>
  <c r="K343" i="2"/>
  <c r="J343" i="2"/>
  <c r="J352" i="2"/>
  <c r="K352" i="2"/>
  <c r="K489" i="2"/>
  <c r="J489" i="2"/>
  <c r="K92" i="2"/>
  <c r="J92" i="2"/>
  <c r="K225" i="2"/>
  <c r="J225" i="2"/>
  <c r="K103" i="2"/>
  <c r="J103" i="2"/>
  <c r="K233" i="2"/>
  <c r="J233" i="2"/>
  <c r="J434" i="2"/>
  <c r="K434" i="2"/>
  <c r="J366" i="2"/>
  <c r="K366" i="2"/>
  <c r="K224" i="2"/>
  <c r="J224" i="2"/>
  <c r="K236" i="2"/>
  <c r="J236" i="2"/>
  <c r="J211" i="2"/>
  <c r="K211" i="2"/>
  <c r="J481" i="2"/>
  <c r="K481" i="2"/>
  <c r="K56" i="2"/>
  <c r="J56" i="2"/>
  <c r="K144" i="2"/>
  <c r="J144" i="2"/>
  <c r="J350" i="2"/>
  <c r="K350" i="2"/>
  <c r="K335" i="2"/>
  <c r="J335" i="2"/>
  <c r="K412" i="2"/>
  <c r="J412" i="2"/>
  <c r="K279" i="2"/>
  <c r="J279" i="2"/>
  <c r="J171" i="2"/>
  <c r="K171" i="2"/>
  <c r="J517" i="2"/>
  <c r="K517" i="2"/>
  <c r="J294" i="2"/>
  <c r="K294" i="2"/>
  <c r="J455" i="2"/>
  <c r="K455" i="2"/>
  <c r="K399" i="2"/>
  <c r="J399" i="2"/>
  <c r="K416" i="2"/>
  <c r="J416" i="2"/>
  <c r="J64" i="2"/>
  <c r="K64" i="2"/>
  <c r="J292" i="2"/>
  <c r="K292" i="2"/>
  <c r="J113" i="2"/>
  <c r="K113" i="2"/>
  <c r="K307" i="2"/>
  <c r="J307" i="2"/>
  <c r="K325" i="2"/>
  <c r="J325" i="2"/>
  <c r="J375" i="2"/>
  <c r="K375" i="2"/>
  <c r="K185" i="2"/>
  <c r="J185" i="2"/>
  <c r="K101" i="2"/>
  <c r="J101" i="2"/>
  <c r="K516" i="2"/>
  <c r="J516" i="2"/>
  <c r="J311" i="2"/>
  <c r="K311" i="2"/>
  <c r="J264" i="2"/>
  <c r="K264" i="2"/>
  <c r="K388" i="2"/>
  <c r="J388" i="2"/>
  <c r="J286" i="2"/>
  <c r="K286" i="2"/>
  <c r="J158" i="2"/>
  <c r="K158" i="2"/>
  <c r="J245" i="2"/>
  <c r="K245" i="2"/>
  <c r="J369" i="2"/>
  <c r="K369" i="2"/>
  <c r="J129" i="2"/>
  <c r="K129" i="2"/>
  <c r="K22" i="2"/>
  <c r="J22" i="2"/>
  <c r="K122" i="2"/>
  <c r="J122" i="2"/>
  <c r="J497" i="2"/>
  <c r="K497" i="2"/>
  <c r="K96" i="2"/>
  <c r="J96" i="2"/>
  <c r="J480" i="2"/>
  <c r="K480" i="2"/>
  <c r="K509" i="2"/>
  <c r="J509" i="2"/>
  <c r="J377" i="2"/>
  <c r="K377" i="2"/>
  <c r="J313" i="2"/>
  <c r="K313" i="2"/>
  <c r="K167" i="2"/>
  <c r="J167" i="2"/>
  <c r="J126" i="2"/>
  <c r="K126" i="2"/>
  <c r="K527" i="2"/>
  <c r="J527" i="2"/>
  <c r="K360" i="2"/>
  <c r="J360" i="2"/>
  <c r="K53" i="2"/>
  <c r="J53" i="2"/>
  <c r="K237" i="2"/>
  <c r="J237" i="2"/>
  <c r="K483" i="2"/>
  <c r="J483" i="2"/>
  <c r="J368" i="2"/>
  <c r="K368" i="2"/>
  <c r="K23" i="2"/>
  <c r="J23" i="2"/>
  <c r="J278" i="2"/>
  <c r="K278" i="2"/>
  <c r="K54" i="2"/>
  <c r="J54" i="2"/>
  <c r="J446" i="2"/>
  <c r="K446" i="2"/>
  <c r="K60" i="2"/>
  <c r="J60" i="2"/>
  <c r="K301" i="2"/>
  <c r="J301" i="2"/>
  <c r="J414" i="2"/>
  <c r="K414" i="2"/>
  <c r="J273" i="2"/>
  <c r="K273" i="2"/>
  <c r="K140" i="2"/>
  <c r="J140" i="2"/>
  <c r="J141" i="2"/>
  <c r="K141" i="2"/>
  <c r="K83" i="2"/>
  <c r="J83" i="2"/>
  <c r="J187" i="2"/>
  <c r="K187" i="2"/>
  <c r="J55" i="2"/>
  <c r="K55" i="2"/>
  <c r="K205" i="2"/>
  <c r="J205" i="2"/>
  <c r="K107" i="2"/>
  <c r="J107" i="2"/>
  <c r="J384" i="2"/>
  <c r="K384" i="2"/>
  <c r="K405" i="2"/>
  <c r="J405" i="2"/>
  <c r="K100" i="2"/>
  <c r="J100" i="2"/>
  <c r="K81" i="2"/>
  <c r="J81" i="2"/>
  <c r="K102" i="2"/>
  <c r="J102" i="2"/>
  <c r="K306" i="2"/>
  <c r="J306" i="2"/>
  <c r="K147" i="2"/>
  <c r="J147" i="2"/>
  <c r="J161" i="2"/>
  <c r="K161" i="2"/>
  <c r="K229" i="2"/>
  <c r="J229" i="2"/>
  <c r="J386" i="2"/>
  <c r="K386" i="2"/>
  <c r="J256" i="2"/>
  <c r="K256" i="2"/>
  <c r="J457" i="2"/>
  <c r="K457" i="2"/>
  <c r="J424" i="2"/>
  <c r="K424" i="2"/>
  <c r="J495" i="2"/>
  <c r="K495" i="2"/>
  <c r="J502" i="2"/>
  <c r="K502" i="2"/>
  <c r="J42" i="2"/>
  <c r="K42" i="2"/>
  <c r="J146" i="2"/>
  <c r="K146" i="2"/>
  <c r="K253" i="2"/>
  <c r="J253" i="2"/>
  <c r="K29" i="2"/>
  <c r="J29" i="2"/>
  <c r="J451" i="2"/>
  <c r="K451" i="2"/>
  <c r="J13" i="2"/>
  <c r="K13" i="2"/>
  <c r="J192" i="2"/>
  <c r="K192" i="2"/>
  <c r="K452" i="2"/>
  <c r="J452" i="2"/>
  <c r="K476" i="2"/>
  <c r="J476" i="2"/>
  <c r="J410" i="2"/>
  <c r="K410" i="2"/>
  <c r="K482" i="2"/>
  <c r="J482" i="2"/>
  <c r="J392" i="2"/>
  <c r="K392" i="2"/>
  <c r="K348" i="2"/>
  <c r="J348" i="2"/>
  <c r="J477" i="2"/>
  <c r="K477" i="2"/>
  <c r="K300" i="2"/>
  <c r="J300" i="2"/>
  <c r="K89" i="2"/>
  <c r="J89" i="2"/>
  <c r="J4" i="2"/>
  <c r="K4" i="2"/>
  <c r="J442" i="2"/>
  <c r="K442" i="2"/>
  <c r="K195" i="2"/>
  <c r="J195" i="2"/>
  <c r="J162" i="2"/>
  <c r="K162" i="2"/>
  <c r="J111" i="2"/>
  <c r="K111" i="2"/>
  <c r="J219" i="2"/>
  <c r="K219" i="2"/>
  <c r="K437" i="2"/>
  <c r="J437" i="2"/>
  <c r="J445" i="2"/>
  <c r="K445" i="2"/>
  <c r="K259" i="2"/>
  <c r="J259" i="2"/>
  <c r="J214" i="2"/>
  <c r="K214" i="2"/>
  <c r="J246" i="2"/>
  <c r="K246" i="2"/>
  <c r="J11" i="2"/>
  <c r="K11" i="2"/>
  <c r="K321" i="2"/>
  <c r="J321" i="2"/>
  <c r="J378" i="2"/>
  <c r="K378" i="2"/>
  <c r="J310" i="2"/>
  <c r="K310" i="2"/>
  <c r="J168" i="2"/>
  <c r="K168" i="2"/>
  <c r="K468" i="2"/>
  <c r="J468" i="2"/>
  <c r="J18" i="2"/>
  <c r="K18" i="2"/>
  <c r="K197" i="2"/>
  <c r="J197" i="2"/>
  <c r="K357" i="2"/>
  <c r="J357" i="2"/>
  <c r="K121" i="2"/>
  <c r="J121" i="2"/>
  <c r="K524" i="2"/>
  <c r="J524" i="2"/>
  <c r="J244" i="2"/>
  <c r="K244" i="2"/>
  <c r="J358" i="2"/>
  <c r="K358" i="2"/>
  <c r="K490" i="2"/>
  <c r="J490" i="2"/>
  <c r="J150" i="2"/>
  <c r="K150" i="2"/>
  <c r="K472" i="2"/>
  <c r="J472" i="2"/>
  <c r="K443" i="2"/>
  <c r="J443" i="2"/>
  <c r="J252" i="2"/>
  <c r="K252" i="2"/>
  <c r="K304" i="2"/>
  <c r="J304" i="2"/>
  <c r="J274" i="2"/>
  <c r="K274" i="2"/>
  <c r="K295" i="2"/>
  <c r="J295" i="2"/>
  <c r="J70" i="2"/>
  <c r="K70" i="2"/>
  <c r="J331" i="2"/>
  <c r="K331" i="2"/>
  <c r="K213" i="2"/>
  <c r="J213" i="2"/>
  <c r="J444" i="2"/>
  <c r="K444" i="2"/>
  <c r="J485" i="2"/>
  <c r="K485" i="2"/>
  <c r="K145" i="2"/>
  <c r="J145" i="2"/>
  <c r="K9" i="2"/>
  <c r="J9" i="2"/>
  <c r="K5" i="2"/>
  <c r="J5" i="2"/>
  <c r="J522" i="2"/>
  <c r="K522" i="2"/>
  <c r="K362" i="2"/>
  <c r="J362" i="2"/>
  <c r="K391" i="2"/>
  <c r="J391" i="2"/>
  <c r="J487" i="2"/>
  <c r="K487" i="2"/>
  <c r="K376" i="2"/>
  <c r="J376" i="2"/>
  <c r="K186" i="2"/>
  <c r="J186" i="2"/>
  <c r="K421" i="2"/>
  <c r="J421" i="2"/>
  <c r="J61" i="2"/>
  <c r="K61" i="2"/>
  <c r="K118" i="2"/>
  <c r="J118" i="2"/>
  <c r="J338" i="2"/>
  <c r="K338" i="2"/>
  <c r="J287" i="2"/>
  <c r="K287" i="2"/>
  <c r="J99" i="2"/>
  <c r="K99" i="2"/>
  <c r="J90" i="2"/>
  <c r="K90" i="2"/>
  <c r="J456" i="2"/>
  <c r="K456" i="2"/>
  <c r="K117" i="2"/>
  <c r="J117" i="2"/>
  <c r="J326" i="2"/>
  <c r="K326" i="2"/>
  <c r="J201" i="2"/>
  <c r="K201" i="2"/>
  <c r="J395" i="2"/>
  <c r="K395" i="2"/>
  <c r="J116" i="2"/>
  <c r="K116" i="2"/>
  <c r="K21" i="2"/>
  <c r="J21" i="2"/>
  <c r="J40" i="2"/>
  <c r="K40" i="2"/>
  <c r="K463" i="2"/>
  <c r="J463" i="2"/>
  <c r="K28" i="2"/>
  <c r="J28" i="2"/>
  <c r="K226" i="2"/>
  <c r="J226" i="2"/>
  <c r="K275" i="2"/>
  <c r="J275" i="2"/>
  <c r="J351" i="2"/>
  <c r="K351" i="2"/>
  <c r="J76" i="2"/>
  <c r="K76" i="2"/>
  <c r="K91" i="2"/>
  <c r="J91" i="2"/>
  <c r="J249" i="2"/>
  <c r="K249" i="2"/>
  <c r="J163" i="2"/>
  <c r="K163" i="2"/>
  <c r="K124" i="2"/>
  <c r="J124" i="2"/>
  <c r="K159" i="2"/>
  <c r="J159" i="2"/>
  <c r="M530" i="2" l="1"/>
  <c r="M529" i="2"/>
  <c r="M528" i="2"/>
  <c r="M527" i="2"/>
  <c r="M526" i="2"/>
  <c r="M525" i="2"/>
  <c r="M524" i="2"/>
  <c r="M523" i="2"/>
  <c r="M522" i="2"/>
  <c r="M521" i="2"/>
  <c r="M520" i="2"/>
  <c r="M519" i="2"/>
  <c r="M518" i="2"/>
  <c r="M517" i="2"/>
  <c r="M516" i="2"/>
  <c r="M515" i="2"/>
  <c r="M514" i="2"/>
  <c r="M513" i="2"/>
  <c r="M512" i="2"/>
  <c r="M511" i="2"/>
  <c r="M510" i="2"/>
  <c r="M509" i="2"/>
  <c r="M508" i="2"/>
  <c r="M507" i="2"/>
  <c r="M506" i="2"/>
  <c r="M505" i="2"/>
  <c r="M504" i="2"/>
  <c r="M503" i="2"/>
  <c r="M502" i="2"/>
  <c r="M501" i="2"/>
  <c r="M500" i="2"/>
  <c r="M499" i="2"/>
  <c r="M498" i="2"/>
  <c r="M497" i="2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Zihni Yasin Sarioglu | Eclit</author>
  </authors>
  <commentList>
    <comment ref="A83" authorId="0" shapeId="0" xr:uid="{E5A300D5-83F0-4ACB-BFB9-D2D695965B78}">
      <text>
        <r>
          <rPr>
            <b/>
            <sz val="9"/>
            <color indexed="81"/>
            <rFont val="Tahoma"/>
            <family val="2"/>
          </rPr>
          <t>Zihni Yasin Sarioglu | Eclit:</t>
        </r>
        <r>
          <rPr>
            <sz val="9"/>
            <color indexed="81"/>
            <rFont val="Tahoma"/>
            <family val="2"/>
          </rPr>
          <t xml:space="preserve">
İNNOVA BİLİŞİM ÇÖZÜMLERİ A.Ş.</t>
        </r>
      </text>
    </comment>
    <comment ref="A154" authorId="0" shapeId="0" xr:uid="{6EC2F3B9-2B14-45CC-9B98-388B3545E947}">
      <text>
        <r>
          <rPr>
            <b/>
            <sz val="9"/>
            <color indexed="81"/>
            <rFont val="Tahoma"/>
            <family val="2"/>
          </rPr>
          <t>Zihni Yasin Sarioglu | Eclit:</t>
        </r>
        <r>
          <rPr>
            <sz val="9"/>
            <color indexed="81"/>
            <rFont val="Tahoma"/>
            <family val="2"/>
          </rPr>
          <t xml:space="preserve">
Üçler Market İsim değişikliği</t>
        </r>
      </text>
    </comment>
    <comment ref="A160" authorId="0" shapeId="0" xr:uid="{79636784-5F8C-4806-BF34-35064E07EC28}">
      <text>
        <r>
          <rPr>
            <b/>
            <sz val="9"/>
            <color indexed="81"/>
            <rFont val="Tahoma"/>
            <family val="2"/>
          </rPr>
          <t>Zihni Yasin Sarioglu | Eclit:</t>
        </r>
        <r>
          <rPr>
            <sz val="9"/>
            <color indexed="81"/>
            <rFont val="Tahoma"/>
            <family val="2"/>
          </rPr>
          <t xml:space="preserve">
ZTS TURKEY</t>
        </r>
      </text>
    </comment>
    <comment ref="A183" authorId="0" shapeId="0" xr:uid="{E26F1226-5111-4770-BFAF-11C7441382D8}">
      <text>
        <r>
          <rPr>
            <b/>
            <sz val="9"/>
            <color indexed="81"/>
            <rFont val="Tahoma"/>
            <family val="2"/>
          </rPr>
          <t>Zihni Yasin Sarioglu | Eclit:</t>
        </r>
        <r>
          <rPr>
            <sz val="9"/>
            <color indexed="81"/>
            <rFont val="Tahoma"/>
            <family val="2"/>
          </rPr>
          <t xml:space="preserve">
VK Bilgi Teknolojileri</t>
        </r>
      </text>
    </comment>
    <comment ref="A456" authorId="0" shapeId="0" xr:uid="{A6D44CEE-CB1F-4718-8932-754058A462BE}">
      <text>
        <r>
          <rPr>
            <b/>
            <sz val="9"/>
            <color indexed="81"/>
            <rFont val="Tahoma"/>
            <family val="2"/>
          </rPr>
          <t>Zihni Yasin Sarioglu | Eclit:</t>
        </r>
        <r>
          <rPr>
            <sz val="9"/>
            <color indexed="81"/>
            <rFont val="Tahoma"/>
            <family val="2"/>
          </rPr>
          <t xml:space="preserve">
SMB gitti, Enterprise Geldi.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<sst xmlns="http://schemas.openxmlformats.org/spreadsheetml/2006/main" count="1767" uniqueCount="606">
  <si>
    <t>2 DESIGN MIMARLIK INS. SAN. VE TIC. A.S.</t>
  </si>
  <si>
    <t>ACTIFIT SPOR VE SAĞLIK HİZMETLERİ SANAYİ VE TİCARE</t>
  </si>
  <si>
    <t>MAYA HOLDING - ADMA ALISVERIS</t>
  </si>
  <si>
    <t>AGDAS ADAPAZARI GAZ DAGITIM A.S.</t>
  </si>
  <si>
    <t>AGİTO BİLGİSAYAR VE DANIŞMANLIK HİZMETLERİ</t>
  </si>
  <si>
    <t>AKS GÜMRÜK MÜSAVIRLIK LTD. STI.</t>
  </si>
  <si>
    <t>AKSISTEM ELEK.SAN.VE TIC.LTD.STI.</t>
  </si>
  <si>
    <t>AKSOY PLASTIK SANAYI VE TIC. A.S.</t>
  </si>
  <si>
    <t>ALESTA SIGORTA</t>
  </si>
  <si>
    <t>ALPEGE ENDÜSTRIYEL METROLOJI SAN. VE HIZ. DIS. TIC</t>
  </si>
  <si>
    <t>ANTIK DANTEL SAN.TIC.A.S.</t>
  </si>
  <si>
    <t>ARENA BILGISAYAR</t>
  </si>
  <si>
    <t>ARI DÖKÜM MAK.SAN.VE TIC.LTD.STI.</t>
  </si>
  <si>
    <t>ARTI SINERJI BILISIM TEKNOLOJILERI TIC.LTD.STI.</t>
  </si>
  <si>
    <t>ARTSANA TURKEY ( CHICCO )</t>
  </si>
  <si>
    <t>ASE ASYA AFRİKA HIZLI LOJİSTİK SİSTEMLERİ ANONİM Ş</t>
  </si>
  <si>
    <t>ASİMETRİK SES IŞIK ve GÖRÜNTÜ SİSTEMLERİ AŞ (ASF)</t>
  </si>
  <si>
    <t>ATAKO TASIMACILIK DENIZCILIK A.S.</t>
  </si>
  <si>
    <t>ATG BİLİŞİM TEKNOLOJİLERİ ENDÜSTRİSİ LTD ŞTİ</t>
  </si>
  <si>
    <t>B2 YAZILIM A.S.</t>
  </si>
  <si>
    <t>BAKLAVACI GÜLLÜOGLU MEHMET NEJAT GÜLLÜ GIDA SAN.VE</t>
  </si>
  <si>
    <t>BANK OF BAHRAIN AND KUWAIT TÜRKIYE TEMS. OF. (BBK)</t>
  </si>
  <si>
    <t>EDU ÇEVİRİ HİZMETLERİ LİMİTED ŞİRKETİ (BARLAS)</t>
  </si>
  <si>
    <t>BATI EGITIM INSAAT VE TURIZM HIZ. A.S.</t>
  </si>
  <si>
    <t>BELTAS BESIKTAS BELEDIYESI ISL.A.S</t>
  </si>
  <si>
    <t>BIESTERFELD PLASTIK TIC.A.S</t>
  </si>
  <si>
    <t>BİLSAR TEKSTIL SAN.VE DIS.TIC.A.S</t>
  </si>
  <si>
    <t>BIRCOM TELEKOMÜNIKASYON VE BILISIM HIZ.SAN.TIC.A.S</t>
  </si>
  <si>
    <t>BİS Çözüm Bilgisayar ve Entegrasyon Hizmetleri</t>
  </si>
  <si>
    <t>BOMBTEA GIDA IÇECEK REK.ORG.VE TIC..( DOSPRESSO )</t>
  </si>
  <si>
    <t>BOYTORUN MIMARLIK LTD.STI.</t>
  </si>
  <si>
    <t>BRANDCRAFTERS REKLAM TANITIM TASARIM ORG.IÇ VE DIS</t>
  </si>
  <si>
    <t>CAHAN AVM</t>
  </si>
  <si>
    <t>CAHAN ÇAY MMC</t>
  </si>
  <si>
    <t>CAHAN ENNA MMC</t>
  </si>
  <si>
    <t>CAHAN İNŞAAT</t>
  </si>
  <si>
    <t>CAHAN MOTORS</t>
  </si>
  <si>
    <t>CAHAN SENAYE KOMLEKSİ ASC</t>
  </si>
  <si>
    <t>CAPITOL ALISVERIS HIZ.TIC.A.S</t>
  </si>
  <si>
    <t>CCL LABEL TURKEY AMBALAJ SAN. VE TIC. A.S</t>
  </si>
  <si>
    <t>CENTRON BILGISAYAR SISTEMLERI SAN.&amp;TIC.LTD (OGNY)</t>
  </si>
  <si>
    <t>CHRONOS INSAN KAYNAKLARI DANISMANLIK LTD.STI.</t>
  </si>
  <si>
    <t>CHRONOS ISTIHDAM HIZMETLERI LTD.STI</t>
  </si>
  <si>
    <t>COMPUGROUP MEDICAL BILGI SISTEMLERI A.S. (CGM)</t>
  </si>
  <si>
    <t>DALYA GAYRIMENKUL GELISTIRME TICARET A.S</t>
  </si>
  <si>
    <t>DATA HIDROLIK MAKINA SANAYI A.S.</t>
  </si>
  <si>
    <t>DATASAFE ARSIVLEME HIZMETLERI A.S</t>
  </si>
  <si>
    <t>DB GÜMRÜK MÜŞAVİRLİĞİ LİMİTED ŞİRKET</t>
  </si>
  <si>
    <t>BDO DENET YEMİNLİ MALİ MÜŞAVİRLİK A.Ş.</t>
  </si>
  <si>
    <t>DERTEC ELEKTRONIK SES ISIK GÖRÜNTÜ SIS.SAN.TIC.LTD</t>
  </si>
  <si>
    <t>DİKEY VITAMIN KOZM.GIDATAKV. TIC.AS(SUPPLEMTLER)</t>
  </si>
  <si>
    <t>DÖNÜŞÜM OTOMOTİV VE SAN.TİC.A.Ş.</t>
  </si>
  <si>
    <t>EGE SERAMIK SAN. VE TIC. A.S.</t>
  </si>
  <si>
    <t>EKSEN MEDIKAL TIBBI MALZ. VE GERÇ. PAZ. TUR. ITH.</t>
  </si>
  <si>
    <t>ELİG HUKUK BÜROSU, GÖNENÇ GÜRKAYNAK</t>
  </si>
  <si>
    <t>ENOCTA - AVEZ ELEKTRONIK ILETISIM</t>
  </si>
  <si>
    <t>ES DIL HIZ. VE DAN.TIC.A.S.</t>
  </si>
  <si>
    <t>ESM DANIŞMANLIK HİZMETLERİ AŞ.</t>
  </si>
  <si>
    <t>ETUR TURİZM PAZARLAMA VE SEYAHAT LTD.ŞTİ.</t>
  </si>
  <si>
    <t>EVIDEA MAGAZACILIK A.S.</t>
  </si>
  <si>
    <t>EVRENSEL BAGIMSIZ DENETIM SMMM A.S</t>
  </si>
  <si>
    <t>FEILO SYLVANIA TR ELEKTRIK ÜRÜNLERI TIC. LTD.STI.</t>
  </si>
  <si>
    <t>FET RESTORAN ISLETMELERI A.S</t>
  </si>
  <si>
    <t>GALSAN PLASTIK VE KALIP SAN. A.S</t>
  </si>
  <si>
    <t>GARDENSA PEYZAJ A.Ş.</t>
  </si>
  <si>
    <t>GRAND STAR TURİZM SAN.A.Ş.</t>
  </si>
  <si>
    <t>GTC İLETİŞİM DANIŞMANLIK ANONİM ŞİRKETİ</t>
  </si>
  <si>
    <t>Gülman Group - ÜSKÜDAR EĞİTİM HİZMETLERİ VE TİC.A.</t>
  </si>
  <si>
    <t>GUSTOGIYIM SAN. VE TIC. A.S</t>
  </si>
  <si>
    <t>HDI SIGORTA A.S.</t>
  </si>
  <si>
    <t>HIT REKLAM TAN. ORG.YAT.EMLAK GIDA TEKS.YAZ.DAN.IT</t>
  </si>
  <si>
    <t>HM IÇ VE DIS TICARET REKLAM. ORG.TUR. A.S.</t>
  </si>
  <si>
    <t>İBRAHİM POLAT HOLDİNG</t>
  </si>
  <si>
    <t>İBSA ILAÇ SAN VE TIC.LTD STI</t>
  </si>
  <si>
    <t>IDEASOFT YAZILIM SAN. VE TIC. A.S.</t>
  </si>
  <si>
    <t>İKİ MİMARİ PROJE VE DANIŞMANLIK A.Ş.</t>
  </si>
  <si>
    <t>İLERİ MEKANİK MAKINA KALIP IML.SAN. VETIC. A.S.</t>
  </si>
  <si>
    <t>TURASSİST SAĞLIK DESTEK HİZMETLERI ANONİM ŞİRKETİ</t>
  </si>
  <si>
    <t>INCOMET INSAAT SAN. VE TIC. LTD.STI.</t>
  </si>
  <si>
    <t>Türkiye Menkul Kıymetleştirme Şirketi (TMKS)</t>
  </si>
  <si>
    <t>INVEON BILGI TEKNOLOJILERI DANISMANLIK VE TIC. A.S</t>
  </si>
  <si>
    <t>İSTANBUL GÖMLEK GIYIM SAN.VE TIC.A.S</t>
  </si>
  <si>
    <t>İSTANBUL KÜLTÜR ÜNIVERSITESI (İKÜ)</t>
  </si>
  <si>
    <t>ISTANBUL REHBERLER ODASI</t>
  </si>
  <si>
    <t>İSTANBUL TURİZM OTELCİLİK AŞ (THE MARMARA HOTELS)</t>
  </si>
  <si>
    <t>KALANKAN MAKINA MOBILYA SAN.TIC.LTD.STI</t>
  </si>
  <si>
    <t>KALİTEST BELGELENDIRME VE EGITIM HIZMETLERI LTD.ST</t>
  </si>
  <si>
    <t>KARACA ZÜCCACIYE TICARET SANAYI A.S.</t>
  </si>
  <si>
    <t>MAYA HOLDING - KARTAL IST ALIŞVERİŞ MERKEZİ VE İŞLETMESİ A.Ş.</t>
  </si>
  <si>
    <t>KERAMIK MAKINA SAN. VE TIC.A.S.</t>
  </si>
  <si>
    <t>KIYI RESTORANT TURIZM GIDA LTD.STI.</t>
  </si>
  <si>
    <t>KOALAY - KONUT KREDISI COM TR DANISMANLIK A.S</t>
  </si>
  <si>
    <t>KONTAK ARTI İLETİŞİM HİZMETLERİ LTD.ŞTİ</t>
  </si>
  <si>
    <t>KOZA GIDA DAGITIM SAN. VE TIC. A.S.</t>
  </si>
  <si>
    <t>KOZMETIK VE TEMIZLIK ÜRÜNLERI SANAYICILERI DERNEGI</t>
  </si>
  <si>
    <t>LINK BILG.SIST.YAZILIM VE DONANIM SAN.VE TIC. AS</t>
  </si>
  <si>
    <t>LOGO YAZILIM SANAYİ TİC AŞ</t>
  </si>
  <si>
    <t>MAPPLİCO BİLGİ TEKNOLOJİLERİ ANONİM ŞİRKET</t>
  </si>
  <si>
    <t>MARK GLOBAL LOJISTIK A.S.</t>
  </si>
  <si>
    <t>MARS LOJISTIK</t>
  </si>
  <si>
    <t>MARTAS OTOMOTIV YEDEK PARÇA TIC.VE SAN.A.S</t>
  </si>
  <si>
    <t>MAYA HOLDING A.S</t>
  </si>
  <si>
    <t>MEDIALYZER MEDYA TEKNOLOJİLERİ ANONİM ŞİRKETİ</t>
  </si>
  <si>
    <t>MEDİKAL PARK HASTANELERİ (MLP CARE)</t>
  </si>
  <si>
    <t>MEDITEL MEDIKAL TEKNIK ELEKTRONIK A.S</t>
  </si>
  <si>
    <t>METRANS MAKINA ENT.ÜRN.SAN.VE TIC.A.S</t>
  </si>
  <si>
    <t>MİKRO YAZILIMEVI YAZ. HIZ. BILG. SAN.TIC. A.S.</t>
  </si>
  <si>
    <t>MIRORA ÇEVIRI LTD. STI. (MİRORA)</t>
  </si>
  <si>
    <t>MORE KONTRAT TASARIM VE INSAAT A.S.</t>
  </si>
  <si>
    <t>MOROGLU ARSEVEN AVUKATLIK ORTAKLIGI</t>
  </si>
  <si>
    <t>MSA MESLEKİ EĞİTİM VE TİCARET A.Ş.</t>
  </si>
  <si>
    <t>MTN KALIP SANAYİ VE TİCARET ANONİM ŞİRKETİ</t>
  </si>
  <si>
    <t>VANORAVENTURES YAZILIM TEKNOLOJİLERİ (NO21)</t>
  </si>
  <si>
    <t>ONURFİX MONTAJ SİSTEMLERİ SAN. TİC. A.Ş.</t>
  </si>
  <si>
    <t>EMARAT BOSPHORUS TURIZIM (OPERA HOTEL)</t>
  </si>
  <si>
    <t>OPTIMUSFLOW YAZILIM - BARIS GÜLEÇYÜZ</t>
  </si>
  <si>
    <t>OSMANLI YATIRIM MENKUL DEGERLER A.S.</t>
  </si>
  <si>
    <t>PALMİYE TATİL KÖYÜ İŞLETMELERİ TURİZM VE TİCARET A</t>
  </si>
  <si>
    <t>PESA ELEKTRIK MALZEMELERI SAN. ve TIC. LTD. STI.</t>
  </si>
  <si>
    <t>PMA BİLİŞİM A.Ş.</t>
  </si>
  <si>
    <t>POZITIF GÜMRÜK MÜSAVIRLIGI HIZMETLERI LTD. STI.</t>
  </si>
  <si>
    <t>PRO ILETISIM DAN. LTD.STI.</t>
  </si>
  <si>
    <t>PROSES MÜHENDISLIK ARITMA SISTEMLERI.INS.SAN.TIC.L</t>
  </si>
  <si>
    <t>PROTEL BILGISAYAR  A.Ş.</t>
  </si>
  <si>
    <t>PUSULA GÖRSEL VE DIJITAL PLATFORM LTD.STI.</t>
  </si>
  <si>
    <t>RAFINERI REKLAMCILIK HIZ.TIC.VE A.S</t>
  </si>
  <si>
    <t>REFORM CNC,LOJISTIK VE GERI DÖNÜSÜM SISTEMLERI GÖR</t>
  </si>
  <si>
    <t>REISSWOLF DÖKÜMAN YÖNETIMI HIZMETLERI A.S.</t>
  </si>
  <si>
    <t>REM MIMARLIK DEKORASYON RESTORASYON PROJE VE TAAH.</t>
  </si>
  <si>
    <t>SAFİ REZİSTANS IMALAT SAN.SAFI YILMAZ</t>
  </si>
  <si>
    <t>SAHİBİNDEN BILGI.TEKN.PAZ.VE TIC.A.S</t>
  </si>
  <si>
    <t>SAHLANLAR GIDA SAN.VE TICARET LTD.STI</t>
  </si>
  <si>
    <t>SAREM MAKINA SAN.VE TIC.LTD.STI</t>
  </si>
  <si>
    <t>ŞEKER YATIRIM MENKUL DEGERLER A.S.</t>
  </si>
  <si>
    <t>ŞENER OTO YEDEK PARÇA SANAYI.TIC.A.S</t>
  </si>
  <si>
    <t>SETA SİSTEM ÇÖZÜMLERİ MÜH. LTD. ŞTİ.</t>
  </si>
  <si>
    <t>ŞÖLEN ÇIKOLATA GIDA</t>
  </si>
  <si>
    <t>SUNEXPRESS (GÜNEŞ HAVACILIK)</t>
  </si>
  <si>
    <t>SYS TELEKOMINIKASYON BILG. ELKT. SAN.TIC.AS.</t>
  </si>
  <si>
    <t>T&amp;C GARMENTS</t>
  </si>
  <si>
    <t>TAKSIM OTELCILIK A.S.</t>
  </si>
  <si>
    <t>TED GLOBAL AG</t>
  </si>
  <si>
    <t>TEKNOFIX TELEKOMÜNIKASYON VE BILISIM HIZ. SAN. VE</t>
  </si>
  <si>
    <t xml:space="preserve">TELESURE KURUMSAL SIGORTA VE REASÜRANS BROKERLIGI </t>
  </si>
  <si>
    <t>TRIO SES ISIK VE GÖRÜNTÜ SISTEMLERI A.S.</t>
  </si>
  <si>
    <t>TURKVEN Turk Ventures Advisory Limited</t>
  </si>
  <si>
    <t>TURSOY OTELCILIK VE TURIZM YATIRIMLARI A.S</t>
  </si>
  <si>
    <t>HBM GIDA SANAYİ VE DIŞ TİCARET</t>
  </si>
  <si>
    <t>VIKING TURIZM</t>
  </si>
  <si>
    <t>WEIR TURKEY MINERALLERI LTD.STI.</t>
  </si>
  <si>
    <t>YAYLAGÜL MULTİMEDYA BİLG.TİC.LTD ŞTİ (REVOTAS)</t>
  </si>
  <si>
    <t>YILDIZ BRONZ SAN VE TIC LTD. STI.</t>
  </si>
  <si>
    <t>ZAFER TAAHHÜT İNŞ. VE TİC. A.Ş.</t>
  </si>
  <si>
    <t>ZAMIL GROUP TURKEY INS.TURIZM VE ENDUSTRIYEL YATIR</t>
  </si>
  <si>
    <t>ZNN GIRISIM DANISMANLIK NURGÜL SENEFE MUSTAFAOGLU</t>
  </si>
  <si>
    <t>UNIFREE DUTY FREE İŞLETMECİLİĞİ A.Ş.</t>
  </si>
  <si>
    <t>TITAN HAVACILIK ANONIM SIRKETI</t>
  </si>
  <si>
    <t>ORBITER AVIATION LIMITED</t>
  </si>
  <si>
    <t>MULLEN LOWE ISTANBUL REKLAMCILIK A.S</t>
  </si>
  <si>
    <t>VIPFASHION TEKSTİL LİMİTED ŞİRKETİ</t>
  </si>
  <si>
    <t>PI SEYAHAT TEKNOLOJIDAGITIM VE DANISMANLIK A.S.</t>
  </si>
  <si>
    <t xml:space="preserve">FIRAT İNŞAAT END.SAN.VE TİC. A.Ş </t>
  </si>
  <si>
    <t>GLOBAL HASAR DANIŞMALIĞI A.Ş.</t>
  </si>
  <si>
    <t>UNNOX GROUP</t>
  </si>
  <si>
    <t>ABİDA BİLİŞİM TEKNOLOJİLERİ DANIŞMANLIK AŞ.</t>
  </si>
  <si>
    <t>GEMSAN GEMİ VE GEMİ İŞLETMECİLİĞİ SANAYİ VE TİCARE</t>
  </si>
  <si>
    <t>CONVERGING EUROPE FUND III MANAGEMENT</t>
  </si>
  <si>
    <t>ZONGULDAK KÖMÜR İŞLETMELERİ ANONİM ŞİRKETİ</t>
  </si>
  <si>
    <t>TEKSO TEKNİK SOĞUTMA SAN.ve TİC.A.Ş.</t>
  </si>
  <si>
    <t>TEKNOSA İÇ ve DIŞ TİCARET A.Ş.</t>
  </si>
  <si>
    <t>PRONET GÜVENLİK HİZMETLERİ A.Ş.</t>
  </si>
  <si>
    <t>HAKMAR MAĞAZACILIK</t>
  </si>
  <si>
    <t>FLO Magazacılık Hizmetleri ve Pazarlama A.Ş.</t>
  </si>
  <si>
    <t>ALTERNA GIDA SANAYI PAZARLAMA VE TİC. A.Ş.</t>
  </si>
  <si>
    <t>AXOFT BILISIM LIMITED SIRKETI</t>
  </si>
  <si>
    <t>OTOFORM OTOMOTIV TIC.VE SAN.A.S.</t>
  </si>
  <si>
    <t>Kentglobal Park Dış Tic AŞ</t>
  </si>
  <si>
    <t>BTYÖN TEKNOLOJİ A.Ş.</t>
  </si>
  <si>
    <t>TEKHNELOGOS YAZILIM MÜH MÜŞ BİL HİZ SAN</t>
  </si>
  <si>
    <t>ÇAVUŞPET AKARYAKIT SANAYİ VE TİC.LTD ŞTİ</t>
  </si>
  <si>
    <t>GÜNEŞ ELEKTRONİK CİHAZLAR ve TİC. LTD.ŞTİ.</t>
  </si>
  <si>
    <t>CVS ÇAVUSOGLU AYAKKABI PAZARI TİC.A.Ş.</t>
  </si>
  <si>
    <t>ASAŞ ALÜMİNYUM SANAYİİ VE TİCARET A.Ş.</t>
  </si>
  <si>
    <t>AVEON GLOBAL SİGORTA ANONİM ŞİRKETİ</t>
  </si>
  <si>
    <t>Türkiye Finans Katılım Bankası</t>
  </si>
  <si>
    <t>İGM GÜMRÜK MÜŞAVİRLİĞİ</t>
  </si>
  <si>
    <t>ARKON CELİK SANAYI ve TICARET LTD. ŞTI.</t>
  </si>
  <si>
    <t>SEGMENTIFY</t>
  </si>
  <si>
    <t>SAH-96 MMC - BULUT HIZMETI</t>
  </si>
  <si>
    <t>ATESSONMEZ KIMYA SAN VE TIC AS</t>
  </si>
  <si>
    <t>PELSAN AYDINLATMA SANAYİ VE TİCARET ANONİM ŞİRKETİ</t>
  </si>
  <si>
    <t>TRANSORIENT ULUSLARARASI LOJİSTİK VE TİCARET A.Ş</t>
  </si>
  <si>
    <t>OPSAN ORİJİNAL SAC PARÇA SAN.VE TİC. A.Ş.</t>
  </si>
  <si>
    <t>90PİXEL</t>
  </si>
  <si>
    <t>Acr Naturel Gıda Pazarlama Sanayi Ve Ticaret Limit</t>
  </si>
  <si>
    <t>HEXAROB OTOMASYON VE MÜHENDISLIK LTD. ŞTI.</t>
  </si>
  <si>
    <t>MODİS YAPI MİMARLIK</t>
  </si>
  <si>
    <t>Mia Istanbul Gayrimenkul</t>
  </si>
  <si>
    <t>TÜRK PVEI SİGORTA A.Ş.</t>
  </si>
  <si>
    <t>UGI SOFT YAZILIM</t>
  </si>
  <si>
    <t>AKTİF HUKUK</t>
  </si>
  <si>
    <t>M LORD DIŞ TİCARET A.Ş</t>
  </si>
  <si>
    <t>ROTAP TEKNOLOJİ YAZILIM</t>
  </si>
  <si>
    <t>ANTALYA SUBSTRAT YATIRIM LİMİTED ŞİRKETİ</t>
  </si>
  <si>
    <t>TİRYAKİ KALIP  PLASTİK METAL İMALAT SAN. VE TİC. L</t>
  </si>
  <si>
    <t>TRAKPAR YEDEK PARÇA SAN.DIŞ.TİC.LTD.ŞTİ.</t>
  </si>
  <si>
    <t>24 KARGO VE TAŞIMACILIK TİCARET A.Ş.</t>
  </si>
  <si>
    <t>SİNYAL ELEKTRONİK VE KOZMETİK ÜRÜNLER SAN. VE  P</t>
  </si>
  <si>
    <t>DEHA SANAT ETKİNLİKLERİ EĞİTİM VE ORGANİZASYON İTH</t>
  </si>
  <si>
    <t>BASIT GIDA ANONIM SIRKETI</t>
  </si>
  <si>
    <t>Temel Tel Metal San.Tic.Ltd.STİ</t>
  </si>
  <si>
    <t>FYTECH</t>
  </si>
  <si>
    <t>Ada Design</t>
  </si>
  <si>
    <t>GAZİANTEP TİCARET ODASI</t>
  </si>
  <si>
    <t>ERDE DIŞ TİCARET LTD.  ŞTİ.</t>
  </si>
  <si>
    <t>DENGE AUTOMOTİVE</t>
  </si>
  <si>
    <t>KEY DİGİTAL PLATFORM TEKNOLOJİLERİ ANONİM ŞİRKETİ</t>
  </si>
  <si>
    <t>TRİO DENİZ ARAÇLARI TİCARET ANONİM ŞİRKET</t>
  </si>
  <si>
    <t>AROMSA BESİN AROMA KATKI MAD SAN TİC AŞ</t>
  </si>
  <si>
    <t>SONOROUS</t>
  </si>
  <si>
    <t>ATMO OTOMOTİV LİMİTED ŞİRKETİ</t>
  </si>
  <si>
    <t>GOSB</t>
  </si>
  <si>
    <t>BİLİRA TEKNOLOJİ ANONİM ŞİRKETİ</t>
  </si>
  <si>
    <t>ROSTHİL SU ARITIM TEKNOLOJİLERİ</t>
  </si>
  <si>
    <t>INFODROM YAZILIM DANIŞMANLIK HİZ.TİC.LTD.ŞTİ.</t>
  </si>
  <si>
    <t>NİLKY GIDA</t>
  </si>
  <si>
    <t>YAFES TEKNOLOJİ TİCARET LİMİTED ŞİRKETİ</t>
  </si>
  <si>
    <t>BOĞAZİÇİ SİGORTA</t>
  </si>
  <si>
    <t>CABİR HOLDİNG - MİLK ACADEMY</t>
  </si>
  <si>
    <t>SAF NUTRITION</t>
  </si>
  <si>
    <t>ESAYAN GRUP İNŞAAT AMBALAJ PEYZAJ TURİZM TAŞ. GERİ</t>
  </si>
  <si>
    <t>HD ÇELİK MÜHENDİSLİK METAL İNŞAAT MÜTEAHHİTLİK SAN</t>
  </si>
  <si>
    <t>ENDEKS BİLİŞİM SAN. ve DIŞ TİC. A.Ş.</t>
  </si>
  <si>
    <t>BTI BİLİŞİM DANIŞMANLIK VE YAZILIM VE TİC. LTD. ŞT</t>
  </si>
  <si>
    <t>SMMM RECEP ÇETİN</t>
  </si>
  <si>
    <t>DEĞER ELEKTRİK - DEĞER İTHALAT İHRACAT ELEKTRİK MA</t>
  </si>
  <si>
    <t>NAR GIDA</t>
  </si>
  <si>
    <t>PENINSULA CORPORATE FINANCE DANIŞMANLIK A.Ş</t>
  </si>
  <si>
    <t>MEDICANA HASTANE İŞLETMECILIĞI A.Ş.</t>
  </si>
  <si>
    <t>İPSİZCAMBAZ</t>
  </si>
  <si>
    <t>MOBILTRUST</t>
  </si>
  <si>
    <t>VAILLANT GROUP TURKEY</t>
  </si>
  <si>
    <t>ALUNET MATERIAL SOLUTIONS ALÜMINYUM</t>
  </si>
  <si>
    <t>KURTARAN LASTİK VE PLASTİK ANONİM ŞİRKETİ</t>
  </si>
  <si>
    <t>Mehmet Doğru Ticaret Ltd.</t>
  </si>
  <si>
    <t>OTO NAMUK TRAKTÖR YEDEK PARÇA VE TARIM MAK.SAN.TİC</t>
  </si>
  <si>
    <t>PUCK GLOBAL -  MUZIP PERI REKLAM TANITIM HIZ. A.Ş.</t>
  </si>
  <si>
    <t>DORUK İLETİŞİM</t>
  </si>
  <si>
    <t>SİMETO GÜMRÜK MÜŞAVİRLİĞİ VE LOJİSTİK</t>
  </si>
  <si>
    <t>BABUR ARSLAN TUR. TİC. ÖZEL SAĞLIK HİZ VE SAN AŞ</t>
  </si>
  <si>
    <t>MİSBAHÇE GIDA VE TARIM ÜRÜNLERİ SAN.VE TİC.LTD.ŞTİ</t>
  </si>
  <si>
    <t>USTA ELLER BAKLAVA</t>
  </si>
  <si>
    <t>BRAVO YAZILIM VE DANIŞMANLIK HİZM. İÇ VE DIŞ TİC</t>
  </si>
  <si>
    <t>PROTEK ENDÜSTRİYEL OTOMASYON SİSTEMLERİ MAKİNA VE</t>
  </si>
  <si>
    <t>FT PORTFÖY</t>
  </si>
  <si>
    <t>ARTI DEĞER İNŞAAT OTOMOTİV SANAYİ VE DIŞ TİCARET A</t>
  </si>
  <si>
    <t>ARZ PORTFÖY</t>
  </si>
  <si>
    <t>BERSAY İLETİŞİM DANIŞMANLIĞI TİC.A.Ş</t>
  </si>
  <si>
    <t>FRT SU ARITMA SANAYİ TİCARET LİMİTED ŞİRKETİ</t>
  </si>
  <si>
    <t>Hannover Fairs Turkey Fuarcılık A.Ş.</t>
  </si>
  <si>
    <t>İHLAS PAZARLAMA A.Ş.</t>
  </si>
  <si>
    <t>IRMAK SAYA TRİKO SAN. VE TİC.LTD.ŞTİ.</t>
  </si>
  <si>
    <t>CNR HOLDİNG A.Ş.</t>
  </si>
  <si>
    <t>MFK TEKNOLOJİ VE OTOMASYON</t>
  </si>
  <si>
    <t>ÖZSEÇKİN PLASTİK SANAYİ VE TİCARET LİMİTED ŞİRKETİ</t>
  </si>
  <si>
    <t>HANMEY TARIM ÜRÜNLERİ SANAYİ VE TİC.LTD.ŞTİ</t>
  </si>
  <si>
    <t>ÜLGEN DENİZCİLİK VE LOJİSTİK SANAYİ TİCARET ANONİM</t>
  </si>
  <si>
    <t>E SİM TELEKOMÜNİKASYON LİMİTED SİRKETİ</t>
  </si>
  <si>
    <t>PRİME PORTFÖY YÖNETİMİ ANONİM ŞİRKETİ</t>
  </si>
  <si>
    <t>GÜNAY MOTORLU ARAÇLAR PAZARLAMA VE TİC. LTD. ŞTİ.</t>
  </si>
  <si>
    <t>ÇAĞBERK LOJİSTİK PAZARLAMA İÇ VE DIŞ TİCARET A.Ş</t>
  </si>
  <si>
    <t>ŞAHİNLER MOTORLU ARAÇLAR SAN.VE TİC. A.Ş</t>
  </si>
  <si>
    <t>BAUZADE YAPI MALZEMELERİ SANAYİ VE TİCARET LİMİTED</t>
  </si>
  <si>
    <t>İWİS TAHRİK SİSTEMLERİ SAN.TİC.LTD.ŞTİ</t>
  </si>
  <si>
    <t>TOGG</t>
  </si>
  <si>
    <t>IVC ENDUSTRIYEL URUNLER VANA</t>
  </si>
  <si>
    <t>ZEBRA TEKSTİL İNŞAAT SANAYİ VE TİCARET LİMİTED ŞİR</t>
  </si>
  <si>
    <t>BİGADİÇ ÜNAL GIDA TUR.SU ÜRN.HAY.KUY.DAYANIKLI TÜK</t>
  </si>
  <si>
    <t>PEDAŞ LED AYDINLATMA TEKNOLOJİLERİ A.Ş.</t>
  </si>
  <si>
    <t>KALE JET MOTORLARI</t>
  </si>
  <si>
    <t>DICLE ÜNIVERSITESI</t>
  </si>
  <si>
    <t xml:space="preserve">SOLVENTAS TEKNIK DEPOLAMA A.S. </t>
  </si>
  <si>
    <t>AKSAN KOZMETIK SAN. VE TIC. A.S.</t>
  </si>
  <si>
    <t>MAYEN TELEKOMİNİKASYON HİZMETLERİ A.Ş.</t>
  </si>
  <si>
    <t>KALE HAVACILIK SANAYİ A.Ş.</t>
  </si>
  <si>
    <t>DIGITURK KREA IÇERIK HIZMETLERI VE PRODÜKSIYON A.S</t>
  </si>
  <si>
    <t>ICBC</t>
  </si>
  <si>
    <t>METRO İSTANBUL</t>
  </si>
  <si>
    <t>ABALIOGLU HOLDING</t>
  </si>
  <si>
    <t>FILIDEA TEKSTIL SAN. VE TIC. A.S</t>
  </si>
  <si>
    <t>KASTAS</t>
  </si>
  <si>
    <t>DENİZLİ RATEKS TEKSTİL SANAYİ VE TİCARET A.Ş.</t>
  </si>
  <si>
    <t>Rateks Baski Boya Sanayi ve Ticaret Anonim Şirketi</t>
  </si>
  <si>
    <t>MILLENICOM TELEKOMÜNİKASYON HİZMETLERİ</t>
  </si>
  <si>
    <t>AXA SIGORTA</t>
  </si>
  <si>
    <t>BOYNER HOLDING</t>
  </si>
  <si>
    <t xml:space="preserve">BEYMEN GRUP </t>
  </si>
  <si>
    <t>ÖZŞANAL PERAKENDE MAĞAZACILIK A.Ş.</t>
  </si>
  <si>
    <t>SİSKON OTOMASYON YAZILIM A.Ş.</t>
  </si>
  <si>
    <t>BEZMIALEM VAKIF ÜNIVERSITESI (REKTÖRLÜK)</t>
  </si>
  <si>
    <t>KARINCA LOJİSTİK A.Ş..</t>
  </si>
  <si>
    <t>SET KURUMSAL HİZ.TİC.A.Ş. (SETCARD)</t>
  </si>
  <si>
    <t>ÇYDD</t>
  </si>
  <si>
    <t>TEKSAN JENARATÖR ELEK. SAN. TIC. A.S.</t>
  </si>
  <si>
    <t>CVS HAVALANDIRMA SİSTEMLERİ SAN.VE TİC.A.Ş.</t>
  </si>
  <si>
    <t>SARAN GIDA TEKSTİL İNŞAAT.SAN.VE DIŞ.TİC.LTD.ŞTİ.</t>
  </si>
  <si>
    <t>ACAR MENKUL DEĞERLER A.Ş</t>
  </si>
  <si>
    <t>HAS PORTFÖY YÖNETİMİ A.Ş</t>
  </si>
  <si>
    <t>MACKA YAYINCILIK VE EGLENCE A.Ş.</t>
  </si>
  <si>
    <t>Özdemir Çelik Konstrüksiyon İmalat Montaj Sanayi</t>
  </si>
  <si>
    <t>BUFALA SÜT ÜRÜNLERİ SANAYİ VE TİCARET A.Ş</t>
  </si>
  <si>
    <t>UÇARLAR TİC. KOLL.ŞTİ</t>
  </si>
  <si>
    <t>ARICIOĞLU OTOMOTİV SANAYİ VE TİCARET ANONİM ŞİRKET</t>
  </si>
  <si>
    <t>WEITNAUER DIŞ TİC.A.Ş. (DEM DIŞ TİC )</t>
  </si>
  <si>
    <t>WORKINTON</t>
  </si>
  <si>
    <t>DÜĞÜNÜMÜZ VAR FOTOĞRAFÇILIK HİZ. SAN. TİC. LTD. ŞT</t>
  </si>
  <si>
    <t>NESTINVEST PROJE PAZARLAMA ANONİM ŞİRKETİ</t>
  </si>
  <si>
    <t>METROPET İTHALAT İHRACAT İNŞAAT LİMİTED ŞİRKETİ</t>
  </si>
  <si>
    <t>POİNT KURYE HİMZETLERİ TİCARET LİMİTED ŞİRKETİ</t>
  </si>
  <si>
    <t>RENTMAK LOJISTIK TICARET ANONIM SIRKETI (GEMONT)</t>
  </si>
  <si>
    <t>CİTİX İST BİLİŞİM REKLAMCILIK TİCARET A.Ş</t>
  </si>
  <si>
    <t>EFEX ELEKTRİK MÜHENDİSLİK OTOMASYON</t>
  </si>
  <si>
    <t>EUROTEC MÜHENDISLIK</t>
  </si>
  <si>
    <t>ÖZ-SEL ECZA DEPOLARI (ÖZSEL)</t>
  </si>
  <si>
    <t>CAHAN TİCARET MMC</t>
  </si>
  <si>
    <t>DORUK SOĞUTMA SİSTEMLERİ SAN.VE TİCARETLTD.ŞTİ</t>
  </si>
  <si>
    <t>ELESA GANTER ENDÜST. VE MAKINE EKIPMANLARI SAN. VE</t>
  </si>
  <si>
    <t>PERNET - İNSAN KAYNAKLARI YÖN.SİST.VE TİC.A.Ş</t>
  </si>
  <si>
    <t>NATUREM TEKNIK MAKINE TIC.LTD.STI</t>
  </si>
  <si>
    <t>KARDEŞ ELEKTRIK SAN. VE TIC. AS.</t>
  </si>
  <si>
    <t>GUCCI TURKEY LÜKS ÜRÜNLER TIC.LTD.STI.</t>
  </si>
  <si>
    <t>PROFESYONEL PERAKENDE ÇÖZÜMLERİ SN.TC.A.Ş (PROPERA</t>
  </si>
  <si>
    <t>BOTTEGA VENETA TURKEY LUKS URUNLER TICARET LTD</t>
  </si>
  <si>
    <t>SAINT LAURENT TURKEY LÜKS ÜRÜNLER LİMİTED ŞİRKETİ</t>
  </si>
  <si>
    <t>AHMAD TEA ÇAY İTHALAT VE TİCARET LTD.ŞTİ</t>
  </si>
  <si>
    <t>Çerko Motor İç ve Dış Ticaret A.Ş.</t>
  </si>
  <si>
    <t>ALACA YAZILIM VE TEKNOLOJİ SAN.TİC.LTD.ŞTİ.</t>
  </si>
  <si>
    <t>ÇAMLIBEL KURUMSAL PAZARLAMA HİZ. GIDA HAYV. SÜT ÜR</t>
  </si>
  <si>
    <t>EREN GIDA MAD. TURİZM SAN. TİC. LTD. ŞTİ.</t>
  </si>
  <si>
    <t>SOLVOCODE YAZILIM ANONİM ŞİRKETİ</t>
  </si>
  <si>
    <t>Sinerji Gıda Kimya Tekstil San. Ve Tic. A.Ş.</t>
  </si>
  <si>
    <t>LIBA LABORATUARLARI A.S.</t>
  </si>
  <si>
    <t>ARSAN KİMYA SAN.TİC. A.Ş.</t>
  </si>
  <si>
    <t>Helsakam Konfeksiyon Yan Ürünleri San. ve Tic. A.Ş</t>
  </si>
  <si>
    <t>VAKIFBANK SPOR KULUBÜ DERNEĞİ</t>
  </si>
  <si>
    <t>Trada Teknoloji Anonim Şirketi</t>
  </si>
  <si>
    <t>POLİMAZ AMBALAJ SANAYİ TİC. LTD. ŞTİ.</t>
  </si>
  <si>
    <t>PROSİSTEM ELEKTRONİK SİSTEMLERİ SANAYİ VE TİCARET</t>
  </si>
  <si>
    <t>PİA BİLİŞİM HİZMETLERİ A.Ş.</t>
  </si>
  <si>
    <t>SESTEK SES VE İLETİŞİM BİLGİSAYAR TEKNOLOJİLERİ SA</t>
  </si>
  <si>
    <t>SHERPA YAZILIM EĞİTİM VE FİNANSAL DAN.TİC.LTD.ŞTİ.</t>
  </si>
  <si>
    <t>MEY Kozmetik İth.İhr.San.ve Tic.Ltd.Şti.</t>
  </si>
  <si>
    <t>KILIÇKAYA LPG GIDA NAK. TURIZM INS.TIC. LTD. ŞTI.</t>
  </si>
  <si>
    <t>FARMASU DOGAL KAY. SULARI MES VE GIDA MAD.ÜRET. PA</t>
  </si>
  <si>
    <t>PAMTEK METAL END. ÜRUNLER SAN. VE TIC.LTD.STI.</t>
  </si>
  <si>
    <t>BRİİSK LİMİTED</t>
  </si>
  <si>
    <t>HAZİRAN TEKNOLOJİ YAZILIM VE BİLİŞİM A.Ş.</t>
  </si>
  <si>
    <t>İPEKYOLU GÜMRÜK MÜŞAVİRLİĞİ LTD. ŞTİ.</t>
  </si>
  <si>
    <t>BURSA KAYNAK MAKİNE İNŞAAT YEDEK PARÇA NAKLİYE VE</t>
  </si>
  <si>
    <t>BUSEM HEDİYELİK EŞYA VE METAL SAN. TİC. LTD. ŞTİ.</t>
  </si>
  <si>
    <t>ALL PARTS OTOMOTİV VE DIŞ TİC. LTD.ŞTİ</t>
  </si>
  <si>
    <t>CAREWIND RÜZGAR TÜRBİNLERİ MONTAJ BAKIM VE SERVİS</t>
  </si>
  <si>
    <t>MARKAHUB TEKSTİL</t>
  </si>
  <si>
    <t>AVM LOJİSTİK TİCARET ANONİM ŞİRKETİ</t>
  </si>
  <si>
    <t>NEPROTECH YAZILIM VE BILGI TEKNOLOJILERI</t>
  </si>
  <si>
    <t>MY FLOWERS TARIM SANAYİ TİC.LTD.ŞTİ</t>
  </si>
  <si>
    <t>Customer</t>
  </si>
  <si>
    <t>Starting MRR</t>
  </si>
  <si>
    <t>Company Sector</t>
  </si>
  <si>
    <t>License Percent</t>
  </si>
  <si>
    <t>Exc. License MRR</t>
  </si>
  <si>
    <t>Customer Risk</t>
  </si>
  <si>
    <t>Churn</t>
  </si>
  <si>
    <t>Churned MRR</t>
  </si>
  <si>
    <t>NO RISK</t>
  </si>
  <si>
    <t>HIGH RISK</t>
  </si>
  <si>
    <t>MEGA METAL SAN. VE TİC. A.Ş.</t>
  </si>
  <si>
    <t>BACACI YATIRIM HOLDING ANONIM SIRKETI</t>
  </si>
  <si>
    <t>YEMEK PAY ELEKTRONİK PARA ve ODEME Hiz. A.S.</t>
  </si>
  <si>
    <t>LİLA KAĞIT SANAYİ VE TİCARET A.Ş.</t>
  </si>
  <si>
    <t>ARVATO LOJİSTİK DIŞ TİC.VE E TİC.HİZMETLERİ A.Ş.</t>
  </si>
  <si>
    <t>ÇAĞATAY EVCİL HAYVAN MAMALARI VE YEM ÜRÜNLERİ SAN.</t>
  </si>
  <si>
    <t>AYDIN ÜNİVERSİTESİ</t>
  </si>
  <si>
    <t>Obilet.com Turizm Seyahat Acentası</t>
  </si>
  <si>
    <t>ISOTEC ENERJİ A.Ş.</t>
  </si>
  <si>
    <t>NOBEL İLAÇ SANAYİİ VE TİCARET A.Ş.</t>
  </si>
  <si>
    <t>MİDAS MENKUL DEĞERLER A.Ş.</t>
  </si>
  <si>
    <t>KARBONSAN BASINÇLI KAPLAR SANAYİ VE TİCARET ANONİM</t>
  </si>
  <si>
    <t>INTRA MEDİKAL</t>
  </si>
  <si>
    <t>KALE PRATT</t>
  </si>
  <si>
    <t>DT MÜHENDİSLİK VE TAAHHÜT ANONİM SİRKETİ</t>
  </si>
  <si>
    <t>FUTURE LOJİSTİK</t>
  </si>
  <si>
    <t>SAĞLIK VE EĞİTİM VAKFI</t>
  </si>
  <si>
    <t>KOTON MAĞAZACILIK TEKSTİL SANAYİ VE TİCARET A.Ş.</t>
  </si>
  <si>
    <t>ASLANOBA YATIRIM GIDA SANAYİ VE TİCARET A.Ş.</t>
  </si>
  <si>
    <t>Torlak &amp; Karaduman Hukuk Bürosu</t>
  </si>
  <si>
    <t>SABANCI ÜNİVERSİTESİ</t>
  </si>
  <si>
    <t>MAPP MERCHANDISING GROUP</t>
  </si>
  <si>
    <t>SARAY DÖKÜM</t>
  </si>
  <si>
    <t>KARTAL KİMYA</t>
  </si>
  <si>
    <t>HOROZ LOJİSTİK KARGO HİZMETLERİ VE TİC. A.Ş.</t>
  </si>
  <si>
    <t>IMPACTA DÖNÜŞÜM A.Ş.</t>
  </si>
  <si>
    <t>ALVIMEDICA SAGLIK EKIPMANLARI PAZARLAMA</t>
  </si>
  <si>
    <t>LİSA YAZILIM</t>
  </si>
  <si>
    <t>REDINGTON</t>
  </si>
  <si>
    <t>BAHTİYAR OCAK</t>
  </si>
  <si>
    <t>MİNAR MOBİLYA SANAYİ VE TİCARET LİMİTED ŞİRKET</t>
  </si>
  <si>
    <t>BCM Uluslararası Madencilik iIracat San ve Tic</t>
  </si>
  <si>
    <t>Opus  Solutions</t>
  </si>
  <si>
    <t>GÜVEN PRES DÖKÜM</t>
  </si>
  <si>
    <t>AKSAL TEKSTIL VE ELYAF SANAYI TICARET ANONIM</t>
  </si>
  <si>
    <t>ADALON OTOMOTİV SANAYİ VE DIŞ TİC. LTD. STİ</t>
  </si>
  <si>
    <t>İQM TEKNOLOJİ YAZILIM LİMİTED ŞİRKETİ</t>
  </si>
  <si>
    <t>ASSERSAN</t>
  </si>
  <si>
    <t>Fi Commerce Teknoloji</t>
  </si>
  <si>
    <t>KARAVAN TURİZM SEYAHAT VE NAKLIYAT AS</t>
  </si>
  <si>
    <t>CARREFOURSA CARREFOUR SABANCI TİCARET MERKEZİ A.Ş</t>
  </si>
  <si>
    <t>FOM TURKEY</t>
  </si>
  <si>
    <t>FARMAZON BİLGİ TEKNOLOJİLERİ A.Ş.</t>
  </si>
  <si>
    <t>CHİP COMPUTER BİLGİ İŞLEM VE DAN.HİZ.LTD.ŞTİ.</t>
  </si>
  <si>
    <t>İZEM OTOMOTİV SEYAHAT TURİZM</t>
  </si>
  <si>
    <t>NİSHANE</t>
  </si>
  <si>
    <t>HELS ENDÜSTRİYEL MAMÜLLER SANAYİ TİC. LTD. ŞTİ.</t>
  </si>
  <si>
    <t>GENERAL VETERİNER İLAÇLARI A.Ş.</t>
  </si>
  <si>
    <t>NAVEK SPORTİF ÜRÜNLER VE DANIŞMANLIK AŞ</t>
  </si>
  <si>
    <t>BBS KALIP OTONASYON TEKNOLOJİK İMALAT SANAYİ VE Tİ</t>
  </si>
  <si>
    <t>DEMKA KAĞIT VE AMBALAJ SANAYİ TİCARET ANONİM ŞİRKE</t>
  </si>
  <si>
    <t>MATES DANIŞMANLIK</t>
  </si>
  <si>
    <t>Nobel Bilişim Sistem Yazılım ve Network Hizmetleri</t>
  </si>
  <si>
    <t>sobe diş ticaret tekstil ve sanayi limited şirketi</t>
  </si>
  <si>
    <t>HARUN TUNABOYLU</t>
  </si>
  <si>
    <t>BURGAN BANK A.S.</t>
  </si>
  <si>
    <t>ARTROTEK TIBBİ MALZEME SANAYİ VE TİC.LTD.ŞTİ</t>
  </si>
  <si>
    <t>KIRIKHAN MENSUCAT SAN. VE TİC. A.Ş.</t>
  </si>
  <si>
    <t>FORM MİMARLIK MÜHENDİSLİK HİZM.SAN.VE TİC.LTD.ŞTİ</t>
  </si>
  <si>
    <t>MARCUS GIDA TICARET ANONIM SIRKETI</t>
  </si>
  <si>
    <t>UTKU ORMAN ÜRÜNLERİ</t>
  </si>
  <si>
    <t>COŞAR &amp; ŞAHİN HUKUK BÜROSU</t>
  </si>
  <si>
    <t>DOGAN METE MİMARLIK INSAAT</t>
  </si>
  <si>
    <t>MODA ENERJİ</t>
  </si>
  <si>
    <t>MALKAN KANAAT KİMYEVİ BOYA İNŞAAT</t>
  </si>
  <si>
    <t>IMPERIUM CIKOLATA GIDA VE PAZARLAMA DIS TİCARET LS</t>
  </si>
  <si>
    <t>INFOTECH BİLİŞİM VE İLETİŞİM TEKNOLOJİLERİ SAN. VE</t>
  </si>
  <si>
    <t>AYDEMİRLER ÇELİK A.Ş.</t>
  </si>
  <si>
    <t>KARTAL RULMANS</t>
  </si>
  <si>
    <t>BS GÜMRÜK</t>
  </si>
  <si>
    <t>İZMİR EKRAN (MUD BİLİŞİM)</t>
  </si>
  <si>
    <t>NOVA GÜÇ AKTARIM VE HAREKET SİS SAN TİC A.Ş</t>
  </si>
  <si>
    <t>RAHMET GIDA NAKLİYE İNŞAAT TİC.SAN.LTD.ŞTİ</t>
  </si>
  <si>
    <t>VONTECH ELEKTRONİK VE TİC.LTD.ŞTİ</t>
  </si>
  <si>
    <t>ÖNDERLER İŞ MAKİNALARI</t>
  </si>
  <si>
    <t>SAYKOM BİLGİSAYAR TİC. VE SAN. LTD. ŞTİ.</t>
  </si>
  <si>
    <t>MADEŞ METAL SAN. TİC. LTD. ŞTİ.</t>
  </si>
  <si>
    <t>SENAMED</t>
  </si>
  <si>
    <t>KANGURU GIDA SAN TURİZM DANIŞ. VE TİC.LTD.ŞTİ</t>
  </si>
  <si>
    <t>TOPCU DENTAL MEDİKAL SAN.TİC.LTD.ŞTİ</t>
  </si>
  <si>
    <t>SEMPOLY YAPI</t>
  </si>
  <si>
    <t>DÖRTSAN GRUP HİDROLİK OTOMOTİV SAN. VE DIŞ TİC. LT</t>
  </si>
  <si>
    <t>LEPO TEKNİK MÜHENDİSLİK MAKİNA MADEN SANAYİ VE TİC</t>
  </si>
  <si>
    <t>KARACAYOL İNŞAAT MADENCİLİK TUR MAK SAN TİC LTD ŞT</t>
  </si>
  <si>
    <t>SERET ET VE GIDA SAN. TİC. LTD. ŞTİ.</t>
  </si>
  <si>
    <t>ERGÜ AYDINLATMA ELEKTRIK HIRDAVAT INSAAT TAAHHÜT</t>
  </si>
  <si>
    <t>HALBACH TEKNOLOJİK BASKILAR SAN VE TİC LTD ŞTİ</t>
  </si>
  <si>
    <t>MELTEM TURİZM NAKLİYAT OTO ALIM SATIM VE YEDEK PAR</t>
  </si>
  <si>
    <t>BİRZE MÜHENDİSLİK HİZMETLERİ SAN. TİC. LTD. ŞTİ.</t>
  </si>
  <si>
    <t>NEU OTOMOTİV DÖVME ÇELİK SANAYİ VE TİCARET ANONİM</t>
  </si>
  <si>
    <t>EGEPAK AMBALAJ GIDA PAKETLEME SAN.VE TİC.LTD.ŞTİ</t>
  </si>
  <si>
    <t>KARO PORSELEN SERAMİK PAZARLAMA TİC.A.Ş</t>
  </si>
  <si>
    <t>BAYEDİ A.Ş</t>
  </si>
  <si>
    <t>ESENTEKS TEKSTİL SAN. VE TİC. LTD. ŞTİ.</t>
  </si>
  <si>
    <t>JANUS BARKOD TEKNOLOJİLERİ VE TURİZM SAN.TİC.LTD.Ş</t>
  </si>
  <si>
    <t>İGGNİTA MAKİNA SAN. VE TİC. A. Ş.</t>
  </si>
  <si>
    <t>WEDİACORP TEKNOLOJİ MEDYA İLETİŞİM TURİZM SANAYİ V</t>
  </si>
  <si>
    <t>YEYKİM QUATTRO YAPI ENDÜSTRİ KİMYA SANAYİ VE TİCAR</t>
  </si>
  <si>
    <t>PRODIGITAL - P REKLAM ÜRÜNLERİ SATIŞ VE UYGULAMA L</t>
  </si>
  <si>
    <t>ÖZSAĞDIÇLAR</t>
  </si>
  <si>
    <t>EGGO GROUP (URFASAN)</t>
  </si>
  <si>
    <t>TAZE DÜNYA GIDA SANAYİ VE TİCARET A.Ş.</t>
  </si>
  <si>
    <t>ERDOĞANLAR OTOMOTİV MAK SAN. TİC. LTD. ŞTİ.</t>
  </si>
  <si>
    <t>ARON MIMARLIK</t>
  </si>
  <si>
    <t>SİMURG İLAÇ KİMYA SAN. TİC. LTD. ŞTİ.</t>
  </si>
  <si>
    <t>EVRENSEL MEKANIK İZOLASYON İNŞAAT SAN.TİC.LTD.ŞTİ.</t>
  </si>
  <si>
    <t>ÇELİK KULE METALÜRJİ SAN.VE TİC.LTD.ŞTİ</t>
  </si>
  <si>
    <t>EMG GÜÇ VE ENERJİ SİST YAPI MALZİ İTH.İHRTİC LTD Ş</t>
  </si>
  <si>
    <t>CD VİNÇ TEKSTİL MAKİNA SAN. VE TİC LTD. ŞTİ.</t>
  </si>
  <si>
    <t>BUDDY DIŞ TİCARET SAN. A.Ş</t>
  </si>
  <si>
    <t>LAYDA BİLGİSAYAR YAZILIM ve DANIŞMANLIK LTD.ŞTİ.</t>
  </si>
  <si>
    <t>AGS.AKIN YANGIN SÖNDÜRME CİHAZLARI VE GÜVENLİK SİS</t>
  </si>
  <si>
    <t>AKSİN TEKNİK HIRDAVAT VE YAPI MALZEMELERİ SAN.TİC.</t>
  </si>
  <si>
    <t>ADA GROUP MEKANİK VE MÜHENDİSLİK İNŞAAT SAN.LTD.ŞT</t>
  </si>
  <si>
    <t>KHD ELEKTRONİK LTD. ŞTİ.</t>
  </si>
  <si>
    <t>BEREKET LIFE TEKSTİL MEFRUŞAT SAN. ve TİC. LTD. ŞT</t>
  </si>
  <si>
    <t>İZKA TEMİZLİK GIDA ÜRÜNLERİ PAZARLAMA SAN. VE TİC.</t>
  </si>
  <si>
    <t>ATLAS PSA OTOMOTİV YED. PAR. İNŞ. SAN. VE TİC. LTD</t>
  </si>
  <si>
    <t>ORONTES GIDA SANAYİ VE TİCARET A.Ş</t>
  </si>
  <si>
    <t>GÜLER MOBİLYA VE BEYAZ EŞYA - HASAN GÜLER</t>
  </si>
  <si>
    <t>DİNAMİK BARKOD OTOMASYON YAZILIM MÜHENDİSLİK BİLİŞ</t>
  </si>
  <si>
    <t>KAYRA İPLİK A.Ş.</t>
  </si>
  <si>
    <t>SERTAN TEKNİK KESİCİ TAKIM SANAYİ TİC.LTD.ŞTİ</t>
  </si>
  <si>
    <t>FİNE OTEL TURİZM İŞLT. A.Ş</t>
  </si>
  <si>
    <t>Vigo Teknoloji ve Lojistik A.Ş.</t>
  </si>
  <si>
    <t>LKG MÜHENDISLIK VE ARGE HIZMETLERI LTD. ŞTI.</t>
  </si>
  <si>
    <t>DEMİRSOY PASLANMAZ ÇELİK DÖKÜM SAN.VE TİC.LTD.ŞTİ</t>
  </si>
  <si>
    <t>İDİLSU TEKS.TUR.İNŞ.TAAH.İTH.İHR.VETİC.LTD.ŞTİ</t>
  </si>
  <si>
    <t>4D ENDÜSTRİYEL ÇÖZÜMLER SANAYİ VE TİCARET LİMİTED</t>
  </si>
  <si>
    <t>KOREL ELEKTRİK VE GEMİ MALZEMELERİ SAN.TİC.LTD.ŞTİ</t>
  </si>
  <si>
    <t>TARGET MUTFAK SİSTEM ÇÖZÜMLERİ A.Ş</t>
  </si>
  <si>
    <t>DBB MÜHENDİSLİK ELEKTRİK TAAHHÜT İNŞAAT TİCARET LT</t>
  </si>
  <si>
    <t>SAREM TURİZM GIDA TİCARET LİMİTED ŞİRKETİ</t>
  </si>
  <si>
    <t>ASYAMED TEKNİK TIBBI MALZEMELER - ASLAN BURSALI</t>
  </si>
  <si>
    <t>BY SELMA ÖZKAN / MELİSA COLLECTION</t>
  </si>
  <si>
    <t>EMTEK SU VE ISI TEKN İNŞ SAN DIŞ TİC LTD ŞTİ</t>
  </si>
  <si>
    <t>MURAT UYSAL YAPI MALZEMELERİ SANAYİ VE DIŞ TİCARET</t>
  </si>
  <si>
    <t>EZA İNTERNET HİZMETLERİ PAZARLAMA TİC. A.Ş</t>
  </si>
  <si>
    <t>PETROLİGHT KİMYA SANAYİ VE DIŞ TİC.LTD.ŞTİ</t>
  </si>
  <si>
    <t>ANDRİALİ CONTRACT TEKSTİL SAN.TİC.LTD.ŞTİ</t>
  </si>
  <si>
    <t>ASN FORKLİFT İŞ MAKİNALARI SAN.VE TİC.LTD.ŞTİ</t>
  </si>
  <si>
    <t>ENVAWİSE LOJİSTİK ANONİM ŞİRKETİ</t>
  </si>
  <si>
    <t>KATRE ISI SAN.TİC.A.Ş.</t>
  </si>
  <si>
    <t>Welldermo Sağlık Güzellik ve Spor Ürünleri San. Ti</t>
  </si>
  <si>
    <t>SUNTEL BANYO MUTFAK AKSESUARLARI SAN. TİC. LTD.ŞTİ</t>
  </si>
  <si>
    <t>VELOSİ ELEKTRONİK TİC.LTD.ŞTİ</t>
  </si>
  <si>
    <t>TS Verim Danışmanlık ve Turizm Ltd Şti.</t>
  </si>
  <si>
    <t>PRİNCEPS LEGEM KURUMSAL DANIŞMANLIK LTD.ŞTİ</t>
  </si>
  <si>
    <t>Segment</t>
  </si>
  <si>
    <t>Enterprise</t>
  </si>
  <si>
    <t>SMB</t>
  </si>
  <si>
    <t>Jan.25</t>
  </si>
  <si>
    <t>Feb.25</t>
  </si>
  <si>
    <t>Mar.25</t>
  </si>
  <si>
    <t>Apr.25</t>
  </si>
  <si>
    <t>May.25</t>
  </si>
  <si>
    <t>Jun.25</t>
  </si>
  <si>
    <t>Jul.25</t>
  </si>
  <si>
    <t>Aug.25</t>
  </si>
  <si>
    <t>Sep.25</t>
  </si>
  <si>
    <t>Oct.25</t>
  </si>
  <si>
    <t>Contract Date</t>
  </si>
  <si>
    <t>MRR Growth (0-today)</t>
  </si>
  <si>
    <t>TÜRKİYE ŞİŞE VE CAM FABRİKALARI A.Ş.</t>
  </si>
  <si>
    <t>DEMANT ISITME CIHAZLARI SAN.VE TIC.A.S. (SES)</t>
  </si>
  <si>
    <t>AN GIDA ÜRÜNLERİ ÜRETİM VE PAZARLA ( KORHAN SERA )</t>
  </si>
  <si>
    <t>PİMMS ULUSLARARASI REKLAM ÜRÜNLERI A.S.</t>
  </si>
  <si>
    <t>BOĞAZIÇI ISTANBUL REKLAM VE ORGANIZASYON PEYZAJ SP</t>
  </si>
  <si>
    <t>Ömür Akkor Anadolu  Gastronomi Vakfı</t>
  </si>
  <si>
    <t>Churn Date</t>
  </si>
  <si>
    <t>LOW RISK</t>
  </si>
  <si>
    <t>Current MRR</t>
  </si>
  <si>
    <t>Nov.25</t>
  </si>
  <si>
    <t>Dec.25</t>
  </si>
  <si>
    <t>JUL.25</t>
  </si>
  <si>
    <t/>
  </si>
  <si>
    <t>MAR.25</t>
  </si>
  <si>
    <t>NOV.25</t>
  </si>
  <si>
    <t>APR.25</t>
  </si>
  <si>
    <t>JUN.25</t>
  </si>
  <si>
    <t>DEC.25</t>
  </si>
  <si>
    <t>AUG.25</t>
  </si>
  <si>
    <t>MEDIUM RISK</t>
  </si>
  <si>
    <t>MAY.25</t>
  </si>
  <si>
    <t>SEP.25</t>
  </si>
  <si>
    <t>OCT.25</t>
  </si>
  <si>
    <t>FEB.25</t>
  </si>
  <si>
    <t>JAN.25</t>
  </si>
  <si>
    <t>ÇÖZÜM BİLGİSAYAR PROGRAM İLT. SİS. VE TEK. SERV..</t>
  </si>
  <si>
    <t>MATRİX LOJİSTİK</t>
  </si>
  <si>
    <t>DEKORATİF PASLANMAZ METAL İÇ VE DIŞ TİCARET LİMİTE</t>
  </si>
  <si>
    <t>SETAPAK ELEKTRONİK VE AMBALAJ MAK. SAN. TİC. LTD.Ş</t>
  </si>
  <si>
    <t>PARİBU TEKNOLOJİ A.Ş.</t>
  </si>
  <si>
    <t>ATOZ YİYECEK VE İÇECEK İŞLETMELERİ ANONİM ŞİRKETİ</t>
  </si>
  <si>
    <t>AYINTAP MARKETÇİLİK (ŞEKER GROSS)</t>
  </si>
  <si>
    <t>HESSERS LOJİSTİK</t>
  </si>
  <si>
    <t>Kumport Liman Hiz. ve Loj. San. Tic. A.Ş.</t>
  </si>
  <si>
    <t>First Year Ending Exc. License MRR</t>
  </si>
  <si>
    <t>Second Year Ending Exc. License MRR</t>
  </si>
  <si>
    <t>DoesCustomerCompleteItsFirstYear</t>
  </si>
  <si>
    <t>DoesCustomersCompleteItsSecondYear</t>
  </si>
  <si>
    <t>First Year Ending MRR</t>
  </si>
  <si>
    <t>Second Year Ending MRR</t>
  </si>
  <si>
    <t>MRR Growth (0-1)</t>
  </si>
  <si>
    <t>MRR Growth (0-2)</t>
  </si>
  <si>
    <t>MRR Growth(1-2)</t>
  </si>
  <si>
    <t>Jan.23</t>
  </si>
  <si>
    <t>Feb.23</t>
  </si>
  <si>
    <t>Mar.23</t>
  </si>
  <si>
    <t>Apr.23</t>
  </si>
  <si>
    <t>May.23</t>
  </si>
  <si>
    <t>Jun.23</t>
  </si>
  <si>
    <t>Jul.23</t>
  </si>
  <si>
    <t>Aug.23</t>
  </si>
  <si>
    <t>Sep.23</t>
  </si>
  <si>
    <t>Oct.23</t>
  </si>
  <si>
    <t>Nov.23</t>
  </si>
  <si>
    <t>Dec.23</t>
  </si>
  <si>
    <t>Jan.24</t>
  </si>
  <si>
    <t>Feb.24</t>
  </si>
  <si>
    <t>Mar.24</t>
  </si>
  <si>
    <t>Apr.24</t>
  </si>
  <si>
    <t>May.24</t>
  </si>
  <si>
    <t>Jun.24</t>
  </si>
  <si>
    <t>Jul.24</t>
  </si>
  <si>
    <t>Aug.24</t>
  </si>
  <si>
    <t>Sep.24</t>
  </si>
  <si>
    <t>Oct.24</t>
  </si>
  <si>
    <t>Nov.24</t>
  </si>
  <si>
    <t>Dec.24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</si>
</sst>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0"/>
      <name val="Arial"/>
      <family val="2"/>
    </font>
    <font>
      <b/>
      <sz val="11"/>
      <color theme="1"/>
      <name val="Calibri"/>
      <family val="2"/>
      <scheme val="minor"/>
    </font>
    <font>
      <sz val="11"/>
      <name val="Aptos Narrow"/>
      <family val="2"/>
    </font>
    <font>
      <b/>
      <sz val="11"/>
      <name val="Aptos Narrow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2" fillId="0" borderId="0"/>
    <xf numFmtId="0" fontId="3" fillId="0" borderId="0"/>
    <xf numFmtId="164" fontId="2" fillId="0" borderId="0" applyFont="0" applyFill="0" applyBorder="0" applyAlignment="0" applyProtection="0"/>
    <xf numFmtId="0" fontId="6" fillId="0" borderId="0"/>
  </cellStyleXfs>
  <cellXfs count="12">
    <xf numFmtId="0" fontId="0" fillId="0" borderId="0" xfId="0"/>
    <xf numFmtId="0" fontId="1" fillId="3" borderId="0" xfId="0" applyFont="1" applyFill="1"/>
    <xf numFmtId="14" fontId="4" fillId="3" borderId="0" xfId="2" applyNumberFormat="1" applyFont="1" applyFill="1" applyAlignment="1">
      <alignment horizontal="right"/>
    </xf>
    <xf numFmtId="0" fontId="0" fillId="2" borderId="0" xfId="0" applyFill="1"/>
    <xf numFmtId="3" fontId="0" fillId="2" borderId="0" xfId="0" applyNumberFormat="1" applyFill="1"/>
    <xf numFmtId="3" fontId="1" fillId="3" borderId="0" xfId="0" applyNumberFormat="1" applyFont="1" applyFill="1"/>
    <xf numFmtId="0" fontId="5" fillId="2" borderId="0" xfId="1" applyFont="1" applyFill="1"/>
    <xf numFmtId="0" fontId="2" fillId="2" borderId="0" xfId="1" applyFill="1"/>
    <xf numFmtId="0" fontId="7" fillId="2" borderId="0" xfId="4" applyFont="1" applyFill="1"/>
    <xf numFmtId="3" fontId="0" fillId="0" borderId="0" xfId="0" applyNumberFormat="1"/>
    <xf numFmtId="14" fontId="4" fillId="3" borderId="0" xfId="2" applyNumberFormat="1" applyFont="1" applyFill="1" applyAlignment="1">
      <alignment horizontal="left"/>
    </xf>
    <xf numFmtId="10" fontId="0" fillId="2" borderId="0" xfId="0" applyNumberFormat="1" applyFill="1"/>
  </cellXfs>
  <cellStyles count="5">
    <cellStyle name="Comma 2 3 5 2 2" xfId="3" xr:uid="{5D85A49B-A200-498C-9BD3-886849BDA669}"/>
    <cellStyle name="Normal" xfId="0" builtinId="0"/>
    <cellStyle name="Normal 3 2" xfId="4" xr:uid="{88AB435D-3186-4F7B-9D9B-189E5F0D10EC}"/>
    <cellStyle name="Normal 3 2 2" xfId="2" xr:uid="{D0C84DFD-36B5-428B-9AAB-02F7F3B0089A}"/>
    <cellStyle name="Normal 3 3" xfId="1" xr:uid="{E9BEC36C-5D4A-4345-8665-1D5AAC56DD4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Finans\02-B&#252;t&#231;e%20ve%20Raporlama\02-Board%20&#199;al&#305;&#351;malar&#305;\2025-12\Revenue%20Engine%20Dec.25%20v3%20sekt&#246;rler%20girildi.xlsx" TargetMode="External"/><Relationship Id="rId1" Type="http://schemas.openxmlformats.org/officeDocument/2006/relationships/externalLinkPath" Target="file:///Z:\Finans\02-B&#252;t&#231;e%20ve%20Raporlama\02-Board%20&#199;al&#305;&#351;malar&#305;\2025-12\Revenue%20Engine%20Dec.25%20v3%20sekt&#246;rler%20girildi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mircan.aslanhan\Desktop\dataoe.xlsx" TargetMode="External"/><Relationship Id="rId1" Type="http://schemas.openxmlformats.org/officeDocument/2006/relationships/externalLinkPath" Target="/Users/emircan.aslanhan/Desktop/datao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mircan.aslanhan\Desktop\CUSTOMER%20Dashboard%20(6).xlsx" TargetMode="External"/><Relationship Id="rId1" Type="http://schemas.openxmlformats.org/officeDocument/2006/relationships/externalLinkPath" Target="/Users/emircan.aslanhan/Desktop/CUSTOMER%20Dashboard%20(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"/>
      <sheetName val="Check1"/>
      <sheetName val="Check2"/>
      <sheetName val="NOT ARALIK"/>
      <sheetName val="DIFFERENCES"/>
      <sheetName val="Revenue_Engine_2025 Dec.25"/>
      <sheetName val="Dec.25"/>
      <sheetName val="Revenue_Engine_2025 Nov.25"/>
      <sheetName val="Nov.25"/>
    </sheetNames>
    <sheetDataSet>
      <sheetData sheetId="0"/>
      <sheetData sheetId="1"/>
      <sheetData sheetId="2"/>
      <sheetData sheetId="3"/>
      <sheetData sheetId="4"/>
      <sheetData sheetId="5">
        <row r="14">
          <cell r="C14" t="str">
            <v>2 DESIGN MIMARLIK INS. SAN. VE TIC. A.S.</v>
          </cell>
          <cell r="D14" t="str">
            <v>SMB</v>
          </cell>
          <cell r="E14" t="e">
            <v>#N/A</v>
          </cell>
        </row>
        <row r="15">
          <cell r="C15" t="str">
            <v>TL</v>
          </cell>
          <cell r="D15" t="str">
            <v>SMB</v>
          </cell>
        </row>
        <row r="16">
          <cell r="C16" t="str">
            <v>USD</v>
          </cell>
          <cell r="D16" t="str">
            <v>SMB</v>
          </cell>
        </row>
        <row r="17">
          <cell r="C17" t="str">
            <v>USD</v>
          </cell>
          <cell r="D17" t="str">
            <v>SMB</v>
          </cell>
        </row>
        <row r="18">
          <cell r="C18" t="str">
            <v>USD</v>
          </cell>
          <cell r="D18" t="str">
            <v>SMB</v>
          </cell>
        </row>
        <row r="19">
          <cell r="C19" t="str">
            <v>USD</v>
          </cell>
          <cell r="D19" t="str">
            <v>SMB</v>
          </cell>
        </row>
        <row r="20">
          <cell r="C20" t="str">
            <v>USD</v>
          </cell>
          <cell r="D20" t="str">
            <v>SMB</v>
          </cell>
        </row>
        <row r="21">
          <cell r="C21" t="str">
            <v>USD</v>
          </cell>
          <cell r="D21" t="str">
            <v>SMB</v>
          </cell>
        </row>
        <row r="22">
          <cell r="C22" t="str">
            <v>USD</v>
          </cell>
          <cell r="D22" t="str">
            <v>SMB</v>
          </cell>
        </row>
        <row r="23">
          <cell r="C23" t="str">
            <v>EUR</v>
          </cell>
          <cell r="D23" t="str">
            <v>SMB</v>
          </cell>
        </row>
        <row r="24">
          <cell r="C24" t="str">
            <v>Kur Sabitleme</v>
          </cell>
          <cell r="D24" t="str">
            <v>SMB</v>
          </cell>
        </row>
        <row r="25">
          <cell r="C25" t="str">
            <v>ACTIFIT SPOR VE SAĞLIK HİZMETLERİ SANAYİ VE TİCARE</v>
          </cell>
          <cell r="D25" t="str">
            <v>SMB</v>
          </cell>
          <cell r="E25" t="str">
            <v>Sağlık</v>
          </cell>
        </row>
        <row r="26">
          <cell r="C26" t="str">
            <v>TL</v>
          </cell>
          <cell r="D26" t="str">
            <v>SMB</v>
          </cell>
        </row>
        <row r="27">
          <cell r="C27" t="str">
            <v>USD</v>
          </cell>
          <cell r="D27" t="str">
            <v>SMB</v>
          </cell>
        </row>
        <row r="28">
          <cell r="C28" t="str">
            <v>USD</v>
          </cell>
          <cell r="D28" t="str">
            <v>SMB</v>
          </cell>
        </row>
        <row r="29">
          <cell r="C29" t="str">
            <v>EUR</v>
          </cell>
          <cell r="D29" t="str">
            <v>SMB</v>
          </cell>
        </row>
        <row r="30">
          <cell r="C30" t="str">
            <v>Kur Sabitleme</v>
          </cell>
          <cell r="D30" t="str">
            <v>SMB</v>
          </cell>
        </row>
        <row r="31">
          <cell r="C31" t="str">
            <v>MAYA HOLDING - ADMA ALISVERIS</v>
          </cell>
          <cell r="D31" t="str">
            <v>SMB</v>
          </cell>
          <cell r="E31" t="str">
            <v>Genel</v>
          </cell>
        </row>
        <row r="32">
          <cell r="C32" t="str">
            <v>TL</v>
          </cell>
          <cell r="D32" t="str">
            <v>SMB</v>
          </cell>
        </row>
        <row r="33">
          <cell r="C33" t="str">
            <v>USD</v>
          </cell>
          <cell r="D33" t="str">
            <v>SMB</v>
          </cell>
        </row>
        <row r="34">
          <cell r="C34" t="str">
            <v>EUR</v>
          </cell>
          <cell r="D34" t="str">
            <v>SMB</v>
          </cell>
        </row>
        <row r="35">
          <cell r="C35" t="str">
            <v>Kur Sabitleme</v>
          </cell>
          <cell r="D35" t="str">
            <v>SMB</v>
          </cell>
        </row>
        <row r="36">
          <cell r="C36" t="str">
            <v>AFFIDEA</v>
          </cell>
          <cell r="D36" t="str">
            <v>SMB</v>
          </cell>
          <cell r="E36" t="e">
            <v>#N/A</v>
          </cell>
        </row>
        <row r="37">
          <cell r="C37" t="str">
            <v>TL</v>
          </cell>
          <cell r="D37" t="str">
            <v>SMB</v>
          </cell>
        </row>
        <row r="38">
          <cell r="C38" t="str">
            <v>USD</v>
          </cell>
          <cell r="D38" t="str">
            <v>SMB</v>
          </cell>
        </row>
        <row r="39">
          <cell r="C39" t="str">
            <v>EUR</v>
          </cell>
          <cell r="D39" t="str">
            <v>SMB</v>
          </cell>
        </row>
        <row r="40">
          <cell r="C40" t="str">
            <v>Kur Sabitleme</v>
          </cell>
          <cell r="D40" t="str">
            <v>SMB</v>
          </cell>
        </row>
        <row r="41">
          <cell r="C41" t="str">
            <v>AGDAS ADAPAZARI GAZ DAGITIM A.S.</v>
          </cell>
          <cell r="D41" t="str">
            <v>Enterprise</v>
          </cell>
          <cell r="E41" t="str">
            <v>Enerji</v>
          </cell>
        </row>
        <row r="42">
          <cell r="C42" t="str">
            <v>TL</v>
          </cell>
          <cell r="D42" t="str">
            <v>Enterprise</v>
          </cell>
        </row>
        <row r="43">
          <cell r="C43" t="str">
            <v>TL</v>
          </cell>
          <cell r="D43" t="str">
            <v>Enterprise</v>
          </cell>
        </row>
        <row r="44">
          <cell r="C44" t="str">
            <v>TL</v>
          </cell>
          <cell r="D44" t="str">
            <v>Enterprise</v>
          </cell>
        </row>
        <row r="45">
          <cell r="C45" t="str">
            <v>USD</v>
          </cell>
          <cell r="D45" t="str">
            <v>Enterprise</v>
          </cell>
        </row>
        <row r="46">
          <cell r="C46" t="str">
            <v>EUR</v>
          </cell>
          <cell r="D46" t="str">
            <v>Enterprise</v>
          </cell>
        </row>
        <row r="47">
          <cell r="C47" t="str">
            <v>Kur Sabitleme</v>
          </cell>
          <cell r="D47" t="str">
            <v>Enterprise</v>
          </cell>
        </row>
        <row r="48">
          <cell r="C48" t="str">
            <v>AGİTO BİLGİSAYAR VE DANIŞMANLIK HİZMETLERİ</v>
          </cell>
          <cell r="D48" t="str">
            <v>SMB</v>
          </cell>
          <cell r="E48" t="str">
            <v>Teknoloji</v>
          </cell>
        </row>
        <row r="49">
          <cell r="C49" t="str">
            <v>TL</v>
          </cell>
          <cell r="D49" t="str">
            <v>SMB</v>
          </cell>
        </row>
        <row r="50">
          <cell r="C50" t="str">
            <v>USD</v>
          </cell>
          <cell r="D50" t="str">
            <v>SMB</v>
          </cell>
        </row>
        <row r="51">
          <cell r="C51" t="str">
            <v>EUR</v>
          </cell>
          <cell r="D51" t="str">
            <v>SMB</v>
          </cell>
        </row>
        <row r="52">
          <cell r="C52" t="str">
            <v>Kur Sabitleme</v>
          </cell>
          <cell r="D52" t="str">
            <v>SMB</v>
          </cell>
        </row>
        <row r="53">
          <cell r="C53" t="str">
            <v>AKS GÜMRÜK MÜSAVIRLIK LTD. STI.</v>
          </cell>
          <cell r="D53" t="str">
            <v>SMB</v>
          </cell>
          <cell r="E53" t="str">
            <v>Diğer</v>
          </cell>
        </row>
        <row r="54">
          <cell r="C54" t="str">
            <v>TL</v>
          </cell>
          <cell r="D54" t="str">
            <v>SMB</v>
          </cell>
        </row>
        <row r="55">
          <cell r="C55" t="str">
            <v>USD</v>
          </cell>
          <cell r="D55" t="str">
            <v>SMB</v>
          </cell>
        </row>
        <row r="56">
          <cell r="C56" t="str">
            <v>USD</v>
          </cell>
          <cell r="D56" t="str">
            <v>SMB</v>
          </cell>
        </row>
        <row r="57">
          <cell r="C57" t="str">
            <v>EUR</v>
          </cell>
          <cell r="D57" t="str">
            <v>SMB</v>
          </cell>
        </row>
        <row r="58">
          <cell r="C58" t="str">
            <v>Kur Sabitleme</v>
          </cell>
          <cell r="D58" t="str">
            <v>SMB</v>
          </cell>
        </row>
        <row r="59">
          <cell r="C59" t="str">
            <v>AKSISTEM ELEK.SAN.VE TIC.LTD.STI.</v>
          </cell>
          <cell r="D59" t="str">
            <v>SMB</v>
          </cell>
          <cell r="E59" t="str">
            <v>Üretim</v>
          </cell>
        </row>
        <row r="60">
          <cell r="C60" t="str">
            <v>TL</v>
          </cell>
          <cell r="D60" t="str">
            <v>SMB</v>
          </cell>
        </row>
        <row r="61">
          <cell r="C61" t="str">
            <v>USD</v>
          </cell>
          <cell r="D61" t="str">
            <v>SMB</v>
          </cell>
        </row>
        <row r="62">
          <cell r="C62" t="str">
            <v>USD</v>
          </cell>
          <cell r="D62" t="str">
            <v>SMB</v>
          </cell>
        </row>
        <row r="63">
          <cell r="C63" t="str">
            <v>USD</v>
          </cell>
          <cell r="D63" t="str">
            <v>SMB</v>
          </cell>
        </row>
        <row r="64">
          <cell r="C64" t="str">
            <v>EUR</v>
          </cell>
          <cell r="D64" t="str">
            <v>SMB</v>
          </cell>
        </row>
        <row r="65">
          <cell r="C65" t="str">
            <v>Kur Sabitleme</v>
          </cell>
          <cell r="D65" t="str">
            <v>SMB</v>
          </cell>
        </row>
        <row r="66">
          <cell r="C66" t="str">
            <v>AKSOY PLASTIK SANAYI VE TIC. A.S.</v>
          </cell>
          <cell r="D66" t="str">
            <v>SMB</v>
          </cell>
          <cell r="E66" t="str">
            <v>Üretim</v>
          </cell>
        </row>
        <row r="67">
          <cell r="C67" t="str">
            <v>TL</v>
          </cell>
          <cell r="D67" t="str">
            <v>SMB</v>
          </cell>
        </row>
        <row r="68">
          <cell r="C68" t="str">
            <v>USD</v>
          </cell>
          <cell r="D68" t="str">
            <v>SMB</v>
          </cell>
        </row>
        <row r="69">
          <cell r="C69" t="str">
            <v>USD</v>
          </cell>
          <cell r="D69" t="str">
            <v>SMB</v>
          </cell>
        </row>
        <row r="70">
          <cell r="C70" t="str">
            <v>USD</v>
          </cell>
          <cell r="D70" t="str">
            <v>SMB</v>
          </cell>
        </row>
        <row r="71">
          <cell r="C71" t="str">
            <v>USD</v>
          </cell>
          <cell r="D71" t="str">
            <v>SMB</v>
          </cell>
        </row>
        <row r="72">
          <cell r="C72" t="str">
            <v>USD</v>
          </cell>
          <cell r="D72" t="str">
            <v>SMB</v>
          </cell>
        </row>
        <row r="73">
          <cell r="C73" t="str">
            <v>USD</v>
          </cell>
          <cell r="D73" t="str">
            <v>SMB</v>
          </cell>
        </row>
        <row r="74">
          <cell r="C74" t="str">
            <v>USD</v>
          </cell>
          <cell r="D74" t="str">
            <v>SMB</v>
          </cell>
        </row>
        <row r="75">
          <cell r="C75" t="str">
            <v>EUR</v>
          </cell>
          <cell r="D75" t="str">
            <v>SMB</v>
          </cell>
        </row>
        <row r="76">
          <cell r="C76" t="str">
            <v>Kur Sabitleme</v>
          </cell>
          <cell r="D76" t="str">
            <v>SMB</v>
          </cell>
        </row>
        <row r="77">
          <cell r="C77" t="str">
            <v>ALESTA SIGORTA</v>
          </cell>
          <cell r="D77" t="str">
            <v>SMB</v>
          </cell>
          <cell r="E77" t="str">
            <v>Finans</v>
          </cell>
        </row>
        <row r="78">
          <cell r="C78" t="str">
            <v>TL</v>
          </cell>
          <cell r="D78" t="str">
            <v>SMB</v>
          </cell>
        </row>
        <row r="79">
          <cell r="C79" t="str">
            <v>TL</v>
          </cell>
          <cell r="D79" t="str">
            <v>SMB</v>
          </cell>
        </row>
        <row r="80">
          <cell r="C80" t="str">
            <v>USD</v>
          </cell>
          <cell r="D80" t="str">
            <v>SMB</v>
          </cell>
        </row>
        <row r="81">
          <cell r="C81" t="str">
            <v>EUR</v>
          </cell>
          <cell r="D81" t="str">
            <v>SMB</v>
          </cell>
        </row>
        <row r="82">
          <cell r="C82" t="str">
            <v>Kur Sabitleme</v>
          </cell>
          <cell r="D82" t="str">
            <v>SMB</v>
          </cell>
        </row>
        <row r="83">
          <cell r="C83" t="str">
            <v>ALPEGE ENDÜSTRIYEL METROLOJI SAN. VE HIZ. DIS. TIC</v>
          </cell>
          <cell r="D83" t="str">
            <v>SMB</v>
          </cell>
          <cell r="E83" t="str">
            <v>Genel</v>
          </cell>
        </row>
        <row r="84">
          <cell r="C84" t="str">
            <v>TL</v>
          </cell>
          <cell r="D84" t="str">
            <v>SMB</v>
          </cell>
        </row>
        <row r="85">
          <cell r="C85" t="str">
            <v>USD</v>
          </cell>
          <cell r="D85" t="str">
            <v>SMB</v>
          </cell>
        </row>
        <row r="86">
          <cell r="C86" t="str">
            <v>USD</v>
          </cell>
          <cell r="D86" t="str">
            <v>SMB</v>
          </cell>
        </row>
        <row r="87">
          <cell r="C87" t="str">
            <v>EUR</v>
          </cell>
          <cell r="D87" t="str">
            <v>SMB</v>
          </cell>
        </row>
        <row r="88">
          <cell r="C88" t="str">
            <v>Kur Sabitleme</v>
          </cell>
          <cell r="D88" t="str">
            <v>SMB</v>
          </cell>
        </row>
        <row r="89">
          <cell r="C89" t="str">
            <v>ALVIMEDICA SAGLIK EKIPMANLARI PAZARLAMA</v>
          </cell>
          <cell r="D89" t="str">
            <v>SMB</v>
          </cell>
          <cell r="E89" t="str">
            <v>Sağlık</v>
          </cell>
        </row>
        <row r="90">
          <cell r="C90" t="str">
            <v>TL</v>
          </cell>
          <cell r="D90" t="str">
            <v>SMB</v>
          </cell>
        </row>
        <row r="91">
          <cell r="C91" t="str">
            <v>USD</v>
          </cell>
          <cell r="D91" t="str">
            <v>SMB</v>
          </cell>
        </row>
        <row r="92">
          <cell r="C92" t="str">
            <v>EUR</v>
          </cell>
          <cell r="D92" t="str">
            <v>SMB</v>
          </cell>
        </row>
        <row r="93">
          <cell r="C93" t="str">
            <v>Kur Sabitleme</v>
          </cell>
          <cell r="D93" t="str">
            <v>SMB</v>
          </cell>
        </row>
        <row r="94">
          <cell r="C94" t="str">
            <v>ANTIK DANTEL SAN.TIC.A.S.</v>
          </cell>
          <cell r="D94" t="str">
            <v>SMB</v>
          </cell>
          <cell r="E94" t="e">
            <v>#N/A</v>
          </cell>
        </row>
        <row r="95">
          <cell r="C95" t="str">
            <v>TL</v>
          </cell>
          <cell r="D95" t="str">
            <v>SMB</v>
          </cell>
        </row>
        <row r="96">
          <cell r="C96" t="str">
            <v>TL</v>
          </cell>
          <cell r="D96" t="str">
            <v>SMB</v>
          </cell>
        </row>
        <row r="97">
          <cell r="C97" t="str">
            <v>USD</v>
          </cell>
          <cell r="D97" t="str">
            <v>SMB</v>
          </cell>
        </row>
        <row r="98">
          <cell r="C98" t="str">
            <v>USD</v>
          </cell>
          <cell r="D98" t="str">
            <v>SMB</v>
          </cell>
        </row>
        <row r="99">
          <cell r="C99" t="str">
            <v>EUR</v>
          </cell>
          <cell r="D99" t="str">
            <v>SMB</v>
          </cell>
        </row>
        <row r="100">
          <cell r="C100" t="str">
            <v>Kur Sabitleme</v>
          </cell>
          <cell r="D100" t="str">
            <v>SMB</v>
          </cell>
        </row>
        <row r="101">
          <cell r="C101" t="str">
            <v>ARENA BILGISAYAR</v>
          </cell>
          <cell r="D101" t="str">
            <v>Enterprise</v>
          </cell>
          <cell r="E101" t="str">
            <v>Teknoloji</v>
          </cell>
        </row>
        <row r="102">
          <cell r="C102" t="str">
            <v>TL</v>
          </cell>
          <cell r="D102" t="str">
            <v>Enterprise</v>
          </cell>
        </row>
        <row r="103">
          <cell r="C103" t="str">
            <v>TL</v>
          </cell>
          <cell r="D103" t="str">
            <v>Enterprise</v>
          </cell>
        </row>
        <row r="104">
          <cell r="C104" t="str">
            <v>USD</v>
          </cell>
          <cell r="D104" t="str">
            <v>Enterprise</v>
          </cell>
        </row>
        <row r="105">
          <cell r="C105" t="str">
            <v>USD</v>
          </cell>
          <cell r="D105" t="str">
            <v>Enterprise</v>
          </cell>
        </row>
        <row r="106">
          <cell r="C106" t="str">
            <v>USD</v>
          </cell>
          <cell r="D106" t="str">
            <v>Enterprise</v>
          </cell>
        </row>
        <row r="107">
          <cell r="C107" t="str">
            <v>EUR</v>
          </cell>
          <cell r="D107" t="str">
            <v>Enterprise</v>
          </cell>
        </row>
        <row r="108">
          <cell r="C108" t="str">
            <v>Kur Sabitleme</v>
          </cell>
          <cell r="D108" t="str">
            <v>Enterprise</v>
          </cell>
        </row>
        <row r="109">
          <cell r="C109" t="str">
            <v>ARI DÖKÜM MAK.SAN.VE TIC.LTD.STI.</v>
          </cell>
          <cell r="D109" t="str">
            <v>SMB</v>
          </cell>
          <cell r="E109" t="str">
            <v>Üretim</v>
          </cell>
        </row>
        <row r="110">
          <cell r="C110" t="str">
            <v>TL</v>
          </cell>
          <cell r="D110" t="str">
            <v>SMB</v>
          </cell>
        </row>
        <row r="111">
          <cell r="C111" t="str">
            <v>USD</v>
          </cell>
          <cell r="D111" t="str">
            <v>SMB</v>
          </cell>
        </row>
        <row r="112">
          <cell r="C112" t="str">
            <v>EUR</v>
          </cell>
          <cell r="D112" t="str">
            <v>SMB</v>
          </cell>
        </row>
        <row r="113">
          <cell r="C113" t="str">
            <v>Kur Sabitleme</v>
          </cell>
          <cell r="D113" t="str">
            <v>SMB</v>
          </cell>
        </row>
        <row r="114">
          <cell r="C114" t="str">
            <v>ARTI SINERJI BILISIM TEKNOLOJILERI TIC.LTD.STI.</v>
          </cell>
          <cell r="D114" t="str">
            <v>SMB</v>
          </cell>
          <cell r="E114" t="str">
            <v>Bayi</v>
          </cell>
        </row>
        <row r="115">
          <cell r="C115" t="str">
            <v>TL</v>
          </cell>
          <cell r="D115" t="str">
            <v>SMB</v>
          </cell>
        </row>
        <row r="116">
          <cell r="C116" t="str">
            <v>USD</v>
          </cell>
          <cell r="D116" t="str">
            <v>SMB</v>
          </cell>
        </row>
        <row r="117">
          <cell r="C117" t="str">
            <v>USD</v>
          </cell>
          <cell r="D117" t="str">
            <v>SMB</v>
          </cell>
        </row>
        <row r="118">
          <cell r="C118" t="str">
            <v>EUR</v>
          </cell>
          <cell r="D118" t="str">
            <v>SMB</v>
          </cell>
        </row>
        <row r="119">
          <cell r="C119" t="str">
            <v>Kur Sabitleme</v>
          </cell>
          <cell r="D119" t="str">
            <v>SMB</v>
          </cell>
        </row>
        <row r="120">
          <cell r="C120" t="str">
            <v>ARTSANA TURKEY ( CHICCO )</v>
          </cell>
          <cell r="D120" t="str">
            <v>SMB</v>
          </cell>
          <cell r="E120" t="str">
            <v>Perakende</v>
          </cell>
        </row>
        <row r="121">
          <cell r="C121" t="str">
            <v>TL</v>
          </cell>
          <cell r="D121" t="str">
            <v>SMB</v>
          </cell>
        </row>
        <row r="122">
          <cell r="C122" t="str">
            <v>USD</v>
          </cell>
          <cell r="D122" t="str">
            <v>SMB</v>
          </cell>
        </row>
        <row r="123">
          <cell r="C123" t="str">
            <v>EUR</v>
          </cell>
          <cell r="D123" t="str">
            <v>SMB</v>
          </cell>
        </row>
        <row r="124">
          <cell r="C124" t="str">
            <v>Kur Sabitleme</v>
          </cell>
          <cell r="D124" t="str">
            <v>SMB</v>
          </cell>
        </row>
        <row r="125">
          <cell r="C125" t="str">
            <v>ASE ASYA AFRİKA HIZLI LOJİSTİK SİSTEMLERİ ANONİM Ş</v>
          </cell>
          <cell r="D125" t="str">
            <v>SMB</v>
          </cell>
          <cell r="E125" t="e">
            <v>#N/A</v>
          </cell>
        </row>
        <row r="126">
          <cell r="C126" t="str">
            <v>TL</v>
          </cell>
          <cell r="D126" t="str">
            <v>SMB</v>
          </cell>
        </row>
        <row r="127">
          <cell r="C127" t="str">
            <v>TL</v>
          </cell>
          <cell r="D127" t="str">
            <v>SMB</v>
          </cell>
        </row>
        <row r="128">
          <cell r="C128" t="str">
            <v>TL</v>
          </cell>
          <cell r="D128" t="str">
            <v>SMB</v>
          </cell>
        </row>
        <row r="129">
          <cell r="C129" t="str">
            <v>USD</v>
          </cell>
          <cell r="D129" t="str">
            <v>SMB</v>
          </cell>
        </row>
        <row r="130">
          <cell r="C130" t="str">
            <v>USD</v>
          </cell>
          <cell r="D130" t="str">
            <v>SMB</v>
          </cell>
        </row>
        <row r="131">
          <cell r="C131" t="str">
            <v>USD</v>
          </cell>
          <cell r="D131" t="str">
            <v>SMB</v>
          </cell>
        </row>
        <row r="132">
          <cell r="C132" t="str">
            <v>USD</v>
          </cell>
          <cell r="D132" t="str">
            <v>SMB</v>
          </cell>
        </row>
        <row r="133">
          <cell r="C133" t="str">
            <v>USD</v>
          </cell>
          <cell r="D133" t="str">
            <v>SMB</v>
          </cell>
        </row>
        <row r="134">
          <cell r="C134" t="str">
            <v>EUR</v>
          </cell>
          <cell r="D134" t="str">
            <v>SMB</v>
          </cell>
        </row>
        <row r="135">
          <cell r="C135" t="str">
            <v>Kur Sabitleme</v>
          </cell>
          <cell r="D135" t="str">
            <v>SMB</v>
          </cell>
        </row>
        <row r="136">
          <cell r="C136" t="str">
            <v>ASİMETRİK SES IŞIK ve GÖRÜNTÜ SİSTEMLERİ AŞ (ASF)</v>
          </cell>
          <cell r="D136" t="str">
            <v>SMB</v>
          </cell>
          <cell r="E136" t="str">
            <v>Genel</v>
          </cell>
        </row>
        <row r="137">
          <cell r="C137" t="str">
            <v>TL</v>
          </cell>
          <cell r="D137" t="str">
            <v>SMB</v>
          </cell>
        </row>
        <row r="138">
          <cell r="C138" t="str">
            <v>USD</v>
          </cell>
          <cell r="D138" t="str">
            <v>SMB</v>
          </cell>
        </row>
        <row r="139">
          <cell r="C139" t="str">
            <v>USD</v>
          </cell>
          <cell r="D139" t="str">
            <v>SMB</v>
          </cell>
        </row>
        <row r="140">
          <cell r="C140" t="str">
            <v>USD</v>
          </cell>
          <cell r="D140" t="str">
            <v>SMB</v>
          </cell>
        </row>
        <row r="141">
          <cell r="C141" t="str">
            <v>USD</v>
          </cell>
          <cell r="D141" t="str">
            <v>SMB</v>
          </cell>
        </row>
        <row r="142">
          <cell r="C142" t="str">
            <v>USD</v>
          </cell>
          <cell r="D142" t="str">
            <v>SMB</v>
          </cell>
        </row>
        <row r="143">
          <cell r="C143" t="str">
            <v>USD</v>
          </cell>
          <cell r="D143" t="str">
            <v>SMB</v>
          </cell>
        </row>
        <row r="144">
          <cell r="C144" t="str">
            <v>EUR</v>
          </cell>
          <cell r="D144" t="str">
            <v>SMB</v>
          </cell>
        </row>
        <row r="145">
          <cell r="C145" t="str">
            <v>Kur Sabitleme</v>
          </cell>
          <cell r="D145" t="str">
            <v>SMB</v>
          </cell>
        </row>
        <row r="146">
          <cell r="C146" t="str">
            <v>ASTAY GAYRIMENKUL INSAAT YATIRIM VE TURIZM A.S.</v>
          </cell>
          <cell r="D146" t="str">
            <v>SMB</v>
          </cell>
          <cell r="E146" t="e">
            <v>#N/A</v>
          </cell>
        </row>
        <row r="147">
          <cell r="C147" t="str">
            <v>TL</v>
          </cell>
          <cell r="D147" t="str">
            <v>SMB</v>
          </cell>
        </row>
        <row r="148">
          <cell r="C148" t="str">
            <v>USD</v>
          </cell>
          <cell r="D148" t="str">
            <v>SMB</v>
          </cell>
        </row>
        <row r="149">
          <cell r="C149" t="str">
            <v>USD</v>
          </cell>
          <cell r="D149" t="str">
            <v>SMB</v>
          </cell>
        </row>
        <row r="150">
          <cell r="C150" t="str">
            <v>EUR</v>
          </cell>
          <cell r="D150" t="str">
            <v>SMB</v>
          </cell>
        </row>
        <row r="151">
          <cell r="C151" t="str">
            <v>Kur Sabitleme</v>
          </cell>
          <cell r="D151" t="str">
            <v>SMB</v>
          </cell>
        </row>
        <row r="152">
          <cell r="C152" t="str">
            <v>ATAKO TASIMACILIK DENIZCILIK A.S.</v>
          </cell>
          <cell r="D152" t="str">
            <v>SMB</v>
          </cell>
          <cell r="E152" t="e">
            <v>#N/A</v>
          </cell>
        </row>
        <row r="153">
          <cell r="C153" t="str">
            <v>TL</v>
          </cell>
          <cell r="D153" t="str">
            <v>SMB</v>
          </cell>
        </row>
        <row r="154">
          <cell r="C154" t="str">
            <v>USD</v>
          </cell>
          <cell r="D154" t="str">
            <v>SMB</v>
          </cell>
        </row>
        <row r="155">
          <cell r="C155" t="str">
            <v>EUR</v>
          </cell>
          <cell r="D155" t="str">
            <v>SMB</v>
          </cell>
        </row>
        <row r="156">
          <cell r="C156" t="str">
            <v>Kur Sabitleme</v>
          </cell>
          <cell r="D156" t="str">
            <v>SMB</v>
          </cell>
        </row>
        <row r="157">
          <cell r="C157" t="str">
            <v>ATG BİLİŞİM TEKNOLOJİLERİ ENDÜSTRİSİ LTD ŞTİ</v>
          </cell>
          <cell r="D157" t="str">
            <v>SMB</v>
          </cell>
          <cell r="E157" t="str">
            <v>Bayi</v>
          </cell>
        </row>
        <row r="158">
          <cell r="C158" t="str">
            <v>TL</v>
          </cell>
          <cell r="D158" t="str">
            <v>SMB</v>
          </cell>
        </row>
        <row r="159">
          <cell r="C159" t="str">
            <v>USD</v>
          </cell>
          <cell r="D159" t="str">
            <v>SMB</v>
          </cell>
        </row>
        <row r="160">
          <cell r="C160" t="str">
            <v>EUR</v>
          </cell>
          <cell r="D160" t="str">
            <v>SMB</v>
          </cell>
        </row>
        <row r="161">
          <cell r="C161" t="str">
            <v>Kur Sabitleme</v>
          </cell>
          <cell r="D161" t="str">
            <v>SMB</v>
          </cell>
        </row>
        <row r="162">
          <cell r="C162" t="str">
            <v>AUTOROLA</v>
          </cell>
          <cell r="D162" t="str">
            <v>SMB</v>
          </cell>
          <cell r="E162" t="e">
            <v>#N/A</v>
          </cell>
        </row>
        <row r="163">
          <cell r="C163" t="str">
            <v>TL</v>
          </cell>
          <cell r="D163" t="str">
            <v>SMB</v>
          </cell>
        </row>
        <row r="164">
          <cell r="C164" t="str">
            <v>USD</v>
          </cell>
          <cell r="D164" t="str">
            <v>SMB</v>
          </cell>
        </row>
        <row r="165">
          <cell r="C165" t="str">
            <v>EUR</v>
          </cell>
          <cell r="D165" t="str">
            <v>SMB</v>
          </cell>
        </row>
        <row r="166">
          <cell r="C166" t="str">
            <v>Kur Sabitleme</v>
          </cell>
          <cell r="D166" t="str">
            <v>SMB</v>
          </cell>
        </row>
        <row r="167">
          <cell r="C167" t="str">
            <v>AYDOGAN KARDESLER INS. SAN. VE TIC.LTD.STI.</v>
          </cell>
          <cell r="D167" t="str">
            <v>SMB</v>
          </cell>
          <cell r="E167" t="e">
            <v>#N/A</v>
          </cell>
        </row>
        <row r="168">
          <cell r="C168" t="str">
            <v>TL</v>
          </cell>
          <cell r="D168" t="str">
            <v>SMB</v>
          </cell>
        </row>
        <row r="169">
          <cell r="C169" t="str">
            <v>USD</v>
          </cell>
          <cell r="D169" t="str">
            <v>SMB</v>
          </cell>
        </row>
        <row r="170">
          <cell r="C170" t="str">
            <v>USD</v>
          </cell>
          <cell r="D170" t="str">
            <v>SMB</v>
          </cell>
        </row>
        <row r="171">
          <cell r="C171" t="str">
            <v>EUR</v>
          </cell>
          <cell r="D171" t="str">
            <v>SMB</v>
          </cell>
        </row>
        <row r="172">
          <cell r="C172" t="str">
            <v>Kur Sabitleme</v>
          </cell>
          <cell r="D172" t="str">
            <v>SMB</v>
          </cell>
        </row>
        <row r="173">
          <cell r="C173" t="str">
            <v xml:space="preserve">AZE MEDYA ANONİM ŞİRKETİ </v>
          </cell>
          <cell r="D173" t="str">
            <v>SMB</v>
          </cell>
          <cell r="E173" t="e">
            <v>#N/A</v>
          </cell>
        </row>
        <row r="174">
          <cell r="C174" t="str">
            <v>TL</v>
          </cell>
          <cell r="D174" t="str">
            <v>SMB</v>
          </cell>
        </row>
        <row r="175">
          <cell r="C175" t="str">
            <v>USD</v>
          </cell>
          <cell r="D175" t="str">
            <v>SMB</v>
          </cell>
        </row>
        <row r="176">
          <cell r="C176" t="str">
            <v>EUR</v>
          </cell>
          <cell r="D176" t="str">
            <v>SMB</v>
          </cell>
        </row>
        <row r="177">
          <cell r="C177" t="str">
            <v>Kur Sabitleme</v>
          </cell>
          <cell r="D177" t="str">
            <v>SMB</v>
          </cell>
        </row>
        <row r="178">
          <cell r="C178" t="str">
            <v>B2 YAZILIM A.S.</v>
          </cell>
          <cell r="D178" t="str">
            <v>SMB</v>
          </cell>
          <cell r="E178" t="str">
            <v>Diğer</v>
          </cell>
        </row>
        <row r="179">
          <cell r="C179" t="str">
            <v>TL</v>
          </cell>
          <cell r="D179" t="str">
            <v>SMB</v>
          </cell>
        </row>
        <row r="180">
          <cell r="C180" t="str">
            <v>USD</v>
          </cell>
          <cell r="D180" t="str">
            <v>SMB</v>
          </cell>
        </row>
        <row r="181">
          <cell r="C181" t="str">
            <v>EUR</v>
          </cell>
          <cell r="D181" t="str">
            <v>SMB</v>
          </cell>
        </row>
        <row r="182">
          <cell r="C182" t="str">
            <v>Kur Sabitleme</v>
          </cell>
          <cell r="D182" t="str">
            <v>SMB</v>
          </cell>
        </row>
        <row r="183">
          <cell r="C183" t="str">
            <v>BAKLAVACI GÜLLÜOGLU MEHMET NEJAT GÜLLÜ GIDA SAN.VE</v>
          </cell>
          <cell r="D183" t="str">
            <v>SMB</v>
          </cell>
          <cell r="E183" t="str">
            <v>Perakende</v>
          </cell>
        </row>
        <row r="184">
          <cell r="C184" t="str">
            <v>TL</v>
          </cell>
          <cell r="D184" t="str">
            <v>SMB</v>
          </cell>
        </row>
        <row r="185">
          <cell r="C185" t="str">
            <v>TL</v>
          </cell>
          <cell r="D185" t="str">
            <v>SMB</v>
          </cell>
        </row>
        <row r="186">
          <cell r="C186" t="str">
            <v>TL</v>
          </cell>
          <cell r="D186" t="str">
            <v>SMB</v>
          </cell>
        </row>
        <row r="187">
          <cell r="C187" t="str">
            <v>USD</v>
          </cell>
          <cell r="D187" t="str">
            <v>SMB</v>
          </cell>
        </row>
        <row r="188">
          <cell r="C188" t="str">
            <v>USD</v>
          </cell>
          <cell r="D188" t="str">
            <v>SMB</v>
          </cell>
        </row>
        <row r="189">
          <cell r="C189" t="str">
            <v>EUR</v>
          </cell>
          <cell r="D189" t="str">
            <v>SMB</v>
          </cell>
        </row>
        <row r="190">
          <cell r="C190" t="str">
            <v>Kur Sabitleme</v>
          </cell>
          <cell r="D190" t="str">
            <v>SMB</v>
          </cell>
        </row>
        <row r="191">
          <cell r="C191" t="str">
            <v>BANK OF BAHRAIN AND KUWAIT TÜRKIYE TEMS. OF. (BBK)</v>
          </cell>
          <cell r="D191" t="str">
            <v>SMB</v>
          </cell>
          <cell r="E191" t="str">
            <v>Finans</v>
          </cell>
        </row>
        <row r="192">
          <cell r="C192" t="str">
            <v>TL</v>
          </cell>
          <cell r="D192" t="str">
            <v>SMB</v>
          </cell>
        </row>
        <row r="193">
          <cell r="C193" t="str">
            <v>USD</v>
          </cell>
          <cell r="D193" t="str">
            <v>SMB</v>
          </cell>
        </row>
        <row r="194">
          <cell r="C194" t="str">
            <v>USD</v>
          </cell>
          <cell r="D194" t="str">
            <v>SMB</v>
          </cell>
        </row>
        <row r="195">
          <cell r="C195" t="str">
            <v>EUR</v>
          </cell>
          <cell r="D195" t="str">
            <v>SMB</v>
          </cell>
        </row>
        <row r="196">
          <cell r="C196" t="str">
            <v>Kur Sabitleme</v>
          </cell>
          <cell r="D196" t="str">
            <v>SMB</v>
          </cell>
        </row>
        <row r="197">
          <cell r="C197" t="str">
            <v>BARIT MADEN TÜRK A.S.</v>
          </cell>
          <cell r="D197" t="str">
            <v>SMB</v>
          </cell>
          <cell r="E197" t="e">
            <v>#N/A</v>
          </cell>
        </row>
        <row r="198">
          <cell r="C198" t="str">
            <v>TL</v>
          </cell>
          <cell r="D198" t="str">
            <v>SMB</v>
          </cell>
        </row>
        <row r="199">
          <cell r="C199" t="str">
            <v>USD</v>
          </cell>
          <cell r="D199" t="str">
            <v>SMB</v>
          </cell>
        </row>
        <row r="200">
          <cell r="C200" t="str">
            <v>USD</v>
          </cell>
          <cell r="D200" t="str">
            <v>SMB</v>
          </cell>
        </row>
        <row r="201">
          <cell r="C201" t="str">
            <v>USD</v>
          </cell>
          <cell r="D201" t="str">
            <v>SMB</v>
          </cell>
        </row>
        <row r="202">
          <cell r="C202" t="str">
            <v>USD</v>
          </cell>
          <cell r="D202" t="str">
            <v>SMB</v>
          </cell>
        </row>
        <row r="203">
          <cell r="C203" t="str">
            <v>EUR</v>
          </cell>
          <cell r="D203" t="str">
            <v>SMB</v>
          </cell>
        </row>
        <row r="204">
          <cell r="C204" t="str">
            <v>Kur Sabitleme</v>
          </cell>
          <cell r="D204" t="str">
            <v>SMB</v>
          </cell>
        </row>
        <row r="205">
          <cell r="C205" t="str">
            <v>EDU ÇEVİRİ HİZMETLERİ LİMİTED ŞİRKETİ (BARLAS)</v>
          </cell>
          <cell r="D205" t="str">
            <v>SMB</v>
          </cell>
          <cell r="E205" t="str">
            <v>Genel</v>
          </cell>
        </row>
        <row r="206">
          <cell r="C206" t="str">
            <v>TL</v>
          </cell>
          <cell r="D206" t="str">
            <v>SMB</v>
          </cell>
        </row>
        <row r="207">
          <cell r="C207" t="str">
            <v>TL</v>
          </cell>
          <cell r="D207" t="str">
            <v>SMB</v>
          </cell>
        </row>
        <row r="208">
          <cell r="C208" t="str">
            <v>USD</v>
          </cell>
          <cell r="D208" t="str">
            <v>SMB</v>
          </cell>
        </row>
        <row r="209">
          <cell r="C209" t="str">
            <v>EUR</v>
          </cell>
          <cell r="D209" t="str">
            <v>SMB</v>
          </cell>
        </row>
        <row r="210">
          <cell r="C210" t="str">
            <v>Kur Sabitleme</v>
          </cell>
          <cell r="D210" t="str">
            <v>SMB</v>
          </cell>
        </row>
        <row r="211">
          <cell r="C211" t="str">
            <v>BATI EGITIM INSAAT VE TURIZM HIZ. A.S.</v>
          </cell>
          <cell r="D211" t="str">
            <v>SMB</v>
          </cell>
          <cell r="E211" t="str">
            <v>Diğer</v>
          </cell>
        </row>
        <row r="212">
          <cell r="C212" t="str">
            <v>TL</v>
          </cell>
          <cell r="D212" t="str">
            <v>SMB</v>
          </cell>
        </row>
        <row r="213">
          <cell r="C213" t="str">
            <v>USD</v>
          </cell>
          <cell r="D213" t="str">
            <v>SMB</v>
          </cell>
        </row>
        <row r="214">
          <cell r="C214" t="str">
            <v>USD</v>
          </cell>
          <cell r="D214" t="str">
            <v>SMB</v>
          </cell>
        </row>
        <row r="215">
          <cell r="C215" t="str">
            <v>USD</v>
          </cell>
          <cell r="D215" t="str">
            <v>SMB</v>
          </cell>
        </row>
        <row r="216">
          <cell r="C216" t="str">
            <v>USD</v>
          </cell>
          <cell r="D216" t="str">
            <v>SMB</v>
          </cell>
        </row>
        <row r="217">
          <cell r="C217" t="str">
            <v>EUR</v>
          </cell>
          <cell r="D217" t="str">
            <v>SMB</v>
          </cell>
        </row>
        <row r="218">
          <cell r="C218" t="str">
            <v>Kur Sabitleme</v>
          </cell>
          <cell r="D218" t="str">
            <v>SMB</v>
          </cell>
        </row>
        <row r="219">
          <cell r="C219" t="str">
            <v>BELTAS BESIKTAS BELEDIYESI ISL.A.S</v>
          </cell>
          <cell r="D219" t="str">
            <v>SMB</v>
          </cell>
          <cell r="E219" t="str">
            <v>Perakende</v>
          </cell>
        </row>
        <row r="220">
          <cell r="C220" t="str">
            <v>TL</v>
          </cell>
          <cell r="D220" t="str">
            <v>SMB</v>
          </cell>
        </row>
        <row r="221">
          <cell r="C221" t="str">
            <v>USD</v>
          </cell>
          <cell r="D221" t="str">
            <v>SMB</v>
          </cell>
        </row>
        <row r="222">
          <cell r="C222" t="str">
            <v>USD</v>
          </cell>
          <cell r="D222" t="str">
            <v>SMB</v>
          </cell>
        </row>
        <row r="223">
          <cell r="C223" t="str">
            <v>USD</v>
          </cell>
          <cell r="D223" t="str">
            <v>SMB</v>
          </cell>
        </row>
        <row r="224">
          <cell r="C224" t="str">
            <v>EUR</v>
          </cell>
          <cell r="D224" t="str">
            <v>SMB</v>
          </cell>
        </row>
        <row r="225">
          <cell r="C225" t="str">
            <v>Kur Sabitleme</v>
          </cell>
          <cell r="D225" t="str">
            <v>SMB</v>
          </cell>
        </row>
        <row r="226">
          <cell r="C226" t="str">
            <v>BOYNER HOLDING</v>
          </cell>
          <cell r="D226" t="str">
            <v>Enterprise</v>
          </cell>
          <cell r="E226" t="e">
            <v>#N/A</v>
          </cell>
        </row>
        <row r="227">
          <cell r="C227" t="str">
            <v>TL</v>
          </cell>
          <cell r="D227" t="str">
            <v>Enterprise</v>
          </cell>
        </row>
        <row r="228">
          <cell r="C228" t="str">
            <v>TL</v>
          </cell>
          <cell r="D228" t="str">
            <v>Enterprise</v>
          </cell>
        </row>
        <row r="229">
          <cell r="C229" t="str">
            <v>USD</v>
          </cell>
          <cell r="D229" t="str">
            <v>Enterprise</v>
          </cell>
        </row>
        <row r="230">
          <cell r="C230" t="str">
            <v>EUR</v>
          </cell>
          <cell r="D230" t="str">
            <v>Enterprise</v>
          </cell>
        </row>
        <row r="231">
          <cell r="C231" t="str">
            <v>Kur Sabitleme</v>
          </cell>
          <cell r="D231" t="str">
            <v>Enterprise</v>
          </cell>
        </row>
        <row r="232">
          <cell r="C232" t="str">
            <v xml:space="preserve">BEYMEN GRUP </v>
          </cell>
          <cell r="D232" t="str">
            <v>Enterprise</v>
          </cell>
          <cell r="E232" t="str">
            <v>Perakende</v>
          </cell>
        </row>
        <row r="233">
          <cell r="C233" t="str">
            <v>TL</v>
          </cell>
          <cell r="D233" t="str">
            <v>Enterprise</v>
          </cell>
        </row>
        <row r="234">
          <cell r="C234" t="str">
            <v>TL</v>
          </cell>
          <cell r="D234" t="str">
            <v>Enterprise</v>
          </cell>
        </row>
        <row r="235">
          <cell r="C235" t="str">
            <v>USD</v>
          </cell>
          <cell r="D235" t="str">
            <v>Enterprise</v>
          </cell>
        </row>
        <row r="236">
          <cell r="C236" t="str">
            <v>USD</v>
          </cell>
          <cell r="D236" t="str">
            <v>Enterprise</v>
          </cell>
        </row>
        <row r="237">
          <cell r="C237" t="str">
            <v>EUR</v>
          </cell>
          <cell r="D237" t="str">
            <v>Enterprise</v>
          </cell>
        </row>
        <row r="238">
          <cell r="C238" t="str">
            <v>Kur Sabitleme</v>
          </cell>
          <cell r="D238" t="str">
            <v>Enterprise</v>
          </cell>
        </row>
        <row r="239">
          <cell r="C239" t="str">
            <v>BIESTERFELD PLASTIK TIC.A.S</v>
          </cell>
          <cell r="D239" t="str">
            <v>SMB</v>
          </cell>
          <cell r="E239" t="str">
            <v>Üretim</v>
          </cell>
        </row>
        <row r="240">
          <cell r="C240" t="str">
            <v>TL</v>
          </cell>
          <cell r="D240" t="str">
            <v>SMB</v>
          </cell>
        </row>
        <row r="241">
          <cell r="C241" t="str">
            <v>USD</v>
          </cell>
          <cell r="D241" t="str">
            <v>SMB</v>
          </cell>
        </row>
        <row r="242">
          <cell r="C242" t="str">
            <v>USD</v>
          </cell>
          <cell r="D242" t="str">
            <v>SMB</v>
          </cell>
        </row>
        <row r="243">
          <cell r="C243" t="str">
            <v>USD</v>
          </cell>
          <cell r="D243" t="str">
            <v>SMB</v>
          </cell>
        </row>
        <row r="244">
          <cell r="C244" t="str">
            <v>USD</v>
          </cell>
          <cell r="D244" t="str">
            <v>SMB</v>
          </cell>
        </row>
        <row r="245">
          <cell r="C245" t="str">
            <v>EUR</v>
          </cell>
          <cell r="D245" t="str">
            <v>SMB</v>
          </cell>
        </row>
        <row r="246">
          <cell r="C246" t="str">
            <v>Kur Sabitleme</v>
          </cell>
          <cell r="D246" t="str">
            <v>SMB</v>
          </cell>
        </row>
        <row r="247">
          <cell r="C247" t="str">
            <v>BİLSAR TEKSTIL SAN.VE DIS.TIC.A.S</v>
          </cell>
          <cell r="D247" t="str">
            <v>SMB</v>
          </cell>
          <cell r="E247" t="str">
            <v>Üretim</v>
          </cell>
        </row>
        <row r="248">
          <cell r="C248" t="str">
            <v>TL</v>
          </cell>
          <cell r="D248" t="str">
            <v>SMB</v>
          </cell>
        </row>
        <row r="249">
          <cell r="C249" t="str">
            <v>USD</v>
          </cell>
          <cell r="D249" t="str">
            <v>SMB</v>
          </cell>
        </row>
        <row r="250">
          <cell r="C250" t="str">
            <v>USD</v>
          </cell>
          <cell r="D250" t="str">
            <v>SMB</v>
          </cell>
        </row>
        <row r="251">
          <cell r="C251" t="str">
            <v>USD</v>
          </cell>
          <cell r="D251" t="str">
            <v>SMB</v>
          </cell>
        </row>
        <row r="252">
          <cell r="C252" t="str">
            <v>EUR</v>
          </cell>
          <cell r="D252" t="str">
            <v>SMB</v>
          </cell>
        </row>
        <row r="253">
          <cell r="C253" t="str">
            <v>Kur Sabitleme</v>
          </cell>
          <cell r="D253" t="str">
            <v>SMB</v>
          </cell>
        </row>
        <row r="254">
          <cell r="C254" t="str">
            <v>BIRCOM TELEKOMÜNIKASYON VE BILISIM HIZ.SAN.TIC.A.S</v>
          </cell>
          <cell r="D254" t="str">
            <v>SMB</v>
          </cell>
          <cell r="E254" t="e">
            <v>#N/A</v>
          </cell>
        </row>
        <row r="255">
          <cell r="C255" t="str">
            <v>TL</v>
          </cell>
          <cell r="D255" t="str">
            <v>SMB</v>
          </cell>
        </row>
        <row r="256">
          <cell r="C256" t="str">
            <v>USD</v>
          </cell>
          <cell r="D256" t="str">
            <v>SMB</v>
          </cell>
        </row>
        <row r="257">
          <cell r="C257" t="str">
            <v>USD</v>
          </cell>
          <cell r="D257" t="str">
            <v>SMB</v>
          </cell>
        </row>
        <row r="258">
          <cell r="C258" t="str">
            <v>EUR</v>
          </cell>
          <cell r="D258" t="str">
            <v>SMB</v>
          </cell>
        </row>
        <row r="259">
          <cell r="C259" t="str">
            <v>Kur Sabitleme</v>
          </cell>
          <cell r="D259" t="str">
            <v>SMB</v>
          </cell>
        </row>
        <row r="260">
          <cell r="C260" t="str">
            <v>BİS Çözüm Bilgisayar ve Entegrasyon Hizmetleri</v>
          </cell>
          <cell r="D260" t="str">
            <v>SMB</v>
          </cell>
          <cell r="E260" t="str">
            <v>Teknoloji</v>
          </cell>
        </row>
        <row r="261">
          <cell r="C261" t="str">
            <v>TL</v>
          </cell>
          <cell r="D261" t="str">
            <v>SMB</v>
          </cell>
        </row>
        <row r="262">
          <cell r="C262" t="str">
            <v>TL</v>
          </cell>
          <cell r="D262" t="str">
            <v>SMB</v>
          </cell>
        </row>
        <row r="263">
          <cell r="C263" t="str">
            <v>USD</v>
          </cell>
          <cell r="D263" t="str">
            <v>SMB</v>
          </cell>
        </row>
        <row r="264">
          <cell r="C264" t="str">
            <v>EUR</v>
          </cell>
          <cell r="D264" t="str">
            <v>SMB</v>
          </cell>
        </row>
        <row r="265">
          <cell r="C265" t="str">
            <v>Kur Sabitleme</v>
          </cell>
          <cell r="D265" t="str">
            <v>SMB</v>
          </cell>
        </row>
        <row r="266">
          <cell r="C266" t="str">
            <v>BOĞAZIÇI ISTANBUL REKLAM VE ORGANIZASYON PEYZAJ SP</v>
          </cell>
          <cell r="D266" t="str">
            <v>SMB</v>
          </cell>
          <cell r="E266" t="str">
            <v>Genel</v>
          </cell>
        </row>
        <row r="267">
          <cell r="C267" t="str">
            <v>TL</v>
          </cell>
          <cell r="D267" t="str">
            <v>SMB</v>
          </cell>
        </row>
        <row r="268">
          <cell r="C268" t="str">
            <v>USD</v>
          </cell>
          <cell r="D268" t="str">
            <v>SMB</v>
          </cell>
        </row>
        <row r="269">
          <cell r="C269" t="str">
            <v>EUR</v>
          </cell>
          <cell r="D269" t="str">
            <v>SMB</v>
          </cell>
        </row>
        <row r="270">
          <cell r="C270" t="str">
            <v>Kur Sabitleme</v>
          </cell>
          <cell r="D270" t="str">
            <v>SMB</v>
          </cell>
        </row>
        <row r="271">
          <cell r="C271" t="str">
            <v>BOMBTEA GIDA IÇECEK REK.ORG.VE TIC..( DOSPRESSO )</v>
          </cell>
          <cell r="D271" t="str">
            <v>SMB</v>
          </cell>
          <cell r="E271" t="str">
            <v>Diğer</v>
          </cell>
        </row>
        <row r="272">
          <cell r="C272" t="str">
            <v>TL</v>
          </cell>
          <cell r="D272" t="str">
            <v>SMB</v>
          </cell>
        </row>
        <row r="273">
          <cell r="C273" t="str">
            <v>USD</v>
          </cell>
          <cell r="D273" t="str">
            <v>SMB</v>
          </cell>
        </row>
        <row r="274">
          <cell r="C274" t="str">
            <v>USD</v>
          </cell>
          <cell r="D274" t="str">
            <v>SMB</v>
          </cell>
        </row>
        <row r="275">
          <cell r="C275" t="str">
            <v>EUR</v>
          </cell>
          <cell r="D275" t="str">
            <v>SMB</v>
          </cell>
        </row>
        <row r="276">
          <cell r="C276" t="str">
            <v>Kur Sabitleme</v>
          </cell>
          <cell r="D276" t="str">
            <v>SMB</v>
          </cell>
        </row>
        <row r="277">
          <cell r="C277" t="str">
            <v>BOYTORUN MIMARLIK LTD.STI.</v>
          </cell>
          <cell r="D277" t="str">
            <v>SMB</v>
          </cell>
          <cell r="E277" t="e">
            <v>#N/A</v>
          </cell>
        </row>
        <row r="278">
          <cell r="C278" t="str">
            <v>TL</v>
          </cell>
          <cell r="D278" t="str">
            <v>SMB</v>
          </cell>
        </row>
        <row r="279">
          <cell r="C279" t="str">
            <v>TL</v>
          </cell>
          <cell r="D279" t="str">
            <v>SMB</v>
          </cell>
        </row>
        <row r="280">
          <cell r="C280" t="str">
            <v>USD</v>
          </cell>
          <cell r="D280" t="str">
            <v>SMB</v>
          </cell>
        </row>
        <row r="281">
          <cell r="C281" t="str">
            <v>USD</v>
          </cell>
          <cell r="D281" t="str">
            <v>SMB</v>
          </cell>
        </row>
        <row r="282">
          <cell r="C282" t="str">
            <v>USD</v>
          </cell>
          <cell r="D282" t="str">
            <v>SMB</v>
          </cell>
        </row>
        <row r="283">
          <cell r="C283" t="str">
            <v>USD</v>
          </cell>
          <cell r="D283" t="str">
            <v>SMB</v>
          </cell>
        </row>
        <row r="284">
          <cell r="C284" t="str">
            <v>USD</v>
          </cell>
          <cell r="D284" t="str">
            <v>SMB</v>
          </cell>
        </row>
        <row r="285">
          <cell r="C285" t="str">
            <v>USD</v>
          </cell>
          <cell r="D285" t="str">
            <v>SMB</v>
          </cell>
        </row>
        <row r="286">
          <cell r="C286" t="str">
            <v>EUR</v>
          </cell>
          <cell r="D286" t="str">
            <v>SMB</v>
          </cell>
        </row>
        <row r="287">
          <cell r="C287" t="str">
            <v>Kur Sabitleme</v>
          </cell>
          <cell r="D287" t="str">
            <v>SMB</v>
          </cell>
        </row>
        <row r="288">
          <cell r="C288" t="str">
            <v>BRANDCRAFTERS REKLAM TANITIM TASARIM ORG.IÇ VE DIS</v>
          </cell>
          <cell r="D288" t="str">
            <v>SMB</v>
          </cell>
          <cell r="E288" t="str">
            <v>Diğer</v>
          </cell>
        </row>
        <row r="289">
          <cell r="C289" t="str">
            <v>TL</v>
          </cell>
          <cell r="D289" t="str">
            <v>SMB</v>
          </cell>
        </row>
        <row r="290">
          <cell r="C290" t="str">
            <v>USD</v>
          </cell>
          <cell r="D290" t="str">
            <v>SMB</v>
          </cell>
        </row>
        <row r="291">
          <cell r="C291" t="str">
            <v>USD</v>
          </cell>
          <cell r="D291" t="str">
            <v>SMB</v>
          </cell>
        </row>
        <row r="292">
          <cell r="C292" t="str">
            <v>USD</v>
          </cell>
          <cell r="D292" t="str">
            <v>SMB</v>
          </cell>
        </row>
        <row r="293">
          <cell r="C293" t="str">
            <v>USD</v>
          </cell>
          <cell r="D293" t="str">
            <v>SMB</v>
          </cell>
        </row>
        <row r="294">
          <cell r="C294" t="str">
            <v>EUR</v>
          </cell>
          <cell r="D294" t="str">
            <v>SMB</v>
          </cell>
        </row>
        <row r="295">
          <cell r="C295" t="str">
            <v>Kur Sabitleme</v>
          </cell>
          <cell r="D295" t="str">
            <v>SMB</v>
          </cell>
        </row>
        <row r="296">
          <cell r="C296" t="str">
            <v>CAFFE NERO GIDA ÜRÜNLERI A.S.</v>
          </cell>
          <cell r="D296" t="str">
            <v>SMB</v>
          </cell>
          <cell r="E296" t="e">
            <v>#N/A</v>
          </cell>
        </row>
        <row r="297">
          <cell r="C297" t="str">
            <v>TL</v>
          </cell>
          <cell r="D297" t="str">
            <v>SMB</v>
          </cell>
        </row>
        <row r="298">
          <cell r="C298" t="str">
            <v>USD</v>
          </cell>
          <cell r="D298" t="str">
            <v>SMB</v>
          </cell>
        </row>
        <row r="299">
          <cell r="C299" t="str">
            <v>EUR</v>
          </cell>
          <cell r="D299" t="str">
            <v>SMB</v>
          </cell>
        </row>
        <row r="300">
          <cell r="C300" t="str">
            <v>Kur Sabitleme</v>
          </cell>
          <cell r="D300" t="str">
            <v>SMB</v>
          </cell>
        </row>
        <row r="301">
          <cell r="C301" t="str">
            <v>CAHAN AVM</v>
          </cell>
          <cell r="D301" t="str">
            <v>SMB</v>
          </cell>
          <cell r="E301" t="e">
            <v>#N/A</v>
          </cell>
        </row>
        <row r="302">
          <cell r="C302" t="str">
            <v>TL</v>
          </cell>
          <cell r="D302" t="str">
            <v>SMB</v>
          </cell>
        </row>
        <row r="303">
          <cell r="C303" t="str">
            <v>USD</v>
          </cell>
          <cell r="D303" t="str">
            <v>SMB</v>
          </cell>
        </row>
        <row r="304">
          <cell r="C304" t="str">
            <v>EUR</v>
          </cell>
          <cell r="D304" t="str">
            <v>SMB</v>
          </cell>
        </row>
        <row r="305">
          <cell r="C305" t="str">
            <v>Kur Sabitleme</v>
          </cell>
          <cell r="D305" t="str">
            <v>SMB</v>
          </cell>
        </row>
        <row r="306">
          <cell r="C306" t="str">
            <v>CAHAN ÇAY MMC</v>
          </cell>
          <cell r="D306" t="str">
            <v>SMB</v>
          </cell>
          <cell r="E306" t="e">
            <v>#N/A</v>
          </cell>
        </row>
        <row r="307">
          <cell r="C307" t="str">
            <v>TL</v>
          </cell>
          <cell r="D307" t="str">
            <v>SMB</v>
          </cell>
        </row>
        <row r="308">
          <cell r="C308" t="str">
            <v>USD</v>
          </cell>
          <cell r="D308" t="str">
            <v>SMB</v>
          </cell>
        </row>
        <row r="309">
          <cell r="C309" t="str">
            <v>EUR</v>
          </cell>
          <cell r="D309" t="str">
            <v>SMB</v>
          </cell>
        </row>
        <row r="310">
          <cell r="C310" t="str">
            <v>Kur Sabitleme</v>
          </cell>
          <cell r="D310" t="str">
            <v>SMB</v>
          </cell>
        </row>
        <row r="311">
          <cell r="C311" t="str">
            <v>CAHAN ENNA MMC</v>
          </cell>
          <cell r="D311" t="str">
            <v>SMB</v>
          </cell>
          <cell r="E311" t="e">
            <v>#N/A</v>
          </cell>
        </row>
        <row r="312">
          <cell r="C312" t="str">
            <v>TL</v>
          </cell>
          <cell r="D312" t="str">
            <v>SMB</v>
          </cell>
        </row>
        <row r="313">
          <cell r="C313" t="str">
            <v>USD</v>
          </cell>
          <cell r="D313" t="str">
            <v>SMB</v>
          </cell>
        </row>
        <row r="314">
          <cell r="C314" t="str">
            <v>EUR</v>
          </cell>
          <cell r="D314" t="str">
            <v>SMB</v>
          </cell>
        </row>
        <row r="315">
          <cell r="C315" t="str">
            <v>Kur Sabitleme</v>
          </cell>
          <cell r="D315" t="str">
            <v>SMB</v>
          </cell>
        </row>
        <row r="316">
          <cell r="C316" t="str">
            <v>CAHAN İNŞAAT</v>
          </cell>
          <cell r="D316" t="str">
            <v>SMB</v>
          </cell>
          <cell r="E316" t="e">
            <v>#N/A</v>
          </cell>
        </row>
        <row r="317">
          <cell r="C317" t="str">
            <v>TL</v>
          </cell>
          <cell r="D317" t="str">
            <v>SMB</v>
          </cell>
        </row>
        <row r="318">
          <cell r="C318" t="str">
            <v>USD</v>
          </cell>
          <cell r="D318" t="str">
            <v>SMB</v>
          </cell>
        </row>
        <row r="319">
          <cell r="C319" t="str">
            <v>EUR</v>
          </cell>
          <cell r="D319" t="str">
            <v>SMB</v>
          </cell>
        </row>
        <row r="320">
          <cell r="C320" t="str">
            <v>Kur Sabitleme</v>
          </cell>
          <cell r="D320" t="str">
            <v>SMB</v>
          </cell>
        </row>
        <row r="321">
          <cell r="C321" t="str">
            <v>CAHAN MOTORS</v>
          </cell>
          <cell r="D321" t="str">
            <v>SMB</v>
          </cell>
          <cell r="E321" t="e">
            <v>#N/A</v>
          </cell>
        </row>
        <row r="322">
          <cell r="C322" t="str">
            <v>TL</v>
          </cell>
          <cell r="D322" t="str">
            <v>SMB</v>
          </cell>
        </row>
        <row r="323">
          <cell r="C323" t="str">
            <v>USD</v>
          </cell>
          <cell r="D323" t="str">
            <v>SMB</v>
          </cell>
        </row>
        <row r="324">
          <cell r="C324" t="str">
            <v>EUR</v>
          </cell>
          <cell r="D324" t="str">
            <v>SMB</v>
          </cell>
        </row>
        <row r="325">
          <cell r="C325" t="str">
            <v>Kur Sabitleme</v>
          </cell>
          <cell r="D325" t="str">
            <v>SMB</v>
          </cell>
        </row>
        <row r="326">
          <cell r="C326" t="str">
            <v>CAHAN SENAYE KOMLEKSİ ASC</v>
          </cell>
          <cell r="D326" t="str">
            <v>SMB</v>
          </cell>
          <cell r="E326" t="e">
            <v>#N/A</v>
          </cell>
        </row>
        <row r="327">
          <cell r="C327" t="str">
            <v>TL</v>
          </cell>
          <cell r="D327" t="str">
            <v>SMB</v>
          </cell>
        </row>
        <row r="328">
          <cell r="C328" t="str">
            <v>USD</v>
          </cell>
          <cell r="D328" t="str">
            <v>SMB</v>
          </cell>
        </row>
        <row r="329">
          <cell r="C329" t="str">
            <v>EUR</v>
          </cell>
          <cell r="D329" t="str">
            <v>SMB</v>
          </cell>
        </row>
        <row r="330">
          <cell r="C330" t="str">
            <v>Kur Sabitleme</v>
          </cell>
          <cell r="D330" t="str">
            <v>SMB</v>
          </cell>
        </row>
        <row r="331">
          <cell r="C331" t="str">
            <v>CAHAN TABAK  BEYNELXALQ MMC</v>
          </cell>
          <cell r="D331" t="str">
            <v>SMB</v>
          </cell>
          <cell r="E331" t="e">
            <v>#N/A</v>
          </cell>
        </row>
        <row r="332">
          <cell r="C332" t="str">
            <v>TL</v>
          </cell>
          <cell r="D332" t="str">
            <v>SMB</v>
          </cell>
        </row>
        <row r="333">
          <cell r="C333" t="str">
            <v>USD</v>
          </cell>
          <cell r="D333" t="str">
            <v>SMB</v>
          </cell>
        </row>
        <row r="334">
          <cell r="C334" t="str">
            <v>EUR</v>
          </cell>
          <cell r="D334" t="str">
            <v>SMB</v>
          </cell>
        </row>
        <row r="335">
          <cell r="C335" t="str">
            <v>Kur Sabitleme</v>
          </cell>
          <cell r="D335" t="str">
            <v>SMB</v>
          </cell>
        </row>
        <row r="336">
          <cell r="C336" t="str">
            <v>CAPITOL ALISVERIS HIZ.TIC.A.S</v>
          </cell>
          <cell r="D336" t="str">
            <v>SMB</v>
          </cell>
          <cell r="E336" t="e">
            <v>#N/A</v>
          </cell>
        </row>
        <row r="337">
          <cell r="C337" t="str">
            <v>TL</v>
          </cell>
          <cell r="D337" t="str">
            <v>SMB</v>
          </cell>
        </row>
        <row r="338">
          <cell r="C338" t="str">
            <v>TL</v>
          </cell>
          <cell r="D338" t="str">
            <v>SMB</v>
          </cell>
        </row>
        <row r="339">
          <cell r="C339" t="str">
            <v>USD</v>
          </cell>
          <cell r="D339" t="str">
            <v>SMB</v>
          </cell>
        </row>
        <row r="340">
          <cell r="C340" t="str">
            <v>USD</v>
          </cell>
          <cell r="D340" t="str">
            <v>SMB</v>
          </cell>
        </row>
        <row r="341">
          <cell r="C341" t="str">
            <v>USD</v>
          </cell>
          <cell r="D341" t="str">
            <v>SMB</v>
          </cell>
        </row>
        <row r="342">
          <cell r="C342" t="str">
            <v>USD</v>
          </cell>
          <cell r="D342" t="str">
            <v>SMB</v>
          </cell>
        </row>
        <row r="343">
          <cell r="C343" t="str">
            <v>USD</v>
          </cell>
          <cell r="D343" t="str">
            <v>SMB</v>
          </cell>
        </row>
        <row r="344">
          <cell r="C344" t="str">
            <v>USD</v>
          </cell>
          <cell r="D344" t="str">
            <v>SMB</v>
          </cell>
        </row>
        <row r="345">
          <cell r="C345" t="str">
            <v>USD</v>
          </cell>
          <cell r="D345" t="str">
            <v>SMB</v>
          </cell>
        </row>
        <row r="346">
          <cell r="C346" t="str">
            <v>USD</v>
          </cell>
          <cell r="D346" t="str">
            <v>SMB</v>
          </cell>
        </row>
        <row r="347">
          <cell r="C347" t="str">
            <v>USD</v>
          </cell>
          <cell r="D347" t="str">
            <v>SMB</v>
          </cell>
        </row>
        <row r="348">
          <cell r="C348" t="str">
            <v>USD</v>
          </cell>
          <cell r="D348" t="str">
            <v>SMB</v>
          </cell>
        </row>
        <row r="349">
          <cell r="C349" t="str">
            <v>USD</v>
          </cell>
          <cell r="D349" t="str">
            <v>SMB</v>
          </cell>
        </row>
        <row r="350">
          <cell r="C350" t="str">
            <v>EUR</v>
          </cell>
          <cell r="D350" t="str">
            <v>SMB</v>
          </cell>
        </row>
        <row r="351">
          <cell r="C351" t="str">
            <v>Kur Sabitleme</v>
          </cell>
          <cell r="D351" t="str">
            <v>SMB</v>
          </cell>
        </row>
        <row r="352">
          <cell r="C352" t="str">
            <v>CCL LABEL TURKEY AMBALAJ SAN. VE TIC. A.S</v>
          </cell>
          <cell r="D352" t="str">
            <v>SMB</v>
          </cell>
          <cell r="E352" t="e">
            <v>#N/A</v>
          </cell>
        </row>
        <row r="353">
          <cell r="C353" t="str">
            <v>TL</v>
          </cell>
          <cell r="D353" t="str">
            <v>SMB</v>
          </cell>
        </row>
        <row r="354">
          <cell r="C354" t="str">
            <v>TL</v>
          </cell>
          <cell r="D354" t="str">
            <v>SMB</v>
          </cell>
        </row>
        <row r="355">
          <cell r="C355" t="str">
            <v>USD</v>
          </cell>
          <cell r="D355" t="str">
            <v>SMB</v>
          </cell>
        </row>
        <row r="356">
          <cell r="C356" t="str">
            <v>USD</v>
          </cell>
          <cell r="D356" t="str">
            <v>SMB</v>
          </cell>
        </row>
        <row r="357">
          <cell r="C357" t="str">
            <v>USD</v>
          </cell>
          <cell r="D357" t="str">
            <v>SMB</v>
          </cell>
        </row>
        <row r="358">
          <cell r="C358" t="str">
            <v>EUR</v>
          </cell>
          <cell r="D358" t="str">
            <v>SMB</v>
          </cell>
        </row>
        <row r="359">
          <cell r="C359" t="str">
            <v>Kur Sabitleme</v>
          </cell>
          <cell r="D359" t="str">
            <v>SMB</v>
          </cell>
        </row>
        <row r="360">
          <cell r="C360" t="str">
            <v>CENTRON BILGISAYAR SISTEMLERI SAN.&amp;TIC.LTD (OGNY)</v>
          </cell>
          <cell r="D360" t="str">
            <v>SMB</v>
          </cell>
          <cell r="E360" t="str">
            <v>Teknoloji</v>
          </cell>
        </row>
        <row r="361">
          <cell r="C361" t="str">
            <v>TL</v>
          </cell>
          <cell r="D361" t="str">
            <v>SMB</v>
          </cell>
        </row>
        <row r="362">
          <cell r="C362" t="str">
            <v>USD</v>
          </cell>
          <cell r="D362" t="str">
            <v>SMB</v>
          </cell>
        </row>
        <row r="363">
          <cell r="C363" t="str">
            <v>USD</v>
          </cell>
          <cell r="D363" t="str">
            <v>SMB</v>
          </cell>
        </row>
        <row r="364">
          <cell r="C364" t="str">
            <v>EUR</v>
          </cell>
          <cell r="D364" t="str">
            <v>SMB</v>
          </cell>
        </row>
        <row r="365">
          <cell r="C365" t="str">
            <v>Kur Sabitleme</v>
          </cell>
          <cell r="D365" t="str">
            <v>SMB</v>
          </cell>
        </row>
        <row r="366">
          <cell r="C366" t="str">
            <v>CHRONOS INSAN KAYNAKLARI DANISMANLIK LTD.STI.</v>
          </cell>
          <cell r="D366" t="str">
            <v>SMB</v>
          </cell>
          <cell r="E366" t="str">
            <v>Genel</v>
          </cell>
        </row>
        <row r="367">
          <cell r="C367" t="str">
            <v>TL</v>
          </cell>
          <cell r="D367" t="str">
            <v>SMB</v>
          </cell>
        </row>
        <row r="368">
          <cell r="C368" t="str">
            <v>USD</v>
          </cell>
          <cell r="D368" t="str">
            <v>SMB</v>
          </cell>
        </row>
        <row r="369">
          <cell r="C369" t="str">
            <v>USD</v>
          </cell>
          <cell r="D369" t="str">
            <v>SMB</v>
          </cell>
        </row>
        <row r="370">
          <cell r="C370" t="str">
            <v>EUR</v>
          </cell>
          <cell r="D370" t="str">
            <v>SMB</v>
          </cell>
        </row>
        <row r="371">
          <cell r="C371" t="str">
            <v>Kur Sabitleme</v>
          </cell>
          <cell r="D371" t="str">
            <v>SMB</v>
          </cell>
        </row>
        <row r="372">
          <cell r="C372" t="str">
            <v>CHRONOS ISTIHDAM HIZMETLERI LTD.STI</v>
          </cell>
          <cell r="D372" t="str">
            <v>SMB</v>
          </cell>
          <cell r="E372" t="e">
            <v>#N/A</v>
          </cell>
        </row>
        <row r="373">
          <cell r="C373" t="str">
            <v>TL</v>
          </cell>
          <cell r="D373" t="str">
            <v>SMB</v>
          </cell>
        </row>
        <row r="374">
          <cell r="C374" t="str">
            <v>USD</v>
          </cell>
          <cell r="D374" t="str">
            <v>SMB</v>
          </cell>
        </row>
        <row r="375">
          <cell r="C375" t="str">
            <v>EUR</v>
          </cell>
          <cell r="D375" t="str">
            <v>SMB</v>
          </cell>
        </row>
        <row r="376">
          <cell r="C376" t="str">
            <v>Kur Sabitleme</v>
          </cell>
          <cell r="D376" t="str">
            <v>SMB</v>
          </cell>
        </row>
        <row r="377">
          <cell r="C377" t="str">
            <v>CİVİL MAGAZACILIK A.S.</v>
          </cell>
          <cell r="D377" t="str">
            <v>SMB</v>
          </cell>
          <cell r="E377" t="e">
            <v>#N/A</v>
          </cell>
        </row>
        <row r="378">
          <cell r="C378" t="str">
            <v>TL</v>
          </cell>
          <cell r="D378" t="str">
            <v>SMB</v>
          </cell>
        </row>
        <row r="379">
          <cell r="C379" t="str">
            <v>USD</v>
          </cell>
          <cell r="D379" t="str">
            <v>SMB</v>
          </cell>
        </row>
        <row r="380">
          <cell r="C380" t="str">
            <v>EUR</v>
          </cell>
          <cell r="D380" t="str">
            <v>SMB</v>
          </cell>
        </row>
        <row r="381">
          <cell r="C381" t="str">
            <v>Kur Sabitleme</v>
          </cell>
          <cell r="D381" t="str">
            <v>SMB</v>
          </cell>
        </row>
        <row r="382">
          <cell r="C382" t="str">
            <v>COGİTO PARK COGNİTİVE DİJİTAL TEKN. VE YATIRIM A.Ş</v>
          </cell>
          <cell r="D382" t="str">
            <v>SMB</v>
          </cell>
          <cell r="E382" t="e">
            <v>#N/A</v>
          </cell>
        </row>
        <row r="383">
          <cell r="C383" t="str">
            <v>TL</v>
          </cell>
          <cell r="D383" t="str">
            <v>SMB</v>
          </cell>
        </row>
        <row r="384">
          <cell r="C384" t="str">
            <v>USD</v>
          </cell>
          <cell r="D384" t="str">
            <v>SMB</v>
          </cell>
        </row>
        <row r="385">
          <cell r="C385" t="str">
            <v>EUR</v>
          </cell>
          <cell r="D385" t="str">
            <v>SMB</v>
          </cell>
        </row>
        <row r="386">
          <cell r="C386" t="str">
            <v>Kur Sabitleme</v>
          </cell>
          <cell r="D386" t="str">
            <v>SMB</v>
          </cell>
        </row>
        <row r="387">
          <cell r="C387" t="str">
            <v>COMPUGROUP MEDICAL BILGI SISTEMLERI A.S. (CGM)</v>
          </cell>
          <cell r="D387" t="str">
            <v>Enterprise</v>
          </cell>
          <cell r="E387" t="str">
            <v>Finans</v>
          </cell>
        </row>
        <row r="388">
          <cell r="C388" t="str">
            <v>TL</v>
          </cell>
          <cell r="D388" t="str">
            <v>Enterprise</v>
          </cell>
        </row>
        <row r="389">
          <cell r="C389" t="str">
            <v>TL</v>
          </cell>
          <cell r="D389" t="str">
            <v>Enterprise</v>
          </cell>
        </row>
        <row r="390">
          <cell r="C390" t="str">
            <v>USD</v>
          </cell>
          <cell r="D390" t="str">
            <v>Enterprise</v>
          </cell>
        </row>
        <row r="391">
          <cell r="C391" t="str">
            <v>USD</v>
          </cell>
          <cell r="D391" t="str">
            <v>Enterprise</v>
          </cell>
        </row>
        <row r="392">
          <cell r="C392" t="str">
            <v>USD</v>
          </cell>
          <cell r="D392" t="str">
            <v>Enterprise</v>
          </cell>
        </row>
        <row r="393">
          <cell r="C393" t="str">
            <v>USD</v>
          </cell>
          <cell r="D393" t="str">
            <v>Enterprise</v>
          </cell>
        </row>
        <row r="394">
          <cell r="C394" t="str">
            <v>USD</v>
          </cell>
          <cell r="D394" t="str">
            <v>Enterprise</v>
          </cell>
        </row>
        <row r="395">
          <cell r="C395" t="str">
            <v>USD</v>
          </cell>
          <cell r="D395" t="str">
            <v>Enterprise</v>
          </cell>
        </row>
        <row r="396">
          <cell r="C396" t="str">
            <v>USD</v>
          </cell>
          <cell r="D396" t="str">
            <v>Enterprise</v>
          </cell>
        </row>
        <row r="397">
          <cell r="C397" t="str">
            <v>USD</v>
          </cell>
          <cell r="D397" t="str">
            <v>Enterprise</v>
          </cell>
        </row>
        <row r="398">
          <cell r="C398" t="str">
            <v>USD</v>
          </cell>
          <cell r="D398" t="str">
            <v>Enterprise</v>
          </cell>
        </row>
        <row r="399">
          <cell r="C399" t="str">
            <v>EUR</v>
          </cell>
          <cell r="D399" t="str">
            <v>Enterprise</v>
          </cell>
        </row>
        <row r="400">
          <cell r="C400" t="str">
            <v>Kur Sabitleme</v>
          </cell>
          <cell r="D400" t="str">
            <v>Enterprise</v>
          </cell>
        </row>
        <row r="401">
          <cell r="C401" t="str">
            <v>DALYA GAYRIMENKUL GELISTIRME TICARET A.S</v>
          </cell>
          <cell r="D401" t="str">
            <v>SMB</v>
          </cell>
          <cell r="E401" t="str">
            <v>Diğer</v>
          </cell>
        </row>
        <row r="402">
          <cell r="C402" t="str">
            <v>TL</v>
          </cell>
          <cell r="D402" t="str">
            <v>SMB</v>
          </cell>
        </row>
        <row r="403">
          <cell r="C403" t="str">
            <v>USD</v>
          </cell>
          <cell r="D403" t="str">
            <v>SMB</v>
          </cell>
        </row>
        <row r="404">
          <cell r="C404" t="str">
            <v>EUR</v>
          </cell>
          <cell r="D404" t="str">
            <v>SMB</v>
          </cell>
        </row>
        <row r="405">
          <cell r="C405" t="str">
            <v>Kur Sabitleme</v>
          </cell>
          <cell r="D405" t="str">
            <v>SMB</v>
          </cell>
        </row>
        <row r="406">
          <cell r="C406" t="str">
            <v>DAM BILGI TEKNOLOJILERI A.S.</v>
          </cell>
          <cell r="D406" t="str">
            <v>SMB</v>
          </cell>
          <cell r="E406" t="e">
            <v>#N/A</v>
          </cell>
        </row>
        <row r="407">
          <cell r="C407" t="str">
            <v>TL</v>
          </cell>
          <cell r="D407" t="str">
            <v>SMB</v>
          </cell>
        </row>
        <row r="408">
          <cell r="C408" t="str">
            <v>USD</v>
          </cell>
          <cell r="D408" t="str">
            <v>SMB</v>
          </cell>
        </row>
        <row r="409">
          <cell r="C409" t="str">
            <v>EUR</v>
          </cell>
          <cell r="D409" t="str">
            <v>SMB</v>
          </cell>
        </row>
        <row r="410">
          <cell r="C410" t="str">
            <v>Kur Sabitleme</v>
          </cell>
          <cell r="D410" t="str">
            <v>SMB</v>
          </cell>
        </row>
        <row r="411">
          <cell r="C411" t="str">
            <v>DATA HIDROLIK MAKINA SANAYI A.S.</v>
          </cell>
          <cell r="D411" t="str">
            <v>SMB</v>
          </cell>
          <cell r="E411" t="str">
            <v>Üretim</v>
          </cell>
        </row>
        <row r="412">
          <cell r="C412" t="str">
            <v>TL</v>
          </cell>
          <cell r="D412" t="str">
            <v>SMB</v>
          </cell>
        </row>
        <row r="413">
          <cell r="C413" t="str">
            <v>TL</v>
          </cell>
          <cell r="D413" t="str">
            <v>SMB</v>
          </cell>
        </row>
        <row r="414">
          <cell r="C414" t="str">
            <v>TL</v>
          </cell>
          <cell r="D414" t="str">
            <v>SMB</v>
          </cell>
        </row>
        <row r="415">
          <cell r="C415" t="str">
            <v>USD</v>
          </cell>
          <cell r="D415" t="str">
            <v>SMB</v>
          </cell>
        </row>
        <row r="416">
          <cell r="C416" t="str">
            <v>USD</v>
          </cell>
          <cell r="D416" t="str">
            <v>SMB</v>
          </cell>
        </row>
        <row r="417">
          <cell r="C417" t="str">
            <v>USD</v>
          </cell>
          <cell r="D417" t="str">
            <v>SMB</v>
          </cell>
        </row>
        <row r="418">
          <cell r="C418" t="str">
            <v>USD</v>
          </cell>
          <cell r="D418" t="str">
            <v>SMB</v>
          </cell>
        </row>
        <row r="419">
          <cell r="C419" t="str">
            <v>USD</v>
          </cell>
          <cell r="D419" t="str">
            <v>SMB</v>
          </cell>
        </row>
        <row r="420">
          <cell r="C420" t="str">
            <v>USD</v>
          </cell>
          <cell r="D420" t="str">
            <v>SMB</v>
          </cell>
        </row>
        <row r="421">
          <cell r="C421" t="str">
            <v>EUR</v>
          </cell>
          <cell r="D421" t="str">
            <v>SMB</v>
          </cell>
        </row>
        <row r="422">
          <cell r="C422" t="str">
            <v>Kur Sabitleme</v>
          </cell>
          <cell r="D422" t="str">
            <v>SMB</v>
          </cell>
        </row>
        <row r="423">
          <cell r="C423" t="str">
            <v>DATASAFE ARSIVLEME HIZMETLERI A.S</v>
          </cell>
          <cell r="D423" t="str">
            <v>SMB</v>
          </cell>
          <cell r="E423" t="e">
            <v>#N/A</v>
          </cell>
        </row>
        <row r="424">
          <cell r="C424" t="str">
            <v>TL</v>
          </cell>
          <cell r="D424" t="str">
            <v>SMB</v>
          </cell>
        </row>
        <row r="425">
          <cell r="C425" t="str">
            <v>TL</v>
          </cell>
          <cell r="D425" t="str">
            <v>SMB</v>
          </cell>
        </row>
        <row r="426">
          <cell r="C426" t="str">
            <v>USD</v>
          </cell>
          <cell r="D426" t="str">
            <v>SMB</v>
          </cell>
        </row>
        <row r="427">
          <cell r="C427" t="str">
            <v>USD</v>
          </cell>
          <cell r="D427" t="str">
            <v>SMB</v>
          </cell>
        </row>
        <row r="428">
          <cell r="C428" t="str">
            <v>USD</v>
          </cell>
          <cell r="D428" t="str">
            <v>SMB</v>
          </cell>
        </row>
        <row r="429">
          <cell r="C429" t="str">
            <v>USD</v>
          </cell>
          <cell r="D429" t="str">
            <v>SMB</v>
          </cell>
        </row>
        <row r="430">
          <cell r="C430" t="str">
            <v>USD</v>
          </cell>
          <cell r="D430" t="str">
            <v>SMB</v>
          </cell>
        </row>
        <row r="431">
          <cell r="C431" t="str">
            <v>EUR</v>
          </cell>
          <cell r="D431" t="str">
            <v>SMB</v>
          </cell>
        </row>
        <row r="432">
          <cell r="C432" t="str">
            <v>Kur Sabitleme</v>
          </cell>
          <cell r="D432" t="str">
            <v>SMB</v>
          </cell>
        </row>
        <row r="433">
          <cell r="C433" t="str">
            <v>DB GÜMRÜK MÜŞAVİRLİĞİ LİMİTED ŞİRKET</v>
          </cell>
          <cell r="D433" t="str">
            <v>SMB</v>
          </cell>
          <cell r="E433" t="str">
            <v>Lojistik</v>
          </cell>
        </row>
        <row r="434">
          <cell r="C434" t="str">
            <v>TL</v>
          </cell>
          <cell r="D434" t="str">
            <v>SMB</v>
          </cell>
        </row>
        <row r="435">
          <cell r="C435" t="str">
            <v>USD</v>
          </cell>
          <cell r="D435" t="str">
            <v>SMB</v>
          </cell>
        </row>
        <row r="436">
          <cell r="C436" t="str">
            <v>EUR</v>
          </cell>
          <cell r="D436" t="str">
            <v>SMB</v>
          </cell>
        </row>
        <row r="437">
          <cell r="C437" t="str">
            <v>Kur Sabitleme</v>
          </cell>
          <cell r="D437" t="str">
            <v>SMB</v>
          </cell>
        </row>
        <row r="438">
          <cell r="C438" t="str">
            <v>BDO DENET YEMİNLİ MALİ MÜŞAVİRLİK A.Ş.</v>
          </cell>
          <cell r="D438" t="str">
            <v>SMB</v>
          </cell>
          <cell r="E438" t="str">
            <v>Finans</v>
          </cell>
        </row>
        <row r="439">
          <cell r="C439" t="str">
            <v>TL</v>
          </cell>
          <cell r="D439" t="str">
            <v>SMB</v>
          </cell>
        </row>
        <row r="440">
          <cell r="C440" t="str">
            <v>USD</v>
          </cell>
          <cell r="D440" t="str">
            <v>SMB</v>
          </cell>
        </row>
        <row r="441">
          <cell r="C441" t="str">
            <v>USD</v>
          </cell>
          <cell r="D441" t="str">
            <v>SMB</v>
          </cell>
        </row>
        <row r="442">
          <cell r="C442" t="str">
            <v>EUR</v>
          </cell>
          <cell r="D442" t="str">
            <v>SMB</v>
          </cell>
        </row>
        <row r="443">
          <cell r="C443" t="str">
            <v>Kur Sabitleme</v>
          </cell>
          <cell r="D443" t="str">
            <v>SMB</v>
          </cell>
        </row>
        <row r="444">
          <cell r="C444" t="str">
            <v>DERTEC ELEKTRONIK SES ISIK GÖRÜNTÜ SIS.SAN.TIC.LTD</v>
          </cell>
          <cell r="D444" t="str">
            <v>SMB</v>
          </cell>
          <cell r="E444" t="str">
            <v>Genel</v>
          </cell>
        </row>
        <row r="445">
          <cell r="C445" t="str">
            <v>TL</v>
          </cell>
          <cell r="D445" t="str">
            <v>SMB</v>
          </cell>
        </row>
        <row r="446">
          <cell r="C446" t="str">
            <v>USD</v>
          </cell>
          <cell r="D446" t="str">
            <v>SMB</v>
          </cell>
        </row>
        <row r="447">
          <cell r="C447" t="str">
            <v>USD</v>
          </cell>
          <cell r="D447" t="str">
            <v>SMB</v>
          </cell>
        </row>
        <row r="448">
          <cell r="C448" t="str">
            <v>EUR</v>
          </cell>
          <cell r="D448" t="str">
            <v>SMB</v>
          </cell>
        </row>
        <row r="449">
          <cell r="C449" t="str">
            <v>Kur Sabitleme</v>
          </cell>
          <cell r="D449" t="str">
            <v>SMB</v>
          </cell>
        </row>
        <row r="450">
          <cell r="C450" t="str">
            <v>DIGITAY TEKNOLOJI VE YAZILIM TICARET LIMITED SIRKE</v>
          </cell>
          <cell r="D450" t="str">
            <v>SMB</v>
          </cell>
          <cell r="E450" t="e">
            <v>#N/A</v>
          </cell>
        </row>
        <row r="451">
          <cell r="C451" t="str">
            <v>TL</v>
          </cell>
          <cell r="D451" t="str">
            <v>SMB</v>
          </cell>
        </row>
        <row r="452">
          <cell r="C452" t="str">
            <v>USD</v>
          </cell>
          <cell r="D452" t="str">
            <v>SMB</v>
          </cell>
        </row>
        <row r="453">
          <cell r="C453" t="str">
            <v>EUR</v>
          </cell>
          <cell r="D453" t="str">
            <v>SMB</v>
          </cell>
        </row>
        <row r="454">
          <cell r="C454" t="str">
            <v>Kur Sabitleme</v>
          </cell>
          <cell r="D454" t="str">
            <v>SMB</v>
          </cell>
        </row>
        <row r="455">
          <cell r="C455" t="str">
            <v>DİKEY VITAMIN KOZM.GIDATAKV. TIC.AS(SUPPLEMTLER)</v>
          </cell>
          <cell r="D455" t="str">
            <v>Enterprise</v>
          </cell>
          <cell r="E455" t="str">
            <v>Digital</v>
          </cell>
        </row>
        <row r="456">
          <cell r="C456" t="str">
            <v>TL</v>
          </cell>
          <cell r="D456" t="str">
            <v>Enterprise</v>
          </cell>
        </row>
        <row r="457">
          <cell r="C457" t="str">
            <v>USD</v>
          </cell>
          <cell r="D457" t="str">
            <v>Enterprise</v>
          </cell>
        </row>
        <row r="458">
          <cell r="C458" t="str">
            <v>EUR</v>
          </cell>
          <cell r="D458" t="str">
            <v>Enterprise</v>
          </cell>
        </row>
        <row r="459">
          <cell r="C459" t="str">
            <v>Kur Sabitleme</v>
          </cell>
          <cell r="D459" t="str">
            <v>Enterprise</v>
          </cell>
        </row>
        <row r="460">
          <cell r="C460" t="str">
            <v>DOĞUŞ TEKNOLOJİ</v>
          </cell>
          <cell r="D460" t="str">
            <v>Enterprise</v>
          </cell>
          <cell r="E460" t="e">
            <v>#N/A</v>
          </cell>
        </row>
        <row r="461">
          <cell r="C461" t="str">
            <v>TL</v>
          </cell>
          <cell r="D461" t="str">
            <v>Enterprise</v>
          </cell>
        </row>
        <row r="462">
          <cell r="C462" t="str">
            <v>USD</v>
          </cell>
          <cell r="D462" t="str">
            <v>Enterprise</v>
          </cell>
        </row>
        <row r="463">
          <cell r="C463" t="str">
            <v>EUR</v>
          </cell>
          <cell r="D463" t="str">
            <v>Enterprise</v>
          </cell>
        </row>
        <row r="464">
          <cell r="C464" t="str">
            <v>Kur Sabitleme</v>
          </cell>
          <cell r="D464" t="str">
            <v>Enterprise</v>
          </cell>
        </row>
        <row r="465">
          <cell r="C465" t="str">
            <v>DÖNÜŞÜM OTOMOTİV VE SAN.TİC.A.Ş.</v>
          </cell>
          <cell r="D465" t="str">
            <v>SMB</v>
          </cell>
          <cell r="E465" t="str">
            <v>Diğer</v>
          </cell>
        </row>
        <row r="466">
          <cell r="C466" t="str">
            <v>TL</v>
          </cell>
          <cell r="D466" t="str">
            <v>SMB</v>
          </cell>
        </row>
        <row r="467">
          <cell r="C467" t="str">
            <v>USD</v>
          </cell>
          <cell r="D467" t="str">
            <v>SMB</v>
          </cell>
        </row>
        <row r="468">
          <cell r="C468" t="str">
            <v>EUR</v>
          </cell>
          <cell r="D468" t="str">
            <v>SMB</v>
          </cell>
        </row>
        <row r="469">
          <cell r="C469" t="str">
            <v>Kur Sabitleme</v>
          </cell>
          <cell r="D469" t="str">
            <v>SMB</v>
          </cell>
        </row>
        <row r="470">
          <cell r="C470" t="str">
            <v>ECE FITOTERAPI SAGLIK ÜRÜNLERI SANAYI VE TIC.A.S</v>
          </cell>
          <cell r="D470" t="str">
            <v>SMB</v>
          </cell>
          <cell r="E470" t="e">
            <v>#N/A</v>
          </cell>
        </row>
        <row r="471">
          <cell r="C471" t="str">
            <v>TL</v>
          </cell>
          <cell r="D471" t="str">
            <v>SMB</v>
          </cell>
        </row>
        <row r="472">
          <cell r="C472" t="str">
            <v>USD</v>
          </cell>
          <cell r="D472" t="str">
            <v>SMB</v>
          </cell>
        </row>
        <row r="473">
          <cell r="C473" t="str">
            <v>EUR</v>
          </cell>
          <cell r="D473" t="str">
            <v>SMB</v>
          </cell>
        </row>
        <row r="474">
          <cell r="C474" t="str">
            <v>Kur Sabitleme</v>
          </cell>
          <cell r="D474" t="str">
            <v>SMB</v>
          </cell>
        </row>
        <row r="475">
          <cell r="C475" t="str">
            <v>EGE SERAMIK SAN. VE TIC. A.S.</v>
          </cell>
          <cell r="D475" t="str">
            <v>Enterprise</v>
          </cell>
          <cell r="E475" t="str">
            <v>Üretim</v>
          </cell>
        </row>
        <row r="476">
          <cell r="C476" t="str">
            <v>TL</v>
          </cell>
          <cell r="D476" t="str">
            <v>Enterprise</v>
          </cell>
        </row>
        <row r="477">
          <cell r="C477" t="str">
            <v>USD</v>
          </cell>
          <cell r="D477" t="str">
            <v>Enterprise</v>
          </cell>
        </row>
        <row r="478">
          <cell r="C478" t="str">
            <v>USD</v>
          </cell>
          <cell r="D478" t="str">
            <v>Enterprise</v>
          </cell>
        </row>
        <row r="479">
          <cell r="C479" t="str">
            <v>EUR</v>
          </cell>
          <cell r="D479" t="str">
            <v>Enterprise</v>
          </cell>
        </row>
        <row r="480">
          <cell r="C480" t="str">
            <v>Kur Sabitleme</v>
          </cell>
          <cell r="D480" t="str">
            <v>Enterprise</v>
          </cell>
        </row>
        <row r="481">
          <cell r="C481" t="str">
            <v>EKSEN MEDIKAL TIBBI MALZ. VE GERÇ. PAZ. TUR. ITH.</v>
          </cell>
          <cell r="D481" t="str">
            <v>SMB</v>
          </cell>
          <cell r="E481" t="e">
            <v>#N/A</v>
          </cell>
        </row>
        <row r="482">
          <cell r="C482" t="str">
            <v>TL</v>
          </cell>
          <cell r="D482" t="str">
            <v>SMB</v>
          </cell>
        </row>
        <row r="483">
          <cell r="C483" t="str">
            <v>USD</v>
          </cell>
          <cell r="D483" t="str">
            <v>SMB</v>
          </cell>
        </row>
        <row r="484">
          <cell r="C484" t="str">
            <v>EUR</v>
          </cell>
          <cell r="D484" t="str">
            <v>SMB</v>
          </cell>
        </row>
        <row r="485">
          <cell r="C485" t="str">
            <v>Kur Sabitleme</v>
          </cell>
          <cell r="D485" t="str">
            <v>SMB</v>
          </cell>
        </row>
        <row r="486">
          <cell r="C486" t="str">
            <v>ELİG HUKUK BÜROSU, GÖNENÇ GÜRKAYNAK</v>
          </cell>
          <cell r="D486" t="str">
            <v>SMB</v>
          </cell>
          <cell r="E486" t="str">
            <v>Genel</v>
          </cell>
        </row>
        <row r="487">
          <cell r="C487" t="str">
            <v>TL</v>
          </cell>
          <cell r="D487" t="str">
            <v>SMB</v>
          </cell>
        </row>
        <row r="488">
          <cell r="C488" t="str">
            <v>USD</v>
          </cell>
          <cell r="D488" t="str">
            <v>SMB</v>
          </cell>
        </row>
        <row r="489">
          <cell r="C489" t="str">
            <v>USD</v>
          </cell>
          <cell r="D489" t="str">
            <v>SMB</v>
          </cell>
        </row>
        <row r="490">
          <cell r="C490" t="str">
            <v>USD</v>
          </cell>
          <cell r="D490" t="str">
            <v>SMB</v>
          </cell>
        </row>
        <row r="491">
          <cell r="C491" t="str">
            <v>USD</v>
          </cell>
          <cell r="D491" t="str">
            <v>SMB</v>
          </cell>
        </row>
        <row r="492">
          <cell r="C492" t="str">
            <v>USD</v>
          </cell>
          <cell r="D492" t="str">
            <v>SMB</v>
          </cell>
        </row>
        <row r="493">
          <cell r="C493" t="str">
            <v>USD</v>
          </cell>
          <cell r="D493" t="str">
            <v>SMB</v>
          </cell>
        </row>
        <row r="494">
          <cell r="C494" t="str">
            <v>EUR</v>
          </cell>
          <cell r="D494" t="str">
            <v>SMB</v>
          </cell>
        </row>
        <row r="495">
          <cell r="C495" t="str">
            <v>Kur Sabitleme</v>
          </cell>
          <cell r="D495" t="str">
            <v>SMB</v>
          </cell>
        </row>
        <row r="496">
          <cell r="C496" t="str">
            <v>ENOCTA - AVEZ ELEKTRONIK ILETISIM</v>
          </cell>
          <cell r="D496" t="str">
            <v>Enterprise</v>
          </cell>
          <cell r="E496" t="str">
            <v>Teknoloji</v>
          </cell>
        </row>
        <row r="497">
          <cell r="C497" t="str">
            <v>TL</v>
          </cell>
          <cell r="D497" t="str">
            <v>Enterprise</v>
          </cell>
        </row>
        <row r="498">
          <cell r="C498" t="str">
            <v>TL</v>
          </cell>
          <cell r="D498" t="str">
            <v>Enterprise</v>
          </cell>
        </row>
        <row r="499">
          <cell r="C499" t="str">
            <v>TL</v>
          </cell>
          <cell r="D499" t="str">
            <v>Enterprise</v>
          </cell>
        </row>
        <row r="500">
          <cell r="C500" t="str">
            <v>USD</v>
          </cell>
          <cell r="D500" t="str">
            <v>Enterprise</v>
          </cell>
        </row>
        <row r="501">
          <cell r="C501" t="str">
            <v>EUR</v>
          </cell>
          <cell r="D501" t="str">
            <v>Enterprise</v>
          </cell>
        </row>
        <row r="502">
          <cell r="C502" t="str">
            <v>Kur Sabitleme</v>
          </cell>
          <cell r="D502" t="str">
            <v>Enterprise</v>
          </cell>
        </row>
        <row r="503">
          <cell r="C503" t="str">
            <v>ES DIL HIZ. VE DAN.TIC.A.S.</v>
          </cell>
          <cell r="D503" t="str">
            <v>SMB</v>
          </cell>
          <cell r="E503" t="e">
            <v>#N/A</v>
          </cell>
        </row>
        <row r="504">
          <cell r="C504" t="str">
            <v>TL</v>
          </cell>
          <cell r="D504" t="str">
            <v>SMB</v>
          </cell>
        </row>
        <row r="505">
          <cell r="C505" t="str">
            <v>USD</v>
          </cell>
          <cell r="D505" t="str">
            <v>SMB</v>
          </cell>
        </row>
        <row r="506">
          <cell r="C506" t="str">
            <v>USD</v>
          </cell>
          <cell r="D506" t="str">
            <v>SMB</v>
          </cell>
        </row>
        <row r="507">
          <cell r="C507" t="str">
            <v>EUR</v>
          </cell>
          <cell r="D507" t="str">
            <v>SMB</v>
          </cell>
        </row>
        <row r="508">
          <cell r="C508" t="str">
            <v>Kur Sabitleme</v>
          </cell>
          <cell r="D508" t="str">
            <v>SMB</v>
          </cell>
        </row>
        <row r="509">
          <cell r="C509" t="str">
            <v>ESM DANIŞMANLIK HİZMETLERİ AŞ.</v>
          </cell>
          <cell r="D509" t="str">
            <v>SMB</v>
          </cell>
          <cell r="E509" t="e">
            <v>#N/A</v>
          </cell>
        </row>
        <row r="510">
          <cell r="C510" t="str">
            <v>TL</v>
          </cell>
          <cell r="D510" t="str">
            <v>SMB</v>
          </cell>
        </row>
        <row r="511">
          <cell r="C511" t="str">
            <v>USD</v>
          </cell>
          <cell r="D511" t="str">
            <v>SMB</v>
          </cell>
        </row>
        <row r="512">
          <cell r="C512" t="str">
            <v>USD</v>
          </cell>
          <cell r="D512" t="str">
            <v>SMB</v>
          </cell>
        </row>
        <row r="513">
          <cell r="C513" t="str">
            <v>EUR</v>
          </cell>
          <cell r="D513" t="str">
            <v>SMB</v>
          </cell>
        </row>
        <row r="514">
          <cell r="C514" t="str">
            <v>Kur Sabitleme</v>
          </cell>
          <cell r="D514" t="str">
            <v>SMB</v>
          </cell>
        </row>
        <row r="515">
          <cell r="C515" t="str">
            <v>ESTIMA ARASTIRMA DANISMANLIK VE TIC.A.S</v>
          </cell>
          <cell r="D515" t="str">
            <v>SMB</v>
          </cell>
          <cell r="E515" t="e">
            <v>#N/A</v>
          </cell>
        </row>
        <row r="516">
          <cell r="C516" t="str">
            <v>TL</v>
          </cell>
          <cell r="D516" t="str">
            <v>SMB</v>
          </cell>
        </row>
        <row r="517">
          <cell r="C517" t="str">
            <v>USD</v>
          </cell>
          <cell r="D517" t="str">
            <v>SMB</v>
          </cell>
        </row>
        <row r="518">
          <cell r="C518" t="str">
            <v>USD</v>
          </cell>
          <cell r="D518" t="str">
            <v>SMB</v>
          </cell>
        </row>
        <row r="519">
          <cell r="C519" t="str">
            <v>USD</v>
          </cell>
          <cell r="D519" t="str">
            <v>SMB</v>
          </cell>
        </row>
        <row r="520">
          <cell r="C520" t="str">
            <v>USD</v>
          </cell>
          <cell r="D520" t="str">
            <v>SMB</v>
          </cell>
        </row>
        <row r="521">
          <cell r="C521" t="str">
            <v>USD</v>
          </cell>
          <cell r="D521" t="str">
            <v>SMB</v>
          </cell>
        </row>
        <row r="522">
          <cell r="C522" t="str">
            <v>EUR</v>
          </cell>
          <cell r="D522" t="str">
            <v>SMB</v>
          </cell>
        </row>
        <row r="523">
          <cell r="C523" t="str">
            <v>Kur Sabitleme</v>
          </cell>
          <cell r="D523" t="str">
            <v>SMB</v>
          </cell>
        </row>
        <row r="524">
          <cell r="C524" t="str">
            <v>ETUR TURİZM PAZARLAMA VE SEYAHAT LTD.ŞTİ.</v>
          </cell>
          <cell r="D524" t="str">
            <v>SMB</v>
          </cell>
          <cell r="E524" t="str">
            <v>Genel</v>
          </cell>
        </row>
        <row r="525">
          <cell r="C525" t="str">
            <v>TL</v>
          </cell>
          <cell r="D525" t="str">
            <v>SMB</v>
          </cell>
        </row>
        <row r="526">
          <cell r="C526" t="str">
            <v>USD</v>
          </cell>
          <cell r="D526" t="str">
            <v>SMB</v>
          </cell>
        </row>
        <row r="527">
          <cell r="C527" t="str">
            <v>USD</v>
          </cell>
          <cell r="D527" t="str">
            <v>SMB</v>
          </cell>
        </row>
        <row r="528">
          <cell r="C528" t="str">
            <v>EUR</v>
          </cell>
          <cell r="D528" t="str">
            <v>SMB</v>
          </cell>
        </row>
        <row r="529">
          <cell r="C529" t="str">
            <v>Kur Sabitleme</v>
          </cell>
          <cell r="D529" t="str">
            <v>SMB</v>
          </cell>
        </row>
        <row r="530">
          <cell r="C530" t="str">
            <v>EVIDEA MAGAZACILIK A.S.</v>
          </cell>
          <cell r="D530" t="str">
            <v>Enterprise</v>
          </cell>
          <cell r="E530" t="str">
            <v>Perakende</v>
          </cell>
        </row>
        <row r="531">
          <cell r="C531" t="str">
            <v>TL</v>
          </cell>
          <cell r="D531" t="str">
            <v>Enterprise</v>
          </cell>
        </row>
        <row r="532">
          <cell r="C532" t="str">
            <v>TL</v>
          </cell>
          <cell r="D532" t="str">
            <v>Enterprise</v>
          </cell>
        </row>
        <row r="533">
          <cell r="C533" t="str">
            <v>TL</v>
          </cell>
          <cell r="D533" t="str">
            <v>Enterprise</v>
          </cell>
        </row>
        <row r="534">
          <cell r="C534" t="str">
            <v>USD</v>
          </cell>
          <cell r="D534" t="str">
            <v>Enterprise</v>
          </cell>
        </row>
        <row r="535">
          <cell r="C535" t="str">
            <v>USD</v>
          </cell>
          <cell r="D535" t="str">
            <v>Enterprise</v>
          </cell>
        </row>
        <row r="536">
          <cell r="C536" t="str">
            <v>USD</v>
          </cell>
          <cell r="D536" t="str">
            <v>Enterprise</v>
          </cell>
        </row>
        <row r="537">
          <cell r="C537" t="str">
            <v>USD</v>
          </cell>
          <cell r="D537" t="str">
            <v>Enterprise</v>
          </cell>
        </row>
        <row r="538">
          <cell r="C538" t="str">
            <v>USD</v>
          </cell>
          <cell r="D538" t="str">
            <v>Enterprise</v>
          </cell>
        </row>
        <row r="539">
          <cell r="C539" t="str">
            <v>EUR</v>
          </cell>
          <cell r="D539" t="str">
            <v>Enterprise</v>
          </cell>
        </row>
        <row r="540">
          <cell r="C540" t="str">
            <v>Kur Sabitleme</v>
          </cell>
          <cell r="D540" t="str">
            <v>Enterprise</v>
          </cell>
        </row>
        <row r="541">
          <cell r="C541" t="str">
            <v>EVRENSEL BAGIMSIZ DENETIM SMMM A.S</v>
          </cell>
          <cell r="D541" t="str">
            <v>SMB</v>
          </cell>
          <cell r="E541" t="str">
            <v>Diğer</v>
          </cell>
        </row>
        <row r="542">
          <cell r="C542" t="str">
            <v>TL</v>
          </cell>
          <cell r="D542" t="str">
            <v>SMB</v>
          </cell>
        </row>
        <row r="543">
          <cell r="C543" t="str">
            <v>USD</v>
          </cell>
          <cell r="D543" t="str">
            <v>SMB</v>
          </cell>
        </row>
        <row r="544">
          <cell r="C544" t="str">
            <v>USD</v>
          </cell>
          <cell r="D544" t="str">
            <v>SMB</v>
          </cell>
        </row>
        <row r="545">
          <cell r="C545" t="str">
            <v>USD</v>
          </cell>
          <cell r="D545" t="str">
            <v>SMB</v>
          </cell>
        </row>
        <row r="546">
          <cell r="C546" t="str">
            <v>USD</v>
          </cell>
          <cell r="D546" t="str">
            <v>SMB</v>
          </cell>
        </row>
        <row r="547">
          <cell r="C547" t="str">
            <v>EUR</v>
          </cell>
          <cell r="D547" t="str">
            <v>SMB</v>
          </cell>
        </row>
        <row r="548">
          <cell r="C548" t="str">
            <v>Kur Sabitleme</v>
          </cell>
          <cell r="D548" t="str">
            <v>SMB</v>
          </cell>
        </row>
        <row r="549">
          <cell r="C549" t="str">
            <v>FEILO SYLVANIA TR ELEKTRIK ÜRÜNLERI TIC. LTD.STI.</v>
          </cell>
          <cell r="D549" t="str">
            <v>SMB</v>
          </cell>
          <cell r="E549" t="str">
            <v>Üretim</v>
          </cell>
        </row>
        <row r="550">
          <cell r="C550" t="str">
            <v>TL</v>
          </cell>
          <cell r="D550" t="str">
            <v>SMB</v>
          </cell>
        </row>
        <row r="551">
          <cell r="C551" t="str">
            <v>USD</v>
          </cell>
          <cell r="D551" t="str">
            <v>SMB</v>
          </cell>
        </row>
        <row r="552">
          <cell r="C552" t="str">
            <v>EUR</v>
          </cell>
          <cell r="D552" t="str">
            <v>SMB</v>
          </cell>
        </row>
        <row r="553">
          <cell r="C553" t="str">
            <v>Kur Sabitleme</v>
          </cell>
          <cell r="D553" t="str">
            <v>SMB</v>
          </cell>
        </row>
        <row r="554">
          <cell r="C554" t="str">
            <v>FET RESTORAN ISLETMELERI A.S</v>
          </cell>
          <cell r="D554" t="str">
            <v>SMB</v>
          </cell>
          <cell r="E554" t="str">
            <v>Perakende</v>
          </cell>
        </row>
        <row r="555">
          <cell r="C555" t="str">
            <v>TL</v>
          </cell>
          <cell r="D555" t="str">
            <v>SMB</v>
          </cell>
        </row>
        <row r="556">
          <cell r="C556" t="str">
            <v>USD</v>
          </cell>
          <cell r="D556" t="str">
            <v>SMB</v>
          </cell>
        </row>
        <row r="557">
          <cell r="C557" t="str">
            <v>USD</v>
          </cell>
          <cell r="D557" t="str">
            <v>SMB</v>
          </cell>
        </row>
        <row r="558">
          <cell r="C558" t="str">
            <v>EUR</v>
          </cell>
          <cell r="D558" t="str">
            <v>SMB</v>
          </cell>
        </row>
        <row r="559">
          <cell r="C559" t="str">
            <v>Kur Sabitleme</v>
          </cell>
          <cell r="D559" t="str">
            <v>SMB</v>
          </cell>
        </row>
        <row r="560">
          <cell r="C560" t="str">
            <v>FRESENIUS KABI ILAÇ SAN. VE TIC. LTD. STI.</v>
          </cell>
          <cell r="D560" t="str">
            <v>SMB</v>
          </cell>
          <cell r="E560" t="e">
            <v>#N/A</v>
          </cell>
        </row>
        <row r="561">
          <cell r="C561" t="str">
            <v>TL</v>
          </cell>
          <cell r="D561" t="str">
            <v>SMB</v>
          </cell>
        </row>
        <row r="562">
          <cell r="C562" t="str">
            <v>USD</v>
          </cell>
          <cell r="D562" t="str">
            <v>SMB</v>
          </cell>
        </row>
        <row r="563">
          <cell r="C563" t="str">
            <v>EUR</v>
          </cell>
          <cell r="D563" t="str">
            <v>SMB</v>
          </cell>
        </row>
        <row r="564">
          <cell r="C564" t="str">
            <v>Kur Sabitleme</v>
          </cell>
          <cell r="D564" t="str">
            <v>SMB</v>
          </cell>
        </row>
        <row r="565">
          <cell r="C565" t="str">
            <v>GALSAN PLASTIK VE KALIP SAN. A.S</v>
          </cell>
          <cell r="D565" t="str">
            <v>SMB</v>
          </cell>
          <cell r="E565" t="str">
            <v>Üretim</v>
          </cell>
        </row>
        <row r="566">
          <cell r="C566" t="str">
            <v>TL</v>
          </cell>
          <cell r="D566" t="str">
            <v>SMB</v>
          </cell>
        </row>
        <row r="567">
          <cell r="C567" t="str">
            <v>USD</v>
          </cell>
          <cell r="D567" t="str">
            <v>SMB</v>
          </cell>
        </row>
        <row r="568">
          <cell r="C568" t="str">
            <v>USD</v>
          </cell>
          <cell r="D568" t="str">
            <v>SMB</v>
          </cell>
        </row>
        <row r="569">
          <cell r="C569" t="str">
            <v>USD</v>
          </cell>
          <cell r="D569" t="str">
            <v>SMB</v>
          </cell>
        </row>
        <row r="570">
          <cell r="C570" t="str">
            <v>USD</v>
          </cell>
          <cell r="D570" t="str">
            <v>SMB</v>
          </cell>
        </row>
        <row r="571">
          <cell r="C571" t="str">
            <v>USD</v>
          </cell>
          <cell r="D571" t="str">
            <v>SMB</v>
          </cell>
        </row>
        <row r="572">
          <cell r="C572" t="str">
            <v>USD</v>
          </cell>
          <cell r="D572" t="str">
            <v>SMB</v>
          </cell>
        </row>
        <row r="573">
          <cell r="C573" t="str">
            <v>USD</v>
          </cell>
          <cell r="D573" t="str">
            <v>SMB</v>
          </cell>
        </row>
        <row r="574">
          <cell r="C574" t="str">
            <v>EUR</v>
          </cell>
          <cell r="D574" t="str">
            <v>SMB</v>
          </cell>
        </row>
        <row r="575">
          <cell r="C575" t="str">
            <v>Kur Sabitleme</v>
          </cell>
          <cell r="D575" t="str">
            <v>SMB</v>
          </cell>
        </row>
        <row r="576">
          <cell r="C576" t="str">
            <v>GARDENSA PEYZAJ A.Ş.</v>
          </cell>
          <cell r="D576" t="str">
            <v>SMB</v>
          </cell>
          <cell r="E576" t="str">
            <v>Diğer</v>
          </cell>
        </row>
        <row r="577">
          <cell r="C577" t="str">
            <v>TL</v>
          </cell>
          <cell r="D577" t="str">
            <v>SMB</v>
          </cell>
        </row>
        <row r="578">
          <cell r="C578" t="str">
            <v>USD</v>
          </cell>
          <cell r="D578" t="str">
            <v>SMB</v>
          </cell>
        </row>
        <row r="579">
          <cell r="C579" t="str">
            <v>USD</v>
          </cell>
          <cell r="D579" t="str">
            <v>SMB</v>
          </cell>
        </row>
        <row r="580">
          <cell r="C580" t="str">
            <v>USD</v>
          </cell>
          <cell r="D580" t="str">
            <v>SMB</v>
          </cell>
        </row>
        <row r="581">
          <cell r="C581" t="str">
            <v>EUR</v>
          </cell>
          <cell r="D581" t="str">
            <v>SMB</v>
          </cell>
        </row>
        <row r="582">
          <cell r="C582" t="str">
            <v>Kur Sabitleme</v>
          </cell>
          <cell r="D582" t="str">
            <v>SMB</v>
          </cell>
        </row>
        <row r="583">
          <cell r="C583" t="str">
            <v>GENMAK GENEL MAKİNA SANAYİ VE TİCARET LTD.ŞTİ.</v>
          </cell>
          <cell r="D583" t="str">
            <v>SMB</v>
          </cell>
          <cell r="E583" t="e">
            <v>#N/A</v>
          </cell>
        </row>
        <row r="584">
          <cell r="C584" t="str">
            <v>TL</v>
          </cell>
          <cell r="D584" t="str">
            <v>SMB</v>
          </cell>
        </row>
        <row r="585">
          <cell r="C585" t="str">
            <v>USD</v>
          </cell>
          <cell r="D585" t="str">
            <v>SMB</v>
          </cell>
        </row>
        <row r="586">
          <cell r="C586" t="str">
            <v>EUR</v>
          </cell>
          <cell r="D586" t="str">
            <v>SMB</v>
          </cell>
        </row>
        <row r="587">
          <cell r="C587" t="str">
            <v>Kur Sabitleme</v>
          </cell>
          <cell r="D587" t="str">
            <v>SMB</v>
          </cell>
        </row>
        <row r="588">
          <cell r="C588" t="str">
            <v>GRAND STAR TURİZM SAN.A.Ş.</v>
          </cell>
          <cell r="D588" t="str">
            <v>SMB</v>
          </cell>
          <cell r="E588" t="e">
            <v>#N/A</v>
          </cell>
        </row>
        <row r="589">
          <cell r="C589" t="str">
            <v>TL</v>
          </cell>
          <cell r="D589" t="str">
            <v>SMB</v>
          </cell>
        </row>
        <row r="590">
          <cell r="C590" t="str">
            <v>USD</v>
          </cell>
          <cell r="D590" t="str">
            <v>SMB</v>
          </cell>
        </row>
        <row r="591">
          <cell r="C591" t="str">
            <v>USD</v>
          </cell>
          <cell r="D591" t="str">
            <v>SMB</v>
          </cell>
        </row>
        <row r="592">
          <cell r="C592" t="str">
            <v>USD</v>
          </cell>
          <cell r="D592" t="str">
            <v>SMB</v>
          </cell>
        </row>
        <row r="593">
          <cell r="C593" t="str">
            <v>EUR</v>
          </cell>
          <cell r="D593" t="str">
            <v>SMB</v>
          </cell>
        </row>
        <row r="594">
          <cell r="C594" t="str">
            <v>Kur Sabitleme</v>
          </cell>
          <cell r="D594" t="str">
            <v>SMB</v>
          </cell>
        </row>
        <row r="595">
          <cell r="C595" t="str">
            <v>GTC İLETİŞİM DANIŞMANLIK ANONİM ŞİRKETİ</v>
          </cell>
          <cell r="D595" t="str">
            <v>SMB</v>
          </cell>
          <cell r="E595" t="str">
            <v>Diğer</v>
          </cell>
        </row>
        <row r="596">
          <cell r="C596" t="str">
            <v>TL</v>
          </cell>
          <cell r="D596" t="str">
            <v>SMB</v>
          </cell>
        </row>
        <row r="597">
          <cell r="C597" t="str">
            <v>USD</v>
          </cell>
          <cell r="D597" t="str">
            <v>SMB</v>
          </cell>
        </row>
        <row r="598">
          <cell r="C598" t="str">
            <v>USD</v>
          </cell>
          <cell r="D598" t="str">
            <v>SMB</v>
          </cell>
        </row>
        <row r="599">
          <cell r="C599" t="str">
            <v>USD</v>
          </cell>
          <cell r="D599" t="str">
            <v>SMB</v>
          </cell>
        </row>
        <row r="600">
          <cell r="C600" t="str">
            <v>USD</v>
          </cell>
          <cell r="D600" t="str">
            <v>SMB</v>
          </cell>
        </row>
        <row r="601">
          <cell r="C601" t="str">
            <v>USD</v>
          </cell>
          <cell r="D601" t="str">
            <v>SMB</v>
          </cell>
        </row>
        <row r="602">
          <cell r="C602" t="str">
            <v>USD</v>
          </cell>
          <cell r="D602" t="str">
            <v>SMB</v>
          </cell>
        </row>
        <row r="603">
          <cell r="C603" t="str">
            <v>USD</v>
          </cell>
          <cell r="D603" t="str">
            <v>SMB</v>
          </cell>
        </row>
        <row r="604">
          <cell r="C604" t="str">
            <v>EUR</v>
          </cell>
          <cell r="D604" t="str">
            <v>SMB</v>
          </cell>
        </row>
        <row r="605">
          <cell r="C605" t="str">
            <v>Kur Sabitleme</v>
          </cell>
          <cell r="D605" t="str">
            <v>SMB</v>
          </cell>
        </row>
        <row r="606">
          <cell r="C606" t="str">
            <v>Gülman Group - ÜSKÜDAR EĞİTİM HİZMETLERİ VE TİC.A.</v>
          </cell>
          <cell r="D606" t="str">
            <v>SMB</v>
          </cell>
          <cell r="E606" t="str">
            <v>Eğitim</v>
          </cell>
        </row>
        <row r="607">
          <cell r="C607" t="str">
            <v>TL</v>
          </cell>
          <cell r="D607" t="str">
            <v>SMB</v>
          </cell>
        </row>
        <row r="608">
          <cell r="C608" t="str">
            <v>TL</v>
          </cell>
          <cell r="D608" t="str">
            <v>SMB</v>
          </cell>
        </row>
        <row r="609">
          <cell r="C609" t="str">
            <v>TL</v>
          </cell>
          <cell r="D609" t="str">
            <v>SMB</v>
          </cell>
        </row>
        <row r="610">
          <cell r="C610" t="str">
            <v>USD</v>
          </cell>
          <cell r="D610" t="str">
            <v>SMB</v>
          </cell>
        </row>
        <row r="611">
          <cell r="C611" t="str">
            <v>USD</v>
          </cell>
          <cell r="D611" t="str">
            <v>SMB</v>
          </cell>
        </row>
        <row r="612">
          <cell r="C612" t="str">
            <v>EUR</v>
          </cell>
          <cell r="D612" t="str">
            <v>SMB</v>
          </cell>
        </row>
        <row r="613">
          <cell r="C613" t="str">
            <v>Kur Sabitleme</v>
          </cell>
          <cell r="D613" t="str">
            <v>SMB</v>
          </cell>
        </row>
        <row r="614">
          <cell r="C614" t="str">
            <v>GUSTOGIYIM SAN. VE TIC. A.S</v>
          </cell>
          <cell r="D614" t="str">
            <v>SMB</v>
          </cell>
          <cell r="E614" t="str">
            <v>Perakende</v>
          </cell>
        </row>
        <row r="615">
          <cell r="C615" t="str">
            <v>TL</v>
          </cell>
          <cell r="D615" t="str">
            <v>SMB</v>
          </cell>
        </row>
        <row r="616">
          <cell r="C616" t="str">
            <v>TL</v>
          </cell>
          <cell r="D616" t="str">
            <v>SMB</v>
          </cell>
        </row>
        <row r="617">
          <cell r="C617" t="str">
            <v>TL</v>
          </cell>
          <cell r="D617" t="str">
            <v>SMB</v>
          </cell>
        </row>
        <row r="618">
          <cell r="C618" t="str">
            <v>USD</v>
          </cell>
          <cell r="D618" t="str">
            <v>SMB</v>
          </cell>
        </row>
        <row r="619">
          <cell r="C619" t="str">
            <v>USD</v>
          </cell>
          <cell r="D619" t="str">
            <v>SMB</v>
          </cell>
        </row>
        <row r="620">
          <cell r="C620" t="str">
            <v>USD</v>
          </cell>
          <cell r="D620" t="str">
            <v>SMB</v>
          </cell>
        </row>
        <row r="621">
          <cell r="C621" t="str">
            <v>USD</v>
          </cell>
          <cell r="D621" t="str">
            <v>SMB</v>
          </cell>
        </row>
        <row r="622">
          <cell r="C622" t="str">
            <v>USD</v>
          </cell>
          <cell r="D622" t="str">
            <v>SMB</v>
          </cell>
        </row>
        <row r="623">
          <cell r="C623" t="str">
            <v>EUR</v>
          </cell>
          <cell r="D623" t="str">
            <v>SMB</v>
          </cell>
        </row>
        <row r="624">
          <cell r="C624" t="str">
            <v>Kur Sabitleme</v>
          </cell>
          <cell r="D624" t="str">
            <v>SMB</v>
          </cell>
        </row>
        <row r="625">
          <cell r="C625" t="str">
            <v>HARE GROUP ORGANİZASYON TURİZM SANAYİ TİCARET A.Ş</v>
          </cell>
          <cell r="D625" t="str">
            <v>SMB</v>
          </cell>
          <cell r="E625" t="e">
            <v>#N/A</v>
          </cell>
        </row>
        <row r="626">
          <cell r="C626" t="str">
            <v>TL</v>
          </cell>
          <cell r="D626" t="str">
            <v>SMB</v>
          </cell>
        </row>
        <row r="627">
          <cell r="C627" t="str">
            <v>USD</v>
          </cell>
          <cell r="D627" t="str">
            <v>SMB</v>
          </cell>
        </row>
        <row r="628">
          <cell r="C628" t="str">
            <v>EUR</v>
          </cell>
          <cell r="D628" t="str">
            <v>SMB</v>
          </cell>
        </row>
        <row r="629">
          <cell r="C629" t="str">
            <v>Kur Sabitleme</v>
          </cell>
          <cell r="D629" t="str">
            <v>SMB</v>
          </cell>
        </row>
        <row r="630">
          <cell r="C630" t="str">
            <v>HASAT MAGAZACILIK A.S.</v>
          </cell>
          <cell r="D630" t="str">
            <v>SMB</v>
          </cell>
          <cell r="E630" t="e">
            <v>#N/A</v>
          </cell>
        </row>
        <row r="631">
          <cell r="C631" t="str">
            <v>TL</v>
          </cell>
          <cell r="D631" t="str">
            <v>SMB</v>
          </cell>
        </row>
        <row r="632">
          <cell r="C632" t="str">
            <v>USD</v>
          </cell>
          <cell r="D632" t="str">
            <v>SMB</v>
          </cell>
        </row>
        <row r="633">
          <cell r="C633" t="str">
            <v>EUR</v>
          </cell>
          <cell r="D633" t="str">
            <v>SMB</v>
          </cell>
        </row>
        <row r="634">
          <cell r="C634" t="str">
            <v>Kur Sabitleme</v>
          </cell>
          <cell r="D634" t="str">
            <v>SMB</v>
          </cell>
        </row>
        <row r="635">
          <cell r="C635" t="str">
            <v>HDI SIGORTA A.S.</v>
          </cell>
          <cell r="D635" t="str">
            <v>Enterprise</v>
          </cell>
          <cell r="E635" t="e">
            <v>#N/A</v>
          </cell>
        </row>
        <row r="636">
          <cell r="C636" t="str">
            <v>TL</v>
          </cell>
          <cell r="D636" t="str">
            <v>Enterprise</v>
          </cell>
        </row>
        <row r="637">
          <cell r="C637" t="str">
            <v>TL</v>
          </cell>
          <cell r="D637" t="str">
            <v>Enterprise</v>
          </cell>
        </row>
        <row r="638">
          <cell r="C638" t="str">
            <v>USD</v>
          </cell>
          <cell r="D638" t="str">
            <v>Enterprise</v>
          </cell>
        </row>
        <row r="639">
          <cell r="C639" t="str">
            <v>USD</v>
          </cell>
          <cell r="D639" t="str">
            <v>Enterprise</v>
          </cell>
        </row>
        <row r="640">
          <cell r="C640" t="str">
            <v>USD</v>
          </cell>
          <cell r="D640" t="str">
            <v>Enterprise</v>
          </cell>
        </row>
        <row r="641">
          <cell r="C641" t="str">
            <v>EUR</v>
          </cell>
          <cell r="D641" t="str">
            <v>Enterprise</v>
          </cell>
        </row>
        <row r="642">
          <cell r="C642" t="str">
            <v>Kur Sabitleme</v>
          </cell>
          <cell r="D642" t="str">
            <v>Enterprise</v>
          </cell>
        </row>
        <row r="643">
          <cell r="C643" t="str">
            <v>HIT REKLAM TAN. ORG.YAT.EMLAK GIDA TEKS.YAZ.DAN.IT</v>
          </cell>
          <cell r="D643" t="str">
            <v>SMB</v>
          </cell>
          <cell r="E643" t="str">
            <v>Diğer</v>
          </cell>
        </row>
        <row r="644">
          <cell r="C644" t="str">
            <v>TL</v>
          </cell>
          <cell r="D644" t="str">
            <v>SMB</v>
          </cell>
        </row>
        <row r="645">
          <cell r="C645" t="str">
            <v>USD</v>
          </cell>
          <cell r="D645" t="str">
            <v>SMB</v>
          </cell>
        </row>
        <row r="646">
          <cell r="C646" t="str">
            <v>USD</v>
          </cell>
          <cell r="D646" t="str">
            <v>SMB</v>
          </cell>
        </row>
        <row r="647">
          <cell r="C647" t="str">
            <v>USD</v>
          </cell>
          <cell r="D647" t="str">
            <v>SMB</v>
          </cell>
        </row>
        <row r="648">
          <cell r="C648" t="str">
            <v>EUR</v>
          </cell>
          <cell r="D648" t="str">
            <v>SMB</v>
          </cell>
        </row>
        <row r="649">
          <cell r="C649" t="str">
            <v>Kur Sabitleme</v>
          </cell>
          <cell r="D649" t="str">
            <v>SMB</v>
          </cell>
        </row>
        <row r="650">
          <cell r="C650" t="str">
            <v>HM IÇ VE DIS TICARET REKLAM. ORG.TUR. A.S.</v>
          </cell>
          <cell r="D650" t="str">
            <v>SMB</v>
          </cell>
          <cell r="E650" t="str">
            <v>Digital</v>
          </cell>
        </row>
        <row r="651">
          <cell r="C651" t="str">
            <v>TL</v>
          </cell>
          <cell r="D651" t="str">
            <v>SMB</v>
          </cell>
        </row>
        <row r="652">
          <cell r="C652" t="str">
            <v>USD</v>
          </cell>
          <cell r="D652" t="str">
            <v>SMB</v>
          </cell>
        </row>
        <row r="653">
          <cell r="C653" t="str">
            <v>USD</v>
          </cell>
          <cell r="D653" t="str">
            <v>SMB</v>
          </cell>
        </row>
        <row r="654">
          <cell r="C654" t="str">
            <v>USD</v>
          </cell>
          <cell r="D654" t="str">
            <v>SMB</v>
          </cell>
        </row>
        <row r="655">
          <cell r="C655" t="str">
            <v>USD</v>
          </cell>
          <cell r="D655" t="str">
            <v>SMB</v>
          </cell>
        </row>
        <row r="656">
          <cell r="C656" t="str">
            <v>USD</v>
          </cell>
          <cell r="D656" t="str">
            <v>SMB</v>
          </cell>
        </row>
        <row r="657">
          <cell r="C657" t="str">
            <v>USD</v>
          </cell>
          <cell r="D657" t="str">
            <v>SMB</v>
          </cell>
        </row>
        <row r="658">
          <cell r="C658" t="str">
            <v>EUR</v>
          </cell>
          <cell r="D658" t="str">
            <v>SMB</v>
          </cell>
        </row>
        <row r="659">
          <cell r="C659" t="str">
            <v>Kur Sabitleme</v>
          </cell>
          <cell r="D659" t="str">
            <v>SMB</v>
          </cell>
        </row>
        <row r="660">
          <cell r="C660" t="str">
            <v>İBRAHİM POLAT HOLDİNG</v>
          </cell>
          <cell r="D660" t="str">
            <v>SMB</v>
          </cell>
          <cell r="E660" t="str">
            <v>Genel</v>
          </cell>
        </row>
        <row r="661">
          <cell r="C661" t="str">
            <v>TL</v>
          </cell>
          <cell r="D661" t="str">
            <v>SMB</v>
          </cell>
        </row>
        <row r="662">
          <cell r="C662" t="str">
            <v>USD</v>
          </cell>
          <cell r="D662" t="str">
            <v>SMB</v>
          </cell>
        </row>
        <row r="663">
          <cell r="C663" t="str">
            <v>EUR</v>
          </cell>
          <cell r="D663" t="str">
            <v>SMB</v>
          </cell>
        </row>
        <row r="664">
          <cell r="C664" t="str">
            <v>Kur Sabitleme</v>
          </cell>
          <cell r="D664" t="str">
            <v>SMB</v>
          </cell>
        </row>
        <row r="665">
          <cell r="C665" t="str">
            <v>İBSA ILAÇ SAN VE TIC.LTD STI</v>
          </cell>
          <cell r="D665" t="str">
            <v>SMB</v>
          </cell>
          <cell r="E665" t="str">
            <v>Sağlık</v>
          </cell>
        </row>
        <row r="666">
          <cell r="C666" t="str">
            <v>TL</v>
          </cell>
          <cell r="D666" t="str">
            <v>SMB</v>
          </cell>
        </row>
        <row r="667">
          <cell r="C667" t="str">
            <v>USD</v>
          </cell>
          <cell r="D667" t="str">
            <v>SMB</v>
          </cell>
        </row>
        <row r="668">
          <cell r="C668" t="str">
            <v>USD</v>
          </cell>
          <cell r="D668" t="str">
            <v>SMB</v>
          </cell>
        </row>
        <row r="669">
          <cell r="C669" t="str">
            <v>USD</v>
          </cell>
          <cell r="D669" t="str">
            <v>SMB</v>
          </cell>
        </row>
        <row r="670">
          <cell r="C670" t="str">
            <v>EUR</v>
          </cell>
          <cell r="D670" t="str">
            <v>SMB</v>
          </cell>
        </row>
        <row r="671">
          <cell r="C671" t="str">
            <v>Kur Sabitleme</v>
          </cell>
          <cell r="D671" t="str">
            <v>SMB</v>
          </cell>
        </row>
        <row r="672">
          <cell r="C672" t="str">
            <v>IDEASOFT YAZILIM SAN. VE TIC. A.S.</v>
          </cell>
          <cell r="D672" t="str">
            <v>SMB</v>
          </cell>
          <cell r="E672" t="str">
            <v>Teknoloji</v>
          </cell>
        </row>
        <row r="673">
          <cell r="C673" t="str">
            <v>TL</v>
          </cell>
          <cell r="D673" t="str">
            <v>SMB</v>
          </cell>
        </row>
        <row r="674">
          <cell r="C674" t="str">
            <v>USD</v>
          </cell>
          <cell r="D674" t="str">
            <v>SMB</v>
          </cell>
        </row>
        <row r="675">
          <cell r="C675" t="str">
            <v>USD</v>
          </cell>
          <cell r="D675" t="str">
            <v>SMB</v>
          </cell>
        </row>
        <row r="676">
          <cell r="C676" t="str">
            <v>USD</v>
          </cell>
          <cell r="D676" t="str">
            <v>SMB</v>
          </cell>
        </row>
        <row r="677">
          <cell r="C677" t="str">
            <v>USD</v>
          </cell>
          <cell r="D677" t="str">
            <v>SMB</v>
          </cell>
        </row>
        <row r="678">
          <cell r="C678" t="str">
            <v>USD</v>
          </cell>
          <cell r="D678" t="str">
            <v>SMB</v>
          </cell>
        </row>
        <row r="679">
          <cell r="C679" t="str">
            <v>EUR</v>
          </cell>
          <cell r="D679" t="str">
            <v>SMB</v>
          </cell>
        </row>
        <row r="680">
          <cell r="C680" t="str">
            <v>Kur Sabitleme</v>
          </cell>
          <cell r="D680" t="str">
            <v>SMB</v>
          </cell>
        </row>
        <row r="681">
          <cell r="C681" t="str">
            <v>İKİ MİMARİ PROJE VE DANIŞMANLIK A.Ş.</v>
          </cell>
          <cell r="D681" t="str">
            <v>SMB</v>
          </cell>
          <cell r="E681" t="e">
            <v>#N/A</v>
          </cell>
        </row>
        <row r="682">
          <cell r="C682" t="str">
            <v>TL</v>
          </cell>
          <cell r="D682" t="str">
            <v>SMB</v>
          </cell>
        </row>
        <row r="683">
          <cell r="C683" t="str">
            <v>USD</v>
          </cell>
          <cell r="D683" t="str">
            <v>SMB</v>
          </cell>
        </row>
        <row r="684">
          <cell r="C684" t="str">
            <v>EUR</v>
          </cell>
          <cell r="D684" t="str">
            <v>SMB</v>
          </cell>
        </row>
        <row r="685">
          <cell r="C685" t="str">
            <v>Kur Sabitleme</v>
          </cell>
          <cell r="D685" t="str">
            <v>SMB</v>
          </cell>
        </row>
        <row r="686">
          <cell r="C686" t="str">
            <v>İLERİ MEKANİK MAKINA KALIP IML.SAN. VETIC. A.S.</v>
          </cell>
          <cell r="D686" t="str">
            <v>SMB</v>
          </cell>
          <cell r="E686" t="e">
            <v>#N/A</v>
          </cell>
        </row>
        <row r="687">
          <cell r="C687" t="str">
            <v>TL</v>
          </cell>
          <cell r="D687" t="str">
            <v>SMB</v>
          </cell>
        </row>
        <row r="688">
          <cell r="C688" t="str">
            <v>TL</v>
          </cell>
          <cell r="D688" t="str">
            <v>SMB</v>
          </cell>
        </row>
        <row r="689">
          <cell r="C689" t="str">
            <v>USD</v>
          </cell>
          <cell r="D689" t="str">
            <v>SMB</v>
          </cell>
        </row>
        <row r="690">
          <cell r="C690" t="str">
            <v>USD</v>
          </cell>
          <cell r="D690" t="str">
            <v>SMB</v>
          </cell>
        </row>
        <row r="691">
          <cell r="C691" t="str">
            <v>USD</v>
          </cell>
          <cell r="D691" t="str">
            <v>SMB</v>
          </cell>
        </row>
        <row r="692">
          <cell r="C692" t="str">
            <v>EUR</v>
          </cell>
          <cell r="D692" t="str">
            <v>SMB</v>
          </cell>
        </row>
        <row r="693">
          <cell r="C693" t="str">
            <v>Kur Sabitleme</v>
          </cell>
          <cell r="D693" t="str">
            <v>SMB</v>
          </cell>
        </row>
        <row r="694">
          <cell r="C694" t="str">
            <v>TURASSİST SAĞLIK DESTEK HİZMETLERI ANONİM ŞİRKETİ</v>
          </cell>
          <cell r="D694" t="str">
            <v>SMB</v>
          </cell>
          <cell r="E694" t="str">
            <v>Genel</v>
          </cell>
        </row>
        <row r="695">
          <cell r="C695" t="str">
            <v>TL</v>
          </cell>
          <cell r="D695" t="str">
            <v>SMB</v>
          </cell>
        </row>
        <row r="696">
          <cell r="C696" t="str">
            <v>TL</v>
          </cell>
          <cell r="D696" t="str">
            <v>SMB</v>
          </cell>
        </row>
        <row r="697">
          <cell r="C697" t="str">
            <v>TL</v>
          </cell>
          <cell r="D697" t="str">
            <v>SMB</v>
          </cell>
        </row>
        <row r="698">
          <cell r="C698" t="str">
            <v>TL</v>
          </cell>
          <cell r="D698" t="str">
            <v>SMB</v>
          </cell>
        </row>
        <row r="699">
          <cell r="C699" t="str">
            <v>TL</v>
          </cell>
          <cell r="D699" t="str">
            <v>SMB</v>
          </cell>
        </row>
        <row r="700">
          <cell r="C700" t="str">
            <v>USD</v>
          </cell>
          <cell r="D700" t="str">
            <v>SMB</v>
          </cell>
        </row>
        <row r="701">
          <cell r="C701" t="str">
            <v>USD</v>
          </cell>
          <cell r="D701" t="str">
            <v>SMB</v>
          </cell>
        </row>
        <row r="702">
          <cell r="C702" t="str">
            <v>USD</v>
          </cell>
          <cell r="D702" t="str">
            <v>SMB</v>
          </cell>
        </row>
        <row r="703">
          <cell r="C703" t="str">
            <v>USD</v>
          </cell>
          <cell r="D703" t="str">
            <v>SMB</v>
          </cell>
        </row>
        <row r="704">
          <cell r="C704" t="str">
            <v>USD</v>
          </cell>
          <cell r="D704" t="str">
            <v>SMB</v>
          </cell>
        </row>
        <row r="705">
          <cell r="C705" t="str">
            <v>USD</v>
          </cell>
          <cell r="D705" t="str">
            <v>SMB</v>
          </cell>
        </row>
        <row r="706">
          <cell r="C706" t="str">
            <v>EUR</v>
          </cell>
          <cell r="D706" t="str">
            <v>SMB</v>
          </cell>
        </row>
        <row r="707">
          <cell r="C707" t="str">
            <v>Kur Sabitleme</v>
          </cell>
          <cell r="D707" t="str">
            <v>SMB</v>
          </cell>
        </row>
        <row r="708">
          <cell r="C708" t="str">
            <v>INCOMET INSAAT SAN. VE TIC. LTD.STI.</v>
          </cell>
          <cell r="D708" t="str">
            <v>SMB</v>
          </cell>
          <cell r="E708" t="str">
            <v>Diğer</v>
          </cell>
        </row>
        <row r="709">
          <cell r="C709" t="str">
            <v>TL</v>
          </cell>
          <cell r="D709" t="str">
            <v>SMB</v>
          </cell>
        </row>
        <row r="710">
          <cell r="C710" t="str">
            <v>USD</v>
          </cell>
          <cell r="D710" t="str">
            <v>SMB</v>
          </cell>
        </row>
        <row r="711">
          <cell r="C711" t="str">
            <v>USD</v>
          </cell>
          <cell r="D711" t="str">
            <v>SMB</v>
          </cell>
        </row>
        <row r="712">
          <cell r="C712" t="str">
            <v>EUR</v>
          </cell>
          <cell r="D712" t="str">
            <v>SMB</v>
          </cell>
        </row>
        <row r="713">
          <cell r="C713" t="str">
            <v>Kur Sabitleme</v>
          </cell>
          <cell r="D713" t="str">
            <v>SMB</v>
          </cell>
        </row>
        <row r="714">
          <cell r="C714" t="str">
            <v>Türkiye Menkul Kıymetleştirme Şirketi (TMKS)</v>
          </cell>
          <cell r="D714" t="str">
            <v>SMB</v>
          </cell>
          <cell r="E714" t="str">
            <v>Finans</v>
          </cell>
        </row>
        <row r="715">
          <cell r="C715" t="str">
            <v>TL</v>
          </cell>
          <cell r="D715" t="str">
            <v>SMB</v>
          </cell>
        </row>
        <row r="716">
          <cell r="C716" t="str">
            <v>TL</v>
          </cell>
          <cell r="D716" t="str">
            <v>SMB</v>
          </cell>
        </row>
        <row r="717">
          <cell r="C717" t="str">
            <v>TL</v>
          </cell>
          <cell r="D717" t="str">
            <v>SMB</v>
          </cell>
        </row>
        <row r="718">
          <cell r="C718" t="str">
            <v>TL</v>
          </cell>
          <cell r="D718" t="str">
            <v>SMB</v>
          </cell>
        </row>
        <row r="719">
          <cell r="C719" t="str">
            <v>USD</v>
          </cell>
          <cell r="D719" t="str">
            <v>SMB</v>
          </cell>
        </row>
        <row r="720">
          <cell r="C720" t="str">
            <v>USD</v>
          </cell>
          <cell r="D720" t="str">
            <v>SMB</v>
          </cell>
        </row>
        <row r="721">
          <cell r="C721" t="str">
            <v>USD</v>
          </cell>
          <cell r="D721" t="str">
            <v>SMB</v>
          </cell>
        </row>
        <row r="722">
          <cell r="C722" t="str">
            <v>USD</v>
          </cell>
          <cell r="D722" t="str">
            <v>SMB</v>
          </cell>
        </row>
        <row r="723">
          <cell r="C723" t="str">
            <v>USD</v>
          </cell>
          <cell r="D723" t="str">
            <v>SMB</v>
          </cell>
        </row>
        <row r="724">
          <cell r="C724" t="str">
            <v>USD</v>
          </cell>
          <cell r="D724" t="str">
            <v>SMB</v>
          </cell>
        </row>
        <row r="725">
          <cell r="C725" t="str">
            <v>USD</v>
          </cell>
          <cell r="D725" t="str">
            <v>SMB</v>
          </cell>
        </row>
        <row r="726">
          <cell r="C726" t="str">
            <v>USD</v>
          </cell>
          <cell r="D726" t="str">
            <v>SMB</v>
          </cell>
        </row>
        <row r="727">
          <cell r="C727" t="str">
            <v>USD</v>
          </cell>
          <cell r="D727" t="str">
            <v>SMB</v>
          </cell>
        </row>
        <row r="728">
          <cell r="C728" t="str">
            <v>USD</v>
          </cell>
          <cell r="D728" t="str">
            <v>SMB</v>
          </cell>
        </row>
        <row r="729">
          <cell r="C729" t="str">
            <v>EUR</v>
          </cell>
          <cell r="D729" t="str">
            <v>SMB</v>
          </cell>
        </row>
        <row r="730">
          <cell r="C730" t="str">
            <v>Kur Sabitleme</v>
          </cell>
          <cell r="D730" t="str">
            <v>SMB</v>
          </cell>
        </row>
        <row r="731">
          <cell r="C731" t="str">
            <v>INTER MEDYA TİCARET LTD.ŞTİ.</v>
          </cell>
          <cell r="D731" t="str">
            <v>SMB</v>
          </cell>
          <cell r="E731" t="e">
            <v>#N/A</v>
          </cell>
        </row>
        <row r="732">
          <cell r="C732" t="str">
            <v>TL</v>
          </cell>
          <cell r="D732" t="str">
            <v>SMB</v>
          </cell>
        </row>
        <row r="733">
          <cell r="C733" t="str">
            <v>USD</v>
          </cell>
          <cell r="D733" t="str">
            <v>SMB</v>
          </cell>
        </row>
        <row r="734">
          <cell r="C734" t="str">
            <v>EUR</v>
          </cell>
          <cell r="D734" t="str">
            <v>SMB</v>
          </cell>
        </row>
        <row r="735">
          <cell r="C735" t="str">
            <v>Kur Sabitleme</v>
          </cell>
          <cell r="D735" t="str">
            <v>SMB</v>
          </cell>
        </row>
        <row r="736">
          <cell r="C736" t="str">
            <v>INVEON BILGI TEKNOLOJILERI DANISMANLIK VE TIC. A.S</v>
          </cell>
          <cell r="D736" t="str">
            <v>Enterprise</v>
          </cell>
          <cell r="E736" t="str">
            <v>Digital</v>
          </cell>
        </row>
        <row r="737">
          <cell r="C737" t="str">
            <v>TL</v>
          </cell>
          <cell r="D737" t="str">
            <v>Enterprise</v>
          </cell>
        </row>
        <row r="738">
          <cell r="C738" t="str">
            <v>TL</v>
          </cell>
          <cell r="D738" t="str">
            <v>Enterprise</v>
          </cell>
        </row>
        <row r="739">
          <cell r="C739" t="str">
            <v>USD</v>
          </cell>
          <cell r="D739" t="str">
            <v>Enterprise</v>
          </cell>
        </row>
        <row r="740">
          <cell r="C740" t="str">
            <v>USD</v>
          </cell>
          <cell r="D740" t="str">
            <v>Enterprise</v>
          </cell>
        </row>
        <row r="741">
          <cell r="C741" t="str">
            <v>USD</v>
          </cell>
          <cell r="D741" t="str">
            <v>Enterprise</v>
          </cell>
        </row>
        <row r="742">
          <cell r="C742" t="str">
            <v>EUR</v>
          </cell>
          <cell r="D742" t="str">
            <v>Enterprise</v>
          </cell>
        </row>
        <row r="743">
          <cell r="C743" t="str">
            <v>Kur Sabitleme</v>
          </cell>
          <cell r="D743" t="str">
            <v>Enterprise</v>
          </cell>
        </row>
        <row r="744">
          <cell r="C744" t="str">
            <v>İSTANBUL GÖMLEK GIYIM SAN.VE TIC.A.S</v>
          </cell>
          <cell r="D744" t="str">
            <v>SMB</v>
          </cell>
          <cell r="E744" t="str">
            <v>Diğer</v>
          </cell>
        </row>
        <row r="745">
          <cell r="C745" t="str">
            <v>TL</v>
          </cell>
          <cell r="D745" t="str">
            <v>SMB</v>
          </cell>
        </row>
        <row r="746">
          <cell r="C746" t="str">
            <v>USD</v>
          </cell>
          <cell r="D746" t="str">
            <v>SMB</v>
          </cell>
        </row>
        <row r="747">
          <cell r="C747" t="str">
            <v>USD</v>
          </cell>
          <cell r="D747" t="str">
            <v>SMB</v>
          </cell>
        </row>
        <row r="748">
          <cell r="C748" t="str">
            <v>USD</v>
          </cell>
          <cell r="D748" t="str">
            <v>SMB</v>
          </cell>
        </row>
        <row r="749">
          <cell r="C749" t="str">
            <v>USD</v>
          </cell>
          <cell r="D749" t="str">
            <v>SMB</v>
          </cell>
        </row>
        <row r="750">
          <cell r="C750" t="str">
            <v>USD</v>
          </cell>
          <cell r="D750" t="str">
            <v>SMB</v>
          </cell>
        </row>
        <row r="751">
          <cell r="C751" t="str">
            <v>USD</v>
          </cell>
          <cell r="D751" t="str">
            <v>SMB</v>
          </cell>
        </row>
        <row r="752">
          <cell r="C752" t="str">
            <v>USD</v>
          </cell>
          <cell r="D752" t="str">
            <v>SMB</v>
          </cell>
        </row>
        <row r="753">
          <cell r="C753" t="str">
            <v>EUR</v>
          </cell>
          <cell r="D753" t="str">
            <v>SMB</v>
          </cell>
        </row>
        <row r="754">
          <cell r="C754" t="str">
            <v>Kur Sabitleme</v>
          </cell>
          <cell r="D754" t="str">
            <v>SMB</v>
          </cell>
        </row>
        <row r="755">
          <cell r="C755" t="str">
            <v>İSTANBUL KÜLTÜR ÜNIVERSITESI (İKÜ)</v>
          </cell>
          <cell r="D755" t="str">
            <v>Enterprise</v>
          </cell>
          <cell r="E755" t="str">
            <v>Eğitim</v>
          </cell>
        </row>
        <row r="756">
          <cell r="C756" t="str">
            <v>TL</v>
          </cell>
          <cell r="D756" t="str">
            <v>Enterprise</v>
          </cell>
        </row>
        <row r="757">
          <cell r="C757" t="str">
            <v>USD</v>
          </cell>
          <cell r="D757" t="str">
            <v>Enterprise</v>
          </cell>
        </row>
        <row r="758">
          <cell r="C758" t="str">
            <v>USD</v>
          </cell>
          <cell r="D758" t="str">
            <v>Enterprise</v>
          </cell>
        </row>
        <row r="759">
          <cell r="C759" t="str">
            <v>USD</v>
          </cell>
          <cell r="D759" t="str">
            <v>Enterprise</v>
          </cell>
        </row>
        <row r="760">
          <cell r="C760" t="str">
            <v>USD</v>
          </cell>
          <cell r="D760" t="str">
            <v>Enterprise</v>
          </cell>
        </row>
        <row r="761">
          <cell r="C761" t="str">
            <v>EUR</v>
          </cell>
          <cell r="D761" t="str">
            <v>Enterprise</v>
          </cell>
        </row>
        <row r="762">
          <cell r="C762" t="str">
            <v>Kur Sabitleme</v>
          </cell>
          <cell r="D762" t="str">
            <v>Enterprise</v>
          </cell>
        </row>
        <row r="763">
          <cell r="C763" t="str">
            <v>ISTANBUL REHBERLER ODASI</v>
          </cell>
          <cell r="D763" t="str">
            <v>SMB</v>
          </cell>
          <cell r="E763" t="str">
            <v>Genel</v>
          </cell>
        </row>
        <row r="764">
          <cell r="C764" t="str">
            <v>TL</v>
          </cell>
          <cell r="D764" t="str">
            <v>SMB</v>
          </cell>
        </row>
        <row r="765">
          <cell r="C765" t="str">
            <v>USD</v>
          </cell>
          <cell r="D765" t="str">
            <v>SMB</v>
          </cell>
        </row>
        <row r="766">
          <cell r="C766" t="str">
            <v>EUR</v>
          </cell>
          <cell r="D766" t="str">
            <v>SMB</v>
          </cell>
        </row>
        <row r="767">
          <cell r="C767" t="str">
            <v>Kur Sabitleme</v>
          </cell>
          <cell r="D767" t="str">
            <v>SMB</v>
          </cell>
        </row>
        <row r="768">
          <cell r="C768" t="str">
            <v>İSTANBUL TURİZM OTELCİLİK AŞ (THE MARMARA HOTELS)</v>
          </cell>
          <cell r="D768" t="str">
            <v>SMB</v>
          </cell>
          <cell r="E768" t="str">
            <v>Genel</v>
          </cell>
        </row>
        <row r="769">
          <cell r="C769" t="str">
            <v>TL</v>
          </cell>
          <cell r="D769" t="str">
            <v>SMB</v>
          </cell>
        </row>
        <row r="770">
          <cell r="C770" t="str">
            <v>TL</v>
          </cell>
          <cell r="D770" t="str">
            <v>SMB</v>
          </cell>
        </row>
        <row r="771">
          <cell r="C771" t="str">
            <v>TL</v>
          </cell>
          <cell r="D771" t="str">
            <v>SMB</v>
          </cell>
        </row>
        <row r="772">
          <cell r="C772" t="str">
            <v>TL</v>
          </cell>
          <cell r="D772" t="str">
            <v>SMB</v>
          </cell>
        </row>
        <row r="773">
          <cell r="C773" t="str">
            <v>TL</v>
          </cell>
          <cell r="D773" t="str">
            <v>SMB</v>
          </cell>
        </row>
        <row r="774">
          <cell r="C774" t="str">
            <v>TL</v>
          </cell>
          <cell r="D774" t="str">
            <v>SMB</v>
          </cell>
        </row>
        <row r="775">
          <cell r="C775" t="str">
            <v>TL</v>
          </cell>
          <cell r="D775" t="str">
            <v>SMB</v>
          </cell>
        </row>
        <row r="776">
          <cell r="C776" t="str">
            <v>TL</v>
          </cell>
          <cell r="D776" t="str">
            <v>SMB</v>
          </cell>
        </row>
        <row r="777">
          <cell r="C777" t="str">
            <v>TL</v>
          </cell>
          <cell r="D777" t="str">
            <v>SMB</v>
          </cell>
        </row>
        <row r="778">
          <cell r="C778" t="str">
            <v>TL</v>
          </cell>
          <cell r="D778" t="str">
            <v>SMB</v>
          </cell>
        </row>
        <row r="779">
          <cell r="C779" t="str">
            <v>TL</v>
          </cell>
          <cell r="D779" t="str">
            <v>SMB</v>
          </cell>
        </row>
        <row r="780">
          <cell r="C780" t="str">
            <v>TL</v>
          </cell>
          <cell r="D780" t="str">
            <v>SMB</v>
          </cell>
        </row>
        <row r="781">
          <cell r="C781" t="str">
            <v>TL</v>
          </cell>
          <cell r="D781" t="str">
            <v>SMB</v>
          </cell>
        </row>
        <row r="782">
          <cell r="C782" t="str">
            <v>TL</v>
          </cell>
          <cell r="D782" t="str">
            <v>SMB</v>
          </cell>
        </row>
        <row r="783">
          <cell r="C783" t="str">
            <v>USD</v>
          </cell>
          <cell r="D783" t="str">
            <v>SMB</v>
          </cell>
        </row>
        <row r="784">
          <cell r="C784" t="str">
            <v>EUR</v>
          </cell>
          <cell r="D784" t="str">
            <v>SMB</v>
          </cell>
        </row>
        <row r="785">
          <cell r="C785" t="str">
            <v>Kur Sabitleme</v>
          </cell>
          <cell r="D785" t="str">
            <v>SMB</v>
          </cell>
        </row>
        <row r="786">
          <cell r="C786" t="str">
            <v>İSTEM OKULLARI LTD.ŞTİ.</v>
          </cell>
          <cell r="D786" t="str">
            <v>SMB</v>
          </cell>
          <cell r="E786" t="e">
            <v>#N/A</v>
          </cell>
        </row>
        <row r="787">
          <cell r="C787" t="str">
            <v>TL</v>
          </cell>
          <cell r="D787" t="str">
            <v>SMB</v>
          </cell>
        </row>
        <row r="788">
          <cell r="C788" t="str">
            <v>USD</v>
          </cell>
          <cell r="D788" t="str">
            <v>SMB</v>
          </cell>
        </row>
        <row r="789">
          <cell r="C789" t="str">
            <v>EUR</v>
          </cell>
          <cell r="D789" t="str">
            <v>SMB</v>
          </cell>
        </row>
        <row r="790">
          <cell r="C790" t="str">
            <v>Kur Sabitleme</v>
          </cell>
          <cell r="D790" t="str">
            <v>SMB</v>
          </cell>
        </row>
        <row r="791">
          <cell r="C791" t="str">
            <v>ITO Bilgiyi Ticarilestirme ve Arastirma Vakfi Ikti</v>
          </cell>
          <cell r="D791" t="str">
            <v>SMB</v>
          </cell>
          <cell r="E791" t="e">
            <v>#N/A</v>
          </cell>
        </row>
        <row r="792">
          <cell r="C792" t="str">
            <v>TL</v>
          </cell>
          <cell r="D792" t="str">
            <v>SMB</v>
          </cell>
        </row>
        <row r="793">
          <cell r="C793" t="str">
            <v>USD</v>
          </cell>
          <cell r="D793" t="str">
            <v>SMB</v>
          </cell>
        </row>
        <row r="794">
          <cell r="C794" t="str">
            <v>EUR</v>
          </cell>
          <cell r="D794" t="str">
            <v>SMB</v>
          </cell>
        </row>
        <row r="795">
          <cell r="C795" t="str">
            <v>Kur Sabitleme</v>
          </cell>
          <cell r="D795" t="str">
            <v>SMB</v>
          </cell>
        </row>
        <row r="796">
          <cell r="C796" t="str">
            <v>KALANKAN MAKINA MOBILYA SAN.TIC.LTD.STI</v>
          </cell>
          <cell r="D796" t="str">
            <v>SMB</v>
          </cell>
          <cell r="E796" t="str">
            <v>Üretim</v>
          </cell>
        </row>
        <row r="797">
          <cell r="C797" t="str">
            <v>TL</v>
          </cell>
          <cell r="D797" t="str">
            <v>SMB</v>
          </cell>
        </row>
        <row r="798">
          <cell r="C798" t="str">
            <v>USD</v>
          </cell>
          <cell r="D798" t="str">
            <v>SMB</v>
          </cell>
        </row>
        <row r="799">
          <cell r="C799" t="str">
            <v>USD</v>
          </cell>
          <cell r="D799" t="str">
            <v>SMB</v>
          </cell>
        </row>
        <row r="800">
          <cell r="C800" t="str">
            <v>USD</v>
          </cell>
          <cell r="D800" t="str">
            <v>SMB</v>
          </cell>
        </row>
        <row r="801">
          <cell r="C801" t="str">
            <v>EUR</v>
          </cell>
          <cell r="D801" t="str">
            <v>SMB</v>
          </cell>
        </row>
        <row r="802">
          <cell r="C802" t="str">
            <v>Kur Sabitleme</v>
          </cell>
          <cell r="D802" t="str">
            <v>SMB</v>
          </cell>
        </row>
        <row r="803">
          <cell r="C803" t="str">
            <v>KALİTEST BELGELENDIRME VE EGITIM HIZMETLERI LTD.ST</v>
          </cell>
          <cell r="D803" t="str">
            <v>SMB</v>
          </cell>
          <cell r="E803" t="str">
            <v>Genel</v>
          </cell>
        </row>
        <row r="804">
          <cell r="C804" t="str">
            <v>TL</v>
          </cell>
          <cell r="D804" t="str">
            <v>SMB</v>
          </cell>
        </row>
        <row r="805">
          <cell r="C805" t="str">
            <v>USD</v>
          </cell>
          <cell r="D805" t="str">
            <v>SMB</v>
          </cell>
        </row>
        <row r="806">
          <cell r="C806" t="str">
            <v>EUR</v>
          </cell>
          <cell r="D806" t="str">
            <v>SMB</v>
          </cell>
        </row>
        <row r="807">
          <cell r="C807" t="str">
            <v>Kur Sabitleme</v>
          </cell>
          <cell r="D807" t="str">
            <v>SMB</v>
          </cell>
        </row>
        <row r="808">
          <cell r="C808" t="str">
            <v>KARACA ZÜCCACIYE TICARET SANAYI A.S.</v>
          </cell>
          <cell r="D808" t="str">
            <v>Enterprise</v>
          </cell>
          <cell r="E808" t="e">
            <v>#N/A</v>
          </cell>
        </row>
        <row r="809">
          <cell r="C809" t="str">
            <v>TL</v>
          </cell>
          <cell r="D809" t="str">
            <v>Enterprise</v>
          </cell>
        </row>
        <row r="810">
          <cell r="C810" t="str">
            <v>USD</v>
          </cell>
          <cell r="D810" t="str">
            <v>Enterprise</v>
          </cell>
        </row>
        <row r="811">
          <cell r="C811" t="str">
            <v>USD</v>
          </cell>
          <cell r="D811" t="str">
            <v>Enterprise</v>
          </cell>
        </row>
        <row r="812">
          <cell r="C812" t="str">
            <v>EUR</v>
          </cell>
          <cell r="D812" t="str">
            <v>Enterprise</v>
          </cell>
        </row>
        <row r="813">
          <cell r="C813" t="str">
            <v>Kur Sabitleme</v>
          </cell>
          <cell r="D813" t="str">
            <v>Enterprise</v>
          </cell>
        </row>
        <row r="814">
          <cell r="C814" t="str">
            <v>MAYA HOLDING - KARTAL IST ALIŞVERİŞ MERKEZİ VE İŞLETMESİ A.Ş.</v>
          </cell>
          <cell r="D814" t="str">
            <v>SMB</v>
          </cell>
          <cell r="E814" t="str">
            <v>Genel</v>
          </cell>
        </row>
        <row r="815">
          <cell r="C815" t="str">
            <v>TL</v>
          </cell>
          <cell r="D815" t="str">
            <v>SMB</v>
          </cell>
        </row>
        <row r="816">
          <cell r="C816" t="str">
            <v>USD</v>
          </cell>
          <cell r="D816" t="str">
            <v>SMB</v>
          </cell>
        </row>
        <row r="817">
          <cell r="C817" t="str">
            <v>EUR</v>
          </cell>
          <cell r="D817" t="str">
            <v>SMB</v>
          </cell>
        </row>
        <row r="818">
          <cell r="C818" t="str">
            <v>Kur Sabitleme</v>
          </cell>
          <cell r="D818" t="str">
            <v>SMB</v>
          </cell>
        </row>
        <row r="819">
          <cell r="C819" t="str">
            <v>KENTPARK ALISVERIS MERKEZI VE ILETMECILIK AS.</v>
          </cell>
          <cell r="D819" t="str">
            <v>SMB</v>
          </cell>
          <cell r="E819" t="e">
            <v>#N/A</v>
          </cell>
        </row>
        <row r="820">
          <cell r="C820" t="str">
            <v>TL</v>
          </cell>
          <cell r="D820" t="str">
            <v>SMB</v>
          </cell>
        </row>
        <row r="821">
          <cell r="C821" t="str">
            <v>USD</v>
          </cell>
          <cell r="D821" t="str">
            <v>SMB</v>
          </cell>
        </row>
        <row r="822">
          <cell r="C822" t="str">
            <v>EUR</v>
          </cell>
          <cell r="D822" t="str">
            <v>SMB</v>
          </cell>
        </row>
        <row r="823">
          <cell r="C823" t="str">
            <v>Kur Sabitleme</v>
          </cell>
          <cell r="D823" t="str">
            <v>SMB</v>
          </cell>
        </row>
        <row r="824">
          <cell r="C824" t="str">
            <v>KERAMIK MAKINA SAN. VE TIC.A.S.</v>
          </cell>
          <cell r="D824" t="str">
            <v>SMB</v>
          </cell>
          <cell r="E824" t="str">
            <v>Üretim</v>
          </cell>
        </row>
        <row r="825">
          <cell r="C825" t="str">
            <v>TL</v>
          </cell>
          <cell r="D825" t="str">
            <v>SMB</v>
          </cell>
        </row>
        <row r="826">
          <cell r="C826" t="str">
            <v>TL</v>
          </cell>
          <cell r="D826" t="str">
            <v>SMB</v>
          </cell>
        </row>
        <row r="827">
          <cell r="C827" t="str">
            <v>TL</v>
          </cell>
          <cell r="D827" t="str">
            <v>SMB</v>
          </cell>
        </row>
        <row r="828">
          <cell r="C828" t="str">
            <v>TL</v>
          </cell>
          <cell r="D828" t="str">
            <v>SMB</v>
          </cell>
        </row>
        <row r="829">
          <cell r="C829" t="str">
            <v>TL</v>
          </cell>
          <cell r="D829" t="str">
            <v>SMB</v>
          </cell>
        </row>
        <row r="830">
          <cell r="C830" t="str">
            <v>TL</v>
          </cell>
          <cell r="D830" t="str">
            <v>SMB</v>
          </cell>
        </row>
        <row r="831">
          <cell r="C831" t="str">
            <v>USD</v>
          </cell>
          <cell r="D831" t="str">
            <v>SMB</v>
          </cell>
        </row>
        <row r="832">
          <cell r="C832" t="str">
            <v>USD</v>
          </cell>
          <cell r="D832" t="str">
            <v>SMB</v>
          </cell>
        </row>
        <row r="833">
          <cell r="C833" t="str">
            <v>USD</v>
          </cell>
          <cell r="D833" t="str">
            <v>SMB</v>
          </cell>
        </row>
        <row r="834">
          <cell r="C834" t="str">
            <v>USD</v>
          </cell>
          <cell r="D834" t="str">
            <v>SMB</v>
          </cell>
        </row>
        <row r="835">
          <cell r="C835" t="str">
            <v>USD</v>
          </cell>
          <cell r="D835" t="str">
            <v>SMB</v>
          </cell>
        </row>
        <row r="836">
          <cell r="C836" t="str">
            <v>EUR</v>
          </cell>
          <cell r="D836" t="str">
            <v>SMB</v>
          </cell>
        </row>
        <row r="837">
          <cell r="C837" t="str">
            <v>Kur Sabitleme</v>
          </cell>
          <cell r="D837" t="str">
            <v>SMB</v>
          </cell>
        </row>
        <row r="838">
          <cell r="C838" t="str">
            <v>KIYI RESTORANT TURIZM GIDA LTD.STI.</v>
          </cell>
          <cell r="D838" t="str">
            <v>SMB</v>
          </cell>
          <cell r="E838" t="str">
            <v>Diğer</v>
          </cell>
        </row>
        <row r="839">
          <cell r="C839" t="str">
            <v>TL</v>
          </cell>
          <cell r="D839" t="str">
            <v>SMB</v>
          </cell>
        </row>
        <row r="840">
          <cell r="C840" t="str">
            <v>USD</v>
          </cell>
          <cell r="D840" t="str">
            <v>SMB</v>
          </cell>
        </row>
        <row r="841">
          <cell r="C841" t="str">
            <v>USD</v>
          </cell>
          <cell r="D841" t="str">
            <v>SMB</v>
          </cell>
        </row>
        <row r="842">
          <cell r="C842" t="str">
            <v>EUR</v>
          </cell>
          <cell r="D842" t="str">
            <v>SMB</v>
          </cell>
        </row>
        <row r="843">
          <cell r="C843" t="str">
            <v>Kur Sabitleme</v>
          </cell>
          <cell r="D843" t="str">
            <v>SMB</v>
          </cell>
        </row>
        <row r="844">
          <cell r="C844" t="str">
            <v>KOALAY - KONUT KREDISI COM TR DANISMANLIK A.S</v>
          </cell>
          <cell r="D844" t="str">
            <v>Enterprise</v>
          </cell>
          <cell r="E844" t="str">
            <v>Digital</v>
          </cell>
        </row>
        <row r="845">
          <cell r="C845" t="str">
            <v>TL</v>
          </cell>
          <cell r="D845" t="str">
            <v>Enterprise</v>
          </cell>
        </row>
        <row r="846">
          <cell r="C846" t="str">
            <v>TL</v>
          </cell>
          <cell r="D846" t="str">
            <v>Enterprise</v>
          </cell>
        </row>
        <row r="847">
          <cell r="C847" t="str">
            <v>TL</v>
          </cell>
          <cell r="D847" t="str">
            <v>Enterprise</v>
          </cell>
        </row>
        <row r="848">
          <cell r="C848" t="str">
            <v>USD</v>
          </cell>
          <cell r="D848" t="str">
            <v>Enterprise</v>
          </cell>
        </row>
        <row r="849">
          <cell r="C849" t="str">
            <v>USD</v>
          </cell>
          <cell r="D849" t="str">
            <v>Enterprise</v>
          </cell>
        </row>
        <row r="850">
          <cell r="C850" t="str">
            <v>USD</v>
          </cell>
          <cell r="D850" t="str">
            <v>Enterprise</v>
          </cell>
        </row>
        <row r="851">
          <cell r="C851" t="str">
            <v>EUR</v>
          </cell>
          <cell r="D851" t="str">
            <v>Enterprise</v>
          </cell>
        </row>
        <row r="852">
          <cell r="C852" t="str">
            <v>Kur Sabitleme</v>
          </cell>
          <cell r="D852" t="str">
            <v>Enterprise</v>
          </cell>
        </row>
        <row r="853">
          <cell r="C853" t="str">
            <v>KONTAK ARTI İLETİŞİM HİZMETLERİ LTD.ŞTİ</v>
          </cell>
          <cell r="D853" t="str">
            <v>SMB</v>
          </cell>
          <cell r="E853" t="e">
            <v>#N/A</v>
          </cell>
        </row>
        <row r="854">
          <cell r="C854" t="str">
            <v>TL</v>
          </cell>
          <cell r="D854" t="str">
            <v>SMB</v>
          </cell>
        </row>
        <row r="855">
          <cell r="C855" t="str">
            <v>USD</v>
          </cell>
          <cell r="D855" t="str">
            <v>SMB</v>
          </cell>
        </row>
        <row r="856">
          <cell r="C856" t="str">
            <v>USD</v>
          </cell>
          <cell r="D856" t="str">
            <v>SMB</v>
          </cell>
        </row>
        <row r="857">
          <cell r="C857" t="str">
            <v>EUR</v>
          </cell>
          <cell r="D857" t="str">
            <v>SMB</v>
          </cell>
        </row>
        <row r="858">
          <cell r="C858" t="str">
            <v>Kur Sabitleme</v>
          </cell>
          <cell r="D858" t="str">
            <v>SMB</v>
          </cell>
        </row>
        <row r="859">
          <cell r="C859" t="str">
            <v>AN GIDA ÜRÜNLERİ ÜRETİM VE PAZARLA ( KORHAN SERA )</v>
          </cell>
          <cell r="D859" t="str">
            <v>SMB</v>
          </cell>
          <cell r="E859" t="str">
            <v>Diğer</v>
          </cell>
        </row>
        <row r="860">
          <cell r="C860" t="str">
            <v>TL</v>
          </cell>
          <cell r="D860" t="str">
            <v>SMB</v>
          </cell>
        </row>
        <row r="861">
          <cell r="C861" t="str">
            <v>USD</v>
          </cell>
          <cell r="D861" t="str">
            <v>SMB</v>
          </cell>
        </row>
        <row r="862">
          <cell r="C862" t="str">
            <v>EUR</v>
          </cell>
          <cell r="D862" t="str">
            <v>SMB</v>
          </cell>
        </row>
        <row r="863">
          <cell r="C863" t="str">
            <v>Kur Sabitleme</v>
          </cell>
          <cell r="D863" t="str">
            <v>SMB</v>
          </cell>
        </row>
        <row r="864">
          <cell r="C864" t="str">
            <v>KOZA GIDA DAGITIM SAN. VE TIC. A.S.</v>
          </cell>
          <cell r="D864" t="str">
            <v>SMB</v>
          </cell>
          <cell r="E864" t="str">
            <v>Genel</v>
          </cell>
        </row>
        <row r="865">
          <cell r="C865" t="str">
            <v>TL</v>
          </cell>
          <cell r="D865" t="str">
            <v>SMB</v>
          </cell>
        </row>
        <row r="866">
          <cell r="C866" t="str">
            <v>TL</v>
          </cell>
          <cell r="D866" t="str">
            <v>SMB</v>
          </cell>
        </row>
        <row r="867">
          <cell r="C867" t="str">
            <v>USD</v>
          </cell>
          <cell r="D867" t="str">
            <v>SMB</v>
          </cell>
        </row>
        <row r="868">
          <cell r="C868" t="str">
            <v>USD</v>
          </cell>
          <cell r="D868" t="str">
            <v>SMB</v>
          </cell>
        </row>
        <row r="869">
          <cell r="C869" t="str">
            <v>USD</v>
          </cell>
          <cell r="D869" t="str">
            <v>SMB</v>
          </cell>
        </row>
        <row r="870">
          <cell r="C870" t="str">
            <v>USD</v>
          </cell>
          <cell r="D870" t="str">
            <v>SMB</v>
          </cell>
        </row>
        <row r="871">
          <cell r="C871" t="str">
            <v>EUR</v>
          </cell>
          <cell r="D871" t="str">
            <v>SMB</v>
          </cell>
        </row>
        <row r="872">
          <cell r="C872" t="str">
            <v>Kur Sabitleme</v>
          </cell>
          <cell r="D872" t="str">
            <v>SMB</v>
          </cell>
        </row>
        <row r="873">
          <cell r="C873" t="str">
            <v>KOZMETIK VE TEMIZLIK ÜRÜNLERI SANAYICILERI DERNEGI</v>
          </cell>
          <cell r="D873" t="str">
            <v>SMB</v>
          </cell>
          <cell r="E873" t="str">
            <v>Diğer</v>
          </cell>
        </row>
        <row r="874">
          <cell r="C874" t="str">
            <v>TL</v>
          </cell>
          <cell r="D874" t="str">
            <v>SMB</v>
          </cell>
        </row>
        <row r="875">
          <cell r="C875" t="str">
            <v>USD</v>
          </cell>
          <cell r="D875" t="str">
            <v>SMB</v>
          </cell>
        </row>
        <row r="876">
          <cell r="C876" t="str">
            <v>USD</v>
          </cell>
          <cell r="D876" t="str">
            <v>SMB</v>
          </cell>
        </row>
        <row r="877">
          <cell r="C877" t="str">
            <v>USD</v>
          </cell>
          <cell r="D877" t="str">
            <v>SMB</v>
          </cell>
        </row>
        <row r="878">
          <cell r="C878" t="str">
            <v>USD</v>
          </cell>
          <cell r="D878" t="str">
            <v>SMB</v>
          </cell>
        </row>
        <row r="879">
          <cell r="C879" t="str">
            <v>USD</v>
          </cell>
          <cell r="D879" t="str">
            <v>SMB</v>
          </cell>
        </row>
        <row r="880">
          <cell r="C880" t="str">
            <v>EUR</v>
          </cell>
          <cell r="D880" t="str">
            <v>SMB</v>
          </cell>
        </row>
        <row r="881">
          <cell r="C881" t="str">
            <v>Kur Sabitleme</v>
          </cell>
          <cell r="D881" t="str">
            <v>SMB</v>
          </cell>
        </row>
        <row r="882">
          <cell r="C882" t="str">
            <v>LINK BILG.SIST.YAZILIM VE DONANIM SAN.VE TIC. AS</v>
          </cell>
          <cell r="D882" t="str">
            <v>SMB</v>
          </cell>
          <cell r="E882" t="str">
            <v>Teknoloji</v>
          </cell>
        </row>
        <row r="883">
          <cell r="C883" t="str">
            <v>TL</v>
          </cell>
          <cell r="D883" t="str">
            <v>SMB</v>
          </cell>
        </row>
        <row r="884">
          <cell r="C884" t="str">
            <v>USD</v>
          </cell>
          <cell r="D884" t="str">
            <v>SMB</v>
          </cell>
        </row>
        <row r="885">
          <cell r="C885" t="str">
            <v>USD</v>
          </cell>
          <cell r="D885" t="str">
            <v>SMB</v>
          </cell>
        </row>
        <row r="886">
          <cell r="C886" t="str">
            <v>USD</v>
          </cell>
          <cell r="D886" t="str">
            <v>SMB</v>
          </cell>
        </row>
        <row r="887">
          <cell r="C887" t="str">
            <v>USD</v>
          </cell>
          <cell r="D887" t="str">
            <v>SMB</v>
          </cell>
        </row>
        <row r="888">
          <cell r="C888" t="str">
            <v>USD</v>
          </cell>
          <cell r="D888" t="str">
            <v>SMB</v>
          </cell>
        </row>
        <row r="889">
          <cell r="C889" t="str">
            <v>USD</v>
          </cell>
          <cell r="D889" t="str">
            <v>SMB</v>
          </cell>
        </row>
        <row r="890">
          <cell r="C890" t="str">
            <v>USD</v>
          </cell>
          <cell r="D890" t="str">
            <v>SMB</v>
          </cell>
        </row>
        <row r="891">
          <cell r="C891" t="str">
            <v>EUR</v>
          </cell>
          <cell r="D891" t="str">
            <v>SMB</v>
          </cell>
        </row>
        <row r="892">
          <cell r="C892" t="str">
            <v>Kur Sabitleme</v>
          </cell>
          <cell r="D892" t="str">
            <v>SMB</v>
          </cell>
        </row>
        <row r="893">
          <cell r="C893" t="str">
            <v>Kur Sabitleme</v>
          </cell>
          <cell r="D893" t="str">
            <v>SMB</v>
          </cell>
        </row>
        <row r="894">
          <cell r="C894" t="str">
            <v>LOGO YAZILIM SANAYİ TİC AŞ</v>
          </cell>
          <cell r="D894" t="str">
            <v>Enterprise</v>
          </cell>
          <cell r="E894" t="str">
            <v>Teknoloji</v>
          </cell>
        </row>
        <row r="895">
          <cell r="C895" t="str">
            <v>TL</v>
          </cell>
          <cell r="D895" t="str">
            <v>Enterprise</v>
          </cell>
        </row>
        <row r="896">
          <cell r="C896" t="str">
            <v>TL</v>
          </cell>
          <cell r="D896" t="str">
            <v>Enterprise</v>
          </cell>
        </row>
        <row r="897">
          <cell r="C897" t="str">
            <v>TL</v>
          </cell>
          <cell r="D897" t="str">
            <v>Enterprise</v>
          </cell>
        </row>
        <row r="898">
          <cell r="C898" t="str">
            <v>TL</v>
          </cell>
          <cell r="D898" t="str">
            <v>Enterprise</v>
          </cell>
        </row>
        <row r="899">
          <cell r="C899" t="str">
            <v>USD</v>
          </cell>
          <cell r="D899" t="str">
            <v>Enterprise</v>
          </cell>
        </row>
        <row r="900">
          <cell r="C900" t="str">
            <v>USD</v>
          </cell>
          <cell r="D900" t="str">
            <v>Enterprise</v>
          </cell>
        </row>
        <row r="901">
          <cell r="C901" t="str">
            <v>USD</v>
          </cell>
          <cell r="D901" t="str">
            <v>Enterprise</v>
          </cell>
        </row>
        <row r="902">
          <cell r="C902" t="str">
            <v>EUR</v>
          </cell>
          <cell r="D902" t="str">
            <v>Enterprise</v>
          </cell>
        </row>
        <row r="903">
          <cell r="C903" t="str">
            <v>Kur Sabitleme</v>
          </cell>
          <cell r="D903" t="str">
            <v>Enterprise</v>
          </cell>
        </row>
        <row r="904">
          <cell r="C904" t="str">
            <v>MAPPLİCO BİLGİ TEKNOLOJİLERİ ANONİM ŞİRKET</v>
          </cell>
          <cell r="D904" t="str">
            <v>SMB</v>
          </cell>
          <cell r="E904" t="e">
            <v>#N/A</v>
          </cell>
        </row>
        <row r="905">
          <cell r="C905" t="str">
            <v>TL</v>
          </cell>
          <cell r="D905" t="str">
            <v>SMB</v>
          </cell>
        </row>
        <row r="906">
          <cell r="C906" t="str">
            <v>USD</v>
          </cell>
          <cell r="D906" t="str">
            <v>SMB</v>
          </cell>
        </row>
        <row r="907">
          <cell r="C907" t="str">
            <v>EUR</v>
          </cell>
          <cell r="D907" t="str">
            <v>SMB</v>
          </cell>
        </row>
        <row r="908">
          <cell r="C908" t="str">
            <v>Kur Sabitleme</v>
          </cell>
          <cell r="D908" t="str">
            <v>SMB</v>
          </cell>
        </row>
        <row r="909">
          <cell r="C909" t="str">
            <v>MARGE ARAŞTIRMA GELİŞTİRME VE MÜHENDİSLİK  A.Ş.</v>
          </cell>
          <cell r="D909" t="str">
            <v>SMB</v>
          </cell>
          <cell r="E909" t="e">
            <v>#N/A</v>
          </cell>
        </row>
        <row r="910">
          <cell r="C910" t="str">
            <v>TL</v>
          </cell>
          <cell r="D910" t="str">
            <v>SMB</v>
          </cell>
        </row>
        <row r="911">
          <cell r="C911" t="str">
            <v>USD</v>
          </cell>
          <cell r="D911" t="str">
            <v>SMB</v>
          </cell>
        </row>
        <row r="912">
          <cell r="C912" t="str">
            <v>EUR</v>
          </cell>
          <cell r="D912" t="str">
            <v>SMB</v>
          </cell>
        </row>
        <row r="913">
          <cell r="C913" t="str">
            <v>Kur Sabitleme</v>
          </cell>
          <cell r="D913" t="str">
            <v>SMB</v>
          </cell>
        </row>
        <row r="914">
          <cell r="C914" t="str">
            <v>MARK GLOBAL LOJISTIK A.S.</v>
          </cell>
          <cell r="D914" t="str">
            <v>SMB</v>
          </cell>
          <cell r="E914" t="str">
            <v>Lojistik</v>
          </cell>
        </row>
        <row r="915">
          <cell r="C915" t="str">
            <v>TL</v>
          </cell>
          <cell r="D915" t="str">
            <v>SMB</v>
          </cell>
        </row>
        <row r="916">
          <cell r="C916" t="str">
            <v>TL</v>
          </cell>
          <cell r="D916" t="str">
            <v>SMB</v>
          </cell>
        </row>
        <row r="917">
          <cell r="C917" t="str">
            <v>USD</v>
          </cell>
          <cell r="D917" t="str">
            <v>SMB</v>
          </cell>
        </row>
        <row r="918">
          <cell r="C918" t="str">
            <v>USD</v>
          </cell>
          <cell r="D918" t="str">
            <v>SMB</v>
          </cell>
        </row>
        <row r="919">
          <cell r="C919" t="str">
            <v>USD</v>
          </cell>
          <cell r="D919" t="str">
            <v>SMB</v>
          </cell>
        </row>
        <row r="920">
          <cell r="C920" t="str">
            <v>USD</v>
          </cell>
          <cell r="D920" t="str">
            <v>SMB</v>
          </cell>
        </row>
        <row r="921">
          <cell r="C921" t="str">
            <v>USD</v>
          </cell>
          <cell r="D921" t="str">
            <v>SMB</v>
          </cell>
        </row>
        <row r="922">
          <cell r="C922" t="str">
            <v>USD</v>
          </cell>
          <cell r="D922" t="str">
            <v>SMB</v>
          </cell>
        </row>
        <row r="923">
          <cell r="C923" t="str">
            <v>USD</v>
          </cell>
          <cell r="D923" t="str">
            <v>SMB</v>
          </cell>
        </row>
        <row r="924">
          <cell r="C924" t="str">
            <v>USD</v>
          </cell>
          <cell r="D924" t="str">
            <v>SMB</v>
          </cell>
        </row>
        <row r="925">
          <cell r="C925" t="str">
            <v>USD</v>
          </cell>
          <cell r="D925" t="str">
            <v>SMB</v>
          </cell>
        </row>
        <row r="926">
          <cell r="C926" t="str">
            <v>USD</v>
          </cell>
          <cell r="D926" t="str">
            <v>SMB</v>
          </cell>
        </row>
        <row r="927">
          <cell r="C927" t="str">
            <v>EUR</v>
          </cell>
          <cell r="D927" t="str">
            <v>SMB</v>
          </cell>
        </row>
        <row r="928">
          <cell r="C928" t="str">
            <v>Kur Sabitleme</v>
          </cell>
          <cell r="D928" t="str">
            <v>SMB</v>
          </cell>
        </row>
        <row r="929">
          <cell r="C929" t="str">
            <v>MARS LOJISTIK</v>
          </cell>
          <cell r="D929" t="str">
            <v>Enterprise</v>
          </cell>
          <cell r="E929" t="str">
            <v>Lojistik</v>
          </cell>
        </row>
        <row r="930">
          <cell r="C930" t="str">
            <v>TL</v>
          </cell>
          <cell r="D930" t="str">
            <v>Enterprise</v>
          </cell>
        </row>
        <row r="931">
          <cell r="C931" t="str">
            <v>USD</v>
          </cell>
          <cell r="D931" t="str">
            <v>Enterprise</v>
          </cell>
        </row>
        <row r="932">
          <cell r="C932" t="str">
            <v>USD</v>
          </cell>
          <cell r="D932" t="str">
            <v>Enterprise</v>
          </cell>
        </row>
        <row r="933">
          <cell r="C933" t="str">
            <v>EUR</v>
          </cell>
          <cell r="D933" t="str">
            <v>Enterprise</v>
          </cell>
        </row>
        <row r="934">
          <cell r="C934" t="str">
            <v>Kur Sabitleme</v>
          </cell>
          <cell r="D934" t="str">
            <v>Enterprise</v>
          </cell>
        </row>
        <row r="935">
          <cell r="C935" t="str">
            <v>MARTAS OTOMOTIV YEDEK PARÇA TIC.VE SAN.A.S</v>
          </cell>
          <cell r="D935" t="str">
            <v>Enterprise</v>
          </cell>
          <cell r="E935" t="str">
            <v>Lojistik</v>
          </cell>
        </row>
        <row r="936">
          <cell r="C936" t="str">
            <v>TL</v>
          </cell>
          <cell r="D936" t="str">
            <v>Enterprise</v>
          </cell>
        </row>
        <row r="937">
          <cell r="C937" t="str">
            <v>USD</v>
          </cell>
          <cell r="D937" t="str">
            <v>Enterprise</v>
          </cell>
        </row>
        <row r="938">
          <cell r="C938" t="str">
            <v>USD</v>
          </cell>
          <cell r="D938" t="str">
            <v>Enterprise</v>
          </cell>
        </row>
        <row r="939">
          <cell r="C939" t="str">
            <v>USD</v>
          </cell>
          <cell r="D939" t="str">
            <v>Enterprise</v>
          </cell>
        </row>
        <row r="940">
          <cell r="C940" t="str">
            <v>EUR</v>
          </cell>
          <cell r="D940" t="str">
            <v>Enterprise</v>
          </cell>
        </row>
        <row r="941">
          <cell r="C941" t="str">
            <v>Kur Sabitleme</v>
          </cell>
          <cell r="D941" t="str">
            <v>Enterprise</v>
          </cell>
        </row>
        <row r="942">
          <cell r="C942" t="str">
            <v>MASTERTEK BILGI TEKNOLOJILERI TIC.LTD.STI.</v>
          </cell>
          <cell r="D942" t="str">
            <v>SMB</v>
          </cell>
          <cell r="E942" t="e">
            <v>#N/A</v>
          </cell>
        </row>
        <row r="943">
          <cell r="C943" t="str">
            <v>TL</v>
          </cell>
          <cell r="D943" t="str">
            <v>SMB</v>
          </cell>
        </row>
        <row r="944">
          <cell r="C944" t="str">
            <v>USD</v>
          </cell>
          <cell r="D944" t="str">
            <v>SMB</v>
          </cell>
        </row>
        <row r="945">
          <cell r="C945" t="str">
            <v>EUR</v>
          </cell>
          <cell r="D945" t="str">
            <v>SMB</v>
          </cell>
        </row>
        <row r="946">
          <cell r="C946" t="str">
            <v>Kur Sabitleme</v>
          </cell>
          <cell r="D946" t="str">
            <v>SMB</v>
          </cell>
        </row>
        <row r="947">
          <cell r="C947" t="str">
            <v>MATADOR ET ÜRÜNLERI VE REST.ISL.GIDA. - GÜRKAN ŞEF</v>
          </cell>
          <cell r="D947" t="str">
            <v>SMB</v>
          </cell>
          <cell r="E947" t="e">
            <v>#N/A</v>
          </cell>
        </row>
        <row r="948">
          <cell r="C948" t="str">
            <v>TL</v>
          </cell>
          <cell r="D948" t="str">
            <v>SMB</v>
          </cell>
        </row>
        <row r="949">
          <cell r="C949" t="str">
            <v>USD</v>
          </cell>
          <cell r="D949" t="str">
            <v>SMB</v>
          </cell>
        </row>
        <row r="950">
          <cell r="C950" t="str">
            <v>EUR</v>
          </cell>
          <cell r="D950" t="str">
            <v>SMB</v>
          </cell>
        </row>
        <row r="951">
          <cell r="C951" t="str">
            <v>Kur Sabitleme</v>
          </cell>
          <cell r="D951" t="str">
            <v>SMB</v>
          </cell>
        </row>
        <row r="952">
          <cell r="C952" t="str">
            <v>MAYA HOLDING - MAYA GAYRİMENKUL GELİŞTİRME A.Ş.</v>
          </cell>
          <cell r="D952" t="str">
            <v>SMB</v>
          </cell>
          <cell r="E952" t="e">
            <v>#N/A</v>
          </cell>
        </row>
        <row r="953">
          <cell r="C953" t="str">
            <v>TL</v>
          </cell>
          <cell r="D953" t="str">
            <v>SMB</v>
          </cell>
        </row>
        <row r="954">
          <cell r="C954" t="str">
            <v>USD</v>
          </cell>
          <cell r="D954" t="str">
            <v>SMB</v>
          </cell>
        </row>
        <row r="955">
          <cell r="C955" t="str">
            <v>EUR</v>
          </cell>
          <cell r="D955" t="str">
            <v>SMB</v>
          </cell>
        </row>
        <row r="956">
          <cell r="C956" t="str">
            <v>Kur Sabitleme</v>
          </cell>
          <cell r="D956" t="str">
            <v>SMB</v>
          </cell>
        </row>
        <row r="957">
          <cell r="C957" t="str">
            <v>MAYA HOLDING A.S</v>
          </cell>
          <cell r="D957" t="str">
            <v>SMB</v>
          </cell>
          <cell r="E957" t="str">
            <v>Genel</v>
          </cell>
        </row>
        <row r="958">
          <cell r="C958" t="str">
            <v>TL</v>
          </cell>
          <cell r="D958" t="str">
            <v>SMB</v>
          </cell>
        </row>
        <row r="959">
          <cell r="C959" t="str">
            <v>USD</v>
          </cell>
          <cell r="D959" t="str">
            <v>SMB</v>
          </cell>
        </row>
        <row r="960">
          <cell r="C960" t="str">
            <v>EUR</v>
          </cell>
          <cell r="D960" t="str">
            <v>SMB</v>
          </cell>
        </row>
        <row r="961">
          <cell r="C961" t="str">
            <v>Kur Sabitleme</v>
          </cell>
          <cell r="D961" t="str">
            <v>SMB</v>
          </cell>
        </row>
        <row r="962">
          <cell r="C962" t="str">
            <v>MEDIALYZER MEDYA TEKNOLOJİLERİ ANONİM ŞİRKETİ</v>
          </cell>
          <cell r="D962" t="str">
            <v>SMB</v>
          </cell>
          <cell r="E962" t="e">
            <v>#N/A</v>
          </cell>
        </row>
        <row r="963">
          <cell r="C963" t="str">
            <v>TL</v>
          </cell>
          <cell r="D963" t="str">
            <v>SMB</v>
          </cell>
        </row>
        <row r="964">
          <cell r="C964" t="str">
            <v>USD</v>
          </cell>
          <cell r="D964" t="str">
            <v>SMB</v>
          </cell>
        </row>
        <row r="965">
          <cell r="C965" t="str">
            <v>USD</v>
          </cell>
          <cell r="D965" t="str">
            <v>SMB</v>
          </cell>
        </row>
        <row r="966">
          <cell r="C966" t="str">
            <v>EUR</v>
          </cell>
          <cell r="D966" t="str">
            <v>SMB</v>
          </cell>
        </row>
        <row r="967">
          <cell r="C967" t="str">
            <v>Kur Sabitleme</v>
          </cell>
          <cell r="D967" t="str">
            <v>SMB</v>
          </cell>
        </row>
        <row r="968">
          <cell r="C968" t="str">
            <v>MEDİKAL PARK HASTANELERİ (MLP CARE)</v>
          </cell>
          <cell r="D968" t="str">
            <v>Enterprise</v>
          </cell>
          <cell r="E968" t="str">
            <v>Sağlık</v>
          </cell>
        </row>
        <row r="969">
          <cell r="C969" t="str">
            <v>TL</v>
          </cell>
          <cell r="D969" t="str">
            <v>Enterprise</v>
          </cell>
        </row>
        <row r="970">
          <cell r="C970" t="str">
            <v>USD</v>
          </cell>
          <cell r="D970" t="str">
            <v>Enterprise</v>
          </cell>
        </row>
        <row r="971">
          <cell r="C971" t="str">
            <v>USD</v>
          </cell>
          <cell r="D971" t="str">
            <v>Enterprise</v>
          </cell>
        </row>
        <row r="972">
          <cell r="C972" t="str">
            <v>USD</v>
          </cell>
          <cell r="D972" t="str">
            <v>Enterprise</v>
          </cell>
        </row>
        <row r="973">
          <cell r="C973" t="str">
            <v>EUR</v>
          </cell>
          <cell r="D973" t="str">
            <v>Enterprise</v>
          </cell>
        </row>
        <row r="974">
          <cell r="C974" t="str">
            <v>Kur Sabitleme</v>
          </cell>
          <cell r="D974" t="str">
            <v>Enterprise</v>
          </cell>
        </row>
        <row r="975">
          <cell r="C975" t="str">
            <v>MEDITEL MEDIKAL TEKNIK ELEKTRONIK A.S</v>
          </cell>
          <cell r="D975" t="str">
            <v>SMB</v>
          </cell>
          <cell r="E975" t="str">
            <v>Sağlık</v>
          </cell>
        </row>
        <row r="976">
          <cell r="C976" t="str">
            <v>TL</v>
          </cell>
          <cell r="D976" t="str">
            <v>SMB</v>
          </cell>
        </row>
        <row r="977">
          <cell r="C977" t="str">
            <v>USD</v>
          </cell>
          <cell r="D977" t="str">
            <v>SMB</v>
          </cell>
        </row>
        <row r="978">
          <cell r="C978" t="str">
            <v>USD</v>
          </cell>
          <cell r="D978" t="str">
            <v>SMB</v>
          </cell>
        </row>
        <row r="979">
          <cell r="C979" t="str">
            <v>USD</v>
          </cell>
          <cell r="D979" t="str">
            <v>SMB</v>
          </cell>
        </row>
        <row r="980">
          <cell r="C980" t="str">
            <v>EUR</v>
          </cell>
          <cell r="D980" t="str">
            <v>SMB</v>
          </cell>
        </row>
        <row r="981">
          <cell r="C981" t="str">
            <v>Kur Sabitleme</v>
          </cell>
          <cell r="D981" t="str">
            <v>SMB</v>
          </cell>
        </row>
        <row r="982">
          <cell r="C982" t="str">
            <v>METRANS MAKINA ENT.ÜRN.SAN.VE TIC.A.S</v>
          </cell>
          <cell r="D982" t="str">
            <v>SMB</v>
          </cell>
          <cell r="E982" t="str">
            <v>Üretim</v>
          </cell>
        </row>
        <row r="983">
          <cell r="C983" t="str">
            <v>TL</v>
          </cell>
          <cell r="D983" t="str">
            <v>SMB</v>
          </cell>
        </row>
        <row r="984">
          <cell r="C984" t="str">
            <v>USD</v>
          </cell>
          <cell r="D984" t="str">
            <v>SMB</v>
          </cell>
        </row>
        <row r="985">
          <cell r="C985" t="str">
            <v>USD</v>
          </cell>
          <cell r="D985" t="str">
            <v>SMB</v>
          </cell>
        </row>
        <row r="986">
          <cell r="C986" t="str">
            <v>USD</v>
          </cell>
          <cell r="D986" t="str">
            <v>SMB</v>
          </cell>
        </row>
        <row r="987">
          <cell r="C987" t="str">
            <v>USD</v>
          </cell>
          <cell r="D987" t="str">
            <v>SMB</v>
          </cell>
        </row>
        <row r="988">
          <cell r="C988" t="str">
            <v>EUR</v>
          </cell>
          <cell r="D988" t="str">
            <v>SMB</v>
          </cell>
        </row>
        <row r="989">
          <cell r="C989" t="str">
            <v>Kur Sabitleme</v>
          </cell>
          <cell r="D989" t="str">
            <v>SMB</v>
          </cell>
        </row>
        <row r="990">
          <cell r="C990" t="str">
            <v>MİKRO YAZILIMEVI YAZ. HIZ. BILG. SAN.TIC. A.S.</v>
          </cell>
          <cell r="D990" t="str">
            <v>Enterprise</v>
          </cell>
          <cell r="E990" t="str">
            <v>Teknoloji</v>
          </cell>
        </row>
        <row r="991">
          <cell r="C991" t="str">
            <v>TL</v>
          </cell>
          <cell r="D991" t="str">
            <v>Enterprise</v>
          </cell>
        </row>
        <row r="992">
          <cell r="C992" t="str">
            <v>TL</v>
          </cell>
          <cell r="D992" t="str">
            <v>Enterprise</v>
          </cell>
        </row>
        <row r="993">
          <cell r="C993" t="str">
            <v>TL</v>
          </cell>
          <cell r="D993" t="str">
            <v>Enterprise</v>
          </cell>
        </row>
        <row r="994">
          <cell r="C994" t="str">
            <v>TL</v>
          </cell>
          <cell r="D994" t="str">
            <v>Enterprise</v>
          </cell>
        </row>
        <row r="995">
          <cell r="C995" t="str">
            <v>TL</v>
          </cell>
          <cell r="D995" t="str">
            <v>Enterprise</v>
          </cell>
        </row>
        <row r="996">
          <cell r="C996" t="str">
            <v>TL</v>
          </cell>
          <cell r="D996" t="str">
            <v>Enterprise</v>
          </cell>
        </row>
        <row r="997">
          <cell r="C997" t="str">
            <v>TL</v>
          </cell>
          <cell r="D997" t="str">
            <v>Enterprise</v>
          </cell>
        </row>
        <row r="998">
          <cell r="C998" t="str">
            <v>USD</v>
          </cell>
          <cell r="D998" t="str">
            <v>Enterprise</v>
          </cell>
        </row>
        <row r="999">
          <cell r="C999" t="str">
            <v>USD</v>
          </cell>
          <cell r="D999" t="str">
            <v>Enterprise</v>
          </cell>
        </row>
        <row r="1000">
          <cell r="C1000" t="str">
            <v>USD</v>
          </cell>
          <cell r="D1000" t="str">
            <v>Enterprise</v>
          </cell>
        </row>
        <row r="1001">
          <cell r="C1001" t="str">
            <v>USD</v>
          </cell>
          <cell r="D1001" t="str">
            <v>Enterprise</v>
          </cell>
        </row>
        <row r="1002">
          <cell r="C1002" t="str">
            <v>USD</v>
          </cell>
          <cell r="D1002" t="str">
            <v>Enterprise</v>
          </cell>
        </row>
        <row r="1003">
          <cell r="C1003" t="str">
            <v>USD</v>
          </cell>
          <cell r="D1003" t="str">
            <v>Enterprise</v>
          </cell>
        </row>
        <row r="1004">
          <cell r="C1004" t="str">
            <v>USD</v>
          </cell>
          <cell r="D1004" t="str">
            <v>Enterprise</v>
          </cell>
        </row>
        <row r="1005">
          <cell r="C1005" t="str">
            <v>USD</v>
          </cell>
          <cell r="D1005" t="str">
            <v>Enterprise</v>
          </cell>
        </row>
        <row r="1006">
          <cell r="C1006" t="str">
            <v>USD</v>
          </cell>
          <cell r="D1006" t="str">
            <v>Enterprise</v>
          </cell>
        </row>
        <row r="1007">
          <cell r="C1007" t="str">
            <v>USD</v>
          </cell>
          <cell r="D1007" t="str">
            <v>Enterprise</v>
          </cell>
        </row>
        <row r="1008">
          <cell r="C1008" t="str">
            <v>USD</v>
          </cell>
          <cell r="D1008" t="str">
            <v>Enterprise</v>
          </cell>
        </row>
        <row r="1009">
          <cell r="C1009" t="str">
            <v>USD</v>
          </cell>
          <cell r="D1009" t="str">
            <v>Enterprise</v>
          </cell>
        </row>
        <row r="1010">
          <cell r="C1010" t="str">
            <v>USD</v>
          </cell>
          <cell r="D1010" t="str">
            <v>Enterprise</v>
          </cell>
        </row>
        <row r="1011">
          <cell r="C1011" t="str">
            <v>USD</v>
          </cell>
          <cell r="D1011" t="str">
            <v>Enterprise</v>
          </cell>
        </row>
        <row r="1012">
          <cell r="C1012" t="str">
            <v>USD</v>
          </cell>
          <cell r="D1012" t="str">
            <v>Enterprise</v>
          </cell>
        </row>
        <row r="1013">
          <cell r="C1013" t="str">
            <v>USD</v>
          </cell>
          <cell r="D1013" t="str">
            <v>Enterprise</v>
          </cell>
        </row>
        <row r="1014">
          <cell r="C1014" t="str">
            <v>USD</v>
          </cell>
          <cell r="D1014" t="str">
            <v>Enterprise</v>
          </cell>
        </row>
        <row r="1015">
          <cell r="C1015" t="str">
            <v>USD</v>
          </cell>
          <cell r="D1015" t="str">
            <v>Enterprise</v>
          </cell>
        </row>
        <row r="1016">
          <cell r="C1016" t="str">
            <v>USD</v>
          </cell>
          <cell r="D1016" t="str">
            <v>Enterprise</v>
          </cell>
        </row>
        <row r="1017">
          <cell r="C1017" t="str">
            <v>USD</v>
          </cell>
          <cell r="D1017" t="str">
            <v>Enterprise</v>
          </cell>
        </row>
        <row r="1018">
          <cell r="C1018" t="str">
            <v>USD</v>
          </cell>
          <cell r="D1018" t="str">
            <v>Enterprise</v>
          </cell>
        </row>
        <row r="1019">
          <cell r="C1019" t="str">
            <v>EUR</v>
          </cell>
          <cell r="D1019" t="str">
            <v>Enterprise</v>
          </cell>
        </row>
        <row r="1020">
          <cell r="C1020" t="str">
            <v>Kur Sabitleme</v>
          </cell>
          <cell r="D1020" t="str">
            <v>Enterprise</v>
          </cell>
        </row>
        <row r="1021">
          <cell r="C1021" t="str">
            <v>MIRORA ÇEVIRI LTD. STI. (MİRORA)</v>
          </cell>
          <cell r="D1021" t="str">
            <v>SMB</v>
          </cell>
          <cell r="E1021" t="str">
            <v>Genel</v>
          </cell>
        </row>
        <row r="1022">
          <cell r="C1022" t="str">
            <v>TL</v>
          </cell>
          <cell r="D1022" t="str">
            <v>SMB</v>
          </cell>
        </row>
        <row r="1023">
          <cell r="C1023" t="str">
            <v>USD</v>
          </cell>
          <cell r="D1023" t="str">
            <v>SMB</v>
          </cell>
        </row>
        <row r="1024">
          <cell r="C1024" t="str">
            <v>USD</v>
          </cell>
          <cell r="D1024" t="str">
            <v>SMB</v>
          </cell>
        </row>
        <row r="1025">
          <cell r="C1025" t="str">
            <v>USD</v>
          </cell>
          <cell r="D1025" t="str">
            <v>SMB</v>
          </cell>
        </row>
        <row r="1026">
          <cell r="C1026" t="str">
            <v>USD</v>
          </cell>
          <cell r="D1026" t="str">
            <v>SMB</v>
          </cell>
        </row>
        <row r="1027">
          <cell r="C1027" t="str">
            <v>USD</v>
          </cell>
          <cell r="D1027" t="str">
            <v>SMB</v>
          </cell>
        </row>
        <row r="1028">
          <cell r="C1028" t="str">
            <v>USD</v>
          </cell>
          <cell r="D1028" t="str">
            <v>SMB</v>
          </cell>
        </row>
        <row r="1029">
          <cell r="C1029" t="str">
            <v>EUR</v>
          </cell>
          <cell r="D1029" t="str">
            <v>SMB</v>
          </cell>
        </row>
        <row r="1030">
          <cell r="C1030" t="str">
            <v>Kur Sabitleme</v>
          </cell>
          <cell r="D1030" t="str">
            <v>SMB</v>
          </cell>
        </row>
        <row r="1031">
          <cell r="C1031" t="str">
            <v>MORE KONTRAT TASARIM VE INSAAT A.S.</v>
          </cell>
          <cell r="D1031" t="str">
            <v>SMB</v>
          </cell>
          <cell r="E1031" t="str">
            <v>Genel</v>
          </cell>
        </row>
        <row r="1032">
          <cell r="C1032" t="str">
            <v>TL</v>
          </cell>
          <cell r="D1032" t="str">
            <v>SMB</v>
          </cell>
        </row>
        <row r="1033">
          <cell r="C1033" t="str">
            <v>USD</v>
          </cell>
          <cell r="D1033" t="str">
            <v>SMB</v>
          </cell>
        </row>
        <row r="1034">
          <cell r="C1034" t="str">
            <v>EUR</v>
          </cell>
          <cell r="D1034" t="str">
            <v>SMB</v>
          </cell>
        </row>
        <row r="1035">
          <cell r="C1035" t="str">
            <v>Kur Sabitleme</v>
          </cell>
          <cell r="D1035" t="str">
            <v>SMB</v>
          </cell>
        </row>
        <row r="1036">
          <cell r="C1036" t="str">
            <v>MOROGLU ARSEVEN AVUKATLIK ORTAKLIGI</v>
          </cell>
          <cell r="D1036" t="str">
            <v>Enterprise</v>
          </cell>
          <cell r="E1036" t="str">
            <v>Digital</v>
          </cell>
        </row>
        <row r="1037">
          <cell r="C1037" t="str">
            <v>TL</v>
          </cell>
          <cell r="D1037" t="str">
            <v>Enterprise</v>
          </cell>
        </row>
        <row r="1038">
          <cell r="C1038" t="str">
            <v>USD</v>
          </cell>
          <cell r="D1038" t="str">
            <v>Enterprise</v>
          </cell>
        </row>
        <row r="1039">
          <cell r="C1039" t="str">
            <v>USD</v>
          </cell>
          <cell r="D1039" t="str">
            <v>Enterprise</v>
          </cell>
        </row>
        <row r="1040">
          <cell r="C1040" t="str">
            <v>EUR</v>
          </cell>
          <cell r="D1040" t="str">
            <v>Enterprise</v>
          </cell>
        </row>
        <row r="1041">
          <cell r="C1041" t="str">
            <v>Kur Sabitleme</v>
          </cell>
          <cell r="D1041" t="str">
            <v>Enterprise</v>
          </cell>
        </row>
        <row r="1042">
          <cell r="C1042" t="str">
            <v>MSA MESLEKİ EĞİTİM VE TİCARET A.Ş.</v>
          </cell>
          <cell r="D1042" t="str">
            <v>SMB</v>
          </cell>
          <cell r="E1042" t="str">
            <v>Diğer</v>
          </cell>
        </row>
        <row r="1043">
          <cell r="C1043" t="str">
            <v>TL</v>
          </cell>
          <cell r="D1043" t="str">
            <v>SMB</v>
          </cell>
        </row>
        <row r="1044">
          <cell r="C1044" t="str">
            <v>USD</v>
          </cell>
          <cell r="D1044" t="str">
            <v>SMB</v>
          </cell>
        </row>
        <row r="1045">
          <cell r="C1045" t="str">
            <v>EUR</v>
          </cell>
          <cell r="D1045" t="str">
            <v>SMB</v>
          </cell>
        </row>
        <row r="1046">
          <cell r="C1046" t="str">
            <v>Kur Sabitleme</v>
          </cell>
          <cell r="D1046" t="str">
            <v>SMB</v>
          </cell>
        </row>
        <row r="1047">
          <cell r="C1047" t="str">
            <v>MTN KALIP SANAYİ VE TİCARET ANONİM ŞİRKETİ</v>
          </cell>
          <cell r="D1047" t="str">
            <v>SMB</v>
          </cell>
          <cell r="E1047" t="str">
            <v>Üretim</v>
          </cell>
        </row>
        <row r="1048">
          <cell r="C1048" t="str">
            <v>TL</v>
          </cell>
          <cell r="D1048" t="str">
            <v>SMB</v>
          </cell>
        </row>
        <row r="1049">
          <cell r="C1049" t="str">
            <v>USD</v>
          </cell>
          <cell r="D1049" t="str">
            <v>SMB</v>
          </cell>
        </row>
        <row r="1050">
          <cell r="C1050" t="str">
            <v>EUR</v>
          </cell>
          <cell r="D1050" t="str">
            <v>SMB</v>
          </cell>
        </row>
        <row r="1051">
          <cell r="C1051" t="str">
            <v>Kur Sabitleme</v>
          </cell>
          <cell r="D1051" t="str">
            <v>SMB</v>
          </cell>
        </row>
        <row r="1052">
          <cell r="C1052" t="str">
            <v>NEMA BAHÇE KÜLTÜRLERI ÜRETIM VE PAZARLAMA LTD.STI.</v>
          </cell>
          <cell r="D1052" t="str">
            <v>SMB</v>
          </cell>
          <cell r="E1052" t="e">
            <v>#N/A</v>
          </cell>
        </row>
        <row r="1053">
          <cell r="C1053" t="str">
            <v>TL</v>
          </cell>
          <cell r="D1053" t="str">
            <v>SMB</v>
          </cell>
        </row>
        <row r="1054">
          <cell r="C1054" t="str">
            <v>USD</v>
          </cell>
          <cell r="D1054" t="str">
            <v>SMB</v>
          </cell>
        </row>
        <row r="1055">
          <cell r="C1055" t="str">
            <v>EUR</v>
          </cell>
          <cell r="D1055" t="str">
            <v>SMB</v>
          </cell>
        </row>
        <row r="1056">
          <cell r="C1056" t="str">
            <v>Kur Sabitleme</v>
          </cell>
          <cell r="D1056" t="str">
            <v>SMB</v>
          </cell>
        </row>
        <row r="1057">
          <cell r="C1057" t="str">
            <v>VANORAVENTURES YAZILIM TEKNOLOJİLERİ (NO21)</v>
          </cell>
          <cell r="D1057" t="str">
            <v>Enterprise</v>
          </cell>
          <cell r="E1057" t="str">
            <v>Teknoloji</v>
          </cell>
        </row>
        <row r="1058">
          <cell r="C1058" t="str">
            <v>TL</v>
          </cell>
          <cell r="D1058" t="str">
            <v>Enterprise</v>
          </cell>
        </row>
        <row r="1059">
          <cell r="C1059" t="str">
            <v>TL</v>
          </cell>
          <cell r="D1059" t="str">
            <v>Enterprise</v>
          </cell>
        </row>
        <row r="1060">
          <cell r="C1060" t="str">
            <v>USD</v>
          </cell>
          <cell r="D1060" t="str">
            <v>Enterprise</v>
          </cell>
        </row>
        <row r="1061">
          <cell r="C1061" t="str">
            <v>EUR</v>
          </cell>
          <cell r="D1061" t="str">
            <v>Enterprise</v>
          </cell>
        </row>
        <row r="1062">
          <cell r="C1062" t="str">
            <v>Kur Sabitleme</v>
          </cell>
          <cell r="D1062" t="str">
            <v>Enterprise</v>
          </cell>
        </row>
        <row r="1063">
          <cell r="C1063" t="str">
            <v>OGOO ILETISIM HIZMETLERI TICARET LIMITED SIRKETI</v>
          </cell>
          <cell r="D1063" t="str">
            <v>SMB</v>
          </cell>
          <cell r="E1063" t="e">
            <v>#N/A</v>
          </cell>
        </row>
        <row r="1064">
          <cell r="C1064" t="str">
            <v>TL</v>
          </cell>
          <cell r="D1064" t="str">
            <v>SMB</v>
          </cell>
        </row>
        <row r="1065">
          <cell r="C1065" t="str">
            <v>USD</v>
          </cell>
          <cell r="D1065" t="str">
            <v>SMB</v>
          </cell>
        </row>
        <row r="1066">
          <cell r="C1066" t="str">
            <v>EUR</v>
          </cell>
          <cell r="D1066" t="str">
            <v>SMB</v>
          </cell>
        </row>
        <row r="1067">
          <cell r="C1067" t="str">
            <v>Kur Sabitleme</v>
          </cell>
          <cell r="D1067" t="str">
            <v>SMB</v>
          </cell>
        </row>
        <row r="1068">
          <cell r="C1068" t="str">
            <v>OKAN KONFEKSIYON SAN. VE TIC. LTD.STI. (KİKİRİKİ)</v>
          </cell>
          <cell r="D1068" t="str">
            <v>SMB</v>
          </cell>
          <cell r="E1068" t="e">
            <v>#N/A</v>
          </cell>
        </row>
        <row r="1069">
          <cell r="C1069" t="str">
            <v>TL</v>
          </cell>
          <cell r="D1069" t="str">
            <v>SMB</v>
          </cell>
        </row>
        <row r="1070">
          <cell r="C1070" t="str">
            <v>USD</v>
          </cell>
          <cell r="D1070" t="str">
            <v>SMB</v>
          </cell>
        </row>
        <row r="1071">
          <cell r="C1071" t="str">
            <v>USD</v>
          </cell>
          <cell r="D1071" t="str">
            <v>SMB</v>
          </cell>
        </row>
        <row r="1072">
          <cell r="C1072" t="str">
            <v>USD</v>
          </cell>
          <cell r="D1072" t="str">
            <v>SMB</v>
          </cell>
        </row>
        <row r="1073">
          <cell r="C1073" t="str">
            <v>EUR</v>
          </cell>
          <cell r="D1073" t="str">
            <v>SMB</v>
          </cell>
        </row>
        <row r="1074">
          <cell r="C1074" t="str">
            <v>Kur Sabitleme</v>
          </cell>
          <cell r="D1074" t="str">
            <v>SMB</v>
          </cell>
        </row>
        <row r="1075">
          <cell r="C1075" t="str">
            <v>ONURFİX MONTAJ SİSTEMLERİ SAN. TİC. A.Ş.</v>
          </cell>
          <cell r="D1075" t="str">
            <v>SMB</v>
          </cell>
          <cell r="E1075" t="e">
            <v>#N/A</v>
          </cell>
        </row>
        <row r="1076">
          <cell r="C1076" t="str">
            <v>TL</v>
          </cell>
          <cell r="D1076" t="str">
            <v>SMB</v>
          </cell>
        </row>
        <row r="1077">
          <cell r="C1077" t="str">
            <v>USD</v>
          </cell>
          <cell r="D1077" t="str">
            <v>SMB</v>
          </cell>
        </row>
        <row r="1078">
          <cell r="C1078" t="str">
            <v>USD</v>
          </cell>
          <cell r="D1078" t="str">
            <v>SMB</v>
          </cell>
        </row>
        <row r="1079">
          <cell r="C1079" t="str">
            <v>USD</v>
          </cell>
          <cell r="D1079" t="str">
            <v>SMB</v>
          </cell>
        </row>
        <row r="1080">
          <cell r="C1080" t="str">
            <v>EUR</v>
          </cell>
          <cell r="D1080" t="str">
            <v>SMB</v>
          </cell>
        </row>
        <row r="1081">
          <cell r="C1081" t="str">
            <v>Kur Sabitleme</v>
          </cell>
          <cell r="D1081" t="str">
            <v>SMB</v>
          </cell>
        </row>
        <row r="1082">
          <cell r="C1082" t="str">
            <v>EMARAT BOSPHORUS TURIZIM (OPERA HOTEL)</v>
          </cell>
          <cell r="D1082" t="str">
            <v>SMB</v>
          </cell>
          <cell r="E1082" t="str">
            <v>Genel</v>
          </cell>
        </row>
        <row r="1083">
          <cell r="C1083" t="str">
            <v>TL</v>
          </cell>
          <cell r="D1083" t="str">
            <v>SMB</v>
          </cell>
        </row>
        <row r="1084">
          <cell r="C1084" t="str">
            <v>TL</v>
          </cell>
          <cell r="D1084" t="str">
            <v>SMB</v>
          </cell>
        </row>
        <row r="1085">
          <cell r="C1085" t="str">
            <v>USD</v>
          </cell>
          <cell r="D1085" t="str">
            <v>SMB</v>
          </cell>
        </row>
        <row r="1086">
          <cell r="C1086" t="str">
            <v>USD</v>
          </cell>
          <cell r="D1086" t="str">
            <v>SMB</v>
          </cell>
        </row>
        <row r="1087">
          <cell r="C1087" t="str">
            <v>USD</v>
          </cell>
          <cell r="D1087" t="str">
            <v>SMB</v>
          </cell>
        </row>
        <row r="1088">
          <cell r="C1088" t="str">
            <v>USD</v>
          </cell>
          <cell r="D1088" t="str">
            <v>SMB</v>
          </cell>
        </row>
        <row r="1089">
          <cell r="C1089" t="str">
            <v>USD</v>
          </cell>
          <cell r="D1089" t="str">
            <v>SMB</v>
          </cell>
        </row>
        <row r="1090">
          <cell r="C1090" t="str">
            <v>USD</v>
          </cell>
          <cell r="D1090" t="str">
            <v>SMB</v>
          </cell>
        </row>
        <row r="1091">
          <cell r="C1091" t="str">
            <v>USD</v>
          </cell>
          <cell r="D1091" t="str">
            <v>SMB</v>
          </cell>
        </row>
        <row r="1092">
          <cell r="C1092" t="str">
            <v>USD</v>
          </cell>
          <cell r="D1092" t="str">
            <v>SMB</v>
          </cell>
        </row>
        <row r="1093">
          <cell r="C1093" t="str">
            <v>USD</v>
          </cell>
          <cell r="D1093" t="str">
            <v>SMB</v>
          </cell>
        </row>
        <row r="1094">
          <cell r="C1094" t="str">
            <v>USD</v>
          </cell>
          <cell r="D1094" t="str">
            <v>SMB</v>
          </cell>
        </row>
        <row r="1095">
          <cell r="C1095" t="str">
            <v>USD</v>
          </cell>
          <cell r="D1095" t="str">
            <v>SMB</v>
          </cell>
        </row>
        <row r="1096">
          <cell r="C1096" t="str">
            <v>EUR</v>
          </cell>
          <cell r="D1096" t="str">
            <v>SMB</v>
          </cell>
        </row>
        <row r="1097">
          <cell r="C1097" t="str">
            <v>Kur Sabitleme</v>
          </cell>
          <cell r="D1097" t="str">
            <v>SMB</v>
          </cell>
        </row>
        <row r="1098">
          <cell r="C1098" t="str">
            <v>OPTIMUSFLOW YAZILIM - BARIS GÜLEÇYÜZ</v>
          </cell>
          <cell r="D1098" t="str">
            <v>SMB</v>
          </cell>
          <cell r="E1098" t="str">
            <v>Teknoloji</v>
          </cell>
        </row>
        <row r="1099">
          <cell r="C1099" t="str">
            <v>TL</v>
          </cell>
          <cell r="D1099" t="str">
            <v>SMB</v>
          </cell>
        </row>
        <row r="1100">
          <cell r="C1100" t="str">
            <v>USD</v>
          </cell>
          <cell r="D1100" t="str">
            <v>SMB</v>
          </cell>
        </row>
        <row r="1101">
          <cell r="C1101" t="str">
            <v>EUR</v>
          </cell>
          <cell r="D1101" t="str">
            <v>SMB</v>
          </cell>
        </row>
        <row r="1102">
          <cell r="C1102" t="str">
            <v>Kur Sabitleme</v>
          </cell>
          <cell r="D1102" t="str">
            <v>SMB</v>
          </cell>
        </row>
        <row r="1103">
          <cell r="C1103" t="str">
            <v>OSMANLI YATIRIM MENKUL DEGERLER A.S.</v>
          </cell>
          <cell r="D1103" t="str">
            <v>Enterprise</v>
          </cell>
          <cell r="E1103" t="str">
            <v>Finans</v>
          </cell>
        </row>
        <row r="1104">
          <cell r="C1104" t="str">
            <v>TL</v>
          </cell>
          <cell r="D1104" t="str">
            <v>Enterprise</v>
          </cell>
        </row>
        <row r="1105">
          <cell r="C1105" t="str">
            <v>TL</v>
          </cell>
          <cell r="D1105" t="str">
            <v>Enterprise</v>
          </cell>
        </row>
        <row r="1106">
          <cell r="C1106" t="str">
            <v>TL</v>
          </cell>
          <cell r="D1106" t="str">
            <v>Enterprise</v>
          </cell>
        </row>
        <row r="1107">
          <cell r="C1107" t="str">
            <v>USD</v>
          </cell>
          <cell r="D1107" t="str">
            <v>Enterprise</v>
          </cell>
        </row>
        <row r="1108">
          <cell r="C1108" t="str">
            <v>USD</v>
          </cell>
          <cell r="D1108" t="str">
            <v>Enterprise</v>
          </cell>
        </row>
        <row r="1109">
          <cell r="C1109" t="str">
            <v>EUR</v>
          </cell>
          <cell r="D1109" t="str">
            <v>Enterprise</v>
          </cell>
        </row>
        <row r="1110">
          <cell r="C1110" t="str">
            <v>Kur Sabitleme</v>
          </cell>
          <cell r="D1110" t="str">
            <v>Enterprise</v>
          </cell>
        </row>
        <row r="1111">
          <cell r="C1111" t="str">
            <v>ÖZYEĞİN ÜNİVERSİTESİ</v>
          </cell>
          <cell r="D1111" t="str">
            <v>SMB</v>
          </cell>
          <cell r="E1111" t="e">
            <v>#N/A</v>
          </cell>
        </row>
        <row r="1112">
          <cell r="C1112" t="str">
            <v>TL</v>
          </cell>
          <cell r="D1112" t="str">
            <v>SMB</v>
          </cell>
        </row>
        <row r="1113">
          <cell r="C1113" t="str">
            <v>USD</v>
          </cell>
          <cell r="D1113" t="str">
            <v>SMB</v>
          </cell>
        </row>
        <row r="1114">
          <cell r="C1114" t="str">
            <v>EUR</v>
          </cell>
          <cell r="D1114" t="str">
            <v>SMB</v>
          </cell>
        </row>
        <row r="1115">
          <cell r="C1115" t="str">
            <v>Kur Sabitleme</v>
          </cell>
          <cell r="D1115" t="str">
            <v>SMB</v>
          </cell>
        </row>
        <row r="1116">
          <cell r="C1116" t="str">
            <v>PALMİYE TATİL KÖYÜ İŞLETMELERİ TURİZM VE TİCARET A</v>
          </cell>
          <cell r="D1116" t="str">
            <v>SMB</v>
          </cell>
          <cell r="E1116" t="str">
            <v>Genel</v>
          </cell>
        </row>
        <row r="1117">
          <cell r="C1117" t="str">
            <v>TL</v>
          </cell>
          <cell r="D1117" t="str">
            <v>SMB</v>
          </cell>
        </row>
        <row r="1118">
          <cell r="C1118" t="str">
            <v>USD</v>
          </cell>
          <cell r="D1118" t="str">
            <v>SMB</v>
          </cell>
        </row>
        <row r="1119">
          <cell r="C1119" t="str">
            <v>EUR</v>
          </cell>
          <cell r="D1119" t="str">
            <v>SMB</v>
          </cell>
        </row>
        <row r="1120">
          <cell r="C1120" t="str">
            <v>Kur Sabitleme</v>
          </cell>
          <cell r="D1120" t="str">
            <v>SMB</v>
          </cell>
        </row>
        <row r="1121">
          <cell r="C1121" t="str">
            <v>PENINSULA EMLAK YATIRIM A.S.</v>
          </cell>
          <cell r="D1121" t="str">
            <v>SMB</v>
          </cell>
          <cell r="E1121" t="e">
            <v>#N/A</v>
          </cell>
        </row>
        <row r="1122">
          <cell r="C1122" t="str">
            <v>TL</v>
          </cell>
          <cell r="D1122" t="str">
            <v>SMB</v>
          </cell>
        </row>
        <row r="1123">
          <cell r="C1123" t="str">
            <v>TL</v>
          </cell>
          <cell r="D1123" t="str">
            <v>SMB</v>
          </cell>
        </row>
        <row r="1124">
          <cell r="C1124" t="str">
            <v>USD</v>
          </cell>
          <cell r="D1124" t="str">
            <v>SMB</v>
          </cell>
        </row>
        <row r="1125">
          <cell r="C1125" t="str">
            <v>EUR</v>
          </cell>
          <cell r="D1125" t="str">
            <v>SMB</v>
          </cell>
        </row>
        <row r="1126">
          <cell r="C1126" t="str">
            <v>Kur Sabitleme</v>
          </cell>
          <cell r="D1126" t="str">
            <v>SMB</v>
          </cell>
        </row>
        <row r="1127">
          <cell r="C1127" t="str">
            <v>PESA ELEKTRIK MALZEMELERI SAN. ve TIC. LTD. STI.</v>
          </cell>
          <cell r="D1127" t="str">
            <v>SMB</v>
          </cell>
          <cell r="E1127" t="str">
            <v>Üretim</v>
          </cell>
        </row>
        <row r="1128">
          <cell r="C1128" t="str">
            <v>TL</v>
          </cell>
          <cell r="D1128" t="str">
            <v>SMB</v>
          </cell>
        </row>
        <row r="1129">
          <cell r="C1129" t="str">
            <v>TL</v>
          </cell>
          <cell r="D1129" t="str">
            <v>SMB</v>
          </cell>
        </row>
        <row r="1130">
          <cell r="C1130" t="str">
            <v>USD</v>
          </cell>
          <cell r="D1130" t="str">
            <v>SMB</v>
          </cell>
        </row>
        <row r="1131">
          <cell r="C1131" t="str">
            <v>EUR</v>
          </cell>
          <cell r="D1131" t="str">
            <v>SMB</v>
          </cell>
        </row>
        <row r="1132">
          <cell r="C1132" t="str">
            <v>Kur Sabitleme</v>
          </cell>
          <cell r="D1132" t="str">
            <v>SMB</v>
          </cell>
        </row>
        <row r="1133">
          <cell r="C1133" t="str">
            <v>PİMMS ULUSLARARASI REKLAM ÜRÜNLERI A.S.</v>
          </cell>
          <cell r="D1133" t="str">
            <v>SMB</v>
          </cell>
          <cell r="E1133" t="e">
            <v>#N/A</v>
          </cell>
        </row>
        <row r="1134">
          <cell r="C1134" t="str">
            <v>TL</v>
          </cell>
          <cell r="D1134" t="str">
            <v>SMB</v>
          </cell>
        </row>
        <row r="1135">
          <cell r="C1135" t="str">
            <v>TL</v>
          </cell>
          <cell r="D1135" t="str">
            <v>SMB</v>
          </cell>
        </row>
        <row r="1136">
          <cell r="C1136" t="str">
            <v>USD</v>
          </cell>
          <cell r="D1136" t="str">
            <v>SMB</v>
          </cell>
        </row>
        <row r="1137">
          <cell r="C1137" t="str">
            <v>USD</v>
          </cell>
          <cell r="D1137" t="str">
            <v>SMB</v>
          </cell>
        </row>
        <row r="1138">
          <cell r="C1138" t="str">
            <v>EUR</v>
          </cell>
          <cell r="D1138" t="str">
            <v>SMB</v>
          </cell>
        </row>
        <row r="1139">
          <cell r="C1139" t="str">
            <v>Kur Sabitleme</v>
          </cell>
          <cell r="D1139" t="str">
            <v>SMB</v>
          </cell>
        </row>
        <row r="1140">
          <cell r="C1140" t="str">
            <v>PMA BİLİŞİM A.Ş.</v>
          </cell>
          <cell r="D1140" t="str">
            <v>SMB</v>
          </cell>
          <cell r="E1140" t="str">
            <v>Diğer</v>
          </cell>
        </row>
        <row r="1141">
          <cell r="C1141" t="str">
            <v>TL</v>
          </cell>
          <cell r="D1141" t="str">
            <v>SMB</v>
          </cell>
        </row>
        <row r="1142">
          <cell r="C1142" t="str">
            <v>USD</v>
          </cell>
          <cell r="D1142" t="str">
            <v>SMB</v>
          </cell>
        </row>
        <row r="1143">
          <cell r="C1143" t="str">
            <v>EUR</v>
          </cell>
          <cell r="D1143" t="str">
            <v>SMB</v>
          </cell>
        </row>
        <row r="1144">
          <cell r="C1144" t="str">
            <v>Kur Sabitleme</v>
          </cell>
          <cell r="D1144" t="str">
            <v>SMB</v>
          </cell>
        </row>
        <row r="1145">
          <cell r="C1145" t="str">
            <v>POZITIF GÜMRÜK MÜSAVIRLIGI HIZMETLERI LTD. STI.</v>
          </cell>
          <cell r="D1145" t="str">
            <v>SMB</v>
          </cell>
          <cell r="E1145" t="str">
            <v>Lojistik</v>
          </cell>
        </row>
        <row r="1146">
          <cell r="C1146" t="str">
            <v>TL</v>
          </cell>
          <cell r="D1146" t="str">
            <v>SMB</v>
          </cell>
        </row>
        <row r="1147">
          <cell r="C1147" t="str">
            <v>TL</v>
          </cell>
          <cell r="D1147" t="str">
            <v>SMB</v>
          </cell>
        </row>
        <row r="1148">
          <cell r="C1148" t="str">
            <v>USD</v>
          </cell>
          <cell r="D1148" t="str">
            <v>SMB</v>
          </cell>
        </row>
        <row r="1149">
          <cell r="C1149" t="str">
            <v>USD</v>
          </cell>
          <cell r="D1149" t="str">
            <v>SMB</v>
          </cell>
        </row>
        <row r="1150">
          <cell r="C1150" t="str">
            <v>USD</v>
          </cell>
          <cell r="D1150" t="str">
            <v>SMB</v>
          </cell>
        </row>
        <row r="1151">
          <cell r="C1151" t="str">
            <v>USD</v>
          </cell>
          <cell r="D1151" t="str">
            <v>SMB</v>
          </cell>
        </row>
        <row r="1152">
          <cell r="C1152" t="str">
            <v>USD</v>
          </cell>
          <cell r="D1152" t="str">
            <v>SMB</v>
          </cell>
        </row>
        <row r="1153">
          <cell r="C1153" t="str">
            <v>EUR</v>
          </cell>
          <cell r="D1153" t="str">
            <v>SMB</v>
          </cell>
        </row>
        <row r="1154">
          <cell r="C1154" t="str">
            <v>Kur Sabitleme</v>
          </cell>
          <cell r="D1154" t="str">
            <v>SMB</v>
          </cell>
        </row>
        <row r="1155">
          <cell r="C1155" t="str">
            <v>PRO ILETISIM DAN. LTD.STI.</v>
          </cell>
          <cell r="D1155" t="str">
            <v>SMB</v>
          </cell>
          <cell r="E1155" t="str">
            <v>Genel</v>
          </cell>
        </row>
        <row r="1156">
          <cell r="C1156" t="str">
            <v>TL</v>
          </cell>
          <cell r="D1156" t="str">
            <v>SMB</v>
          </cell>
        </row>
        <row r="1157">
          <cell r="C1157" t="str">
            <v>USD</v>
          </cell>
          <cell r="D1157" t="str">
            <v>SMB</v>
          </cell>
        </row>
        <row r="1158">
          <cell r="C1158" t="str">
            <v>USD</v>
          </cell>
          <cell r="D1158" t="str">
            <v>SMB</v>
          </cell>
        </row>
        <row r="1159">
          <cell r="C1159" t="str">
            <v>EUR</v>
          </cell>
          <cell r="D1159" t="str">
            <v>SMB</v>
          </cell>
        </row>
        <row r="1160">
          <cell r="C1160" t="str">
            <v>Kur Sabitleme</v>
          </cell>
          <cell r="D1160" t="str">
            <v>SMB</v>
          </cell>
        </row>
        <row r="1161">
          <cell r="C1161" t="str">
            <v>PROBI INSAAT PROJE BILGI ISLEM MERKEZI A.S.</v>
          </cell>
          <cell r="D1161" t="str">
            <v>SMB</v>
          </cell>
          <cell r="E1161" t="e">
            <v>#N/A</v>
          </cell>
        </row>
        <row r="1162">
          <cell r="C1162" t="str">
            <v>TL</v>
          </cell>
          <cell r="D1162" t="str">
            <v>SMB</v>
          </cell>
        </row>
        <row r="1163">
          <cell r="C1163" t="str">
            <v>USD</v>
          </cell>
          <cell r="D1163" t="str">
            <v>SMB</v>
          </cell>
        </row>
        <row r="1164">
          <cell r="C1164" t="str">
            <v>EUR</v>
          </cell>
          <cell r="D1164" t="str">
            <v>SMB</v>
          </cell>
        </row>
        <row r="1165">
          <cell r="C1165" t="str">
            <v>Kur Sabitleme</v>
          </cell>
          <cell r="D1165" t="str">
            <v>SMB</v>
          </cell>
        </row>
        <row r="1166">
          <cell r="C1166" t="str">
            <v>PROSES MÜHENDISLIK ARITMA SISTEMLERI.INS.SAN.TIC.L</v>
          </cell>
          <cell r="D1166" t="str">
            <v>SMB</v>
          </cell>
          <cell r="E1166" t="str">
            <v>Diğer</v>
          </cell>
        </row>
        <row r="1167">
          <cell r="C1167" t="str">
            <v>TL</v>
          </cell>
          <cell r="D1167" t="str">
            <v>SMB</v>
          </cell>
        </row>
        <row r="1168">
          <cell r="C1168" t="str">
            <v>USD</v>
          </cell>
          <cell r="D1168" t="str">
            <v>SMB</v>
          </cell>
        </row>
        <row r="1169">
          <cell r="C1169" t="str">
            <v>USD</v>
          </cell>
          <cell r="D1169" t="str">
            <v>SMB</v>
          </cell>
        </row>
        <row r="1170">
          <cell r="C1170" t="str">
            <v>USD</v>
          </cell>
          <cell r="D1170" t="str">
            <v>SMB</v>
          </cell>
        </row>
        <row r="1171">
          <cell r="C1171" t="str">
            <v>EUR</v>
          </cell>
          <cell r="D1171" t="str">
            <v>SMB</v>
          </cell>
        </row>
        <row r="1172">
          <cell r="C1172" t="str">
            <v>Kur Sabitleme</v>
          </cell>
          <cell r="D1172" t="str">
            <v>SMB</v>
          </cell>
        </row>
        <row r="1173">
          <cell r="C1173" t="str">
            <v>PROTEL BILGISAYAR  A.Ş. - SMB</v>
          </cell>
          <cell r="D1173" t="str">
            <v>SMB</v>
          </cell>
          <cell r="E1173" t="e">
            <v>#N/A</v>
          </cell>
        </row>
        <row r="1174">
          <cell r="C1174" t="str">
            <v>TL</v>
          </cell>
          <cell r="D1174" t="str">
            <v>SMB</v>
          </cell>
        </row>
        <row r="1175">
          <cell r="C1175" t="str">
            <v>USD</v>
          </cell>
          <cell r="D1175" t="str">
            <v>SMB</v>
          </cell>
        </row>
        <row r="1176">
          <cell r="C1176" t="str">
            <v>EUR</v>
          </cell>
          <cell r="D1176" t="str">
            <v>SMB</v>
          </cell>
        </row>
        <row r="1177">
          <cell r="C1177" t="str">
            <v>Kur Sabitleme</v>
          </cell>
          <cell r="D1177" t="str">
            <v>SMB</v>
          </cell>
        </row>
        <row r="1178">
          <cell r="C1178" t="str">
            <v>PROTEL BILGISAYAR  A.Ş.</v>
          </cell>
          <cell r="D1178" t="str">
            <v>Enterprise</v>
          </cell>
          <cell r="E1178" t="str">
            <v>Teknoloji</v>
          </cell>
        </row>
        <row r="1179">
          <cell r="C1179" t="str">
            <v>TL</v>
          </cell>
          <cell r="D1179" t="str">
            <v>Enterprise</v>
          </cell>
        </row>
        <row r="1180">
          <cell r="C1180" t="str">
            <v>USD</v>
          </cell>
          <cell r="D1180" t="str">
            <v>Enterprise</v>
          </cell>
        </row>
        <row r="1181">
          <cell r="C1181" t="str">
            <v>EUR</v>
          </cell>
          <cell r="D1181" t="str">
            <v>Enterprise</v>
          </cell>
        </row>
        <row r="1182">
          <cell r="C1182" t="str">
            <v>Kur Sabitleme</v>
          </cell>
          <cell r="D1182" t="str">
            <v>Enterprise</v>
          </cell>
        </row>
        <row r="1183">
          <cell r="C1183" t="str">
            <v>PSH PERAKENDE SATIS HIZMETLERI GIDA ANONIM SIRKETI</v>
          </cell>
          <cell r="D1183" t="str">
            <v>SMB</v>
          </cell>
          <cell r="E1183" t="e">
            <v>#N/A</v>
          </cell>
        </row>
        <row r="1184">
          <cell r="C1184" t="str">
            <v>TL</v>
          </cell>
          <cell r="D1184" t="str">
            <v>SMB</v>
          </cell>
        </row>
        <row r="1185">
          <cell r="C1185" t="str">
            <v>USD</v>
          </cell>
          <cell r="D1185" t="str">
            <v>SMB</v>
          </cell>
        </row>
        <row r="1186">
          <cell r="C1186" t="str">
            <v>EUR</v>
          </cell>
          <cell r="D1186" t="str">
            <v>SMB</v>
          </cell>
        </row>
        <row r="1187">
          <cell r="C1187" t="str">
            <v>Kur Sabitleme</v>
          </cell>
          <cell r="D1187" t="str">
            <v>SMB</v>
          </cell>
        </row>
        <row r="1188">
          <cell r="C1188" t="str">
            <v>PUSULA GÖRSEL VE DIJITAL PLATFORM LTD.STI.</v>
          </cell>
          <cell r="D1188" t="str">
            <v>SMB</v>
          </cell>
          <cell r="E1188" t="str">
            <v>Diğer</v>
          </cell>
        </row>
        <row r="1189">
          <cell r="C1189" t="str">
            <v>TL</v>
          </cell>
          <cell r="D1189" t="str">
            <v>SMB</v>
          </cell>
        </row>
        <row r="1190">
          <cell r="C1190" t="str">
            <v>TL</v>
          </cell>
          <cell r="D1190" t="str">
            <v>SMB</v>
          </cell>
        </row>
        <row r="1191">
          <cell r="C1191" t="str">
            <v>USD</v>
          </cell>
          <cell r="D1191" t="str">
            <v>SMB</v>
          </cell>
        </row>
        <row r="1192">
          <cell r="C1192" t="str">
            <v>EUR</v>
          </cell>
          <cell r="D1192" t="str">
            <v>SMB</v>
          </cell>
        </row>
        <row r="1193">
          <cell r="C1193" t="str">
            <v>Kur Sabitleme</v>
          </cell>
          <cell r="D1193" t="str">
            <v>SMB</v>
          </cell>
        </row>
        <row r="1194">
          <cell r="C1194" t="str">
            <v>QATARİ DİAR İSTANBUL GAYRİMENKUL GELİŞTİRME YATIRI</v>
          </cell>
          <cell r="D1194" t="str">
            <v>SMB</v>
          </cell>
          <cell r="E1194" t="e">
            <v>#N/A</v>
          </cell>
        </row>
        <row r="1195">
          <cell r="C1195" t="str">
            <v>TL</v>
          </cell>
          <cell r="D1195" t="str">
            <v>SMB</v>
          </cell>
        </row>
        <row r="1196">
          <cell r="C1196" t="str">
            <v>USD</v>
          </cell>
          <cell r="D1196" t="str">
            <v>SMB</v>
          </cell>
        </row>
        <row r="1197">
          <cell r="C1197" t="str">
            <v>EUR</v>
          </cell>
          <cell r="D1197" t="str">
            <v>SMB</v>
          </cell>
        </row>
        <row r="1198">
          <cell r="C1198" t="str">
            <v>Kur Sabitleme</v>
          </cell>
          <cell r="D1198" t="str">
            <v>SMB</v>
          </cell>
        </row>
        <row r="1199">
          <cell r="C1199" t="str">
            <v>RAFINERI REKLAMCILIK HIZ.TIC.VE A.S</v>
          </cell>
          <cell r="D1199" t="str">
            <v>SMB</v>
          </cell>
          <cell r="E1199" t="str">
            <v>Diğer</v>
          </cell>
        </row>
        <row r="1200">
          <cell r="C1200" t="str">
            <v>TL</v>
          </cell>
          <cell r="D1200" t="str">
            <v>SMB</v>
          </cell>
        </row>
        <row r="1201">
          <cell r="C1201" t="str">
            <v>TL</v>
          </cell>
          <cell r="D1201" t="str">
            <v>SMB</v>
          </cell>
        </row>
        <row r="1202">
          <cell r="C1202" t="str">
            <v>USD</v>
          </cell>
          <cell r="D1202" t="str">
            <v>SMB</v>
          </cell>
        </row>
        <row r="1203">
          <cell r="C1203" t="str">
            <v>USD</v>
          </cell>
          <cell r="D1203" t="str">
            <v>SMB</v>
          </cell>
        </row>
        <row r="1204">
          <cell r="C1204" t="str">
            <v>EUR</v>
          </cell>
          <cell r="D1204" t="str">
            <v>SMB</v>
          </cell>
        </row>
        <row r="1205">
          <cell r="C1205" t="str">
            <v>Kur Sabitleme</v>
          </cell>
          <cell r="D1205" t="str">
            <v>SMB</v>
          </cell>
        </row>
        <row r="1206">
          <cell r="C1206" t="str">
            <v>REFORM CNC,LOJISTIK VE GERI DÖNÜSÜM SISTEMLERI GÖR</v>
          </cell>
          <cell r="D1206" t="str">
            <v>SMB</v>
          </cell>
          <cell r="E1206" t="str">
            <v>Üretim</v>
          </cell>
        </row>
        <row r="1207">
          <cell r="C1207" t="str">
            <v>TL</v>
          </cell>
          <cell r="D1207" t="str">
            <v>SMB</v>
          </cell>
        </row>
        <row r="1208">
          <cell r="C1208" t="str">
            <v>USD</v>
          </cell>
          <cell r="D1208" t="str">
            <v>SMB</v>
          </cell>
        </row>
        <row r="1209">
          <cell r="C1209" t="str">
            <v>EUR</v>
          </cell>
          <cell r="D1209" t="str">
            <v>SMB</v>
          </cell>
        </row>
        <row r="1210">
          <cell r="C1210" t="str">
            <v>Kur Sabitleme</v>
          </cell>
          <cell r="D1210" t="str">
            <v>SMB</v>
          </cell>
        </row>
        <row r="1211">
          <cell r="C1211" t="str">
            <v>REISSWOLF DÖKÜMAN YÖNETIMI HIZMETLERI A.S.</v>
          </cell>
          <cell r="D1211" t="str">
            <v>SMB</v>
          </cell>
          <cell r="E1211" t="str">
            <v>Diğer</v>
          </cell>
        </row>
        <row r="1212">
          <cell r="C1212" t="str">
            <v>TL</v>
          </cell>
          <cell r="D1212" t="str">
            <v>SMB</v>
          </cell>
        </row>
        <row r="1213">
          <cell r="C1213" t="str">
            <v>TL</v>
          </cell>
          <cell r="D1213" t="str">
            <v>SMB</v>
          </cell>
        </row>
        <row r="1214">
          <cell r="C1214" t="str">
            <v>TL</v>
          </cell>
          <cell r="D1214" t="str">
            <v>SMB</v>
          </cell>
        </row>
        <row r="1215">
          <cell r="C1215" t="str">
            <v>USD</v>
          </cell>
          <cell r="D1215" t="str">
            <v>SMB</v>
          </cell>
        </row>
        <row r="1216">
          <cell r="C1216" t="str">
            <v>USD</v>
          </cell>
          <cell r="D1216" t="str">
            <v>SMB</v>
          </cell>
        </row>
        <row r="1217">
          <cell r="C1217" t="str">
            <v>EUR</v>
          </cell>
          <cell r="D1217" t="str">
            <v>SMB</v>
          </cell>
        </row>
        <row r="1218">
          <cell r="C1218" t="str">
            <v>Kur Sabitleme</v>
          </cell>
          <cell r="D1218" t="str">
            <v>SMB</v>
          </cell>
        </row>
        <row r="1219">
          <cell r="C1219" t="str">
            <v>REM MIMARLIK DEKORASYON RESTORASYON PROJE VE TAAH.</v>
          </cell>
          <cell r="D1219" t="str">
            <v>SMB</v>
          </cell>
          <cell r="E1219" t="str">
            <v>Genel</v>
          </cell>
        </row>
        <row r="1220">
          <cell r="C1220" t="str">
            <v>TL</v>
          </cell>
          <cell r="D1220" t="str">
            <v>SMB</v>
          </cell>
        </row>
        <row r="1221">
          <cell r="C1221" t="str">
            <v>USD</v>
          </cell>
          <cell r="D1221" t="str">
            <v>SMB</v>
          </cell>
        </row>
        <row r="1222">
          <cell r="C1222" t="str">
            <v>EUR</v>
          </cell>
          <cell r="D1222" t="str">
            <v>SMB</v>
          </cell>
        </row>
        <row r="1223">
          <cell r="C1223" t="str">
            <v>Kur Sabitleme</v>
          </cell>
          <cell r="D1223" t="str">
            <v>SMB</v>
          </cell>
        </row>
        <row r="1224">
          <cell r="C1224" t="str">
            <v>SAFİ REZİSTANS IMALAT SAN.SAFI YILMAZ</v>
          </cell>
          <cell r="D1224" t="str">
            <v>SMB</v>
          </cell>
          <cell r="E1224" t="str">
            <v>Üretim</v>
          </cell>
        </row>
        <row r="1225">
          <cell r="C1225" t="str">
            <v>TL</v>
          </cell>
          <cell r="D1225" t="str">
            <v>SMB</v>
          </cell>
        </row>
        <row r="1226">
          <cell r="C1226" t="str">
            <v>USD</v>
          </cell>
          <cell r="D1226" t="str">
            <v>SMB</v>
          </cell>
        </row>
        <row r="1227">
          <cell r="C1227" t="str">
            <v>USD</v>
          </cell>
          <cell r="D1227" t="str">
            <v>SMB</v>
          </cell>
        </row>
        <row r="1228">
          <cell r="C1228" t="str">
            <v>USD</v>
          </cell>
          <cell r="D1228" t="str">
            <v>SMB</v>
          </cell>
        </row>
        <row r="1229">
          <cell r="C1229" t="str">
            <v>EUR</v>
          </cell>
          <cell r="D1229" t="str">
            <v>SMB</v>
          </cell>
        </row>
        <row r="1230">
          <cell r="C1230" t="str">
            <v>Kur Sabitleme</v>
          </cell>
          <cell r="D1230" t="str">
            <v>SMB</v>
          </cell>
        </row>
        <row r="1231">
          <cell r="C1231" t="str">
            <v>SAĞLIK BAHÇESİ EĞ. ARŞ. DAN VE İLETİŞİM A.Ş</v>
          </cell>
          <cell r="D1231" t="str">
            <v>SMB</v>
          </cell>
          <cell r="E1231" t="e">
            <v>#N/A</v>
          </cell>
        </row>
        <row r="1232">
          <cell r="C1232" t="str">
            <v>TL</v>
          </cell>
          <cell r="D1232" t="str">
            <v>SMB</v>
          </cell>
        </row>
        <row r="1233">
          <cell r="C1233" t="str">
            <v>USD</v>
          </cell>
          <cell r="D1233" t="str">
            <v>SMB</v>
          </cell>
        </row>
        <row r="1234">
          <cell r="C1234" t="str">
            <v>EUR</v>
          </cell>
          <cell r="D1234" t="str">
            <v>SMB</v>
          </cell>
        </row>
        <row r="1235">
          <cell r="C1235" t="str">
            <v>Kur Sabitleme</v>
          </cell>
          <cell r="D1235" t="str">
            <v>SMB</v>
          </cell>
        </row>
        <row r="1236">
          <cell r="C1236" t="str">
            <v>SAHİBİNDEN BILGI.TEKN.PAZ.VE TIC.A.S</v>
          </cell>
          <cell r="D1236" t="str">
            <v>Enterprise</v>
          </cell>
          <cell r="E1236" t="str">
            <v>Digital</v>
          </cell>
        </row>
        <row r="1237">
          <cell r="C1237" t="str">
            <v>TL</v>
          </cell>
          <cell r="D1237" t="str">
            <v>Enterprise</v>
          </cell>
        </row>
        <row r="1238">
          <cell r="C1238" t="str">
            <v>TL</v>
          </cell>
          <cell r="D1238" t="str">
            <v>Enterprise</v>
          </cell>
        </row>
        <row r="1239">
          <cell r="C1239" t="str">
            <v>TL</v>
          </cell>
          <cell r="D1239" t="str">
            <v>Enterprise</v>
          </cell>
        </row>
        <row r="1240">
          <cell r="C1240" t="str">
            <v>USD</v>
          </cell>
          <cell r="D1240" t="str">
            <v>Enterprise</v>
          </cell>
        </row>
        <row r="1241">
          <cell r="C1241" t="str">
            <v>EUR</v>
          </cell>
          <cell r="D1241" t="str">
            <v>Enterprise</v>
          </cell>
        </row>
        <row r="1242">
          <cell r="C1242" t="str">
            <v>Kur Sabitleme</v>
          </cell>
          <cell r="D1242" t="str">
            <v>Enterprise</v>
          </cell>
        </row>
        <row r="1243">
          <cell r="C1243" t="str">
            <v>SAHLANLAR GIDA SAN.VE TICARET LTD.STI</v>
          </cell>
          <cell r="D1243" t="str">
            <v>SMB</v>
          </cell>
          <cell r="E1243" t="str">
            <v>Üretim</v>
          </cell>
        </row>
        <row r="1244">
          <cell r="C1244" t="str">
            <v>TL</v>
          </cell>
          <cell r="D1244" t="str">
            <v>SMB</v>
          </cell>
        </row>
        <row r="1245">
          <cell r="C1245" t="str">
            <v>USD</v>
          </cell>
          <cell r="D1245" t="str">
            <v>SMB</v>
          </cell>
        </row>
        <row r="1246">
          <cell r="C1246" t="str">
            <v>EUR</v>
          </cell>
          <cell r="D1246" t="str">
            <v>SMB</v>
          </cell>
        </row>
        <row r="1247">
          <cell r="C1247" t="str">
            <v>Kur Sabitleme</v>
          </cell>
          <cell r="D1247" t="str">
            <v>SMB</v>
          </cell>
        </row>
        <row r="1248">
          <cell r="C1248" t="str">
            <v>SAKLIKOY SPOR VE TUR (TAMER CANKAT)</v>
          </cell>
          <cell r="D1248" t="str">
            <v>SMB</v>
          </cell>
          <cell r="E1248" t="e">
            <v>#N/A</v>
          </cell>
        </row>
        <row r="1249">
          <cell r="C1249" t="str">
            <v>TL</v>
          </cell>
          <cell r="D1249" t="str">
            <v>SMB</v>
          </cell>
        </row>
        <row r="1250">
          <cell r="C1250" t="str">
            <v>USD</v>
          </cell>
          <cell r="D1250" t="str">
            <v>SMB</v>
          </cell>
        </row>
        <row r="1251">
          <cell r="C1251" t="str">
            <v>EUR</v>
          </cell>
          <cell r="D1251" t="str">
            <v>SMB</v>
          </cell>
        </row>
        <row r="1252">
          <cell r="C1252" t="str">
            <v>Kur Sabitleme</v>
          </cell>
          <cell r="D1252" t="str">
            <v>SMB</v>
          </cell>
        </row>
        <row r="1253">
          <cell r="C1253" t="str">
            <v>SANGO OTOMOTIV ÜRÜNLERI SANAYI VE TICARET A.S</v>
          </cell>
          <cell r="D1253" t="str">
            <v>SMB</v>
          </cell>
          <cell r="E1253" t="e">
            <v>#N/A</v>
          </cell>
        </row>
        <row r="1254">
          <cell r="C1254" t="str">
            <v>TL</v>
          </cell>
          <cell r="D1254" t="str">
            <v>SMB</v>
          </cell>
        </row>
        <row r="1255">
          <cell r="C1255" t="str">
            <v>USD</v>
          </cell>
          <cell r="D1255" t="str">
            <v>SMB</v>
          </cell>
        </row>
        <row r="1256">
          <cell r="C1256" t="str">
            <v>USD</v>
          </cell>
          <cell r="D1256" t="str">
            <v>SMB</v>
          </cell>
        </row>
        <row r="1257">
          <cell r="C1257" t="str">
            <v>EUR</v>
          </cell>
          <cell r="D1257" t="str">
            <v>SMB</v>
          </cell>
        </row>
        <row r="1258">
          <cell r="C1258" t="str">
            <v>Kur Sabitleme</v>
          </cell>
          <cell r="D1258" t="str">
            <v>SMB</v>
          </cell>
        </row>
        <row r="1259">
          <cell r="C1259" t="str">
            <v>SAREM MAKINA SAN.VE TIC.LTD.STI</v>
          </cell>
          <cell r="D1259" t="str">
            <v>SMB</v>
          </cell>
          <cell r="E1259" t="str">
            <v>Üretim</v>
          </cell>
        </row>
        <row r="1260">
          <cell r="C1260" t="str">
            <v>TL</v>
          </cell>
          <cell r="D1260" t="str">
            <v>SMB</v>
          </cell>
        </row>
        <row r="1261">
          <cell r="C1261" t="str">
            <v>TL</v>
          </cell>
          <cell r="D1261" t="str">
            <v>SMB</v>
          </cell>
        </row>
        <row r="1262">
          <cell r="C1262" t="str">
            <v>USD</v>
          </cell>
          <cell r="D1262" t="str">
            <v>SMB</v>
          </cell>
        </row>
        <row r="1263">
          <cell r="C1263" t="str">
            <v>USD</v>
          </cell>
          <cell r="D1263" t="str">
            <v>SMB</v>
          </cell>
        </row>
        <row r="1264">
          <cell r="C1264" t="str">
            <v>USD</v>
          </cell>
          <cell r="D1264" t="str">
            <v>SMB</v>
          </cell>
        </row>
        <row r="1265">
          <cell r="C1265" t="str">
            <v>USD</v>
          </cell>
          <cell r="D1265" t="str">
            <v>SMB</v>
          </cell>
        </row>
        <row r="1266">
          <cell r="C1266" t="str">
            <v>EUR</v>
          </cell>
          <cell r="D1266" t="str">
            <v>SMB</v>
          </cell>
        </row>
        <row r="1267">
          <cell r="C1267" t="str">
            <v>Kur Sabitleme</v>
          </cell>
          <cell r="D1267" t="str">
            <v>SMB</v>
          </cell>
        </row>
        <row r="1268">
          <cell r="C1268" t="str">
            <v>ŞEKER SIGORTA A.S.</v>
          </cell>
          <cell r="D1268" t="str">
            <v>SMB</v>
          </cell>
          <cell r="E1268" t="e">
            <v>#N/A</v>
          </cell>
        </row>
        <row r="1269">
          <cell r="C1269" t="str">
            <v>TL</v>
          </cell>
          <cell r="D1269" t="str">
            <v>SMB</v>
          </cell>
        </row>
        <row r="1270">
          <cell r="C1270" t="str">
            <v>USD</v>
          </cell>
          <cell r="D1270" t="str">
            <v>SMB</v>
          </cell>
        </row>
        <row r="1271">
          <cell r="C1271" t="str">
            <v>EUR</v>
          </cell>
          <cell r="D1271" t="str">
            <v>SMB</v>
          </cell>
        </row>
        <row r="1272">
          <cell r="C1272" t="str">
            <v>Kur Sabitleme</v>
          </cell>
          <cell r="D1272" t="str">
            <v>SMB</v>
          </cell>
        </row>
        <row r="1273">
          <cell r="C1273" t="str">
            <v>ŞEKER YATIRIM MENKUL DEGERLER A.S.</v>
          </cell>
          <cell r="D1273" t="str">
            <v>Enterprise</v>
          </cell>
          <cell r="E1273" t="str">
            <v>Finans</v>
          </cell>
        </row>
        <row r="1274">
          <cell r="C1274" t="str">
            <v>TL</v>
          </cell>
          <cell r="D1274" t="str">
            <v>Enterprise</v>
          </cell>
        </row>
        <row r="1275">
          <cell r="C1275" t="str">
            <v>USD</v>
          </cell>
          <cell r="D1275" t="str">
            <v>Enterprise</v>
          </cell>
        </row>
        <row r="1276">
          <cell r="C1276" t="str">
            <v>USD</v>
          </cell>
          <cell r="D1276" t="str">
            <v>Enterprise</v>
          </cell>
        </row>
        <row r="1277">
          <cell r="C1277" t="str">
            <v>EUR</v>
          </cell>
          <cell r="D1277" t="str">
            <v>Enterprise</v>
          </cell>
        </row>
        <row r="1278">
          <cell r="C1278" t="str">
            <v>Kur Sabitleme</v>
          </cell>
          <cell r="D1278" t="str">
            <v>Enterprise</v>
          </cell>
        </row>
        <row r="1279">
          <cell r="C1279" t="str">
            <v>ALTIUM INTERNATIONAL LABORATUVAR CİHAZLARI A.Ş.</v>
          </cell>
          <cell r="D1279" t="str">
            <v>SMB</v>
          </cell>
          <cell r="E1279" t="e">
            <v>#N/A</v>
          </cell>
        </row>
        <row r="1280">
          <cell r="C1280" t="str">
            <v>TL</v>
          </cell>
          <cell r="D1280" t="str">
            <v>SMB</v>
          </cell>
        </row>
        <row r="1281">
          <cell r="C1281" t="str">
            <v>USD</v>
          </cell>
          <cell r="D1281" t="str">
            <v>SMB</v>
          </cell>
        </row>
        <row r="1282">
          <cell r="C1282" t="str">
            <v>EUR</v>
          </cell>
          <cell r="D1282" t="str">
            <v>SMB</v>
          </cell>
        </row>
        <row r="1283">
          <cell r="C1283" t="str">
            <v>Kur Sabitleme</v>
          </cell>
          <cell r="D1283" t="str">
            <v>SMB</v>
          </cell>
        </row>
        <row r="1284">
          <cell r="C1284" t="str">
            <v>ŞENER OTO YEDEK PARÇA SANAYI.TIC.A.S</v>
          </cell>
          <cell r="D1284" t="str">
            <v>SMB</v>
          </cell>
          <cell r="E1284" t="str">
            <v>Genel</v>
          </cell>
        </row>
        <row r="1285">
          <cell r="C1285" t="str">
            <v>TL</v>
          </cell>
          <cell r="D1285" t="str">
            <v>SMB</v>
          </cell>
        </row>
        <row r="1286">
          <cell r="C1286" t="str">
            <v>USD</v>
          </cell>
          <cell r="D1286" t="str">
            <v>SMB</v>
          </cell>
        </row>
        <row r="1287">
          <cell r="C1287" t="str">
            <v>USD</v>
          </cell>
          <cell r="D1287" t="str">
            <v>SMB</v>
          </cell>
        </row>
        <row r="1288">
          <cell r="C1288" t="str">
            <v>EUR</v>
          </cell>
          <cell r="D1288" t="str">
            <v>SMB</v>
          </cell>
        </row>
        <row r="1289">
          <cell r="C1289" t="str">
            <v>Kur Sabitleme</v>
          </cell>
          <cell r="D1289" t="str">
            <v>SMB</v>
          </cell>
        </row>
        <row r="1290">
          <cell r="C1290" t="str">
            <v>DEMANT ISITME CIHAZLARI SAN.VE TIC.A.S. (SES)</v>
          </cell>
          <cell r="D1290" t="str">
            <v>SMB</v>
          </cell>
          <cell r="E1290" t="str">
            <v>Sağlık</v>
          </cell>
        </row>
        <row r="1291">
          <cell r="C1291" t="str">
            <v>TL</v>
          </cell>
          <cell r="D1291" t="str">
            <v>SMB</v>
          </cell>
        </row>
        <row r="1292">
          <cell r="C1292" t="str">
            <v>USD</v>
          </cell>
          <cell r="D1292" t="str">
            <v>SMB</v>
          </cell>
        </row>
        <row r="1293">
          <cell r="C1293" t="str">
            <v>USD</v>
          </cell>
          <cell r="D1293" t="str">
            <v>SMB</v>
          </cell>
        </row>
        <row r="1294">
          <cell r="C1294" t="str">
            <v>EUR</v>
          </cell>
          <cell r="D1294" t="str">
            <v>SMB</v>
          </cell>
        </row>
        <row r="1295">
          <cell r="C1295" t="str">
            <v>Kur Sabitleme</v>
          </cell>
          <cell r="D1295" t="str">
            <v>SMB</v>
          </cell>
        </row>
        <row r="1296">
          <cell r="C1296" t="str">
            <v>SETA SİSTEM ÇÖZÜMLERİ MÜH. LTD. ŞTİ.</v>
          </cell>
          <cell r="D1296" t="str">
            <v>SMB</v>
          </cell>
          <cell r="E1296" t="str">
            <v>Diğer</v>
          </cell>
        </row>
        <row r="1297">
          <cell r="C1297" t="str">
            <v>TL</v>
          </cell>
          <cell r="D1297" t="str">
            <v>SMB</v>
          </cell>
        </row>
        <row r="1298">
          <cell r="C1298" t="str">
            <v>USD</v>
          </cell>
          <cell r="D1298" t="str">
            <v>SMB</v>
          </cell>
        </row>
        <row r="1299">
          <cell r="C1299" t="str">
            <v>USD</v>
          </cell>
          <cell r="D1299" t="str">
            <v>SMB</v>
          </cell>
        </row>
        <row r="1300">
          <cell r="C1300" t="str">
            <v>EUR</v>
          </cell>
          <cell r="D1300" t="str">
            <v>SMB</v>
          </cell>
        </row>
        <row r="1301">
          <cell r="C1301" t="str">
            <v>Kur Sabitleme</v>
          </cell>
          <cell r="D1301" t="str">
            <v>SMB</v>
          </cell>
        </row>
        <row r="1302">
          <cell r="C1302" t="str">
            <v>SEZER TEKSTIL SAN.TIC.A.S</v>
          </cell>
          <cell r="D1302" t="str">
            <v>SMB</v>
          </cell>
          <cell r="E1302" t="e">
            <v>#N/A</v>
          </cell>
        </row>
        <row r="1303">
          <cell r="C1303" t="str">
            <v>TL</v>
          </cell>
          <cell r="D1303" t="str">
            <v>SMB</v>
          </cell>
        </row>
        <row r="1304">
          <cell r="C1304" t="str">
            <v>TL</v>
          </cell>
          <cell r="D1304" t="str">
            <v>SMB</v>
          </cell>
        </row>
        <row r="1305">
          <cell r="C1305" t="str">
            <v>USD</v>
          </cell>
          <cell r="D1305" t="str">
            <v>SMB</v>
          </cell>
        </row>
        <row r="1306">
          <cell r="C1306" t="str">
            <v>USD</v>
          </cell>
          <cell r="D1306" t="str">
            <v>SMB</v>
          </cell>
        </row>
        <row r="1307">
          <cell r="C1307" t="str">
            <v>EUR</v>
          </cell>
          <cell r="D1307" t="str">
            <v>SMB</v>
          </cell>
        </row>
        <row r="1308">
          <cell r="C1308" t="str">
            <v>Kur Sabitleme</v>
          </cell>
          <cell r="D1308" t="str">
            <v>SMB</v>
          </cell>
        </row>
        <row r="1309">
          <cell r="C1309" t="str">
            <v>SHAYA MAGAZACILIK A.Ş.</v>
          </cell>
          <cell r="D1309" t="str">
            <v>SMB</v>
          </cell>
          <cell r="E1309" t="e">
            <v>#N/A</v>
          </cell>
        </row>
        <row r="1310">
          <cell r="C1310" t="str">
            <v>TL</v>
          </cell>
          <cell r="D1310" t="str">
            <v>SMB</v>
          </cell>
        </row>
        <row r="1311">
          <cell r="C1311" t="str">
            <v>TL</v>
          </cell>
          <cell r="D1311" t="str">
            <v>SMB</v>
          </cell>
        </row>
        <row r="1312">
          <cell r="C1312" t="str">
            <v>USD</v>
          </cell>
          <cell r="D1312" t="str">
            <v>SMB</v>
          </cell>
        </row>
        <row r="1313">
          <cell r="C1313" t="str">
            <v>EUR</v>
          </cell>
          <cell r="D1313" t="str">
            <v>SMB</v>
          </cell>
        </row>
        <row r="1314">
          <cell r="C1314" t="str">
            <v>Kur Sabitleme</v>
          </cell>
          <cell r="D1314" t="str">
            <v>SMB</v>
          </cell>
        </row>
        <row r="1315">
          <cell r="C1315" t="str">
            <v>SİLKAR TURİZM YATIRIM VE İŞLETMELERİ A.Ş</v>
          </cell>
          <cell r="D1315" t="str">
            <v>SMB</v>
          </cell>
          <cell r="E1315" t="e">
            <v>#N/A</v>
          </cell>
        </row>
        <row r="1316">
          <cell r="C1316" t="str">
            <v>TL</v>
          </cell>
          <cell r="D1316" t="str">
            <v>SMB</v>
          </cell>
        </row>
        <row r="1317">
          <cell r="C1317" t="str">
            <v>USD</v>
          </cell>
          <cell r="D1317" t="str">
            <v>SMB</v>
          </cell>
        </row>
        <row r="1318">
          <cell r="C1318" t="str">
            <v>EUR</v>
          </cell>
          <cell r="D1318" t="str">
            <v>SMB</v>
          </cell>
        </row>
        <row r="1319">
          <cell r="C1319" t="str">
            <v>Kur Sabitleme</v>
          </cell>
          <cell r="D1319" t="str">
            <v>SMB</v>
          </cell>
        </row>
        <row r="1320">
          <cell r="C1320" t="str">
            <v>ŞÖLEN ÇIKOLATA GIDA</v>
          </cell>
          <cell r="D1320" t="str">
            <v>Enterprise</v>
          </cell>
          <cell r="E1320" t="str">
            <v>Üretim</v>
          </cell>
        </row>
        <row r="1321">
          <cell r="C1321" t="str">
            <v>TL</v>
          </cell>
          <cell r="D1321" t="str">
            <v>Enterprise</v>
          </cell>
        </row>
        <row r="1322">
          <cell r="C1322" t="str">
            <v>USD</v>
          </cell>
          <cell r="D1322" t="str">
            <v>Enterprise</v>
          </cell>
        </row>
        <row r="1323">
          <cell r="C1323" t="str">
            <v>EUR</v>
          </cell>
          <cell r="D1323" t="str">
            <v>Enterprise</v>
          </cell>
        </row>
        <row r="1324">
          <cell r="C1324" t="str">
            <v>Kur Sabitleme</v>
          </cell>
          <cell r="D1324" t="str">
            <v>Enterprise</v>
          </cell>
        </row>
        <row r="1325">
          <cell r="C1325" t="str">
            <v>SOLIDICT YAZILIM DANISMANLIK VE BILISIM TEKNOLOJIL</v>
          </cell>
          <cell r="D1325" t="str">
            <v>SMB</v>
          </cell>
          <cell r="E1325" t="e">
            <v>#N/A</v>
          </cell>
        </row>
        <row r="1326">
          <cell r="C1326" t="str">
            <v>TL</v>
          </cell>
          <cell r="D1326" t="str">
            <v>SMB</v>
          </cell>
        </row>
        <row r="1327">
          <cell r="C1327" t="str">
            <v>USD</v>
          </cell>
          <cell r="D1327" t="str">
            <v>SMB</v>
          </cell>
        </row>
        <row r="1328">
          <cell r="C1328" t="str">
            <v>EUR</v>
          </cell>
          <cell r="D1328" t="str">
            <v>SMB</v>
          </cell>
        </row>
        <row r="1329">
          <cell r="C1329" t="str">
            <v>Kur Sabitleme</v>
          </cell>
          <cell r="D1329" t="str">
            <v>SMB</v>
          </cell>
        </row>
        <row r="1330">
          <cell r="C1330" t="str">
            <v>SOYKP IS MERKEZI ISLETMECILIGI A.S.</v>
          </cell>
          <cell r="D1330" t="str">
            <v>SMB</v>
          </cell>
          <cell r="E1330" t="e">
            <v>#N/A</v>
          </cell>
        </row>
        <row r="1331">
          <cell r="C1331" t="str">
            <v>TL</v>
          </cell>
          <cell r="D1331" t="str">
            <v>SMB</v>
          </cell>
        </row>
        <row r="1332">
          <cell r="C1332" t="str">
            <v>USD</v>
          </cell>
          <cell r="D1332" t="str">
            <v>SMB</v>
          </cell>
        </row>
        <row r="1333">
          <cell r="C1333" t="str">
            <v>EUR</v>
          </cell>
          <cell r="D1333" t="str">
            <v>SMB</v>
          </cell>
        </row>
        <row r="1334">
          <cell r="C1334" t="str">
            <v>Kur Sabitleme</v>
          </cell>
          <cell r="D1334" t="str">
            <v>SMB</v>
          </cell>
        </row>
        <row r="1335">
          <cell r="C1335" t="str">
            <v>STRADA SEYAHAT ACENTELIGI LTD. STI</v>
          </cell>
          <cell r="D1335" t="str">
            <v>SMB</v>
          </cell>
          <cell r="E1335" t="e">
            <v>#N/A</v>
          </cell>
        </row>
        <row r="1336">
          <cell r="C1336" t="str">
            <v>TL</v>
          </cell>
          <cell r="D1336" t="str">
            <v>SMB</v>
          </cell>
        </row>
        <row r="1337">
          <cell r="C1337" t="str">
            <v>USD</v>
          </cell>
          <cell r="D1337" t="str">
            <v>SMB</v>
          </cell>
        </row>
        <row r="1338">
          <cell r="C1338" t="str">
            <v>EUR</v>
          </cell>
          <cell r="D1338" t="str">
            <v>SMB</v>
          </cell>
        </row>
        <row r="1339">
          <cell r="C1339" t="str">
            <v>Kur Sabitleme</v>
          </cell>
          <cell r="D1339" t="str">
            <v>SMB</v>
          </cell>
        </row>
        <row r="1340">
          <cell r="C1340" t="str">
            <v>SUNEXPRESS (GÜNEŞ HAVACILIK)</v>
          </cell>
          <cell r="D1340" t="str">
            <v>Enterprise</v>
          </cell>
          <cell r="E1340" t="str">
            <v>Lojistik</v>
          </cell>
        </row>
        <row r="1341">
          <cell r="C1341" t="str">
            <v>TL</v>
          </cell>
          <cell r="D1341" t="str">
            <v>Enterprise</v>
          </cell>
        </row>
        <row r="1342">
          <cell r="C1342" t="str">
            <v>USD</v>
          </cell>
          <cell r="D1342" t="str">
            <v>Enterprise</v>
          </cell>
        </row>
        <row r="1343">
          <cell r="C1343" t="str">
            <v>USD</v>
          </cell>
          <cell r="D1343" t="str">
            <v>Enterprise</v>
          </cell>
        </row>
        <row r="1344">
          <cell r="C1344" t="str">
            <v>USD</v>
          </cell>
          <cell r="D1344" t="str">
            <v>Enterprise</v>
          </cell>
        </row>
        <row r="1345">
          <cell r="C1345" t="str">
            <v>EUR</v>
          </cell>
          <cell r="D1345" t="str">
            <v>Enterprise</v>
          </cell>
        </row>
        <row r="1346">
          <cell r="C1346" t="str">
            <v>Kur Sabitleme</v>
          </cell>
          <cell r="D1346" t="str">
            <v>Enterprise</v>
          </cell>
        </row>
        <row r="1347">
          <cell r="C1347" t="str">
            <v>SYS TELEKOMINIKASYON BILG. ELKT. SAN.TIC.AS.</v>
          </cell>
          <cell r="D1347" t="str">
            <v>Enterprise</v>
          </cell>
          <cell r="E1347" t="str">
            <v>Teknoloji</v>
          </cell>
        </row>
        <row r="1348">
          <cell r="C1348" t="str">
            <v>TL</v>
          </cell>
          <cell r="D1348" t="str">
            <v>Enterprise</v>
          </cell>
        </row>
        <row r="1349">
          <cell r="C1349" t="str">
            <v>TL</v>
          </cell>
          <cell r="D1349" t="str">
            <v>Enterprise</v>
          </cell>
        </row>
        <row r="1350">
          <cell r="C1350" t="str">
            <v>TL</v>
          </cell>
          <cell r="D1350" t="str">
            <v>Enterprise</v>
          </cell>
        </row>
        <row r="1351">
          <cell r="C1351" t="str">
            <v>TL</v>
          </cell>
          <cell r="D1351" t="str">
            <v>Enterprise</v>
          </cell>
        </row>
        <row r="1352">
          <cell r="C1352" t="str">
            <v>USD</v>
          </cell>
          <cell r="D1352" t="str">
            <v>Enterprise</v>
          </cell>
        </row>
        <row r="1353">
          <cell r="C1353" t="str">
            <v>USD</v>
          </cell>
          <cell r="D1353" t="str">
            <v>Enterprise</v>
          </cell>
        </row>
        <row r="1354">
          <cell r="C1354" t="str">
            <v>EUR</v>
          </cell>
          <cell r="D1354" t="str">
            <v>Enterprise</v>
          </cell>
        </row>
        <row r="1355">
          <cell r="C1355" t="str">
            <v>Kur Sabitleme</v>
          </cell>
          <cell r="D1355" t="str">
            <v>Enterprise</v>
          </cell>
        </row>
        <row r="1356">
          <cell r="C1356" t="str">
            <v>T&amp;C GARMENTS</v>
          </cell>
          <cell r="D1356" t="str">
            <v>SMB</v>
          </cell>
          <cell r="E1356" t="str">
            <v>Finans</v>
          </cell>
        </row>
        <row r="1357">
          <cell r="C1357" t="str">
            <v>TL</v>
          </cell>
          <cell r="D1357" t="str">
            <v>SMB</v>
          </cell>
        </row>
        <row r="1358">
          <cell r="C1358" t="str">
            <v>USD</v>
          </cell>
          <cell r="D1358" t="str">
            <v>SMB</v>
          </cell>
        </row>
        <row r="1359">
          <cell r="C1359" t="str">
            <v>USD</v>
          </cell>
          <cell r="D1359" t="str">
            <v>SMB</v>
          </cell>
        </row>
        <row r="1360">
          <cell r="C1360" t="str">
            <v>EUR</v>
          </cell>
          <cell r="D1360" t="str">
            <v>SMB</v>
          </cell>
        </row>
        <row r="1361">
          <cell r="C1361" t="str">
            <v>Kur Sabitleme</v>
          </cell>
          <cell r="D1361" t="str">
            <v>SMB</v>
          </cell>
        </row>
        <row r="1362">
          <cell r="C1362" t="str">
            <v>TAKSIM OTELCILIK A.S.</v>
          </cell>
          <cell r="D1362" t="str">
            <v>SMB</v>
          </cell>
          <cell r="E1362" t="e">
            <v>#N/A</v>
          </cell>
        </row>
        <row r="1363">
          <cell r="C1363" t="str">
            <v>TL</v>
          </cell>
          <cell r="D1363" t="str">
            <v>SMB</v>
          </cell>
        </row>
        <row r="1364">
          <cell r="C1364" t="str">
            <v>USD</v>
          </cell>
          <cell r="D1364" t="str">
            <v>SMB</v>
          </cell>
        </row>
        <row r="1365">
          <cell r="C1365" t="str">
            <v>USD</v>
          </cell>
          <cell r="D1365" t="str">
            <v>SMB</v>
          </cell>
        </row>
        <row r="1366">
          <cell r="C1366" t="str">
            <v>EUR</v>
          </cell>
          <cell r="D1366" t="str">
            <v>SMB</v>
          </cell>
        </row>
        <row r="1367">
          <cell r="C1367" t="str">
            <v>Kur Sabitleme</v>
          </cell>
          <cell r="D1367" t="str">
            <v>SMB</v>
          </cell>
        </row>
        <row r="1368">
          <cell r="C1368" t="str">
            <v>TED GLOBAL AG</v>
          </cell>
          <cell r="D1368" t="str">
            <v>SMB</v>
          </cell>
          <cell r="E1368" t="str">
            <v>Lojistik</v>
          </cell>
        </row>
        <row r="1369">
          <cell r="C1369" t="str">
            <v>TL</v>
          </cell>
          <cell r="D1369" t="str">
            <v>SMB</v>
          </cell>
        </row>
        <row r="1370">
          <cell r="C1370" t="str">
            <v>USD</v>
          </cell>
          <cell r="D1370" t="str">
            <v>SMB</v>
          </cell>
        </row>
        <row r="1371">
          <cell r="C1371" t="str">
            <v>EUR</v>
          </cell>
          <cell r="D1371" t="str">
            <v>SMB</v>
          </cell>
        </row>
        <row r="1372">
          <cell r="C1372" t="str">
            <v>Kur Sabitleme</v>
          </cell>
          <cell r="D1372" t="str">
            <v>SMB</v>
          </cell>
        </row>
        <row r="1373">
          <cell r="C1373" t="str">
            <v>TEKNOFIX TELEKOMÜNIKASYON VE BILISIM HIZ. SAN. VE</v>
          </cell>
          <cell r="D1373" t="str">
            <v>SMB</v>
          </cell>
          <cell r="E1373" t="str">
            <v>Teknoloji</v>
          </cell>
        </row>
        <row r="1374">
          <cell r="C1374" t="str">
            <v>TL</v>
          </cell>
          <cell r="D1374" t="str">
            <v>SMB</v>
          </cell>
        </row>
        <row r="1375">
          <cell r="C1375" t="str">
            <v>TL</v>
          </cell>
          <cell r="D1375" t="str">
            <v>SMB</v>
          </cell>
        </row>
        <row r="1376">
          <cell r="C1376" t="str">
            <v>USD</v>
          </cell>
          <cell r="D1376" t="str">
            <v>SMB</v>
          </cell>
        </row>
        <row r="1377">
          <cell r="C1377" t="str">
            <v>USD</v>
          </cell>
          <cell r="D1377" t="str">
            <v>SMB</v>
          </cell>
        </row>
        <row r="1378">
          <cell r="C1378" t="str">
            <v>USD</v>
          </cell>
          <cell r="D1378" t="str">
            <v>SMB</v>
          </cell>
        </row>
        <row r="1379">
          <cell r="C1379" t="str">
            <v>EUR</v>
          </cell>
          <cell r="D1379" t="str">
            <v>SMB</v>
          </cell>
        </row>
        <row r="1380">
          <cell r="C1380" t="str">
            <v>Kur Sabitleme</v>
          </cell>
          <cell r="D1380" t="str">
            <v>SMB</v>
          </cell>
        </row>
        <row r="1381">
          <cell r="C1381" t="str">
            <v>TEKYAZ TEKNOLOJIK  YAZILIMLAR VE MAKINE  TIC. A.S.</v>
          </cell>
          <cell r="D1381" t="str">
            <v>SMB</v>
          </cell>
          <cell r="E1381" t="e">
            <v>#N/A</v>
          </cell>
        </row>
        <row r="1382">
          <cell r="C1382" t="str">
            <v>TL</v>
          </cell>
          <cell r="D1382" t="str">
            <v>SMB</v>
          </cell>
        </row>
        <row r="1383">
          <cell r="C1383" t="str">
            <v>TL</v>
          </cell>
          <cell r="D1383" t="str">
            <v>SMB</v>
          </cell>
        </row>
        <row r="1384">
          <cell r="C1384" t="str">
            <v>USD</v>
          </cell>
          <cell r="D1384" t="str">
            <v>SMB</v>
          </cell>
        </row>
        <row r="1385">
          <cell r="C1385" t="str">
            <v>EUR</v>
          </cell>
          <cell r="D1385" t="str">
            <v>SMB</v>
          </cell>
        </row>
        <row r="1386">
          <cell r="C1386" t="str">
            <v>Kur Sabitleme</v>
          </cell>
          <cell r="D1386" t="str">
            <v>SMB</v>
          </cell>
        </row>
        <row r="1387">
          <cell r="C1387" t="str">
            <v xml:space="preserve">TELESURE KURUMSAL SIGORTA VE REASÜRANS BROKERLIGI </v>
          </cell>
          <cell r="D1387" t="str">
            <v>SMB</v>
          </cell>
          <cell r="E1387" t="str">
            <v>Finans</v>
          </cell>
        </row>
        <row r="1388">
          <cell r="C1388" t="str">
            <v>TL</v>
          </cell>
          <cell r="D1388" t="str">
            <v>SMB</v>
          </cell>
        </row>
        <row r="1389">
          <cell r="C1389" t="str">
            <v>USD</v>
          </cell>
          <cell r="D1389" t="str">
            <v>SMB</v>
          </cell>
        </row>
        <row r="1390">
          <cell r="C1390" t="str">
            <v>USD</v>
          </cell>
          <cell r="D1390" t="str">
            <v>SMB</v>
          </cell>
        </row>
        <row r="1391">
          <cell r="C1391" t="str">
            <v>USD</v>
          </cell>
          <cell r="D1391" t="str">
            <v>SMB</v>
          </cell>
        </row>
        <row r="1392">
          <cell r="C1392" t="str">
            <v>USD</v>
          </cell>
          <cell r="D1392" t="str">
            <v>SMB</v>
          </cell>
        </row>
        <row r="1393">
          <cell r="C1393" t="str">
            <v>USD</v>
          </cell>
          <cell r="D1393" t="str">
            <v>SMB</v>
          </cell>
        </row>
        <row r="1394">
          <cell r="C1394" t="str">
            <v>USD</v>
          </cell>
          <cell r="D1394" t="str">
            <v>SMB</v>
          </cell>
        </row>
        <row r="1395">
          <cell r="C1395" t="str">
            <v>USD</v>
          </cell>
          <cell r="D1395" t="str">
            <v>SMB</v>
          </cell>
        </row>
        <row r="1396">
          <cell r="C1396" t="str">
            <v>USD</v>
          </cell>
          <cell r="D1396" t="str">
            <v>SMB</v>
          </cell>
        </row>
        <row r="1397">
          <cell r="C1397" t="str">
            <v>USD</v>
          </cell>
          <cell r="D1397" t="str">
            <v>SMB</v>
          </cell>
        </row>
        <row r="1398">
          <cell r="C1398" t="str">
            <v>USD</v>
          </cell>
          <cell r="D1398" t="str">
            <v>SMB</v>
          </cell>
        </row>
        <row r="1399">
          <cell r="C1399" t="str">
            <v>USD</v>
          </cell>
          <cell r="D1399" t="str">
            <v>SMB</v>
          </cell>
        </row>
        <row r="1400">
          <cell r="C1400" t="str">
            <v>USD</v>
          </cell>
          <cell r="D1400" t="str">
            <v>SMB</v>
          </cell>
        </row>
        <row r="1401">
          <cell r="C1401" t="str">
            <v>USD</v>
          </cell>
          <cell r="D1401" t="str">
            <v>SMB</v>
          </cell>
        </row>
        <row r="1402">
          <cell r="C1402" t="str">
            <v>USD</v>
          </cell>
          <cell r="D1402" t="str">
            <v>SMB</v>
          </cell>
        </row>
        <row r="1403">
          <cell r="C1403" t="str">
            <v>USD</v>
          </cell>
          <cell r="D1403" t="str">
            <v>SMB</v>
          </cell>
        </row>
        <row r="1404">
          <cell r="C1404" t="str">
            <v>USD</v>
          </cell>
          <cell r="D1404" t="str">
            <v>SMB</v>
          </cell>
        </row>
        <row r="1405">
          <cell r="C1405" t="str">
            <v>USD</v>
          </cell>
          <cell r="D1405" t="str">
            <v>SMB</v>
          </cell>
        </row>
        <row r="1406">
          <cell r="C1406" t="str">
            <v>USD</v>
          </cell>
          <cell r="D1406" t="str">
            <v>SMB</v>
          </cell>
        </row>
        <row r="1407">
          <cell r="C1407" t="str">
            <v>USD</v>
          </cell>
          <cell r="D1407" t="str">
            <v>SMB</v>
          </cell>
        </row>
        <row r="1408">
          <cell r="C1408" t="str">
            <v>USD</v>
          </cell>
          <cell r="D1408" t="str">
            <v>SMB</v>
          </cell>
        </row>
        <row r="1409">
          <cell r="C1409" t="str">
            <v>USD</v>
          </cell>
          <cell r="D1409" t="str">
            <v>SMB</v>
          </cell>
        </row>
        <row r="1410">
          <cell r="C1410" t="str">
            <v>USD</v>
          </cell>
          <cell r="D1410" t="str">
            <v>SMB</v>
          </cell>
        </row>
        <row r="1411">
          <cell r="C1411" t="str">
            <v>EUR</v>
          </cell>
          <cell r="D1411" t="str">
            <v>SMB</v>
          </cell>
        </row>
        <row r="1412">
          <cell r="C1412" t="str">
            <v>Kur Sabitleme</v>
          </cell>
          <cell r="D1412" t="str">
            <v>SMB</v>
          </cell>
        </row>
        <row r="1413">
          <cell r="C1413" t="str">
            <v>TERAKKI VAKFI ÖZEL SISLI TERAKKI LISESI</v>
          </cell>
          <cell r="D1413" t="str">
            <v>SMB</v>
          </cell>
          <cell r="E1413" t="e">
            <v>#N/A</v>
          </cell>
        </row>
        <row r="1414">
          <cell r="C1414" t="str">
            <v>TL</v>
          </cell>
          <cell r="D1414" t="str">
            <v>SMB</v>
          </cell>
        </row>
        <row r="1415">
          <cell r="C1415" t="str">
            <v>USD</v>
          </cell>
          <cell r="D1415" t="str">
            <v>SMB</v>
          </cell>
        </row>
        <row r="1416">
          <cell r="C1416" t="str">
            <v>EUR</v>
          </cell>
          <cell r="D1416" t="str">
            <v>SMB</v>
          </cell>
        </row>
        <row r="1417">
          <cell r="C1417" t="str">
            <v>Kur Sabitleme</v>
          </cell>
          <cell r="D1417" t="str">
            <v>SMB</v>
          </cell>
        </row>
        <row r="1418">
          <cell r="C1418" t="str">
            <v>TK 34 YIYECEK IÇECEK GIDA RESTORAN TUR.TIC.SAN.LTD</v>
          </cell>
          <cell r="D1418" t="str">
            <v>SMB</v>
          </cell>
          <cell r="E1418" t="e">
            <v>#N/A</v>
          </cell>
        </row>
        <row r="1419">
          <cell r="C1419" t="str">
            <v>TL</v>
          </cell>
          <cell r="D1419" t="str">
            <v>SMB</v>
          </cell>
        </row>
        <row r="1420">
          <cell r="C1420" t="str">
            <v>USD</v>
          </cell>
          <cell r="D1420" t="str">
            <v>SMB</v>
          </cell>
        </row>
        <row r="1421">
          <cell r="C1421" t="str">
            <v>EUR</v>
          </cell>
          <cell r="D1421" t="str">
            <v>SMB</v>
          </cell>
        </row>
        <row r="1422">
          <cell r="C1422" t="str">
            <v>Kur Sabitleme</v>
          </cell>
          <cell r="D1422" t="str">
            <v>SMB</v>
          </cell>
        </row>
        <row r="1423">
          <cell r="C1423" t="str">
            <v>TRIO SES ISIK VE GÖRÜNTÜ SISTEMLERI A.S.</v>
          </cell>
          <cell r="D1423" t="str">
            <v>SMB</v>
          </cell>
          <cell r="E1423" t="str">
            <v>Genel</v>
          </cell>
        </row>
        <row r="1424">
          <cell r="C1424" t="str">
            <v>TL</v>
          </cell>
          <cell r="D1424" t="str">
            <v>SMB</v>
          </cell>
        </row>
        <row r="1425">
          <cell r="C1425" t="str">
            <v>USD</v>
          </cell>
          <cell r="D1425" t="str">
            <v>SMB</v>
          </cell>
        </row>
        <row r="1426">
          <cell r="C1426" t="str">
            <v>USD</v>
          </cell>
          <cell r="D1426" t="str">
            <v>SMB</v>
          </cell>
        </row>
        <row r="1427">
          <cell r="C1427" t="str">
            <v>EUR</v>
          </cell>
          <cell r="D1427" t="str">
            <v>SMB</v>
          </cell>
        </row>
        <row r="1428">
          <cell r="C1428" t="str">
            <v>Kur Sabitleme</v>
          </cell>
          <cell r="D1428" t="str">
            <v>SMB</v>
          </cell>
        </row>
        <row r="1429">
          <cell r="C1429" t="str">
            <v>TSM DANISMANLIK ORGA.VE PAZ. AS.</v>
          </cell>
          <cell r="D1429" t="str">
            <v>SMB</v>
          </cell>
          <cell r="E1429" t="e">
            <v>#N/A</v>
          </cell>
        </row>
        <row r="1430">
          <cell r="C1430" t="str">
            <v>TL</v>
          </cell>
          <cell r="D1430" t="str">
            <v>SMB</v>
          </cell>
        </row>
        <row r="1431">
          <cell r="C1431" t="str">
            <v>USD</v>
          </cell>
          <cell r="D1431" t="str">
            <v>SMB</v>
          </cell>
        </row>
        <row r="1432">
          <cell r="C1432" t="str">
            <v>EUR</v>
          </cell>
          <cell r="D1432" t="str">
            <v>SMB</v>
          </cell>
        </row>
        <row r="1433">
          <cell r="C1433" t="str">
            <v>Kur Sabitleme</v>
          </cell>
          <cell r="D1433" t="str">
            <v>SMB</v>
          </cell>
        </row>
        <row r="1434">
          <cell r="C1434" t="str">
            <v>TURGUT ALTON MIMARLIK MÜSAVIRLIK LTD.STI.</v>
          </cell>
          <cell r="D1434" t="str">
            <v>SMB</v>
          </cell>
          <cell r="E1434" t="e">
            <v>#N/A</v>
          </cell>
        </row>
        <row r="1435">
          <cell r="C1435" t="str">
            <v>TL</v>
          </cell>
          <cell r="D1435" t="str">
            <v>SMB</v>
          </cell>
        </row>
        <row r="1436">
          <cell r="C1436" t="str">
            <v>USD</v>
          </cell>
          <cell r="D1436" t="str">
            <v>SMB</v>
          </cell>
        </row>
        <row r="1437">
          <cell r="C1437" t="str">
            <v>USD</v>
          </cell>
          <cell r="D1437" t="str">
            <v>SMB</v>
          </cell>
        </row>
        <row r="1438">
          <cell r="C1438" t="str">
            <v>USD</v>
          </cell>
          <cell r="D1438" t="str">
            <v>SMB</v>
          </cell>
        </row>
        <row r="1439">
          <cell r="C1439" t="str">
            <v>EUR</v>
          </cell>
          <cell r="D1439" t="str">
            <v>SMB</v>
          </cell>
        </row>
        <row r="1440">
          <cell r="C1440" t="str">
            <v>Kur Sabitleme</v>
          </cell>
          <cell r="D1440" t="str">
            <v>SMB</v>
          </cell>
        </row>
        <row r="1441">
          <cell r="C1441" t="str">
            <v>TÜRKİYE SINAI KALKINMA BANKASI A.S.</v>
          </cell>
          <cell r="D1441" t="str">
            <v>Enterprise</v>
          </cell>
          <cell r="E1441" t="e">
            <v>#N/A</v>
          </cell>
        </row>
        <row r="1442">
          <cell r="C1442" t="str">
            <v>TL</v>
          </cell>
          <cell r="D1442" t="str">
            <v>Enterprise</v>
          </cell>
        </row>
        <row r="1443">
          <cell r="C1443" t="str">
            <v>USD</v>
          </cell>
          <cell r="D1443" t="str">
            <v>Enterprise</v>
          </cell>
        </row>
        <row r="1444">
          <cell r="C1444" t="str">
            <v>EUR</v>
          </cell>
          <cell r="D1444" t="str">
            <v>Enterprise</v>
          </cell>
        </row>
        <row r="1445">
          <cell r="C1445" t="str">
            <v>Kur Sabitleme</v>
          </cell>
          <cell r="D1445" t="str">
            <v>Enterprise</v>
          </cell>
        </row>
        <row r="1446">
          <cell r="C1446" t="str">
            <v>TURKVEN Turk Ventures Advisory Limited</v>
          </cell>
          <cell r="D1446" t="str">
            <v>SMB</v>
          </cell>
          <cell r="E1446" t="str">
            <v>Finans</v>
          </cell>
        </row>
        <row r="1447">
          <cell r="C1447" t="str">
            <v>TL</v>
          </cell>
          <cell r="D1447" t="str">
            <v>SMB</v>
          </cell>
        </row>
        <row r="1448">
          <cell r="C1448" t="str">
            <v>USD</v>
          </cell>
          <cell r="D1448" t="str">
            <v>SMB</v>
          </cell>
        </row>
        <row r="1449">
          <cell r="C1449" t="str">
            <v>EUR</v>
          </cell>
          <cell r="D1449" t="str">
            <v>SMB</v>
          </cell>
        </row>
        <row r="1450">
          <cell r="C1450" t="str">
            <v>Kur Sabitleme</v>
          </cell>
          <cell r="D1450" t="str">
            <v>SMB</v>
          </cell>
        </row>
        <row r="1451">
          <cell r="C1451" t="str">
            <v>TURSOY OTELCILIK VE TURIZM YATIRIMLARI A.S</v>
          </cell>
          <cell r="D1451" t="str">
            <v>SMB</v>
          </cell>
          <cell r="E1451" t="str">
            <v>Diğer</v>
          </cell>
        </row>
        <row r="1452">
          <cell r="C1452" t="str">
            <v>TL</v>
          </cell>
          <cell r="D1452" t="str">
            <v>SMB</v>
          </cell>
        </row>
        <row r="1453">
          <cell r="C1453" t="str">
            <v>TL</v>
          </cell>
          <cell r="D1453" t="str">
            <v>SMB</v>
          </cell>
        </row>
        <row r="1454">
          <cell r="C1454" t="str">
            <v>TL</v>
          </cell>
          <cell r="D1454" t="str">
            <v>SMB</v>
          </cell>
        </row>
        <row r="1455">
          <cell r="C1455" t="str">
            <v>USD</v>
          </cell>
          <cell r="D1455" t="str">
            <v>SMB</v>
          </cell>
        </row>
        <row r="1456">
          <cell r="C1456" t="str">
            <v>USD</v>
          </cell>
          <cell r="D1456" t="str">
            <v>SMB</v>
          </cell>
        </row>
        <row r="1457">
          <cell r="C1457" t="str">
            <v>USD</v>
          </cell>
          <cell r="D1457" t="str">
            <v>SMB</v>
          </cell>
        </row>
        <row r="1458">
          <cell r="C1458" t="str">
            <v>USD</v>
          </cell>
          <cell r="D1458" t="str">
            <v>SMB</v>
          </cell>
        </row>
        <row r="1459">
          <cell r="C1459" t="str">
            <v>USD</v>
          </cell>
          <cell r="D1459" t="str">
            <v>SMB</v>
          </cell>
        </row>
        <row r="1460">
          <cell r="C1460" t="str">
            <v>USD</v>
          </cell>
          <cell r="D1460" t="str">
            <v>SMB</v>
          </cell>
        </row>
        <row r="1461">
          <cell r="C1461" t="str">
            <v>USD</v>
          </cell>
          <cell r="D1461" t="str">
            <v>SMB</v>
          </cell>
        </row>
        <row r="1462">
          <cell r="C1462" t="str">
            <v>USD</v>
          </cell>
          <cell r="D1462" t="str">
            <v>SMB</v>
          </cell>
        </row>
        <row r="1463">
          <cell r="C1463" t="str">
            <v>EUR</v>
          </cell>
          <cell r="D1463" t="str">
            <v>SMB</v>
          </cell>
        </row>
        <row r="1464">
          <cell r="C1464" t="str">
            <v>Kur Sabitleme</v>
          </cell>
          <cell r="D1464" t="str">
            <v>SMB</v>
          </cell>
        </row>
        <row r="1465">
          <cell r="C1465" t="str">
            <v>HBM GIDA SANAYİ VE DIŞ TİCARET</v>
          </cell>
          <cell r="D1465" t="str">
            <v>SMB</v>
          </cell>
          <cell r="E1465" t="str">
            <v>Perakende</v>
          </cell>
        </row>
        <row r="1466">
          <cell r="C1466" t="str">
            <v>TL</v>
          </cell>
          <cell r="D1466" t="str">
            <v>SMB</v>
          </cell>
        </row>
        <row r="1467">
          <cell r="C1467" t="str">
            <v>USD</v>
          </cell>
          <cell r="D1467" t="str">
            <v>SMB</v>
          </cell>
        </row>
        <row r="1468">
          <cell r="C1468" t="str">
            <v>USD</v>
          </cell>
          <cell r="D1468" t="str">
            <v>SMB</v>
          </cell>
        </row>
        <row r="1469">
          <cell r="C1469" t="str">
            <v>USD</v>
          </cell>
          <cell r="D1469" t="str">
            <v>SMB</v>
          </cell>
        </row>
        <row r="1470">
          <cell r="C1470" t="str">
            <v>EUR</v>
          </cell>
          <cell r="D1470" t="str">
            <v>SMB</v>
          </cell>
        </row>
        <row r="1471">
          <cell r="C1471" t="str">
            <v>Kur Sabitleme</v>
          </cell>
          <cell r="D1471" t="str">
            <v>SMB</v>
          </cell>
        </row>
        <row r="1472">
          <cell r="C1472" t="str">
            <v>ULUSAL FAKTORING A.S.</v>
          </cell>
          <cell r="D1472" t="str">
            <v>Enterprise</v>
          </cell>
          <cell r="E1472" t="e">
            <v>#N/A</v>
          </cell>
        </row>
        <row r="1473">
          <cell r="C1473" t="str">
            <v>TL</v>
          </cell>
          <cell r="D1473" t="str">
            <v>Enterprise</v>
          </cell>
        </row>
        <row r="1474">
          <cell r="C1474" t="str">
            <v>USD</v>
          </cell>
          <cell r="D1474" t="str">
            <v>Enterprise</v>
          </cell>
        </row>
        <row r="1475">
          <cell r="C1475" t="str">
            <v>EUR</v>
          </cell>
          <cell r="D1475" t="str">
            <v>Enterprise</v>
          </cell>
        </row>
        <row r="1476">
          <cell r="C1476" t="str">
            <v>Kur Sabitleme</v>
          </cell>
          <cell r="D1476" t="str">
            <v>Enterprise</v>
          </cell>
        </row>
        <row r="1477">
          <cell r="C1477" t="str">
            <v>UMTAS ULUSLARARASI MAKINA TIC. A.S.</v>
          </cell>
          <cell r="D1477" t="str">
            <v>SMB</v>
          </cell>
          <cell r="E1477" t="e">
            <v>#N/A</v>
          </cell>
        </row>
        <row r="1478">
          <cell r="C1478" t="str">
            <v>TL</v>
          </cell>
          <cell r="D1478" t="str">
            <v>SMB</v>
          </cell>
        </row>
        <row r="1479">
          <cell r="C1479" t="str">
            <v>USD</v>
          </cell>
          <cell r="D1479" t="str">
            <v>SMB</v>
          </cell>
        </row>
        <row r="1480">
          <cell r="C1480" t="str">
            <v>USD</v>
          </cell>
          <cell r="D1480" t="str">
            <v>SMB</v>
          </cell>
        </row>
        <row r="1481">
          <cell r="C1481" t="str">
            <v>USD</v>
          </cell>
          <cell r="D1481" t="str">
            <v>SMB</v>
          </cell>
        </row>
        <row r="1482">
          <cell r="C1482" t="str">
            <v>EUR</v>
          </cell>
          <cell r="D1482" t="str">
            <v>SMB</v>
          </cell>
        </row>
        <row r="1483">
          <cell r="C1483" t="str">
            <v>Kur Sabitleme</v>
          </cell>
          <cell r="D1483" t="str">
            <v>SMB</v>
          </cell>
        </row>
        <row r="1484">
          <cell r="C1484" t="str">
            <v>VIKING TURIZM</v>
          </cell>
          <cell r="D1484" t="str">
            <v>SMB</v>
          </cell>
          <cell r="E1484" t="str">
            <v>Genel</v>
          </cell>
        </row>
        <row r="1485">
          <cell r="C1485" t="str">
            <v>TL</v>
          </cell>
          <cell r="D1485" t="str">
            <v>SMB</v>
          </cell>
        </row>
        <row r="1486">
          <cell r="C1486" t="str">
            <v>USD</v>
          </cell>
          <cell r="D1486" t="str">
            <v>SMB</v>
          </cell>
        </row>
        <row r="1487">
          <cell r="C1487" t="str">
            <v>EUR</v>
          </cell>
          <cell r="D1487" t="str">
            <v>SMB</v>
          </cell>
        </row>
        <row r="1488">
          <cell r="C1488" t="str">
            <v>Kur Sabitleme</v>
          </cell>
          <cell r="D1488" t="str">
            <v>SMB</v>
          </cell>
        </row>
        <row r="1489">
          <cell r="C1489" t="str">
            <v>WEIR TURKEY MINERALLERI LTD.STI.</v>
          </cell>
          <cell r="D1489" t="str">
            <v>SMB</v>
          </cell>
          <cell r="E1489" t="str">
            <v>Üretim</v>
          </cell>
        </row>
        <row r="1490">
          <cell r="C1490" t="str">
            <v>TL</v>
          </cell>
          <cell r="D1490" t="str">
            <v>SMB</v>
          </cell>
        </row>
        <row r="1491">
          <cell r="C1491" t="str">
            <v>USD</v>
          </cell>
          <cell r="D1491" t="str">
            <v>SMB</v>
          </cell>
        </row>
        <row r="1492">
          <cell r="C1492" t="str">
            <v>EUR</v>
          </cell>
          <cell r="D1492" t="str">
            <v>SMB</v>
          </cell>
        </row>
        <row r="1493">
          <cell r="C1493" t="str">
            <v>Kur Sabitleme</v>
          </cell>
          <cell r="D1493" t="str">
            <v>SMB</v>
          </cell>
        </row>
        <row r="1494">
          <cell r="C1494" t="str">
            <v>YARGICI KONFEKSIYON IHRACAT VE TICARET AS.</v>
          </cell>
          <cell r="D1494" t="str">
            <v>SMB</v>
          </cell>
          <cell r="E1494" t="e">
            <v>#N/A</v>
          </cell>
        </row>
        <row r="1495">
          <cell r="C1495" t="str">
            <v>TL</v>
          </cell>
          <cell r="D1495" t="str">
            <v>SMB</v>
          </cell>
        </row>
        <row r="1496">
          <cell r="C1496" t="str">
            <v>TL</v>
          </cell>
          <cell r="D1496" t="str">
            <v>SMB</v>
          </cell>
        </row>
        <row r="1497">
          <cell r="C1497" t="str">
            <v>USD</v>
          </cell>
          <cell r="D1497" t="str">
            <v>SMB</v>
          </cell>
        </row>
        <row r="1498">
          <cell r="C1498" t="str">
            <v>EUR</v>
          </cell>
          <cell r="D1498" t="str">
            <v>SMB</v>
          </cell>
        </row>
        <row r="1499">
          <cell r="C1499" t="str">
            <v>Kur Sabitleme</v>
          </cell>
          <cell r="D1499" t="str">
            <v>SMB</v>
          </cell>
        </row>
        <row r="1500">
          <cell r="C1500" t="str">
            <v>YAYLAGÜL MULTİMEDYA BİLG.TİC.LTD ŞTİ (REVOTAS)</v>
          </cell>
          <cell r="D1500" t="str">
            <v>SMB</v>
          </cell>
          <cell r="E1500" t="str">
            <v>Teknoloji</v>
          </cell>
        </row>
        <row r="1501">
          <cell r="C1501" t="str">
            <v>TL</v>
          </cell>
          <cell r="D1501" t="str">
            <v>SMB</v>
          </cell>
        </row>
        <row r="1502">
          <cell r="C1502" t="str">
            <v>USD</v>
          </cell>
          <cell r="D1502" t="str">
            <v>SMB</v>
          </cell>
        </row>
        <row r="1503">
          <cell r="C1503" t="str">
            <v>EUR</v>
          </cell>
          <cell r="D1503" t="str">
            <v>SMB</v>
          </cell>
        </row>
        <row r="1504">
          <cell r="C1504" t="str">
            <v>Kur Sabitleme</v>
          </cell>
          <cell r="D1504" t="str">
            <v>SMB</v>
          </cell>
        </row>
        <row r="1505">
          <cell r="C1505" t="str">
            <v>YGBS EASY LIFE YÖNETİM HİZMETLERİ A.Ş.</v>
          </cell>
          <cell r="D1505" t="str">
            <v>SMB</v>
          </cell>
          <cell r="E1505" t="e">
            <v>#N/A</v>
          </cell>
        </row>
        <row r="1506">
          <cell r="C1506" t="str">
            <v>TL</v>
          </cell>
          <cell r="D1506" t="str">
            <v>SMB</v>
          </cell>
        </row>
        <row r="1507">
          <cell r="C1507" t="str">
            <v>USD</v>
          </cell>
          <cell r="D1507" t="str">
            <v>SMB</v>
          </cell>
        </row>
        <row r="1508">
          <cell r="C1508" t="str">
            <v>EUR</v>
          </cell>
          <cell r="D1508" t="str">
            <v>SMB</v>
          </cell>
        </row>
        <row r="1509">
          <cell r="C1509" t="str">
            <v>Kur Sabitleme</v>
          </cell>
          <cell r="D1509" t="str">
            <v>SMB</v>
          </cell>
        </row>
        <row r="1510">
          <cell r="C1510" t="str">
            <v>YILDIZ BRONZ SAN VE TIC LTD. STI.</v>
          </cell>
          <cell r="D1510" t="str">
            <v>SMB</v>
          </cell>
          <cell r="E1510" t="e">
            <v>#N/A</v>
          </cell>
        </row>
        <row r="1511">
          <cell r="C1511" t="str">
            <v>TL</v>
          </cell>
          <cell r="D1511" t="str">
            <v>SMB</v>
          </cell>
        </row>
        <row r="1512">
          <cell r="C1512" t="str">
            <v>USD</v>
          </cell>
          <cell r="D1512" t="str">
            <v>SMB</v>
          </cell>
        </row>
        <row r="1513">
          <cell r="C1513" t="str">
            <v>USD</v>
          </cell>
          <cell r="D1513" t="str">
            <v>SMB</v>
          </cell>
        </row>
        <row r="1514">
          <cell r="C1514" t="str">
            <v>EUR</v>
          </cell>
          <cell r="D1514" t="str">
            <v>SMB</v>
          </cell>
        </row>
        <row r="1515">
          <cell r="C1515" t="str">
            <v>Kur Sabitleme</v>
          </cell>
          <cell r="D1515" t="str">
            <v>SMB</v>
          </cell>
        </row>
        <row r="1516">
          <cell r="C1516" t="str">
            <v>ZAFER TAAHHÜT İNŞ. VE TİC. A.Ş.</v>
          </cell>
          <cell r="D1516" t="str">
            <v>SMB</v>
          </cell>
          <cell r="E1516" t="str">
            <v>Genel</v>
          </cell>
        </row>
        <row r="1517">
          <cell r="C1517" t="str">
            <v>TL</v>
          </cell>
          <cell r="D1517" t="str">
            <v>SMB</v>
          </cell>
        </row>
        <row r="1518">
          <cell r="C1518" t="str">
            <v>USD</v>
          </cell>
          <cell r="D1518" t="str">
            <v>SMB</v>
          </cell>
        </row>
        <row r="1519">
          <cell r="C1519" t="str">
            <v>EUR</v>
          </cell>
          <cell r="D1519" t="str">
            <v>SMB</v>
          </cell>
        </row>
        <row r="1520">
          <cell r="C1520" t="str">
            <v>Kur Sabitleme</v>
          </cell>
          <cell r="D1520" t="str">
            <v>SMB</v>
          </cell>
        </row>
        <row r="1521">
          <cell r="C1521" t="str">
            <v>ZAMIL GROUP TURKEY INS.TURIZM VE ENDUSTRIYEL YATIR</v>
          </cell>
          <cell r="D1521" t="str">
            <v>SMB</v>
          </cell>
          <cell r="E1521" t="str">
            <v>Diğer</v>
          </cell>
        </row>
        <row r="1522">
          <cell r="C1522" t="str">
            <v>TL</v>
          </cell>
          <cell r="D1522" t="str">
            <v>SMB</v>
          </cell>
        </row>
        <row r="1523">
          <cell r="C1523" t="str">
            <v>USD</v>
          </cell>
          <cell r="D1523" t="str">
            <v>SMB</v>
          </cell>
        </row>
        <row r="1524">
          <cell r="C1524" t="str">
            <v>USD</v>
          </cell>
          <cell r="D1524" t="str">
            <v>SMB</v>
          </cell>
        </row>
        <row r="1525">
          <cell r="C1525" t="str">
            <v>EUR</v>
          </cell>
          <cell r="D1525" t="str">
            <v>SMB</v>
          </cell>
        </row>
        <row r="1526">
          <cell r="C1526" t="str">
            <v>Kur Sabitleme</v>
          </cell>
          <cell r="D1526" t="str">
            <v>SMB</v>
          </cell>
        </row>
        <row r="1527">
          <cell r="C1527" t="str">
            <v>ZEKİ EDEBALI</v>
          </cell>
          <cell r="D1527" t="str">
            <v>SMB</v>
          </cell>
          <cell r="E1527" t="e">
            <v>#N/A</v>
          </cell>
        </row>
        <row r="1528">
          <cell r="C1528" t="str">
            <v>TL</v>
          </cell>
          <cell r="D1528" t="str">
            <v>SMB</v>
          </cell>
        </row>
        <row r="1529">
          <cell r="C1529" t="str">
            <v>USD</v>
          </cell>
          <cell r="D1529" t="str">
            <v>SMB</v>
          </cell>
        </row>
        <row r="1530">
          <cell r="C1530" t="str">
            <v>EUR</v>
          </cell>
          <cell r="D1530" t="str">
            <v>SMB</v>
          </cell>
        </row>
        <row r="1531">
          <cell r="C1531" t="str">
            <v>Kur Sabitleme</v>
          </cell>
          <cell r="D1531" t="str">
            <v>SMB</v>
          </cell>
        </row>
        <row r="1532">
          <cell r="C1532" t="str">
            <v>ZNN GIRISIM DANISMANLIK NURGÜL SENEFE MUSTAFAOGLU</v>
          </cell>
          <cell r="D1532" t="str">
            <v>SMB</v>
          </cell>
          <cell r="E1532" t="str">
            <v>Diğer</v>
          </cell>
        </row>
        <row r="1533">
          <cell r="C1533" t="str">
            <v>TL</v>
          </cell>
          <cell r="D1533" t="str">
            <v>SMB</v>
          </cell>
        </row>
        <row r="1534">
          <cell r="C1534" t="str">
            <v>USD</v>
          </cell>
          <cell r="D1534" t="str">
            <v>SMB</v>
          </cell>
        </row>
        <row r="1535">
          <cell r="C1535" t="str">
            <v>EUR</v>
          </cell>
          <cell r="D1535" t="str">
            <v>SMB</v>
          </cell>
        </row>
        <row r="1536">
          <cell r="C1536" t="str">
            <v>Kur Sabitleme</v>
          </cell>
          <cell r="D1536" t="str">
            <v>SMB</v>
          </cell>
        </row>
        <row r="1537">
          <cell r="C1537" t="str">
            <v>UNIFREE DUTY FREE İŞLETMECİLİĞİ A.Ş.</v>
          </cell>
          <cell r="D1537" t="str">
            <v>Enterprise</v>
          </cell>
          <cell r="E1537" t="str">
            <v>Perakende</v>
          </cell>
        </row>
        <row r="1538">
          <cell r="C1538" t="str">
            <v>TL</v>
          </cell>
          <cell r="D1538" t="str">
            <v>Enterprise</v>
          </cell>
        </row>
        <row r="1539">
          <cell r="C1539" t="str">
            <v>TL</v>
          </cell>
          <cell r="D1539" t="str">
            <v>Enterprise</v>
          </cell>
        </row>
        <row r="1540">
          <cell r="C1540" t="str">
            <v>USD</v>
          </cell>
          <cell r="D1540" t="str">
            <v>Enterprise</v>
          </cell>
        </row>
        <row r="1541">
          <cell r="C1541" t="str">
            <v>USD</v>
          </cell>
          <cell r="D1541" t="str">
            <v>Enterprise</v>
          </cell>
        </row>
        <row r="1542">
          <cell r="C1542" t="str">
            <v>EUR</v>
          </cell>
          <cell r="D1542" t="str">
            <v>Enterprise</v>
          </cell>
        </row>
        <row r="1543">
          <cell r="C1543" t="str">
            <v>Kur Sabitleme</v>
          </cell>
          <cell r="D1543" t="str">
            <v>Enterprise</v>
          </cell>
        </row>
        <row r="1544">
          <cell r="C1544" t="str">
            <v>TITAN HAVACILIK ANONIM SIRKETI</v>
          </cell>
          <cell r="D1544" t="str">
            <v>SMB</v>
          </cell>
          <cell r="E1544" t="str">
            <v>Genel</v>
          </cell>
        </row>
        <row r="1545">
          <cell r="C1545" t="str">
            <v>TL</v>
          </cell>
          <cell r="D1545" t="str">
            <v>SMB</v>
          </cell>
        </row>
        <row r="1546">
          <cell r="C1546" t="str">
            <v>USD</v>
          </cell>
          <cell r="D1546" t="str">
            <v>SMB</v>
          </cell>
        </row>
        <row r="1547">
          <cell r="C1547" t="str">
            <v>USD</v>
          </cell>
          <cell r="D1547" t="str">
            <v>SMB</v>
          </cell>
        </row>
        <row r="1548">
          <cell r="C1548" t="str">
            <v>EUR</v>
          </cell>
          <cell r="D1548" t="str">
            <v>SMB</v>
          </cell>
        </row>
        <row r="1549">
          <cell r="C1549" t="str">
            <v>Kur Sabitleme</v>
          </cell>
          <cell r="D1549" t="str">
            <v>SMB</v>
          </cell>
        </row>
        <row r="1550">
          <cell r="C1550" t="str">
            <v>ORBITER AVIATION LIMITED</v>
          </cell>
          <cell r="D1550" t="str">
            <v>SMB</v>
          </cell>
          <cell r="E1550" t="str">
            <v>Genel</v>
          </cell>
        </row>
        <row r="1551">
          <cell r="C1551" t="str">
            <v>TL</v>
          </cell>
          <cell r="D1551" t="str">
            <v>SMB</v>
          </cell>
        </row>
        <row r="1552">
          <cell r="C1552" t="str">
            <v>USD</v>
          </cell>
          <cell r="D1552" t="str">
            <v>SMB</v>
          </cell>
        </row>
        <row r="1553">
          <cell r="C1553" t="str">
            <v>USD</v>
          </cell>
          <cell r="D1553" t="str">
            <v>SMB</v>
          </cell>
        </row>
        <row r="1554">
          <cell r="C1554" t="str">
            <v>EUR</v>
          </cell>
          <cell r="D1554" t="str">
            <v>SMB</v>
          </cell>
        </row>
        <row r="1555">
          <cell r="C1555" t="str">
            <v>Kur Sabitleme</v>
          </cell>
          <cell r="D1555" t="str">
            <v>SMB</v>
          </cell>
        </row>
        <row r="1556">
          <cell r="C1556" t="str">
            <v>FORCE&amp;BROTHERS DANIŞMANLIK A.Ş.</v>
          </cell>
          <cell r="D1556" t="str">
            <v>SMB</v>
          </cell>
          <cell r="E1556" t="e">
            <v>#N/A</v>
          </cell>
        </row>
        <row r="1557">
          <cell r="C1557" t="str">
            <v>TL</v>
          </cell>
          <cell r="D1557" t="str">
            <v>SMB</v>
          </cell>
        </row>
        <row r="1558">
          <cell r="C1558" t="str">
            <v>USD</v>
          </cell>
          <cell r="D1558" t="str">
            <v>SMB</v>
          </cell>
        </row>
        <row r="1559">
          <cell r="C1559" t="str">
            <v>EUR</v>
          </cell>
          <cell r="D1559" t="str">
            <v>SMB</v>
          </cell>
        </row>
        <row r="1560">
          <cell r="C1560" t="str">
            <v>Kur Sabitleme</v>
          </cell>
          <cell r="D1560" t="str">
            <v>SMB</v>
          </cell>
        </row>
        <row r="1561">
          <cell r="C1561" t="str">
            <v>MULLEN LOWE ISTANBUL REKLAMCILIK A.S</v>
          </cell>
          <cell r="D1561" t="str">
            <v>SMB</v>
          </cell>
          <cell r="E1561" t="str">
            <v>Genel</v>
          </cell>
        </row>
        <row r="1562">
          <cell r="C1562" t="str">
            <v>TL</v>
          </cell>
          <cell r="D1562" t="str">
            <v>SMB</v>
          </cell>
        </row>
        <row r="1563">
          <cell r="C1563" t="str">
            <v>USD</v>
          </cell>
          <cell r="D1563" t="str">
            <v>SMB</v>
          </cell>
        </row>
        <row r="1564">
          <cell r="C1564" t="str">
            <v>EUR</v>
          </cell>
          <cell r="D1564" t="str">
            <v>SMB</v>
          </cell>
        </row>
        <row r="1565">
          <cell r="C1565" t="str">
            <v>Kur Sabitleme</v>
          </cell>
          <cell r="D1565" t="str">
            <v>SMB</v>
          </cell>
        </row>
        <row r="1566">
          <cell r="C1566" t="str">
            <v>VIPFASHION TEKSTİL LİMİTED ŞİRKETİ</v>
          </cell>
          <cell r="D1566" t="str">
            <v>SMB</v>
          </cell>
          <cell r="E1566" t="str">
            <v>Diğer</v>
          </cell>
        </row>
        <row r="1567">
          <cell r="C1567" t="str">
            <v>TL</v>
          </cell>
          <cell r="D1567" t="str">
            <v>SMB</v>
          </cell>
        </row>
        <row r="1568">
          <cell r="C1568" t="str">
            <v>USD</v>
          </cell>
          <cell r="D1568" t="str">
            <v>SMB</v>
          </cell>
        </row>
        <row r="1569">
          <cell r="C1569" t="str">
            <v>USD</v>
          </cell>
          <cell r="D1569" t="str">
            <v>SMB</v>
          </cell>
        </row>
        <row r="1570">
          <cell r="C1570" t="str">
            <v>USD</v>
          </cell>
          <cell r="D1570" t="str">
            <v>SMB</v>
          </cell>
        </row>
        <row r="1571">
          <cell r="C1571" t="str">
            <v>EUR</v>
          </cell>
          <cell r="D1571" t="str">
            <v>SMB</v>
          </cell>
        </row>
        <row r="1572">
          <cell r="C1572" t="str">
            <v>Kur Sabitleme</v>
          </cell>
          <cell r="D1572" t="str">
            <v>SMB</v>
          </cell>
        </row>
        <row r="1573">
          <cell r="C1573" t="str">
            <v>PI SEYAHAT TEKNOLOJIDAGITIM VE DANISMANLIK A.S.</v>
          </cell>
          <cell r="D1573" t="str">
            <v>SMB</v>
          </cell>
          <cell r="E1573" t="str">
            <v>Teknoloji</v>
          </cell>
        </row>
        <row r="1574">
          <cell r="C1574" t="str">
            <v>TL</v>
          </cell>
          <cell r="D1574" t="str">
            <v>SMB</v>
          </cell>
        </row>
        <row r="1575">
          <cell r="C1575" t="str">
            <v>USD</v>
          </cell>
          <cell r="D1575" t="str">
            <v>SMB</v>
          </cell>
        </row>
        <row r="1576">
          <cell r="C1576" t="str">
            <v>EUR</v>
          </cell>
          <cell r="D1576" t="str">
            <v>SMB</v>
          </cell>
        </row>
        <row r="1577">
          <cell r="C1577" t="str">
            <v>Kur Sabitleme</v>
          </cell>
          <cell r="D1577" t="str">
            <v>SMB</v>
          </cell>
        </row>
        <row r="1578">
          <cell r="C1578" t="str">
            <v xml:space="preserve">SPINE YÖNETİM İŞLETİM VE PAZARLAMA A.Ş.  </v>
          </cell>
          <cell r="D1578" t="str">
            <v>SMB</v>
          </cell>
          <cell r="E1578" t="e">
            <v>#N/A</v>
          </cell>
        </row>
        <row r="1579">
          <cell r="C1579" t="str">
            <v>TL</v>
          </cell>
          <cell r="D1579" t="str">
            <v>SMB</v>
          </cell>
        </row>
        <row r="1580">
          <cell r="C1580" t="str">
            <v>USD</v>
          </cell>
          <cell r="D1580" t="str">
            <v>SMB</v>
          </cell>
        </row>
        <row r="1581">
          <cell r="C1581" t="str">
            <v>EUR</v>
          </cell>
          <cell r="D1581" t="str">
            <v>SMB</v>
          </cell>
        </row>
        <row r="1582">
          <cell r="C1582" t="str">
            <v>Kur Sabitleme</v>
          </cell>
          <cell r="D1582" t="str">
            <v>SMB</v>
          </cell>
        </row>
        <row r="1583">
          <cell r="C1583" t="str">
            <v>WYNDHAM HOTEL ( Reisler Turizm  )</v>
          </cell>
          <cell r="D1583" t="str">
            <v>Enterprise</v>
          </cell>
          <cell r="E1583" t="e">
            <v>#N/A</v>
          </cell>
        </row>
        <row r="1584">
          <cell r="C1584" t="str">
            <v>TL</v>
          </cell>
          <cell r="D1584" t="str">
            <v>Enterprise</v>
          </cell>
        </row>
        <row r="1585">
          <cell r="C1585" t="str">
            <v>USD</v>
          </cell>
          <cell r="D1585" t="str">
            <v>Enterprise</v>
          </cell>
        </row>
        <row r="1586">
          <cell r="C1586" t="str">
            <v>EUR</v>
          </cell>
          <cell r="D1586" t="str">
            <v>Enterprise</v>
          </cell>
        </row>
        <row r="1587">
          <cell r="C1587" t="str">
            <v>Kur Sabitleme</v>
          </cell>
          <cell r="D1587" t="str">
            <v>Enterprise</v>
          </cell>
        </row>
        <row r="1588">
          <cell r="C1588" t="str">
            <v xml:space="preserve">FIRAT İNŞAAT END.SAN.VE TİC. A.Ş </v>
          </cell>
          <cell r="D1588" t="str">
            <v>SMB</v>
          </cell>
          <cell r="E1588" t="str">
            <v>Genel</v>
          </cell>
        </row>
        <row r="1589">
          <cell r="C1589" t="str">
            <v>TL</v>
          </cell>
          <cell r="D1589" t="str">
            <v>SMB</v>
          </cell>
        </row>
        <row r="1590">
          <cell r="C1590" t="str">
            <v>USD</v>
          </cell>
          <cell r="D1590" t="str">
            <v>SMB</v>
          </cell>
        </row>
        <row r="1591">
          <cell r="C1591" t="str">
            <v>USD</v>
          </cell>
          <cell r="D1591" t="str">
            <v>SMB</v>
          </cell>
        </row>
        <row r="1592">
          <cell r="C1592" t="str">
            <v>USD</v>
          </cell>
          <cell r="D1592" t="str">
            <v>SMB</v>
          </cell>
        </row>
        <row r="1593">
          <cell r="C1593" t="str">
            <v>EUR</v>
          </cell>
          <cell r="D1593" t="str">
            <v>SMB</v>
          </cell>
        </row>
        <row r="1594">
          <cell r="C1594" t="str">
            <v>Kur Sabitleme</v>
          </cell>
          <cell r="D1594" t="str">
            <v>SMB</v>
          </cell>
        </row>
        <row r="1595">
          <cell r="C1595" t="str">
            <v>GLOBAL HASAR DANIŞMALIĞI A.Ş.</v>
          </cell>
          <cell r="D1595" t="str">
            <v>SMB</v>
          </cell>
          <cell r="E1595" t="str">
            <v>Diğer</v>
          </cell>
        </row>
        <row r="1596">
          <cell r="C1596" t="str">
            <v>TL</v>
          </cell>
          <cell r="D1596" t="str">
            <v>SMB</v>
          </cell>
        </row>
        <row r="1597">
          <cell r="C1597" t="str">
            <v>USD</v>
          </cell>
          <cell r="D1597" t="str">
            <v>SMB</v>
          </cell>
        </row>
        <row r="1598">
          <cell r="C1598" t="str">
            <v>EUR</v>
          </cell>
          <cell r="D1598" t="str">
            <v>SMB</v>
          </cell>
        </row>
        <row r="1599">
          <cell r="C1599" t="str">
            <v>Kur Sabitleme</v>
          </cell>
          <cell r="D1599" t="str">
            <v>SMB</v>
          </cell>
        </row>
        <row r="1600">
          <cell r="C1600" t="str">
            <v>UNNOX GROUP</v>
          </cell>
          <cell r="D1600" t="str">
            <v>SMB</v>
          </cell>
          <cell r="E1600" t="str">
            <v>Üretim</v>
          </cell>
        </row>
        <row r="1601">
          <cell r="C1601" t="str">
            <v>TL</v>
          </cell>
          <cell r="D1601" t="str">
            <v>SMB</v>
          </cell>
        </row>
        <row r="1602">
          <cell r="C1602" t="str">
            <v>USD</v>
          </cell>
          <cell r="D1602" t="str">
            <v>SMB</v>
          </cell>
        </row>
        <row r="1603">
          <cell r="C1603" t="str">
            <v>EUR</v>
          </cell>
          <cell r="D1603" t="str">
            <v>SMB</v>
          </cell>
        </row>
        <row r="1604">
          <cell r="C1604" t="str">
            <v>Kur Sabitleme</v>
          </cell>
          <cell r="D1604" t="str">
            <v>SMB</v>
          </cell>
        </row>
        <row r="1605">
          <cell r="C1605" t="str">
            <v>Kat Turizm Gayrimenkul Yatırımları ve İşletme A.Ş.</v>
          </cell>
          <cell r="D1605" t="str">
            <v>SMB</v>
          </cell>
          <cell r="E1605" t="e">
            <v>#N/A</v>
          </cell>
        </row>
        <row r="1606">
          <cell r="C1606" t="str">
            <v>TL</v>
          </cell>
          <cell r="D1606" t="str">
            <v>SMB</v>
          </cell>
        </row>
        <row r="1607">
          <cell r="C1607" t="str">
            <v>USD</v>
          </cell>
          <cell r="D1607" t="str">
            <v>SMB</v>
          </cell>
        </row>
        <row r="1608">
          <cell r="C1608" t="str">
            <v>EUR</v>
          </cell>
          <cell r="D1608" t="str">
            <v>SMB</v>
          </cell>
        </row>
        <row r="1609">
          <cell r="C1609" t="str">
            <v>Kur Sabitleme</v>
          </cell>
          <cell r="D1609" t="str">
            <v>SMB</v>
          </cell>
        </row>
        <row r="1610">
          <cell r="C1610" t="str">
            <v>ABİDA BİLİŞİM TEKNOLOJİLERİ DANIŞMANLIK AŞ.</v>
          </cell>
          <cell r="D1610" t="str">
            <v>SMB</v>
          </cell>
          <cell r="E1610" t="str">
            <v>Bayi</v>
          </cell>
        </row>
        <row r="1611">
          <cell r="C1611" t="str">
            <v>TL</v>
          </cell>
          <cell r="D1611" t="str">
            <v>SMB</v>
          </cell>
        </row>
        <row r="1612">
          <cell r="C1612" t="str">
            <v>USD</v>
          </cell>
          <cell r="D1612" t="str">
            <v>SMB</v>
          </cell>
        </row>
        <row r="1613">
          <cell r="C1613" t="str">
            <v>USD</v>
          </cell>
          <cell r="D1613" t="str">
            <v>SMB</v>
          </cell>
        </row>
        <row r="1614">
          <cell r="C1614" t="str">
            <v>EUR</v>
          </cell>
          <cell r="D1614" t="str">
            <v>SMB</v>
          </cell>
        </row>
        <row r="1615">
          <cell r="C1615" t="str">
            <v>Kur Sabitleme</v>
          </cell>
          <cell r="D1615" t="str">
            <v>SMB</v>
          </cell>
        </row>
        <row r="1616">
          <cell r="C1616" t="str">
            <v>ARTEK YAZILIMEVİ DAN. HİZ. TİC. LTD. ŞTİ.</v>
          </cell>
          <cell r="D1616" t="str">
            <v>SMB</v>
          </cell>
          <cell r="E1616" t="e">
            <v>#N/A</v>
          </cell>
        </row>
        <row r="1617">
          <cell r="C1617" t="str">
            <v>TL</v>
          </cell>
          <cell r="D1617" t="str">
            <v>SMB</v>
          </cell>
        </row>
        <row r="1618">
          <cell r="C1618" t="str">
            <v>USD</v>
          </cell>
          <cell r="D1618" t="str">
            <v>SMB</v>
          </cell>
        </row>
        <row r="1619">
          <cell r="C1619" t="str">
            <v>EUR</v>
          </cell>
          <cell r="D1619" t="str">
            <v>SMB</v>
          </cell>
        </row>
        <row r="1620">
          <cell r="C1620" t="str">
            <v>Kur Sabitleme</v>
          </cell>
          <cell r="D1620" t="str">
            <v>SMB</v>
          </cell>
        </row>
        <row r="1621">
          <cell r="C1621" t="str">
            <v>GEMSAN GEMİ VE GEMİ İŞLETMECİLİĞİ SANAYİ VE TİCARE</v>
          </cell>
          <cell r="D1621" t="str">
            <v>SMB</v>
          </cell>
          <cell r="E1621" t="e">
            <v>#N/A</v>
          </cell>
        </row>
        <row r="1622">
          <cell r="C1622" t="str">
            <v>TL</v>
          </cell>
          <cell r="D1622" t="str">
            <v>SMB</v>
          </cell>
        </row>
        <row r="1623">
          <cell r="C1623" t="str">
            <v>USD</v>
          </cell>
          <cell r="D1623" t="str">
            <v>SMB</v>
          </cell>
        </row>
        <row r="1624">
          <cell r="C1624" t="str">
            <v>EUR</v>
          </cell>
          <cell r="D1624" t="str">
            <v>SMB</v>
          </cell>
        </row>
        <row r="1625">
          <cell r="C1625" t="str">
            <v>Kur Sabitleme</v>
          </cell>
          <cell r="D1625" t="str">
            <v>SMB</v>
          </cell>
        </row>
        <row r="1626">
          <cell r="C1626" t="str">
            <v>CONVERGING EUROPE FUND III MANAGEMENT</v>
          </cell>
          <cell r="D1626" t="str">
            <v>SMB</v>
          </cell>
          <cell r="E1626" t="str">
            <v>Finans</v>
          </cell>
        </row>
        <row r="1627">
          <cell r="C1627" t="str">
            <v>TL</v>
          </cell>
          <cell r="D1627" t="str">
            <v>SMB</v>
          </cell>
        </row>
        <row r="1628">
          <cell r="C1628" t="str">
            <v>USD</v>
          </cell>
          <cell r="D1628" t="str">
            <v>SMB</v>
          </cell>
        </row>
        <row r="1629">
          <cell r="C1629" t="str">
            <v>USD</v>
          </cell>
          <cell r="D1629" t="str">
            <v>SMB</v>
          </cell>
        </row>
        <row r="1630">
          <cell r="C1630" t="str">
            <v>USD</v>
          </cell>
          <cell r="D1630" t="str">
            <v>SMB</v>
          </cell>
        </row>
        <row r="1631">
          <cell r="C1631" t="str">
            <v>EUR</v>
          </cell>
          <cell r="D1631" t="str">
            <v>SMB</v>
          </cell>
        </row>
        <row r="1632">
          <cell r="C1632" t="str">
            <v>Kur Sabitleme</v>
          </cell>
          <cell r="D1632" t="str">
            <v>SMB</v>
          </cell>
        </row>
        <row r="1633">
          <cell r="C1633" t="str">
            <v>DEVON YAPI ÜRÜNLERİ İTH. SAN. ve TİC. A.Ş.</v>
          </cell>
          <cell r="D1633" t="str">
            <v>SMB</v>
          </cell>
          <cell r="E1633" t="e">
            <v>#N/A</v>
          </cell>
        </row>
        <row r="1634">
          <cell r="C1634" t="str">
            <v>TL</v>
          </cell>
          <cell r="D1634" t="str">
            <v>SMB</v>
          </cell>
        </row>
        <row r="1635">
          <cell r="C1635" t="str">
            <v>USD</v>
          </cell>
          <cell r="D1635" t="str">
            <v>SMB</v>
          </cell>
        </row>
        <row r="1636">
          <cell r="C1636" t="str">
            <v>EUR</v>
          </cell>
          <cell r="D1636" t="str">
            <v>SMB</v>
          </cell>
        </row>
        <row r="1637">
          <cell r="C1637" t="str">
            <v>Kur Sabitleme</v>
          </cell>
          <cell r="D1637" t="str">
            <v>SMB</v>
          </cell>
        </row>
        <row r="1638">
          <cell r="C1638" t="str">
            <v xml:space="preserve">İNGENO DAN. ÇEVİRİ VE TIBBİ ARAŞ. ORG. TİC. İTH. </v>
          </cell>
          <cell r="D1638" t="str">
            <v>SMB</v>
          </cell>
          <cell r="E1638" t="e">
            <v>#N/A</v>
          </cell>
        </row>
        <row r="1639">
          <cell r="C1639" t="str">
            <v>TL</v>
          </cell>
          <cell r="D1639" t="str">
            <v>SMB</v>
          </cell>
        </row>
        <row r="1640">
          <cell r="C1640" t="str">
            <v>USD</v>
          </cell>
          <cell r="D1640" t="str">
            <v>SMB</v>
          </cell>
        </row>
        <row r="1641">
          <cell r="C1641" t="str">
            <v>EUR</v>
          </cell>
          <cell r="D1641" t="str">
            <v>SMB</v>
          </cell>
        </row>
        <row r="1642">
          <cell r="C1642" t="str">
            <v>Kur Sabitleme</v>
          </cell>
          <cell r="D1642" t="str">
            <v>SMB</v>
          </cell>
        </row>
        <row r="1643">
          <cell r="C1643" t="str">
            <v>ZONGULDAK KÖMÜR İŞLETMELERİ ANONİM ŞİRKETİ</v>
          </cell>
          <cell r="D1643" t="str">
            <v>SMB</v>
          </cell>
          <cell r="E1643" t="e">
            <v>#N/A</v>
          </cell>
        </row>
        <row r="1644">
          <cell r="C1644" t="str">
            <v>TL</v>
          </cell>
          <cell r="D1644" t="str">
            <v>SMB</v>
          </cell>
        </row>
        <row r="1645">
          <cell r="C1645" t="str">
            <v>USD</v>
          </cell>
          <cell r="D1645" t="str">
            <v>SMB</v>
          </cell>
        </row>
        <row r="1646">
          <cell r="C1646" t="str">
            <v>EUR</v>
          </cell>
          <cell r="D1646" t="str">
            <v>SMB</v>
          </cell>
        </row>
        <row r="1647">
          <cell r="C1647" t="str">
            <v>Kur Sabitleme</v>
          </cell>
          <cell r="D1647" t="str">
            <v>SMB</v>
          </cell>
        </row>
        <row r="1648">
          <cell r="C1648" t="str">
            <v>TEKSO TEKNİK SOĞUTMA SAN.ve TİC.A.Ş.</v>
          </cell>
          <cell r="D1648" t="str">
            <v>SMB</v>
          </cell>
          <cell r="E1648" t="str">
            <v>Üretim</v>
          </cell>
        </row>
        <row r="1649">
          <cell r="C1649" t="str">
            <v>TL</v>
          </cell>
          <cell r="D1649" t="str">
            <v>SMB</v>
          </cell>
        </row>
        <row r="1650">
          <cell r="C1650" t="str">
            <v>USD</v>
          </cell>
          <cell r="D1650" t="str">
            <v>SMB</v>
          </cell>
        </row>
        <row r="1651">
          <cell r="C1651" t="str">
            <v>EUR</v>
          </cell>
          <cell r="D1651" t="str">
            <v>SMB</v>
          </cell>
        </row>
        <row r="1652">
          <cell r="C1652" t="str">
            <v>Kur Sabitleme</v>
          </cell>
          <cell r="D1652" t="str">
            <v>SMB</v>
          </cell>
        </row>
        <row r="1653">
          <cell r="C1653" t="str">
            <v>BADE HALI</v>
          </cell>
          <cell r="D1653" t="str">
            <v>Enterprise</v>
          </cell>
          <cell r="E1653" t="e">
            <v>#N/A</v>
          </cell>
        </row>
        <row r="1654">
          <cell r="C1654" t="str">
            <v>TL</v>
          </cell>
          <cell r="D1654" t="str">
            <v>Enterprise</v>
          </cell>
        </row>
        <row r="1655">
          <cell r="C1655" t="str">
            <v>USD</v>
          </cell>
          <cell r="D1655" t="str">
            <v>Enterprise</v>
          </cell>
        </row>
        <row r="1656">
          <cell r="C1656" t="str">
            <v>EUR</v>
          </cell>
          <cell r="D1656" t="str">
            <v>Enterprise</v>
          </cell>
        </row>
        <row r="1657">
          <cell r="C1657" t="str">
            <v>Kur Sabitleme</v>
          </cell>
          <cell r="D1657" t="str">
            <v>Enterprise</v>
          </cell>
        </row>
        <row r="1658">
          <cell r="C1658" t="str">
            <v>TEKNOSA İÇ ve DIŞ TİCARET A.Ş.</v>
          </cell>
          <cell r="D1658" t="str">
            <v>Enterprise</v>
          </cell>
          <cell r="E1658" t="str">
            <v>Perakende</v>
          </cell>
        </row>
        <row r="1659">
          <cell r="C1659" t="str">
            <v>TL</v>
          </cell>
          <cell r="D1659" t="str">
            <v>Enterprise</v>
          </cell>
        </row>
        <row r="1660">
          <cell r="C1660" t="str">
            <v>USD</v>
          </cell>
          <cell r="D1660" t="str">
            <v>Enterprise</v>
          </cell>
        </row>
        <row r="1661">
          <cell r="C1661" t="str">
            <v>USD</v>
          </cell>
          <cell r="D1661" t="str">
            <v>Enterprise</v>
          </cell>
        </row>
        <row r="1662">
          <cell r="C1662" t="str">
            <v>EUR</v>
          </cell>
          <cell r="D1662" t="str">
            <v>Enterprise</v>
          </cell>
        </row>
        <row r="1663">
          <cell r="C1663" t="str">
            <v>Kur Sabitleme</v>
          </cell>
          <cell r="D1663" t="str">
            <v>Enterprise</v>
          </cell>
        </row>
        <row r="1664">
          <cell r="C1664" t="str">
            <v>PRONET GÜVENLİK HİZMETLERİ A.Ş.</v>
          </cell>
          <cell r="D1664" t="str">
            <v>Enterprise</v>
          </cell>
          <cell r="E1664" t="str">
            <v>Genel</v>
          </cell>
        </row>
        <row r="1665">
          <cell r="C1665" t="str">
            <v>TL</v>
          </cell>
          <cell r="D1665" t="str">
            <v>Enterprise</v>
          </cell>
        </row>
        <row r="1666">
          <cell r="C1666" t="str">
            <v>USD</v>
          </cell>
          <cell r="D1666" t="str">
            <v>Enterprise</v>
          </cell>
        </row>
        <row r="1667">
          <cell r="C1667" t="str">
            <v>USD</v>
          </cell>
          <cell r="D1667" t="str">
            <v>Enterprise</v>
          </cell>
        </row>
        <row r="1668">
          <cell r="C1668" t="str">
            <v>EUR</v>
          </cell>
          <cell r="D1668" t="str">
            <v>Enterprise</v>
          </cell>
        </row>
        <row r="1669">
          <cell r="C1669" t="str">
            <v>Kur Sabitleme</v>
          </cell>
          <cell r="D1669" t="str">
            <v>Enterprise</v>
          </cell>
        </row>
        <row r="1670">
          <cell r="C1670" t="str">
            <v>HAKMAR MAĞAZACILIK</v>
          </cell>
          <cell r="D1670" t="str">
            <v>Enterprise</v>
          </cell>
          <cell r="E1670" t="str">
            <v>Perakende</v>
          </cell>
        </row>
        <row r="1671">
          <cell r="C1671" t="str">
            <v>TL</v>
          </cell>
          <cell r="D1671" t="str">
            <v>Enterprise</v>
          </cell>
        </row>
        <row r="1672">
          <cell r="C1672" t="str">
            <v>USD</v>
          </cell>
          <cell r="D1672" t="str">
            <v>Enterprise</v>
          </cell>
        </row>
        <row r="1673">
          <cell r="C1673" t="str">
            <v>USD</v>
          </cell>
          <cell r="D1673" t="str">
            <v>Enterprise</v>
          </cell>
        </row>
        <row r="1674">
          <cell r="C1674" t="str">
            <v>EUR</v>
          </cell>
          <cell r="D1674" t="str">
            <v>Enterprise</v>
          </cell>
        </row>
        <row r="1675">
          <cell r="C1675" t="str">
            <v>Kur Sabitleme</v>
          </cell>
          <cell r="D1675" t="str">
            <v>Enterprise</v>
          </cell>
        </row>
        <row r="1676">
          <cell r="C1676" t="str">
            <v>FLO Magazacılık Hizmetleri ve Pazarlama A.Ş.</v>
          </cell>
          <cell r="D1676" t="str">
            <v>Enterprise</v>
          </cell>
          <cell r="E1676" t="str">
            <v>Perakende</v>
          </cell>
        </row>
        <row r="1677">
          <cell r="C1677" t="str">
            <v>TL</v>
          </cell>
          <cell r="D1677" t="str">
            <v>Enterprise</v>
          </cell>
        </row>
        <row r="1678">
          <cell r="C1678" t="str">
            <v>TL</v>
          </cell>
          <cell r="D1678" t="str">
            <v>Enterprise</v>
          </cell>
        </row>
        <row r="1679">
          <cell r="C1679" t="str">
            <v>TL</v>
          </cell>
          <cell r="D1679" t="str">
            <v>Enterprise</v>
          </cell>
        </row>
        <row r="1680">
          <cell r="C1680" t="str">
            <v>USD</v>
          </cell>
          <cell r="D1680" t="str">
            <v>Enterprise</v>
          </cell>
        </row>
        <row r="1681">
          <cell r="C1681" t="str">
            <v>USD</v>
          </cell>
          <cell r="D1681" t="str">
            <v>Enterprise</v>
          </cell>
        </row>
        <row r="1682">
          <cell r="C1682" t="str">
            <v>USD</v>
          </cell>
          <cell r="D1682" t="str">
            <v>Enterprise</v>
          </cell>
        </row>
        <row r="1683">
          <cell r="C1683" t="str">
            <v>EUR</v>
          </cell>
          <cell r="D1683" t="str">
            <v>Enterprise</v>
          </cell>
        </row>
        <row r="1684">
          <cell r="C1684" t="str">
            <v>Kur Sabitleme</v>
          </cell>
          <cell r="D1684" t="str">
            <v>Enterprise</v>
          </cell>
        </row>
        <row r="1685">
          <cell r="C1685" t="str">
            <v>ALTERNA GIDA SANAYI PAZARLAMA VE TİC. A.Ş.</v>
          </cell>
          <cell r="D1685" t="str">
            <v>SMB</v>
          </cell>
          <cell r="E1685" t="str">
            <v>Üretim</v>
          </cell>
        </row>
        <row r="1686">
          <cell r="C1686" t="str">
            <v>TL</v>
          </cell>
          <cell r="D1686" t="str">
            <v>SMB</v>
          </cell>
        </row>
        <row r="1687">
          <cell r="C1687" t="str">
            <v>USD</v>
          </cell>
          <cell r="D1687" t="str">
            <v>SMB</v>
          </cell>
        </row>
        <row r="1688">
          <cell r="C1688" t="str">
            <v>USD</v>
          </cell>
          <cell r="D1688" t="str">
            <v>SMB</v>
          </cell>
        </row>
        <row r="1689">
          <cell r="C1689" t="str">
            <v>USD</v>
          </cell>
          <cell r="D1689" t="str">
            <v>SMB</v>
          </cell>
        </row>
        <row r="1690">
          <cell r="C1690" t="str">
            <v>USD</v>
          </cell>
          <cell r="D1690" t="str">
            <v>SMB</v>
          </cell>
        </row>
        <row r="1691">
          <cell r="C1691" t="str">
            <v>USD</v>
          </cell>
          <cell r="D1691" t="str">
            <v>SMB</v>
          </cell>
        </row>
        <row r="1692">
          <cell r="C1692" t="str">
            <v>USD</v>
          </cell>
          <cell r="D1692" t="str">
            <v>SMB</v>
          </cell>
        </row>
        <row r="1693">
          <cell r="C1693" t="str">
            <v>USD</v>
          </cell>
          <cell r="D1693" t="str">
            <v>SMB</v>
          </cell>
        </row>
        <row r="1694">
          <cell r="C1694" t="str">
            <v>USD</v>
          </cell>
          <cell r="D1694" t="str">
            <v>SMB</v>
          </cell>
        </row>
        <row r="1695">
          <cell r="C1695" t="str">
            <v>USD</v>
          </cell>
          <cell r="D1695" t="str">
            <v>SMB</v>
          </cell>
        </row>
        <row r="1696">
          <cell r="C1696" t="str">
            <v>EUR</v>
          </cell>
          <cell r="D1696" t="str">
            <v>SMB</v>
          </cell>
        </row>
        <row r="1697">
          <cell r="C1697" t="str">
            <v>Kur Sabitleme</v>
          </cell>
          <cell r="D1697" t="str">
            <v>SMB</v>
          </cell>
        </row>
        <row r="1698">
          <cell r="C1698" t="str">
            <v>AXOFT BILISIM LIMITED SIRKETI</v>
          </cell>
          <cell r="D1698" t="str">
            <v>SMB</v>
          </cell>
          <cell r="E1698" t="e">
            <v>#N/A</v>
          </cell>
        </row>
        <row r="1699">
          <cell r="C1699" t="str">
            <v>TL</v>
          </cell>
          <cell r="D1699" t="str">
            <v>SMB</v>
          </cell>
        </row>
        <row r="1700">
          <cell r="C1700" t="str">
            <v>USD</v>
          </cell>
          <cell r="D1700" t="str">
            <v>SMB</v>
          </cell>
        </row>
        <row r="1701">
          <cell r="C1701" t="str">
            <v>EUR</v>
          </cell>
          <cell r="D1701" t="str">
            <v>SMB</v>
          </cell>
        </row>
        <row r="1702">
          <cell r="C1702" t="str">
            <v>Kur Sabitleme</v>
          </cell>
          <cell r="D1702" t="str">
            <v>SMB</v>
          </cell>
        </row>
        <row r="1703">
          <cell r="C1703" t="str">
            <v>KGM ENERJİ TİC.LTD.ŞTİ.</v>
          </cell>
          <cell r="D1703" t="str">
            <v>SMB</v>
          </cell>
          <cell r="E1703" t="e">
            <v>#N/A</v>
          </cell>
        </row>
        <row r="1704">
          <cell r="C1704" t="str">
            <v>TL</v>
          </cell>
          <cell r="D1704" t="str">
            <v>SMB</v>
          </cell>
        </row>
        <row r="1705">
          <cell r="C1705" t="str">
            <v>USD</v>
          </cell>
          <cell r="D1705" t="str">
            <v>SMB</v>
          </cell>
        </row>
        <row r="1706">
          <cell r="C1706" t="str">
            <v>EUR</v>
          </cell>
          <cell r="D1706" t="str">
            <v>SMB</v>
          </cell>
        </row>
        <row r="1707">
          <cell r="C1707" t="str">
            <v>Kur Sabitleme</v>
          </cell>
          <cell r="D1707" t="str">
            <v>SMB</v>
          </cell>
        </row>
        <row r="1708">
          <cell r="C1708" t="str">
            <v>TÜM TEKNOLOJI ÜRETIM MERKEZI A.Ş.</v>
          </cell>
          <cell r="D1708" t="str">
            <v>SMB</v>
          </cell>
          <cell r="E1708" t="e">
            <v>#N/A</v>
          </cell>
        </row>
        <row r="1709">
          <cell r="C1709" t="str">
            <v>TL</v>
          </cell>
          <cell r="D1709" t="str">
            <v>SMB</v>
          </cell>
        </row>
        <row r="1710">
          <cell r="C1710" t="str">
            <v>USD</v>
          </cell>
          <cell r="D1710" t="str">
            <v>SMB</v>
          </cell>
        </row>
        <row r="1711">
          <cell r="C1711" t="str">
            <v>EUR</v>
          </cell>
          <cell r="D1711" t="str">
            <v>SMB</v>
          </cell>
        </row>
        <row r="1712">
          <cell r="C1712" t="str">
            <v>Kur Sabitleme</v>
          </cell>
          <cell r="D1712" t="str">
            <v>SMB</v>
          </cell>
        </row>
        <row r="1713">
          <cell r="C1713" t="str">
            <v>OTOFORM OTOMOTIV TIC.VE SAN.A.S.</v>
          </cell>
          <cell r="D1713" t="str">
            <v>SMB</v>
          </cell>
          <cell r="E1713" t="str">
            <v>Üretim</v>
          </cell>
        </row>
        <row r="1714">
          <cell r="C1714" t="str">
            <v>TL</v>
          </cell>
          <cell r="D1714" t="str">
            <v>SMB</v>
          </cell>
        </row>
        <row r="1715">
          <cell r="C1715" t="str">
            <v>USD</v>
          </cell>
          <cell r="D1715" t="str">
            <v>SMB</v>
          </cell>
        </row>
        <row r="1716">
          <cell r="C1716" t="str">
            <v>EUR</v>
          </cell>
          <cell r="D1716" t="str">
            <v>SMB</v>
          </cell>
        </row>
        <row r="1717">
          <cell r="C1717" t="str">
            <v>Kur Sabitleme</v>
          </cell>
          <cell r="D1717" t="str">
            <v>SMB</v>
          </cell>
        </row>
        <row r="1718">
          <cell r="C1718" t="str">
            <v>Kentglobal Park Dış Tic AŞ</v>
          </cell>
          <cell r="D1718" t="str">
            <v>SMB</v>
          </cell>
          <cell r="E1718" t="e">
            <v>#N/A</v>
          </cell>
        </row>
        <row r="1719">
          <cell r="C1719" t="str">
            <v>TL</v>
          </cell>
          <cell r="D1719" t="str">
            <v>SMB</v>
          </cell>
        </row>
        <row r="1720">
          <cell r="C1720" t="str">
            <v>USD</v>
          </cell>
          <cell r="D1720" t="str">
            <v>SMB</v>
          </cell>
        </row>
        <row r="1721">
          <cell r="C1721" t="str">
            <v>USD</v>
          </cell>
          <cell r="D1721" t="str">
            <v>SMB</v>
          </cell>
        </row>
        <row r="1722">
          <cell r="C1722" t="str">
            <v>EUR</v>
          </cell>
          <cell r="D1722" t="str">
            <v>SMB</v>
          </cell>
        </row>
        <row r="1723">
          <cell r="C1723" t="str">
            <v>Kur Sabitleme</v>
          </cell>
          <cell r="D1723" t="str">
            <v>SMB</v>
          </cell>
        </row>
        <row r="1724">
          <cell r="C1724" t="str">
            <v>SHOPISTANBUL TEKNOLOJI VE TICARET LIMITED SIRKETI</v>
          </cell>
          <cell r="D1724" t="str">
            <v>SMB</v>
          </cell>
          <cell r="E1724" t="e">
            <v>#N/A</v>
          </cell>
        </row>
        <row r="1725">
          <cell r="C1725" t="str">
            <v>TL</v>
          </cell>
          <cell r="D1725" t="str">
            <v>SMB</v>
          </cell>
        </row>
        <row r="1726">
          <cell r="C1726" t="str">
            <v>USD</v>
          </cell>
          <cell r="D1726" t="str">
            <v>SMB</v>
          </cell>
        </row>
        <row r="1727">
          <cell r="C1727" t="str">
            <v>EUR</v>
          </cell>
          <cell r="D1727" t="str">
            <v>SMB</v>
          </cell>
        </row>
        <row r="1728">
          <cell r="C1728" t="str">
            <v>Kur Sabitleme</v>
          </cell>
          <cell r="D1728" t="str">
            <v>SMB</v>
          </cell>
        </row>
        <row r="1729">
          <cell r="C1729" t="str">
            <v>BTYÖN TEKNOLOJİ A.Ş.</v>
          </cell>
          <cell r="D1729" t="str">
            <v>SMB</v>
          </cell>
          <cell r="E1729" t="str">
            <v>Bayi</v>
          </cell>
        </row>
        <row r="1730">
          <cell r="C1730" t="str">
            <v>TL</v>
          </cell>
          <cell r="D1730" t="str">
            <v>SMB</v>
          </cell>
        </row>
        <row r="1731">
          <cell r="C1731" t="str">
            <v>USD</v>
          </cell>
          <cell r="D1731" t="str">
            <v>SMB</v>
          </cell>
        </row>
        <row r="1732">
          <cell r="C1732" t="str">
            <v>EUR</v>
          </cell>
          <cell r="D1732" t="str">
            <v>SMB</v>
          </cell>
        </row>
        <row r="1733">
          <cell r="C1733" t="str">
            <v>Kur Sabitleme</v>
          </cell>
          <cell r="D1733" t="str">
            <v>SMB</v>
          </cell>
        </row>
        <row r="1734">
          <cell r="C1734" t="str">
            <v>TEKHNELOGOS YAZILIM MÜH MÜŞ BİL HİZ SAN</v>
          </cell>
          <cell r="D1734" t="str">
            <v>Enterprise</v>
          </cell>
          <cell r="E1734" t="str">
            <v>Teknoloji</v>
          </cell>
        </row>
        <row r="1735">
          <cell r="C1735" t="str">
            <v>TL</v>
          </cell>
          <cell r="D1735" t="str">
            <v>Enterprise</v>
          </cell>
        </row>
        <row r="1736">
          <cell r="C1736" t="str">
            <v>TL</v>
          </cell>
          <cell r="D1736" t="str">
            <v>Enterprise</v>
          </cell>
        </row>
        <row r="1737">
          <cell r="C1737" t="str">
            <v>USD</v>
          </cell>
          <cell r="D1737" t="str">
            <v>Enterprise</v>
          </cell>
        </row>
        <row r="1738">
          <cell r="C1738" t="str">
            <v>EUR</v>
          </cell>
          <cell r="D1738" t="str">
            <v>Enterprise</v>
          </cell>
        </row>
        <row r="1739">
          <cell r="C1739" t="str">
            <v>Kur Sabitleme</v>
          </cell>
          <cell r="D1739" t="str">
            <v>Enterprise</v>
          </cell>
        </row>
        <row r="1740">
          <cell r="C1740" t="str">
            <v>ÇAVUŞPET AKARYAKIT SANAYİ VE TİC.LTD ŞTİ</v>
          </cell>
          <cell r="D1740" t="str">
            <v>SMB</v>
          </cell>
          <cell r="E1740" t="str">
            <v>Enerji</v>
          </cell>
        </row>
        <row r="1741">
          <cell r="C1741" t="str">
            <v>TL</v>
          </cell>
          <cell r="D1741" t="str">
            <v>SMB</v>
          </cell>
        </row>
        <row r="1742">
          <cell r="C1742" t="str">
            <v>USD</v>
          </cell>
          <cell r="D1742" t="str">
            <v>SMB</v>
          </cell>
        </row>
        <row r="1743">
          <cell r="C1743" t="str">
            <v>USD</v>
          </cell>
          <cell r="D1743" t="str">
            <v>SMB</v>
          </cell>
        </row>
        <row r="1744">
          <cell r="C1744" t="str">
            <v>EUR</v>
          </cell>
          <cell r="D1744" t="str">
            <v>SMB</v>
          </cell>
        </row>
        <row r="1745">
          <cell r="C1745" t="str">
            <v>Kur Sabitleme</v>
          </cell>
          <cell r="D1745" t="str">
            <v>SMB</v>
          </cell>
        </row>
        <row r="1746">
          <cell r="C1746" t="str">
            <v>JONES LANG LASALLE GAYRIMENKUL HIZMETLERI TIC.A.Ş.</v>
          </cell>
          <cell r="D1746" t="str">
            <v>SMB</v>
          </cell>
          <cell r="E1746" t="e">
            <v>#N/A</v>
          </cell>
        </row>
        <row r="1747">
          <cell r="C1747" t="str">
            <v>TL</v>
          </cell>
          <cell r="D1747" t="str">
            <v>SMB</v>
          </cell>
        </row>
        <row r="1748">
          <cell r="C1748" t="str">
            <v>USD</v>
          </cell>
          <cell r="D1748" t="str">
            <v>SMB</v>
          </cell>
        </row>
        <row r="1749">
          <cell r="C1749" t="str">
            <v>EUR</v>
          </cell>
          <cell r="D1749" t="str">
            <v>SMB</v>
          </cell>
        </row>
        <row r="1750">
          <cell r="C1750" t="str">
            <v>Kur Sabitleme</v>
          </cell>
          <cell r="D1750" t="str">
            <v>SMB</v>
          </cell>
        </row>
        <row r="1751">
          <cell r="C1751" t="str">
            <v>BASKENT HOLDING A S.</v>
          </cell>
          <cell r="D1751" t="str">
            <v>SMB</v>
          </cell>
          <cell r="E1751" t="e">
            <v>#N/A</v>
          </cell>
        </row>
        <row r="1752">
          <cell r="C1752" t="str">
            <v>TL</v>
          </cell>
          <cell r="D1752" t="str">
            <v>SMB</v>
          </cell>
        </row>
        <row r="1753">
          <cell r="C1753" t="str">
            <v>USD</v>
          </cell>
          <cell r="D1753" t="str">
            <v>SMB</v>
          </cell>
        </row>
        <row r="1754">
          <cell r="C1754" t="str">
            <v>EUR</v>
          </cell>
          <cell r="D1754" t="str">
            <v>SMB</v>
          </cell>
        </row>
        <row r="1755">
          <cell r="C1755" t="str">
            <v>Kur Sabitleme</v>
          </cell>
          <cell r="D1755" t="str">
            <v>SMB</v>
          </cell>
        </row>
        <row r="1756">
          <cell r="C1756" t="str">
            <v>GÜNEŞ ELEKTRONİK CİHAZLAR ve TİC. LTD.ŞTİ.</v>
          </cell>
          <cell r="D1756" t="str">
            <v>SMB</v>
          </cell>
          <cell r="E1756" t="str">
            <v>Bayi</v>
          </cell>
        </row>
        <row r="1757">
          <cell r="C1757" t="str">
            <v>TL</v>
          </cell>
          <cell r="D1757" t="str">
            <v>SMB</v>
          </cell>
        </row>
        <row r="1758">
          <cell r="C1758" t="str">
            <v>USD</v>
          </cell>
          <cell r="D1758" t="str">
            <v>SMB</v>
          </cell>
        </row>
        <row r="1759">
          <cell r="C1759" t="str">
            <v>EUR</v>
          </cell>
          <cell r="D1759" t="str">
            <v>SMB</v>
          </cell>
        </row>
        <row r="1760">
          <cell r="C1760" t="str">
            <v>Kur Sabitleme</v>
          </cell>
          <cell r="D1760" t="str">
            <v>SMB</v>
          </cell>
        </row>
        <row r="1761">
          <cell r="C1761" t="str">
            <v>CVS ÇAVUSOGLU AYAKKABI PAZARI TİC.A.Ş.</v>
          </cell>
          <cell r="D1761" t="str">
            <v>SMB</v>
          </cell>
          <cell r="E1761" t="str">
            <v>Diğer</v>
          </cell>
        </row>
        <row r="1762">
          <cell r="C1762" t="str">
            <v>TL</v>
          </cell>
          <cell r="D1762" t="str">
            <v>SMB</v>
          </cell>
        </row>
        <row r="1763">
          <cell r="C1763" t="str">
            <v>USD</v>
          </cell>
          <cell r="D1763" t="str">
            <v>SMB</v>
          </cell>
        </row>
        <row r="1764">
          <cell r="C1764" t="str">
            <v>EUR</v>
          </cell>
          <cell r="D1764" t="str">
            <v>SMB</v>
          </cell>
        </row>
        <row r="1765">
          <cell r="C1765" t="str">
            <v>Kur Sabitleme</v>
          </cell>
          <cell r="D1765" t="str">
            <v>SMB</v>
          </cell>
        </row>
        <row r="1766">
          <cell r="C1766" t="str">
            <v>GÜLENYÜZ SİGORTA</v>
          </cell>
          <cell r="D1766" t="str">
            <v>SMB</v>
          </cell>
          <cell r="E1766" t="e">
            <v>#N/A</v>
          </cell>
        </row>
        <row r="1767">
          <cell r="C1767" t="str">
            <v>TL</v>
          </cell>
          <cell r="D1767" t="str">
            <v>SMB</v>
          </cell>
        </row>
        <row r="1768">
          <cell r="C1768" t="str">
            <v>USD</v>
          </cell>
          <cell r="D1768" t="str">
            <v>SMB</v>
          </cell>
        </row>
        <row r="1769">
          <cell r="C1769" t="str">
            <v>EUR</v>
          </cell>
          <cell r="D1769" t="str">
            <v>SMB</v>
          </cell>
        </row>
        <row r="1770">
          <cell r="C1770" t="str">
            <v>Kur Sabitleme</v>
          </cell>
          <cell r="D1770" t="str">
            <v>SMB</v>
          </cell>
        </row>
        <row r="1771">
          <cell r="C1771" t="str">
            <v>ASAŞ ALÜMİNYUM SANAYİİ VE TİCARET A.Ş.</v>
          </cell>
          <cell r="D1771" t="str">
            <v>Enterprise</v>
          </cell>
          <cell r="E1771" t="str">
            <v>Üretim</v>
          </cell>
        </row>
        <row r="1772">
          <cell r="C1772" t="str">
            <v>TL</v>
          </cell>
          <cell r="D1772" t="str">
            <v>Enterprise</v>
          </cell>
        </row>
        <row r="1773">
          <cell r="C1773" t="str">
            <v>USD</v>
          </cell>
          <cell r="D1773" t="str">
            <v>Enterprise</v>
          </cell>
        </row>
        <row r="1774">
          <cell r="C1774" t="str">
            <v>USD</v>
          </cell>
          <cell r="D1774" t="str">
            <v>Enterprise</v>
          </cell>
        </row>
        <row r="1775">
          <cell r="C1775" t="str">
            <v>EUR</v>
          </cell>
          <cell r="D1775" t="str">
            <v>Enterprise</v>
          </cell>
        </row>
        <row r="1776">
          <cell r="C1776" t="str">
            <v>Kur Sabitleme</v>
          </cell>
          <cell r="D1776" t="str">
            <v>Enterprise</v>
          </cell>
        </row>
        <row r="1777">
          <cell r="C1777" t="str">
            <v>AVEON GLOBAL SİGORTA ANONİM ŞİRKETİ</v>
          </cell>
          <cell r="D1777" t="str">
            <v>Enterprise</v>
          </cell>
          <cell r="E1777" t="e">
            <v>#N/A</v>
          </cell>
        </row>
        <row r="1778">
          <cell r="C1778" t="str">
            <v>TL</v>
          </cell>
          <cell r="D1778" t="str">
            <v>Enterprise</v>
          </cell>
        </row>
        <row r="1779">
          <cell r="C1779" t="str">
            <v>USD</v>
          </cell>
          <cell r="D1779" t="str">
            <v>Enterprise</v>
          </cell>
        </row>
        <row r="1780">
          <cell r="C1780" t="str">
            <v>USD</v>
          </cell>
          <cell r="D1780" t="str">
            <v>Enterprise</v>
          </cell>
        </row>
        <row r="1781">
          <cell r="C1781" t="str">
            <v>USD</v>
          </cell>
          <cell r="D1781" t="str">
            <v>Enterprise</v>
          </cell>
        </row>
        <row r="1782">
          <cell r="C1782" t="str">
            <v>EUR</v>
          </cell>
          <cell r="D1782" t="str">
            <v>Enterprise</v>
          </cell>
        </row>
        <row r="1783">
          <cell r="C1783" t="str">
            <v>Kur Sabitleme</v>
          </cell>
          <cell r="D1783" t="str">
            <v>Enterprise</v>
          </cell>
        </row>
        <row r="1784">
          <cell r="C1784" t="str">
            <v>Türkiye Finans Katılım Bankası</v>
          </cell>
          <cell r="D1784" t="str">
            <v>Enterprise</v>
          </cell>
          <cell r="E1784" t="str">
            <v>Finans</v>
          </cell>
        </row>
        <row r="1785">
          <cell r="C1785" t="str">
            <v>TL</v>
          </cell>
          <cell r="D1785" t="str">
            <v>Enterprise</v>
          </cell>
        </row>
        <row r="1786">
          <cell r="C1786" t="str">
            <v>USD</v>
          </cell>
          <cell r="D1786" t="str">
            <v>Enterprise</v>
          </cell>
        </row>
        <row r="1787">
          <cell r="C1787" t="str">
            <v>EUR</v>
          </cell>
          <cell r="D1787" t="str">
            <v>Enterprise</v>
          </cell>
        </row>
        <row r="1788">
          <cell r="C1788" t="str">
            <v>Kur Sabitleme</v>
          </cell>
          <cell r="D1788" t="str">
            <v>Enterprise</v>
          </cell>
        </row>
        <row r="1789">
          <cell r="C1789" t="str">
            <v>İGM GÜMRÜK MÜŞAVİRLİĞİ</v>
          </cell>
          <cell r="D1789" t="str">
            <v>SMB</v>
          </cell>
          <cell r="E1789" t="e">
            <v>#N/A</v>
          </cell>
        </row>
        <row r="1790">
          <cell r="C1790" t="str">
            <v>TL</v>
          </cell>
          <cell r="D1790" t="str">
            <v>SMB</v>
          </cell>
        </row>
        <row r="1791">
          <cell r="C1791" t="str">
            <v>USD</v>
          </cell>
          <cell r="D1791" t="str">
            <v>SMB</v>
          </cell>
        </row>
        <row r="1792">
          <cell r="C1792" t="str">
            <v>EUR</v>
          </cell>
          <cell r="D1792" t="str">
            <v>SMB</v>
          </cell>
        </row>
        <row r="1793">
          <cell r="C1793" t="str">
            <v>Kur Sabitleme</v>
          </cell>
          <cell r="D1793" t="str">
            <v>SMB</v>
          </cell>
        </row>
        <row r="1794">
          <cell r="C1794" t="str">
            <v>ARKON CELİK SANAYI ve TICARET LTD. ŞTI.</v>
          </cell>
          <cell r="D1794" t="str">
            <v>SMB</v>
          </cell>
          <cell r="E1794" t="str">
            <v>Diğer</v>
          </cell>
        </row>
        <row r="1795">
          <cell r="C1795" t="str">
            <v>TL</v>
          </cell>
          <cell r="D1795" t="str">
            <v>SMB</v>
          </cell>
        </row>
        <row r="1796">
          <cell r="C1796" t="str">
            <v>USD</v>
          </cell>
          <cell r="D1796" t="str">
            <v>SMB</v>
          </cell>
        </row>
        <row r="1797">
          <cell r="C1797" t="str">
            <v>EUR</v>
          </cell>
          <cell r="D1797" t="str">
            <v>SMB</v>
          </cell>
        </row>
        <row r="1798">
          <cell r="C1798" t="str">
            <v>Kur Sabitleme</v>
          </cell>
          <cell r="D1798" t="str">
            <v>SMB</v>
          </cell>
        </row>
        <row r="1799">
          <cell r="C1799" t="str">
            <v>SEGMENTIFY</v>
          </cell>
          <cell r="D1799" t="str">
            <v>SMB</v>
          </cell>
          <cell r="E1799" t="str">
            <v>Digital</v>
          </cell>
        </row>
        <row r="1800">
          <cell r="C1800" t="str">
            <v>TL</v>
          </cell>
          <cell r="D1800" t="str">
            <v>SMB</v>
          </cell>
        </row>
        <row r="1801">
          <cell r="C1801" t="str">
            <v>USD</v>
          </cell>
          <cell r="D1801" t="str">
            <v>SMB</v>
          </cell>
        </row>
        <row r="1802">
          <cell r="C1802" t="str">
            <v>EUR</v>
          </cell>
          <cell r="D1802" t="str">
            <v>SMB</v>
          </cell>
        </row>
        <row r="1803">
          <cell r="C1803" t="str">
            <v>Kur Sabitleme</v>
          </cell>
          <cell r="D1803" t="str">
            <v>SMB</v>
          </cell>
        </row>
        <row r="1804">
          <cell r="C1804" t="str">
            <v>SAH-96 MMC - BULUT HIZMETI</v>
          </cell>
          <cell r="D1804" t="str">
            <v>SMB</v>
          </cell>
          <cell r="E1804" t="str">
            <v>Diğer</v>
          </cell>
        </row>
        <row r="1805">
          <cell r="C1805" t="str">
            <v>TL</v>
          </cell>
          <cell r="D1805" t="str">
            <v>SMB</v>
          </cell>
        </row>
        <row r="1806">
          <cell r="C1806" t="str">
            <v>USD</v>
          </cell>
          <cell r="D1806" t="str">
            <v>SMB</v>
          </cell>
        </row>
        <row r="1807">
          <cell r="C1807" t="str">
            <v>EUR</v>
          </cell>
          <cell r="D1807" t="str">
            <v>SMB</v>
          </cell>
        </row>
        <row r="1808">
          <cell r="C1808" t="str">
            <v>Kur Sabitleme</v>
          </cell>
          <cell r="D1808" t="str">
            <v>SMB</v>
          </cell>
        </row>
        <row r="1809">
          <cell r="C1809" t="str">
            <v>ATESSONMEZ KIMYA SAN VE TIC AS</v>
          </cell>
          <cell r="D1809" t="str">
            <v>SMB</v>
          </cell>
          <cell r="E1809" t="str">
            <v>Üretim</v>
          </cell>
        </row>
        <row r="1810">
          <cell r="C1810" t="str">
            <v>TL</v>
          </cell>
          <cell r="D1810" t="str">
            <v>SMB</v>
          </cell>
        </row>
        <row r="1811">
          <cell r="C1811" t="str">
            <v>USD</v>
          </cell>
          <cell r="D1811" t="str">
            <v>SMB</v>
          </cell>
        </row>
        <row r="1812">
          <cell r="C1812" t="str">
            <v>EUR</v>
          </cell>
          <cell r="D1812" t="str">
            <v>SMB</v>
          </cell>
        </row>
        <row r="1813">
          <cell r="C1813" t="str">
            <v>Kur Sabitleme</v>
          </cell>
          <cell r="D1813" t="str">
            <v>SMB</v>
          </cell>
        </row>
        <row r="1814">
          <cell r="C1814" t="str">
            <v>SÜTPLUS GIDA TÜKETİM MADDELERİ SAN.VE TİC.LTD.ŞTİ.</v>
          </cell>
          <cell r="D1814" t="str">
            <v>SMB</v>
          </cell>
          <cell r="E1814" t="e">
            <v>#N/A</v>
          </cell>
        </row>
        <row r="1815">
          <cell r="C1815" t="str">
            <v>TL</v>
          </cell>
          <cell r="D1815" t="str">
            <v>SMB</v>
          </cell>
        </row>
        <row r="1816">
          <cell r="C1816" t="str">
            <v>USD</v>
          </cell>
          <cell r="D1816" t="str">
            <v>SMB</v>
          </cell>
        </row>
        <row r="1817">
          <cell r="C1817" t="str">
            <v>EUR</v>
          </cell>
          <cell r="D1817" t="str">
            <v>SMB</v>
          </cell>
        </row>
        <row r="1818">
          <cell r="C1818" t="str">
            <v>Kur Sabitleme</v>
          </cell>
          <cell r="D1818" t="str">
            <v>SMB</v>
          </cell>
        </row>
        <row r="1819">
          <cell r="C1819" t="str">
            <v>GİSAŞ GEMI İNŞA SANAYI A.Ş.</v>
          </cell>
          <cell r="D1819" t="str">
            <v>SMB</v>
          </cell>
          <cell r="E1819" t="e">
            <v>#N/A</v>
          </cell>
        </row>
        <row r="1820">
          <cell r="C1820" t="str">
            <v>TL</v>
          </cell>
          <cell r="D1820" t="str">
            <v>SMB</v>
          </cell>
        </row>
        <row r="1821">
          <cell r="C1821" t="str">
            <v>USD</v>
          </cell>
          <cell r="D1821" t="str">
            <v>SMB</v>
          </cell>
        </row>
        <row r="1822">
          <cell r="C1822" t="str">
            <v>EUR</v>
          </cell>
          <cell r="D1822" t="str">
            <v>SMB</v>
          </cell>
        </row>
        <row r="1823">
          <cell r="C1823" t="str">
            <v>Kur Sabitleme</v>
          </cell>
          <cell r="D1823" t="str">
            <v>SMB</v>
          </cell>
        </row>
        <row r="1824">
          <cell r="C1824" t="str">
            <v>PELSAN AYDINLATMA SANAYİ VE TİCARET ANONİM ŞİRKETİ</v>
          </cell>
          <cell r="D1824" t="str">
            <v>SMB</v>
          </cell>
          <cell r="E1824" t="str">
            <v>Üretim</v>
          </cell>
        </row>
        <row r="1825">
          <cell r="C1825" t="str">
            <v>TL</v>
          </cell>
          <cell r="D1825" t="str">
            <v>SMB</v>
          </cell>
        </row>
        <row r="1826">
          <cell r="C1826" t="str">
            <v>USD</v>
          </cell>
          <cell r="D1826" t="str">
            <v>SMB</v>
          </cell>
        </row>
        <row r="1827">
          <cell r="C1827" t="str">
            <v>EUR</v>
          </cell>
          <cell r="D1827" t="str">
            <v>SMB</v>
          </cell>
        </row>
        <row r="1828">
          <cell r="C1828" t="str">
            <v>Kur Sabitleme</v>
          </cell>
          <cell r="D1828" t="str">
            <v>SMB</v>
          </cell>
        </row>
        <row r="1829">
          <cell r="C1829" t="str">
            <v>TRANSORIENT ULUSLARARASI LOJİSTİK VE TİCARET A.Ş</v>
          </cell>
          <cell r="D1829" t="str">
            <v>SMB</v>
          </cell>
          <cell r="E1829" t="str">
            <v>Lojistik</v>
          </cell>
        </row>
        <row r="1830">
          <cell r="C1830" t="str">
            <v>TL</v>
          </cell>
          <cell r="D1830" t="str">
            <v>SMB</v>
          </cell>
        </row>
        <row r="1831">
          <cell r="C1831" t="str">
            <v>USD</v>
          </cell>
          <cell r="D1831" t="str">
            <v>SMB</v>
          </cell>
        </row>
        <row r="1832">
          <cell r="C1832" t="str">
            <v>EUR</v>
          </cell>
          <cell r="D1832" t="str">
            <v>SMB</v>
          </cell>
        </row>
        <row r="1833">
          <cell r="C1833" t="str">
            <v>Kur Sabitleme</v>
          </cell>
          <cell r="D1833" t="str">
            <v>SMB</v>
          </cell>
        </row>
        <row r="1834">
          <cell r="C1834" t="str">
            <v>OPSAN ORİJİNAL SAC PARÇA SAN.VE TİC. A.Ş.</v>
          </cell>
          <cell r="D1834" t="str">
            <v>Enterprise</v>
          </cell>
          <cell r="E1834" t="str">
            <v>Üretim</v>
          </cell>
        </row>
        <row r="1835">
          <cell r="C1835" t="str">
            <v>TL</v>
          </cell>
          <cell r="D1835" t="str">
            <v>Enterprise</v>
          </cell>
        </row>
        <row r="1836">
          <cell r="C1836" t="str">
            <v>USD</v>
          </cell>
          <cell r="D1836" t="str">
            <v>Enterprise</v>
          </cell>
        </row>
        <row r="1837">
          <cell r="C1837" t="str">
            <v>EUR</v>
          </cell>
          <cell r="D1837" t="str">
            <v>Enterprise</v>
          </cell>
        </row>
        <row r="1838">
          <cell r="C1838" t="str">
            <v>Kur Sabitleme</v>
          </cell>
          <cell r="D1838" t="str">
            <v>Enterprise</v>
          </cell>
        </row>
        <row r="1839">
          <cell r="C1839" t="str">
            <v>90PİXEL</v>
          </cell>
          <cell r="D1839" t="str">
            <v>SMB</v>
          </cell>
          <cell r="E1839" t="str">
            <v>Teknoloji</v>
          </cell>
        </row>
        <row r="1840">
          <cell r="C1840" t="str">
            <v>TL</v>
          </cell>
          <cell r="D1840" t="str">
            <v>SMB</v>
          </cell>
        </row>
        <row r="1841">
          <cell r="C1841" t="str">
            <v>USD</v>
          </cell>
          <cell r="D1841" t="str">
            <v>SMB</v>
          </cell>
        </row>
        <row r="1842">
          <cell r="C1842" t="str">
            <v>EUR</v>
          </cell>
          <cell r="D1842" t="str">
            <v>SMB</v>
          </cell>
        </row>
        <row r="1843">
          <cell r="C1843" t="str">
            <v>Kur Sabitleme</v>
          </cell>
          <cell r="D1843" t="str">
            <v>SMB</v>
          </cell>
        </row>
        <row r="1844">
          <cell r="C1844" t="str">
            <v>Acr Naturel Gıda Pazarlama Sanayi Ve Ticaret Limit</v>
          </cell>
          <cell r="D1844" t="str">
            <v>SMB</v>
          </cell>
          <cell r="E1844" t="str">
            <v>Diğer</v>
          </cell>
        </row>
        <row r="1845">
          <cell r="C1845" t="str">
            <v>TL</v>
          </cell>
          <cell r="D1845" t="str">
            <v>SMB</v>
          </cell>
        </row>
        <row r="1846">
          <cell r="C1846" t="str">
            <v>USD</v>
          </cell>
          <cell r="D1846" t="str">
            <v>SMB</v>
          </cell>
        </row>
        <row r="1847">
          <cell r="C1847" t="str">
            <v>EUR</v>
          </cell>
          <cell r="D1847" t="str">
            <v>SMB</v>
          </cell>
        </row>
        <row r="1848">
          <cell r="C1848" t="str">
            <v>Kur Sabitleme</v>
          </cell>
          <cell r="D1848" t="str">
            <v>SMB</v>
          </cell>
        </row>
        <row r="1849">
          <cell r="C1849" t="str">
            <v>HEXAROB OTOMASYON VE MÜHENDISLIK LTD. ŞTI.</v>
          </cell>
          <cell r="D1849" t="str">
            <v>SMB</v>
          </cell>
          <cell r="E1849" t="e">
            <v>#N/A</v>
          </cell>
        </row>
        <row r="1850">
          <cell r="C1850" t="str">
            <v>TL</v>
          </cell>
          <cell r="D1850" t="str">
            <v>SMB</v>
          </cell>
        </row>
        <row r="1851">
          <cell r="C1851" t="str">
            <v>USD</v>
          </cell>
          <cell r="D1851" t="str">
            <v>SMB</v>
          </cell>
        </row>
        <row r="1852">
          <cell r="C1852" t="str">
            <v>EUR</v>
          </cell>
          <cell r="D1852" t="str">
            <v>SMB</v>
          </cell>
        </row>
        <row r="1853">
          <cell r="C1853" t="str">
            <v>Kur Sabitleme</v>
          </cell>
          <cell r="D1853" t="str">
            <v>SMB</v>
          </cell>
        </row>
        <row r="1854">
          <cell r="C1854" t="str">
            <v>MODİS YAPI MİMARLIK</v>
          </cell>
          <cell r="D1854" t="str">
            <v>SMB</v>
          </cell>
          <cell r="E1854" t="str">
            <v>Genel</v>
          </cell>
        </row>
        <row r="1855">
          <cell r="C1855" t="str">
            <v>TL</v>
          </cell>
          <cell r="D1855" t="str">
            <v>SMB</v>
          </cell>
        </row>
        <row r="1856">
          <cell r="C1856" t="str">
            <v>USD</v>
          </cell>
          <cell r="D1856" t="str">
            <v>SMB</v>
          </cell>
        </row>
        <row r="1857">
          <cell r="C1857" t="str">
            <v>EUR</v>
          </cell>
          <cell r="D1857" t="str">
            <v>SMB</v>
          </cell>
        </row>
        <row r="1858">
          <cell r="C1858" t="str">
            <v>Kur Sabitleme</v>
          </cell>
          <cell r="D1858" t="str">
            <v>SMB</v>
          </cell>
        </row>
        <row r="1859">
          <cell r="C1859" t="str">
            <v>Mia Istanbul Gayrimenkul</v>
          </cell>
          <cell r="D1859" t="str">
            <v>SMB</v>
          </cell>
          <cell r="E1859" t="e">
            <v>#N/A</v>
          </cell>
        </row>
        <row r="1860">
          <cell r="C1860" t="str">
            <v>TL</v>
          </cell>
          <cell r="D1860" t="str">
            <v>SMB</v>
          </cell>
        </row>
        <row r="1861">
          <cell r="C1861" t="str">
            <v>USD</v>
          </cell>
          <cell r="D1861" t="str">
            <v>SMB</v>
          </cell>
        </row>
        <row r="1862">
          <cell r="C1862" t="str">
            <v>EUR</v>
          </cell>
          <cell r="D1862" t="str">
            <v>SMB</v>
          </cell>
        </row>
        <row r="1863">
          <cell r="C1863" t="str">
            <v>Kur Sabitleme</v>
          </cell>
          <cell r="D1863" t="str">
            <v>SMB</v>
          </cell>
        </row>
        <row r="1864">
          <cell r="C1864" t="str">
            <v>TÜRK PVEI SİGORTA A.Ş.</v>
          </cell>
          <cell r="D1864" t="str">
            <v>Enterprise</v>
          </cell>
          <cell r="E1864" t="str">
            <v>Finans</v>
          </cell>
        </row>
        <row r="1865">
          <cell r="C1865" t="str">
            <v>TL</v>
          </cell>
          <cell r="D1865" t="str">
            <v>Enterprise</v>
          </cell>
        </row>
        <row r="1866">
          <cell r="C1866" t="str">
            <v>USD</v>
          </cell>
          <cell r="D1866" t="str">
            <v>Enterprise</v>
          </cell>
        </row>
        <row r="1867">
          <cell r="C1867" t="str">
            <v>USD</v>
          </cell>
          <cell r="D1867" t="str">
            <v>Enterprise</v>
          </cell>
        </row>
        <row r="1868">
          <cell r="C1868" t="str">
            <v>USD</v>
          </cell>
          <cell r="D1868" t="str">
            <v>Enterprise</v>
          </cell>
        </row>
        <row r="1869">
          <cell r="C1869" t="str">
            <v>EUR</v>
          </cell>
          <cell r="D1869" t="str">
            <v>Enterprise</v>
          </cell>
        </row>
        <row r="1870">
          <cell r="C1870" t="str">
            <v>Kur Sabitleme</v>
          </cell>
          <cell r="D1870" t="str">
            <v>Enterprise</v>
          </cell>
        </row>
        <row r="1871">
          <cell r="C1871" t="str">
            <v>UGI SOFT YAZILIM</v>
          </cell>
          <cell r="D1871" t="str">
            <v>SMB</v>
          </cell>
          <cell r="E1871" t="str">
            <v>Diğer</v>
          </cell>
        </row>
        <row r="1872">
          <cell r="C1872" t="str">
            <v>TL</v>
          </cell>
          <cell r="D1872" t="str">
            <v>SMB</v>
          </cell>
        </row>
        <row r="1873">
          <cell r="C1873" t="str">
            <v>USD</v>
          </cell>
          <cell r="D1873" t="str">
            <v>SMB</v>
          </cell>
        </row>
        <row r="1874">
          <cell r="C1874" t="str">
            <v>EUR</v>
          </cell>
          <cell r="D1874" t="str">
            <v>SMB</v>
          </cell>
        </row>
        <row r="1875">
          <cell r="C1875" t="str">
            <v>Kur Sabitleme</v>
          </cell>
          <cell r="D1875" t="str">
            <v>SMB</v>
          </cell>
        </row>
        <row r="1876">
          <cell r="C1876" t="str">
            <v>AKTİF HUKUK</v>
          </cell>
          <cell r="D1876" t="str">
            <v>SMB</v>
          </cell>
          <cell r="E1876" t="str">
            <v>Genel</v>
          </cell>
        </row>
        <row r="1877">
          <cell r="C1877" t="str">
            <v>TL</v>
          </cell>
          <cell r="D1877" t="str">
            <v>SMB</v>
          </cell>
        </row>
        <row r="1878">
          <cell r="C1878" t="str">
            <v>USD</v>
          </cell>
          <cell r="D1878" t="str">
            <v>SMB</v>
          </cell>
        </row>
        <row r="1879">
          <cell r="C1879" t="str">
            <v>USD</v>
          </cell>
          <cell r="D1879" t="str">
            <v>SMB</v>
          </cell>
        </row>
        <row r="1880">
          <cell r="C1880" t="str">
            <v>USD</v>
          </cell>
          <cell r="D1880" t="str">
            <v>SMB</v>
          </cell>
        </row>
        <row r="1881">
          <cell r="C1881" t="str">
            <v>USD</v>
          </cell>
          <cell r="D1881" t="str">
            <v>SMB</v>
          </cell>
        </row>
        <row r="1882">
          <cell r="C1882" t="str">
            <v>USD</v>
          </cell>
          <cell r="D1882" t="str">
            <v>SMB</v>
          </cell>
        </row>
        <row r="1883">
          <cell r="C1883" t="str">
            <v>USD</v>
          </cell>
          <cell r="D1883" t="str">
            <v>SMB</v>
          </cell>
        </row>
        <row r="1884">
          <cell r="C1884" t="str">
            <v>EUR</v>
          </cell>
          <cell r="D1884" t="str">
            <v>SMB</v>
          </cell>
        </row>
        <row r="1885">
          <cell r="C1885" t="str">
            <v>Kur Sabitleme</v>
          </cell>
          <cell r="D1885" t="str">
            <v>SMB</v>
          </cell>
        </row>
        <row r="1886">
          <cell r="C1886" t="str">
            <v>ÖZEL ALEV OKULLARI</v>
          </cell>
          <cell r="D1886" t="str">
            <v>SMB</v>
          </cell>
          <cell r="E1886" t="e">
            <v>#N/A</v>
          </cell>
        </row>
        <row r="1887">
          <cell r="C1887" t="str">
            <v>TL</v>
          </cell>
          <cell r="D1887" t="str">
            <v>SMB</v>
          </cell>
        </row>
        <row r="1888">
          <cell r="C1888" t="str">
            <v>USD</v>
          </cell>
          <cell r="D1888" t="str">
            <v>SMB</v>
          </cell>
        </row>
        <row r="1889">
          <cell r="C1889" t="str">
            <v>EUR</v>
          </cell>
          <cell r="D1889" t="str">
            <v>SMB</v>
          </cell>
        </row>
        <row r="1890">
          <cell r="C1890" t="str">
            <v>Kur Sabitleme</v>
          </cell>
          <cell r="D1890" t="str">
            <v>SMB</v>
          </cell>
        </row>
        <row r="1891">
          <cell r="C1891" t="str">
            <v>M LORD DIŞ TİCARET A.Ş</v>
          </cell>
          <cell r="D1891" t="str">
            <v>SMB</v>
          </cell>
          <cell r="E1891" t="str">
            <v>Diğer</v>
          </cell>
        </row>
        <row r="1892">
          <cell r="C1892" t="str">
            <v>TL</v>
          </cell>
          <cell r="D1892" t="str">
            <v>SMB</v>
          </cell>
        </row>
        <row r="1893">
          <cell r="C1893" t="str">
            <v>USD</v>
          </cell>
          <cell r="D1893" t="str">
            <v>SMB</v>
          </cell>
        </row>
        <row r="1894">
          <cell r="C1894" t="str">
            <v>EUR</v>
          </cell>
          <cell r="D1894" t="str">
            <v>SMB</v>
          </cell>
        </row>
        <row r="1895">
          <cell r="C1895" t="str">
            <v>Kur Sabitleme</v>
          </cell>
          <cell r="D1895" t="str">
            <v>SMB</v>
          </cell>
        </row>
        <row r="1896">
          <cell r="C1896" t="str">
            <v>LKG MÜHENDISLIK VE ARGE HIZMETLERI LTD. ŞTI.</v>
          </cell>
          <cell r="D1896" t="str">
            <v>SMB</v>
          </cell>
          <cell r="E1896" t="e">
            <v>#N/A</v>
          </cell>
        </row>
        <row r="1897">
          <cell r="C1897" t="str">
            <v>TL</v>
          </cell>
          <cell r="D1897" t="str">
            <v>SMB</v>
          </cell>
        </row>
        <row r="1898">
          <cell r="C1898" t="str">
            <v>USD</v>
          </cell>
          <cell r="D1898" t="str">
            <v>SMB</v>
          </cell>
        </row>
        <row r="1899">
          <cell r="C1899" t="str">
            <v>EUR</v>
          </cell>
          <cell r="D1899" t="str">
            <v>SMB</v>
          </cell>
        </row>
        <row r="1900">
          <cell r="C1900" t="str">
            <v>Kur Sabitleme</v>
          </cell>
          <cell r="D1900" t="str">
            <v>SMB</v>
          </cell>
        </row>
        <row r="1901">
          <cell r="C1901" t="str">
            <v>ROTAP TEKNOLOJİ YAZILIM</v>
          </cell>
          <cell r="D1901" t="str">
            <v>SMB</v>
          </cell>
          <cell r="E1901" t="e">
            <v>#N/A</v>
          </cell>
        </row>
        <row r="1902">
          <cell r="C1902" t="str">
            <v>TL</v>
          </cell>
          <cell r="D1902" t="str">
            <v>SMB</v>
          </cell>
        </row>
        <row r="1903">
          <cell r="C1903" t="str">
            <v>USD</v>
          </cell>
          <cell r="D1903" t="str">
            <v>SMB</v>
          </cell>
        </row>
        <row r="1904">
          <cell r="C1904" t="str">
            <v>EUR</v>
          </cell>
          <cell r="D1904" t="str">
            <v>SMB</v>
          </cell>
        </row>
        <row r="1905">
          <cell r="C1905" t="str">
            <v>Kur Sabitleme</v>
          </cell>
          <cell r="D1905" t="str">
            <v>SMB</v>
          </cell>
        </row>
        <row r="1906">
          <cell r="C1906" t="str">
            <v>ANTALYA SUBSTRAT YATIRIM LİMİTED ŞİRKETİ</v>
          </cell>
          <cell r="D1906" t="str">
            <v>SMB</v>
          </cell>
          <cell r="E1906" t="str">
            <v>Diğer</v>
          </cell>
        </row>
        <row r="1907">
          <cell r="C1907" t="str">
            <v>TL</v>
          </cell>
          <cell r="D1907" t="str">
            <v>SMB</v>
          </cell>
        </row>
        <row r="1908">
          <cell r="C1908" t="str">
            <v>USD</v>
          </cell>
          <cell r="D1908" t="str">
            <v>SMB</v>
          </cell>
        </row>
        <row r="1909">
          <cell r="C1909" t="str">
            <v>USD</v>
          </cell>
          <cell r="D1909" t="str">
            <v>SMB</v>
          </cell>
        </row>
        <row r="1910">
          <cell r="C1910" t="str">
            <v>EUR</v>
          </cell>
          <cell r="D1910" t="str">
            <v>SMB</v>
          </cell>
        </row>
        <row r="1911">
          <cell r="C1911" t="str">
            <v>Kur Sabitleme</v>
          </cell>
          <cell r="D1911" t="str">
            <v>SMB</v>
          </cell>
        </row>
        <row r="1912">
          <cell r="C1912" t="str">
            <v>TİRYAKİ KALIP  PLASTİK METAL İMALAT SAN. VE TİC. L</v>
          </cell>
          <cell r="D1912" t="str">
            <v>SMB</v>
          </cell>
          <cell r="E1912" t="str">
            <v>Diğer</v>
          </cell>
        </row>
        <row r="1913">
          <cell r="C1913" t="str">
            <v>TL</v>
          </cell>
          <cell r="D1913" t="str">
            <v>SMB</v>
          </cell>
        </row>
        <row r="1914">
          <cell r="C1914" t="str">
            <v>USD</v>
          </cell>
          <cell r="D1914" t="str">
            <v>SMB</v>
          </cell>
        </row>
        <row r="1915">
          <cell r="C1915" t="str">
            <v>EUR</v>
          </cell>
          <cell r="D1915" t="str">
            <v>SMB</v>
          </cell>
        </row>
        <row r="1916">
          <cell r="C1916" t="str">
            <v>Kur Sabitleme</v>
          </cell>
          <cell r="D1916" t="str">
            <v>SMB</v>
          </cell>
        </row>
        <row r="1917">
          <cell r="C1917" t="str">
            <v>TRAKPAR YEDEK PARÇA SAN.DIŞ.TİC.LTD.ŞTİ.</v>
          </cell>
          <cell r="D1917" t="str">
            <v>SMB</v>
          </cell>
          <cell r="E1917" t="str">
            <v>Diğer</v>
          </cell>
        </row>
        <row r="1918">
          <cell r="C1918" t="str">
            <v>TL</v>
          </cell>
          <cell r="D1918" t="str">
            <v>SMB</v>
          </cell>
        </row>
        <row r="1919">
          <cell r="C1919" t="str">
            <v>USD</v>
          </cell>
          <cell r="D1919" t="str">
            <v>SMB</v>
          </cell>
        </row>
        <row r="1920">
          <cell r="C1920" t="str">
            <v>EUR</v>
          </cell>
          <cell r="D1920" t="str">
            <v>SMB</v>
          </cell>
        </row>
        <row r="1921">
          <cell r="C1921" t="str">
            <v>Kur Sabitleme</v>
          </cell>
          <cell r="D1921" t="str">
            <v>SMB</v>
          </cell>
        </row>
        <row r="1922">
          <cell r="C1922" t="str">
            <v>24 KARGO VE TAŞIMACILIK TİCARET A.Ş.</v>
          </cell>
          <cell r="D1922" t="str">
            <v>SMB</v>
          </cell>
          <cell r="E1922" t="str">
            <v>Diğer</v>
          </cell>
        </row>
        <row r="1923">
          <cell r="C1923" t="str">
            <v>TL</v>
          </cell>
          <cell r="D1923" t="str">
            <v>SMB</v>
          </cell>
        </row>
        <row r="1924">
          <cell r="C1924" t="str">
            <v>USD</v>
          </cell>
          <cell r="D1924" t="str">
            <v>SMB</v>
          </cell>
        </row>
        <row r="1925">
          <cell r="C1925" t="str">
            <v>EUR</v>
          </cell>
          <cell r="D1925" t="str">
            <v>SMB</v>
          </cell>
        </row>
        <row r="1926">
          <cell r="C1926" t="str">
            <v>Kur Sabitleme</v>
          </cell>
          <cell r="D1926" t="str">
            <v>SMB</v>
          </cell>
        </row>
        <row r="1927">
          <cell r="C1927" t="str">
            <v>SİNYAL ELEKTRONİK VE KOZMETİK ÜRÜNLER SAN. VE  P</v>
          </cell>
          <cell r="D1927" t="str">
            <v>SMB</v>
          </cell>
          <cell r="E1927" t="str">
            <v>Perakende</v>
          </cell>
        </row>
        <row r="1928">
          <cell r="C1928" t="str">
            <v>TL</v>
          </cell>
          <cell r="D1928" t="str">
            <v>SMB</v>
          </cell>
        </row>
        <row r="1929">
          <cell r="C1929" t="str">
            <v>USD</v>
          </cell>
          <cell r="D1929" t="str">
            <v>SMB</v>
          </cell>
        </row>
        <row r="1930">
          <cell r="C1930" t="str">
            <v>EUR</v>
          </cell>
          <cell r="D1930" t="str">
            <v>SMB</v>
          </cell>
        </row>
        <row r="1931">
          <cell r="C1931" t="str">
            <v>Kur Sabitleme</v>
          </cell>
          <cell r="D1931" t="str">
            <v>SMB</v>
          </cell>
        </row>
        <row r="1932">
          <cell r="C1932" t="str">
            <v>DEHA SANAT ETKİNLİKLERİ EĞİTİM VE ORGANİZASYON İTH</v>
          </cell>
          <cell r="D1932" t="str">
            <v>SMB</v>
          </cell>
          <cell r="E1932" t="str">
            <v>Diğer</v>
          </cell>
        </row>
        <row r="1933">
          <cell r="C1933" t="str">
            <v>TL</v>
          </cell>
          <cell r="D1933" t="str">
            <v>SMB</v>
          </cell>
        </row>
        <row r="1934">
          <cell r="C1934" t="str">
            <v>USD</v>
          </cell>
          <cell r="D1934" t="str">
            <v>SMB</v>
          </cell>
        </row>
        <row r="1935">
          <cell r="C1935" t="str">
            <v>USD</v>
          </cell>
          <cell r="D1935" t="str">
            <v>SMB</v>
          </cell>
        </row>
        <row r="1936">
          <cell r="C1936" t="str">
            <v>EUR</v>
          </cell>
          <cell r="D1936" t="str">
            <v>SMB</v>
          </cell>
        </row>
        <row r="1937">
          <cell r="C1937" t="str">
            <v>Kur Sabitleme</v>
          </cell>
          <cell r="D1937" t="str">
            <v>SMB</v>
          </cell>
        </row>
        <row r="1938">
          <cell r="C1938" t="str">
            <v>BASIT GIDA ANONIM SIRKETI</v>
          </cell>
          <cell r="D1938" t="str">
            <v>SMB</v>
          </cell>
          <cell r="E1938" t="str">
            <v>Perakende</v>
          </cell>
        </row>
        <row r="1939">
          <cell r="C1939" t="str">
            <v>TL</v>
          </cell>
          <cell r="D1939" t="str">
            <v>SMB</v>
          </cell>
        </row>
        <row r="1940">
          <cell r="C1940" t="str">
            <v>USD</v>
          </cell>
          <cell r="D1940" t="str">
            <v>SMB</v>
          </cell>
        </row>
        <row r="1941">
          <cell r="C1941" t="str">
            <v>EUR</v>
          </cell>
          <cell r="D1941" t="str">
            <v>SMB</v>
          </cell>
        </row>
        <row r="1942">
          <cell r="C1942" t="str">
            <v>Kur Sabitleme</v>
          </cell>
          <cell r="D1942" t="str">
            <v>SMB</v>
          </cell>
        </row>
        <row r="1943">
          <cell r="C1943" t="str">
            <v>ANTAKYA BASIM YAYIN TURZ.İNŞ.TİC.LTD.ŞTİ</v>
          </cell>
          <cell r="D1943" t="str">
            <v>SMB</v>
          </cell>
          <cell r="E1943" t="e">
            <v>#N/A</v>
          </cell>
        </row>
        <row r="1944">
          <cell r="C1944" t="str">
            <v>TL</v>
          </cell>
          <cell r="D1944" t="str">
            <v>SMB</v>
          </cell>
        </row>
        <row r="1945">
          <cell r="C1945" t="str">
            <v>USD</v>
          </cell>
          <cell r="D1945" t="str">
            <v>SMB</v>
          </cell>
        </row>
        <row r="1946">
          <cell r="C1946" t="str">
            <v>EUR</v>
          </cell>
          <cell r="D1946" t="str">
            <v>SMB</v>
          </cell>
        </row>
        <row r="1947">
          <cell r="C1947" t="str">
            <v>Kur Sabitleme</v>
          </cell>
          <cell r="D1947" t="str">
            <v>SMB</v>
          </cell>
        </row>
        <row r="1948">
          <cell r="C1948" t="str">
            <v>Temel Tel Metal San.Tic.Ltd.STİ</v>
          </cell>
          <cell r="D1948" t="str">
            <v>SMB</v>
          </cell>
          <cell r="E1948" t="str">
            <v>Üretim</v>
          </cell>
        </row>
        <row r="1949">
          <cell r="C1949" t="str">
            <v>TL</v>
          </cell>
          <cell r="D1949" t="str">
            <v>SMB</v>
          </cell>
        </row>
        <row r="1950">
          <cell r="C1950" t="str">
            <v>USD</v>
          </cell>
          <cell r="D1950" t="str">
            <v>SMB</v>
          </cell>
        </row>
        <row r="1951">
          <cell r="C1951" t="str">
            <v>EUR</v>
          </cell>
          <cell r="D1951" t="str">
            <v>SMB</v>
          </cell>
        </row>
        <row r="1952">
          <cell r="C1952" t="str">
            <v>Kur Sabitleme</v>
          </cell>
          <cell r="D1952" t="str">
            <v>SMB</v>
          </cell>
        </row>
        <row r="1953">
          <cell r="C1953" t="str">
            <v>FYTECH</v>
          </cell>
          <cell r="D1953" t="str">
            <v>SMB</v>
          </cell>
          <cell r="E1953" t="e">
            <v>#N/A</v>
          </cell>
        </row>
        <row r="1954">
          <cell r="C1954" t="str">
            <v>TL</v>
          </cell>
          <cell r="D1954" t="str">
            <v>SMB</v>
          </cell>
        </row>
        <row r="1955">
          <cell r="C1955" t="str">
            <v>USD</v>
          </cell>
          <cell r="D1955" t="str">
            <v>SMB</v>
          </cell>
        </row>
        <row r="1956">
          <cell r="C1956" t="str">
            <v>EUR</v>
          </cell>
          <cell r="D1956" t="str">
            <v>SMB</v>
          </cell>
        </row>
        <row r="1957">
          <cell r="C1957" t="str">
            <v>Kur Sabitleme</v>
          </cell>
          <cell r="D1957" t="str">
            <v>SMB</v>
          </cell>
        </row>
        <row r="1958">
          <cell r="C1958" t="str">
            <v>Ada Design</v>
          </cell>
          <cell r="D1958" t="str">
            <v>SMB</v>
          </cell>
          <cell r="E1958" t="str">
            <v>Diğer</v>
          </cell>
        </row>
        <row r="1959">
          <cell r="C1959" t="str">
            <v>TL</v>
          </cell>
          <cell r="D1959" t="str">
            <v>SMB</v>
          </cell>
        </row>
        <row r="1960">
          <cell r="C1960" t="str">
            <v>USD</v>
          </cell>
          <cell r="D1960" t="str">
            <v>SMB</v>
          </cell>
        </row>
        <row r="1961">
          <cell r="C1961" t="str">
            <v>USD</v>
          </cell>
          <cell r="D1961" t="str">
            <v>SMB</v>
          </cell>
        </row>
        <row r="1962">
          <cell r="C1962" t="str">
            <v>EUR</v>
          </cell>
          <cell r="D1962" t="str">
            <v>SMB</v>
          </cell>
        </row>
        <row r="1963">
          <cell r="C1963" t="str">
            <v>Kur Sabitleme</v>
          </cell>
          <cell r="D1963" t="str">
            <v>SMB</v>
          </cell>
        </row>
        <row r="1964">
          <cell r="C1964" t="str">
            <v>GAZİANTEP TİCARET ODASI</v>
          </cell>
          <cell r="D1964" t="str">
            <v>SMB</v>
          </cell>
          <cell r="E1964" t="str">
            <v>Genel</v>
          </cell>
        </row>
        <row r="1965">
          <cell r="C1965" t="str">
            <v>TL</v>
          </cell>
          <cell r="D1965" t="str">
            <v>SMB</v>
          </cell>
        </row>
        <row r="1966">
          <cell r="C1966" t="str">
            <v>USD</v>
          </cell>
          <cell r="D1966" t="str">
            <v>SMB</v>
          </cell>
        </row>
        <row r="1967">
          <cell r="C1967" t="str">
            <v>EUR</v>
          </cell>
          <cell r="D1967" t="str">
            <v>SMB</v>
          </cell>
        </row>
        <row r="1968">
          <cell r="C1968" t="str">
            <v>Kur Sabitleme</v>
          </cell>
          <cell r="D1968" t="str">
            <v>SMB</v>
          </cell>
        </row>
        <row r="1969">
          <cell r="C1969" t="str">
            <v>ERDE DIŞ TİCARET LTD.  ŞTİ.</v>
          </cell>
          <cell r="D1969" t="str">
            <v>SMB</v>
          </cell>
          <cell r="E1969" t="str">
            <v>Diğer</v>
          </cell>
        </row>
        <row r="1970">
          <cell r="C1970" t="str">
            <v>TL</v>
          </cell>
          <cell r="D1970" t="str">
            <v>SMB</v>
          </cell>
        </row>
        <row r="1971">
          <cell r="C1971" t="str">
            <v>USD</v>
          </cell>
          <cell r="D1971" t="str">
            <v>SMB</v>
          </cell>
        </row>
        <row r="1972">
          <cell r="C1972" t="str">
            <v>EUR</v>
          </cell>
          <cell r="D1972" t="str">
            <v>SMB</v>
          </cell>
        </row>
        <row r="1973">
          <cell r="C1973" t="str">
            <v>Kur Sabitleme</v>
          </cell>
          <cell r="D1973" t="str">
            <v>SMB</v>
          </cell>
        </row>
        <row r="1974">
          <cell r="C1974" t="str">
            <v>ULU MOTOR SAN. VE TİC.. A.Ş</v>
          </cell>
          <cell r="D1974" t="str">
            <v>SMB</v>
          </cell>
          <cell r="E1974" t="e">
            <v>#N/A</v>
          </cell>
        </row>
        <row r="1975">
          <cell r="C1975" t="str">
            <v>TL</v>
          </cell>
          <cell r="D1975" t="str">
            <v>SMB</v>
          </cell>
        </row>
        <row r="1976">
          <cell r="C1976" t="str">
            <v>USD</v>
          </cell>
          <cell r="D1976" t="str">
            <v>SMB</v>
          </cell>
        </row>
        <row r="1977">
          <cell r="C1977" t="str">
            <v>EUR</v>
          </cell>
          <cell r="D1977" t="str">
            <v>SMB</v>
          </cell>
        </row>
        <row r="1978">
          <cell r="C1978" t="str">
            <v>Kur Sabitleme</v>
          </cell>
          <cell r="D1978" t="str">
            <v>SMB</v>
          </cell>
        </row>
        <row r="1979">
          <cell r="C1979" t="str">
            <v>DENGE AUTOMOTİVE</v>
          </cell>
          <cell r="D1979" t="str">
            <v>SMB</v>
          </cell>
          <cell r="E1979" t="str">
            <v>Üretim</v>
          </cell>
        </row>
        <row r="1980">
          <cell r="C1980" t="str">
            <v>TL</v>
          </cell>
          <cell r="D1980" t="str">
            <v>SMB</v>
          </cell>
        </row>
        <row r="1981">
          <cell r="C1981" t="str">
            <v>USD</v>
          </cell>
          <cell r="D1981" t="str">
            <v>SMB</v>
          </cell>
        </row>
        <row r="1982">
          <cell r="C1982" t="str">
            <v>USD</v>
          </cell>
          <cell r="D1982" t="str">
            <v>SMB</v>
          </cell>
        </row>
        <row r="1983">
          <cell r="C1983" t="str">
            <v>EUR</v>
          </cell>
          <cell r="D1983" t="str">
            <v>SMB</v>
          </cell>
        </row>
        <row r="1984">
          <cell r="C1984" t="str">
            <v>Kur Sabitleme</v>
          </cell>
          <cell r="D1984" t="str">
            <v>SMB</v>
          </cell>
        </row>
        <row r="1985">
          <cell r="C1985" t="str">
            <v>KEY DİGİTAL PLATFORM TEKNOLOJİLERİ ANONİM ŞİRKETİ</v>
          </cell>
          <cell r="D1985" t="str">
            <v>SMB</v>
          </cell>
          <cell r="E1985" t="str">
            <v>Diğer</v>
          </cell>
        </row>
        <row r="1986">
          <cell r="C1986" t="str">
            <v>TL</v>
          </cell>
          <cell r="D1986" t="str">
            <v>SMB</v>
          </cell>
        </row>
        <row r="1987">
          <cell r="C1987" t="str">
            <v>USD</v>
          </cell>
          <cell r="D1987" t="str">
            <v>SMB</v>
          </cell>
        </row>
        <row r="1988">
          <cell r="C1988" t="str">
            <v>EUR</v>
          </cell>
          <cell r="D1988" t="str">
            <v>SMB</v>
          </cell>
        </row>
        <row r="1989">
          <cell r="C1989" t="str">
            <v>Kur Sabitleme</v>
          </cell>
          <cell r="D1989" t="str">
            <v>SMB</v>
          </cell>
        </row>
        <row r="1990">
          <cell r="C1990" t="str">
            <v>TRİO DENİZ ARAÇLARI TİCARET ANONİM ŞİRKET</v>
          </cell>
          <cell r="D1990" t="str">
            <v>SMB</v>
          </cell>
          <cell r="E1990" t="str">
            <v>Genel</v>
          </cell>
        </row>
        <row r="1991">
          <cell r="C1991" t="str">
            <v>TL</v>
          </cell>
          <cell r="D1991" t="str">
            <v>SMB</v>
          </cell>
        </row>
        <row r="1992">
          <cell r="C1992" t="str">
            <v>USD</v>
          </cell>
          <cell r="D1992" t="str">
            <v>SMB</v>
          </cell>
        </row>
        <row r="1993">
          <cell r="C1993" t="str">
            <v>USD</v>
          </cell>
          <cell r="D1993" t="str">
            <v>SMB</v>
          </cell>
        </row>
        <row r="1994">
          <cell r="C1994" t="str">
            <v>USD</v>
          </cell>
          <cell r="D1994" t="str">
            <v>SMB</v>
          </cell>
        </row>
        <row r="1995">
          <cell r="C1995" t="str">
            <v>EUR</v>
          </cell>
          <cell r="D1995" t="str">
            <v>SMB</v>
          </cell>
        </row>
        <row r="1996">
          <cell r="C1996" t="str">
            <v>Kur Sabitleme</v>
          </cell>
          <cell r="D1996" t="str">
            <v>SMB</v>
          </cell>
        </row>
        <row r="1997">
          <cell r="C1997" t="str">
            <v>DAĞCIOĞLU BAHARAT</v>
          </cell>
          <cell r="D1997" t="str">
            <v>SMB</v>
          </cell>
          <cell r="E1997" t="e">
            <v>#N/A</v>
          </cell>
        </row>
        <row r="1998">
          <cell r="C1998" t="str">
            <v>TL</v>
          </cell>
          <cell r="D1998" t="str">
            <v>SMB</v>
          </cell>
        </row>
        <row r="1999">
          <cell r="C1999" t="str">
            <v>USD</v>
          </cell>
          <cell r="D1999" t="str">
            <v>SMB</v>
          </cell>
        </row>
        <row r="2000">
          <cell r="C2000" t="str">
            <v>EUR</v>
          </cell>
          <cell r="D2000" t="str">
            <v>SMB</v>
          </cell>
        </row>
        <row r="2001">
          <cell r="C2001" t="str">
            <v>Kur Sabitleme</v>
          </cell>
          <cell r="D2001" t="str">
            <v>SMB</v>
          </cell>
        </row>
        <row r="2002">
          <cell r="C2002" t="str">
            <v>AROMSA BESİN AROMA KATKI MAD SAN TİC AŞ</v>
          </cell>
          <cell r="D2002" t="str">
            <v>Enterprise</v>
          </cell>
          <cell r="E2002" t="str">
            <v>Üretim</v>
          </cell>
        </row>
        <row r="2003">
          <cell r="C2003" t="str">
            <v>TL</v>
          </cell>
          <cell r="D2003" t="str">
            <v>Enterprise</v>
          </cell>
        </row>
        <row r="2004">
          <cell r="C2004" t="str">
            <v>USD</v>
          </cell>
          <cell r="D2004" t="str">
            <v>Enterprise</v>
          </cell>
        </row>
        <row r="2005">
          <cell r="C2005" t="str">
            <v>USD</v>
          </cell>
          <cell r="D2005" t="str">
            <v>Enterprise</v>
          </cell>
        </row>
        <row r="2006">
          <cell r="C2006" t="str">
            <v>EUR</v>
          </cell>
          <cell r="D2006" t="str">
            <v>Enterprise</v>
          </cell>
        </row>
        <row r="2007">
          <cell r="C2007" t="str">
            <v>Kur Sabitleme</v>
          </cell>
          <cell r="D2007" t="str">
            <v>Enterprise</v>
          </cell>
        </row>
        <row r="2008">
          <cell r="C2008" t="str">
            <v>TEDMARİNE GEMİ ACENTELİĞİ ANONİM ŞİRKETİ</v>
          </cell>
          <cell r="D2008" t="str">
            <v>SMB</v>
          </cell>
          <cell r="E2008" t="e">
            <v>#N/A</v>
          </cell>
        </row>
        <row r="2009">
          <cell r="C2009" t="str">
            <v>TL</v>
          </cell>
          <cell r="D2009" t="str">
            <v>SMB</v>
          </cell>
        </row>
        <row r="2010">
          <cell r="C2010" t="str">
            <v>USD</v>
          </cell>
          <cell r="D2010" t="str">
            <v>SMB</v>
          </cell>
        </row>
        <row r="2011">
          <cell r="C2011" t="str">
            <v>EUR</v>
          </cell>
          <cell r="D2011" t="str">
            <v>SMB</v>
          </cell>
        </row>
        <row r="2012">
          <cell r="C2012" t="str">
            <v>Kur Sabitleme</v>
          </cell>
          <cell r="D2012" t="str">
            <v>SMB</v>
          </cell>
        </row>
        <row r="2013">
          <cell r="C2013" t="str">
            <v>COCA-COLA İÇECEK A.Ş.</v>
          </cell>
          <cell r="D2013" t="str">
            <v>Enterprise</v>
          </cell>
          <cell r="E2013" t="e">
            <v>#N/A</v>
          </cell>
        </row>
        <row r="2014">
          <cell r="C2014" t="str">
            <v>TL</v>
          </cell>
          <cell r="D2014" t="str">
            <v>Enterprise</v>
          </cell>
        </row>
        <row r="2015">
          <cell r="C2015" t="str">
            <v>USD</v>
          </cell>
          <cell r="D2015" t="str">
            <v>Enterprise</v>
          </cell>
        </row>
        <row r="2016">
          <cell r="C2016" t="str">
            <v>EUR</v>
          </cell>
          <cell r="D2016" t="str">
            <v>Enterprise</v>
          </cell>
        </row>
        <row r="2017">
          <cell r="C2017" t="str">
            <v>Kur Sabitleme</v>
          </cell>
          <cell r="D2017" t="str">
            <v>Enterprise</v>
          </cell>
        </row>
        <row r="2018">
          <cell r="C2018" t="str">
            <v>SONOROUS</v>
          </cell>
          <cell r="D2018" t="str">
            <v>SMB</v>
          </cell>
          <cell r="E2018" t="str">
            <v>Üretim</v>
          </cell>
        </row>
        <row r="2019">
          <cell r="C2019" t="str">
            <v>TL</v>
          </cell>
          <cell r="D2019" t="str">
            <v>SMB</v>
          </cell>
        </row>
        <row r="2020">
          <cell r="C2020" t="str">
            <v>USD</v>
          </cell>
          <cell r="D2020" t="str">
            <v>SMB</v>
          </cell>
        </row>
        <row r="2021">
          <cell r="C2021" t="str">
            <v>USD</v>
          </cell>
          <cell r="D2021" t="str">
            <v>SMB</v>
          </cell>
        </row>
        <row r="2022">
          <cell r="C2022" t="str">
            <v>EUR</v>
          </cell>
          <cell r="D2022" t="str">
            <v>SMB</v>
          </cell>
        </row>
        <row r="2023">
          <cell r="C2023" t="str">
            <v>Kur Sabitleme</v>
          </cell>
          <cell r="D2023" t="str">
            <v>SMB</v>
          </cell>
        </row>
        <row r="2024">
          <cell r="C2024" t="str">
            <v>ATMO OTOMOTİV LİMİTED ŞİRKETİ</v>
          </cell>
          <cell r="D2024" t="str">
            <v>SMB</v>
          </cell>
          <cell r="E2024" t="str">
            <v>Diğer</v>
          </cell>
        </row>
        <row r="2025">
          <cell r="C2025" t="str">
            <v>TL</v>
          </cell>
          <cell r="D2025" t="str">
            <v>SMB</v>
          </cell>
        </row>
        <row r="2026">
          <cell r="C2026" t="str">
            <v>USD</v>
          </cell>
          <cell r="D2026" t="str">
            <v>SMB</v>
          </cell>
        </row>
        <row r="2027">
          <cell r="C2027" t="str">
            <v>USD</v>
          </cell>
          <cell r="D2027" t="str">
            <v>SMB</v>
          </cell>
        </row>
        <row r="2028">
          <cell r="C2028" t="str">
            <v>USD</v>
          </cell>
          <cell r="D2028" t="str">
            <v>SMB</v>
          </cell>
        </row>
        <row r="2029">
          <cell r="C2029" t="str">
            <v>USD</v>
          </cell>
          <cell r="D2029" t="str">
            <v>SMB</v>
          </cell>
        </row>
        <row r="2030">
          <cell r="C2030" t="str">
            <v>USD</v>
          </cell>
          <cell r="D2030" t="str">
            <v>SMB</v>
          </cell>
        </row>
        <row r="2031">
          <cell r="C2031" t="str">
            <v>EUR</v>
          </cell>
          <cell r="D2031" t="str">
            <v>SMB</v>
          </cell>
        </row>
        <row r="2032">
          <cell r="C2032" t="str">
            <v>Kur Sabitleme</v>
          </cell>
          <cell r="D2032" t="str">
            <v>SMB</v>
          </cell>
        </row>
        <row r="2033">
          <cell r="C2033" t="str">
            <v>EMG GÜÇ VE ENERJİ SİST YAPI MALZİ İTH.İHRTİC LTD Ş</v>
          </cell>
          <cell r="D2033" t="str">
            <v>SMB</v>
          </cell>
          <cell r="E2033" t="str">
            <v>Diğer</v>
          </cell>
        </row>
        <row r="2034">
          <cell r="C2034" t="str">
            <v>TL</v>
          </cell>
          <cell r="D2034" t="str">
            <v>SMB</v>
          </cell>
        </row>
        <row r="2035">
          <cell r="C2035" t="str">
            <v>USD</v>
          </cell>
          <cell r="D2035" t="str">
            <v>SMB</v>
          </cell>
        </row>
        <row r="2036">
          <cell r="C2036" t="str">
            <v>EUR</v>
          </cell>
          <cell r="D2036" t="str">
            <v>SMB</v>
          </cell>
        </row>
        <row r="2037">
          <cell r="C2037" t="str">
            <v>Kur Sabitleme</v>
          </cell>
          <cell r="D2037" t="str">
            <v>SMB</v>
          </cell>
        </row>
        <row r="2038">
          <cell r="C2038" t="str">
            <v>ALBAŞLAR İNŞAAT TESİSAT TEKNİK YAPI MAL</v>
          </cell>
          <cell r="D2038" t="str">
            <v>SMB</v>
          </cell>
          <cell r="E2038" t="e">
            <v>#N/A</v>
          </cell>
        </row>
        <row r="2039">
          <cell r="C2039" t="str">
            <v>TL</v>
          </cell>
          <cell r="D2039" t="str">
            <v>SMB</v>
          </cell>
        </row>
        <row r="2040">
          <cell r="C2040" t="str">
            <v>USD</v>
          </cell>
          <cell r="D2040" t="str">
            <v>SMB</v>
          </cell>
        </row>
        <row r="2041">
          <cell r="C2041" t="str">
            <v>EUR</v>
          </cell>
          <cell r="D2041" t="str">
            <v>SMB</v>
          </cell>
        </row>
        <row r="2042">
          <cell r="C2042" t="str">
            <v>Kur Sabitleme</v>
          </cell>
          <cell r="D2042" t="str">
            <v>SMB</v>
          </cell>
        </row>
        <row r="2043">
          <cell r="C2043" t="str">
            <v>ISOTEC ENERJİ A.Ş.</v>
          </cell>
          <cell r="D2043" t="str">
            <v>SMB</v>
          </cell>
          <cell r="E2043" t="str">
            <v>Enerji</v>
          </cell>
        </row>
        <row r="2044">
          <cell r="C2044" t="str">
            <v>TL</v>
          </cell>
          <cell r="D2044" t="str">
            <v>SMB</v>
          </cell>
        </row>
        <row r="2045">
          <cell r="C2045" t="str">
            <v>USD</v>
          </cell>
          <cell r="D2045" t="str">
            <v>SMB</v>
          </cell>
        </row>
        <row r="2046">
          <cell r="C2046" t="str">
            <v>EUR</v>
          </cell>
          <cell r="D2046" t="str">
            <v>SMB</v>
          </cell>
        </row>
        <row r="2047">
          <cell r="C2047" t="str">
            <v>Kur Sabitleme</v>
          </cell>
          <cell r="D2047" t="str">
            <v>SMB</v>
          </cell>
        </row>
        <row r="2048">
          <cell r="C2048" t="str">
            <v>GOSB</v>
          </cell>
          <cell r="D2048" t="str">
            <v>Enterprise</v>
          </cell>
          <cell r="E2048" t="str">
            <v>Genel</v>
          </cell>
        </row>
        <row r="2049">
          <cell r="C2049" t="str">
            <v>TL</v>
          </cell>
          <cell r="D2049" t="str">
            <v>Enterprise</v>
          </cell>
        </row>
        <row r="2050">
          <cell r="C2050" t="str">
            <v>USD</v>
          </cell>
          <cell r="D2050" t="str">
            <v>Enterprise</v>
          </cell>
        </row>
        <row r="2051">
          <cell r="C2051" t="str">
            <v>EUR</v>
          </cell>
          <cell r="D2051" t="str">
            <v>Enterprise</v>
          </cell>
        </row>
        <row r="2052">
          <cell r="C2052" t="str">
            <v>Kur Sabitleme</v>
          </cell>
          <cell r="D2052" t="str">
            <v>Enterprise</v>
          </cell>
        </row>
        <row r="2053">
          <cell r="C2053" t="str">
            <v>BİLİRA TEKNOLOJİ ANONİM ŞİRKETİ</v>
          </cell>
          <cell r="D2053" t="str">
            <v>SMB</v>
          </cell>
          <cell r="E2053" t="str">
            <v>Diğer</v>
          </cell>
        </row>
        <row r="2054">
          <cell r="C2054" t="str">
            <v>TL</v>
          </cell>
          <cell r="D2054" t="str">
            <v>SMB</v>
          </cell>
        </row>
        <row r="2055">
          <cell r="C2055" t="str">
            <v>USD</v>
          </cell>
          <cell r="D2055" t="str">
            <v>SMB</v>
          </cell>
        </row>
        <row r="2056">
          <cell r="C2056" t="str">
            <v>EUR</v>
          </cell>
          <cell r="D2056" t="str">
            <v>SMB</v>
          </cell>
        </row>
        <row r="2057">
          <cell r="C2057" t="str">
            <v>Kur Sabitleme</v>
          </cell>
          <cell r="D2057" t="str">
            <v>SMB</v>
          </cell>
        </row>
        <row r="2058">
          <cell r="C2058" t="str">
            <v>ROSTHİL SU ARITIM TEKNOLOJİLERİ</v>
          </cell>
          <cell r="D2058" t="str">
            <v>SMB</v>
          </cell>
          <cell r="E2058" t="e">
            <v>#N/A</v>
          </cell>
        </row>
        <row r="2059">
          <cell r="C2059" t="str">
            <v>TL</v>
          </cell>
          <cell r="D2059" t="str">
            <v>SMB</v>
          </cell>
        </row>
        <row r="2060">
          <cell r="C2060" t="str">
            <v>USD</v>
          </cell>
          <cell r="D2060" t="str">
            <v>SMB</v>
          </cell>
        </row>
        <row r="2061">
          <cell r="C2061" t="str">
            <v>EUR</v>
          </cell>
          <cell r="D2061" t="str">
            <v>SMB</v>
          </cell>
        </row>
        <row r="2062">
          <cell r="C2062" t="str">
            <v>Kur Sabitleme</v>
          </cell>
          <cell r="D2062" t="str">
            <v>SMB</v>
          </cell>
        </row>
        <row r="2063">
          <cell r="C2063" t="str">
            <v>INFODROM YAZILIM DANIŞMANLIK HİZ.TİC.LTD.ŞTİ.</v>
          </cell>
          <cell r="D2063" t="str">
            <v>SMB</v>
          </cell>
          <cell r="E2063" t="str">
            <v>Bayi</v>
          </cell>
        </row>
        <row r="2064">
          <cell r="C2064" t="str">
            <v>TL</v>
          </cell>
          <cell r="D2064" t="str">
            <v>SMB</v>
          </cell>
        </row>
        <row r="2065">
          <cell r="C2065" t="str">
            <v>USD</v>
          </cell>
          <cell r="D2065" t="str">
            <v>SMB</v>
          </cell>
        </row>
        <row r="2066">
          <cell r="C2066" t="str">
            <v>USD</v>
          </cell>
          <cell r="D2066" t="str">
            <v>SMB</v>
          </cell>
        </row>
        <row r="2067">
          <cell r="C2067" t="str">
            <v>USD</v>
          </cell>
          <cell r="D2067" t="str">
            <v>SMB</v>
          </cell>
        </row>
        <row r="2068">
          <cell r="C2068" t="str">
            <v>USD</v>
          </cell>
          <cell r="D2068" t="str">
            <v>SMB</v>
          </cell>
        </row>
        <row r="2069">
          <cell r="C2069" t="str">
            <v>EUR</v>
          </cell>
          <cell r="D2069" t="str">
            <v>SMB</v>
          </cell>
        </row>
        <row r="2070">
          <cell r="C2070" t="str">
            <v>Kur Sabitleme</v>
          </cell>
          <cell r="D2070" t="str">
            <v>SMB</v>
          </cell>
        </row>
        <row r="2071">
          <cell r="C2071" t="str">
            <v>TS Verim Danışmanlık ve Turizm Ltd Şti.</v>
          </cell>
          <cell r="D2071" t="str">
            <v>SMB</v>
          </cell>
          <cell r="E2071" t="e">
            <v>#N/A</v>
          </cell>
        </row>
        <row r="2072">
          <cell r="C2072" t="str">
            <v>TL</v>
          </cell>
          <cell r="D2072" t="str">
            <v>SMB</v>
          </cell>
        </row>
        <row r="2073">
          <cell r="C2073" t="str">
            <v>USD</v>
          </cell>
          <cell r="D2073" t="str">
            <v>SMB</v>
          </cell>
        </row>
        <row r="2074">
          <cell r="C2074" t="str">
            <v>EUR</v>
          </cell>
          <cell r="D2074" t="str">
            <v>SMB</v>
          </cell>
        </row>
        <row r="2075">
          <cell r="C2075" t="str">
            <v>Kur Sabitleme</v>
          </cell>
          <cell r="D2075" t="str">
            <v>SMB</v>
          </cell>
        </row>
        <row r="2076">
          <cell r="C2076" t="str">
            <v>NİLKY GIDA</v>
          </cell>
          <cell r="D2076" t="str">
            <v>SMB</v>
          </cell>
          <cell r="E2076" t="str">
            <v>Üretim</v>
          </cell>
        </row>
        <row r="2077">
          <cell r="C2077" t="str">
            <v>TL</v>
          </cell>
          <cell r="D2077" t="str">
            <v>SMB</v>
          </cell>
        </row>
        <row r="2078">
          <cell r="C2078" t="str">
            <v>USD</v>
          </cell>
          <cell r="D2078" t="str">
            <v>SMB</v>
          </cell>
        </row>
        <row r="2079">
          <cell r="C2079" t="str">
            <v>EUR</v>
          </cell>
          <cell r="D2079" t="str">
            <v>SMB</v>
          </cell>
        </row>
        <row r="2080">
          <cell r="C2080" t="str">
            <v>Kur Sabitleme</v>
          </cell>
          <cell r="D2080" t="str">
            <v>SMB</v>
          </cell>
        </row>
        <row r="2081">
          <cell r="C2081" t="str">
            <v>YAFES TEKNOLOJİ TİCARET LİMİTED ŞİRKETİ</v>
          </cell>
          <cell r="D2081" t="str">
            <v>SMB</v>
          </cell>
          <cell r="E2081" t="str">
            <v>Bayi</v>
          </cell>
        </row>
        <row r="2082">
          <cell r="C2082" t="str">
            <v>TL</v>
          </cell>
          <cell r="D2082" t="str">
            <v>SMB</v>
          </cell>
        </row>
        <row r="2083">
          <cell r="C2083" t="str">
            <v>USD</v>
          </cell>
          <cell r="D2083" t="str">
            <v>SMB</v>
          </cell>
        </row>
        <row r="2084">
          <cell r="C2084" t="str">
            <v>USD</v>
          </cell>
          <cell r="D2084" t="str">
            <v>SMB</v>
          </cell>
        </row>
        <row r="2085">
          <cell r="C2085" t="str">
            <v>EUR</v>
          </cell>
          <cell r="D2085" t="str">
            <v>SMB</v>
          </cell>
        </row>
        <row r="2086">
          <cell r="C2086" t="str">
            <v>Kur Sabitleme</v>
          </cell>
          <cell r="D2086" t="str">
            <v>SMB</v>
          </cell>
        </row>
        <row r="2087">
          <cell r="C2087" t="str">
            <v>BOĞAZİÇİ SİGORTA</v>
          </cell>
          <cell r="D2087" t="str">
            <v>SMB</v>
          </cell>
          <cell r="E2087" t="str">
            <v>Diğer</v>
          </cell>
        </row>
        <row r="2088">
          <cell r="C2088" t="str">
            <v>TL</v>
          </cell>
          <cell r="D2088" t="str">
            <v>SMB</v>
          </cell>
        </row>
        <row r="2089">
          <cell r="C2089" t="str">
            <v>USD</v>
          </cell>
          <cell r="D2089" t="str">
            <v>SMB</v>
          </cell>
        </row>
        <row r="2090">
          <cell r="C2090" t="str">
            <v>EUR</v>
          </cell>
          <cell r="D2090" t="str">
            <v>SMB</v>
          </cell>
        </row>
        <row r="2091">
          <cell r="C2091" t="str">
            <v>Kur Sabitleme</v>
          </cell>
          <cell r="D2091" t="str">
            <v>SMB</v>
          </cell>
        </row>
        <row r="2092">
          <cell r="C2092" t="str">
            <v>Royal Duchess Marine Denizcilik A.Ş.</v>
          </cell>
          <cell r="D2092" t="str">
            <v>SMB</v>
          </cell>
          <cell r="E2092" t="e">
            <v>#N/A</v>
          </cell>
        </row>
        <row r="2093">
          <cell r="C2093" t="str">
            <v>TL</v>
          </cell>
          <cell r="D2093" t="str">
            <v>SMB</v>
          </cell>
        </row>
        <row r="2094">
          <cell r="C2094" t="str">
            <v>USD</v>
          </cell>
          <cell r="D2094" t="str">
            <v>SMB</v>
          </cell>
        </row>
        <row r="2095">
          <cell r="C2095" t="str">
            <v>EUR</v>
          </cell>
          <cell r="D2095" t="str">
            <v>SMB</v>
          </cell>
        </row>
        <row r="2096">
          <cell r="C2096" t="str">
            <v>Kur Sabitleme</v>
          </cell>
          <cell r="D2096" t="str">
            <v>SMB</v>
          </cell>
        </row>
        <row r="2097">
          <cell r="C2097" t="str">
            <v>CABİR HOLDİNG - MİLK ACADEMY</v>
          </cell>
          <cell r="D2097" t="str">
            <v>SMB</v>
          </cell>
          <cell r="E2097" t="e">
            <v>#N/A</v>
          </cell>
        </row>
        <row r="2098">
          <cell r="C2098" t="str">
            <v>TL</v>
          </cell>
          <cell r="D2098" t="str">
            <v>SMB</v>
          </cell>
        </row>
        <row r="2099">
          <cell r="C2099" t="str">
            <v>USD</v>
          </cell>
          <cell r="D2099" t="str">
            <v>SMB</v>
          </cell>
        </row>
        <row r="2100">
          <cell r="C2100" t="str">
            <v>EUR</v>
          </cell>
          <cell r="D2100" t="str">
            <v>SMB</v>
          </cell>
        </row>
        <row r="2101">
          <cell r="C2101" t="str">
            <v>Kur Sabitleme</v>
          </cell>
          <cell r="D2101" t="str">
            <v>SMB</v>
          </cell>
        </row>
        <row r="2102">
          <cell r="C2102" t="str">
            <v>SAF NUTRITION</v>
          </cell>
          <cell r="D2102" t="str">
            <v>SMB</v>
          </cell>
          <cell r="E2102" t="str">
            <v>Üretim</v>
          </cell>
        </row>
        <row r="2103">
          <cell r="C2103" t="str">
            <v>TL</v>
          </cell>
          <cell r="D2103" t="str">
            <v>SMB</v>
          </cell>
        </row>
        <row r="2104">
          <cell r="C2104" t="str">
            <v>USD</v>
          </cell>
          <cell r="D2104" t="str">
            <v>SMB</v>
          </cell>
        </row>
        <row r="2105">
          <cell r="C2105" t="str">
            <v>EUR</v>
          </cell>
          <cell r="D2105" t="str">
            <v>SMB</v>
          </cell>
        </row>
        <row r="2106">
          <cell r="C2106" t="str">
            <v>Kur Sabitleme</v>
          </cell>
          <cell r="D2106" t="str">
            <v>SMB</v>
          </cell>
        </row>
        <row r="2107">
          <cell r="C2107" t="str">
            <v>METU KİMYA</v>
          </cell>
          <cell r="D2107" t="str">
            <v>SMB</v>
          </cell>
          <cell r="E2107" t="e">
            <v>#N/A</v>
          </cell>
        </row>
        <row r="2108">
          <cell r="C2108" t="str">
            <v>TL</v>
          </cell>
          <cell r="D2108" t="str">
            <v>SMB</v>
          </cell>
        </row>
        <row r="2109">
          <cell r="C2109" t="str">
            <v>USD</v>
          </cell>
          <cell r="D2109" t="str">
            <v>SMB</v>
          </cell>
        </row>
        <row r="2110">
          <cell r="C2110" t="str">
            <v>EUR</v>
          </cell>
          <cell r="D2110" t="str">
            <v>SMB</v>
          </cell>
        </row>
        <row r="2111">
          <cell r="C2111" t="str">
            <v>Kur Sabitleme</v>
          </cell>
          <cell r="D2111" t="str">
            <v>SMB</v>
          </cell>
        </row>
        <row r="2112">
          <cell r="C2112" t="str">
            <v>ESAYAN GRUP İNŞAAT AMBALAJ PEYZAJ TURİZM TAŞ. GERİ</v>
          </cell>
          <cell r="D2112" t="str">
            <v>SMB</v>
          </cell>
          <cell r="E2112" t="str">
            <v>Diğer</v>
          </cell>
        </row>
        <row r="2113">
          <cell r="C2113" t="str">
            <v>TL</v>
          </cell>
          <cell r="D2113" t="str">
            <v>SMB</v>
          </cell>
        </row>
        <row r="2114">
          <cell r="C2114" t="str">
            <v>USD</v>
          </cell>
          <cell r="D2114" t="str">
            <v>SMB</v>
          </cell>
        </row>
        <row r="2115">
          <cell r="C2115" t="str">
            <v>EUR</v>
          </cell>
          <cell r="D2115" t="str">
            <v>SMB</v>
          </cell>
        </row>
        <row r="2116">
          <cell r="C2116" t="str">
            <v>Kur Sabitleme</v>
          </cell>
          <cell r="D2116" t="str">
            <v>SMB</v>
          </cell>
        </row>
        <row r="2117">
          <cell r="C2117" t="str">
            <v>DİNAMİK TOPTAN GIDA PAZARLAMA SAN.TİC.LTD.ŞTİ</v>
          </cell>
          <cell r="D2117" t="str">
            <v>SMB</v>
          </cell>
          <cell r="E2117" t="e">
            <v>#N/A</v>
          </cell>
        </row>
        <row r="2118">
          <cell r="C2118" t="str">
            <v>TL</v>
          </cell>
          <cell r="D2118" t="str">
            <v>SMB</v>
          </cell>
        </row>
        <row r="2119">
          <cell r="C2119" t="str">
            <v>USD</v>
          </cell>
          <cell r="D2119" t="str">
            <v>SMB</v>
          </cell>
        </row>
        <row r="2120">
          <cell r="C2120" t="str">
            <v>EUR</v>
          </cell>
          <cell r="D2120" t="str">
            <v>SMB</v>
          </cell>
        </row>
        <row r="2121">
          <cell r="C2121" t="str">
            <v>Kur Sabitleme</v>
          </cell>
          <cell r="D2121" t="str">
            <v>SMB</v>
          </cell>
        </row>
        <row r="2122">
          <cell r="C2122" t="str">
            <v>HD ÇELİK MÜHENDİSLİK METAL İNŞAAT MÜTEAHHİTLİK SAN</v>
          </cell>
          <cell r="D2122" t="str">
            <v>SMB</v>
          </cell>
          <cell r="E2122" t="e">
            <v>#N/A</v>
          </cell>
        </row>
        <row r="2123">
          <cell r="C2123" t="str">
            <v>TL</v>
          </cell>
          <cell r="D2123" t="str">
            <v>SMB</v>
          </cell>
        </row>
        <row r="2124">
          <cell r="C2124" t="str">
            <v>USD</v>
          </cell>
          <cell r="D2124" t="str">
            <v>SMB</v>
          </cell>
        </row>
        <row r="2125">
          <cell r="C2125" t="str">
            <v>EUR</v>
          </cell>
          <cell r="D2125" t="str">
            <v>SMB</v>
          </cell>
        </row>
        <row r="2126">
          <cell r="C2126" t="str">
            <v>Kur Sabitleme</v>
          </cell>
          <cell r="D2126" t="str">
            <v>SMB</v>
          </cell>
        </row>
        <row r="2127">
          <cell r="C2127" t="str">
            <v>ENDEKS BİLİŞİM SAN. ve DIŞ TİC. A.Ş.</v>
          </cell>
          <cell r="D2127" t="str">
            <v>Enterprise</v>
          </cell>
          <cell r="E2127" t="str">
            <v>Teknoloji</v>
          </cell>
        </row>
        <row r="2128">
          <cell r="C2128" t="str">
            <v>TL</v>
          </cell>
          <cell r="D2128" t="str">
            <v>Enterprise</v>
          </cell>
        </row>
        <row r="2129">
          <cell r="C2129" t="str">
            <v>USD</v>
          </cell>
          <cell r="D2129" t="str">
            <v>Enterprise</v>
          </cell>
        </row>
        <row r="2130">
          <cell r="C2130" t="str">
            <v>EUR</v>
          </cell>
          <cell r="D2130" t="str">
            <v>Enterprise</v>
          </cell>
        </row>
        <row r="2131">
          <cell r="C2131" t="str">
            <v>Kur Sabitleme</v>
          </cell>
          <cell r="D2131" t="str">
            <v>Enterprise</v>
          </cell>
        </row>
        <row r="2132">
          <cell r="C2132" t="str">
            <v>BTI BİLİŞİM DANIŞMANLIK VE YAZILIM VE TİC. LTD. ŞT</v>
          </cell>
          <cell r="D2132" t="str">
            <v>SMB</v>
          </cell>
          <cell r="E2132" t="str">
            <v>Bayi</v>
          </cell>
        </row>
        <row r="2133">
          <cell r="C2133" t="str">
            <v>TL</v>
          </cell>
          <cell r="D2133" t="str">
            <v>SMB</v>
          </cell>
        </row>
        <row r="2134">
          <cell r="C2134" t="str">
            <v>USD</v>
          </cell>
          <cell r="D2134" t="str">
            <v>SMB</v>
          </cell>
        </row>
        <row r="2135">
          <cell r="C2135" t="str">
            <v>EUR</v>
          </cell>
          <cell r="D2135" t="str">
            <v>SMB</v>
          </cell>
        </row>
        <row r="2136">
          <cell r="C2136" t="str">
            <v>Kur Sabitleme</v>
          </cell>
          <cell r="D2136" t="str">
            <v>SMB</v>
          </cell>
        </row>
        <row r="2137">
          <cell r="C2137" t="str">
            <v>EKİN ENFORMASYON SİSTEMLERİ SAN.VE TİC.LTD.ŞTİ.</v>
          </cell>
          <cell r="D2137" t="str">
            <v>SMB</v>
          </cell>
          <cell r="E2137" t="e">
            <v>#N/A</v>
          </cell>
        </row>
        <row r="2138">
          <cell r="C2138" t="str">
            <v>TL</v>
          </cell>
          <cell r="D2138" t="str">
            <v>SMB</v>
          </cell>
        </row>
        <row r="2139">
          <cell r="C2139" t="str">
            <v>USD</v>
          </cell>
          <cell r="D2139" t="str">
            <v>SMB</v>
          </cell>
        </row>
        <row r="2140">
          <cell r="C2140" t="str">
            <v>EUR</v>
          </cell>
          <cell r="D2140" t="str">
            <v>SMB</v>
          </cell>
        </row>
        <row r="2141">
          <cell r="C2141" t="str">
            <v>Kur Sabitleme</v>
          </cell>
          <cell r="D2141" t="str">
            <v>SMB</v>
          </cell>
        </row>
        <row r="2142">
          <cell r="C2142" t="str">
            <v>SMMM RECEP ÇETİN</v>
          </cell>
          <cell r="D2142" t="str">
            <v>SMB</v>
          </cell>
          <cell r="E2142" t="str">
            <v>Diğer</v>
          </cell>
        </row>
        <row r="2143">
          <cell r="C2143" t="str">
            <v>TL</v>
          </cell>
          <cell r="D2143" t="str">
            <v>SMB</v>
          </cell>
        </row>
        <row r="2144">
          <cell r="C2144" t="str">
            <v>USD</v>
          </cell>
          <cell r="D2144" t="str">
            <v>SMB</v>
          </cell>
        </row>
        <row r="2145">
          <cell r="C2145" t="str">
            <v>USD</v>
          </cell>
          <cell r="D2145" t="str">
            <v>SMB</v>
          </cell>
        </row>
        <row r="2146">
          <cell r="C2146" t="str">
            <v>EUR</v>
          </cell>
          <cell r="D2146" t="str">
            <v>SMB</v>
          </cell>
        </row>
        <row r="2147">
          <cell r="C2147" t="str">
            <v>Kur Sabitleme</v>
          </cell>
          <cell r="D2147" t="str">
            <v>SMB</v>
          </cell>
        </row>
        <row r="2148">
          <cell r="C2148" t="str">
            <v>DEĞER ELEKTRİK - DEĞER İTHALAT İHRACAT ELEKTRİK MA</v>
          </cell>
          <cell r="D2148" t="str">
            <v>SMB</v>
          </cell>
          <cell r="E2148" t="str">
            <v>Diğer</v>
          </cell>
        </row>
        <row r="2149">
          <cell r="C2149" t="str">
            <v>TL</v>
          </cell>
          <cell r="D2149" t="str">
            <v>SMB</v>
          </cell>
        </row>
        <row r="2150">
          <cell r="C2150" t="str">
            <v>USD</v>
          </cell>
          <cell r="D2150" t="str">
            <v>SMB</v>
          </cell>
        </row>
        <row r="2151">
          <cell r="C2151" t="str">
            <v>USD</v>
          </cell>
          <cell r="D2151" t="str">
            <v>SMB</v>
          </cell>
        </row>
        <row r="2152">
          <cell r="C2152" t="str">
            <v>USD</v>
          </cell>
          <cell r="D2152" t="str">
            <v>SMB</v>
          </cell>
        </row>
        <row r="2153">
          <cell r="C2153" t="str">
            <v>EUR</v>
          </cell>
          <cell r="D2153" t="str">
            <v>SMB</v>
          </cell>
        </row>
        <row r="2154">
          <cell r="C2154" t="str">
            <v>Kur Sabitleme</v>
          </cell>
          <cell r="D2154" t="str">
            <v>SMB</v>
          </cell>
        </row>
        <row r="2155">
          <cell r="C2155" t="str">
            <v>NAR GIDA</v>
          </cell>
          <cell r="D2155" t="str">
            <v>SMB</v>
          </cell>
          <cell r="E2155" t="str">
            <v>Üretim</v>
          </cell>
        </row>
        <row r="2156">
          <cell r="C2156" t="str">
            <v>TL</v>
          </cell>
          <cell r="D2156" t="str">
            <v>SMB</v>
          </cell>
        </row>
        <row r="2157">
          <cell r="C2157" t="str">
            <v>USD</v>
          </cell>
          <cell r="D2157" t="str">
            <v>SMB</v>
          </cell>
        </row>
        <row r="2158">
          <cell r="C2158" t="str">
            <v>EUR</v>
          </cell>
          <cell r="D2158" t="str">
            <v>SMB</v>
          </cell>
        </row>
        <row r="2159">
          <cell r="C2159" t="str">
            <v>Kur Sabitleme</v>
          </cell>
          <cell r="D2159" t="str">
            <v>SMB</v>
          </cell>
        </row>
        <row r="2160">
          <cell r="C2160" t="str">
            <v>PENINSULA CORPORATE FINANCE DANIŞMANLIK A.Ş</v>
          </cell>
          <cell r="D2160" t="str">
            <v>SMB</v>
          </cell>
          <cell r="E2160" t="e">
            <v>#N/A</v>
          </cell>
        </row>
        <row r="2161">
          <cell r="C2161" t="str">
            <v>TL</v>
          </cell>
          <cell r="D2161" t="str">
            <v>SMB</v>
          </cell>
        </row>
        <row r="2162">
          <cell r="C2162" t="str">
            <v>USD</v>
          </cell>
          <cell r="D2162" t="str">
            <v>SMB</v>
          </cell>
        </row>
        <row r="2163">
          <cell r="C2163" t="str">
            <v>EUR</v>
          </cell>
          <cell r="D2163" t="str">
            <v>SMB</v>
          </cell>
        </row>
        <row r="2164">
          <cell r="C2164" t="str">
            <v>Kur Sabitleme</v>
          </cell>
          <cell r="D2164" t="str">
            <v>SMB</v>
          </cell>
        </row>
        <row r="2165">
          <cell r="C2165" t="str">
            <v>NOBEL BIOCARE</v>
          </cell>
          <cell r="D2165" t="str">
            <v>SMB</v>
          </cell>
          <cell r="E2165" t="e">
            <v>#N/A</v>
          </cell>
        </row>
        <row r="2166">
          <cell r="C2166" t="str">
            <v>TL</v>
          </cell>
          <cell r="D2166" t="str">
            <v>SMB</v>
          </cell>
        </row>
        <row r="2167">
          <cell r="C2167" t="str">
            <v>USD</v>
          </cell>
          <cell r="D2167" t="str">
            <v>SMB</v>
          </cell>
        </row>
        <row r="2168">
          <cell r="C2168" t="str">
            <v>EUR</v>
          </cell>
          <cell r="D2168" t="str">
            <v>SMB</v>
          </cell>
        </row>
        <row r="2169">
          <cell r="C2169" t="str">
            <v>Kur Sabitleme</v>
          </cell>
          <cell r="D2169" t="str">
            <v>SMB</v>
          </cell>
        </row>
        <row r="2170">
          <cell r="C2170" t="str">
            <v>MEDICANA HASTANE İŞLETMECILIĞI A.Ş.</v>
          </cell>
          <cell r="D2170" t="str">
            <v>Enterprise</v>
          </cell>
          <cell r="E2170" t="e">
            <v>#N/A</v>
          </cell>
        </row>
        <row r="2171">
          <cell r="C2171" t="str">
            <v>TL</v>
          </cell>
          <cell r="D2171" t="str">
            <v>Enterprise</v>
          </cell>
        </row>
        <row r="2172">
          <cell r="C2172" t="str">
            <v>USD</v>
          </cell>
          <cell r="D2172" t="str">
            <v>Enterprise</v>
          </cell>
        </row>
        <row r="2173">
          <cell r="C2173" t="str">
            <v>USD</v>
          </cell>
          <cell r="D2173" t="str">
            <v>Enterprise</v>
          </cell>
        </row>
        <row r="2174">
          <cell r="C2174" t="str">
            <v>USD</v>
          </cell>
          <cell r="D2174" t="str">
            <v>Enterprise</v>
          </cell>
        </row>
        <row r="2175">
          <cell r="C2175" t="str">
            <v>USD</v>
          </cell>
          <cell r="D2175" t="str">
            <v>Enterprise</v>
          </cell>
        </row>
        <row r="2176">
          <cell r="C2176" t="str">
            <v>USD</v>
          </cell>
          <cell r="D2176" t="str">
            <v>Enterprise</v>
          </cell>
        </row>
        <row r="2177">
          <cell r="C2177" t="str">
            <v>USD</v>
          </cell>
          <cell r="D2177" t="str">
            <v>Enterprise</v>
          </cell>
        </row>
        <row r="2178">
          <cell r="C2178" t="str">
            <v>EUR</v>
          </cell>
          <cell r="D2178" t="str">
            <v>Enterprise</v>
          </cell>
        </row>
        <row r="2179">
          <cell r="C2179" t="str">
            <v>Kur Sabitleme</v>
          </cell>
          <cell r="D2179" t="str">
            <v>Enterprise</v>
          </cell>
        </row>
        <row r="2180">
          <cell r="C2180" t="str">
            <v>İPSİZCAMBAZ</v>
          </cell>
          <cell r="D2180" t="str">
            <v>Enterprise</v>
          </cell>
          <cell r="E2180" t="str">
            <v>Digital</v>
          </cell>
        </row>
        <row r="2181">
          <cell r="C2181" t="str">
            <v>TL</v>
          </cell>
          <cell r="D2181" t="str">
            <v>Enterprise</v>
          </cell>
        </row>
        <row r="2182">
          <cell r="C2182" t="str">
            <v>USD</v>
          </cell>
          <cell r="D2182" t="str">
            <v>Enterprise</v>
          </cell>
        </row>
        <row r="2183">
          <cell r="C2183" t="str">
            <v>USD</v>
          </cell>
          <cell r="D2183" t="str">
            <v>Enterprise</v>
          </cell>
        </row>
        <row r="2184">
          <cell r="C2184" t="str">
            <v>EUR</v>
          </cell>
          <cell r="D2184" t="str">
            <v>Enterprise</v>
          </cell>
        </row>
        <row r="2185">
          <cell r="C2185" t="str">
            <v>Kur Sabitleme</v>
          </cell>
          <cell r="D2185" t="str">
            <v>Enterprise</v>
          </cell>
        </row>
        <row r="2186">
          <cell r="C2186" t="str">
            <v>MOBILTRUST</v>
          </cell>
          <cell r="D2186" t="str">
            <v>Enterprise</v>
          </cell>
          <cell r="E2186" t="e">
            <v>#N/A</v>
          </cell>
        </row>
        <row r="2187">
          <cell r="C2187" t="str">
            <v>TL</v>
          </cell>
          <cell r="D2187" t="str">
            <v>Enterprise</v>
          </cell>
        </row>
        <row r="2188">
          <cell r="C2188" t="str">
            <v>USD</v>
          </cell>
          <cell r="D2188" t="str">
            <v>Enterprise</v>
          </cell>
        </row>
        <row r="2189">
          <cell r="C2189" t="str">
            <v>USD</v>
          </cell>
          <cell r="D2189" t="str">
            <v>Enterprise</v>
          </cell>
        </row>
        <row r="2190">
          <cell r="C2190" t="str">
            <v>EUR</v>
          </cell>
          <cell r="D2190" t="str">
            <v>Enterprise</v>
          </cell>
        </row>
        <row r="2191">
          <cell r="C2191" t="str">
            <v>Kur Sabitleme</v>
          </cell>
          <cell r="D2191" t="str">
            <v>Enterprise</v>
          </cell>
        </row>
        <row r="2192">
          <cell r="C2192" t="str">
            <v>FİNE OTEL TURİZM İŞLT. A.Ş</v>
          </cell>
          <cell r="D2192" t="str">
            <v>Enterprise</v>
          </cell>
          <cell r="E2192" t="e">
            <v>#N/A</v>
          </cell>
        </row>
        <row r="2193">
          <cell r="C2193" t="str">
            <v>TL</v>
          </cell>
          <cell r="D2193" t="str">
            <v>Enterprise</v>
          </cell>
        </row>
        <row r="2194">
          <cell r="C2194" t="str">
            <v>USD</v>
          </cell>
          <cell r="D2194" t="str">
            <v>Enterprise</v>
          </cell>
        </row>
        <row r="2195">
          <cell r="C2195" t="str">
            <v>USD</v>
          </cell>
          <cell r="D2195" t="str">
            <v>Enterprise</v>
          </cell>
        </row>
        <row r="2196">
          <cell r="C2196" t="str">
            <v>EUR</v>
          </cell>
          <cell r="D2196" t="str">
            <v>Enterprise</v>
          </cell>
        </row>
        <row r="2197">
          <cell r="C2197" t="str">
            <v>Kur Sabitleme</v>
          </cell>
          <cell r="D2197" t="str">
            <v>Enterprise</v>
          </cell>
        </row>
        <row r="2198">
          <cell r="C2198" t="str">
            <v>VAILLANT GROUP TURKEY</v>
          </cell>
          <cell r="D2198" t="str">
            <v>Enterprise</v>
          </cell>
          <cell r="E2198" t="str">
            <v>Üretim</v>
          </cell>
        </row>
        <row r="2199">
          <cell r="C2199" t="str">
            <v>TL</v>
          </cell>
          <cell r="D2199" t="str">
            <v>Enterprise</v>
          </cell>
        </row>
        <row r="2200">
          <cell r="C2200" t="str">
            <v>USD</v>
          </cell>
          <cell r="D2200" t="str">
            <v>Enterprise</v>
          </cell>
        </row>
        <row r="2201">
          <cell r="C2201" t="str">
            <v>EUR</v>
          </cell>
          <cell r="D2201" t="str">
            <v>Enterprise</v>
          </cell>
        </row>
        <row r="2202">
          <cell r="C2202" t="str">
            <v>Kur Sabitleme</v>
          </cell>
          <cell r="D2202" t="str">
            <v>Enterprise</v>
          </cell>
        </row>
        <row r="2203">
          <cell r="C2203" t="str">
            <v>ALUNET MATERIAL SOLUTIONS ALÜMINYUM</v>
          </cell>
          <cell r="D2203" t="str">
            <v>SMB</v>
          </cell>
          <cell r="E2203" t="str">
            <v>Diğer</v>
          </cell>
        </row>
        <row r="2204">
          <cell r="C2204" t="str">
            <v>TL</v>
          </cell>
          <cell r="D2204" t="str">
            <v>SMB</v>
          </cell>
        </row>
        <row r="2205">
          <cell r="C2205" t="str">
            <v>USD</v>
          </cell>
          <cell r="D2205" t="str">
            <v>SMB</v>
          </cell>
        </row>
        <row r="2206">
          <cell r="C2206" t="str">
            <v>EUR</v>
          </cell>
          <cell r="D2206" t="str">
            <v>SMB</v>
          </cell>
        </row>
        <row r="2207">
          <cell r="C2207" t="str">
            <v>Kur Sabitleme</v>
          </cell>
          <cell r="D2207" t="str">
            <v>SMB</v>
          </cell>
        </row>
        <row r="2208">
          <cell r="C2208" t="str">
            <v>KURTARAN LASTİK VE PLASTİK ANONİM ŞİRKETİ</v>
          </cell>
          <cell r="D2208" t="str">
            <v>SMB</v>
          </cell>
          <cell r="E2208" t="str">
            <v>Diğer</v>
          </cell>
        </row>
        <row r="2209">
          <cell r="C2209" t="str">
            <v>TL</v>
          </cell>
          <cell r="D2209" t="str">
            <v>SMB</v>
          </cell>
        </row>
        <row r="2210">
          <cell r="C2210" t="str">
            <v>USD</v>
          </cell>
          <cell r="D2210" t="str">
            <v>SMB</v>
          </cell>
        </row>
        <row r="2211">
          <cell r="C2211" t="str">
            <v>EUR</v>
          </cell>
          <cell r="D2211" t="str">
            <v>SMB</v>
          </cell>
        </row>
        <row r="2212">
          <cell r="C2212" t="str">
            <v>Kur Sabitleme</v>
          </cell>
          <cell r="D2212" t="str">
            <v>SMB</v>
          </cell>
        </row>
        <row r="2213">
          <cell r="C2213" t="str">
            <v>Mehmet Doğru Ticaret Ltd.</v>
          </cell>
          <cell r="D2213" t="str">
            <v>SMB</v>
          </cell>
          <cell r="E2213" t="str">
            <v>Diğer</v>
          </cell>
        </row>
        <row r="2214">
          <cell r="C2214" t="str">
            <v>TL</v>
          </cell>
          <cell r="D2214" t="str">
            <v>SMB</v>
          </cell>
        </row>
        <row r="2215">
          <cell r="C2215" t="str">
            <v>USD</v>
          </cell>
          <cell r="D2215" t="str">
            <v>SMB</v>
          </cell>
        </row>
        <row r="2216">
          <cell r="C2216" t="str">
            <v>USD</v>
          </cell>
          <cell r="D2216" t="str">
            <v>SMB</v>
          </cell>
        </row>
        <row r="2217">
          <cell r="C2217" t="str">
            <v>USD</v>
          </cell>
          <cell r="D2217" t="str">
            <v>SMB</v>
          </cell>
        </row>
        <row r="2218">
          <cell r="C2218" t="str">
            <v>EUR</v>
          </cell>
          <cell r="D2218" t="str">
            <v>SMB</v>
          </cell>
        </row>
        <row r="2219">
          <cell r="C2219" t="str">
            <v>Kur Sabitleme</v>
          </cell>
          <cell r="D2219" t="str">
            <v>SMB</v>
          </cell>
        </row>
        <row r="2220">
          <cell r="C2220" t="str">
            <v>OTO NAMUK TRAKTÖR YEDEK PARÇA VE TARIM MAK.SAN.TİC</v>
          </cell>
          <cell r="D2220" t="str">
            <v>SMB</v>
          </cell>
          <cell r="E2220" t="e">
            <v>#N/A</v>
          </cell>
        </row>
        <row r="2221">
          <cell r="C2221" t="str">
            <v>TL</v>
          </cell>
          <cell r="D2221" t="str">
            <v>SMB</v>
          </cell>
        </row>
        <row r="2222">
          <cell r="C2222" t="str">
            <v>USD</v>
          </cell>
          <cell r="D2222" t="str">
            <v>SMB</v>
          </cell>
        </row>
        <row r="2223">
          <cell r="C2223" t="str">
            <v>EUR</v>
          </cell>
          <cell r="D2223" t="str">
            <v>SMB</v>
          </cell>
        </row>
        <row r="2224">
          <cell r="C2224" t="str">
            <v>Kur Sabitleme</v>
          </cell>
          <cell r="D2224" t="str">
            <v>SMB</v>
          </cell>
        </row>
        <row r="2225">
          <cell r="C2225" t="str">
            <v>PRİNCEPS LEGEM KURUMSAL DANIŞMANLIK LTD.ŞTİ</v>
          </cell>
          <cell r="D2225" t="str">
            <v>SMB</v>
          </cell>
          <cell r="E2225" t="e">
            <v>#N/A</v>
          </cell>
        </row>
        <row r="2226">
          <cell r="C2226" t="str">
            <v>TL</v>
          </cell>
          <cell r="D2226" t="str">
            <v>SMB</v>
          </cell>
        </row>
        <row r="2227">
          <cell r="C2227" t="str">
            <v>USD</v>
          </cell>
          <cell r="D2227" t="str">
            <v>SMB</v>
          </cell>
        </row>
        <row r="2228">
          <cell r="C2228" t="str">
            <v>EUR</v>
          </cell>
          <cell r="D2228" t="str">
            <v>SMB</v>
          </cell>
        </row>
        <row r="2229">
          <cell r="C2229" t="str">
            <v>Kur Sabitleme</v>
          </cell>
          <cell r="D2229" t="str">
            <v>SMB</v>
          </cell>
        </row>
        <row r="2230">
          <cell r="C2230" t="str">
            <v>PUCK GLOBAL -  MUZIP PERI REKLAM TANITIM HIZ. A.Ş.</v>
          </cell>
          <cell r="D2230" t="str">
            <v>SMB</v>
          </cell>
          <cell r="E2230" t="str">
            <v>Diğer</v>
          </cell>
        </row>
        <row r="2231">
          <cell r="C2231" t="str">
            <v>TL</v>
          </cell>
          <cell r="D2231" t="str">
            <v>SMB</v>
          </cell>
        </row>
        <row r="2232">
          <cell r="C2232" t="str">
            <v>USD</v>
          </cell>
          <cell r="D2232" t="str">
            <v>SMB</v>
          </cell>
        </row>
        <row r="2233">
          <cell r="C2233" t="str">
            <v>EUR</v>
          </cell>
          <cell r="D2233" t="str">
            <v>SMB</v>
          </cell>
        </row>
        <row r="2234">
          <cell r="C2234" t="str">
            <v>Kur Sabitleme</v>
          </cell>
          <cell r="D2234" t="str">
            <v>SMB</v>
          </cell>
        </row>
        <row r="2235">
          <cell r="C2235" t="str">
            <v>SAĞLIK VE EĞİTİM VAKFI</v>
          </cell>
          <cell r="D2235" t="str">
            <v>SMB</v>
          </cell>
          <cell r="E2235" t="str">
            <v>Eğitim</v>
          </cell>
        </row>
        <row r="2236">
          <cell r="C2236" t="str">
            <v>TL</v>
          </cell>
          <cell r="D2236" t="str">
            <v>SMB</v>
          </cell>
        </row>
        <row r="2237">
          <cell r="C2237" t="str">
            <v>USD</v>
          </cell>
          <cell r="D2237" t="str">
            <v>SMB</v>
          </cell>
        </row>
        <row r="2238">
          <cell r="C2238" t="str">
            <v>EUR</v>
          </cell>
          <cell r="D2238" t="str">
            <v>SMB</v>
          </cell>
        </row>
        <row r="2239">
          <cell r="C2239" t="str">
            <v>Kur Sabitleme</v>
          </cell>
          <cell r="D2239" t="str">
            <v>SMB</v>
          </cell>
        </row>
        <row r="2240">
          <cell r="C2240" t="str">
            <v>Welldermo Sağlık Güzellik ve Spor Ürünleri San. Ti</v>
          </cell>
          <cell r="D2240" t="str">
            <v>SMB</v>
          </cell>
          <cell r="E2240" t="e">
            <v>#N/A</v>
          </cell>
        </row>
        <row r="2241">
          <cell r="C2241" t="str">
            <v>TL</v>
          </cell>
          <cell r="D2241" t="str">
            <v>SMB</v>
          </cell>
        </row>
        <row r="2242">
          <cell r="C2242" t="str">
            <v>USD</v>
          </cell>
          <cell r="D2242" t="str">
            <v>SMB</v>
          </cell>
        </row>
        <row r="2243">
          <cell r="C2243" t="str">
            <v>EUR</v>
          </cell>
          <cell r="D2243" t="str">
            <v>SMB</v>
          </cell>
        </row>
        <row r="2244">
          <cell r="C2244" t="str">
            <v>Kur Sabitleme</v>
          </cell>
          <cell r="D2244" t="str">
            <v>SMB</v>
          </cell>
        </row>
        <row r="2245">
          <cell r="C2245" t="str">
            <v>DORUK İLETİŞİM</v>
          </cell>
          <cell r="D2245" t="str">
            <v>SMB</v>
          </cell>
          <cell r="E2245" t="str">
            <v>Teknoloji</v>
          </cell>
        </row>
        <row r="2246">
          <cell r="C2246" t="str">
            <v>TL</v>
          </cell>
          <cell r="D2246" t="str">
            <v>SMB</v>
          </cell>
        </row>
        <row r="2247">
          <cell r="C2247" t="str">
            <v>USD</v>
          </cell>
          <cell r="D2247" t="str">
            <v>SMB</v>
          </cell>
        </row>
        <row r="2248">
          <cell r="C2248" t="str">
            <v>EUR</v>
          </cell>
          <cell r="D2248" t="str">
            <v>SMB</v>
          </cell>
        </row>
        <row r="2249">
          <cell r="C2249" t="str">
            <v>Kur Sabitleme</v>
          </cell>
          <cell r="D2249" t="str">
            <v>SMB</v>
          </cell>
        </row>
        <row r="2250">
          <cell r="C2250" t="str">
            <v>FYK MOBILE</v>
          </cell>
          <cell r="D2250" t="str">
            <v>Enterprise</v>
          </cell>
          <cell r="E2250" t="e">
            <v>#N/A</v>
          </cell>
        </row>
        <row r="2251">
          <cell r="C2251" t="str">
            <v>TL</v>
          </cell>
          <cell r="D2251" t="str">
            <v>Enterprise</v>
          </cell>
        </row>
        <row r="2252">
          <cell r="C2252" t="str">
            <v>USD</v>
          </cell>
          <cell r="D2252" t="str">
            <v>Enterprise</v>
          </cell>
        </row>
        <row r="2253">
          <cell r="C2253" t="str">
            <v>EUR</v>
          </cell>
          <cell r="D2253" t="str">
            <v>Enterprise</v>
          </cell>
        </row>
        <row r="2254">
          <cell r="C2254" t="str">
            <v>Kur Sabitleme</v>
          </cell>
          <cell r="D2254" t="str">
            <v>Enterprise</v>
          </cell>
        </row>
        <row r="2255">
          <cell r="C2255" t="str">
            <v>SİMETO GÜMRÜK MÜŞAVİRLİĞİ VE LOJİSTİK</v>
          </cell>
          <cell r="D2255" t="str">
            <v>SMB</v>
          </cell>
          <cell r="E2255" t="e">
            <v>#N/A</v>
          </cell>
        </row>
        <row r="2256">
          <cell r="C2256" t="str">
            <v>TL</v>
          </cell>
          <cell r="D2256" t="str">
            <v>SMB</v>
          </cell>
        </row>
        <row r="2257">
          <cell r="C2257" t="str">
            <v>USD</v>
          </cell>
          <cell r="D2257" t="str">
            <v>SMB</v>
          </cell>
        </row>
        <row r="2258">
          <cell r="C2258" t="str">
            <v>EUR</v>
          </cell>
          <cell r="D2258" t="str">
            <v>SMB</v>
          </cell>
        </row>
        <row r="2259">
          <cell r="C2259" t="str">
            <v>Kur Sabitleme</v>
          </cell>
          <cell r="D2259" t="str">
            <v>SMB</v>
          </cell>
        </row>
        <row r="2260">
          <cell r="C2260" t="str">
            <v>BACACI YATIRIM HOLDING ANONIM SIRKETI</v>
          </cell>
          <cell r="D2260" t="str">
            <v>SMB</v>
          </cell>
          <cell r="E2260" t="str">
            <v>Genel</v>
          </cell>
        </row>
        <row r="2261">
          <cell r="C2261" t="str">
            <v>TL</v>
          </cell>
          <cell r="D2261" t="str">
            <v>SMB</v>
          </cell>
        </row>
        <row r="2262">
          <cell r="C2262" t="str">
            <v>USD</v>
          </cell>
          <cell r="D2262" t="str">
            <v>SMB</v>
          </cell>
        </row>
        <row r="2263">
          <cell r="C2263" t="str">
            <v>USD</v>
          </cell>
          <cell r="D2263" t="str">
            <v>SMB</v>
          </cell>
        </row>
        <row r="2264">
          <cell r="C2264" t="str">
            <v>USD</v>
          </cell>
          <cell r="D2264" t="str">
            <v>SMB</v>
          </cell>
        </row>
        <row r="2265">
          <cell r="C2265" t="str">
            <v>USD</v>
          </cell>
          <cell r="D2265" t="str">
            <v>SMB</v>
          </cell>
        </row>
        <row r="2266">
          <cell r="C2266" t="str">
            <v>USD</v>
          </cell>
          <cell r="D2266" t="str">
            <v>SMB</v>
          </cell>
        </row>
        <row r="2267">
          <cell r="C2267" t="str">
            <v>EUR</v>
          </cell>
          <cell r="D2267" t="str">
            <v>SMB</v>
          </cell>
        </row>
        <row r="2268">
          <cell r="C2268" t="str">
            <v>Kur Sabitleme</v>
          </cell>
          <cell r="D2268" t="str">
            <v>SMB</v>
          </cell>
        </row>
        <row r="2269">
          <cell r="C2269" t="str">
            <v>BABUR ARSLAN TUR. TİC. ÖZEL SAĞLIK HİZ VE SAN AŞ</v>
          </cell>
          <cell r="D2269" t="str">
            <v>SMB</v>
          </cell>
          <cell r="E2269" t="str">
            <v>Genel</v>
          </cell>
        </row>
        <row r="2270">
          <cell r="C2270" t="str">
            <v>TL</v>
          </cell>
          <cell r="D2270" t="str">
            <v>SMB</v>
          </cell>
        </row>
        <row r="2271">
          <cell r="C2271" t="str">
            <v>USD</v>
          </cell>
          <cell r="D2271" t="str">
            <v>SMB</v>
          </cell>
        </row>
        <row r="2272">
          <cell r="C2272" t="str">
            <v>USD</v>
          </cell>
          <cell r="D2272" t="str">
            <v>SMB</v>
          </cell>
        </row>
        <row r="2273">
          <cell r="C2273" t="str">
            <v>USD</v>
          </cell>
          <cell r="D2273" t="str">
            <v>SMB</v>
          </cell>
        </row>
        <row r="2274">
          <cell r="C2274" t="str">
            <v>EUR</v>
          </cell>
          <cell r="D2274" t="str">
            <v>SMB</v>
          </cell>
        </row>
        <row r="2275">
          <cell r="C2275" t="str">
            <v>Kur Sabitleme</v>
          </cell>
          <cell r="D2275" t="str">
            <v>SMB</v>
          </cell>
        </row>
        <row r="2276">
          <cell r="C2276" t="str">
            <v>MİSBAHÇE GIDA VE TARIM ÜRÜNLERİ SAN.VE TİC.LTD.ŞTİ</v>
          </cell>
          <cell r="D2276" t="str">
            <v>SMB</v>
          </cell>
          <cell r="E2276" t="str">
            <v>Diğer</v>
          </cell>
        </row>
        <row r="2277">
          <cell r="C2277" t="str">
            <v>TL</v>
          </cell>
          <cell r="D2277" t="str">
            <v>SMB</v>
          </cell>
        </row>
        <row r="2278">
          <cell r="C2278" t="str">
            <v>USD</v>
          </cell>
          <cell r="D2278" t="str">
            <v>SMB</v>
          </cell>
        </row>
        <row r="2279">
          <cell r="C2279" t="str">
            <v>EUR</v>
          </cell>
          <cell r="D2279" t="str">
            <v>SMB</v>
          </cell>
        </row>
        <row r="2280">
          <cell r="C2280" t="str">
            <v>Kur Sabitleme</v>
          </cell>
          <cell r="D2280" t="str">
            <v>SMB</v>
          </cell>
        </row>
        <row r="2281">
          <cell r="C2281" t="str">
            <v>SUNTEL BANYO MUTFAK AKSESUARLARI SAN. TİC. LTD.ŞTİ</v>
          </cell>
          <cell r="D2281" t="str">
            <v>SMB</v>
          </cell>
          <cell r="E2281" t="e">
            <v>#N/A</v>
          </cell>
        </row>
        <row r="2282">
          <cell r="C2282" t="str">
            <v>TL</v>
          </cell>
          <cell r="D2282" t="str">
            <v>SMB</v>
          </cell>
        </row>
        <row r="2283">
          <cell r="C2283" t="str">
            <v>USD</v>
          </cell>
          <cell r="D2283" t="str">
            <v>SMB</v>
          </cell>
        </row>
        <row r="2284">
          <cell r="C2284" t="str">
            <v>EUR</v>
          </cell>
          <cell r="D2284" t="str">
            <v>SMB</v>
          </cell>
        </row>
        <row r="2285">
          <cell r="C2285" t="str">
            <v>Kur Sabitleme</v>
          </cell>
          <cell r="D2285" t="str">
            <v>SMB</v>
          </cell>
        </row>
        <row r="2286">
          <cell r="C2286" t="str">
            <v>USTA ELLER BAKLAVA</v>
          </cell>
          <cell r="D2286" t="str">
            <v>SMB</v>
          </cell>
          <cell r="E2286" t="e">
            <v>#N/A</v>
          </cell>
        </row>
        <row r="2287">
          <cell r="C2287" t="str">
            <v>TL</v>
          </cell>
          <cell r="D2287" t="str">
            <v>SMB</v>
          </cell>
        </row>
        <row r="2288">
          <cell r="C2288" t="str">
            <v>USD</v>
          </cell>
          <cell r="D2288" t="str">
            <v>SMB</v>
          </cell>
        </row>
        <row r="2289">
          <cell r="C2289" t="str">
            <v>EUR</v>
          </cell>
          <cell r="D2289" t="str">
            <v>SMB</v>
          </cell>
        </row>
        <row r="2290">
          <cell r="C2290" t="str">
            <v>Kur Sabitleme</v>
          </cell>
          <cell r="D2290" t="str">
            <v>SMB</v>
          </cell>
        </row>
        <row r="2291">
          <cell r="C2291" t="str">
            <v>BRAVO YAZILIM VE DANIŞMANLIK HİZM. İÇ VE DIŞ TİC</v>
          </cell>
          <cell r="D2291" t="str">
            <v>SMB</v>
          </cell>
          <cell r="E2291" t="str">
            <v>Bayi</v>
          </cell>
        </row>
        <row r="2292">
          <cell r="C2292" t="str">
            <v>TL</v>
          </cell>
          <cell r="D2292" t="str">
            <v>SMB</v>
          </cell>
        </row>
        <row r="2293">
          <cell r="C2293" t="str">
            <v>USD</v>
          </cell>
          <cell r="D2293" t="str">
            <v>SMB</v>
          </cell>
        </row>
        <row r="2294">
          <cell r="C2294" t="str">
            <v>EUR</v>
          </cell>
          <cell r="D2294" t="str">
            <v>SMB</v>
          </cell>
        </row>
        <row r="2295">
          <cell r="C2295" t="str">
            <v>Kur Sabitleme</v>
          </cell>
          <cell r="D2295" t="str">
            <v>SMB</v>
          </cell>
        </row>
        <row r="2296">
          <cell r="C2296" t="str">
            <v>VELOSİ ELEKTRONİK TİC.LTD.ŞTİ</v>
          </cell>
          <cell r="D2296" t="str">
            <v>SMB</v>
          </cell>
          <cell r="E2296" t="e">
            <v>#N/A</v>
          </cell>
        </row>
        <row r="2297">
          <cell r="C2297" t="str">
            <v>TL</v>
          </cell>
          <cell r="D2297" t="str">
            <v>SMB</v>
          </cell>
        </row>
        <row r="2298">
          <cell r="C2298" t="str">
            <v>USD</v>
          </cell>
          <cell r="D2298" t="str">
            <v>SMB</v>
          </cell>
        </row>
        <row r="2299">
          <cell r="C2299" t="str">
            <v>EUR</v>
          </cell>
          <cell r="D2299" t="str">
            <v>SMB</v>
          </cell>
        </row>
        <row r="2300">
          <cell r="C2300" t="str">
            <v>Kur Sabitleme</v>
          </cell>
          <cell r="D2300" t="str">
            <v>SMB</v>
          </cell>
        </row>
        <row r="2301">
          <cell r="C2301" t="str">
            <v>PROTEK ENDÜSTRİYEL OTOMASYON SİSTEMLERİ MAKİNA VE</v>
          </cell>
          <cell r="D2301" t="str">
            <v>SMB</v>
          </cell>
          <cell r="E2301" t="str">
            <v>Diğer</v>
          </cell>
        </row>
        <row r="2302">
          <cell r="C2302" t="str">
            <v>TL</v>
          </cell>
          <cell r="D2302" t="str">
            <v>SMB</v>
          </cell>
        </row>
        <row r="2303">
          <cell r="C2303" t="str">
            <v>USD</v>
          </cell>
          <cell r="D2303" t="str">
            <v>SMB</v>
          </cell>
        </row>
        <row r="2304">
          <cell r="C2304" t="str">
            <v>EUR</v>
          </cell>
          <cell r="D2304" t="str">
            <v>SMB</v>
          </cell>
        </row>
        <row r="2305">
          <cell r="C2305" t="str">
            <v>Kur Sabitleme</v>
          </cell>
          <cell r="D2305" t="str">
            <v>SMB</v>
          </cell>
        </row>
        <row r="2306">
          <cell r="C2306" t="str">
            <v>Organikasyon Gıda Turizm ve Organizasyon Ltd. Şti.</v>
          </cell>
          <cell r="D2306" t="str">
            <v>SMB</v>
          </cell>
          <cell r="E2306" t="e">
            <v>#N/A</v>
          </cell>
        </row>
        <row r="2307">
          <cell r="C2307" t="str">
            <v>TL</v>
          </cell>
          <cell r="D2307" t="str">
            <v>SMB</v>
          </cell>
        </row>
        <row r="2308">
          <cell r="C2308" t="str">
            <v>USD</v>
          </cell>
          <cell r="D2308" t="str">
            <v>SMB</v>
          </cell>
        </row>
        <row r="2309">
          <cell r="C2309" t="str">
            <v>EUR</v>
          </cell>
          <cell r="D2309" t="str">
            <v>SMB</v>
          </cell>
        </row>
        <row r="2310">
          <cell r="C2310" t="str">
            <v>Kur Sabitleme</v>
          </cell>
          <cell r="D2310" t="str">
            <v>SMB</v>
          </cell>
        </row>
        <row r="2311">
          <cell r="C2311" t="str">
            <v>FT PORTFÖY</v>
          </cell>
          <cell r="D2311" t="str">
            <v>SMB</v>
          </cell>
          <cell r="E2311" t="str">
            <v>Diğer</v>
          </cell>
        </row>
        <row r="2312">
          <cell r="C2312" t="str">
            <v>TL</v>
          </cell>
          <cell r="D2312" t="str">
            <v>SMB</v>
          </cell>
        </row>
        <row r="2313">
          <cell r="C2313" t="str">
            <v>USD</v>
          </cell>
          <cell r="D2313" t="str">
            <v>SMB</v>
          </cell>
        </row>
        <row r="2314">
          <cell r="C2314" t="str">
            <v>USD</v>
          </cell>
          <cell r="D2314" t="str">
            <v>SMB</v>
          </cell>
        </row>
        <row r="2315">
          <cell r="C2315" t="str">
            <v>USD</v>
          </cell>
          <cell r="D2315" t="str">
            <v>SMB</v>
          </cell>
        </row>
        <row r="2316">
          <cell r="C2316" t="str">
            <v>EUR</v>
          </cell>
          <cell r="D2316" t="str">
            <v>SMB</v>
          </cell>
        </row>
        <row r="2317">
          <cell r="C2317" t="str">
            <v>Kur Sabitleme</v>
          </cell>
          <cell r="D2317" t="str">
            <v>SMB</v>
          </cell>
        </row>
        <row r="2318">
          <cell r="C2318" t="str">
            <v>ARTI DEĞER İNŞAAT OTOMOTİV SANAYİ VE DIŞ TİCARET A</v>
          </cell>
          <cell r="D2318" t="str">
            <v>SMB</v>
          </cell>
          <cell r="E2318" t="str">
            <v>Diğer</v>
          </cell>
        </row>
        <row r="2319">
          <cell r="C2319" t="str">
            <v>TL</v>
          </cell>
          <cell r="D2319" t="str">
            <v>SMB</v>
          </cell>
        </row>
        <row r="2320">
          <cell r="C2320" t="str">
            <v>USD</v>
          </cell>
          <cell r="D2320" t="str">
            <v>SMB</v>
          </cell>
        </row>
        <row r="2321">
          <cell r="C2321" t="str">
            <v>EUR</v>
          </cell>
          <cell r="D2321" t="str">
            <v>SMB</v>
          </cell>
        </row>
        <row r="2322">
          <cell r="C2322" t="str">
            <v>Kur Sabitleme</v>
          </cell>
          <cell r="D2322" t="str">
            <v>SMB</v>
          </cell>
        </row>
        <row r="2323">
          <cell r="C2323" t="str">
            <v>ARZ PORTFÖY</v>
          </cell>
          <cell r="D2323" t="str">
            <v>SMB</v>
          </cell>
          <cell r="E2323" t="str">
            <v>Finans</v>
          </cell>
        </row>
        <row r="2324">
          <cell r="C2324" t="str">
            <v>TL</v>
          </cell>
          <cell r="D2324" t="str">
            <v>SMB</v>
          </cell>
        </row>
        <row r="2325">
          <cell r="C2325" t="str">
            <v>USD</v>
          </cell>
          <cell r="D2325" t="str">
            <v>SMB</v>
          </cell>
        </row>
        <row r="2326">
          <cell r="C2326" t="str">
            <v>EUR</v>
          </cell>
          <cell r="D2326" t="str">
            <v>SMB</v>
          </cell>
        </row>
        <row r="2327">
          <cell r="C2327" t="str">
            <v>Kur Sabitleme</v>
          </cell>
          <cell r="D2327" t="str">
            <v>SMB</v>
          </cell>
        </row>
        <row r="2328">
          <cell r="C2328" t="str">
            <v>BERSAY İLETİŞİM DANIŞMANLIĞI TİC.A.Ş</v>
          </cell>
          <cell r="D2328" t="str">
            <v>SMB</v>
          </cell>
          <cell r="E2328" t="str">
            <v>Diğer</v>
          </cell>
        </row>
        <row r="2329">
          <cell r="C2329" t="str">
            <v>TL</v>
          </cell>
          <cell r="D2329" t="str">
            <v>SMB</v>
          </cell>
        </row>
        <row r="2330">
          <cell r="C2330" t="str">
            <v>USD</v>
          </cell>
          <cell r="D2330" t="str">
            <v>SMB</v>
          </cell>
        </row>
        <row r="2331">
          <cell r="C2331" t="str">
            <v>EUR</v>
          </cell>
          <cell r="D2331" t="str">
            <v>SMB</v>
          </cell>
        </row>
        <row r="2332">
          <cell r="C2332" t="str">
            <v>Kur Sabitleme</v>
          </cell>
          <cell r="D2332" t="str">
            <v>SMB</v>
          </cell>
        </row>
        <row r="2333">
          <cell r="C2333" t="str">
            <v>Mor Elma Yayıncılık</v>
          </cell>
          <cell r="D2333" t="str">
            <v>SMB</v>
          </cell>
          <cell r="E2333" t="e">
            <v>#N/A</v>
          </cell>
        </row>
        <row r="2334">
          <cell r="C2334" t="str">
            <v>TL</v>
          </cell>
          <cell r="D2334" t="str">
            <v>SMB</v>
          </cell>
        </row>
        <row r="2335">
          <cell r="C2335" t="str">
            <v>USD</v>
          </cell>
          <cell r="D2335" t="str">
            <v>SMB</v>
          </cell>
        </row>
        <row r="2336">
          <cell r="C2336" t="str">
            <v>EUR</v>
          </cell>
          <cell r="D2336" t="str">
            <v>SMB</v>
          </cell>
        </row>
        <row r="2337">
          <cell r="C2337" t="str">
            <v>Kur Sabitleme</v>
          </cell>
          <cell r="D2337" t="str">
            <v>SMB</v>
          </cell>
        </row>
        <row r="2338">
          <cell r="C2338" t="str">
            <v>Fortis Plastik Sanayi Ticaret Ltd.Şti.</v>
          </cell>
          <cell r="D2338" t="str">
            <v>SMB</v>
          </cell>
          <cell r="E2338" t="e">
            <v>#N/A</v>
          </cell>
        </row>
        <row r="2339">
          <cell r="C2339" t="str">
            <v>TL</v>
          </cell>
          <cell r="D2339" t="str">
            <v>SMB</v>
          </cell>
        </row>
        <row r="2340">
          <cell r="C2340" t="str">
            <v>USD</v>
          </cell>
          <cell r="D2340" t="str">
            <v>SMB</v>
          </cell>
        </row>
        <row r="2341">
          <cell r="C2341" t="str">
            <v>EUR</v>
          </cell>
          <cell r="D2341" t="str">
            <v>SMB</v>
          </cell>
        </row>
        <row r="2342">
          <cell r="C2342" t="str">
            <v>Kur Sabitleme</v>
          </cell>
          <cell r="D2342" t="str">
            <v>SMB</v>
          </cell>
        </row>
        <row r="2343">
          <cell r="C2343" t="str">
            <v>FRT SU ARITMA SANAYİ TİCARET LİMİTED ŞİRKETİ</v>
          </cell>
          <cell r="D2343" t="str">
            <v>SMB</v>
          </cell>
          <cell r="E2343" t="str">
            <v>Diğer</v>
          </cell>
        </row>
        <row r="2344">
          <cell r="C2344" t="str">
            <v>TL</v>
          </cell>
          <cell r="D2344" t="str">
            <v>SMB</v>
          </cell>
        </row>
        <row r="2345">
          <cell r="C2345" t="str">
            <v>USD</v>
          </cell>
          <cell r="D2345" t="str">
            <v>SMB</v>
          </cell>
        </row>
        <row r="2346">
          <cell r="C2346" t="str">
            <v>EUR</v>
          </cell>
          <cell r="D2346" t="str">
            <v>SMB</v>
          </cell>
        </row>
        <row r="2347">
          <cell r="C2347" t="str">
            <v>Kur Sabitleme</v>
          </cell>
          <cell r="D2347" t="str">
            <v>SMB</v>
          </cell>
        </row>
        <row r="2348">
          <cell r="C2348" t="str">
            <v>Hannover Fairs Turkey Fuarcılık A.Ş.</v>
          </cell>
          <cell r="D2348" t="str">
            <v>SMB</v>
          </cell>
          <cell r="E2348" t="str">
            <v>Genel</v>
          </cell>
        </row>
        <row r="2349">
          <cell r="C2349" t="str">
            <v>TL</v>
          </cell>
          <cell r="D2349" t="str">
            <v>SMB</v>
          </cell>
        </row>
        <row r="2350">
          <cell r="C2350" t="str">
            <v>TL</v>
          </cell>
          <cell r="D2350" t="str">
            <v>SMB</v>
          </cell>
        </row>
        <row r="2351">
          <cell r="C2351" t="str">
            <v>USD</v>
          </cell>
          <cell r="D2351" t="str">
            <v>SMB</v>
          </cell>
        </row>
        <row r="2352">
          <cell r="C2352" t="str">
            <v>EUR</v>
          </cell>
          <cell r="D2352" t="str">
            <v>SMB</v>
          </cell>
        </row>
        <row r="2353">
          <cell r="C2353" t="str">
            <v>Kur Sabitleme</v>
          </cell>
          <cell r="D2353" t="str">
            <v>SMB</v>
          </cell>
        </row>
        <row r="2354">
          <cell r="C2354" t="str">
            <v>İHLAS PAZARLAMA A.Ş.</v>
          </cell>
          <cell r="D2354" t="str">
            <v>Enterprise</v>
          </cell>
          <cell r="E2354" t="str">
            <v>Perakende</v>
          </cell>
        </row>
        <row r="2355">
          <cell r="C2355" t="str">
            <v>TL</v>
          </cell>
          <cell r="D2355" t="str">
            <v>Enterprise</v>
          </cell>
        </row>
        <row r="2356">
          <cell r="C2356" t="str">
            <v>USD</v>
          </cell>
          <cell r="D2356" t="str">
            <v>Enterprise</v>
          </cell>
        </row>
        <row r="2357">
          <cell r="C2357" t="str">
            <v>EUR</v>
          </cell>
          <cell r="D2357" t="str">
            <v>Enterprise</v>
          </cell>
        </row>
        <row r="2358">
          <cell r="C2358" t="str">
            <v>Kur Sabitleme</v>
          </cell>
          <cell r="D2358" t="str">
            <v>Enterprise</v>
          </cell>
        </row>
        <row r="2359">
          <cell r="C2359" t="str">
            <v>IRMAK SAYA TRİKO SAN. VE TİC.LTD.ŞTİ.</v>
          </cell>
          <cell r="D2359" t="str">
            <v>SMB</v>
          </cell>
          <cell r="E2359" t="e">
            <v>#N/A</v>
          </cell>
        </row>
        <row r="2360">
          <cell r="C2360" t="str">
            <v>TL</v>
          </cell>
          <cell r="D2360" t="str">
            <v>SMB</v>
          </cell>
        </row>
        <row r="2361">
          <cell r="C2361" t="str">
            <v>USD</v>
          </cell>
          <cell r="D2361" t="str">
            <v>SMB</v>
          </cell>
        </row>
        <row r="2362">
          <cell r="C2362" t="str">
            <v>EUR</v>
          </cell>
          <cell r="D2362" t="str">
            <v>SMB</v>
          </cell>
        </row>
        <row r="2363">
          <cell r="C2363" t="str">
            <v>Kur Sabitleme</v>
          </cell>
          <cell r="D2363" t="str">
            <v>SMB</v>
          </cell>
        </row>
        <row r="2364">
          <cell r="C2364" t="str">
            <v>CNR HOLDİNG A.Ş.</v>
          </cell>
          <cell r="D2364" t="str">
            <v>SMB</v>
          </cell>
          <cell r="E2364" t="str">
            <v>Genel</v>
          </cell>
        </row>
        <row r="2365">
          <cell r="C2365" t="str">
            <v>TL</v>
          </cell>
          <cell r="D2365" t="str">
            <v>SMB</v>
          </cell>
        </row>
        <row r="2366">
          <cell r="C2366" t="str">
            <v>USD</v>
          </cell>
          <cell r="D2366" t="str">
            <v>SMB</v>
          </cell>
        </row>
        <row r="2367">
          <cell r="C2367" t="str">
            <v>USD</v>
          </cell>
          <cell r="D2367" t="str">
            <v>SMB</v>
          </cell>
        </row>
        <row r="2368">
          <cell r="C2368" t="str">
            <v>EUR</v>
          </cell>
          <cell r="D2368" t="str">
            <v>SMB</v>
          </cell>
        </row>
        <row r="2369">
          <cell r="C2369" t="str">
            <v>Kur Sabitleme</v>
          </cell>
          <cell r="D2369" t="str">
            <v>SMB</v>
          </cell>
        </row>
        <row r="2370">
          <cell r="C2370" t="str">
            <v>Mastcolor Plastik San Ve Tic Ltd Şti</v>
          </cell>
          <cell r="D2370" t="str">
            <v>SMB</v>
          </cell>
          <cell r="E2370" t="e">
            <v>#N/A</v>
          </cell>
        </row>
        <row r="2371">
          <cell r="C2371" t="str">
            <v>TL</v>
          </cell>
          <cell r="D2371" t="str">
            <v>SMB</v>
          </cell>
        </row>
        <row r="2372">
          <cell r="C2372" t="str">
            <v>USD</v>
          </cell>
          <cell r="D2372" t="str">
            <v>SMB</v>
          </cell>
        </row>
        <row r="2373">
          <cell r="C2373" t="str">
            <v>EUR</v>
          </cell>
          <cell r="D2373" t="str">
            <v>SMB</v>
          </cell>
        </row>
        <row r="2374">
          <cell r="C2374" t="str">
            <v>Kur Sabitleme</v>
          </cell>
          <cell r="D2374" t="str">
            <v>SMB</v>
          </cell>
        </row>
        <row r="2375">
          <cell r="C2375" t="str">
            <v>MFK TEKNOLOJİ VE OTOMASYON</v>
          </cell>
          <cell r="D2375" t="str">
            <v>SMB</v>
          </cell>
          <cell r="E2375" t="str">
            <v>Diğer</v>
          </cell>
        </row>
        <row r="2376">
          <cell r="C2376" t="str">
            <v>TL</v>
          </cell>
          <cell r="D2376" t="str">
            <v>SMB</v>
          </cell>
        </row>
        <row r="2377">
          <cell r="C2377" t="str">
            <v>USD</v>
          </cell>
          <cell r="D2377" t="str">
            <v>SMB</v>
          </cell>
        </row>
        <row r="2378">
          <cell r="C2378" t="str">
            <v>EUR</v>
          </cell>
          <cell r="D2378" t="str">
            <v>SMB</v>
          </cell>
        </row>
        <row r="2379">
          <cell r="C2379" t="str">
            <v>Kur Sabitleme</v>
          </cell>
          <cell r="D2379" t="str">
            <v>SMB</v>
          </cell>
        </row>
        <row r="2380">
          <cell r="C2380" t="str">
            <v>ÖZSEÇKİN PLASTİK SANAYİ VE TİCARET LİMİTED ŞİRKETİ</v>
          </cell>
          <cell r="D2380" t="str">
            <v>SMB</v>
          </cell>
          <cell r="E2380" t="str">
            <v>Üretim</v>
          </cell>
        </row>
        <row r="2381">
          <cell r="C2381" t="str">
            <v>TL</v>
          </cell>
          <cell r="D2381" t="str">
            <v>SMB</v>
          </cell>
        </row>
        <row r="2382">
          <cell r="C2382" t="str">
            <v>USD</v>
          </cell>
          <cell r="D2382" t="str">
            <v>SMB</v>
          </cell>
        </row>
        <row r="2383">
          <cell r="C2383" t="str">
            <v>EUR</v>
          </cell>
          <cell r="D2383" t="str">
            <v>SMB</v>
          </cell>
        </row>
        <row r="2384">
          <cell r="C2384" t="str">
            <v>Kur Sabitleme</v>
          </cell>
          <cell r="D2384" t="str">
            <v>SMB</v>
          </cell>
        </row>
        <row r="2385">
          <cell r="C2385" t="str">
            <v>HANMEY TARIM ÜRÜNLERİ SANAYİ VE TİC.LTD.ŞTİ</v>
          </cell>
          <cell r="D2385" t="str">
            <v>SMB</v>
          </cell>
          <cell r="E2385" t="str">
            <v>Diğer</v>
          </cell>
        </row>
        <row r="2386">
          <cell r="C2386" t="str">
            <v>TL</v>
          </cell>
          <cell r="D2386" t="str">
            <v>SMB</v>
          </cell>
        </row>
        <row r="2387">
          <cell r="C2387" t="str">
            <v>USD</v>
          </cell>
          <cell r="D2387" t="str">
            <v>SMB</v>
          </cell>
        </row>
        <row r="2388">
          <cell r="C2388" t="str">
            <v>EUR</v>
          </cell>
          <cell r="D2388" t="str">
            <v>SMB</v>
          </cell>
        </row>
        <row r="2389">
          <cell r="C2389" t="str">
            <v>Kur Sabitleme</v>
          </cell>
          <cell r="D2389" t="str">
            <v>SMB</v>
          </cell>
        </row>
        <row r="2390">
          <cell r="C2390" t="str">
            <v>ASN FORKLİFT İŞ MAKİNALARI SAN.VE TİC.LTD.ŞTİ</v>
          </cell>
          <cell r="D2390" t="str">
            <v>SMB</v>
          </cell>
          <cell r="E2390" t="e">
            <v>#N/A</v>
          </cell>
        </row>
        <row r="2391">
          <cell r="C2391" t="str">
            <v>TL</v>
          </cell>
          <cell r="D2391" t="str">
            <v>SMB</v>
          </cell>
        </row>
        <row r="2392">
          <cell r="C2392" t="str">
            <v>USD</v>
          </cell>
          <cell r="D2392" t="str">
            <v>SMB</v>
          </cell>
        </row>
        <row r="2393">
          <cell r="C2393" t="str">
            <v>EUR</v>
          </cell>
          <cell r="D2393" t="str">
            <v>SMB</v>
          </cell>
        </row>
        <row r="2394">
          <cell r="C2394" t="str">
            <v>Kur Sabitleme</v>
          </cell>
          <cell r="D2394" t="str">
            <v>SMB</v>
          </cell>
        </row>
        <row r="2395">
          <cell r="C2395" t="str">
            <v>PETROLİGHT KİMYA SANAYİ VE DIŞ TİC.LTD.ŞTİ</v>
          </cell>
          <cell r="D2395" t="str">
            <v>SMB</v>
          </cell>
          <cell r="E2395" t="e">
            <v>#N/A</v>
          </cell>
        </row>
        <row r="2396">
          <cell r="C2396" t="str">
            <v>TL</v>
          </cell>
          <cell r="D2396" t="str">
            <v>SMB</v>
          </cell>
        </row>
        <row r="2397">
          <cell r="C2397" t="str">
            <v>USD</v>
          </cell>
          <cell r="D2397" t="str">
            <v>SMB</v>
          </cell>
        </row>
        <row r="2398">
          <cell r="C2398" t="str">
            <v>EUR</v>
          </cell>
          <cell r="D2398" t="str">
            <v>SMB</v>
          </cell>
        </row>
        <row r="2399">
          <cell r="C2399" t="str">
            <v>Kur Sabitleme</v>
          </cell>
          <cell r="D2399" t="str">
            <v>SMB</v>
          </cell>
        </row>
        <row r="2400">
          <cell r="C2400" t="str">
            <v>ENVAWİSE LOJİSTİK ANONİM ŞİRKETİ</v>
          </cell>
          <cell r="D2400" t="str">
            <v>SMB</v>
          </cell>
          <cell r="E2400" t="e">
            <v>#N/A</v>
          </cell>
        </row>
        <row r="2401">
          <cell r="C2401" t="str">
            <v>TL</v>
          </cell>
          <cell r="D2401" t="str">
            <v>SMB</v>
          </cell>
        </row>
        <row r="2402">
          <cell r="C2402" t="str">
            <v>USD</v>
          </cell>
          <cell r="D2402" t="str">
            <v>SMB</v>
          </cell>
        </row>
        <row r="2403">
          <cell r="C2403" t="str">
            <v>EUR</v>
          </cell>
          <cell r="D2403" t="str">
            <v>SMB</v>
          </cell>
        </row>
        <row r="2404">
          <cell r="C2404" t="str">
            <v>Kur Sabitleme</v>
          </cell>
          <cell r="D2404" t="str">
            <v>SMB</v>
          </cell>
        </row>
        <row r="2405">
          <cell r="C2405" t="str">
            <v>ÜLGEN DENİZCİLİK VE LOJİSTİK SANAYİ TİCARET ANONİM</v>
          </cell>
          <cell r="D2405" t="str">
            <v>SMB</v>
          </cell>
          <cell r="E2405" t="str">
            <v>Lojistik</v>
          </cell>
        </row>
        <row r="2406">
          <cell r="C2406" t="str">
            <v>TL</v>
          </cell>
          <cell r="D2406" t="str">
            <v>SMB</v>
          </cell>
        </row>
        <row r="2407">
          <cell r="C2407" t="str">
            <v>USD</v>
          </cell>
          <cell r="D2407" t="str">
            <v>SMB</v>
          </cell>
        </row>
        <row r="2408">
          <cell r="C2408" t="str">
            <v>USD</v>
          </cell>
          <cell r="D2408" t="str">
            <v>SMB</v>
          </cell>
        </row>
        <row r="2409">
          <cell r="C2409" t="str">
            <v>EUR</v>
          </cell>
          <cell r="D2409" t="str">
            <v>SMB</v>
          </cell>
        </row>
        <row r="2410">
          <cell r="C2410" t="str">
            <v>Kur Sabitleme</v>
          </cell>
          <cell r="D2410" t="str">
            <v>SMB</v>
          </cell>
        </row>
        <row r="2411">
          <cell r="C2411" t="str">
            <v>E SİM TELEKOMÜNİKASYON LİMİTED SİRKETİ</v>
          </cell>
          <cell r="D2411" t="str">
            <v>SMB</v>
          </cell>
          <cell r="E2411" t="str">
            <v>Diğer</v>
          </cell>
        </row>
        <row r="2412">
          <cell r="C2412" t="str">
            <v>TL</v>
          </cell>
          <cell r="D2412" t="str">
            <v>SMB</v>
          </cell>
        </row>
        <row r="2413">
          <cell r="C2413" t="str">
            <v>USD</v>
          </cell>
          <cell r="D2413" t="str">
            <v>SMB</v>
          </cell>
        </row>
        <row r="2414">
          <cell r="C2414" t="str">
            <v>USD</v>
          </cell>
          <cell r="D2414" t="str">
            <v>SMB</v>
          </cell>
        </row>
        <row r="2415">
          <cell r="C2415" t="str">
            <v>USD</v>
          </cell>
          <cell r="D2415" t="str">
            <v>SMB</v>
          </cell>
        </row>
        <row r="2416">
          <cell r="C2416" t="str">
            <v>EUR</v>
          </cell>
          <cell r="D2416" t="str">
            <v>SMB</v>
          </cell>
        </row>
        <row r="2417">
          <cell r="C2417" t="str">
            <v>Kur Sabitleme</v>
          </cell>
          <cell r="D2417" t="str">
            <v>SMB</v>
          </cell>
        </row>
        <row r="2418">
          <cell r="C2418" t="str">
            <v>PRİME PORTFÖY YÖNETİMİ ANONİM ŞİRKETİ</v>
          </cell>
          <cell r="D2418" t="str">
            <v>SMB</v>
          </cell>
          <cell r="E2418" t="e">
            <v>#N/A</v>
          </cell>
        </row>
        <row r="2419">
          <cell r="C2419" t="str">
            <v>TL</v>
          </cell>
          <cell r="D2419" t="str">
            <v>SMB</v>
          </cell>
        </row>
        <row r="2420">
          <cell r="C2420" t="str">
            <v>USD</v>
          </cell>
          <cell r="D2420" t="str">
            <v>SMB</v>
          </cell>
        </row>
        <row r="2421">
          <cell r="C2421" t="str">
            <v>EUR</v>
          </cell>
          <cell r="D2421" t="str">
            <v>SMB</v>
          </cell>
        </row>
        <row r="2422">
          <cell r="C2422" t="str">
            <v>Kur Sabitleme</v>
          </cell>
          <cell r="D2422" t="str">
            <v>SMB</v>
          </cell>
        </row>
        <row r="2423">
          <cell r="C2423" t="str">
            <v>GÜNAY MOTORLU ARAÇLAR PAZARLAMA VE TİC. LTD. ŞTİ.</v>
          </cell>
          <cell r="D2423" t="str">
            <v>SMB</v>
          </cell>
          <cell r="E2423" t="str">
            <v>Diğer</v>
          </cell>
        </row>
        <row r="2424">
          <cell r="C2424" t="str">
            <v>TL</v>
          </cell>
          <cell r="D2424" t="str">
            <v>SMB</v>
          </cell>
        </row>
        <row r="2425">
          <cell r="C2425" t="str">
            <v>USD</v>
          </cell>
          <cell r="D2425" t="str">
            <v>SMB</v>
          </cell>
        </row>
        <row r="2426">
          <cell r="C2426" t="str">
            <v>EUR</v>
          </cell>
          <cell r="D2426" t="str">
            <v>SMB</v>
          </cell>
        </row>
        <row r="2427">
          <cell r="C2427" t="str">
            <v>Kur Sabitleme</v>
          </cell>
          <cell r="D2427" t="str">
            <v>SMB</v>
          </cell>
        </row>
        <row r="2428">
          <cell r="C2428" t="str">
            <v>ÇAĞBERK LOJİSTİK PAZARLAMA İÇ VE DIŞ TİCARET A.Ş</v>
          </cell>
          <cell r="D2428" t="str">
            <v>SMB</v>
          </cell>
          <cell r="E2428" t="str">
            <v>Diğer</v>
          </cell>
        </row>
        <row r="2429">
          <cell r="C2429" t="str">
            <v>TL</v>
          </cell>
          <cell r="D2429" t="str">
            <v>SMB</v>
          </cell>
        </row>
        <row r="2430">
          <cell r="C2430" t="str">
            <v>USD</v>
          </cell>
          <cell r="D2430" t="str">
            <v>SMB</v>
          </cell>
        </row>
        <row r="2431">
          <cell r="C2431" t="str">
            <v>EUR</v>
          </cell>
          <cell r="D2431" t="str">
            <v>SMB</v>
          </cell>
        </row>
        <row r="2432">
          <cell r="C2432" t="str">
            <v>Kur Sabitleme</v>
          </cell>
          <cell r="D2432" t="str">
            <v>SMB</v>
          </cell>
        </row>
        <row r="2433">
          <cell r="C2433" t="str">
            <v>ŞAHİNLER MOTORLU ARAÇLAR SAN.VE TİC. A.Ş</v>
          </cell>
          <cell r="D2433" t="str">
            <v>SMB</v>
          </cell>
          <cell r="E2433" t="str">
            <v>Genel</v>
          </cell>
        </row>
        <row r="2434">
          <cell r="C2434" t="str">
            <v>TL</v>
          </cell>
          <cell r="D2434" t="str">
            <v>SMB</v>
          </cell>
        </row>
        <row r="2435">
          <cell r="C2435" t="str">
            <v>USD</v>
          </cell>
          <cell r="D2435" t="str">
            <v>SMB</v>
          </cell>
        </row>
        <row r="2436">
          <cell r="C2436" t="str">
            <v>EUR</v>
          </cell>
          <cell r="D2436" t="str">
            <v>SMB</v>
          </cell>
        </row>
        <row r="2437">
          <cell r="C2437" t="str">
            <v>Kur Sabitleme</v>
          </cell>
          <cell r="D2437" t="str">
            <v>SMB</v>
          </cell>
        </row>
        <row r="2438">
          <cell r="C2438" t="str">
            <v>4D ENDÜSTRİYEL ÇÖZÜMLER SANAYİ VE TİCARET LİMİTED</v>
          </cell>
          <cell r="D2438" t="str">
            <v>SMB</v>
          </cell>
          <cell r="E2438" t="e">
            <v>#N/A</v>
          </cell>
        </row>
        <row r="2439">
          <cell r="C2439" t="str">
            <v>TL</v>
          </cell>
          <cell r="D2439" t="str">
            <v>SMB</v>
          </cell>
        </row>
        <row r="2440">
          <cell r="C2440" t="str">
            <v>USD</v>
          </cell>
          <cell r="D2440" t="str">
            <v>SMB</v>
          </cell>
        </row>
        <row r="2441">
          <cell r="C2441" t="str">
            <v>EUR</v>
          </cell>
          <cell r="D2441" t="str">
            <v>SMB</v>
          </cell>
        </row>
        <row r="2442">
          <cell r="C2442" t="str">
            <v>Kur Sabitleme</v>
          </cell>
          <cell r="D2442" t="str">
            <v>SMB</v>
          </cell>
        </row>
        <row r="2443">
          <cell r="C2443" t="str">
            <v>BAUZADE YAPI MALZEMELERİ SANAYİ VE TİCARET LİMİTED</v>
          </cell>
          <cell r="D2443" t="str">
            <v>SMB</v>
          </cell>
          <cell r="E2443" t="str">
            <v>Diğer</v>
          </cell>
        </row>
        <row r="2444">
          <cell r="C2444" t="str">
            <v>TL</v>
          </cell>
          <cell r="D2444" t="str">
            <v>SMB</v>
          </cell>
        </row>
        <row r="2445">
          <cell r="C2445" t="str">
            <v>USD</v>
          </cell>
          <cell r="D2445" t="str">
            <v>SMB</v>
          </cell>
        </row>
        <row r="2446">
          <cell r="C2446" t="str">
            <v>EUR</v>
          </cell>
          <cell r="D2446" t="str">
            <v>SMB</v>
          </cell>
        </row>
        <row r="2447">
          <cell r="C2447" t="str">
            <v>Kur Sabitleme</v>
          </cell>
          <cell r="D2447" t="str">
            <v>SMB</v>
          </cell>
        </row>
        <row r="2448">
          <cell r="C2448" t="str">
            <v>KATRE ISI SAN.TİC.A.Ş.</v>
          </cell>
          <cell r="D2448" t="str">
            <v>SMB</v>
          </cell>
          <cell r="E2448" t="e">
            <v>#N/A</v>
          </cell>
        </row>
        <row r="2449">
          <cell r="C2449" t="str">
            <v>TL</v>
          </cell>
          <cell r="D2449" t="str">
            <v>SMB</v>
          </cell>
        </row>
        <row r="2450">
          <cell r="C2450" t="str">
            <v>USD</v>
          </cell>
          <cell r="D2450" t="str">
            <v>SMB</v>
          </cell>
        </row>
        <row r="2451">
          <cell r="C2451" t="str">
            <v>EUR</v>
          </cell>
          <cell r="D2451" t="str">
            <v>SMB</v>
          </cell>
        </row>
        <row r="2452">
          <cell r="C2452" t="str">
            <v>Kur Sabitleme</v>
          </cell>
          <cell r="D2452" t="str">
            <v>SMB</v>
          </cell>
        </row>
        <row r="2453">
          <cell r="C2453" t="str">
            <v>İWİS TAHRİK SİSTEMLERİ SAN.TİC.LTD.ŞTİ</v>
          </cell>
          <cell r="D2453" t="str">
            <v>SMB</v>
          </cell>
          <cell r="E2453" t="str">
            <v>Diğer</v>
          </cell>
        </row>
        <row r="2454">
          <cell r="C2454" t="str">
            <v>TL</v>
          </cell>
          <cell r="D2454" t="str">
            <v>SMB</v>
          </cell>
        </row>
        <row r="2455">
          <cell r="C2455" t="str">
            <v>USD</v>
          </cell>
          <cell r="D2455" t="str">
            <v>SMB</v>
          </cell>
        </row>
        <row r="2456">
          <cell r="C2456" t="str">
            <v>USD</v>
          </cell>
          <cell r="D2456" t="str">
            <v>SMB</v>
          </cell>
        </row>
        <row r="2457">
          <cell r="C2457" t="str">
            <v>EUR</v>
          </cell>
          <cell r="D2457" t="str">
            <v>SMB</v>
          </cell>
        </row>
        <row r="2458">
          <cell r="C2458" t="str">
            <v>Kur Sabitleme</v>
          </cell>
          <cell r="D2458" t="str">
            <v>SMB</v>
          </cell>
        </row>
        <row r="2459">
          <cell r="C2459" t="str">
            <v>SENAMED</v>
          </cell>
          <cell r="D2459" t="str">
            <v>SMB</v>
          </cell>
          <cell r="E2459" t="str">
            <v>Diğer</v>
          </cell>
        </row>
        <row r="2460">
          <cell r="C2460" t="str">
            <v>TL</v>
          </cell>
          <cell r="D2460" t="str">
            <v>SMB</v>
          </cell>
        </row>
        <row r="2461">
          <cell r="C2461" t="str">
            <v>USD</v>
          </cell>
          <cell r="D2461" t="str">
            <v>SMB</v>
          </cell>
        </row>
        <row r="2462">
          <cell r="C2462" t="str">
            <v>EUR</v>
          </cell>
          <cell r="D2462" t="str">
            <v>SMB</v>
          </cell>
        </row>
        <row r="2463">
          <cell r="C2463" t="str">
            <v>Kur Sabitleme</v>
          </cell>
          <cell r="D2463" t="str">
            <v>SMB</v>
          </cell>
        </row>
        <row r="2464">
          <cell r="C2464" t="str">
            <v>TOGG</v>
          </cell>
          <cell r="D2464" t="str">
            <v>Enterprise</v>
          </cell>
          <cell r="E2464" t="str">
            <v>Üretim</v>
          </cell>
        </row>
        <row r="2465">
          <cell r="C2465" t="str">
            <v>TL</v>
          </cell>
          <cell r="D2465" t="str">
            <v>Enterprise</v>
          </cell>
        </row>
        <row r="2466">
          <cell r="C2466" t="str">
            <v>USD</v>
          </cell>
          <cell r="D2466" t="str">
            <v>Enterprise</v>
          </cell>
        </row>
        <row r="2467">
          <cell r="C2467" t="str">
            <v>EUR</v>
          </cell>
          <cell r="D2467" t="str">
            <v>Enterprise</v>
          </cell>
        </row>
        <row r="2468">
          <cell r="C2468" t="str">
            <v>Kur Sabitleme</v>
          </cell>
          <cell r="D2468" t="str">
            <v>Enterprise</v>
          </cell>
        </row>
        <row r="2469">
          <cell r="C2469" t="str">
            <v>IVC ENDUSTRIYEL URUNLER VANA</v>
          </cell>
          <cell r="D2469" t="str">
            <v>SMB</v>
          </cell>
          <cell r="E2469" t="str">
            <v>Diğer</v>
          </cell>
        </row>
        <row r="2470">
          <cell r="C2470" t="str">
            <v>TL</v>
          </cell>
          <cell r="D2470" t="str">
            <v>SMB</v>
          </cell>
        </row>
        <row r="2471">
          <cell r="C2471" t="str">
            <v>USD</v>
          </cell>
          <cell r="D2471" t="str">
            <v>SMB</v>
          </cell>
        </row>
        <row r="2472">
          <cell r="C2472" t="str">
            <v>EUR</v>
          </cell>
          <cell r="D2472" t="str">
            <v>SMB</v>
          </cell>
        </row>
        <row r="2473">
          <cell r="C2473" t="str">
            <v>Kur Sabitleme</v>
          </cell>
          <cell r="D2473" t="str">
            <v>SMB</v>
          </cell>
        </row>
        <row r="2474">
          <cell r="C2474" t="str">
            <v>ZEBRA TEKSTİL İNŞAAT SANAYİ VE TİCARET LİMİTED ŞİR</v>
          </cell>
          <cell r="D2474" t="str">
            <v>SMB</v>
          </cell>
          <cell r="E2474" t="str">
            <v>Üretim</v>
          </cell>
        </row>
        <row r="2475">
          <cell r="C2475" t="str">
            <v>TL</v>
          </cell>
          <cell r="D2475" t="str">
            <v>SMB</v>
          </cell>
        </row>
        <row r="2476">
          <cell r="C2476" t="str">
            <v>USD</v>
          </cell>
          <cell r="D2476" t="str">
            <v>SMB</v>
          </cell>
        </row>
        <row r="2477">
          <cell r="C2477" t="str">
            <v>EUR</v>
          </cell>
          <cell r="D2477" t="str">
            <v>SMB</v>
          </cell>
        </row>
        <row r="2478">
          <cell r="C2478" t="str">
            <v>Kur Sabitleme</v>
          </cell>
          <cell r="D2478" t="str">
            <v>SMB</v>
          </cell>
        </row>
        <row r="2479">
          <cell r="C2479" t="str">
            <v>BİGADİÇ ÜNAL GIDA TUR.SU ÜRN.HAY.KUY.DAYANIKLI TÜK</v>
          </cell>
          <cell r="D2479" t="str">
            <v>SMB</v>
          </cell>
          <cell r="E2479" t="str">
            <v>Diğer</v>
          </cell>
        </row>
        <row r="2480">
          <cell r="C2480" t="str">
            <v>TL</v>
          </cell>
          <cell r="D2480" t="str">
            <v>SMB</v>
          </cell>
        </row>
        <row r="2481">
          <cell r="C2481" t="str">
            <v>USD</v>
          </cell>
          <cell r="D2481" t="str">
            <v>SMB</v>
          </cell>
        </row>
        <row r="2482">
          <cell r="C2482" t="str">
            <v>EUR</v>
          </cell>
          <cell r="D2482" t="str">
            <v>SMB</v>
          </cell>
        </row>
        <row r="2483">
          <cell r="C2483" t="str">
            <v>Kur Sabitleme</v>
          </cell>
          <cell r="D2483" t="str">
            <v>SMB</v>
          </cell>
        </row>
        <row r="2484">
          <cell r="C2484" t="str">
            <v>BAYEDİ A.Ş</v>
          </cell>
          <cell r="D2484" t="str">
            <v>SMB</v>
          </cell>
          <cell r="E2484" t="str">
            <v>Diğer</v>
          </cell>
        </row>
        <row r="2485">
          <cell r="C2485" t="str">
            <v>TL</v>
          </cell>
          <cell r="D2485" t="str">
            <v>SMB</v>
          </cell>
        </row>
        <row r="2486">
          <cell r="C2486" t="str">
            <v>USD</v>
          </cell>
          <cell r="D2486" t="str">
            <v>SMB</v>
          </cell>
        </row>
        <row r="2487">
          <cell r="C2487" t="str">
            <v>EUR</v>
          </cell>
          <cell r="D2487" t="str">
            <v>SMB</v>
          </cell>
        </row>
        <row r="2488">
          <cell r="C2488" t="str">
            <v>Kur Sabitleme</v>
          </cell>
          <cell r="D2488" t="str">
            <v>SMB</v>
          </cell>
        </row>
        <row r="2489">
          <cell r="C2489" t="str">
            <v>KARO PORSELEN SERAMİK PAZARLAMA TİC.A.Ş</v>
          </cell>
          <cell r="D2489" t="str">
            <v>SMB</v>
          </cell>
          <cell r="E2489" t="str">
            <v>Diğer</v>
          </cell>
        </row>
        <row r="2490">
          <cell r="C2490" t="str">
            <v>TL</v>
          </cell>
          <cell r="D2490" t="str">
            <v>SMB</v>
          </cell>
        </row>
        <row r="2491">
          <cell r="C2491" t="str">
            <v>USD</v>
          </cell>
          <cell r="D2491" t="str">
            <v>SMB</v>
          </cell>
        </row>
        <row r="2492">
          <cell r="C2492" t="str">
            <v>EUR</v>
          </cell>
          <cell r="D2492" t="str">
            <v>SMB</v>
          </cell>
        </row>
        <row r="2493">
          <cell r="C2493" t="str">
            <v>Kur Sabitleme</v>
          </cell>
          <cell r="D2493" t="str">
            <v>SMB</v>
          </cell>
        </row>
        <row r="2494">
          <cell r="C2494" t="str">
            <v>EGEPAK AMBALAJ GIDA PAKETLEME SAN.VE TİC.LTD.ŞTİ</v>
          </cell>
          <cell r="D2494" t="str">
            <v>SMB</v>
          </cell>
          <cell r="E2494" t="str">
            <v>Diğer</v>
          </cell>
        </row>
        <row r="2495">
          <cell r="C2495" t="str">
            <v>TL</v>
          </cell>
          <cell r="D2495" t="str">
            <v>SMB</v>
          </cell>
        </row>
        <row r="2496">
          <cell r="C2496" t="str">
            <v>USD</v>
          </cell>
          <cell r="D2496" t="str">
            <v>SMB</v>
          </cell>
        </row>
        <row r="2497">
          <cell r="C2497" t="str">
            <v>EUR</v>
          </cell>
          <cell r="D2497" t="str">
            <v>SMB</v>
          </cell>
        </row>
        <row r="2498">
          <cell r="C2498" t="str">
            <v>Kur Sabitleme</v>
          </cell>
          <cell r="D2498" t="str">
            <v>SMB</v>
          </cell>
        </row>
        <row r="2499">
          <cell r="C2499" t="str">
            <v>ESENTEKS TEKSTİL SAN. VE TİC. LTD. ŞTİ.</v>
          </cell>
          <cell r="D2499" t="str">
            <v>SMB</v>
          </cell>
          <cell r="E2499" t="str">
            <v>Diğer</v>
          </cell>
        </row>
        <row r="2500">
          <cell r="C2500" t="str">
            <v>TL</v>
          </cell>
          <cell r="D2500" t="str">
            <v>SMB</v>
          </cell>
        </row>
        <row r="2501">
          <cell r="C2501" t="str">
            <v>USD</v>
          </cell>
          <cell r="D2501" t="str">
            <v>SMB</v>
          </cell>
        </row>
        <row r="2502">
          <cell r="C2502" t="str">
            <v>EUR</v>
          </cell>
          <cell r="D2502" t="str">
            <v>SMB</v>
          </cell>
        </row>
        <row r="2503">
          <cell r="C2503" t="str">
            <v>Kur Sabitleme</v>
          </cell>
          <cell r="D2503" t="str">
            <v>SMB</v>
          </cell>
        </row>
        <row r="2504">
          <cell r="C2504" t="str">
            <v>PEDAŞ LED AYDINLATMA TEKNOLOJİLERİ A.Ş.</v>
          </cell>
          <cell r="D2504" t="str">
            <v>SMB</v>
          </cell>
          <cell r="E2504" t="e">
            <v>#N/A</v>
          </cell>
        </row>
        <row r="2505">
          <cell r="C2505" t="str">
            <v>TL</v>
          </cell>
          <cell r="D2505" t="str">
            <v>SMB</v>
          </cell>
        </row>
        <row r="2506">
          <cell r="C2506" t="str">
            <v>USD</v>
          </cell>
          <cell r="D2506" t="str">
            <v>SMB</v>
          </cell>
        </row>
        <row r="2507">
          <cell r="C2507" t="str">
            <v>EUR</v>
          </cell>
          <cell r="D2507" t="str">
            <v>SMB</v>
          </cell>
        </row>
        <row r="2508">
          <cell r="C2508" t="str">
            <v>Kur Sabitleme</v>
          </cell>
          <cell r="D2508" t="str">
            <v>SMB</v>
          </cell>
        </row>
        <row r="2509">
          <cell r="C2509" t="str">
            <v>İDİLSU TEKS.TUR.İNŞ.TAAH.İTH.İHR.VETİC.LTD.ŞTİ</v>
          </cell>
          <cell r="D2509" t="str">
            <v>SMB</v>
          </cell>
          <cell r="E2509" t="e">
            <v>#N/A</v>
          </cell>
        </row>
        <row r="2510">
          <cell r="C2510" t="str">
            <v>TL</v>
          </cell>
          <cell r="D2510" t="str">
            <v>SMB</v>
          </cell>
        </row>
        <row r="2511">
          <cell r="C2511" t="str">
            <v>USD</v>
          </cell>
          <cell r="D2511" t="str">
            <v>SMB</v>
          </cell>
        </row>
        <row r="2512">
          <cell r="C2512" t="str">
            <v>EUR</v>
          </cell>
          <cell r="D2512" t="str">
            <v>SMB</v>
          </cell>
        </row>
        <row r="2513">
          <cell r="C2513" t="str">
            <v>Kur Sabitleme</v>
          </cell>
          <cell r="D2513" t="str">
            <v>SMB</v>
          </cell>
        </row>
        <row r="2514">
          <cell r="C2514" t="str">
            <v>YEMEK PAY ELEKTRONİK PARA ve ODEME Hiz. A.S.</v>
          </cell>
          <cell r="D2514" t="str">
            <v>Enterprise</v>
          </cell>
          <cell r="E2514" t="str">
            <v>Finans</v>
          </cell>
        </row>
        <row r="2515">
          <cell r="C2515" t="str">
            <v>TL</v>
          </cell>
          <cell r="D2515" t="str">
            <v>Enterprise</v>
          </cell>
        </row>
        <row r="2516">
          <cell r="C2516" t="str">
            <v>USD</v>
          </cell>
          <cell r="D2516" t="str">
            <v>Enterprise</v>
          </cell>
        </row>
        <row r="2517">
          <cell r="C2517" t="str">
            <v>EUR</v>
          </cell>
          <cell r="D2517" t="str">
            <v>Enterprise</v>
          </cell>
        </row>
        <row r="2518">
          <cell r="C2518" t="str">
            <v>Kur Sabitleme</v>
          </cell>
          <cell r="D2518" t="str">
            <v>Enterprise</v>
          </cell>
        </row>
        <row r="2519">
          <cell r="C2519" t="str">
            <v>KALE JET MOTORLARI</v>
          </cell>
          <cell r="D2519" t="str">
            <v>Enterprise</v>
          </cell>
          <cell r="E2519" t="e">
            <v>#N/A</v>
          </cell>
        </row>
        <row r="2520">
          <cell r="C2520" t="str">
            <v>TL</v>
          </cell>
          <cell r="D2520" t="str">
            <v>Enterprise</v>
          </cell>
        </row>
        <row r="2521">
          <cell r="C2521" t="str">
            <v>USD</v>
          </cell>
          <cell r="D2521" t="str">
            <v>Enterprise</v>
          </cell>
        </row>
        <row r="2522">
          <cell r="C2522" t="str">
            <v>EUR</v>
          </cell>
          <cell r="D2522" t="str">
            <v>Enterprise</v>
          </cell>
        </row>
        <row r="2523">
          <cell r="C2523" t="str">
            <v>Kur Sabitleme</v>
          </cell>
          <cell r="D2523" t="str">
            <v>Enterprise</v>
          </cell>
        </row>
        <row r="2524">
          <cell r="C2524" t="str">
            <v>ADALON OTOMOTİV SANAYİ VE DIŞ TİC. LTD. STİ</v>
          </cell>
          <cell r="D2524" t="str">
            <v>SMB</v>
          </cell>
          <cell r="E2524" t="str">
            <v>Diğer</v>
          </cell>
        </row>
        <row r="2525">
          <cell r="C2525" t="str">
            <v>TL</v>
          </cell>
          <cell r="D2525" t="str">
            <v>SMB</v>
          </cell>
        </row>
        <row r="2526">
          <cell r="C2526" t="str">
            <v>USD</v>
          </cell>
          <cell r="D2526" t="str">
            <v>SMB</v>
          </cell>
        </row>
        <row r="2527">
          <cell r="C2527" t="str">
            <v>EUR</v>
          </cell>
          <cell r="D2527" t="str">
            <v>SMB</v>
          </cell>
        </row>
        <row r="2528">
          <cell r="C2528" t="str">
            <v>Kur Sabitleme</v>
          </cell>
          <cell r="D2528" t="str">
            <v>SMB</v>
          </cell>
        </row>
        <row r="2529">
          <cell r="C2529" t="str">
            <v>MAPP MERCHANDISING GROUP</v>
          </cell>
          <cell r="D2529" t="str">
            <v>SMB</v>
          </cell>
          <cell r="E2529" t="str">
            <v>Genel</v>
          </cell>
        </row>
        <row r="2530">
          <cell r="C2530" t="str">
            <v>TL</v>
          </cell>
          <cell r="D2530" t="str">
            <v>SMB</v>
          </cell>
        </row>
        <row r="2531">
          <cell r="C2531" t="str">
            <v>USD</v>
          </cell>
          <cell r="D2531" t="str">
            <v>SMB</v>
          </cell>
        </row>
        <row r="2532">
          <cell r="C2532" t="str">
            <v>EUR</v>
          </cell>
          <cell r="D2532" t="str">
            <v>SMB</v>
          </cell>
        </row>
        <row r="2533">
          <cell r="C2533" t="str">
            <v>Kur Sabitleme</v>
          </cell>
          <cell r="D2533" t="str">
            <v>SMB</v>
          </cell>
        </row>
        <row r="2534">
          <cell r="C2534" t="str">
            <v>VMM VAROL MAKİNA SAN.TİC.LTD.ŞTİ.</v>
          </cell>
          <cell r="D2534" t="str">
            <v>SMB</v>
          </cell>
          <cell r="E2534" t="e">
            <v>#N/A</v>
          </cell>
        </row>
        <row r="2535">
          <cell r="C2535" t="str">
            <v>TL</v>
          </cell>
          <cell r="D2535" t="str">
            <v>SMB</v>
          </cell>
        </row>
        <row r="2536">
          <cell r="C2536" t="str">
            <v>USD</v>
          </cell>
          <cell r="D2536" t="str">
            <v>SMB</v>
          </cell>
        </row>
        <row r="2537">
          <cell r="C2537" t="str">
            <v>EUR</v>
          </cell>
          <cell r="D2537" t="str">
            <v>SMB</v>
          </cell>
        </row>
        <row r="2538">
          <cell r="C2538" t="str">
            <v>Kur Sabitleme</v>
          </cell>
          <cell r="D2538" t="str">
            <v>SMB</v>
          </cell>
        </row>
        <row r="2539">
          <cell r="C2539" t="str">
            <v>BCM Uluslararası Madencilik iIracat San ve Tic</v>
          </cell>
          <cell r="D2539" t="str">
            <v>SMB</v>
          </cell>
          <cell r="E2539" t="str">
            <v>Üretim</v>
          </cell>
        </row>
        <row r="2540">
          <cell r="C2540" t="str">
            <v>TL</v>
          </cell>
          <cell r="D2540" t="str">
            <v>SMB</v>
          </cell>
        </row>
        <row r="2541">
          <cell r="C2541" t="str">
            <v>USD</v>
          </cell>
          <cell r="D2541" t="str">
            <v>SMB</v>
          </cell>
        </row>
        <row r="2542">
          <cell r="C2542" t="str">
            <v>EUR</v>
          </cell>
          <cell r="D2542" t="str">
            <v>SMB</v>
          </cell>
        </row>
        <row r="2543">
          <cell r="C2543" t="str">
            <v>Kur Sabitleme</v>
          </cell>
          <cell r="D2543" t="str">
            <v>SMB</v>
          </cell>
        </row>
        <row r="2544">
          <cell r="C2544" t="str">
            <v>GÜVEN PRES DÖKÜM</v>
          </cell>
          <cell r="D2544" t="str">
            <v>SMB</v>
          </cell>
          <cell r="E2544" t="str">
            <v>Üretim</v>
          </cell>
        </row>
        <row r="2545">
          <cell r="C2545" t="str">
            <v>TL</v>
          </cell>
          <cell r="D2545" t="str">
            <v>SMB</v>
          </cell>
        </row>
        <row r="2546">
          <cell r="C2546" t="str">
            <v>USD</v>
          </cell>
          <cell r="D2546" t="str">
            <v>SMB</v>
          </cell>
        </row>
        <row r="2547">
          <cell r="C2547" t="str">
            <v>EUR</v>
          </cell>
          <cell r="D2547" t="str">
            <v>SMB</v>
          </cell>
        </row>
        <row r="2548">
          <cell r="C2548" t="str">
            <v>Kur Sabitleme</v>
          </cell>
          <cell r="D2548" t="str">
            <v>SMB</v>
          </cell>
        </row>
        <row r="2549">
          <cell r="C2549" t="str">
            <v>SONÇAĞ MÜHENDİSLİK - SİNAN SONÇAĞI</v>
          </cell>
          <cell r="D2549" t="str">
            <v>SMB</v>
          </cell>
          <cell r="E2549" t="e">
            <v>#N/A</v>
          </cell>
        </row>
        <row r="2550">
          <cell r="C2550" t="str">
            <v>TL</v>
          </cell>
          <cell r="D2550" t="str">
            <v>SMB</v>
          </cell>
        </row>
        <row r="2551">
          <cell r="C2551" t="str">
            <v>USD</v>
          </cell>
          <cell r="D2551" t="str">
            <v>SMB</v>
          </cell>
        </row>
        <row r="2552">
          <cell r="C2552" t="str">
            <v>EUR</v>
          </cell>
          <cell r="D2552" t="str">
            <v>SMB</v>
          </cell>
        </row>
        <row r="2553">
          <cell r="C2553" t="str">
            <v>Kur Sabitleme</v>
          </cell>
          <cell r="D2553" t="str">
            <v>SMB</v>
          </cell>
        </row>
        <row r="2554">
          <cell r="C2554" t="str">
            <v>SERTAN TEKNİK KESİCİ TAKIM SANAYİ TİC.LTD.ŞTİ</v>
          </cell>
          <cell r="D2554" t="str">
            <v>SMB</v>
          </cell>
          <cell r="E2554" t="e">
            <v>#N/A</v>
          </cell>
        </row>
        <row r="2555">
          <cell r="C2555" t="str">
            <v>TL</v>
          </cell>
          <cell r="D2555" t="str">
            <v>SMB</v>
          </cell>
        </row>
        <row r="2556">
          <cell r="C2556" t="str">
            <v>USD</v>
          </cell>
          <cell r="D2556" t="str">
            <v>SMB</v>
          </cell>
        </row>
        <row r="2557">
          <cell r="C2557" t="str">
            <v>USD</v>
          </cell>
          <cell r="D2557" t="str">
            <v>SMB</v>
          </cell>
        </row>
        <row r="2558">
          <cell r="C2558" t="str">
            <v>EUR</v>
          </cell>
          <cell r="D2558" t="str">
            <v>SMB</v>
          </cell>
        </row>
        <row r="2559">
          <cell r="C2559" t="str">
            <v>Kur Sabitleme</v>
          </cell>
          <cell r="D2559" t="str">
            <v>SMB</v>
          </cell>
        </row>
        <row r="2560">
          <cell r="C2560" t="str">
            <v>Bisam Cephe Sistemleri AS</v>
          </cell>
          <cell r="D2560" t="str">
            <v>SMB</v>
          </cell>
          <cell r="E2560" t="e">
            <v>#N/A</v>
          </cell>
        </row>
        <row r="2561">
          <cell r="C2561" t="str">
            <v>TL</v>
          </cell>
          <cell r="D2561" t="str">
            <v>SMB</v>
          </cell>
        </row>
        <row r="2562">
          <cell r="C2562" t="str">
            <v>USD</v>
          </cell>
          <cell r="D2562" t="str">
            <v>SMB</v>
          </cell>
        </row>
        <row r="2563">
          <cell r="C2563" t="str">
            <v>EUR</v>
          </cell>
          <cell r="D2563" t="str">
            <v>SMB</v>
          </cell>
        </row>
        <row r="2564">
          <cell r="C2564" t="str">
            <v>Kur Sabitleme</v>
          </cell>
          <cell r="D2564" t="str">
            <v>SMB</v>
          </cell>
        </row>
        <row r="2565">
          <cell r="C2565" t="str">
            <v>Birleşik Araştırmacılar</v>
          </cell>
          <cell r="D2565" t="str">
            <v>SMB</v>
          </cell>
          <cell r="E2565" t="e">
            <v>#N/A</v>
          </cell>
        </row>
        <row r="2566">
          <cell r="C2566" t="str">
            <v>TL</v>
          </cell>
          <cell r="D2566" t="str">
            <v>SMB</v>
          </cell>
        </row>
        <row r="2567">
          <cell r="C2567" t="str">
            <v>USD</v>
          </cell>
          <cell r="D2567" t="str">
            <v>SMB</v>
          </cell>
        </row>
        <row r="2568">
          <cell r="C2568" t="str">
            <v>EUR</v>
          </cell>
          <cell r="D2568" t="str">
            <v>SMB</v>
          </cell>
        </row>
        <row r="2569">
          <cell r="C2569" t="str">
            <v>Kur Sabitleme</v>
          </cell>
          <cell r="D2569" t="str">
            <v>SMB</v>
          </cell>
        </row>
        <row r="2570">
          <cell r="C2570" t="str">
            <v>CD VİNÇ TEKSTİL MAKİNA SAN. VE TİC LTD. ŞTİ.</v>
          </cell>
          <cell r="D2570" t="str">
            <v>SMB</v>
          </cell>
          <cell r="E2570" t="str">
            <v>Diğer</v>
          </cell>
        </row>
        <row r="2571">
          <cell r="C2571" t="str">
            <v>TL</v>
          </cell>
          <cell r="D2571" t="str">
            <v>SMB</v>
          </cell>
        </row>
        <row r="2572">
          <cell r="C2572" t="str">
            <v>USD</v>
          </cell>
          <cell r="D2572" t="str">
            <v>SMB</v>
          </cell>
        </row>
        <row r="2573">
          <cell r="C2573" t="str">
            <v>EUR</v>
          </cell>
          <cell r="D2573" t="str">
            <v>SMB</v>
          </cell>
        </row>
        <row r="2574">
          <cell r="C2574" t="str">
            <v>Kur Sabitleme</v>
          </cell>
          <cell r="D2574" t="str">
            <v>SMB</v>
          </cell>
        </row>
        <row r="2575">
          <cell r="C2575" t="str">
            <v>ANDRİALİ CONTRACT TEKSTİL SAN.TİC.LTD.ŞTİ</v>
          </cell>
          <cell r="D2575" t="str">
            <v>SMB</v>
          </cell>
          <cell r="E2575" t="str">
            <v>Diğer</v>
          </cell>
        </row>
        <row r="2576">
          <cell r="C2576" t="str">
            <v>TL</v>
          </cell>
          <cell r="D2576" t="str">
            <v>SMB</v>
          </cell>
        </row>
        <row r="2577">
          <cell r="C2577" t="str">
            <v>USD</v>
          </cell>
          <cell r="D2577" t="str">
            <v>SMB</v>
          </cell>
        </row>
        <row r="2578">
          <cell r="C2578" t="str">
            <v>EUR</v>
          </cell>
          <cell r="D2578" t="str">
            <v>SMB</v>
          </cell>
        </row>
        <row r="2579">
          <cell r="C2579" t="str">
            <v>Kur Sabitleme</v>
          </cell>
          <cell r="D2579" t="str">
            <v>SMB</v>
          </cell>
        </row>
        <row r="2580">
          <cell r="C2580" t="str">
            <v>FORM MİMARLIK MÜHENDİSLİK HİZM.SAN.VE TİC.LTD.ŞTİ</v>
          </cell>
          <cell r="D2580" t="str">
            <v>SMB</v>
          </cell>
          <cell r="E2580" t="str">
            <v>Diğer</v>
          </cell>
        </row>
        <row r="2581">
          <cell r="C2581" t="str">
            <v>TL</v>
          </cell>
          <cell r="D2581" t="str">
            <v>SMB</v>
          </cell>
        </row>
        <row r="2582">
          <cell r="C2582" t="str">
            <v>USD</v>
          </cell>
          <cell r="D2582" t="str">
            <v>SMB</v>
          </cell>
        </row>
        <row r="2583">
          <cell r="C2583" t="str">
            <v>EUR</v>
          </cell>
          <cell r="D2583" t="str">
            <v>SMB</v>
          </cell>
        </row>
        <row r="2584">
          <cell r="C2584" t="str">
            <v>Kur Sabitleme</v>
          </cell>
          <cell r="D2584" t="str">
            <v>SMB</v>
          </cell>
        </row>
        <row r="2585">
          <cell r="C2585" t="str">
            <v>INFOTECH BİLİŞİM VE İLETİŞİM TEKNOLOJİLERİ SAN. VE</v>
          </cell>
          <cell r="D2585" t="str">
            <v>SMB</v>
          </cell>
          <cell r="E2585" t="str">
            <v>Teknoloji</v>
          </cell>
        </row>
        <row r="2586">
          <cell r="C2586" t="str">
            <v>TL</v>
          </cell>
          <cell r="D2586" t="str">
            <v>SMB</v>
          </cell>
        </row>
        <row r="2587">
          <cell r="C2587" t="str">
            <v>USD</v>
          </cell>
          <cell r="D2587" t="str">
            <v>SMB</v>
          </cell>
        </row>
        <row r="2588">
          <cell r="C2588" t="str">
            <v>EUR</v>
          </cell>
          <cell r="D2588" t="str">
            <v>SMB</v>
          </cell>
        </row>
        <row r="2589">
          <cell r="C2589" t="str">
            <v>Kur Sabitleme</v>
          </cell>
          <cell r="D2589" t="str">
            <v>SMB</v>
          </cell>
        </row>
        <row r="2590">
          <cell r="C2590" t="str">
            <v>KANGURU GIDA SAN TURİZM DANIŞ. VE TİC.LTD.ŞTİ</v>
          </cell>
          <cell r="D2590" t="str">
            <v>SMB</v>
          </cell>
          <cell r="E2590" t="str">
            <v>Diğer</v>
          </cell>
        </row>
        <row r="2591">
          <cell r="C2591" t="str">
            <v>TL</v>
          </cell>
          <cell r="D2591" t="str">
            <v>SMB</v>
          </cell>
        </row>
        <row r="2592">
          <cell r="C2592" t="str">
            <v>USD</v>
          </cell>
          <cell r="D2592" t="str">
            <v>SMB</v>
          </cell>
        </row>
        <row r="2593">
          <cell r="C2593" t="str">
            <v>EUR</v>
          </cell>
          <cell r="D2593" t="str">
            <v>SMB</v>
          </cell>
        </row>
        <row r="2594">
          <cell r="C2594" t="str">
            <v>Kur Sabitleme</v>
          </cell>
          <cell r="D2594" t="str">
            <v>SMB</v>
          </cell>
        </row>
        <row r="2595">
          <cell r="C2595" t="str">
            <v>Opus  Solutions</v>
          </cell>
          <cell r="D2595" t="str">
            <v>SMB</v>
          </cell>
          <cell r="E2595" t="str">
            <v>Genel</v>
          </cell>
        </row>
        <row r="2596">
          <cell r="C2596" t="str">
            <v>TL</v>
          </cell>
          <cell r="D2596" t="str">
            <v>SMB</v>
          </cell>
        </row>
        <row r="2597">
          <cell r="C2597" t="str">
            <v>USD</v>
          </cell>
          <cell r="D2597" t="str">
            <v>SMB</v>
          </cell>
        </row>
        <row r="2598">
          <cell r="C2598" t="str">
            <v>EUR</v>
          </cell>
          <cell r="D2598" t="str">
            <v>SMB</v>
          </cell>
        </row>
        <row r="2599">
          <cell r="C2599" t="str">
            <v>Kur Sabitleme</v>
          </cell>
          <cell r="D2599" t="str">
            <v>SMB</v>
          </cell>
        </row>
        <row r="2600">
          <cell r="C2600" t="str">
            <v>MARCUS GIDA TICARET ANONIM SIRKETI</v>
          </cell>
          <cell r="D2600" t="str">
            <v>SMB</v>
          </cell>
          <cell r="E2600" t="str">
            <v>Üretim</v>
          </cell>
        </row>
        <row r="2601">
          <cell r="C2601" t="str">
            <v>TL</v>
          </cell>
          <cell r="D2601" t="str">
            <v>SMB</v>
          </cell>
        </row>
        <row r="2602">
          <cell r="C2602" t="str">
            <v>USD</v>
          </cell>
          <cell r="D2602" t="str">
            <v>SMB</v>
          </cell>
        </row>
        <row r="2603">
          <cell r="C2603" t="str">
            <v>EUR</v>
          </cell>
          <cell r="D2603" t="str">
            <v>SMB</v>
          </cell>
        </row>
        <row r="2604">
          <cell r="C2604" t="str">
            <v>Kur Sabitleme</v>
          </cell>
          <cell r="D2604" t="str">
            <v>SMB</v>
          </cell>
        </row>
        <row r="2605">
          <cell r="C2605" t="str">
            <v>AKAR TAAHHÜT YAPI İNŞAAT</v>
          </cell>
          <cell r="D2605" t="str">
            <v>SMB</v>
          </cell>
          <cell r="E2605" t="e">
            <v>#N/A</v>
          </cell>
        </row>
        <row r="2606">
          <cell r="C2606" t="str">
            <v>TL</v>
          </cell>
          <cell r="D2606" t="str">
            <v>SMB</v>
          </cell>
        </row>
        <row r="2607">
          <cell r="C2607" t="str">
            <v>USD</v>
          </cell>
          <cell r="D2607" t="str">
            <v>SMB</v>
          </cell>
        </row>
        <row r="2608">
          <cell r="C2608" t="str">
            <v>EUR</v>
          </cell>
          <cell r="D2608" t="str">
            <v>SMB</v>
          </cell>
        </row>
        <row r="2609">
          <cell r="C2609" t="str">
            <v>Kur Sabitleme</v>
          </cell>
          <cell r="D2609" t="str">
            <v>SMB</v>
          </cell>
        </row>
        <row r="2610">
          <cell r="C2610" t="str">
            <v>ATLAS PSA OTOMOTİV YED. PAR. İNŞ. SAN. VE TİC. LTD</v>
          </cell>
          <cell r="D2610" t="str">
            <v>SMB</v>
          </cell>
          <cell r="E2610" t="str">
            <v>Diğer</v>
          </cell>
        </row>
        <row r="2611">
          <cell r="C2611" t="str">
            <v>TL</v>
          </cell>
          <cell r="D2611" t="str">
            <v>SMB</v>
          </cell>
        </row>
        <row r="2612">
          <cell r="C2612" t="str">
            <v>USD</v>
          </cell>
          <cell r="D2612" t="str">
            <v>SMB</v>
          </cell>
        </row>
        <row r="2613">
          <cell r="C2613" t="str">
            <v>USD</v>
          </cell>
          <cell r="D2613" t="str">
            <v>SMB</v>
          </cell>
        </row>
        <row r="2614">
          <cell r="C2614" t="str">
            <v>EUR</v>
          </cell>
          <cell r="D2614" t="str">
            <v>SMB</v>
          </cell>
        </row>
        <row r="2615">
          <cell r="C2615" t="str">
            <v>Kur Sabitleme</v>
          </cell>
          <cell r="D2615" t="str">
            <v>SMB</v>
          </cell>
        </row>
        <row r="2616">
          <cell r="C2616" t="str">
            <v>AYDIN ÜNİVERSİTESİ</v>
          </cell>
          <cell r="D2616" t="str">
            <v>Enterprise</v>
          </cell>
          <cell r="E2616" t="str">
            <v>Eğitim</v>
          </cell>
        </row>
        <row r="2617">
          <cell r="C2617" t="str">
            <v>TL</v>
          </cell>
          <cell r="D2617" t="str">
            <v>Enterprise</v>
          </cell>
        </row>
        <row r="2618">
          <cell r="C2618" t="str">
            <v>USD</v>
          </cell>
          <cell r="D2618" t="str">
            <v>Enterprise</v>
          </cell>
        </row>
        <row r="2619">
          <cell r="C2619" t="str">
            <v>EUR</v>
          </cell>
          <cell r="D2619" t="str">
            <v>Enterprise</v>
          </cell>
        </row>
        <row r="2620">
          <cell r="C2620" t="str">
            <v>Kur Sabitleme</v>
          </cell>
          <cell r="D2620" t="str">
            <v>Enterprise</v>
          </cell>
        </row>
        <row r="2621">
          <cell r="C2621" t="str">
            <v>BS GÜMRÜK</v>
          </cell>
          <cell r="D2621" t="str">
            <v>SMB</v>
          </cell>
          <cell r="E2621" t="str">
            <v>Diğer</v>
          </cell>
        </row>
        <row r="2622">
          <cell r="C2622" t="str">
            <v>TL</v>
          </cell>
          <cell r="D2622" t="str">
            <v>SMB</v>
          </cell>
        </row>
        <row r="2623">
          <cell r="C2623" t="str">
            <v>USD</v>
          </cell>
          <cell r="D2623" t="str">
            <v>SMB</v>
          </cell>
        </row>
        <row r="2624">
          <cell r="C2624" t="str">
            <v>USD</v>
          </cell>
          <cell r="D2624" t="str">
            <v>SMB</v>
          </cell>
        </row>
        <row r="2625">
          <cell r="C2625" t="str">
            <v>USD</v>
          </cell>
          <cell r="D2625" t="str">
            <v>SMB</v>
          </cell>
        </row>
        <row r="2626">
          <cell r="C2626" t="str">
            <v>EUR</v>
          </cell>
          <cell r="D2626" t="str">
            <v>SMB</v>
          </cell>
        </row>
        <row r="2627">
          <cell r="C2627" t="str">
            <v>Kur Sabitleme</v>
          </cell>
          <cell r="D2627" t="str">
            <v>SMB</v>
          </cell>
        </row>
        <row r="2628">
          <cell r="C2628" t="str">
            <v>BUDDY DIŞ TİCARET SAN. A.Ş</v>
          </cell>
          <cell r="D2628" t="str">
            <v>SMB</v>
          </cell>
          <cell r="E2628" t="str">
            <v>Diğer</v>
          </cell>
        </row>
        <row r="2629">
          <cell r="C2629" t="str">
            <v>TL</v>
          </cell>
          <cell r="D2629" t="str">
            <v>SMB</v>
          </cell>
        </row>
        <row r="2630">
          <cell r="C2630" t="str">
            <v>USD</v>
          </cell>
          <cell r="D2630" t="str">
            <v>SMB</v>
          </cell>
        </row>
        <row r="2631">
          <cell r="C2631" t="str">
            <v>EUR</v>
          </cell>
          <cell r="D2631" t="str">
            <v>SMB</v>
          </cell>
        </row>
        <row r="2632">
          <cell r="C2632" t="str">
            <v>Kur Sabitleme</v>
          </cell>
          <cell r="D2632" t="str">
            <v>SMB</v>
          </cell>
        </row>
        <row r="2633">
          <cell r="C2633" t="str">
            <v>DBB MÜHENDİSLİK ELEKTRİK TAAHHÜT İNŞAAT TİCARET LT</v>
          </cell>
          <cell r="D2633" t="str">
            <v>SMB</v>
          </cell>
          <cell r="E2633" t="e">
            <v>#N/A</v>
          </cell>
        </row>
        <row r="2634">
          <cell r="C2634" t="str">
            <v>TL</v>
          </cell>
          <cell r="D2634" t="str">
            <v>SMB</v>
          </cell>
        </row>
        <row r="2635">
          <cell r="C2635" t="str">
            <v>USD</v>
          </cell>
          <cell r="D2635" t="str">
            <v>SMB</v>
          </cell>
        </row>
        <row r="2636">
          <cell r="C2636" t="str">
            <v>EUR</v>
          </cell>
          <cell r="D2636" t="str">
            <v>SMB</v>
          </cell>
        </row>
        <row r="2637">
          <cell r="C2637" t="str">
            <v>Kur Sabitleme</v>
          </cell>
          <cell r="D2637" t="str">
            <v>SMB</v>
          </cell>
        </row>
        <row r="2638">
          <cell r="C2638" t="str">
            <v>DEMİRSOY PASLANMAZ ÇELİK DÖKÜM SAN.VE TİC.LTD.ŞTİ</v>
          </cell>
          <cell r="D2638" t="str">
            <v>SMB</v>
          </cell>
          <cell r="E2638" t="e">
            <v>#N/A</v>
          </cell>
        </row>
        <row r="2639">
          <cell r="C2639" t="str">
            <v>TL</v>
          </cell>
          <cell r="D2639" t="str">
            <v>SMB</v>
          </cell>
        </row>
        <row r="2640">
          <cell r="C2640" t="str">
            <v>USD</v>
          </cell>
          <cell r="D2640" t="str">
            <v>SMB</v>
          </cell>
        </row>
        <row r="2641">
          <cell r="C2641" t="str">
            <v>EUR</v>
          </cell>
          <cell r="D2641" t="str">
            <v>SMB</v>
          </cell>
        </row>
        <row r="2642">
          <cell r="C2642" t="str">
            <v>Kur Sabitleme</v>
          </cell>
          <cell r="D2642" t="str">
            <v>SMB</v>
          </cell>
        </row>
        <row r="2643">
          <cell r="C2643" t="str">
            <v>HOROZ LOJİSTİK KARGO HİZMETLERİ VE TİC. A.Ş.</v>
          </cell>
          <cell r="D2643" t="str">
            <v>Enterprise</v>
          </cell>
          <cell r="E2643" t="str">
            <v>Lojistik</v>
          </cell>
        </row>
        <row r="2644">
          <cell r="C2644" t="str">
            <v>TL</v>
          </cell>
          <cell r="D2644" t="str">
            <v>Enterprise</v>
          </cell>
        </row>
        <row r="2645">
          <cell r="C2645" t="str">
            <v>USD</v>
          </cell>
          <cell r="D2645" t="str">
            <v>Enterprise</v>
          </cell>
        </row>
        <row r="2646">
          <cell r="C2646" t="str">
            <v>EUR</v>
          </cell>
          <cell r="D2646" t="str">
            <v>Enterprise</v>
          </cell>
        </row>
        <row r="2647">
          <cell r="C2647" t="str">
            <v>Kur Sabitleme</v>
          </cell>
          <cell r="D2647" t="str">
            <v>Enterprise</v>
          </cell>
        </row>
        <row r="2648">
          <cell r="C2648" t="str">
            <v>KARTAL KİMYA</v>
          </cell>
          <cell r="D2648" t="str">
            <v>SMB</v>
          </cell>
          <cell r="E2648" t="str">
            <v>Üretim</v>
          </cell>
        </row>
        <row r="2649">
          <cell r="C2649" t="str">
            <v>TL</v>
          </cell>
          <cell r="D2649" t="str">
            <v>SMB</v>
          </cell>
        </row>
        <row r="2650">
          <cell r="C2650" t="str">
            <v>USD</v>
          </cell>
          <cell r="D2650" t="str">
            <v>SMB</v>
          </cell>
        </row>
        <row r="2651">
          <cell r="C2651" t="str">
            <v>EUR</v>
          </cell>
          <cell r="D2651" t="str">
            <v>SMB</v>
          </cell>
        </row>
        <row r="2652">
          <cell r="C2652" t="str">
            <v>Kur Sabitleme</v>
          </cell>
          <cell r="D2652" t="str">
            <v>SMB</v>
          </cell>
        </row>
        <row r="2653">
          <cell r="C2653" t="str">
            <v>KHD ELEKTRONİK LTD. ŞTİ.</v>
          </cell>
          <cell r="D2653" t="str">
            <v>SMB</v>
          </cell>
          <cell r="E2653" t="str">
            <v>Diğer</v>
          </cell>
        </row>
        <row r="2654">
          <cell r="C2654" t="str">
            <v>TL</v>
          </cell>
          <cell r="D2654" t="str">
            <v>SMB</v>
          </cell>
        </row>
        <row r="2655">
          <cell r="C2655" t="str">
            <v>USD</v>
          </cell>
          <cell r="D2655" t="str">
            <v>SMB</v>
          </cell>
        </row>
        <row r="2656">
          <cell r="C2656" t="str">
            <v>EUR</v>
          </cell>
          <cell r="D2656" t="str">
            <v>SMB</v>
          </cell>
        </row>
        <row r="2657">
          <cell r="C2657" t="str">
            <v>Kur Sabitleme</v>
          </cell>
          <cell r="D2657" t="str">
            <v>SMB</v>
          </cell>
        </row>
        <row r="2658">
          <cell r="C2658" t="str">
            <v>LAYDA BİLGİSAYAR YAZILIM ve DANIŞMANLIK LTD.ŞTİ.</v>
          </cell>
          <cell r="D2658" t="str">
            <v>SMB</v>
          </cell>
          <cell r="E2658" t="str">
            <v>Bayi</v>
          </cell>
        </row>
        <row r="2659">
          <cell r="C2659" t="str">
            <v>TL</v>
          </cell>
          <cell r="D2659" t="str">
            <v>SMB</v>
          </cell>
        </row>
        <row r="2660">
          <cell r="C2660" t="str">
            <v>USD</v>
          </cell>
          <cell r="D2660" t="str">
            <v>SMB</v>
          </cell>
        </row>
        <row r="2661">
          <cell r="C2661" t="str">
            <v>EUR</v>
          </cell>
          <cell r="D2661" t="str">
            <v>SMB</v>
          </cell>
        </row>
        <row r="2662">
          <cell r="C2662" t="str">
            <v>Kur Sabitleme</v>
          </cell>
          <cell r="D2662" t="str">
            <v>SMB</v>
          </cell>
        </row>
        <row r="2663">
          <cell r="C2663" t="str">
            <v>KALE PRATT</v>
          </cell>
          <cell r="D2663" t="str">
            <v>Enterprise</v>
          </cell>
          <cell r="E2663" t="str">
            <v>Üretim</v>
          </cell>
        </row>
        <row r="2664">
          <cell r="C2664" t="str">
            <v>TL</v>
          </cell>
          <cell r="D2664" t="str">
            <v>Enterprise</v>
          </cell>
        </row>
        <row r="2665">
          <cell r="C2665" t="str">
            <v>USD</v>
          </cell>
          <cell r="D2665" t="str">
            <v>Enterprise</v>
          </cell>
        </row>
        <row r="2666">
          <cell r="C2666" t="str">
            <v>EUR</v>
          </cell>
          <cell r="D2666" t="str">
            <v>Enterprise</v>
          </cell>
        </row>
        <row r="2667">
          <cell r="C2667" t="str">
            <v>Kur Sabitleme</v>
          </cell>
          <cell r="D2667" t="str">
            <v>Enterprise</v>
          </cell>
        </row>
        <row r="2668">
          <cell r="C2668" t="str">
            <v>sobe diş ticaret tekstil ve sanayi limited şirketi</v>
          </cell>
          <cell r="D2668" t="str">
            <v>SMB</v>
          </cell>
          <cell r="E2668" t="str">
            <v>Üretim</v>
          </cell>
        </row>
        <row r="2669">
          <cell r="C2669" t="str">
            <v>TL</v>
          </cell>
          <cell r="D2669" t="str">
            <v>SMB</v>
          </cell>
        </row>
        <row r="2670">
          <cell r="C2670" t="str">
            <v>USD</v>
          </cell>
          <cell r="D2670" t="str">
            <v>SMB</v>
          </cell>
        </row>
        <row r="2671">
          <cell r="C2671" t="str">
            <v>EUR</v>
          </cell>
          <cell r="D2671" t="str">
            <v>SMB</v>
          </cell>
        </row>
        <row r="2672">
          <cell r="C2672" t="str">
            <v>Kur Sabitleme</v>
          </cell>
          <cell r="D2672" t="str">
            <v>SMB</v>
          </cell>
        </row>
        <row r="2673">
          <cell r="C2673" t="str">
            <v>İZKA TEMİZLİK GIDA ÜRÜNLERİ PAZARLAMA SAN. VE TİC.</v>
          </cell>
          <cell r="D2673" t="str">
            <v>SMB</v>
          </cell>
          <cell r="E2673" t="str">
            <v>Diğer</v>
          </cell>
        </row>
        <row r="2674">
          <cell r="C2674" t="str">
            <v>TL</v>
          </cell>
          <cell r="D2674" t="str">
            <v>SMB</v>
          </cell>
        </row>
        <row r="2675">
          <cell r="C2675" t="str">
            <v>USD</v>
          </cell>
          <cell r="D2675" t="str">
            <v>SMB</v>
          </cell>
        </row>
        <row r="2676">
          <cell r="C2676" t="str">
            <v>EUR</v>
          </cell>
          <cell r="D2676" t="str">
            <v>SMB</v>
          </cell>
        </row>
        <row r="2677">
          <cell r="C2677" t="str">
            <v>Kur Sabitleme</v>
          </cell>
          <cell r="D2677" t="str">
            <v>SMB</v>
          </cell>
        </row>
        <row r="2678">
          <cell r="C2678" t="str">
            <v>MATES DANIŞMANLIK</v>
          </cell>
          <cell r="D2678" t="str">
            <v>SMB</v>
          </cell>
          <cell r="E2678" t="str">
            <v>Genel</v>
          </cell>
        </row>
        <row r="2679">
          <cell r="C2679" t="str">
            <v>TL</v>
          </cell>
          <cell r="D2679" t="str">
            <v>SMB</v>
          </cell>
        </row>
        <row r="2680">
          <cell r="C2680" t="str">
            <v>USD</v>
          </cell>
          <cell r="D2680" t="str">
            <v>SMB</v>
          </cell>
        </row>
        <row r="2681">
          <cell r="C2681" t="str">
            <v>EUR</v>
          </cell>
          <cell r="D2681" t="str">
            <v>SMB</v>
          </cell>
        </row>
        <row r="2682">
          <cell r="C2682" t="str">
            <v>Kur Sabitleme</v>
          </cell>
          <cell r="D2682" t="str">
            <v>SMB</v>
          </cell>
        </row>
        <row r="2683">
          <cell r="C2683" t="str">
            <v>NOVA GÜÇ AKTARIM VE HAREKET SİS SAN TİC A.Ş</v>
          </cell>
          <cell r="D2683" t="str">
            <v>SMB</v>
          </cell>
          <cell r="E2683" t="str">
            <v>Diğer</v>
          </cell>
        </row>
        <row r="2684">
          <cell r="C2684" t="str">
            <v>TL</v>
          </cell>
          <cell r="D2684" t="str">
            <v>SMB</v>
          </cell>
        </row>
        <row r="2685">
          <cell r="C2685" t="str">
            <v>USD</v>
          </cell>
          <cell r="D2685" t="str">
            <v>SMB</v>
          </cell>
        </row>
        <row r="2686">
          <cell r="C2686" t="str">
            <v>EUR</v>
          </cell>
          <cell r="D2686" t="str">
            <v>SMB</v>
          </cell>
        </row>
        <row r="2687">
          <cell r="C2687" t="str">
            <v>Kur Sabitleme</v>
          </cell>
          <cell r="D2687" t="str">
            <v>SMB</v>
          </cell>
        </row>
        <row r="2688">
          <cell r="C2688" t="str">
            <v>REDINGTON</v>
          </cell>
          <cell r="D2688" t="str">
            <v>Enterprise</v>
          </cell>
          <cell r="E2688" t="str">
            <v>Teknoloji</v>
          </cell>
        </row>
        <row r="2689">
          <cell r="C2689" t="str">
            <v>TL</v>
          </cell>
          <cell r="D2689" t="str">
            <v>Enterprise</v>
          </cell>
        </row>
        <row r="2690">
          <cell r="C2690" t="str">
            <v>USD</v>
          </cell>
          <cell r="D2690" t="str">
            <v>Enterprise</v>
          </cell>
        </row>
        <row r="2691">
          <cell r="C2691" t="str">
            <v>EUR</v>
          </cell>
          <cell r="D2691" t="str">
            <v>Enterprise</v>
          </cell>
        </row>
        <row r="2692">
          <cell r="C2692" t="str">
            <v>Kur Sabitleme</v>
          </cell>
          <cell r="D2692" t="str">
            <v>Enterprise</v>
          </cell>
        </row>
        <row r="2693">
          <cell r="C2693" t="str">
            <v>TAZE DÜNYA GIDA SANAYİ VE TİCARET A.Ş.</v>
          </cell>
          <cell r="D2693" t="str">
            <v>SMB</v>
          </cell>
          <cell r="E2693" t="str">
            <v>Diğer</v>
          </cell>
        </row>
        <row r="2694">
          <cell r="C2694" t="str">
            <v>TL</v>
          </cell>
          <cell r="D2694" t="str">
            <v>SMB</v>
          </cell>
        </row>
        <row r="2695">
          <cell r="C2695" t="str">
            <v>USD</v>
          </cell>
          <cell r="D2695" t="str">
            <v>SMB</v>
          </cell>
        </row>
        <row r="2696">
          <cell r="C2696" t="str">
            <v>EUR</v>
          </cell>
          <cell r="D2696" t="str">
            <v>SMB</v>
          </cell>
        </row>
        <row r="2697">
          <cell r="C2697" t="str">
            <v>Kur Sabitleme</v>
          </cell>
          <cell r="D2697" t="str">
            <v>SMB</v>
          </cell>
        </row>
        <row r="2698">
          <cell r="C2698" t="str">
            <v>TOPCU DENTAL MEDİKAL SAN.TİC.LTD.ŞTİ</v>
          </cell>
          <cell r="D2698" t="str">
            <v>SMB</v>
          </cell>
          <cell r="E2698" t="str">
            <v>Diğer</v>
          </cell>
        </row>
        <row r="2699">
          <cell r="C2699" t="str">
            <v>TL</v>
          </cell>
          <cell r="D2699" t="str">
            <v>SMB</v>
          </cell>
        </row>
        <row r="2700">
          <cell r="C2700" t="str">
            <v>USD</v>
          </cell>
          <cell r="D2700" t="str">
            <v>SMB</v>
          </cell>
        </row>
        <row r="2701">
          <cell r="C2701" t="str">
            <v>USD</v>
          </cell>
          <cell r="D2701" t="str">
            <v>SMB</v>
          </cell>
        </row>
        <row r="2702">
          <cell r="C2702" t="str">
            <v>EUR</v>
          </cell>
          <cell r="D2702" t="str">
            <v>SMB</v>
          </cell>
        </row>
        <row r="2703">
          <cell r="C2703" t="str">
            <v>Kur Sabitleme</v>
          </cell>
          <cell r="D2703" t="str">
            <v>SMB</v>
          </cell>
        </row>
        <row r="2704">
          <cell r="C2704" t="str">
            <v>UTKU ORMAN ÜRÜNLERİ</v>
          </cell>
          <cell r="D2704" t="str">
            <v>SMB</v>
          </cell>
          <cell r="E2704" t="str">
            <v>Üretim</v>
          </cell>
        </row>
        <row r="2705">
          <cell r="C2705" t="str">
            <v>TL</v>
          </cell>
          <cell r="D2705" t="str">
            <v>SMB</v>
          </cell>
        </row>
        <row r="2706">
          <cell r="C2706" t="str">
            <v>USD</v>
          </cell>
          <cell r="D2706" t="str">
            <v>SMB</v>
          </cell>
        </row>
        <row r="2707">
          <cell r="C2707" t="str">
            <v>EUR</v>
          </cell>
          <cell r="D2707" t="str">
            <v>SMB</v>
          </cell>
        </row>
        <row r="2708">
          <cell r="C2708" t="str">
            <v>Kur Sabitleme</v>
          </cell>
          <cell r="D2708" t="str">
            <v>SMB</v>
          </cell>
        </row>
        <row r="2709">
          <cell r="C2709" t="str">
            <v>SİMURG İLAÇ KİMYA SAN. TİC. LTD. ŞTİ.</v>
          </cell>
          <cell r="D2709" t="str">
            <v>SMB</v>
          </cell>
          <cell r="E2709" t="e">
            <v>#N/A</v>
          </cell>
        </row>
        <row r="2710">
          <cell r="C2710" t="str">
            <v>TL</v>
          </cell>
          <cell r="D2710" t="str">
            <v>SMB</v>
          </cell>
        </row>
        <row r="2711">
          <cell r="C2711" t="str">
            <v>USD</v>
          </cell>
          <cell r="D2711" t="str">
            <v>SMB</v>
          </cell>
        </row>
        <row r="2712">
          <cell r="C2712" t="str">
            <v>EUR</v>
          </cell>
          <cell r="D2712" t="str">
            <v>SMB</v>
          </cell>
        </row>
        <row r="2713">
          <cell r="C2713" t="str">
            <v>Kur Sabitleme</v>
          </cell>
          <cell r="D2713" t="str">
            <v>SMB</v>
          </cell>
        </row>
        <row r="2714">
          <cell r="C2714" t="str">
            <v>ÇELİK KULE METALÜRJİ SAN.VE TİC.LTD.ŞTİ</v>
          </cell>
          <cell r="D2714" t="str">
            <v>SMB</v>
          </cell>
          <cell r="E2714" t="str">
            <v>Diğer</v>
          </cell>
        </row>
        <row r="2715">
          <cell r="C2715" t="str">
            <v>TL</v>
          </cell>
          <cell r="D2715" t="str">
            <v>SMB</v>
          </cell>
        </row>
        <row r="2716">
          <cell r="C2716" t="str">
            <v>USD</v>
          </cell>
          <cell r="D2716" t="str">
            <v>SMB</v>
          </cell>
        </row>
        <row r="2717">
          <cell r="C2717" t="str">
            <v>EUR</v>
          </cell>
          <cell r="D2717" t="str">
            <v>SMB</v>
          </cell>
        </row>
        <row r="2718">
          <cell r="C2718" t="str">
            <v>Kur Sabitleme</v>
          </cell>
          <cell r="D2718" t="str">
            <v>SMB</v>
          </cell>
        </row>
        <row r="2719">
          <cell r="C2719" t="str">
            <v>İZMİR EKRAN (MUD BİLİŞİM)</v>
          </cell>
          <cell r="D2719" t="str">
            <v>SMB</v>
          </cell>
          <cell r="E2719" t="str">
            <v>Bayi</v>
          </cell>
        </row>
        <row r="2720">
          <cell r="C2720" t="str">
            <v>TL</v>
          </cell>
          <cell r="D2720" t="str">
            <v>SMB</v>
          </cell>
        </row>
        <row r="2721">
          <cell r="C2721" t="str">
            <v>USD</v>
          </cell>
          <cell r="D2721" t="str">
            <v>SMB</v>
          </cell>
        </row>
        <row r="2722">
          <cell r="C2722" t="str">
            <v>USD</v>
          </cell>
          <cell r="D2722" t="str">
            <v>SMB</v>
          </cell>
        </row>
        <row r="2723">
          <cell r="C2723" t="str">
            <v>EUR</v>
          </cell>
          <cell r="D2723" t="str">
            <v>SMB</v>
          </cell>
        </row>
        <row r="2724">
          <cell r="C2724" t="str">
            <v>Kur Sabitleme</v>
          </cell>
          <cell r="D2724" t="str">
            <v>SMB</v>
          </cell>
        </row>
        <row r="2725">
          <cell r="C2725" t="str">
            <v>AKSİN TEKNİK HIRDAVAT VE YAPI MALZEMELERİ SAN.TİC.</v>
          </cell>
          <cell r="D2725" t="str">
            <v>SMB</v>
          </cell>
          <cell r="E2725" t="str">
            <v>Diğer</v>
          </cell>
        </row>
        <row r="2726">
          <cell r="C2726" t="str">
            <v>TL</v>
          </cell>
          <cell r="D2726" t="str">
            <v>SMB</v>
          </cell>
        </row>
        <row r="2727">
          <cell r="C2727" t="str">
            <v>USD</v>
          </cell>
          <cell r="D2727" t="str">
            <v>SMB</v>
          </cell>
        </row>
        <row r="2728">
          <cell r="C2728" t="str">
            <v>USD</v>
          </cell>
          <cell r="D2728" t="str">
            <v>SMB</v>
          </cell>
        </row>
        <row r="2729">
          <cell r="C2729" t="str">
            <v>EUR</v>
          </cell>
          <cell r="D2729" t="str">
            <v>SMB</v>
          </cell>
        </row>
        <row r="2730">
          <cell r="C2730" t="str">
            <v>Kur Sabitleme</v>
          </cell>
          <cell r="D2730" t="str">
            <v>SMB</v>
          </cell>
        </row>
        <row r="2731">
          <cell r="C2731" t="str">
            <v>TÜRKİYE ŞİŞE VE CAM FABRİKALARI A.Ş.</v>
          </cell>
          <cell r="D2731" t="str">
            <v>Enterprise</v>
          </cell>
          <cell r="E2731" t="str">
            <v>Üretim</v>
          </cell>
        </row>
        <row r="2732">
          <cell r="C2732" t="str">
            <v>TL</v>
          </cell>
          <cell r="D2732" t="str">
            <v>Enterprise</v>
          </cell>
        </row>
        <row r="2733">
          <cell r="C2733" t="str">
            <v>USD</v>
          </cell>
          <cell r="D2733" t="str">
            <v>Enterprise</v>
          </cell>
        </row>
        <row r="2734">
          <cell r="C2734" t="str">
            <v>EUR</v>
          </cell>
          <cell r="D2734" t="str">
            <v>Enterprise</v>
          </cell>
        </row>
        <row r="2735">
          <cell r="C2735" t="str">
            <v>Kur Sabitleme</v>
          </cell>
          <cell r="D2735" t="str">
            <v>Enterprise</v>
          </cell>
        </row>
        <row r="2736">
          <cell r="C2736" t="str">
            <v>ADA GROUP MEKANİK VE MÜHENDİSLİK İNŞAAT SAN.LTD.ŞT</v>
          </cell>
          <cell r="D2736" t="str">
            <v>SMB</v>
          </cell>
          <cell r="E2736" t="str">
            <v>Diğer</v>
          </cell>
        </row>
        <row r="2737">
          <cell r="C2737" t="str">
            <v>TL</v>
          </cell>
          <cell r="D2737" t="str">
            <v>SMB</v>
          </cell>
        </row>
        <row r="2738">
          <cell r="C2738" t="str">
            <v>USD</v>
          </cell>
          <cell r="D2738" t="str">
            <v>SMB</v>
          </cell>
        </row>
        <row r="2739">
          <cell r="C2739" t="str">
            <v>EUR</v>
          </cell>
          <cell r="D2739" t="str">
            <v>SMB</v>
          </cell>
        </row>
        <row r="2740">
          <cell r="C2740" t="str">
            <v>Kur Sabitleme</v>
          </cell>
          <cell r="D2740" t="str">
            <v>SMB</v>
          </cell>
        </row>
        <row r="2741">
          <cell r="C2741" t="str">
            <v>AKSAL TEKSTIL VE ELYAF SANAYI TICARET ANONIM</v>
          </cell>
          <cell r="D2741" t="str">
            <v>SMB</v>
          </cell>
          <cell r="E2741" t="str">
            <v>Üretim</v>
          </cell>
        </row>
        <row r="2742">
          <cell r="C2742" t="str">
            <v>TL</v>
          </cell>
          <cell r="D2742" t="str">
            <v>SMB</v>
          </cell>
        </row>
        <row r="2743">
          <cell r="C2743" t="str">
            <v>USD</v>
          </cell>
          <cell r="D2743" t="str">
            <v>SMB</v>
          </cell>
        </row>
        <row r="2744">
          <cell r="C2744" t="str">
            <v>EUR</v>
          </cell>
          <cell r="D2744" t="str">
            <v>SMB</v>
          </cell>
        </row>
        <row r="2745">
          <cell r="C2745" t="str">
            <v>Kur Sabitleme</v>
          </cell>
          <cell r="D2745" t="str">
            <v>SMB</v>
          </cell>
        </row>
        <row r="2746">
          <cell r="C2746" t="str">
            <v>ARTROTEK TIBBİ MALZEME SANAYİ VE TİC.LTD.ŞTİ</v>
          </cell>
          <cell r="D2746" t="str">
            <v>SMB</v>
          </cell>
          <cell r="E2746" t="str">
            <v>Diğer</v>
          </cell>
        </row>
        <row r="2747">
          <cell r="C2747" t="str">
            <v>TL</v>
          </cell>
          <cell r="D2747" t="str">
            <v>SMB</v>
          </cell>
        </row>
        <row r="2748">
          <cell r="C2748" t="str">
            <v>USD</v>
          </cell>
          <cell r="D2748" t="str">
            <v>SMB</v>
          </cell>
        </row>
        <row r="2749">
          <cell r="C2749" t="str">
            <v>USD</v>
          </cell>
          <cell r="D2749" t="str">
            <v>SMB</v>
          </cell>
        </row>
        <row r="2750">
          <cell r="C2750" t="str">
            <v>USD</v>
          </cell>
          <cell r="D2750" t="str">
            <v>SMB</v>
          </cell>
        </row>
        <row r="2751">
          <cell r="C2751" t="str">
            <v>EUR</v>
          </cell>
          <cell r="D2751" t="str">
            <v>SMB</v>
          </cell>
        </row>
        <row r="2752">
          <cell r="C2752" t="str">
            <v>Kur Sabitleme</v>
          </cell>
          <cell r="D2752" t="str">
            <v>SMB</v>
          </cell>
        </row>
        <row r="2753">
          <cell r="C2753" t="str">
            <v>DOGAN METE MİMARLIK INSAAT</v>
          </cell>
          <cell r="D2753" t="str">
            <v>SMB</v>
          </cell>
          <cell r="E2753" t="str">
            <v>Diğer</v>
          </cell>
        </row>
        <row r="2754">
          <cell r="C2754" t="str">
            <v>TL</v>
          </cell>
          <cell r="D2754" t="str">
            <v>SMB</v>
          </cell>
        </row>
        <row r="2755">
          <cell r="C2755" t="str">
            <v>USD</v>
          </cell>
          <cell r="D2755" t="str">
            <v>SMB</v>
          </cell>
        </row>
        <row r="2756">
          <cell r="C2756" t="str">
            <v>EUR</v>
          </cell>
          <cell r="D2756" t="str">
            <v>SMB</v>
          </cell>
        </row>
        <row r="2757">
          <cell r="C2757" t="str">
            <v>Kur Sabitleme</v>
          </cell>
          <cell r="D2757" t="str">
            <v>SMB</v>
          </cell>
        </row>
        <row r="2758">
          <cell r="C2758" t="str">
            <v>ERDOĞANLAR OTOMOTİV MAK SAN. TİC. LTD. ŞTİ.</v>
          </cell>
          <cell r="D2758" t="str">
            <v>SMB</v>
          </cell>
          <cell r="E2758" t="str">
            <v>Diğer</v>
          </cell>
        </row>
        <row r="2759">
          <cell r="C2759" t="str">
            <v>TL</v>
          </cell>
          <cell r="D2759" t="str">
            <v>SMB</v>
          </cell>
        </row>
        <row r="2760">
          <cell r="C2760" t="str">
            <v>USD</v>
          </cell>
          <cell r="D2760" t="str">
            <v>SMB</v>
          </cell>
        </row>
        <row r="2761">
          <cell r="C2761" t="str">
            <v>EUR</v>
          </cell>
          <cell r="D2761" t="str">
            <v>SMB</v>
          </cell>
        </row>
        <row r="2762">
          <cell r="C2762" t="str">
            <v>Kur Sabitleme</v>
          </cell>
          <cell r="D2762" t="str">
            <v>SMB</v>
          </cell>
        </row>
        <row r="2763">
          <cell r="C2763" t="str">
            <v>HELS ENDÜSTRİYEL MAMÜLLER SANAYİ TİC. LTD. ŞTİ.</v>
          </cell>
          <cell r="D2763" t="str">
            <v>SMB</v>
          </cell>
          <cell r="E2763" t="str">
            <v>Üretim</v>
          </cell>
        </row>
        <row r="2764">
          <cell r="C2764" t="str">
            <v>TL</v>
          </cell>
          <cell r="D2764" t="str">
            <v>SMB</v>
          </cell>
        </row>
        <row r="2765">
          <cell r="C2765" t="str">
            <v>USD</v>
          </cell>
          <cell r="D2765" t="str">
            <v>SMB</v>
          </cell>
        </row>
        <row r="2766">
          <cell r="C2766" t="str">
            <v>EUR</v>
          </cell>
          <cell r="D2766" t="str">
            <v>SMB</v>
          </cell>
        </row>
        <row r="2767">
          <cell r="C2767" t="str">
            <v>Kur Sabitleme</v>
          </cell>
          <cell r="D2767" t="str">
            <v>SMB</v>
          </cell>
        </row>
        <row r="2768">
          <cell r="C2768" t="str">
            <v>MODA ENERJİ</v>
          </cell>
          <cell r="D2768" t="str">
            <v>SMB</v>
          </cell>
          <cell r="E2768" t="str">
            <v>Enerji</v>
          </cell>
        </row>
        <row r="2769">
          <cell r="C2769" t="str">
            <v>TL</v>
          </cell>
          <cell r="D2769" t="str">
            <v>SMB</v>
          </cell>
        </row>
        <row r="2770">
          <cell r="C2770" t="str">
            <v>USD</v>
          </cell>
          <cell r="D2770" t="str">
            <v>SMB</v>
          </cell>
        </row>
        <row r="2771">
          <cell r="C2771" t="str">
            <v>EUR</v>
          </cell>
          <cell r="D2771" t="str">
            <v>SMB</v>
          </cell>
        </row>
        <row r="2772">
          <cell r="C2772" t="str">
            <v>Kur Sabitleme</v>
          </cell>
          <cell r="D2772" t="str">
            <v>SMB</v>
          </cell>
        </row>
        <row r="2773">
          <cell r="C2773" t="str">
            <v>Ömür Akkor Anadolu  Gastronomi Vakfı</v>
          </cell>
          <cell r="D2773" t="str">
            <v>SMB</v>
          </cell>
          <cell r="E2773" t="str">
            <v>Diğer</v>
          </cell>
        </row>
        <row r="2774">
          <cell r="C2774" t="str">
            <v>TL</v>
          </cell>
          <cell r="D2774" t="str">
            <v>SMB</v>
          </cell>
        </row>
        <row r="2775">
          <cell r="C2775" t="str">
            <v>USD</v>
          </cell>
          <cell r="D2775" t="str">
            <v>SMB</v>
          </cell>
        </row>
        <row r="2776">
          <cell r="C2776" t="str">
            <v>EUR</v>
          </cell>
          <cell r="D2776" t="str">
            <v>SMB</v>
          </cell>
        </row>
        <row r="2777">
          <cell r="C2777" t="str">
            <v>Kur Sabitleme</v>
          </cell>
          <cell r="D2777" t="str">
            <v>SMB</v>
          </cell>
        </row>
        <row r="2778">
          <cell r="C2778" t="str">
            <v>ORONTES GIDA SANAYİ VE TİCARET A.Ş</v>
          </cell>
          <cell r="D2778" t="str">
            <v>SMB</v>
          </cell>
          <cell r="E2778" t="str">
            <v>Diğer</v>
          </cell>
        </row>
        <row r="2779">
          <cell r="C2779" t="str">
            <v>TL</v>
          </cell>
          <cell r="D2779" t="str">
            <v>SMB</v>
          </cell>
        </row>
        <row r="2780">
          <cell r="C2780" t="str">
            <v>USD</v>
          </cell>
          <cell r="D2780" t="str">
            <v>SMB</v>
          </cell>
        </row>
        <row r="2781">
          <cell r="C2781" t="str">
            <v>EUR</v>
          </cell>
          <cell r="D2781" t="str">
            <v>SMB</v>
          </cell>
        </row>
        <row r="2782">
          <cell r="C2782" t="str">
            <v>Kur Sabitleme</v>
          </cell>
          <cell r="D2782" t="str">
            <v>SMB</v>
          </cell>
        </row>
        <row r="2783">
          <cell r="C2783" t="str">
            <v>PRODIGITAL - P REKLAM ÜRÜNLERİ SATIŞ VE UYGULAMA L</v>
          </cell>
          <cell r="D2783" t="str">
            <v>SMB</v>
          </cell>
          <cell r="E2783" t="str">
            <v>Diğer</v>
          </cell>
        </row>
        <row r="2784">
          <cell r="C2784" t="str">
            <v>TL</v>
          </cell>
          <cell r="D2784" t="str">
            <v>SMB</v>
          </cell>
        </row>
        <row r="2785">
          <cell r="C2785" t="str">
            <v>USD</v>
          </cell>
          <cell r="D2785" t="str">
            <v>SMB</v>
          </cell>
        </row>
        <row r="2786">
          <cell r="C2786" t="str">
            <v>EUR</v>
          </cell>
          <cell r="D2786" t="str">
            <v>SMB</v>
          </cell>
        </row>
        <row r="2787">
          <cell r="C2787" t="str">
            <v>Kur Sabitleme</v>
          </cell>
          <cell r="D2787" t="str">
            <v>SMB</v>
          </cell>
        </row>
        <row r="2788">
          <cell r="C2788" t="str">
            <v>SERET ET VE GIDA SAN. TİC. LTD. ŞTİ.</v>
          </cell>
          <cell r="D2788" t="str">
            <v>SMB</v>
          </cell>
          <cell r="E2788" t="str">
            <v>Diğer</v>
          </cell>
        </row>
        <row r="2789">
          <cell r="C2789" t="str">
            <v>TL</v>
          </cell>
          <cell r="D2789" t="str">
            <v>SMB</v>
          </cell>
        </row>
        <row r="2790">
          <cell r="C2790" t="str">
            <v>USD</v>
          </cell>
          <cell r="D2790" t="str">
            <v>SMB</v>
          </cell>
        </row>
        <row r="2791">
          <cell r="C2791" t="str">
            <v>USD</v>
          </cell>
          <cell r="D2791" t="str">
            <v>SMB</v>
          </cell>
        </row>
        <row r="2792">
          <cell r="C2792" t="str">
            <v>EUR</v>
          </cell>
          <cell r="D2792" t="str">
            <v>SMB</v>
          </cell>
        </row>
        <row r="2793">
          <cell r="C2793" t="str">
            <v>Kur Sabitleme</v>
          </cell>
          <cell r="D2793" t="str">
            <v>SMB</v>
          </cell>
        </row>
        <row r="2794">
          <cell r="C2794" t="str">
            <v>ARVATO LOJİSTİK DIŞ TİC.VE E TİC.HİZMETLERİ A.Ş.</v>
          </cell>
          <cell r="D2794" t="str">
            <v>Enterprise</v>
          </cell>
          <cell r="E2794" t="str">
            <v>Lojistik</v>
          </cell>
        </row>
        <row r="2795">
          <cell r="C2795" t="str">
            <v>TL</v>
          </cell>
          <cell r="D2795" t="str">
            <v>Enterprise</v>
          </cell>
        </row>
        <row r="2796">
          <cell r="C2796" t="str">
            <v>USD</v>
          </cell>
          <cell r="D2796" t="str">
            <v>Enterprise</v>
          </cell>
        </row>
        <row r="2797">
          <cell r="C2797" t="str">
            <v>EUR</v>
          </cell>
          <cell r="D2797" t="str">
            <v>Enterprise</v>
          </cell>
        </row>
        <row r="2798">
          <cell r="C2798" t="str">
            <v>Kur Sabitleme</v>
          </cell>
          <cell r="D2798" t="str">
            <v>Enterprise</v>
          </cell>
        </row>
        <row r="2799">
          <cell r="C2799" t="str">
            <v>LİLA KAĞIT SANAYİ VE TİCARET A.Ş.</v>
          </cell>
          <cell r="D2799" t="str">
            <v>Enterprise</v>
          </cell>
          <cell r="E2799" t="str">
            <v>Üretim</v>
          </cell>
        </row>
        <row r="2800">
          <cell r="C2800" t="str">
            <v>TL</v>
          </cell>
          <cell r="D2800" t="str">
            <v>Enterprise</v>
          </cell>
        </row>
        <row r="2801">
          <cell r="C2801" t="str">
            <v>USD</v>
          </cell>
          <cell r="D2801" t="str">
            <v>Enterprise</v>
          </cell>
        </row>
        <row r="2802">
          <cell r="C2802" t="str">
            <v>EUR</v>
          </cell>
          <cell r="D2802" t="str">
            <v>Enterprise</v>
          </cell>
        </row>
        <row r="2803">
          <cell r="C2803" t="str">
            <v>Kur Sabitleme</v>
          </cell>
          <cell r="D2803" t="str">
            <v>Enterprise</v>
          </cell>
        </row>
        <row r="2804">
          <cell r="C2804" t="str">
            <v>ARON MIMARLIK</v>
          </cell>
          <cell r="D2804" t="str">
            <v>SMB</v>
          </cell>
          <cell r="E2804" t="str">
            <v>Diğer</v>
          </cell>
        </row>
        <row r="2805">
          <cell r="C2805" t="str">
            <v>TL</v>
          </cell>
          <cell r="D2805" t="str">
            <v>SMB</v>
          </cell>
        </row>
        <row r="2806">
          <cell r="C2806" t="str">
            <v>USD</v>
          </cell>
          <cell r="D2806" t="str">
            <v>SMB</v>
          </cell>
        </row>
        <row r="2807">
          <cell r="C2807" t="str">
            <v>EUR</v>
          </cell>
          <cell r="D2807" t="str">
            <v>SMB</v>
          </cell>
        </row>
        <row r="2808">
          <cell r="C2808" t="str">
            <v>Kur Sabitleme</v>
          </cell>
          <cell r="D2808" t="str">
            <v>SMB</v>
          </cell>
        </row>
        <row r="2809">
          <cell r="C2809" t="str">
            <v>DİNAMİK BARKOD OTOMASYON YAZILIM MÜHENDİSLİK BİLİŞ</v>
          </cell>
          <cell r="D2809" t="str">
            <v>SMB</v>
          </cell>
          <cell r="E2809" t="str">
            <v>Bayi</v>
          </cell>
        </row>
        <row r="2810">
          <cell r="C2810" t="str">
            <v>TL</v>
          </cell>
          <cell r="D2810" t="str">
            <v>SMB</v>
          </cell>
        </row>
        <row r="2811">
          <cell r="C2811" t="str">
            <v>USD</v>
          </cell>
          <cell r="D2811" t="str">
            <v>SMB</v>
          </cell>
        </row>
        <row r="2812">
          <cell r="C2812" t="str">
            <v>EUR</v>
          </cell>
          <cell r="D2812" t="str">
            <v>SMB</v>
          </cell>
        </row>
        <row r="2813">
          <cell r="C2813" t="str">
            <v>Kur Sabitleme</v>
          </cell>
          <cell r="D2813" t="str">
            <v>SMB</v>
          </cell>
        </row>
        <row r="2814">
          <cell r="C2814" t="str">
            <v>EMEÇ GIDA PAZARLAMA NAKLİYAT SAN. VE TİC.LTD.ŞTİ.</v>
          </cell>
          <cell r="D2814" t="str">
            <v>SMB</v>
          </cell>
          <cell r="E2814" t="e">
            <v>#N/A</v>
          </cell>
        </row>
        <row r="2815">
          <cell r="C2815" t="str">
            <v>TL</v>
          </cell>
          <cell r="D2815" t="str">
            <v>SMB</v>
          </cell>
        </row>
        <row r="2816">
          <cell r="C2816" t="str">
            <v>USD</v>
          </cell>
          <cell r="D2816" t="str">
            <v>SMB</v>
          </cell>
        </row>
        <row r="2817">
          <cell r="C2817" t="str">
            <v>EUR</v>
          </cell>
          <cell r="D2817" t="str">
            <v>SMB</v>
          </cell>
        </row>
        <row r="2818">
          <cell r="C2818" t="str">
            <v>Kur Sabitleme</v>
          </cell>
          <cell r="D2818" t="str">
            <v>SMB</v>
          </cell>
        </row>
        <row r="2819">
          <cell r="C2819" t="str">
            <v>GÜLER MOBİLYA VE BEYAZ EŞYA - HASAN GÜLER</v>
          </cell>
          <cell r="D2819" t="str">
            <v>SMB</v>
          </cell>
          <cell r="E2819" t="str">
            <v>Diğer</v>
          </cell>
        </row>
        <row r="2820">
          <cell r="C2820" t="str">
            <v>TL</v>
          </cell>
          <cell r="D2820" t="str">
            <v>SMB</v>
          </cell>
        </row>
        <row r="2821">
          <cell r="C2821" t="str">
            <v>USD</v>
          </cell>
          <cell r="D2821" t="str">
            <v>SMB</v>
          </cell>
        </row>
        <row r="2822">
          <cell r="C2822" t="str">
            <v>EUR</v>
          </cell>
          <cell r="D2822" t="str">
            <v>SMB</v>
          </cell>
        </row>
        <row r="2823">
          <cell r="C2823" t="str">
            <v>Kur Sabitleme</v>
          </cell>
          <cell r="D2823" t="str">
            <v>SMB</v>
          </cell>
        </row>
        <row r="2824">
          <cell r="C2824" t="str">
            <v>KAYRA İPLİK A.Ş.</v>
          </cell>
          <cell r="D2824" t="str">
            <v>SMB</v>
          </cell>
          <cell r="E2824" t="str">
            <v>Diğer</v>
          </cell>
        </row>
        <row r="2825">
          <cell r="C2825" t="str">
            <v>TL</v>
          </cell>
          <cell r="D2825" t="str">
            <v>SMB</v>
          </cell>
        </row>
        <row r="2826">
          <cell r="C2826" t="str">
            <v>USD</v>
          </cell>
          <cell r="D2826" t="str">
            <v>SMB</v>
          </cell>
        </row>
        <row r="2827">
          <cell r="C2827" t="str">
            <v>EUR</v>
          </cell>
          <cell r="D2827" t="str">
            <v>SMB</v>
          </cell>
        </row>
        <row r="2828">
          <cell r="C2828" t="str">
            <v>Kur Sabitleme</v>
          </cell>
          <cell r="D2828" t="str">
            <v>SMB</v>
          </cell>
        </row>
        <row r="2829">
          <cell r="C2829" t="str">
            <v>KOREL ELEKTRİK VE GEMİ MALZEMELERİ SAN.TİC.LTD.ŞTİ</v>
          </cell>
          <cell r="D2829" t="str">
            <v>SMB</v>
          </cell>
          <cell r="E2829" t="e">
            <v>#N/A</v>
          </cell>
        </row>
        <row r="2830">
          <cell r="C2830" t="str">
            <v>TL</v>
          </cell>
          <cell r="D2830" t="str">
            <v>SMB</v>
          </cell>
        </row>
        <row r="2831">
          <cell r="C2831" t="str">
            <v>USD</v>
          </cell>
          <cell r="D2831" t="str">
            <v>SMB</v>
          </cell>
        </row>
        <row r="2832">
          <cell r="C2832" t="str">
            <v>EUR</v>
          </cell>
          <cell r="D2832" t="str">
            <v>SMB</v>
          </cell>
        </row>
        <row r="2833">
          <cell r="C2833" t="str">
            <v>Kur Sabitleme</v>
          </cell>
          <cell r="D2833" t="str">
            <v>SMB</v>
          </cell>
        </row>
        <row r="2834">
          <cell r="C2834" t="str">
            <v>CHİP COMPUTER BİLGİ İŞLEM VE DAN.HİZ.LTD.ŞTİ.</v>
          </cell>
          <cell r="D2834" t="str">
            <v>SMB</v>
          </cell>
          <cell r="E2834" t="str">
            <v>Bayi</v>
          </cell>
        </row>
        <row r="2835">
          <cell r="C2835" t="str">
            <v>TL</v>
          </cell>
          <cell r="D2835" t="str">
            <v>SMB</v>
          </cell>
        </row>
        <row r="2836">
          <cell r="C2836" t="str">
            <v>USD</v>
          </cell>
          <cell r="D2836" t="str">
            <v>SMB</v>
          </cell>
        </row>
        <row r="2837">
          <cell r="C2837" t="str">
            <v>EUR</v>
          </cell>
          <cell r="D2837" t="str">
            <v>SMB</v>
          </cell>
        </row>
        <row r="2838">
          <cell r="C2838" t="str">
            <v>Kur Sabitleme</v>
          </cell>
          <cell r="D2838" t="str">
            <v>SMB</v>
          </cell>
        </row>
        <row r="2839">
          <cell r="C2839" t="str">
            <v>DT MÜHENDİSLİK VE TAAHHÜT ANONİM SİRKETİ</v>
          </cell>
          <cell r="D2839" t="str">
            <v>SMB</v>
          </cell>
          <cell r="E2839" t="str">
            <v>Genel</v>
          </cell>
        </row>
        <row r="2840">
          <cell r="C2840" t="str">
            <v>TL</v>
          </cell>
          <cell r="D2840" t="str">
            <v>SMB</v>
          </cell>
        </row>
        <row r="2841">
          <cell r="C2841" t="str">
            <v>USD</v>
          </cell>
          <cell r="D2841" t="str">
            <v>SMB</v>
          </cell>
        </row>
        <row r="2842">
          <cell r="C2842" t="str">
            <v>EUR</v>
          </cell>
          <cell r="D2842" t="str">
            <v>SMB</v>
          </cell>
        </row>
        <row r="2843">
          <cell r="C2843" t="str">
            <v>Kur Sabitleme</v>
          </cell>
          <cell r="D2843" t="str">
            <v>SMB</v>
          </cell>
        </row>
        <row r="2844">
          <cell r="C2844" t="str">
            <v>EGGO GROUP (URFASAN)</v>
          </cell>
          <cell r="D2844" t="str">
            <v>SMB</v>
          </cell>
          <cell r="E2844" t="e">
            <v>#N/A</v>
          </cell>
        </row>
        <row r="2845">
          <cell r="C2845" t="str">
            <v>TL</v>
          </cell>
          <cell r="D2845" t="str">
            <v>SMB</v>
          </cell>
        </row>
        <row r="2846">
          <cell r="C2846" t="str">
            <v>USD</v>
          </cell>
          <cell r="D2846" t="str">
            <v>SMB</v>
          </cell>
        </row>
        <row r="2847">
          <cell r="C2847" t="str">
            <v>EUR</v>
          </cell>
          <cell r="D2847" t="str">
            <v>SMB</v>
          </cell>
        </row>
        <row r="2848">
          <cell r="C2848" t="str">
            <v>Kur Sabitleme</v>
          </cell>
          <cell r="D2848" t="str">
            <v>SMB</v>
          </cell>
        </row>
        <row r="2849">
          <cell r="C2849" t="str">
            <v>IMPERIUM CIKOLATA GIDA VE PAZARLAMA DIS TİCARET LS</v>
          </cell>
          <cell r="D2849" t="str">
            <v>SMB</v>
          </cell>
          <cell r="E2849" t="str">
            <v>Üretim</v>
          </cell>
        </row>
        <row r="2850">
          <cell r="C2850" t="str">
            <v>TL</v>
          </cell>
          <cell r="D2850" t="str">
            <v>SMB</v>
          </cell>
        </row>
        <row r="2851">
          <cell r="C2851" t="str">
            <v>USD</v>
          </cell>
          <cell r="D2851" t="str">
            <v>SMB</v>
          </cell>
        </row>
        <row r="2852">
          <cell r="C2852" t="str">
            <v>EUR</v>
          </cell>
          <cell r="D2852" t="str">
            <v>SMB</v>
          </cell>
        </row>
        <row r="2853">
          <cell r="C2853" t="str">
            <v>Kur Sabitleme</v>
          </cell>
          <cell r="D2853" t="str">
            <v>SMB</v>
          </cell>
        </row>
        <row r="2854">
          <cell r="C2854" t="str">
            <v>KARAVAN TURİZM SEYAHAT VE NAKLIYAT AS</v>
          </cell>
          <cell r="D2854" t="str">
            <v>SMB</v>
          </cell>
          <cell r="E2854" t="str">
            <v>Genel</v>
          </cell>
        </row>
        <row r="2855">
          <cell r="C2855" t="str">
            <v>TL</v>
          </cell>
          <cell r="D2855" t="str">
            <v>SMB</v>
          </cell>
        </row>
        <row r="2856">
          <cell r="C2856" t="str">
            <v>USD</v>
          </cell>
          <cell r="D2856" t="str">
            <v>SMB</v>
          </cell>
        </row>
        <row r="2857">
          <cell r="C2857" t="str">
            <v>EUR</v>
          </cell>
          <cell r="D2857" t="str">
            <v>SMB</v>
          </cell>
        </row>
        <row r="2858">
          <cell r="C2858" t="str">
            <v>Kur Sabitleme</v>
          </cell>
          <cell r="D2858" t="str">
            <v>SMB</v>
          </cell>
        </row>
        <row r="2859">
          <cell r="C2859" t="str">
            <v>KARTAL RULMANS</v>
          </cell>
          <cell r="D2859" t="str">
            <v>SMB</v>
          </cell>
          <cell r="E2859" t="str">
            <v>Diğer</v>
          </cell>
        </row>
        <row r="2860">
          <cell r="C2860" t="str">
            <v>TL</v>
          </cell>
          <cell r="D2860" t="str">
            <v>SMB</v>
          </cell>
        </row>
        <row r="2861">
          <cell r="C2861" t="str">
            <v>USD</v>
          </cell>
          <cell r="D2861" t="str">
            <v>SMB</v>
          </cell>
        </row>
        <row r="2862">
          <cell r="C2862" t="str">
            <v>EUR</v>
          </cell>
          <cell r="D2862" t="str">
            <v>SMB</v>
          </cell>
        </row>
        <row r="2863">
          <cell r="C2863" t="str">
            <v>Kur Sabitleme</v>
          </cell>
          <cell r="D2863" t="str">
            <v>SMB</v>
          </cell>
        </row>
        <row r="2864">
          <cell r="C2864" t="str">
            <v>LİSA YAZILIM</v>
          </cell>
          <cell r="D2864" t="str">
            <v>SMB</v>
          </cell>
          <cell r="E2864" t="str">
            <v>Teknoloji</v>
          </cell>
        </row>
        <row r="2865">
          <cell r="C2865" t="str">
            <v>TL</v>
          </cell>
          <cell r="D2865" t="str">
            <v>SMB</v>
          </cell>
        </row>
        <row r="2866">
          <cell r="C2866" t="str">
            <v>USD</v>
          </cell>
          <cell r="D2866" t="str">
            <v>SMB</v>
          </cell>
        </row>
        <row r="2867">
          <cell r="C2867" t="str">
            <v>USD</v>
          </cell>
          <cell r="D2867" t="str">
            <v>SMB</v>
          </cell>
        </row>
        <row r="2868">
          <cell r="C2868" t="str">
            <v>EUR</v>
          </cell>
          <cell r="D2868" t="str">
            <v>SMB</v>
          </cell>
        </row>
        <row r="2869">
          <cell r="C2869" t="str">
            <v>Kur Sabitleme</v>
          </cell>
          <cell r="D2869" t="str">
            <v>SMB</v>
          </cell>
        </row>
        <row r="2870">
          <cell r="C2870" t="str">
            <v>SARAY DÖKÜM</v>
          </cell>
          <cell r="D2870" t="str">
            <v>SMB</v>
          </cell>
          <cell r="E2870" t="str">
            <v>Üretim</v>
          </cell>
        </row>
        <row r="2871">
          <cell r="C2871" t="str">
            <v>TL</v>
          </cell>
          <cell r="D2871" t="str">
            <v>SMB</v>
          </cell>
        </row>
        <row r="2872">
          <cell r="C2872" t="str">
            <v>USD</v>
          </cell>
          <cell r="D2872" t="str">
            <v>SMB</v>
          </cell>
        </row>
        <row r="2873">
          <cell r="C2873" t="str">
            <v>EUR</v>
          </cell>
          <cell r="D2873" t="str">
            <v>SMB</v>
          </cell>
        </row>
        <row r="2874">
          <cell r="C2874" t="str">
            <v>Kur Sabitleme</v>
          </cell>
          <cell r="D2874" t="str">
            <v>SMB</v>
          </cell>
        </row>
        <row r="2875">
          <cell r="C2875" t="str">
            <v>Vigo Teknoloji ve Lojistik A.Ş.</v>
          </cell>
          <cell r="D2875" t="str">
            <v>Enterprise</v>
          </cell>
          <cell r="E2875" t="str">
            <v>Digital</v>
          </cell>
        </row>
        <row r="2876">
          <cell r="C2876" t="str">
            <v>TL</v>
          </cell>
          <cell r="D2876" t="str">
            <v>Enterprise</v>
          </cell>
        </row>
        <row r="2877">
          <cell r="C2877" t="str">
            <v>USD</v>
          </cell>
          <cell r="D2877" t="str">
            <v>Enterprise</v>
          </cell>
        </row>
        <row r="2878">
          <cell r="C2878" t="str">
            <v>EUR</v>
          </cell>
          <cell r="D2878" t="str">
            <v>Enterprise</v>
          </cell>
        </row>
        <row r="2879">
          <cell r="C2879" t="str">
            <v>Kur Sabitleme</v>
          </cell>
          <cell r="D2879" t="str">
            <v>Enterprise</v>
          </cell>
        </row>
        <row r="2880">
          <cell r="C2880" t="str">
            <v>MİDAS MENKUL DEĞERLER A.Ş.</v>
          </cell>
          <cell r="D2880" t="str">
            <v>Enterprise</v>
          </cell>
          <cell r="E2880" t="str">
            <v>Finans</v>
          </cell>
        </row>
        <row r="2881">
          <cell r="C2881" t="str">
            <v>TL</v>
          </cell>
          <cell r="D2881" t="str">
            <v>Enterprise</v>
          </cell>
        </row>
        <row r="2882">
          <cell r="C2882" t="str">
            <v>USD</v>
          </cell>
          <cell r="D2882" t="str">
            <v>Enterprise</v>
          </cell>
        </row>
        <row r="2883">
          <cell r="C2883" t="str">
            <v>EUR</v>
          </cell>
          <cell r="D2883" t="str">
            <v>Enterprise</v>
          </cell>
        </row>
        <row r="2884">
          <cell r="C2884" t="str">
            <v>Kur Sabitleme</v>
          </cell>
          <cell r="D2884" t="str">
            <v>Enterprise</v>
          </cell>
        </row>
        <row r="2885">
          <cell r="C2885" t="str">
            <v>CARREFOURSA CARREFOUR SABANCI TİCARET MERKEZİ A.Ş</v>
          </cell>
          <cell r="D2885" t="str">
            <v>Enterprise</v>
          </cell>
          <cell r="E2885" t="str">
            <v>Perakende</v>
          </cell>
        </row>
        <row r="2886">
          <cell r="C2886" t="str">
            <v>TL</v>
          </cell>
          <cell r="D2886" t="str">
            <v>Enterprise</v>
          </cell>
        </row>
        <row r="2887">
          <cell r="C2887" t="str">
            <v>USD</v>
          </cell>
          <cell r="D2887" t="str">
            <v>Enterprise</v>
          </cell>
        </row>
        <row r="2888">
          <cell r="C2888" t="str">
            <v>EUR</v>
          </cell>
          <cell r="D2888" t="str">
            <v>Enterprise</v>
          </cell>
        </row>
        <row r="2889">
          <cell r="C2889" t="str">
            <v>Kur Sabitleme</v>
          </cell>
          <cell r="D2889" t="str">
            <v>Enterprise</v>
          </cell>
        </row>
        <row r="2890">
          <cell r="C2890" t="str">
            <v>ASSERSAN</v>
          </cell>
          <cell r="D2890" t="str">
            <v>SMB</v>
          </cell>
          <cell r="E2890" t="str">
            <v>Diğer</v>
          </cell>
        </row>
        <row r="2891">
          <cell r="C2891" t="str">
            <v>TL</v>
          </cell>
          <cell r="D2891" t="str">
            <v>SMB</v>
          </cell>
        </row>
        <row r="2892">
          <cell r="C2892" t="str">
            <v>USD</v>
          </cell>
          <cell r="D2892" t="str">
            <v>SMB</v>
          </cell>
        </row>
        <row r="2893">
          <cell r="C2893" t="str">
            <v>EUR</v>
          </cell>
          <cell r="D2893" t="str">
            <v>SMB</v>
          </cell>
        </row>
        <row r="2894">
          <cell r="C2894" t="str">
            <v>Kur Sabitleme</v>
          </cell>
          <cell r="D2894" t="str">
            <v>SMB</v>
          </cell>
        </row>
        <row r="2895">
          <cell r="C2895" t="str">
            <v>FOM TURKEY</v>
          </cell>
          <cell r="D2895" t="str">
            <v>SMB</v>
          </cell>
          <cell r="E2895" t="str">
            <v>Üretim</v>
          </cell>
        </row>
        <row r="2896">
          <cell r="C2896" t="str">
            <v>TL</v>
          </cell>
          <cell r="D2896" t="str">
            <v>SMB</v>
          </cell>
        </row>
        <row r="2897">
          <cell r="C2897" t="str">
            <v>USD</v>
          </cell>
          <cell r="D2897" t="str">
            <v>SMB</v>
          </cell>
        </row>
        <row r="2898">
          <cell r="C2898" t="str">
            <v>EUR</v>
          </cell>
          <cell r="D2898" t="str">
            <v>SMB</v>
          </cell>
        </row>
        <row r="2899">
          <cell r="C2899" t="str">
            <v>Kur Sabitleme</v>
          </cell>
          <cell r="D2899" t="str">
            <v>SMB</v>
          </cell>
        </row>
        <row r="2900">
          <cell r="C2900" t="str">
            <v>HARUN TUNABOYLU</v>
          </cell>
          <cell r="D2900" t="str">
            <v>SMB</v>
          </cell>
          <cell r="E2900" t="str">
            <v>Finans</v>
          </cell>
        </row>
        <row r="2901">
          <cell r="C2901" t="str">
            <v>TL</v>
          </cell>
          <cell r="D2901" t="str">
            <v>SMB</v>
          </cell>
        </row>
        <row r="2902">
          <cell r="C2902" t="str">
            <v>USD</v>
          </cell>
          <cell r="D2902" t="str">
            <v>SMB</v>
          </cell>
        </row>
        <row r="2903">
          <cell r="C2903" t="str">
            <v>EUR</v>
          </cell>
          <cell r="D2903" t="str">
            <v>SMB</v>
          </cell>
        </row>
        <row r="2904">
          <cell r="C2904" t="str">
            <v>Kur Sabitleme</v>
          </cell>
          <cell r="D2904" t="str">
            <v>SMB</v>
          </cell>
        </row>
        <row r="2905">
          <cell r="C2905" t="str">
            <v>İZEM OTOMOTİV SEYAHAT TURİZM</v>
          </cell>
          <cell r="D2905" t="str">
            <v>SMB</v>
          </cell>
          <cell r="E2905" t="str">
            <v>Genel</v>
          </cell>
        </row>
        <row r="2906">
          <cell r="C2906" t="str">
            <v>TL</v>
          </cell>
          <cell r="D2906" t="str">
            <v>SMB</v>
          </cell>
        </row>
        <row r="2907">
          <cell r="C2907" t="str">
            <v>USD</v>
          </cell>
          <cell r="D2907" t="str">
            <v>SMB</v>
          </cell>
        </row>
        <row r="2908">
          <cell r="C2908" t="str">
            <v>EUR</v>
          </cell>
          <cell r="D2908" t="str">
            <v>SMB</v>
          </cell>
        </row>
        <row r="2909">
          <cell r="C2909" t="str">
            <v>Kur Sabitleme</v>
          </cell>
          <cell r="D2909" t="str">
            <v>SMB</v>
          </cell>
        </row>
        <row r="2910">
          <cell r="C2910" t="str">
            <v>KARBONSAN BASINÇLI KAPLAR SANAYİ VE TİCARET ANONİM</v>
          </cell>
          <cell r="D2910" t="str">
            <v>SMB</v>
          </cell>
          <cell r="E2910" t="str">
            <v>Üretim</v>
          </cell>
        </row>
        <row r="2911">
          <cell r="C2911" t="str">
            <v>TL</v>
          </cell>
          <cell r="D2911" t="str">
            <v>SMB</v>
          </cell>
        </row>
        <row r="2912">
          <cell r="C2912" t="str">
            <v>USD</v>
          </cell>
          <cell r="D2912" t="str">
            <v>SMB</v>
          </cell>
        </row>
        <row r="2913">
          <cell r="C2913" t="str">
            <v>EUR</v>
          </cell>
          <cell r="D2913" t="str">
            <v>SMB</v>
          </cell>
        </row>
        <row r="2914">
          <cell r="C2914" t="str">
            <v>Kur Sabitleme</v>
          </cell>
          <cell r="D2914" t="str">
            <v>SMB</v>
          </cell>
        </row>
        <row r="2915">
          <cell r="C2915" t="str">
            <v>AGS.AKIN YANGIN SÖNDÜRME CİHAZLARI VE GÜVENLİK SİS</v>
          </cell>
          <cell r="D2915" t="str">
            <v>SMB</v>
          </cell>
          <cell r="E2915" t="str">
            <v>Diğer</v>
          </cell>
        </row>
        <row r="2916">
          <cell r="C2916" t="str">
            <v>TL</v>
          </cell>
          <cell r="D2916" t="str">
            <v>SMB</v>
          </cell>
        </row>
        <row r="2917">
          <cell r="C2917" t="str">
            <v>USD</v>
          </cell>
          <cell r="D2917" t="str">
            <v>SMB</v>
          </cell>
        </row>
        <row r="2918">
          <cell r="C2918" t="str">
            <v>EUR</v>
          </cell>
          <cell r="D2918" t="str">
            <v>SMB</v>
          </cell>
        </row>
        <row r="2919">
          <cell r="C2919" t="str">
            <v>Kur Sabitleme</v>
          </cell>
          <cell r="D2919" t="str">
            <v>SMB</v>
          </cell>
        </row>
        <row r="2920">
          <cell r="C2920" t="str">
            <v>BEREKET LIFE TEKSTİL MEFRUŞAT SAN. ve TİC. LTD. ŞT</v>
          </cell>
          <cell r="D2920" t="str">
            <v>SMB</v>
          </cell>
          <cell r="E2920" t="str">
            <v>Diğer</v>
          </cell>
        </row>
        <row r="2921">
          <cell r="C2921" t="str">
            <v>TL</v>
          </cell>
          <cell r="D2921" t="str">
            <v>SMB</v>
          </cell>
        </row>
        <row r="2922">
          <cell r="C2922" t="str">
            <v>USD</v>
          </cell>
          <cell r="D2922" t="str">
            <v>SMB</v>
          </cell>
        </row>
        <row r="2923">
          <cell r="C2923" t="str">
            <v>EUR</v>
          </cell>
          <cell r="D2923" t="str">
            <v>SMB</v>
          </cell>
        </row>
        <row r="2924">
          <cell r="C2924" t="str">
            <v>Kur Sabitleme</v>
          </cell>
          <cell r="D2924" t="str">
            <v>SMB</v>
          </cell>
        </row>
        <row r="2925">
          <cell r="C2925" t="str">
            <v>ERGÜ AYDINLATMA ELEKTRIK HIRDAVAT INSAAT TAAHHÜT</v>
          </cell>
          <cell r="D2925" t="str">
            <v>SMB</v>
          </cell>
          <cell r="E2925" t="str">
            <v>Diğer</v>
          </cell>
        </row>
        <row r="2926">
          <cell r="C2926" t="str">
            <v>TL</v>
          </cell>
          <cell r="D2926" t="str">
            <v>SMB</v>
          </cell>
        </row>
        <row r="2927">
          <cell r="C2927" t="str">
            <v>USD</v>
          </cell>
          <cell r="D2927" t="str">
            <v>SMB</v>
          </cell>
        </row>
        <row r="2928">
          <cell r="C2928" t="str">
            <v>EUR</v>
          </cell>
          <cell r="D2928" t="str">
            <v>SMB</v>
          </cell>
        </row>
        <row r="2929">
          <cell r="C2929" t="str">
            <v>Kur Sabitleme</v>
          </cell>
          <cell r="D2929" t="str">
            <v>SMB</v>
          </cell>
        </row>
        <row r="2930">
          <cell r="C2930" t="str">
            <v>EVRENSEL MEKANIK İZOLASYON İNŞAAT SAN.TİC.LTD.ŞTİ.</v>
          </cell>
          <cell r="D2930" t="str">
            <v>SMB</v>
          </cell>
          <cell r="E2930" t="str">
            <v>Diğer</v>
          </cell>
        </row>
        <row r="2931">
          <cell r="C2931" t="str">
            <v>TL</v>
          </cell>
          <cell r="D2931" t="str">
            <v>SMB</v>
          </cell>
        </row>
        <row r="2932">
          <cell r="C2932" t="str">
            <v>USD</v>
          </cell>
          <cell r="D2932" t="str">
            <v>SMB</v>
          </cell>
        </row>
        <row r="2933">
          <cell r="C2933" t="str">
            <v>EUR</v>
          </cell>
          <cell r="D2933" t="str">
            <v>SMB</v>
          </cell>
        </row>
        <row r="2934">
          <cell r="C2934" t="str">
            <v>Kur Sabitleme</v>
          </cell>
          <cell r="D2934" t="str">
            <v>SMB</v>
          </cell>
        </row>
        <row r="2935">
          <cell r="C2935" t="str">
            <v>ÖZSAĞDIÇLAR</v>
          </cell>
          <cell r="D2935" t="str">
            <v>SMB</v>
          </cell>
          <cell r="E2935" t="str">
            <v>Diğer</v>
          </cell>
        </row>
        <row r="2936">
          <cell r="C2936" t="str">
            <v>TL</v>
          </cell>
          <cell r="D2936" t="str">
            <v>SMB</v>
          </cell>
        </row>
        <row r="2937">
          <cell r="C2937" t="str">
            <v>USD</v>
          </cell>
          <cell r="D2937" t="str">
            <v>SMB</v>
          </cell>
        </row>
        <row r="2938">
          <cell r="C2938" t="str">
            <v>EUR</v>
          </cell>
          <cell r="D2938" t="str">
            <v>SMB</v>
          </cell>
        </row>
        <row r="2939">
          <cell r="C2939" t="str">
            <v>Kur Sabitleme</v>
          </cell>
          <cell r="D2939" t="str">
            <v>SMB</v>
          </cell>
        </row>
        <row r="2940">
          <cell r="C2940" t="str">
            <v>SAYKOM BİLGİSAYAR TİC. VE SAN. LTD. ŞTİ.</v>
          </cell>
          <cell r="D2940" t="str">
            <v>SMB</v>
          </cell>
          <cell r="E2940" t="str">
            <v>Bayi</v>
          </cell>
        </row>
        <row r="2941">
          <cell r="C2941" t="str">
            <v>TL</v>
          </cell>
          <cell r="D2941" t="str">
            <v>SMB</v>
          </cell>
        </row>
        <row r="2942">
          <cell r="C2942" t="str">
            <v>USD</v>
          </cell>
          <cell r="D2942" t="str">
            <v>SMB</v>
          </cell>
        </row>
        <row r="2943">
          <cell r="C2943" t="str">
            <v>EUR</v>
          </cell>
          <cell r="D2943" t="str">
            <v>SMB</v>
          </cell>
        </row>
        <row r="2944">
          <cell r="C2944" t="str">
            <v>Kur Sabitleme</v>
          </cell>
          <cell r="D2944" t="str">
            <v>SMB</v>
          </cell>
        </row>
        <row r="2945">
          <cell r="C2945" t="str">
            <v>İGGNİTA MAKİNA SAN. VE TİC. A. Ş.</v>
          </cell>
          <cell r="D2945" t="str">
            <v>SMB</v>
          </cell>
          <cell r="E2945" t="str">
            <v>Diğer</v>
          </cell>
        </row>
        <row r="2946">
          <cell r="C2946" t="str">
            <v>TL</v>
          </cell>
          <cell r="D2946" t="str">
            <v>SMB</v>
          </cell>
        </row>
        <row r="2947">
          <cell r="C2947" t="str">
            <v>USD</v>
          </cell>
          <cell r="D2947" t="str">
            <v>SMB</v>
          </cell>
        </row>
        <row r="2948">
          <cell r="C2948" t="str">
            <v>EUR</v>
          </cell>
          <cell r="D2948" t="str">
            <v>SMB</v>
          </cell>
        </row>
        <row r="2949">
          <cell r="C2949" t="str">
            <v>Kur Sabitleme</v>
          </cell>
          <cell r="D2949" t="str">
            <v>SMB</v>
          </cell>
        </row>
        <row r="2950">
          <cell r="C2950" t="str">
            <v>RAHMET GIDA NAKLİYE İNŞAAT TİC.SAN.LTD.ŞTİ</v>
          </cell>
          <cell r="D2950" t="str">
            <v>SMB</v>
          </cell>
          <cell r="E2950" t="str">
            <v>Diğer</v>
          </cell>
        </row>
        <row r="2951">
          <cell r="C2951" t="str">
            <v>TL</v>
          </cell>
          <cell r="D2951" t="str">
            <v>SMB</v>
          </cell>
        </row>
        <row r="2952">
          <cell r="C2952" t="str">
            <v>USD</v>
          </cell>
          <cell r="D2952" t="str">
            <v>SMB</v>
          </cell>
        </row>
        <row r="2953">
          <cell r="C2953" t="str">
            <v>EUR</v>
          </cell>
          <cell r="D2953" t="str">
            <v>SMB</v>
          </cell>
        </row>
        <row r="2954">
          <cell r="C2954" t="str">
            <v>Kur Sabitleme</v>
          </cell>
          <cell r="D2954" t="str">
            <v>SMB</v>
          </cell>
        </row>
        <row r="2955">
          <cell r="C2955" t="str">
            <v>IMPACTA DÖNÜŞÜM A.Ş.</v>
          </cell>
          <cell r="D2955" t="str">
            <v>SMB</v>
          </cell>
          <cell r="E2955" t="str">
            <v>Diğer</v>
          </cell>
        </row>
        <row r="2956">
          <cell r="C2956" t="str">
            <v>TL</v>
          </cell>
          <cell r="D2956" t="str">
            <v>SMB</v>
          </cell>
        </row>
        <row r="2957">
          <cell r="C2957" t="str">
            <v>USD</v>
          </cell>
          <cell r="D2957" t="str">
            <v>SMB</v>
          </cell>
        </row>
        <row r="2958">
          <cell r="C2958" t="str">
            <v>EUR</v>
          </cell>
          <cell r="D2958" t="str">
            <v>SMB</v>
          </cell>
        </row>
        <row r="2959">
          <cell r="C2959" t="str">
            <v>Kur Sabitleme</v>
          </cell>
          <cell r="D2959" t="str">
            <v>SMB</v>
          </cell>
        </row>
        <row r="2960">
          <cell r="C2960" t="str">
            <v>Fi Commerce Teknoloji</v>
          </cell>
          <cell r="D2960" t="str">
            <v>SMB</v>
          </cell>
          <cell r="E2960" t="str">
            <v>Teknoloji</v>
          </cell>
        </row>
        <row r="2961">
          <cell r="C2961" t="str">
            <v>TL</v>
          </cell>
          <cell r="D2961" t="str">
            <v>SMB</v>
          </cell>
        </row>
        <row r="2962">
          <cell r="C2962" t="str">
            <v>USD</v>
          </cell>
          <cell r="D2962" t="str">
            <v>SMB</v>
          </cell>
        </row>
        <row r="2963">
          <cell r="C2963" t="str">
            <v>EUR</v>
          </cell>
          <cell r="D2963" t="str">
            <v>SMB</v>
          </cell>
        </row>
        <row r="2964">
          <cell r="C2964" t="str">
            <v>Kur Sabitleme</v>
          </cell>
          <cell r="D2964" t="str">
            <v>SMB</v>
          </cell>
        </row>
        <row r="2965">
          <cell r="C2965" t="str">
            <v>FUTURE LOJİSTİK</v>
          </cell>
          <cell r="D2965" t="str">
            <v>SMB</v>
          </cell>
          <cell r="E2965" t="str">
            <v>Lojistik</v>
          </cell>
        </row>
        <row r="2966">
          <cell r="C2966" t="str">
            <v>TL</v>
          </cell>
          <cell r="D2966" t="str">
            <v>SMB</v>
          </cell>
        </row>
        <row r="2967">
          <cell r="C2967" t="str">
            <v>USD</v>
          </cell>
          <cell r="D2967" t="str">
            <v>SMB</v>
          </cell>
        </row>
        <row r="2968">
          <cell r="C2968" t="str">
            <v>EUR</v>
          </cell>
          <cell r="D2968" t="str">
            <v>SMB</v>
          </cell>
        </row>
        <row r="2969">
          <cell r="C2969" t="str">
            <v>Kur Sabitleme</v>
          </cell>
          <cell r="D2969" t="str">
            <v>SMB</v>
          </cell>
        </row>
        <row r="2970">
          <cell r="C2970" t="str">
            <v>HALBACH TEKNOLOJİK BASKILAR SAN VE TİC LTD ŞTİ</v>
          </cell>
          <cell r="D2970" t="str">
            <v>SMB</v>
          </cell>
          <cell r="E2970" t="str">
            <v>Diğer</v>
          </cell>
        </row>
        <row r="2971">
          <cell r="C2971" t="str">
            <v>TL</v>
          </cell>
          <cell r="D2971" t="str">
            <v>SMB</v>
          </cell>
        </row>
        <row r="2972">
          <cell r="C2972" t="str">
            <v>USD</v>
          </cell>
          <cell r="D2972" t="str">
            <v>SMB</v>
          </cell>
        </row>
        <row r="2973">
          <cell r="C2973" t="str">
            <v>EUR</v>
          </cell>
          <cell r="D2973" t="str">
            <v>SMB</v>
          </cell>
        </row>
        <row r="2974">
          <cell r="C2974" t="str">
            <v>Kur Sabitleme</v>
          </cell>
          <cell r="D2974" t="str">
            <v>SMB</v>
          </cell>
        </row>
        <row r="2975">
          <cell r="C2975" t="str">
            <v>MALKAN KANAAT KİMYEVİ BOYA İNŞAAT</v>
          </cell>
          <cell r="D2975" t="str">
            <v>SMB</v>
          </cell>
          <cell r="E2975" t="str">
            <v>Diğer</v>
          </cell>
        </row>
        <row r="2976">
          <cell r="C2976" t="str">
            <v>TL</v>
          </cell>
          <cell r="D2976" t="str">
            <v>SMB</v>
          </cell>
        </row>
        <row r="2977">
          <cell r="C2977" t="str">
            <v>USD</v>
          </cell>
          <cell r="D2977" t="str">
            <v>SMB</v>
          </cell>
        </row>
        <row r="2978">
          <cell r="C2978" t="str">
            <v>EUR</v>
          </cell>
          <cell r="D2978" t="str">
            <v>SMB</v>
          </cell>
        </row>
        <row r="2979">
          <cell r="C2979" t="str">
            <v>Kur Sabitleme</v>
          </cell>
          <cell r="D2979" t="str">
            <v>SMB</v>
          </cell>
        </row>
        <row r="2980">
          <cell r="C2980" t="str">
            <v>KIRIKHAN MENSUCAT SAN. VE TİC. A.Ş.</v>
          </cell>
          <cell r="D2980" t="str">
            <v>SMB</v>
          </cell>
          <cell r="E2980" t="str">
            <v>Diğer</v>
          </cell>
        </row>
        <row r="2981">
          <cell r="C2981" t="str">
            <v>TL</v>
          </cell>
          <cell r="D2981" t="str">
            <v>SMB</v>
          </cell>
        </row>
        <row r="2982">
          <cell r="C2982" t="str">
            <v>USD</v>
          </cell>
          <cell r="D2982" t="str">
            <v>SMB</v>
          </cell>
        </row>
        <row r="2983">
          <cell r="C2983" t="str">
            <v>USD</v>
          </cell>
          <cell r="D2983" t="str">
            <v>SMB</v>
          </cell>
        </row>
        <row r="2984">
          <cell r="C2984" t="str">
            <v>EUR</v>
          </cell>
          <cell r="D2984" t="str">
            <v>SMB</v>
          </cell>
        </row>
        <row r="2985">
          <cell r="C2985" t="str">
            <v>Kur Sabitleme</v>
          </cell>
          <cell r="D2985" t="str">
            <v>SMB</v>
          </cell>
        </row>
        <row r="2986">
          <cell r="C2986" t="str">
            <v>YEYKİM QUATTRO YAPI ENDÜSTRİ KİMYA SANAYİ VE TİCAR</v>
          </cell>
          <cell r="D2986" t="str">
            <v>SMB</v>
          </cell>
          <cell r="E2986" t="str">
            <v>Diğer</v>
          </cell>
        </row>
        <row r="2987">
          <cell r="C2987" t="str">
            <v>TL</v>
          </cell>
          <cell r="D2987" t="str">
            <v>SMB</v>
          </cell>
        </row>
        <row r="2988">
          <cell r="C2988" t="str">
            <v>USD</v>
          </cell>
          <cell r="D2988" t="str">
            <v>SMB</v>
          </cell>
        </row>
        <row r="2989">
          <cell r="C2989" t="str">
            <v>EUR</v>
          </cell>
          <cell r="D2989" t="str">
            <v>SMB</v>
          </cell>
        </row>
        <row r="2990">
          <cell r="C2990" t="str">
            <v>Kur Sabitleme</v>
          </cell>
          <cell r="D2990" t="str">
            <v>SMB</v>
          </cell>
        </row>
        <row r="2991">
          <cell r="C2991" t="str">
            <v>WEDİACORP TEKNOLOJİ MEDYA İLETİŞİM TURİZM SANAYİ V</v>
          </cell>
          <cell r="D2991" t="str">
            <v>SMB</v>
          </cell>
          <cell r="E2991" t="str">
            <v>Diğer</v>
          </cell>
        </row>
        <row r="2992">
          <cell r="C2992" t="str">
            <v>TL</v>
          </cell>
          <cell r="D2992" t="str">
            <v>SMB</v>
          </cell>
        </row>
        <row r="2993">
          <cell r="C2993" t="str">
            <v>USD</v>
          </cell>
          <cell r="D2993" t="str">
            <v>SMB</v>
          </cell>
        </row>
        <row r="2994">
          <cell r="C2994" t="str">
            <v>EUR</v>
          </cell>
          <cell r="D2994" t="str">
            <v>SMB</v>
          </cell>
        </row>
        <row r="2995">
          <cell r="C2995" t="str">
            <v>Kur Sabitleme</v>
          </cell>
          <cell r="D2995" t="str">
            <v>SMB</v>
          </cell>
        </row>
        <row r="2996">
          <cell r="C2996" t="str">
            <v>KARACAYOL İNŞAAT MADENCİLİK TUR MAK SAN TİC LTD ŞT</v>
          </cell>
          <cell r="D2996" t="str">
            <v>SMB</v>
          </cell>
          <cell r="E2996" t="str">
            <v>Diğer</v>
          </cell>
        </row>
        <row r="2997">
          <cell r="C2997" t="str">
            <v>TL</v>
          </cell>
          <cell r="D2997" t="str">
            <v>SMB</v>
          </cell>
        </row>
        <row r="2998">
          <cell r="C2998" t="str">
            <v>USD</v>
          </cell>
          <cell r="D2998" t="str">
            <v>SMB</v>
          </cell>
        </row>
        <row r="2999">
          <cell r="C2999" t="str">
            <v>EUR</v>
          </cell>
          <cell r="D2999" t="str">
            <v>SMB</v>
          </cell>
        </row>
        <row r="3000">
          <cell r="C3000" t="str">
            <v>Kur Sabitleme</v>
          </cell>
          <cell r="D3000" t="str">
            <v>SMB</v>
          </cell>
        </row>
        <row r="3001">
          <cell r="C3001" t="str">
            <v>AYDEMİRLER ÇELİK A.Ş.</v>
          </cell>
          <cell r="D3001" t="str">
            <v>SMB</v>
          </cell>
          <cell r="E3001" t="str">
            <v>Diğer</v>
          </cell>
        </row>
        <row r="3002">
          <cell r="C3002" t="str">
            <v>TL</v>
          </cell>
          <cell r="D3002" t="str">
            <v>SMB</v>
          </cell>
        </row>
        <row r="3003">
          <cell r="C3003" t="str">
            <v>USD</v>
          </cell>
          <cell r="D3003" t="str">
            <v>SMB</v>
          </cell>
        </row>
        <row r="3004">
          <cell r="C3004" t="str">
            <v>EUR</v>
          </cell>
          <cell r="D3004" t="str">
            <v>SMB</v>
          </cell>
        </row>
        <row r="3005">
          <cell r="C3005" t="str">
            <v>Kur Sabitleme</v>
          </cell>
          <cell r="D3005" t="str">
            <v>SMB</v>
          </cell>
        </row>
        <row r="3006">
          <cell r="C3006" t="str">
            <v>BBS KALIP OTONASYON TEKNOLOJİK İMALAT SANAYİ VE Tİ</v>
          </cell>
          <cell r="D3006" t="str">
            <v>SMB</v>
          </cell>
          <cell r="E3006" t="str">
            <v>Diğer</v>
          </cell>
        </row>
        <row r="3007">
          <cell r="C3007" t="str">
            <v>TL</v>
          </cell>
          <cell r="D3007" t="str">
            <v>SMB</v>
          </cell>
        </row>
        <row r="3008">
          <cell r="C3008" t="str">
            <v>USD</v>
          </cell>
          <cell r="D3008" t="str">
            <v>SMB</v>
          </cell>
        </row>
        <row r="3009">
          <cell r="C3009" t="str">
            <v>EUR</v>
          </cell>
          <cell r="D3009" t="str">
            <v>SMB</v>
          </cell>
        </row>
        <row r="3010">
          <cell r="C3010" t="str">
            <v>Kur Sabitleme</v>
          </cell>
          <cell r="D3010" t="str">
            <v>SMB</v>
          </cell>
        </row>
        <row r="3011">
          <cell r="C3011" t="str">
            <v>COŞAR &amp; ŞAHİN HUKUK BÜROSU</v>
          </cell>
          <cell r="D3011" t="str">
            <v>SMB</v>
          </cell>
          <cell r="E3011" t="str">
            <v>Diğer</v>
          </cell>
        </row>
        <row r="3012">
          <cell r="C3012" t="str">
            <v>TL</v>
          </cell>
          <cell r="D3012" t="str">
            <v>SMB</v>
          </cell>
        </row>
        <row r="3013">
          <cell r="C3013" t="str">
            <v>USD</v>
          </cell>
          <cell r="D3013" t="str">
            <v>SMB</v>
          </cell>
        </row>
        <row r="3014">
          <cell r="C3014" t="str">
            <v>EUR</v>
          </cell>
          <cell r="D3014" t="str">
            <v>SMB</v>
          </cell>
        </row>
        <row r="3015">
          <cell r="C3015" t="str">
            <v>Kur Sabitleme</v>
          </cell>
          <cell r="D3015" t="str">
            <v>SMB</v>
          </cell>
        </row>
        <row r="3016">
          <cell r="C3016" t="str">
            <v>DEMKA KAĞIT VE AMBALAJ SANAYİ TİCARET ANONİM ŞİRKE</v>
          </cell>
          <cell r="D3016" t="str">
            <v>SMB</v>
          </cell>
          <cell r="E3016" t="str">
            <v>Diğer</v>
          </cell>
        </row>
        <row r="3017">
          <cell r="C3017" t="str">
            <v>TL</v>
          </cell>
          <cell r="D3017" t="str">
            <v>SMB</v>
          </cell>
        </row>
        <row r="3018">
          <cell r="C3018" t="str">
            <v>USD</v>
          </cell>
          <cell r="D3018" t="str">
            <v>SMB</v>
          </cell>
        </row>
        <row r="3019">
          <cell r="C3019" t="str">
            <v>EUR</v>
          </cell>
          <cell r="D3019" t="str">
            <v>SMB</v>
          </cell>
        </row>
        <row r="3020">
          <cell r="C3020" t="str">
            <v>Kur Sabitleme</v>
          </cell>
          <cell r="D3020" t="str">
            <v>SMB</v>
          </cell>
        </row>
        <row r="3021">
          <cell r="C3021" t="str">
            <v>İQM TEKNOLOJİ YAZILIM LİMİTED ŞİRKETİ</v>
          </cell>
          <cell r="D3021" t="str">
            <v>SMB</v>
          </cell>
          <cell r="E3021" t="str">
            <v>Bayi</v>
          </cell>
        </row>
        <row r="3022">
          <cell r="C3022" t="str">
            <v>TL</v>
          </cell>
          <cell r="D3022" t="str">
            <v>SMB</v>
          </cell>
        </row>
        <row r="3023">
          <cell r="C3023" t="str">
            <v>USD</v>
          </cell>
          <cell r="D3023" t="str">
            <v>SMB</v>
          </cell>
        </row>
        <row r="3024">
          <cell r="C3024" t="str">
            <v>EUR</v>
          </cell>
          <cell r="D3024" t="str">
            <v>SMB</v>
          </cell>
        </row>
        <row r="3025">
          <cell r="C3025" t="str">
            <v>Kur Sabitleme</v>
          </cell>
          <cell r="D3025" t="str">
            <v>SMB</v>
          </cell>
        </row>
        <row r="3026">
          <cell r="C3026" t="str">
            <v>KOTON MAĞAZACILIK TEKSTİL SANAYİ VE TİCARET A.Ş.</v>
          </cell>
          <cell r="D3026" t="str">
            <v>Enterprise</v>
          </cell>
          <cell r="E3026" t="str">
            <v>Perakende</v>
          </cell>
        </row>
        <row r="3027">
          <cell r="C3027" t="str">
            <v>TL</v>
          </cell>
          <cell r="D3027" t="str">
            <v>Enterprise</v>
          </cell>
        </row>
        <row r="3028">
          <cell r="C3028" t="str">
            <v>USD</v>
          </cell>
          <cell r="D3028" t="str">
            <v>Enterprise</v>
          </cell>
        </row>
        <row r="3029">
          <cell r="C3029" t="str">
            <v>EUR</v>
          </cell>
          <cell r="D3029" t="str">
            <v>Enterprise</v>
          </cell>
        </row>
        <row r="3030">
          <cell r="C3030" t="str">
            <v>Kur Sabitleme</v>
          </cell>
          <cell r="D3030" t="str">
            <v>Enterprise</v>
          </cell>
        </row>
        <row r="3031">
          <cell r="C3031" t="str">
            <v>LEPO TEKNİK MÜHENDİSLİK MAKİNA MADEN SANAYİ VE TİC</v>
          </cell>
          <cell r="D3031" t="str">
            <v>SMB</v>
          </cell>
          <cell r="E3031" t="str">
            <v>Diğer</v>
          </cell>
        </row>
        <row r="3032">
          <cell r="C3032" t="str">
            <v>TL</v>
          </cell>
          <cell r="D3032" t="str">
            <v>SMB</v>
          </cell>
        </row>
        <row r="3033">
          <cell r="C3033" t="str">
            <v>USD</v>
          </cell>
          <cell r="D3033" t="str">
            <v>SMB</v>
          </cell>
        </row>
        <row r="3034">
          <cell r="C3034" t="str">
            <v>EUR</v>
          </cell>
          <cell r="D3034" t="str">
            <v>SMB</v>
          </cell>
        </row>
        <row r="3035">
          <cell r="C3035" t="str">
            <v>Kur Sabitleme</v>
          </cell>
          <cell r="D3035" t="str">
            <v>SMB</v>
          </cell>
        </row>
        <row r="3036">
          <cell r="C3036" t="str">
            <v>MİNAR MOBİLYA SANAYİ VE TİCARET LİMİTED ŞİRKET</v>
          </cell>
          <cell r="D3036" t="str">
            <v>SMB</v>
          </cell>
          <cell r="E3036" t="str">
            <v>Üretim</v>
          </cell>
        </row>
        <row r="3037">
          <cell r="C3037" t="str">
            <v>TL</v>
          </cell>
          <cell r="D3037" t="str">
            <v>SMB</v>
          </cell>
        </row>
        <row r="3038">
          <cell r="C3038" t="str">
            <v>USD</v>
          </cell>
          <cell r="D3038" t="str">
            <v>SMB</v>
          </cell>
        </row>
        <row r="3039">
          <cell r="C3039" t="str">
            <v>EUR</v>
          </cell>
          <cell r="D3039" t="str">
            <v>SMB</v>
          </cell>
        </row>
        <row r="3040">
          <cell r="C3040" t="str">
            <v>Kur Sabitleme</v>
          </cell>
          <cell r="D3040" t="str">
            <v>SMB</v>
          </cell>
        </row>
        <row r="3041">
          <cell r="C3041" t="str">
            <v>NAVEK SPORTİF ÜRÜNLER VE DANIŞMANLIK AŞ</v>
          </cell>
          <cell r="D3041" t="str">
            <v>SMB</v>
          </cell>
          <cell r="E3041" t="str">
            <v>Diğer</v>
          </cell>
        </row>
        <row r="3042">
          <cell r="C3042" t="str">
            <v>TL</v>
          </cell>
          <cell r="D3042" t="str">
            <v>SMB</v>
          </cell>
        </row>
        <row r="3043">
          <cell r="C3043" t="str">
            <v>USD</v>
          </cell>
          <cell r="D3043" t="str">
            <v>SMB</v>
          </cell>
        </row>
        <row r="3044">
          <cell r="C3044" t="str">
            <v>EUR</v>
          </cell>
          <cell r="D3044" t="str">
            <v>SMB</v>
          </cell>
        </row>
        <row r="3045">
          <cell r="C3045" t="str">
            <v>Kur Sabitleme</v>
          </cell>
          <cell r="D3045" t="str">
            <v>SMB</v>
          </cell>
        </row>
        <row r="3046">
          <cell r="C3046" t="str">
            <v>Nobel Bilişim Sistem Yazılım ve Network Hizmetleri</v>
          </cell>
          <cell r="D3046" t="str">
            <v>SMB</v>
          </cell>
          <cell r="E3046" t="str">
            <v>Bayi</v>
          </cell>
        </row>
        <row r="3047">
          <cell r="C3047" t="str">
            <v>TL</v>
          </cell>
          <cell r="D3047" t="str">
            <v>SMB</v>
          </cell>
        </row>
        <row r="3048">
          <cell r="C3048" t="str">
            <v>USD</v>
          </cell>
          <cell r="D3048" t="str">
            <v>SMB</v>
          </cell>
        </row>
        <row r="3049">
          <cell r="C3049" t="str">
            <v>EUR</v>
          </cell>
          <cell r="D3049" t="str">
            <v>SMB</v>
          </cell>
        </row>
        <row r="3050">
          <cell r="C3050" t="str">
            <v>Kur Sabitleme</v>
          </cell>
          <cell r="D3050" t="str">
            <v>SMB</v>
          </cell>
        </row>
        <row r="3051">
          <cell r="C3051" t="str">
            <v>BAHTİYAR OCAK</v>
          </cell>
          <cell r="D3051" t="str">
            <v>SMB</v>
          </cell>
          <cell r="E3051" t="str">
            <v>Teknoloji</v>
          </cell>
        </row>
        <row r="3052">
          <cell r="C3052" t="str">
            <v>USD</v>
          </cell>
          <cell r="D3052" t="str">
            <v>SMB</v>
          </cell>
        </row>
        <row r="3053">
          <cell r="C3053" t="str">
            <v>USD</v>
          </cell>
          <cell r="D3053" t="str">
            <v>SMB</v>
          </cell>
        </row>
        <row r="3054">
          <cell r="C3054" t="str">
            <v>EUR</v>
          </cell>
          <cell r="D3054" t="str">
            <v>SMB</v>
          </cell>
        </row>
        <row r="3055">
          <cell r="C3055" t="str">
            <v>Kur Sabitleme</v>
          </cell>
          <cell r="D3055" t="str">
            <v>SMB</v>
          </cell>
        </row>
        <row r="3056">
          <cell r="C3056" t="str">
            <v>ÇAĞATAY EVCİL HAYVAN MAMALARI VE YEM ÜRÜNLERİ SAN.</v>
          </cell>
          <cell r="D3056" t="str">
            <v>Enterprise</v>
          </cell>
          <cell r="E3056" t="str">
            <v>Üretim</v>
          </cell>
        </row>
        <row r="3057">
          <cell r="C3057" t="str">
            <v>TL</v>
          </cell>
          <cell r="D3057" t="str">
            <v>Enterprise</v>
          </cell>
        </row>
        <row r="3058">
          <cell r="C3058" t="str">
            <v>USD</v>
          </cell>
          <cell r="D3058" t="str">
            <v>Enterprise</v>
          </cell>
        </row>
        <row r="3059">
          <cell r="C3059" t="str">
            <v>USD</v>
          </cell>
          <cell r="D3059" t="str">
            <v>Enterprise</v>
          </cell>
        </row>
        <row r="3060">
          <cell r="C3060" t="str">
            <v>EUR</v>
          </cell>
          <cell r="D3060" t="str">
            <v>Enterprise</v>
          </cell>
        </row>
        <row r="3061">
          <cell r="C3061" t="str">
            <v>Kur Sabitleme</v>
          </cell>
          <cell r="D3061" t="str">
            <v>Enterprise</v>
          </cell>
        </row>
        <row r="3062">
          <cell r="C3062" t="str">
            <v>FARMAZON BİLGİ TEKNOLOJİLERİ A.Ş.</v>
          </cell>
          <cell r="D3062" t="str">
            <v>SMB</v>
          </cell>
          <cell r="E3062" t="str">
            <v>Teknoloji</v>
          </cell>
        </row>
        <row r="3063">
          <cell r="C3063" t="str">
            <v>TL</v>
          </cell>
          <cell r="D3063" t="str">
            <v>SMB</v>
          </cell>
        </row>
        <row r="3064">
          <cell r="C3064" t="str">
            <v>USD</v>
          </cell>
          <cell r="D3064" t="str">
            <v>SMB</v>
          </cell>
        </row>
        <row r="3065">
          <cell r="C3065" t="str">
            <v>EUR</v>
          </cell>
          <cell r="D3065" t="str">
            <v>SMB</v>
          </cell>
        </row>
        <row r="3066">
          <cell r="C3066" t="str">
            <v>Kur Sabitleme</v>
          </cell>
          <cell r="D3066" t="str">
            <v>SMB</v>
          </cell>
        </row>
        <row r="3067">
          <cell r="C3067" t="str">
            <v>NEU OTOMOTİV DÖVME ÇELİK SANAYİ VE TİCARET ANONİM</v>
          </cell>
          <cell r="D3067" t="str">
            <v>SMB</v>
          </cell>
          <cell r="E3067" t="str">
            <v>Diğer</v>
          </cell>
        </row>
        <row r="3068">
          <cell r="C3068" t="str">
            <v>TL</v>
          </cell>
          <cell r="D3068" t="str">
            <v>SMB</v>
          </cell>
        </row>
        <row r="3069">
          <cell r="C3069" t="str">
            <v>USD</v>
          </cell>
          <cell r="D3069" t="str">
            <v>SMB</v>
          </cell>
        </row>
        <row r="3070">
          <cell r="C3070" t="str">
            <v>EUR</v>
          </cell>
          <cell r="D3070" t="str">
            <v>SMB</v>
          </cell>
        </row>
        <row r="3071">
          <cell r="C3071" t="str">
            <v>Kur Sabitleme</v>
          </cell>
          <cell r="D3071" t="str">
            <v>SMB</v>
          </cell>
        </row>
        <row r="3072">
          <cell r="C3072" t="str">
            <v>NOBEL İLAÇ SANAYİİ VE TİCARET A.Ş.</v>
          </cell>
          <cell r="D3072" t="str">
            <v>Enterprise</v>
          </cell>
          <cell r="E3072" t="str">
            <v>Sağlık</v>
          </cell>
        </row>
        <row r="3073">
          <cell r="C3073" t="str">
            <v>TL</v>
          </cell>
          <cell r="D3073" t="str">
            <v>Enterprise</v>
          </cell>
        </row>
        <row r="3074">
          <cell r="C3074" t="str">
            <v>USD</v>
          </cell>
          <cell r="D3074" t="str">
            <v>Enterprise</v>
          </cell>
        </row>
        <row r="3075">
          <cell r="C3075" t="str">
            <v>EUR</v>
          </cell>
          <cell r="D3075" t="str">
            <v>Enterprise</v>
          </cell>
        </row>
        <row r="3076">
          <cell r="C3076" t="str">
            <v>Kur Sabitleme</v>
          </cell>
          <cell r="D3076" t="str">
            <v>Enterprise</v>
          </cell>
        </row>
        <row r="3077">
          <cell r="C3077" t="str">
            <v>ASLANOBA YATIRIM GIDA SANAYİ VE TİCARET A.Ş.</v>
          </cell>
          <cell r="D3077" t="str">
            <v>SMB</v>
          </cell>
          <cell r="E3077" t="str">
            <v>Perakende</v>
          </cell>
        </row>
        <row r="3078">
          <cell r="C3078" t="str">
            <v>TL</v>
          </cell>
          <cell r="D3078" t="str">
            <v>SMB</v>
          </cell>
        </row>
        <row r="3079">
          <cell r="C3079" t="str">
            <v>USD</v>
          </cell>
          <cell r="D3079" t="str">
            <v>SMB</v>
          </cell>
        </row>
        <row r="3080">
          <cell r="C3080" t="str">
            <v>EUR</v>
          </cell>
          <cell r="D3080" t="str">
            <v>SMB</v>
          </cell>
        </row>
        <row r="3081">
          <cell r="C3081" t="str">
            <v>Kur Sabitleme</v>
          </cell>
          <cell r="D3081" t="str">
            <v>SMB</v>
          </cell>
        </row>
        <row r="3082">
          <cell r="C3082" t="str">
            <v>BİRZE MÜHENDİSLİK HİZMETLERİ SAN. TİC. LTD. ŞTİ.</v>
          </cell>
          <cell r="D3082" t="str">
            <v>SMB</v>
          </cell>
          <cell r="E3082" t="str">
            <v>Diğer</v>
          </cell>
        </row>
        <row r="3083">
          <cell r="C3083" t="str">
            <v>TL</v>
          </cell>
          <cell r="D3083" t="str">
            <v>SMB</v>
          </cell>
        </row>
        <row r="3084">
          <cell r="C3084" t="str">
            <v>USD</v>
          </cell>
          <cell r="D3084" t="str">
            <v>SMB</v>
          </cell>
        </row>
        <row r="3085">
          <cell r="C3085" t="str">
            <v>EUR</v>
          </cell>
          <cell r="D3085" t="str">
            <v>SMB</v>
          </cell>
        </row>
        <row r="3086">
          <cell r="C3086" t="str">
            <v>Kur Sabitleme</v>
          </cell>
          <cell r="D3086" t="str">
            <v>SMB</v>
          </cell>
        </row>
        <row r="3087">
          <cell r="C3087" t="str">
            <v>MADEŞ METAL SAN. TİC. LTD. ŞTİ.</v>
          </cell>
          <cell r="D3087" t="str">
            <v>SMB</v>
          </cell>
          <cell r="E3087" t="str">
            <v>Diğer</v>
          </cell>
        </row>
        <row r="3088">
          <cell r="C3088" t="str">
            <v>TL</v>
          </cell>
          <cell r="D3088" t="str">
            <v>SMB</v>
          </cell>
        </row>
        <row r="3089">
          <cell r="C3089" t="str">
            <v>USD</v>
          </cell>
          <cell r="D3089" t="str">
            <v>SMB</v>
          </cell>
        </row>
        <row r="3090">
          <cell r="C3090" t="str">
            <v>EUR</v>
          </cell>
          <cell r="D3090" t="str">
            <v>SMB</v>
          </cell>
        </row>
        <row r="3091">
          <cell r="C3091" t="str">
            <v>Kur Sabitleme</v>
          </cell>
          <cell r="D3091" t="str">
            <v>SMB</v>
          </cell>
        </row>
        <row r="3092">
          <cell r="C3092" t="str">
            <v>MELTEM TURİZM NAKLİYAT OTO ALIM SATIM VE YEDEK PAR</v>
          </cell>
          <cell r="D3092" t="str">
            <v>SMB</v>
          </cell>
          <cell r="E3092" t="str">
            <v>Diğer</v>
          </cell>
        </row>
        <row r="3093">
          <cell r="C3093" t="str">
            <v>TL</v>
          </cell>
          <cell r="D3093" t="str">
            <v>SMB</v>
          </cell>
        </row>
        <row r="3094">
          <cell r="C3094" t="str">
            <v>USD</v>
          </cell>
          <cell r="D3094" t="str">
            <v>SMB</v>
          </cell>
        </row>
        <row r="3095">
          <cell r="C3095" t="str">
            <v>EUR</v>
          </cell>
          <cell r="D3095" t="str">
            <v>SMB</v>
          </cell>
        </row>
        <row r="3096">
          <cell r="C3096" t="str">
            <v>Kur Sabitleme</v>
          </cell>
          <cell r="D3096" t="str">
            <v>SMB</v>
          </cell>
        </row>
        <row r="3097">
          <cell r="C3097" t="str">
            <v>ÖNDERLER İŞ MAKİNALARI</v>
          </cell>
          <cell r="D3097" t="str">
            <v>SMB</v>
          </cell>
          <cell r="E3097" t="str">
            <v>Diğer</v>
          </cell>
        </row>
        <row r="3098">
          <cell r="C3098" t="str">
            <v>TL</v>
          </cell>
          <cell r="D3098" t="str">
            <v>SMB</v>
          </cell>
        </row>
        <row r="3099">
          <cell r="C3099" t="str">
            <v>USD</v>
          </cell>
          <cell r="D3099" t="str">
            <v>SMB</v>
          </cell>
        </row>
        <row r="3100">
          <cell r="C3100" t="str">
            <v>EUR</v>
          </cell>
          <cell r="D3100" t="str">
            <v>SMB</v>
          </cell>
        </row>
        <row r="3101">
          <cell r="C3101" t="str">
            <v>Kur Sabitleme</v>
          </cell>
          <cell r="D3101" t="str">
            <v>SMB</v>
          </cell>
        </row>
        <row r="3102">
          <cell r="C3102" t="str">
            <v>SEMPOLY YAPI</v>
          </cell>
          <cell r="D3102" t="str">
            <v>SMB</v>
          </cell>
          <cell r="E3102" t="str">
            <v>Diğer</v>
          </cell>
        </row>
        <row r="3103">
          <cell r="C3103" t="str">
            <v>TL</v>
          </cell>
          <cell r="D3103" t="str">
            <v>SMB</v>
          </cell>
        </row>
        <row r="3104">
          <cell r="C3104" t="str">
            <v>USD</v>
          </cell>
          <cell r="D3104" t="str">
            <v>SMB</v>
          </cell>
        </row>
        <row r="3105">
          <cell r="C3105" t="str">
            <v>EUR</v>
          </cell>
          <cell r="D3105" t="str">
            <v>SMB</v>
          </cell>
        </row>
        <row r="3106">
          <cell r="C3106" t="str">
            <v>Kur Sabitleme</v>
          </cell>
          <cell r="D3106" t="str">
            <v>SMB</v>
          </cell>
        </row>
        <row r="3107">
          <cell r="C3107" t="str">
            <v>Torlak &amp; Karaduman Hukuk Bürosu</v>
          </cell>
          <cell r="D3107" t="str">
            <v>SMB</v>
          </cell>
          <cell r="E3107" t="str">
            <v>Genel</v>
          </cell>
        </row>
        <row r="3108">
          <cell r="C3108" t="str">
            <v>TL</v>
          </cell>
          <cell r="D3108" t="str">
            <v>SMB</v>
          </cell>
        </row>
        <row r="3109">
          <cell r="C3109" t="str">
            <v>USD</v>
          </cell>
          <cell r="D3109" t="str">
            <v>SMB</v>
          </cell>
        </row>
        <row r="3110">
          <cell r="C3110" t="str">
            <v>USD</v>
          </cell>
          <cell r="D3110" t="str">
            <v>SMB</v>
          </cell>
        </row>
        <row r="3111">
          <cell r="C3111" t="str">
            <v>USD</v>
          </cell>
          <cell r="D3111" t="str">
            <v>SMB</v>
          </cell>
        </row>
        <row r="3112">
          <cell r="C3112" t="str">
            <v>EUR</v>
          </cell>
          <cell r="D3112" t="str">
            <v>SMB</v>
          </cell>
        </row>
        <row r="3113">
          <cell r="C3113" t="str">
            <v>Kur Sabitleme</v>
          </cell>
          <cell r="D3113" t="str">
            <v>SMB</v>
          </cell>
        </row>
        <row r="3114">
          <cell r="C3114" t="str">
            <v>GENERAL VETERİNER İLAÇLARI A.Ş.</v>
          </cell>
          <cell r="D3114" t="str">
            <v>SMB</v>
          </cell>
          <cell r="E3114" t="str">
            <v>Diğer</v>
          </cell>
        </row>
        <row r="3115">
          <cell r="C3115" t="str">
            <v>TL</v>
          </cell>
          <cell r="D3115" t="str">
            <v>SMB</v>
          </cell>
        </row>
        <row r="3116">
          <cell r="C3116" t="str">
            <v>USD</v>
          </cell>
          <cell r="D3116" t="str">
            <v>SMB</v>
          </cell>
        </row>
        <row r="3117">
          <cell r="C3117" t="str">
            <v>EUR</v>
          </cell>
          <cell r="D3117" t="str">
            <v>SMB</v>
          </cell>
        </row>
        <row r="3118">
          <cell r="C3118" t="str">
            <v>Kur Sabitleme</v>
          </cell>
          <cell r="D3118" t="str">
            <v>SMB</v>
          </cell>
        </row>
        <row r="3119">
          <cell r="C3119" t="str">
            <v>SABANCI ÜNİVERSİTESİ</v>
          </cell>
          <cell r="D3119" t="str">
            <v>Enterprise</v>
          </cell>
          <cell r="E3119" t="str">
            <v>Eğitim</v>
          </cell>
        </row>
        <row r="3120">
          <cell r="C3120" t="str">
            <v>TL</v>
          </cell>
          <cell r="D3120" t="str">
            <v>Enterprise</v>
          </cell>
        </row>
        <row r="3121">
          <cell r="C3121" t="str">
            <v>USD</v>
          </cell>
          <cell r="D3121" t="str">
            <v>Enterprise</v>
          </cell>
        </row>
        <row r="3122">
          <cell r="C3122" t="str">
            <v>EUR</v>
          </cell>
          <cell r="D3122" t="str">
            <v>Enterprise</v>
          </cell>
        </row>
        <row r="3123">
          <cell r="C3123" t="str">
            <v>Kur Sabitleme</v>
          </cell>
          <cell r="D3123" t="str">
            <v>Enterprise</v>
          </cell>
        </row>
        <row r="3124">
          <cell r="C3124" t="str">
            <v>INTRA MEDİKAL</v>
          </cell>
          <cell r="D3124" t="str">
            <v>SMB</v>
          </cell>
          <cell r="E3124" t="str">
            <v>Genel</v>
          </cell>
        </row>
        <row r="3125">
          <cell r="C3125" t="str">
            <v>TL</v>
          </cell>
          <cell r="D3125" t="str">
            <v>SMB</v>
          </cell>
        </row>
        <row r="3126">
          <cell r="C3126" t="str">
            <v>USD</v>
          </cell>
          <cell r="D3126" t="str">
            <v>SMB</v>
          </cell>
        </row>
        <row r="3127">
          <cell r="C3127" t="str">
            <v>EUR</v>
          </cell>
          <cell r="D3127" t="str">
            <v>SMB</v>
          </cell>
        </row>
        <row r="3128">
          <cell r="C3128" t="str">
            <v>Kur Sabitleme</v>
          </cell>
          <cell r="D3128" t="str">
            <v>SMB</v>
          </cell>
        </row>
        <row r="3129">
          <cell r="C3129" t="str">
            <v>MEGA METAL SAN. VE TİC. A.Ş.</v>
          </cell>
          <cell r="D3129" t="str">
            <v>Enterprise</v>
          </cell>
          <cell r="E3129" t="str">
            <v>Üretim</v>
          </cell>
        </row>
        <row r="3130">
          <cell r="C3130" t="str">
            <v>TL</v>
          </cell>
          <cell r="D3130" t="str">
            <v>Enterprise</v>
          </cell>
        </row>
        <row r="3131">
          <cell r="C3131" t="str">
            <v>USD</v>
          </cell>
          <cell r="D3131" t="str">
            <v>Enterprise</v>
          </cell>
        </row>
        <row r="3132">
          <cell r="C3132" t="str">
            <v>EUR</v>
          </cell>
          <cell r="D3132" t="str">
            <v>Enterprise</v>
          </cell>
        </row>
        <row r="3133">
          <cell r="C3133" t="str">
            <v>Kur Sabitleme</v>
          </cell>
          <cell r="D3133" t="str">
            <v>Enterprise</v>
          </cell>
        </row>
        <row r="3134">
          <cell r="C3134" t="str">
            <v>Obilet.com Turizm Seyahat Acentası</v>
          </cell>
          <cell r="D3134" t="str">
            <v>Enterprise</v>
          </cell>
          <cell r="E3134" t="str">
            <v>Digital</v>
          </cell>
        </row>
        <row r="3135">
          <cell r="C3135" t="str">
            <v>TL</v>
          </cell>
          <cell r="D3135" t="str">
            <v>Enterprise</v>
          </cell>
        </row>
        <row r="3136">
          <cell r="C3136" t="str">
            <v>USD</v>
          </cell>
          <cell r="D3136" t="str">
            <v>Enterprise</v>
          </cell>
        </row>
        <row r="3137">
          <cell r="C3137" t="str">
            <v>EUR</v>
          </cell>
          <cell r="D3137" t="str">
            <v>Enterprise</v>
          </cell>
        </row>
        <row r="3138">
          <cell r="C3138" t="str">
            <v>Kur Sabitleme</v>
          </cell>
          <cell r="D3138" t="str">
            <v>Enterprise</v>
          </cell>
        </row>
        <row r="3139">
          <cell r="C3139" t="str">
            <v>NİSHANE</v>
          </cell>
          <cell r="D3139" t="str">
            <v>SMB</v>
          </cell>
          <cell r="E3139" t="str">
            <v>Üretim</v>
          </cell>
        </row>
        <row r="3140">
          <cell r="C3140" t="str">
            <v>TL</v>
          </cell>
          <cell r="D3140" t="str">
            <v>SMB</v>
          </cell>
        </row>
        <row r="3141">
          <cell r="C3141" t="str">
            <v>USD</v>
          </cell>
          <cell r="D3141" t="str">
            <v>SMB</v>
          </cell>
        </row>
        <row r="3142">
          <cell r="C3142" t="str">
            <v>EUR</v>
          </cell>
          <cell r="D3142" t="str">
            <v>SMB</v>
          </cell>
        </row>
        <row r="3143">
          <cell r="C3143" t="str">
            <v>Kur Sabitleme</v>
          </cell>
          <cell r="D3143" t="str">
            <v>SMB</v>
          </cell>
        </row>
        <row r="3144">
          <cell r="C3144" t="str">
            <v>ÇÖZÜM BİLGİSAYAR PROGRAM İLT. SİS. VE TEK. SERV..</v>
          </cell>
          <cell r="D3144" t="str">
            <v>SMB</v>
          </cell>
          <cell r="E3144" t="str">
            <v>Bayi</v>
          </cell>
        </row>
        <row r="3145">
          <cell r="C3145" t="str">
            <v>TL</v>
          </cell>
          <cell r="D3145" t="str">
            <v>SMB</v>
          </cell>
        </row>
        <row r="3146">
          <cell r="C3146" t="str">
            <v>USD</v>
          </cell>
          <cell r="D3146" t="str">
            <v>SMB</v>
          </cell>
        </row>
        <row r="3147">
          <cell r="C3147" t="str">
            <v>EUR</v>
          </cell>
          <cell r="D3147" t="str">
            <v>SMB</v>
          </cell>
        </row>
        <row r="3148">
          <cell r="C3148" t="str">
            <v>Kur Sabitleme</v>
          </cell>
          <cell r="D3148" t="str">
            <v>SMB</v>
          </cell>
        </row>
        <row r="3149">
          <cell r="C3149" t="str">
            <v>MATRİX LOJİSTİK</v>
          </cell>
          <cell r="D3149" t="str">
            <v>SMB</v>
          </cell>
          <cell r="E3149" t="str">
            <v>Diğer</v>
          </cell>
        </row>
        <row r="3150">
          <cell r="C3150" t="str">
            <v>TL</v>
          </cell>
          <cell r="D3150" t="str">
            <v>SMB</v>
          </cell>
        </row>
        <row r="3151">
          <cell r="C3151" t="str">
            <v>USD</v>
          </cell>
          <cell r="D3151" t="str">
            <v>SMB</v>
          </cell>
        </row>
        <row r="3152">
          <cell r="C3152" t="str">
            <v>EUR</v>
          </cell>
          <cell r="D3152" t="str">
            <v>SMB</v>
          </cell>
        </row>
        <row r="3153">
          <cell r="C3153" t="str">
            <v>Kur Sabitleme</v>
          </cell>
          <cell r="D3153" t="str">
            <v>SMB</v>
          </cell>
        </row>
        <row r="3154">
          <cell r="C3154" t="str">
            <v>DEKORATİF PASLANMAZ METAL İÇ VE DIŞ TİCARET LİMİTE</v>
          </cell>
          <cell r="D3154" t="str">
            <v>SMB</v>
          </cell>
          <cell r="E3154" t="str">
            <v>Diğer</v>
          </cell>
        </row>
        <row r="3155">
          <cell r="C3155" t="str">
            <v>TL</v>
          </cell>
          <cell r="D3155" t="str">
            <v>SMB</v>
          </cell>
        </row>
        <row r="3156">
          <cell r="C3156" t="str">
            <v>USD</v>
          </cell>
          <cell r="D3156" t="str">
            <v>SMB</v>
          </cell>
        </row>
        <row r="3157">
          <cell r="C3157" t="str">
            <v>EUR</v>
          </cell>
          <cell r="D3157" t="str">
            <v>SMB</v>
          </cell>
        </row>
        <row r="3158">
          <cell r="C3158" t="str">
            <v>Kur Sabitleme</v>
          </cell>
          <cell r="D3158" t="str">
            <v>SMB</v>
          </cell>
        </row>
        <row r="3159">
          <cell r="C3159" t="str">
            <v>SETAPAK ELEKTRONİK VE AMBALAJ MAK. SAN. TİC. LTD.Ş</v>
          </cell>
          <cell r="D3159" t="str">
            <v>SMB</v>
          </cell>
          <cell r="E3159" t="str">
            <v>Diğer</v>
          </cell>
        </row>
        <row r="3160">
          <cell r="C3160" t="str">
            <v>TL</v>
          </cell>
          <cell r="D3160" t="str">
            <v>SMB</v>
          </cell>
        </row>
        <row r="3161">
          <cell r="C3161" t="str">
            <v>USD</v>
          </cell>
          <cell r="D3161" t="str">
            <v>SMB</v>
          </cell>
        </row>
        <row r="3162">
          <cell r="C3162" t="str">
            <v>EUR</v>
          </cell>
          <cell r="D3162" t="str">
            <v>SMB</v>
          </cell>
        </row>
        <row r="3163">
          <cell r="C3163" t="str">
            <v>Kur Sabitleme</v>
          </cell>
          <cell r="D3163" t="str">
            <v>SMB</v>
          </cell>
        </row>
        <row r="3164">
          <cell r="C3164" t="str">
            <v>PARİBU TEKNOLOJİ A.Ş.</v>
          </cell>
          <cell r="D3164" t="str">
            <v>Enterprise</v>
          </cell>
          <cell r="E3164" t="str">
            <v>Finans</v>
          </cell>
        </row>
        <row r="3165">
          <cell r="C3165" t="str">
            <v>TL</v>
          </cell>
          <cell r="D3165" t="str">
            <v>Enterprise</v>
          </cell>
        </row>
        <row r="3166">
          <cell r="C3166" t="str">
            <v>USD</v>
          </cell>
          <cell r="D3166" t="str">
            <v>Enterprise</v>
          </cell>
        </row>
        <row r="3167">
          <cell r="C3167" t="str">
            <v>EUR</v>
          </cell>
          <cell r="D3167" t="str">
            <v>Enterprise</v>
          </cell>
        </row>
        <row r="3168">
          <cell r="C3168" t="str">
            <v>Kur Sabitleme</v>
          </cell>
          <cell r="D3168" t="str">
            <v>Enterprise</v>
          </cell>
        </row>
        <row r="3169">
          <cell r="C3169" t="str">
            <v>ATOZ YİYECEK VE İÇECEK İŞLETMELERİ ANONİM ŞİRKETİ</v>
          </cell>
          <cell r="D3169" t="str">
            <v>SMB</v>
          </cell>
          <cell r="E3169" t="str">
            <v>Diğer</v>
          </cell>
        </row>
        <row r="3170">
          <cell r="C3170" t="str">
            <v>TL</v>
          </cell>
          <cell r="D3170" t="str">
            <v>SMB</v>
          </cell>
        </row>
        <row r="3171">
          <cell r="C3171" t="str">
            <v>USD</v>
          </cell>
          <cell r="D3171" t="str">
            <v>SMB</v>
          </cell>
        </row>
        <row r="3172">
          <cell r="C3172" t="str">
            <v>EUR</v>
          </cell>
          <cell r="D3172" t="str">
            <v>SMB</v>
          </cell>
        </row>
        <row r="3173">
          <cell r="C3173" t="str">
            <v>Kur Sabitleme</v>
          </cell>
          <cell r="D3173" t="str">
            <v>SMB</v>
          </cell>
        </row>
        <row r="3174">
          <cell r="C3174" t="str">
            <v>AYINTAP MARKETÇİLİK (ŞEKER GROSS)</v>
          </cell>
          <cell r="D3174" t="str">
            <v>SMB</v>
          </cell>
          <cell r="E3174" t="str">
            <v>Perakende</v>
          </cell>
        </row>
        <row r="3175">
          <cell r="C3175" t="str">
            <v>TL</v>
          </cell>
          <cell r="D3175" t="str">
            <v>SMB</v>
          </cell>
        </row>
        <row r="3176">
          <cell r="C3176" t="str">
            <v>USD</v>
          </cell>
          <cell r="D3176" t="str">
            <v>SMB</v>
          </cell>
        </row>
        <row r="3177">
          <cell r="C3177" t="str">
            <v>EUR</v>
          </cell>
          <cell r="D3177" t="str">
            <v>SMB</v>
          </cell>
        </row>
        <row r="3178">
          <cell r="C3178" t="str">
            <v>Kur Sabitleme</v>
          </cell>
          <cell r="D3178" t="str">
            <v>SMB</v>
          </cell>
        </row>
        <row r="3179">
          <cell r="C3179" t="str">
            <v>HESSERS LOJİSTİK</v>
          </cell>
          <cell r="D3179" t="str">
            <v>SMB</v>
          </cell>
          <cell r="E3179" t="str">
            <v>Lojistik</v>
          </cell>
        </row>
        <row r="3180">
          <cell r="C3180" t="str">
            <v>TL</v>
          </cell>
          <cell r="D3180" t="str">
            <v>SMB</v>
          </cell>
        </row>
        <row r="3181">
          <cell r="C3181" t="str">
            <v>USD</v>
          </cell>
          <cell r="D3181" t="str">
            <v>SMB</v>
          </cell>
        </row>
        <row r="3182">
          <cell r="C3182" t="str">
            <v>EUR</v>
          </cell>
          <cell r="D3182" t="str">
            <v>SMB</v>
          </cell>
        </row>
        <row r="3183">
          <cell r="C3183" t="str">
            <v>Kur Sabitleme</v>
          </cell>
          <cell r="D3183" t="str">
            <v>SMB</v>
          </cell>
        </row>
        <row r="3184">
          <cell r="C3184" t="str">
            <v>Kumport Liman Hiz. ve Loj. San. Tic. A.Ş.</v>
          </cell>
          <cell r="D3184" t="str">
            <v>Enterprise</v>
          </cell>
          <cell r="E3184" t="str">
            <v>Lojistik</v>
          </cell>
        </row>
        <row r="3185">
          <cell r="C3185" t="str">
            <v>TL</v>
          </cell>
          <cell r="D3185" t="str">
            <v>Enterprise</v>
          </cell>
        </row>
        <row r="3186">
          <cell r="C3186" t="str">
            <v>USD</v>
          </cell>
          <cell r="D3186" t="str">
            <v>Enterprise</v>
          </cell>
        </row>
        <row r="3187">
          <cell r="C3187" t="str">
            <v>EUR</v>
          </cell>
          <cell r="D3187" t="str">
            <v>Enterprise</v>
          </cell>
        </row>
        <row r="3188">
          <cell r="C3188" t="str">
            <v>Kur Sabitleme</v>
          </cell>
          <cell r="D3188" t="str">
            <v>Enterprise</v>
          </cell>
        </row>
        <row r="3189">
          <cell r="C3189" t="str">
            <v>Dec.23 Enterprise Forecast</v>
          </cell>
          <cell r="D3189" t="str">
            <v>Enterprise</v>
          </cell>
          <cell r="E3189" t="e">
            <v>#N/A</v>
          </cell>
        </row>
        <row r="3190">
          <cell r="C3190" t="str">
            <v>TL</v>
          </cell>
          <cell r="D3190" t="str">
            <v>Enterprise</v>
          </cell>
        </row>
        <row r="3191">
          <cell r="C3191" t="str">
            <v>USD</v>
          </cell>
          <cell r="D3191" t="str">
            <v>Enterprise</v>
          </cell>
        </row>
        <row r="3192">
          <cell r="C3192" t="str">
            <v>EUR</v>
          </cell>
          <cell r="D3192" t="str">
            <v>Enterprise</v>
          </cell>
        </row>
        <row r="3193">
          <cell r="C3193" t="str">
            <v>Kur Sabitleme</v>
          </cell>
          <cell r="D3193" t="str">
            <v>Enterprise</v>
          </cell>
        </row>
        <row r="3194">
          <cell r="C3194" t="str">
            <v>SMB Churn Effect</v>
          </cell>
          <cell r="D3194" t="str">
            <v>SMB</v>
          </cell>
          <cell r="E3194" t="e">
            <v>#N/A</v>
          </cell>
        </row>
        <row r="3195">
          <cell r="C3195" t="str">
            <v>TL</v>
          </cell>
          <cell r="D3195" t="str">
            <v>SMB</v>
          </cell>
        </row>
        <row r="3196">
          <cell r="C3196" t="str">
            <v>USD</v>
          </cell>
          <cell r="D3196" t="str">
            <v>SMB</v>
          </cell>
        </row>
        <row r="3197">
          <cell r="C3197" t="str">
            <v>EUR</v>
          </cell>
          <cell r="D3197" t="str">
            <v>SMB</v>
          </cell>
        </row>
        <row r="3198">
          <cell r="C3198" t="str">
            <v>Kur Sabitleme</v>
          </cell>
          <cell r="D3198" t="str">
            <v>SMB</v>
          </cell>
        </row>
        <row r="3199">
          <cell r="C3199" t="str">
            <v>SMB USD ARA ZAM</v>
          </cell>
          <cell r="D3199" t="str">
            <v>SMB</v>
          </cell>
          <cell r="E3199" t="e">
            <v>#N/A</v>
          </cell>
        </row>
        <row r="3200">
          <cell r="C3200" t="str">
            <v>TL</v>
          </cell>
          <cell r="D3200" t="str">
            <v>SMB</v>
          </cell>
        </row>
        <row r="3201">
          <cell r="C3201" t="str">
            <v>USD</v>
          </cell>
          <cell r="D3201" t="str">
            <v>SMB</v>
          </cell>
        </row>
        <row r="3202">
          <cell r="C3202" t="str">
            <v>EUR</v>
          </cell>
          <cell r="D3202" t="str">
            <v>SMB</v>
          </cell>
        </row>
        <row r="3203">
          <cell r="C3203" t="str">
            <v>Kur Sabitleme</v>
          </cell>
          <cell r="D3203" t="str">
            <v>SMB</v>
          </cell>
        </row>
        <row r="3204">
          <cell r="C3204" t="str">
            <v>SMB Existing Effect</v>
          </cell>
          <cell r="D3204" t="str">
            <v>SMB</v>
          </cell>
          <cell r="E3204" t="e">
            <v>#N/A</v>
          </cell>
        </row>
        <row r="3205">
          <cell r="C3205" t="str">
            <v>TL</v>
          </cell>
          <cell r="D3205" t="str">
            <v>SMB</v>
          </cell>
        </row>
        <row r="3206">
          <cell r="C3206" t="str">
            <v>USD</v>
          </cell>
          <cell r="D3206" t="str">
            <v>SMB</v>
          </cell>
        </row>
        <row r="3207">
          <cell r="C3207" t="str">
            <v>EUR</v>
          </cell>
          <cell r="D3207" t="str">
            <v>SMB</v>
          </cell>
        </row>
        <row r="3208">
          <cell r="C3208" t="str">
            <v>Kur Sabitleme</v>
          </cell>
          <cell r="D3208" t="str">
            <v>SMB</v>
          </cell>
        </row>
        <row r="3209">
          <cell r="C3209" t="str">
            <v>NEW CUSTOMER - 2023-2</v>
          </cell>
          <cell r="D3209" t="str">
            <v>Enterprise</v>
          </cell>
          <cell r="E3209" t="e">
            <v>#N/A</v>
          </cell>
        </row>
        <row r="3210">
          <cell r="C3210" t="str">
            <v>TL</v>
          </cell>
          <cell r="D3210" t="str">
            <v>Enterprise</v>
          </cell>
        </row>
        <row r="3211">
          <cell r="C3211" t="str">
            <v>USD</v>
          </cell>
          <cell r="D3211" t="str">
            <v>Enterprise</v>
          </cell>
        </row>
        <row r="3212">
          <cell r="C3212" t="str">
            <v>EUR</v>
          </cell>
          <cell r="D3212" t="str">
            <v>Enterprise</v>
          </cell>
        </row>
        <row r="3213">
          <cell r="C3213" t="str">
            <v>Kur Sabitleme</v>
          </cell>
          <cell r="D3213" t="str">
            <v>Enterprise</v>
          </cell>
        </row>
        <row r="3214">
          <cell r="C3214" t="str">
            <v>NEW CUSTOMER - 2023-3</v>
          </cell>
          <cell r="D3214" t="str">
            <v>Enterprise</v>
          </cell>
          <cell r="E3214" t="e">
            <v>#N/A</v>
          </cell>
        </row>
        <row r="3215">
          <cell r="C3215" t="str">
            <v>TL</v>
          </cell>
          <cell r="D3215" t="str">
            <v>Enterprise</v>
          </cell>
        </row>
        <row r="3216">
          <cell r="C3216" t="str">
            <v>USD</v>
          </cell>
          <cell r="D3216" t="str">
            <v>Enterprise</v>
          </cell>
        </row>
        <row r="3217">
          <cell r="C3217" t="str">
            <v>EUR</v>
          </cell>
          <cell r="D3217" t="str">
            <v>Enterprise</v>
          </cell>
        </row>
        <row r="3218">
          <cell r="C3218" t="str">
            <v>Kur Sabitleme</v>
          </cell>
          <cell r="D3218" t="str">
            <v>Enterprise</v>
          </cell>
        </row>
        <row r="3219">
          <cell r="C3219" t="str">
            <v>NEW CUSTOMER - 2023-4</v>
          </cell>
          <cell r="D3219" t="str">
            <v>Enterprise</v>
          </cell>
          <cell r="E3219" t="e">
            <v>#N/A</v>
          </cell>
        </row>
        <row r="3220">
          <cell r="C3220" t="str">
            <v>TL</v>
          </cell>
          <cell r="D3220" t="str">
            <v>Enterprise</v>
          </cell>
        </row>
        <row r="3221">
          <cell r="C3221" t="str">
            <v>USD</v>
          </cell>
          <cell r="D3221" t="str">
            <v>Enterprise</v>
          </cell>
        </row>
        <row r="3222">
          <cell r="C3222" t="str">
            <v>EUR</v>
          </cell>
          <cell r="D3222" t="str">
            <v>Enterprise</v>
          </cell>
        </row>
        <row r="3223">
          <cell r="C3223" t="str">
            <v>Kur Sabitleme</v>
          </cell>
          <cell r="D3223" t="str">
            <v>Enterprise</v>
          </cell>
        </row>
        <row r="3224">
          <cell r="C3224" t="str">
            <v>NEW CUSTOMER - 2023-5</v>
          </cell>
          <cell r="D3224" t="str">
            <v>Enterprise</v>
          </cell>
          <cell r="E3224" t="e">
            <v>#N/A</v>
          </cell>
        </row>
        <row r="3225">
          <cell r="C3225" t="str">
            <v>TL</v>
          </cell>
          <cell r="D3225" t="str">
            <v>Enterprise</v>
          </cell>
        </row>
        <row r="3226">
          <cell r="C3226" t="str">
            <v>USD</v>
          </cell>
          <cell r="D3226" t="str">
            <v>Enterprise</v>
          </cell>
        </row>
        <row r="3227">
          <cell r="C3227" t="str">
            <v>EUR</v>
          </cell>
          <cell r="D3227" t="str">
            <v>Enterprise</v>
          </cell>
        </row>
        <row r="3228">
          <cell r="C3228" t="str">
            <v>Kur Sabitleme</v>
          </cell>
          <cell r="D3228" t="str">
            <v>Enterprise</v>
          </cell>
        </row>
        <row r="3229">
          <cell r="C3229" t="str">
            <v>NEW CUSTOMER - 2023-6</v>
          </cell>
          <cell r="D3229" t="str">
            <v>Enterprise</v>
          </cell>
          <cell r="E3229" t="e">
            <v>#N/A</v>
          </cell>
        </row>
        <row r="3230">
          <cell r="C3230" t="str">
            <v>TL</v>
          </cell>
          <cell r="D3230" t="str">
            <v>Enterprise</v>
          </cell>
        </row>
        <row r="3231">
          <cell r="C3231" t="str">
            <v>USD</v>
          </cell>
          <cell r="D3231" t="str">
            <v>Enterprise</v>
          </cell>
        </row>
        <row r="3232">
          <cell r="C3232" t="str">
            <v>EUR</v>
          </cell>
          <cell r="D3232" t="str">
            <v>Enterprise</v>
          </cell>
        </row>
        <row r="3233">
          <cell r="C3233" t="str">
            <v>Kur Sabitleme</v>
          </cell>
          <cell r="D3233" t="str">
            <v>Enterprise</v>
          </cell>
        </row>
        <row r="3234">
          <cell r="C3234" t="str">
            <v>NEW CUSTOMER - 2024-1</v>
          </cell>
          <cell r="D3234" t="str">
            <v>Enterprise</v>
          </cell>
          <cell r="E3234" t="e">
            <v>#N/A</v>
          </cell>
        </row>
        <row r="3235">
          <cell r="C3235" t="str">
            <v>TL</v>
          </cell>
          <cell r="D3235" t="str">
            <v>Enterprise</v>
          </cell>
        </row>
        <row r="3236">
          <cell r="C3236" t="str">
            <v>USD</v>
          </cell>
          <cell r="D3236" t="str">
            <v>Enterprise</v>
          </cell>
        </row>
        <row r="3237">
          <cell r="C3237" t="str">
            <v>EUR</v>
          </cell>
          <cell r="D3237" t="str">
            <v>Enterprise</v>
          </cell>
        </row>
        <row r="3238">
          <cell r="C3238" t="str">
            <v>Kur Sabitleme</v>
          </cell>
          <cell r="D3238" t="str">
            <v>Enterprise</v>
          </cell>
        </row>
        <row r="3239">
          <cell r="C3239" t="str">
            <v>NEW CUSTOMER - 2024-2</v>
          </cell>
          <cell r="D3239" t="str">
            <v>Enterprise</v>
          </cell>
          <cell r="E3239" t="e">
            <v>#N/A</v>
          </cell>
        </row>
        <row r="3240">
          <cell r="C3240" t="str">
            <v>TL</v>
          </cell>
          <cell r="D3240" t="str">
            <v>Enterprise</v>
          </cell>
        </row>
        <row r="3241">
          <cell r="C3241" t="str">
            <v>USD</v>
          </cell>
          <cell r="D3241" t="str">
            <v>Enterprise</v>
          </cell>
        </row>
        <row r="3242">
          <cell r="C3242" t="str">
            <v>EUR</v>
          </cell>
          <cell r="D3242" t="str">
            <v>Enterprise</v>
          </cell>
        </row>
        <row r="3243">
          <cell r="C3243" t="str">
            <v>Kur Sabitleme</v>
          </cell>
          <cell r="D3243" t="str">
            <v>Enterprise</v>
          </cell>
        </row>
        <row r="3244">
          <cell r="C3244" t="str">
            <v>NEW CUSTOMER - 2024-3</v>
          </cell>
          <cell r="D3244" t="str">
            <v>Enterprise</v>
          </cell>
          <cell r="E3244" t="e">
            <v>#N/A</v>
          </cell>
        </row>
        <row r="3245">
          <cell r="C3245" t="str">
            <v>TL</v>
          </cell>
          <cell r="D3245" t="str">
            <v>Enterprise</v>
          </cell>
        </row>
        <row r="3246">
          <cell r="C3246" t="str">
            <v>USD</v>
          </cell>
          <cell r="D3246" t="str">
            <v>Enterprise</v>
          </cell>
        </row>
        <row r="3247">
          <cell r="C3247" t="str">
            <v>EUR</v>
          </cell>
          <cell r="D3247" t="str">
            <v>Enterprise</v>
          </cell>
        </row>
        <row r="3248">
          <cell r="C3248" t="str">
            <v>Kur Sabitleme</v>
          </cell>
          <cell r="D3248" t="str">
            <v>Enterprise</v>
          </cell>
        </row>
        <row r="3249">
          <cell r="C3249" t="str">
            <v>NEW CUSTOMER - 2024-4</v>
          </cell>
          <cell r="D3249" t="str">
            <v>Enterprise</v>
          </cell>
          <cell r="E3249" t="e">
            <v>#N/A</v>
          </cell>
        </row>
        <row r="3250">
          <cell r="C3250" t="str">
            <v>TL</v>
          </cell>
          <cell r="D3250" t="str">
            <v>Enterprise</v>
          </cell>
        </row>
        <row r="3251">
          <cell r="C3251" t="str">
            <v>USD</v>
          </cell>
          <cell r="D3251" t="str">
            <v>Enterprise</v>
          </cell>
        </row>
        <row r="3252">
          <cell r="C3252" t="str">
            <v>EUR</v>
          </cell>
          <cell r="D3252" t="str">
            <v>Enterprise</v>
          </cell>
        </row>
        <row r="3253">
          <cell r="C3253" t="str">
            <v>Kur Sabitleme</v>
          </cell>
          <cell r="D3253" t="str">
            <v>Enterprise</v>
          </cell>
        </row>
        <row r="3254">
          <cell r="C3254" t="str">
            <v>NEW CUSTOMER - 2024-5</v>
          </cell>
          <cell r="D3254" t="str">
            <v>Enterprise</v>
          </cell>
          <cell r="E3254" t="e">
            <v>#N/A</v>
          </cell>
        </row>
        <row r="3255">
          <cell r="C3255" t="str">
            <v>TL</v>
          </cell>
          <cell r="D3255" t="str">
            <v>Enterprise</v>
          </cell>
        </row>
        <row r="3256">
          <cell r="C3256" t="str">
            <v>USD</v>
          </cell>
          <cell r="D3256" t="str">
            <v>Enterprise</v>
          </cell>
        </row>
        <row r="3257">
          <cell r="C3257" t="str">
            <v>EUR</v>
          </cell>
          <cell r="D3257" t="str">
            <v>Enterprise</v>
          </cell>
        </row>
        <row r="3258">
          <cell r="C3258" t="str">
            <v>Kur Sabitleme</v>
          </cell>
          <cell r="D3258" t="str">
            <v>Enterprise</v>
          </cell>
        </row>
        <row r="3259">
          <cell r="C3259" t="str">
            <v>NEW CUSTOMER - 2024-6</v>
          </cell>
          <cell r="D3259" t="str">
            <v>Enterprise</v>
          </cell>
          <cell r="E3259" t="e">
            <v>#N/A</v>
          </cell>
        </row>
        <row r="3260">
          <cell r="C3260" t="str">
            <v>TL</v>
          </cell>
          <cell r="D3260" t="str">
            <v>Enterprise</v>
          </cell>
        </row>
        <row r="3261">
          <cell r="C3261" t="str">
            <v>USD</v>
          </cell>
          <cell r="D3261" t="str">
            <v>Enterprise</v>
          </cell>
        </row>
        <row r="3262">
          <cell r="C3262" t="str">
            <v>EUR</v>
          </cell>
          <cell r="D3262" t="str">
            <v>Enterprise</v>
          </cell>
        </row>
        <row r="3263">
          <cell r="C3263" t="str">
            <v>Kur Sabitleme</v>
          </cell>
          <cell r="D3263" t="str">
            <v>Enterprise</v>
          </cell>
        </row>
        <row r="3264">
          <cell r="C3264" t="str">
            <v>NEW CUSTOMER - 2024-7</v>
          </cell>
          <cell r="D3264" t="str">
            <v>Enterprise</v>
          </cell>
          <cell r="E3264" t="e">
            <v>#N/A</v>
          </cell>
        </row>
        <row r="3265">
          <cell r="C3265" t="str">
            <v>TL</v>
          </cell>
          <cell r="D3265" t="str">
            <v>Enterprise</v>
          </cell>
        </row>
        <row r="3266">
          <cell r="C3266" t="str">
            <v>USD</v>
          </cell>
          <cell r="D3266" t="str">
            <v>Enterprise</v>
          </cell>
        </row>
        <row r="3267">
          <cell r="C3267" t="str">
            <v>EUR</v>
          </cell>
          <cell r="D3267" t="str">
            <v>Enterprise</v>
          </cell>
        </row>
        <row r="3268">
          <cell r="C3268" t="str">
            <v>Kur Sabitleme</v>
          </cell>
          <cell r="D3268" t="str">
            <v>Enterprise</v>
          </cell>
        </row>
        <row r="3269">
          <cell r="C3269" t="str">
            <v>NEW CUSTOMER - 2024-8</v>
          </cell>
          <cell r="D3269" t="str">
            <v>Enterprise</v>
          </cell>
          <cell r="E3269" t="e">
            <v>#N/A</v>
          </cell>
        </row>
        <row r="3270">
          <cell r="C3270" t="str">
            <v>TL</v>
          </cell>
          <cell r="D3270" t="str">
            <v>Enterprise</v>
          </cell>
        </row>
        <row r="3271">
          <cell r="C3271" t="str">
            <v>USD</v>
          </cell>
          <cell r="D3271" t="str">
            <v>Enterprise</v>
          </cell>
        </row>
        <row r="3272">
          <cell r="C3272" t="str">
            <v>EUR</v>
          </cell>
          <cell r="D3272" t="str">
            <v>Enterprise</v>
          </cell>
        </row>
        <row r="3273">
          <cell r="C3273" t="str">
            <v>Kur Sabitleme</v>
          </cell>
          <cell r="D3273" t="str">
            <v>Enterprise</v>
          </cell>
        </row>
        <row r="3274">
          <cell r="C3274" t="str">
            <v>NEW CUSTOMER - 2024-9</v>
          </cell>
          <cell r="D3274" t="str">
            <v>Enterprise</v>
          </cell>
          <cell r="E3274" t="e">
            <v>#N/A</v>
          </cell>
        </row>
        <row r="3275">
          <cell r="C3275" t="str">
            <v>TL</v>
          </cell>
          <cell r="D3275" t="str">
            <v>Enterprise</v>
          </cell>
        </row>
        <row r="3276">
          <cell r="C3276" t="str">
            <v>USD</v>
          </cell>
          <cell r="D3276" t="str">
            <v>Enterprise</v>
          </cell>
        </row>
        <row r="3277">
          <cell r="C3277" t="str">
            <v>EUR</v>
          </cell>
          <cell r="D3277" t="str">
            <v>Enterprise</v>
          </cell>
        </row>
        <row r="3278">
          <cell r="C3278" t="str">
            <v>Kur Sabitleme</v>
          </cell>
          <cell r="D3278" t="str">
            <v>Enterprise</v>
          </cell>
        </row>
        <row r="3279">
          <cell r="C3279" t="str">
            <v>NEW CUSTOMER - 2024-10</v>
          </cell>
          <cell r="D3279" t="str">
            <v>Enterprise</v>
          </cell>
          <cell r="E3279" t="e">
            <v>#N/A</v>
          </cell>
        </row>
        <row r="3280">
          <cell r="C3280" t="str">
            <v>TL</v>
          </cell>
          <cell r="D3280" t="str">
            <v>Enterprise</v>
          </cell>
        </row>
        <row r="3281">
          <cell r="C3281" t="str">
            <v>USD</v>
          </cell>
          <cell r="D3281" t="str">
            <v>Enterprise</v>
          </cell>
        </row>
        <row r="3282">
          <cell r="C3282" t="str">
            <v>EUR</v>
          </cell>
          <cell r="D3282" t="str">
            <v>Enterprise</v>
          </cell>
        </row>
        <row r="3283">
          <cell r="C3283" t="str">
            <v>Kur Sabitleme</v>
          </cell>
          <cell r="D3283" t="str">
            <v>Enterprise</v>
          </cell>
        </row>
        <row r="3284">
          <cell r="C3284" t="str">
            <v>NEW CUSTOMER - 2024-11</v>
          </cell>
          <cell r="D3284" t="str">
            <v>Enterprise</v>
          </cell>
          <cell r="E3284" t="e">
            <v>#N/A</v>
          </cell>
        </row>
        <row r="3285">
          <cell r="C3285" t="str">
            <v>TL</v>
          </cell>
          <cell r="D3285" t="str">
            <v>Enterprise</v>
          </cell>
        </row>
        <row r="3286">
          <cell r="C3286" t="str">
            <v>USD</v>
          </cell>
          <cell r="D3286" t="str">
            <v>Enterprise</v>
          </cell>
        </row>
        <row r="3287">
          <cell r="C3287" t="str">
            <v>EUR</v>
          </cell>
          <cell r="D3287" t="str">
            <v>Enterprise</v>
          </cell>
        </row>
        <row r="3288">
          <cell r="C3288" t="str">
            <v>Kur Sabitleme</v>
          </cell>
          <cell r="D3288" t="str">
            <v>Enterprise</v>
          </cell>
        </row>
        <row r="3289">
          <cell r="C3289" t="str">
            <v>NEW CUSTOMER - 2024-12</v>
          </cell>
          <cell r="D3289" t="str">
            <v>Enterprise</v>
          </cell>
          <cell r="E3289" t="e">
            <v>#N/A</v>
          </cell>
        </row>
        <row r="3290">
          <cell r="C3290" t="str">
            <v>TL</v>
          </cell>
          <cell r="D3290" t="str">
            <v>Enterprise</v>
          </cell>
        </row>
        <row r="3291">
          <cell r="C3291" t="str">
            <v>USD</v>
          </cell>
          <cell r="D3291" t="str">
            <v>Enterprise</v>
          </cell>
        </row>
        <row r="3292">
          <cell r="C3292" t="str">
            <v>EUR</v>
          </cell>
          <cell r="D3292" t="str">
            <v>Enterprise</v>
          </cell>
        </row>
        <row r="3293">
          <cell r="C3293" t="str">
            <v>Kur Sabitleme</v>
          </cell>
          <cell r="D3293" t="str">
            <v>Enterprise</v>
          </cell>
        </row>
        <row r="3294">
          <cell r="C3294" t="str">
            <v>NEW CUSTOMER - 2024-13</v>
          </cell>
          <cell r="D3294" t="str">
            <v>Enterprise</v>
          </cell>
          <cell r="E3294" t="e">
            <v>#N/A</v>
          </cell>
        </row>
        <row r="3295">
          <cell r="C3295" t="str">
            <v>TL</v>
          </cell>
          <cell r="D3295" t="str">
            <v>Enterprise</v>
          </cell>
        </row>
        <row r="3296">
          <cell r="C3296" t="str">
            <v>USD</v>
          </cell>
          <cell r="D3296" t="str">
            <v>Enterprise</v>
          </cell>
        </row>
        <row r="3297">
          <cell r="C3297" t="str">
            <v>EUR</v>
          </cell>
          <cell r="D3297" t="str">
            <v>Enterprise</v>
          </cell>
        </row>
        <row r="3298">
          <cell r="C3298" t="str">
            <v>Kur Sabitleme</v>
          </cell>
          <cell r="D3298" t="str">
            <v>Enterprise</v>
          </cell>
        </row>
        <row r="3299">
          <cell r="C3299" t="str">
            <v>NEW CUSTOMER - 2024-14</v>
          </cell>
          <cell r="D3299" t="str">
            <v>Enterprise</v>
          </cell>
          <cell r="E3299" t="e">
            <v>#N/A</v>
          </cell>
        </row>
        <row r="3300">
          <cell r="C3300" t="str">
            <v>TL</v>
          </cell>
          <cell r="D3300" t="str">
            <v>Enterprise</v>
          </cell>
        </row>
        <row r="3301">
          <cell r="C3301" t="str">
            <v>USD</v>
          </cell>
          <cell r="D3301" t="str">
            <v>Enterprise</v>
          </cell>
        </row>
        <row r="3302">
          <cell r="C3302" t="str">
            <v>EUR</v>
          </cell>
          <cell r="D3302" t="str">
            <v>Enterprise</v>
          </cell>
        </row>
        <row r="3303">
          <cell r="C3303" t="str">
            <v>Kur Sabitleme</v>
          </cell>
          <cell r="D3303" t="str">
            <v>Enterprise</v>
          </cell>
        </row>
        <row r="3304">
          <cell r="C3304" t="str">
            <v>NEW CUSTOMER - 2024-15</v>
          </cell>
          <cell r="D3304" t="str">
            <v>Enterprise</v>
          </cell>
          <cell r="E3304" t="e">
            <v>#N/A</v>
          </cell>
        </row>
        <row r="3305">
          <cell r="C3305" t="str">
            <v>TL</v>
          </cell>
          <cell r="D3305" t="str">
            <v>Enterprise</v>
          </cell>
        </row>
        <row r="3306">
          <cell r="C3306" t="str">
            <v>USD</v>
          </cell>
          <cell r="D3306" t="str">
            <v>Enterprise</v>
          </cell>
        </row>
        <row r="3307">
          <cell r="C3307" t="str">
            <v>EUR</v>
          </cell>
          <cell r="D3307" t="str">
            <v>Enterprise</v>
          </cell>
        </row>
        <row r="3308">
          <cell r="C3308" t="str">
            <v>Kur Sabitleme</v>
          </cell>
          <cell r="D3308" t="str">
            <v>Enterprise</v>
          </cell>
        </row>
        <row r="3309">
          <cell r="C3309" t="str">
            <v>NEW CUSTOMER - 2024-16</v>
          </cell>
          <cell r="D3309" t="str">
            <v>Enterprise</v>
          </cell>
          <cell r="E3309" t="e">
            <v>#N/A</v>
          </cell>
        </row>
        <row r="3310">
          <cell r="C3310" t="str">
            <v>TL</v>
          </cell>
          <cell r="D3310" t="str">
            <v>Enterprise</v>
          </cell>
        </row>
        <row r="3311">
          <cell r="C3311" t="str">
            <v>USD</v>
          </cell>
          <cell r="D3311" t="str">
            <v>Enterprise</v>
          </cell>
        </row>
        <row r="3312">
          <cell r="C3312" t="str">
            <v>EUR</v>
          </cell>
          <cell r="D3312" t="str">
            <v>Enterprise</v>
          </cell>
        </row>
        <row r="3313">
          <cell r="C3313" t="str">
            <v>Kur Sabitleme</v>
          </cell>
          <cell r="D3313" t="str">
            <v>Enterprise</v>
          </cell>
        </row>
        <row r="3314">
          <cell r="C3314" t="str">
            <v>NEW CUSTOMER - 2024-17</v>
          </cell>
          <cell r="D3314" t="str">
            <v>Enterprise</v>
          </cell>
          <cell r="E3314" t="e">
            <v>#N/A</v>
          </cell>
        </row>
        <row r="3315">
          <cell r="C3315" t="str">
            <v>TL</v>
          </cell>
          <cell r="D3315" t="str">
            <v>Enterprise</v>
          </cell>
        </row>
        <row r="3316">
          <cell r="C3316" t="str">
            <v>USD</v>
          </cell>
          <cell r="D3316" t="str">
            <v>Enterprise</v>
          </cell>
        </row>
        <row r="3317">
          <cell r="C3317" t="str">
            <v>EUR</v>
          </cell>
          <cell r="D3317" t="str">
            <v>Enterprise</v>
          </cell>
        </row>
        <row r="3318">
          <cell r="C3318" t="str">
            <v>Kur Sabitleme</v>
          </cell>
          <cell r="D3318" t="str">
            <v>Enterprise</v>
          </cell>
        </row>
        <row r="3319">
          <cell r="C3319" t="str">
            <v>DICLE ÜNIVERSITESI</v>
          </cell>
          <cell r="D3319" t="str">
            <v>SMB</v>
          </cell>
          <cell r="E3319" t="e">
            <v>#N/A</v>
          </cell>
        </row>
        <row r="3320">
          <cell r="C3320" t="str">
            <v>TL</v>
          </cell>
          <cell r="D3320" t="str">
            <v>SMB</v>
          </cell>
        </row>
        <row r="3321">
          <cell r="C3321" t="str">
            <v>USD</v>
          </cell>
          <cell r="D3321" t="str">
            <v>SMB</v>
          </cell>
        </row>
        <row r="3322">
          <cell r="C3322" t="str">
            <v>EUR</v>
          </cell>
          <cell r="D3322" t="str">
            <v>SMB</v>
          </cell>
        </row>
        <row r="3323">
          <cell r="C3323" t="str">
            <v>Kur Sabitleme</v>
          </cell>
          <cell r="D3323" t="str">
            <v>SMB</v>
          </cell>
        </row>
        <row r="3324">
          <cell r="C3324" t="str">
            <v xml:space="preserve">SOLVENTAS TEKNIK DEPOLAMA A.S. </v>
          </cell>
          <cell r="D3324" t="str">
            <v>SMB</v>
          </cell>
          <cell r="E3324" t="str">
            <v>Lojistik</v>
          </cell>
        </row>
        <row r="3325">
          <cell r="C3325" t="str">
            <v>TL</v>
          </cell>
          <cell r="D3325" t="str">
            <v>SMB</v>
          </cell>
        </row>
        <row r="3326">
          <cell r="C3326" t="str">
            <v>TL</v>
          </cell>
          <cell r="D3326" t="str">
            <v>SMB</v>
          </cell>
        </row>
        <row r="3327">
          <cell r="C3327" t="str">
            <v>USD</v>
          </cell>
          <cell r="D3327" t="str">
            <v>SMB</v>
          </cell>
        </row>
        <row r="3328">
          <cell r="C3328" t="str">
            <v>EUR</v>
          </cell>
          <cell r="D3328" t="str">
            <v>SMB</v>
          </cell>
        </row>
        <row r="3329">
          <cell r="C3329" t="str">
            <v>Kur Sabitleme</v>
          </cell>
          <cell r="D3329" t="str">
            <v>SMB</v>
          </cell>
        </row>
        <row r="3330">
          <cell r="C3330" t="str">
            <v>TURKISH DO &amp; CO  (TREO BAKIM)</v>
          </cell>
          <cell r="D3330" t="str">
            <v>SMB</v>
          </cell>
          <cell r="E3330" t="e">
            <v>#N/A</v>
          </cell>
        </row>
        <row r="3331">
          <cell r="C3331" t="str">
            <v>TL</v>
          </cell>
          <cell r="D3331" t="str">
            <v>SMB</v>
          </cell>
        </row>
        <row r="3332">
          <cell r="C3332" t="str">
            <v>USD</v>
          </cell>
          <cell r="D3332" t="str">
            <v>SMB</v>
          </cell>
        </row>
        <row r="3333">
          <cell r="C3333" t="str">
            <v>EUR</v>
          </cell>
          <cell r="D3333" t="str">
            <v>SMB</v>
          </cell>
        </row>
        <row r="3334">
          <cell r="C3334" t="str">
            <v>Kur Sabitleme</v>
          </cell>
          <cell r="D3334" t="str">
            <v>SMB</v>
          </cell>
        </row>
        <row r="3335">
          <cell r="C3335" t="str">
            <v>AKSAN KOZMETIK SAN. VE TIC. A.S.</v>
          </cell>
          <cell r="D3335" t="str">
            <v>SMB</v>
          </cell>
          <cell r="E3335" t="e">
            <v>#N/A</v>
          </cell>
        </row>
        <row r="3336">
          <cell r="C3336" t="str">
            <v>TL</v>
          </cell>
          <cell r="D3336" t="str">
            <v>SMB</v>
          </cell>
        </row>
        <row r="3337">
          <cell r="C3337" t="str">
            <v>USD</v>
          </cell>
          <cell r="D3337" t="str">
            <v>SMB</v>
          </cell>
        </row>
        <row r="3338">
          <cell r="C3338" t="str">
            <v>EUR</v>
          </cell>
          <cell r="D3338" t="str">
            <v>SMB</v>
          </cell>
        </row>
        <row r="3339">
          <cell r="C3339" t="str">
            <v>Kur Sabitleme</v>
          </cell>
          <cell r="D3339" t="str">
            <v>SMB</v>
          </cell>
        </row>
        <row r="3340">
          <cell r="C3340" t="str">
            <v>ŞEKERBANK T.A.S.</v>
          </cell>
          <cell r="D3340" t="str">
            <v>Enterprise</v>
          </cell>
          <cell r="E3340" t="e">
            <v>#N/A</v>
          </cell>
        </row>
        <row r="3341">
          <cell r="C3341" t="str">
            <v>TL</v>
          </cell>
          <cell r="D3341" t="str">
            <v>Enterprise</v>
          </cell>
        </row>
        <row r="3342">
          <cell r="C3342" t="str">
            <v>USD</v>
          </cell>
          <cell r="D3342" t="str">
            <v>Enterprise</v>
          </cell>
        </row>
        <row r="3343">
          <cell r="C3343" t="str">
            <v>EUR</v>
          </cell>
          <cell r="D3343" t="str">
            <v>Enterprise</v>
          </cell>
        </row>
        <row r="3344">
          <cell r="C3344" t="str">
            <v>Kur Sabitleme</v>
          </cell>
          <cell r="D3344" t="str">
            <v>Enterprise</v>
          </cell>
        </row>
        <row r="3345">
          <cell r="C3345" t="str">
            <v>MAYEN TELEKOMİNİKASYON HİZMETLERİ A.Ş.</v>
          </cell>
          <cell r="D3345" t="str">
            <v>SMB</v>
          </cell>
          <cell r="E3345" t="e">
            <v>#N/A</v>
          </cell>
        </row>
        <row r="3346">
          <cell r="C3346" t="str">
            <v>TL</v>
          </cell>
          <cell r="D3346" t="str">
            <v>SMB</v>
          </cell>
        </row>
        <row r="3347">
          <cell r="C3347" t="str">
            <v>USD</v>
          </cell>
          <cell r="D3347" t="str">
            <v>SMB</v>
          </cell>
        </row>
        <row r="3348">
          <cell r="C3348" t="str">
            <v>EUR</v>
          </cell>
          <cell r="D3348" t="str">
            <v>SMB</v>
          </cell>
        </row>
        <row r="3349">
          <cell r="C3349" t="str">
            <v>Kur Sabitleme</v>
          </cell>
          <cell r="D3349" t="str">
            <v>SMB</v>
          </cell>
        </row>
        <row r="3350">
          <cell r="C3350" t="str">
            <v>EURO GIDA</v>
          </cell>
          <cell r="D3350" t="str">
            <v>SMB</v>
          </cell>
          <cell r="E3350" t="e">
            <v>#N/A</v>
          </cell>
        </row>
        <row r="3351">
          <cell r="C3351" t="str">
            <v>TL</v>
          </cell>
          <cell r="D3351" t="str">
            <v>SMB</v>
          </cell>
        </row>
        <row r="3352">
          <cell r="C3352" t="str">
            <v>USD</v>
          </cell>
          <cell r="D3352" t="str">
            <v>SMB</v>
          </cell>
        </row>
        <row r="3353">
          <cell r="C3353" t="str">
            <v>EUR</v>
          </cell>
          <cell r="D3353" t="str">
            <v>SMB</v>
          </cell>
        </row>
        <row r="3354">
          <cell r="C3354" t="str">
            <v>Kur Sabitleme</v>
          </cell>
          <cell r="D3354" t="str">
            <v>SMB</v>
          </cell>
        </row>
        <row r="3355">
          <cell r="C3355" t="str">
            <v>KALE HAVACILIK SANAYİ A.Ş.</v>
          </cell>
          <cell r="D3355" t="str">
            <v>Enterprise</v>
          </cell>
          <cell r="E3355" t="e">
            <v>#N/A</v>
          </cell>
        </row>
        <row r="3356">
          <cell r="C3356" t="str">
            <v>TL</v>
          </cell>
          <cell r="D3356" t="str">
            <v>Enterprise</v>
          </cell>
        </row>
        <row r="3357">
          <cell r="C3357" t="str">
            <v>USD</v>
          </cell>
          <cell r="D3357" t="str">
            <v>Enterprise</v>
          </cell>
        </row>
        <row r="3358">
          <cell r="C3358" t="str">
            <v>EUR</v>
          </cell>
          <cell r="D3358" t="str">
            <v>Enterprise</v>
          </cell>
        </row>
        <row r="3359">
          <cell r="C3359" t="str">
            <v>Kur Sabitleme</v>
          </cell>
          <cell r="D3359" t="str">
            <v>Enterprise</v>
          </cell>
        </row>
        <row r="3360">
          <cell r="C3360" t="str">
            <v>DIGITURK KREA IÇERIK HIZMETLERI VE PRODÜKSIYON A.S</v>
          </cell>
          <cell r="D3360" t="str">
            <v>Enterprise</v>
          </cell>
          <cell r="E3360" t="str">
            <v>Genel</v>
          </cell>
        </row>
        <row r="3361">
          <cell r="C3361" t="str">
            <v>TL</v>
          </cell>
          <cell r="D3361" t="str">
            <v>Enterprise</v>
          </cell>
        </row>
        <row r="3362">
          <cell r="C3362" t="str">
            <v>TL</v>
          </cell>
          <cell r="D3362" t="str">
            <v>Enterprise</v>
          </cell>
        </row>
        <row r="3363">
          <cell r="C3363" t="str">
            <v>TL</v>
          </cell>
          <cell r="D3363" t="str">
            <v>Enterprise</v>
          </cell>
        </row>
        <row r="3364">
          <cell r="C3364" t="str">
            <v>TL</v>
          </cell>
          <cell r="D3364" t="str">
            <v>Enterprise</v>
          </cell>
        </row>
        <row r="3365">
          <cell r="C3365" t="str">
            <v>USD</v>
          </cell>
          <cell r="D3365" t="str">
            <v>Enterprise</v>
          </cell>
        </row>
        <row r="3366">
          <cell r="C3366" t="str">
            <v>EUR</v>
          </cell>
          <cell r="D3366" t="str">
            <v>Enterprise</v>
          </cell>
        </row>
        <row r="3367">
          <cell r="C3367" t="str">
            <v>Kur Sabitleme</v>
          </cell>
          <cell r="D3367" t="str">
            <v>Enterprise</v>
          </cell>
        </row>
        <row r="3368">
          <cell r="C3368" t="str">
            <v>ICBC</v>
          </cell>
          <cell r="D3368" t="str">
            <v>Enterprise</v>
          </cell>
          <cell r="E3368" t="e">
            <v>#N/A</v>
          </cell>
        </row>
        <row r="3369">
          <cell r="C3369" t="str">
            <v>TL</v>
          </cell>
          <cell r="D3369" t="str">
            <v>Enterprise</v>
          </cell>
        </row>
        <row r="3370">
          <cell r="C3370" t="str">
            <v>USD</v>
          </cell>
          <cell r="D3370" t="str">
            <v>Enterprise</v>
          </cell>
        </row>
        <row r="3371">
          <cell r="C3371" t="str">
            <v>EUR</v>
          </cell>
          <cell r="D3371" t="str">
            <v>Enterprise</v>
          </cell>
        </row>
        <row r="3372">
          <cell r="C3372" t="str">
            <v>Kur Sabitleme</v>
          </cell>
          <cell r="D3372" t="str">
            <v>Enterprise</v>
          </cell>
        </row>
        <row r="3373">
          <cell r="C3373" t="str">
            <v xml:space="preserve">NEXTSOFTEK BILGI TEKNOLOJILERI YAZILIM A.S- EKSİT </v>
          </cell>
          <cell r="D3373" t="str">
            <v>SMB</v>
          </cell>
          <cell r="E3373" t="e">
            <v>#N/A</v>
          </cell>
        </row>
        <row r="3374">
          <cell r="C3374" t="str">
            <v>TL</v>
          </cell>
          <cell r="D3374" t="str">
            <v>SMB</v>
          </cell>
        </row>
        <row r="3375">
          <cell r="C3375" t="str">
            <v>USD</v>
          </cell>
          <cell r="D3375" t="str">
            <v>SMB</v>
          </cell>
        </row>
        <row r="3376">
          <cell r="C3376" t="str">
            <v>EUR</v>
          </cell>
          <cell r="D3376" t="str">
            <v>SMB</v>
          </cell>
        </row>
        <row r="3377">
          <cell r="C3377" t="str">
            <v>Kur Sabitleme</v>
          </cell>
          <cell r="D3377" t="str">
            <v>SMB</v>
          </cell>
        </row>
        <row r="3378">
          <cell r="C3378" t="str">
            <v>BURGAN BANK A.S.</v>
          </cell>
          <cell r="D3378" t="str">
            <v>Enterprise</v>
          </cell>
          <cell r="E3378" t="str">
            <v>Finans</v>
          </cell>
        </row>
        <row r="3379">
          <cell r="C3379" t="str">
            <v>TL</v>
          </cell>
          <cell r="D3379" t="str">
            <v>Enterprise</v>
          </cell>
        </row>
        <row r="3380">
          <cell r="C3380" t="str">
            <v>USD</v>
          </cell>
          <cell r="D3380" t="str">
            <v>Enterprise</v>
          </cell>
        </row>
        <row r="3381">
          <cell r="C3381" t="str">
            <v>EUR</v>
          </cell>
          <cell r="D3381" t="str">
            <v>Enterprise</v>
          </cell>
        </row>
        <row r="3382">
          <cell r="C3382" t="str">
            <v>Kur Sabitleme</v>
          </cell>
          <cell r="D3382" t="str">
            <v>Enterprise</v>
          </cell>
        </row>
        <row r="3383">
          <cell r="C3383" t="str">
            <v>Dizayn Teknik Boru ve Elemanları San. ve Tic A.Ş.</v>
          </cell>
          <cell r="D3383" t="str">
            <v>SMB</v>
          </cell>
          <cell r="E3383" t="e">
            <v>#N/A</v>
          </cell>
        </row>
        <row r="3384">
          <cell r="C3384" t="str">
            <v>TL</v>
          </cell>
          <cell r="D3384" t="str">
            <v>SMB</v>
          </cell>
        </row>
        <row r="3385">
          <cell r="C3385" t="str">
            <v>USD</v>
          </cell>
          <cell r="D3385" t="str">
            <v>SMB</v>
          </cell>
        </row>
        <row r="3386">
          <cell r="C3386" t="str">
            <v>EUR</v>
          </cell>
          <cell r="D3386" t="str">
            <v>SMB</v>
          </cell>
        </row>
        <row r="3387">
          <cell r="C3387" t="str">
            <v>Kur Sabitleme</v>
          </cell>
          <cell r="D3387" t="str">
            <v>SMB</v>
          </cell>
        </row>
        <row r="3388">
          <cell r="C3388" t="str">
            <v>METRO İSTANBUL</v>
          </cell>
          <cell r="D3388" t="str">
            <v>Enterprise</v>
          </cell>
          <cell r="E3388" t="str">
            <v>Lojistik</v>
          </cell>
        </row>
        <row r="3389">
          <cell r="C3389" t="str">
            <v>TL</v>
          </cell>
          <cell r="D3389" t="str">
            <v>Enterprise</v>
          </cell>
        </row>
        <row r="3390">
          <cell r="C3390" t="str">
            <v>TL</v>
          </cell>
          <cell r="D3390" t="str">
            <v>Enterprise</v>
          </cell>
        </row>
        <row r="3391">
          <cell r="C3391" t="str">
            <v>TL</v>
          </cell>
          <cell r="D3391" t="str">
            <v>Enterprise</v>
          </cell>
        </row>
        <row r="3392">
          <cell r="C3392" t="str">
            <v>TL</v>
          </cell>
          <cell r="D3392" t="str">
            <v>Enterprise</v>
          </cell>
        </row>
        <row r="3393">
          <cell r="C3393" t="str">
            <v>USD</v>
          </cell>
          <cell r="D3393" t="str">
            <v>Enterprise</v>
          </cell>
        </row>
        <row r="3394">
          <cell r="C3394" t="str">
            <v>EUR</v>
          </cell>
          <cell r="D3394" t="str">
            <v>Enterprise</v>
          </cell>
        </row>
        <row r="3395">
          <cell r="C3395" t="str">
            <v>Kur Sabitleme</v>
          </cell>
          <cell r="D3395" t="str">
            <v>Enterprise</v>
          </cell>
        </row>
        <row r="3396">
          <cell r="C3396" t="str">
            <v>ABALIOGLU HOLDING</v>
          </cell>
          <cell r="D3396" t="str">
            <v>SMB</v>
          </cell>
          <cell r="E3396" t="str">
            <v>Genel</v>
          </cell>
        </row>
        <row r="3397">
          <cell r="C3397" t="str">
            <v>TL</v>
          </cell>
          <cell r="D3397" t="str">
            <v>SMB</v>
          </cell>
        </row>
        <row r="3398">
          <cell r="C3398" t="str">
            <v>USD</v>
          </cell>
          <cell r="D3398" t="str">
            <v>SMB</v>
          </cell>
        </row>
        <row r="3399">
          <cell r="C3399" t="str">
            <v>EUR</v>
          </cell>
          <cell r="D3399" t="str">
            <v>SMB</v>
          </cell>
        </row>
        <row r="3400">
          <cell r="C3400" t="str">
            <v>Kur Sabitleme</v>
          </cell>
          <cell r="D3400" t="str">
            <v>SMB</v>
          </cell>
        </row>
        <row r="3401">
          <cell r="C3401" t="str">
            <v>FILIDEA TEKSTIL SAN. VE TIC. A.S</v>
          </cell>
          <cell r="D3401" t="str">
            <v>SMB</v>
          </cell>
          <cell r="E3401" t="str">
            <v>Üretim</v>
          </cell>
        </row>
        <row r="3402">
          <cell r="C3402" t="str">
            <v>TL</v>
          </cell>
          <cell r="D3402" t="str">
            <v>SMB</v>
          </cell>
        </row>
        <row r="3403">
          <cell r="C3403" t="str">
            <v>USD</v>
          </cell>
          <cell r="D3403" t="str">
            <v>SMB</v>
          </cell>
        </row>
        <row r="3404">
          <cell r="C3404" t="str">
            <v>EUR</v>
          </cell>
          <cell r="D3404" t="str">
            <v>SMB</v>
          </cell>
        </row>
        <row r="3405">
          <cell r="C3405" t="str">
            <v>Kur Sabitleme</v>
          </cell>
          <cell r="D3405" t="str">
            <v>SMB</v>
          </cell>
        </row>
        <row r="3406">
          <cell r="C3406" t="str">
            <v>KASTAS</v>
          </cell>
          <cell r="D3406" t="str">
            <v>SMB</v>
          </cell>
          <cell r="E3406" t="str">
            <v>Diğer</v>
          </cell>
        </row>
        <row r="3407">
          <cell r="C3407" t="str">
            <v>TL</v>
          </cell>
          <cell r="D3407" t="str">
            <v>SMB</v>
          </cell>
        </row>
        <row r="3408">
          <cell r="C3408" t="str">
            <v>USD</v>
          </cell>
          <cell r="D3408" t="str">
            <v>SMB</v>
          </cell>
        </row>
        <row r="3409">
          <cell r="C3409" t="str">
            <v>EUR</v>
          </cell>
          <cell r="D3409" t="str">
            <v>SMB</v>
          </cell>
        </row>
        <row r="3410">
          <cell r="C3410" t="str">
            <v>Kur Sabitleme</v>
          </cell>
          <cell r="D3410" t="str">
            <v>SMB</v>
          </cell>
        </row>
        <row r="3411">
          <cell r="C3411" t="str">
            <v>DENİZLİ RATEKS TEKSTİL SANAYİ VE TİCARET A.Ş.</v>
          </cell>
          <cell r="D3411" t="str">
            <v>SMB</v>
          </cell>
          <cell r="E3411" t="e">
            <v>#N/A</v>
          </cell>
        </row>
        <row r="3412">
          <cell r="C3412" t="str">
            <v>TL</v>
          </cell>
          <cell r="D3412" t="str">
            <v>SMB</v>
          </cell>
        </row>
        <row r="3413">
          <cell r="C3413" t="str">
            <v>USD</v>
          </cell>
          <cell r="D3413" t="str">
            <v>SMB</v>
          </cell>
        </row>
        <row r="3414">
          <cell r="C3414" t="str">
            <v>EUR</v>
          </cell>
          <cell r="D3414" t="str">
            <v>SMB</v>
          </cell>
        </row>
        <row r="3415">
          <cell r="C3415" t="str">
            <v>Kur Sabitleme</v>
          </cell>
          <cell r="D3415" t="str">
            <v>SMB</v>
          </cell>
        </row>
        <row r="3416">
          <cell r="C3416" t="str">
            <v>Rateks Baski Boya Sanayi ve Ticaret Anonim Şirketi</v>
          </cell>
          <cell r="D3416" t="str">
            <v>SMB</v>
          </cell>
          <cell r="E3416" t="e">
            <v>#N/A</v>
          </cell>
        </row>
        <row r="3417">
          <cell r="C3417" t="str">
            <v>TL</v>
          </cell>
          <cell r="D3417" t="str">
            <v>SMB</v>
          </cell>
        </row>
        <row r="3418">
          <cell r="C3418" t="str">
            <v>USD</v>
          </cell>
          <cell r="D3418" t="str">
            <v>SMB</v>
          </cell>
        </row>
        <row r="3419">
          <cell r="C3419" t="str">
            <v>EUR</v>
          </cell>
          <cell r="D3419" t="str">
            <v>SMB</v>
          </cell>
        </row>
        <row r="3420">
          <cell r="C3420" t="str">
            <v>Kur Sabitleme</v>
          </cell>
          <cell r="D3420" t="str">
            <v>SMB</v>
          </cell>
        </row>
        <row r="3421">
          <cell r="C3421" t="str">
            <v>MILLENICOM TELEKOMÜNİKASYON HİZMETLERİ</v>
          </cell>
          <cell r="D3421" t="str">
            <v>Enterprise</v>
          </cell>
          <cell r="E3421" t="str">
            <v>Teknoloji</v>
          </cell>
        </row>
        <row r="3422">
          <cell r="C3422" t="str">
            <v>TL</v>
          </cell>
          <cell r="D3422" t="str">
            <v>Enterprise</v>
          </cell>
        </row>
        <row r="3423">
          <cell r="C3423" t="str">
            <v>USD</v>
          </cell>
          <cell r="D3423" t="str">
            <v>Enterprise</v>
          </cell>
        </row>
        <row r="3424">
          <cell r="C3424" t="str">
            <v>EUR</v>
          </cell>
          <cell r="D3424" t="str">
            <v>Enterprise</v>
          </cell>
        </row>
        <row r="3425">
          <cell r="C3425" t="str">
            <v>Kur Sabitleme</v>
          </cell>
          <cell r="D3425" t="str">
            <v>Enterprise</v>
          </cell>
        </row>
        <row r="3426">
          <cell r="C3426" t="str">
            <v>AXA SIGORTA</v>
          </cell>
          <cell r="D3426" t="str">
            <v>Enterprise</v>
          </cell>
          <cell r="E3426" t="str">
            <v>Finans</v>
          </cell>
        </row>
        <row r="3427">
          <cell r="C3427" t="str">
            <v>TL</v>
          </cell>
          <cell r="D3427" t="str">
            <v>Enterprise</v>
          </cell>
        </row>
        <row r="3428">
          <cell r="C3428" t="str">
            <v>TL</v>
          </cell>
          <cell r="D3428" t="str">
            <v>Enterprise</v>
          </cell>
        </row>
        <row r="3429">
          <cell r="C3429" t="str">
            <v>USD</v>
          </cell>
          <cell r="D3429" t="str">
            <v>Enterprise</v>
          </cell>
        </row>
        <row r="3430">
          <cell r="C3430" t="str">
            <v>EUR</v>
          </cell>
          <cell r="D3430" t="str">
            <v>Enterprise</v>
          </cell>
        </row>
        <row r="3431">
          <cell r="C3431" t="str">
            <v>Kur Sabitleme</v>
          </cell>
          <cell r="D3431" t="str">
            <v>Enterprise</v>
          </cell>
        </row>
        <row r="3432">
          <cell r="C3432" t="str">
            <v>BOYNER HOLDING</v>
          </cell>
          <cell r="D3432" t="str">
            <v>Enterprise</v>
          </cell>
          <cell r="E3432" t="e">
            <v>#N/A</v>
          </cell>
        </row>
        <row r="3433">
          <cell r="C3433" t="str">
            <v>TL</v>
          </cell>
          <cell r="D3433" t="str">
            <v>Enterprise</v>
          </cell>
        </row>
        <row r="3434">
          <cell r="C3434" t="str">
            <v>USD</v>
          </cell>
          <cell r="D3434" t="str">
            <v>Enterprise</v>
          </cell>
        </row>
        <row r="3435">
          <cell r="C3435" t="str">
            <v>EUR</v>
          </cell>
          <cell r="D3435" t="str">
            <v>Enterprise</v>
          </cell>
        </row>
        <row r="3436">
          <cell r="C3436" t="str">
            <v>Kur Sabitleme</v>
          </cell>
          <cell r="D3436" t="str">
            <v>Enterprise</v>
          </cell>
        </row>
        <row r="3437">
          <cell r="C3437" t="str">
            <v xml:space="preserve">BEYMEN GRUP </v>
          </cell>
          <cell r="D3437" t="str">
            <v>Enterprise</v>
          </cell>
          <cell r="E3437" t="str">
            <v>Perakende</v>
          </cell>
        </row>
        <row r="3438">
          <cell r="C3438" t="str">
            <v>TL</v>
          </cell>
          <cell r="D3438" t="str">
            <v>Enterprise</v>
          </cell>
        </row>
        <row r="3439">
          <cell r="C3439" t="str">
            <v>USD</v>
          </cell>
          <cell r="D3439" t="str">
            <v>Enterprise</v>
          </cell>
        </row>
        <row r="3440">
          <cell r="C3440" t="str">
            <v>USD</v>
          </cell>
          <cell r="D3440" t="str">
            <v>Enterprise</v>
          </cell>
        </row>
        <row r="3441">
          <cell r="C3441" t="str">
            <v>USD</v>
          </cell>
          <cell r="D3441" t="str">
            <v>Enterprise</v>
          </cell>
        </row>
        <row r="3442">
          <cell r="C3442" t="str">
            <v>USD</v>
          </cell>
          <cell r="D3442" t="str">
            <v>Enterprise</v>
          </cell>
        </row>
        <row r="3443">
          <cell r="C3443" t="str">
            <v>USD</v>
          </cell>
          <cell r="D3443" t="str">
            <v>Enterprise</v>
          </cell>
        </row>
        <row r="3444">
          <cell r="C3444" t="str">
            <v>EUR</v>
          </cell>
          <cell r="D3444" t="str">
            <v>Enterprise</v>
          </cell>
        </row>
        <row r="3445">
          <cell r="C3445" t="str">
            <v>Kur Sabitleme</v>
          </cell>
          <cell r="D3445" t="str">
            <v>Enterprise</v>
          </cell>
        </row>
        <row r="3446">
          <cell r="C3446" t="str">
            <v>ABALIOĞLU YAĞ</v>
          </cell>
          <cell r="D3446" t="str">
            <v>SMB</v>
          </cell>
          <cell r="E3446" t="e">
            <v>#N/A</v>
          </cell>
        </row>
        <row r="3447">
          <cell r="C3447" t="str">
            <v>TL</v>
          </cell>
          <cell r="D3447" t="str">
            <v>SMB</v>
          </cell>
        </row>
        <row r="3448">
          <cell r="C3448" t="str">
            <v>USD</v>
          </cell>
          <cell r="D3448" t="str">
            <v>SMB</v>
          </cell>
        </row>
        <row r="3449">
          <cell r="C3449" t="str">
            <v>EUR</v>
          </cell>
          <cell r="D3449" t="str">
            <v>SMB</v>
          </cell>
        </row>
        <row r="3450">
          <cell r="C3450" t="str">
            <v>Kur Sabitleme</v>
          </cell>
          <cell r="D3450" t="str">
            <v>SMB</v>
          </cell>
        </row>
        <row r="3451">
          <cell r="C3451" t="str">
            <v>ÖZŞANAL PERAKENDE MAĞAZACILIK A.Ş.</v>
          </cell>
          <cell r="D3451" t="str">
            <v>SMB</v>
          </cell>
          <cell r="E3451" t="str">
            <v>Perakende</v>
          </cell>
        </row>
        <row r="3452">
          <cell r="C3452" t="str">
            <v>TL</v>
          </cell>
          <cell r="D3452" t="str">
            <v>SMB</v>
          </cell>
        </row>
        <row r="3453">
          <cell r="C3453" t="str">
            <v>USD</v>
          </cell>
          <cell r="D3453" t="str">
            <v>SMB</v>
          </cell>
        </row>
        <row r="3454">
          <cell r="C3454" t="str">
            <v>EUR</v>
          </cell>
          <cell r="D3454" t="str">
            <v>SMB</v>
          </cell>
        </row>
        <row r="3455">
          <cell r="C3455" t="str">
            <v>Kur Sabitleme</v>
          </cell>
          <cell r="D3455" t="str">
            <v>SMB</v>
          </cell>
        </row>
        <row r="3456">
          <cell r="C3456" t="str">
            <v>SİSKON OTOMASYON YAZILIM A.Ş.</v>
          </cell>
          <cell r="D3456" t="str">
            <v>Enterprise</v>
          </cell>
          <cell r="E3456" t="e">
            <v>#N/A</v>
          </cell>
        </row>
        <row r="3457">
          <cell r="C3457" t="str">
            <v>TL</v>
          </cell>
          <cell r="D3457" t="str">
            <v>Enterprise</v>
          </cell>
        </row>
        <row r="3458">
          <cell r="C3458" t="str">
            <v>USD</v>
          </cell>
          <cell r="D3458" t="str">
            <v>Enterprise</v>
          </cell>
        </row>
        <row r="3459">
          <cell r="C3459" t="str">
            <v>EUR</v>
          </cell>
          <cell r="D3459" t="str">
            <v>Enterprise</v>
          </cell>
        </row>
        <row r="3460">
          <cell r="C3460" t="str">
            <v>Kur Sabitleme</v>
          </cell>
          <cell r="D3460" t="str">
            <v>Enterprise</v>
          </cell>
        </row>
        <row r="3461">
          <cell r="C3461" t="str">
            <v>BEZMIALEM VAKIF ÜNIVERSITESI (REKTÖRLÜK)</v>
          </cell>
          <cell r="D3461" t="str">
            <v>Enterprise</v>
          </cell>
          <cell r="E3461" t="str">
            <v>Eğitim</v>
          </cell>
        </row>
        <row r="3462">
          <cell r="C3462" t="str">
            <v>TL</v>
          </cell>
          <cell r="D3462" t="str">
            <v>Enterprise</v>
          </cell>
        </row>
        <row r="3463">
          <cell r="C3463" t="str">
            <v>USD</v>
          </cell>
          <cell r="D3463" t="str">
            <v>Enterprise</v>
          </cell>
        </row>
        <row r="3464">
          <cell r="C3464" t="str">
            <v>EUR</v>
          </cell>
          <cell r="D3464" t="str">
            <v>Enterprise</v>
          </cell>
        </row>
        <row r="3465">
          <cell r="C3465" t="str">
            <v>Kur Sabitleme</v>
          </cell>
          <cell r="D3465" t="str">
            <v>Enterprise</v>
          </cell>
        </row>
        <row r="3466">
          <cell r="C3466" t="str">
            <v>BOYNER HOLDING</v>
          </cell>
          <cell r="D3466" t="str">
            <v>Enterprise</v>
          </cell>
          <cell r="E3466" t="e">
            <v>#N/A</v>
          </cell>
        </row>
        <row r="3467">
          <cell r="C3467" t="str">
            <v>TL</v>
          </cell>
          <cell r="D3467" t="str">
            <v>Enterprise</v>
          </cell>
        </row>
        <row r="3468">
          <cell r="C3468" t="str">
            <v>USD</v>
          </cell>
          <cell r="D3468" t="str">
            <v>Enterprise</v>
          </cell>
        </row>
        <row r="3469">
          <cell r="C3469" t="str">
            <v>EUR</v>
          </cell>
          <cell r="D3469" t="str">
            <v>Enterprise</v>
          </cell>
        </row>
        <row r="3470">
          <cell r="C3470" t="str">
            <v>Kur Sabitleme</v>
          </cell>
          <cell r="D3470" t="str">
            <v>Enterprise</v>
          </cell>
        </row>
        <row r="3471">
          <cell r="C3471" t="str">
            <v>KALE HOLDING A.S.</v>
          </cell>
          <cell r="D3471" t="str">
            <v>Enterprise</v>
          </cell>
          <cell r="E3471" t="e">
            <v>#N/A</v>
          </cell>
        </row>
        <row r="3472">
          <cell r="C3472" t="str">
            <v>TL</v>
          </cell>
          <cell r="D3472" t="str">
            <v>Enterprise</v>
          </cell>
        </row>
        <row r="3473">
          <cell r="C3473" t="str">
            <v>USD</v>
          </cell>
          <cell r="D3473" t="str">
            <v>Enterprise</v>
          </cell>
        </row>
        <row r="3474">
          <cell r="C3474" t="str">
            <v>EUR</v>
          </cell>
          <cell r="D3474" t="str">
            <v>Enterprise</v>
          </cell>
        </row>
        <row r="3475">
          <cell r="C3475" t="str">
            <v>Kur Sabitleme</v>
          </cell>
          <cell r="D3475" t="str">
            <v>Enterprise</v>
          </cell>
        </row>
        <row r="3476">
          <cell r="C3476" t="str">
            <v>KARINCA LOJİSTİK A.Ş..</v>
          </cell>
          <cell r="D3476" t="str">
            <v>SMB</v>
          </cell>
          <cell r="E3476" t="str">
            <v>Lojistik</v>
          </cell>
        </row>
        <row r="3477">
          <cell r="C3477" t="str">
            <v>TL</v>
          </cell>
          <cell r="D3477" t="str">
            <v>SMB</v>
          </cell>
        </row>
        <row r="3478">
          <cell r="C3478" t="str">
            <v>USD</v>
          </cell>
          <cell r="D3478" t="str">
            <v>SMB</v>
          </cell>
        </row>
        <row r="3479">
          <cell r="C3479" t="str">
            <v>EUR</v>
          </cell>
          <cell r="D3479" t="str">
            <v>SMB</v>
          </cell>
        </row>
        <row r="3480">
          <cell r="C3480" t="str">
            <v>Kur Sabitleme</v>
          </cell>
          <cell r="D3480" t="str">
            <v>SMB</v>
          </cell>
        </row>
        <row r="3481">
          <cell r="C3481" t="str">
            <v>SET KURUMSAL HİZ.TİC.A.Ş. (SETCARD)</v>
          </cell>
          <cell r="D3481" t="str">
            <v>Enterprise</v>
          </cell>
          <cell r="E3481" t="str">
            <v>Digital</v>
          </cell>
        </row>
        <row r="3482">
          <cell r="C3482" t="str">
            <v>TL</v>
          </cell>
          <cell r="D3482" t="str">
            <v>Enterprise</v>
          </cell>
        </row>
        <row r="3483">
          <cell r="C3483" t="str">
            <v>USD</v>
          </cell>
          <cell r="D3483" t="str">
            <v>Enterprise</v>
          </cell>
        </row>
        <row r="3484">
          <cell r="C3484" t="str">
            <v>USD</v>
          </cell>
          <cell r="D3484" t="str">
            <v>Enterprise</v>
          </cell>
        </row>
        <row r="3485">
          <cell r="C3485" t="str">
            <v>EUR</v>
          </cell>
          <cell r="D3485" t="str">
            <v>Enterprise</v>
          </cell>
        </row>
        <row r="3486">
          <cell r="C3486" t="str">
            <v>Kur Sabitleme</v>
          </cell>
          <cell r="D3486" t="str">
            <v>Enterprise</v>
          </cell>
        </row>
        <row r="3487">
          <cell r="C3487" t="str">
            <v>ÇYDD</v>
          </cell>
          <cell r="D3487" t="str">
            <v>SMB</v>
          </cell>
          <cell r="E3487" t="str">
            <v>Genel</v>
          </cell>
        </row>
        <row r="3488">
          <cell r="C3488" t="str">
            <v>TL</v>
          </cell>
          <cell r="D3488" t="str">
            <v>SMB</v>
          </cell>
        </row>
        <row r="3489">
          <cell r="C3489" t="str">
            <v>USD</v>
          </cell>
          <cell r="D3489" t="str">
            <v>SMB</v>
          </cell>
        </row>
        <row r="3490">
          <cell r="C3490" t="str">
            <v>EUR</v>
          </cell>
          <cell r="D3490" t="str">
            <v>SMB</v>
          </cell>
        </row>
        <row r="3491">
          <cell r="C3491" t="str">
            <v>Kur Sabitleme</v>
          </cell>
          <cell r="D3491" t="str">
            <v>SMB</v>
          </cell>
        </row>
        <row r="3492">
          <cell r="C3492" t="str">
            <v>KISAN (TİBET ÖRS)</v>
          </cell>
          <cell r="D3492" t="str">
            <v>SMB</v>
          </cell>
          <cell r="E3492" t="e">
            <v>#N/A</v>
          </cell>
        </row>
        <row r="3493">
          <cell r="C3493" t="str">
            <v>TL</v>
          </cell>
          <cell r="D3493" t="str">
            <v>SMB</v>
          </cell>
        </row>
        <row r="3494">
          <cell r="C3494" t="str">
            <v>USD</v>
          </cell>
          <cell r="D3494" t="str">
            <v>SMB</v>
          </cell>
        </row>
        <row r="3495">
          <cell r="C3495" t="str">
            <v>EUR</v>
          </cell>
          <cell r="D3495" t="str">
            <v>SMB</v>
          </cell>
        </row>
        <row r="3496">
          <cell r="C3496" t="str">
            <v>Kur Sabitleme</v>
          </cell>
          <cell r="D3496" t="str">
            <v>SMB</v>
          </cell>
        </row>
        <row r="3497">
          <cell r="C3497" t="str">
            <v>TEKSAN JENARATÖR ELEK. SAN. TIC. A.S.</v>
          </cell>
          <cell r="D3497" t="str">
            <v>SMB</v>
          </cell>
          <cell r="E3497" t="str">
            <v>Enerji</v>
          </cell>
        </row>
        <row r="3498">
          <cell r="C3498" t="str">
            <v>TL</v>
          </cell>
          <cell r="D3498" t="str">
            <v>SMB</v>
          </cell>
        </row>
        <row r="3499">
          <cell r="C3499" t="str">
            <v>USD</v>
          </cell>
          <cell r="D3499" t="str">
            <v>SMB</v>
          </cell>
        </row>
        <row r="3500">
          <cell r="C3500" t="str">
            <v>USD</v>
          </cell>
          <cell r="D3500" t="str">
            <v>SMB</v>
          </cell>
        </row>
        <row r="3501">
          <cell r="C3501" t="str">
            <v>USD</v>
          </cell>
          <cell r="D3501" t="str">
            <v>SMB</v>
          </cell>
        </row>
        <row r="3502">
          <cell r="C3502" t="str">
            <v>EUR</v>
          </cell>
          <cell r="D3502" t="str">
            <v>SMB</v>
          </cell>
        </row>
        <row r="3503">
          <cell r="C3503" t="str">
            <v>Kur Sabitleme</v>
          </cell>
          <cell r="D3503" t="str">
            <v>SMB</v>
          </cell>
        </row>
        <row r="3504">
          <cell r="C3504" t="str">
            <v>CVS HAVALANDIRMA SİSTEMLERİ SAN.VE TİC.A.Ş.</v>
          </cell>
          <cell r="D3504" t="str">
            <v>SMB</v>
          </cell>
          <cell r="E3504" t="str">
            <v>Diğer</v>
          </cell>
        </row>
        <row r="3505">
          <cell r="C3505" t="str">
            <v>TL</v>
          </cell>
          <cell r="D3505" t="str">
            <v>SMB</v>
          </cell>
        </row>
        <row r="3506">
          <cell r="C3506" t="str">
            <v>USD</v>
          </cell>
          <cell r="D3506" t="str">
            <v>SMB</v>
          </cell>
        </row>
        <row r="3507">
          <cell r="C3507" t="str">
            <v>USD</v>
          </cell>
          <cell r="D3507" t="str">
            <v>SMB</v>
          </cell>
        </row>
        <row r="3508">
          <cell r="C3508" t="str">
            <v>USD</v>
          </cell>
          <cell r="D3508" t="str">
            <v>SMB</v>
          </cell>
        </row>
        <row r="3509">
          <cell r="C3509" t="str">
            <v>EUR</v>
          </cell>
          <cell r="D3509" t="str">
            <v>SMB</v>
          </cell>
        </row>
        <row r="3510">
          <cell r="C3510" t="str">
            <v>Kur Sabitleme</v>
          </cell>
          <cell r="D3510" t="str">
            <v>SMB</v>
          </cell>
        </row>
        <row r="3511">
          <cell r="C3511" t="str">
            <v>APEC ÇELİK YAPI SİSTEMLERİ A.Ş.</v>
          </cell>
          <cell r="D3511" t="str">
            <v>SMB</v>
          </cell>
          <cell r="E3511" t="str">
            <v>Diğer</v>
          </cell>
        </row>
        <row r="3512">
          <cell r="C3512" t="str">
            <v>TL</v>
          </cell>
          <cell r="D3512" t="str">
            <v>SMB</v>
          </cell>
        </row>
        <row r="3513">
          <cell r="C3513" t="str">
            <v>USD</v>
          </cell>
          <cell r="D3513" t="str">
            <v>SMB</v>
          </cell>
        </row>
        <row r="3514">
          <cell r="C3514" t="str">
            <v>EUR</v>
          </cell>
          <cell r="D3514" t="str">
            <v>SMB</v>
          </cell>
        </row>
        <row r="3515">
          <cell r="C3515" t="str">
            <v>Kur Sabitleme</v>
          </cell>
          <cell r="D3515" t="str">
            <v>SMB</v>
          </cell>
        </row>
        <row r="3516">
          <cell r="C3516" t="str">
            <v>SARAN GIDA TEKSTİL İNŞAAT.SAN.VE DIŞ.TİC.LTD.ŞTİ.</v>
          </cell>
          <cell r="D3516" t="str">
            <v>SMB</v>
          </cell>
          <cell r="E3516" t="str">
            <v>Diğer</v>
          </cell>
        </row>
        <row r="3517">
          <cell r="C3517" t="str">
            <v>TL</v>
          </cell>
          <cell r="D3517" t="str">
            <v>SMB</v>
          </cell>
        </row>
        <row r="3518">
          <cell r="C3518" t="str">
            <v>USD</v>
          </cell>
          <cell r="D3518" t="str">
            <v>SMB</v>
          </cell>
        </row>
        <row r="3519">
          <cell r="C3519" t="str">
            <v>EUR</v>
          </cell>
          <cell r="D3519" t="str">
            <v>SMB</v>
          </cell>
        </row>
        <row r="3520">
          <cell r="C3520" t="str">
            <v>Kur Sabitleme</v>
          </cell>
          <cell r="D3520" t="str">
            <v>SMB</v>
          </cell>
        </row>
        <row r="3521">
          <cell r="C3521" t="str">
            <v>ACAR MENKUL DEĞERLER A.Ş</v>
          </cell>
          <cell r="D3521" t="str">
            <v>SMB</v>
          </cell>
          <cell r="E3521" t="str">
            <v>Finans</v>
          </cell>
        </row>
        <row r="3522">
          <cell r="C3522" t="str">
            <v>TL</v>
          </cell>
          <cell r="D3522" t="str">
            <v>SMB</v>
          </cell>
        </row>
        <row r="3523">
          <cell r="C3523" t="str">
            <v>USD</v>
          </cell>
          <cell r="D3523" t="str">
            <v>SMB</v>
          </cell>
        </row>
        <row r="3524">
          <cell r="C3524" t="str">
            <v>USD</v>
          </cell>
          <cell r="D3524" t="str">
            <v>SMB</v>
          </cell>
        </row>
        <row r="3525">
          <cell r="C3525" t="str">
            <v>USD</v>
          </cell>
          <cell r="D3525" t="str">
            <v>SMB</v>
          </cell>
        </row>
        <row r="3526">
          <cell r="C3526" t="str">
            <v>USD</v>
          </cell>
          <cell r="D3526" t="str">
            <v>SMB</v>
          </cell>
        </row>
        <row r="3527">
          <cell r="C3527" t="str">
            <v>EUR</v>
          </cell>
          <cell r="D3527" t="str">
            <v>SMB</v>
          </cell>
        </row>
        <row r="3528">
          <cell r="C3528" t="str">
            <v>Kur Sabitleme</v>
          </cell>
          <cell r="D3528" t="str">
            <v>SMB</v>
          </cell>
        </row>
        <row r="3529">
          <cell r="C3529" t="str">
            <v>HAS PORTFÖY YÖNETİMİ A.Ş</v>
          </cell>
          <cell r="D3529" t="str">
            <v>SMB</v>
          </cell>
          <cell r="E3529" t="str">
            <v>Diğer</v>
          </cell>
        </row>
        <row r="3530">
          <cell r="C3530" t="str">
            <v>TL</v>
          </cell>
          <cell r="D3530" t="str">
            <v>SMB</v>
          </cell>
        </row>
        <row r="3531">
          <cell r="C3531" t="str">
            <v>USD</v>
          </cell>
          <cell r="D3531" t="str">
            <v>SMB</v>
          </cell>
        </row>
        <row r="3532">
          <cell r="C3532" t="str">
            <v>EUR</v>
          </cell>
          <cell r="D3532" t="str">
            <v>SMB</v>
          </cell>
        </row>
        <row r="3533">
          <cell r="C3533" t="str">
            <v>Kur Sabitleme</v>
          </cell>
          <cell r="D3533" t="str">
            <v>SMB</v>
          </cell>
        </row>
        <row r="3534">
          <cell r="C3534" t="str">
            <v>MACKA YAYINCILIK VE EGLENCE A.Ş.</v>
          </cell>
          <cell r="D3534" t="str">
            <v>SMB</v>
          </cell>
          <cell r="E3534" t="str">
            <v>Genel</v>
          </cell>
        </row>
        <row r="3535">
          <cell r="C3535" t="str">
            <v>TL</v>
          </cell>
          <cell r="D3535" t="str">
            <v>SMB</v>
          </cell>
        </row>
        <row r="3536">
          <cell r="C3536" t="str">
            <v>USD</v>
          </cell>
          <cell r="D3536" t="str">
            <v>SMB</v>
          </cell>
        </row>
        <row r="3537">
          <cell r="C3537" t="str">
            <v>EUR</v>
          </cell>
          <cell r="D3537" t="str">
            <v>SMB</v>
          </cell>
        </row>
        <row r="3538">
          <cell r="C3538" t="str">
            <v>Kur Sabitleme</v>
          </cell>
          <cell r="D3538" t="str">
            <v>SMB</v>
          </cell>
        </row>
        <row r="3539">
          <cell r="C3539" t="str">
            <v>Özdemir Çelik Konstrüksiyon İmalat Montaj Sanayi</v>
          </cell>
          <cell r="D3539" t="str">
            <v>SMB</v>
          </cell>
          <cell r="E3539" t="str">
            <v>Diğer</v>
          </cell>
        </row>
        <row r="3540">
          <cell r="C3540" t="str">
            <v>TL</v>
          </cell>
          <cell r="D3540" t="str">
            <v>SMB</v>
          </cell>
        </row>
        <row r="3541">
          <cell r="C3541" t="str">
            <v>USD</v>
          </cell>
          <cell r="D3541" t="str">
            <v>SMB</v>
          </cell>
        </row>
        <row r="3542">
          <cell r="C3542" t="str">
            <v>USD</v>
          </cell>
          <cell r="D3542" t="str">
            <v>SMB</v>
          </cell>
        </row>
        <row r="3543">
          <cell r="C3543" t="str">
            <v>EUR</v>
          </cell>
          <cell r="D3543" t="str">
            <v>SMB</v>
          </cell>
        </row>
        <row r="3544">
          <cell r="C3544" t="str">
            <v>Kur Sabitleme</v>
          </cell>
          <cell r="D3544" t="str">
            <v>SMB</v>
          </cell>
        </row>
        <row r="3545">
          <cell r="C3545" t="str">
            <v>BUFALA SÜT ÜRÜNLERİ SANAYİ VE TİCARET A.Ş</v>
          </cell>
          <cell r="D3545" t="str">
            <v>SMB</v>
          </cell>
          <cell r="E3545" t="str">
            <v>Diğer</v>
          </cell>
        </row>
        <row r="3546">
          <cell r="C3546" t="str">
            <v>TL</v>
          </cell>
          <cell r="D3546" t="str">
            <v>SMB</v>
          </cell>
        </row>
        <row r="3547">
          <cell r="C3547" t="str">
            <v>USD</v>
          </cell>
          <cell r="D3547" t="str">
            <v>SMB</v>
          </cell>
        </row>
        <row r="3548">
          <cell r="C3548" t="str">
            <v>USD</v>
          </cell>
          <cell r="D3548" t="str">
            <v>SMB</v>
          </cell>
        </row>
        <row r="3549">
          <cell r="C3549" t="str">
            <v>EUR</v>
          </cell>
          <cell r="D3549" t="str">
            <v>SMB</v>
          </cell>
        </row>
        <row r="3550">
          <cell r="C3550" t="str">
            <v>Kur Sabitleme</v>
          </cell>
          <cell r="D3550" t="str">
            <v>SMB</v>
          </cell>
        </row>
        <row r="3551">
          <cell r="C3551" t="str">
            <v>UÇARLAR TİC. KOLL.ŞTİ</v>
          </cell>
          <cell r="D3551" t="str">
            <v>SMB</v>
          </cell>
          <cell r="E3551" t="str">
            <v>Diğer</v>
          </cell>
        </row>
        <row r="3552">
          <cell r="C3552" t="str">
            <v>TL</v>
          </cell>
          <cell r="D3552" t="str">
            <v>SMB</v>
          </cell>
        </row>
        <row r="3553">
          <cell r="C3553" t="str">
            <v>USD</v>
          </cell>
          <cell r="D3553" t="str">
            <v>SMB</v>
          </cell>
        </row>
        <row r="3554">
          <cell r="C3554" t="str">
            <v>EUR</v>
          </cell>
          <cell r="D3554" t="str">
            <v>SMB</v>
          </cell>
        </row>
        <row r="3555">
          <cell r="C3555" t="str">
            <v>Kur Sabitleme</v>
          </cell>
          <cell r="D3555" t="str">
            <v>SMB</v>
          </cell>
        </row>
        <row r="3556">
          <cell r="C3556" t="str">
            <v>ARICIOĞLU OTOMOTİV SANAYİ VE TİCARET ANONİM ŞİRKET</v>
          </cell>
          <cell r="D3556" t="str">
            <v>SMB</v>
          </cell>
          <cell r="E3556" t="str">
            <v>Genel</v>
          </cell>
        </row>
        <row r="3557">
          <cell r="C3557" t="str">
            <v>TL</v>
          </cell>
          <cell r="D3557" t="str">
            <v>SMB</v>
          </cell>
        </row>
        <row r="3558">
          <cell r="C3558" t="str">
            <v>TL</v>
          </cell>
          <cell r="D3558" t="str">
            <v>SMB</v>
          </cell>
        </row>
        <row r="3559">
          <cell r="C3559" t="str">
            <v>USD</v>
          </cell>
          <cell r="D3559" t="str">
            <v>SMB</v>
          </cell>
        </row>
        <row r="3560">
          <cell r="C3560" t="str">
            <v>USD</v>
          </cell>
          <cell r="D3560" t="str">
            <v>SMB</v>
          </cell>
        </row>
        <row r="3561">
          <cell r="C3561" t="str">
            <v>USD</v>
          </cell>
          <cell r="D3561" t="str">
            <v>SMB</v>
          </cell>
        </row>
        <row r="3562">
          <cell r="C3562" t="str">
            <v>USD</v>
          </cell>
          <cell r="D3562" t="str">
            <v>SMB</v>
          </cell>
        </row>
        <row r="3563">
          <cell r="C3563" t="str">
            <v>USD</v>
          </cell>
          <cell r="D3563" t="str">
            <v>SMB</v>
          </cell>
        </row>
        <row r="3564">
          <cell r="C3564" t="str">
            <v>USD</v>
          </cell>
          <cell r="D3564" t="str">
            <v>SMB</v>
          </cell>
        </row>
        <row r="3565">
          <cell r="C3565" t="str">
            <v>USD</v>
          </cell>
          <cell r="D3565" t="str">
            <v>SMB</v>
          </cell>
        </row>
        <row r="3566">
          <cell r="C3566" t="str">
            <v>EUR</v>
          </cell>
          <cell r="D3566" t="str">
            <v>SMB</v>
          </cell>
        </row>
        <row r="3567">
          <cell r="C3567" t="str">
            <v>Kur Sabitleme</v>
          </cell>
          <cell r="D3567" t="str">
            <v>SMB</v>
          </cell>
        </row>
        <row r="3568">
          <cell r="C3568" t="str">
            <v>WEITNAUER DIŞ TİC.A.Ş. (DEM DIŞ TİC )</v>
          </cell>
          <cell r="D3568" t="str">
            <v>SMB</v>
          </cell>
          <cell r="E3568" t="str">
            <v>Genel</v>
          </cell>
        </row>
        <row r="3569">
          <cell r="C3569" t="str">
            <v>TL</v>
          </cell>
          <cell r="D3569" t="str">
            <v>SMB</v>
          </cell>
        </row>
        <row r="3570">
          <cell r="C3570" t="str">
            <v>USD</v>
          </cell>
          <cell r="D3570" t="str">
            <v>SMB</v>
          </cell>
        </row>
        <row r="3571">
          <cell r="C3571" t="str">
            <v>USD</v>
          </cell>
          <cell r="D3571" t="str">
            <v>SMB</v>
          </cell>
        </row>
        <row r="3572">
          <cell r="C3572" t="str">
            <v>USD</v>
          </cell>
          <cell r="D3572" t="str">
            <v>SMB</v>
          </cell>
        </row>
        <row r="3573">
          <cell r="C3573" t="str">
            <v>EUR</v>
          </cell>
          <cell r="D3573" t="str">
            <v>SMB</v>
          </cell>
        </row>
        <row r="3574">
          <cell r="C3574" t="str">
            <v>Kur Sabitleme</v>
          </cell>
          <cell r="D3574" t="str">
            <v>SMB</v>
          </cell>
        </row>
        <row r="3575">
          <cell r="C3575" t="str">
            <v>WORKINTON</v>
          </cell>
          <cell r="D3575" t="str">
            <v>SMB</v>
          </cell>
          <cell r="E3575" t="str">
            <v>Genel</v>
          </cell>
        </row>
        <row r="3576">
          <cell r="C3576" t="str">
            <v>TL</v>
          </cell>
          <cell r="D3576" t="str">
            <v>SMB</v>
          </cell>
        </row>
        <row r="3577">
          <cell r="C3577" t="str">
            <v>USD</v>
          </cell>
          <cell r="D3577" t="str">
            <v>SMB</v>
          </cell>
        </row>
        <row r="3578">
          <cell r="C3578" t="str">
            <v>EUR</v>
          </cell>
          <cell r="D3578" t="str">
            <v>SMB</v>
          </cell>
        </row>
        <row r="3579">
          <cell r="C3579" t="str">
            <v>Kur Sabitleme</v>
          </cell>
          <cell r="D3579" t="str">
            <v>SMB</v>
          </cell>
        </row>
        <row r="3580">
          <cell r="C3580" t="str">
            <v>CNMAR DENİZCİLİK VE LOJİSTİK HİZMETLERİ LİMİTED Şİ</v>
          </cell>
          <cell r="D3580" t="str">
            <v>SMB</v>
          </cell>
          <cell r="E3580" t="e">
            <v>#N/A</v>
          </cell>
        </row>
        <row r="3581">
          <cell r="C3581" t="str">
            <v>TL</v>
          </cell>
          <cell r="D3581" t="str">
            <v>SMB</v>
          </cell>
        </row>
        <row r="3582">
          <cell r="C3582" t="str">
            <v>USD</v>
          </cell>
          <cell r="D3582" t="str">
            <v>SMB</v>
          </cell>
        </row>
        <row r="3583">
          <cell r="C3583" t="str">
            <v>USD</v>
          </cell>
          <cell r="D3583" t="str">
            <v>SMB</v>
          </cell>
        </row>
        <row r="3584">
          <cell r="C3584" t="str">
            <v>EUR</v>
          </cell>
          <cell r="D3584" t="str">
            <v>SMB</v>
          </cell>
        </row>
        <row r="3585">
          <cell r="C3585" t="str">
            <v>Kur Sabitleme</v>
          </cell>
          <cell r="D3585" t="str">
            <v>SMB</v>
          </cell>
        </row>
        <row r="3586">
          <cell r="C3586" t="str">
            <v>DÜĞÜNÜMÜZ VAR FOTOĞRAFÇILIK HİZ. SAN. TİC. LTD. ŞT</v>
          </cell>
          <cell r="D3586" t="str">
            <v>SMB</v>
          </cell>
          <cell r="E3586" t="str">
            <v>Genel</v>
          </cell>
        </row>
        <row r="3587">
          <cell r="C3587" t="str">
            <v>TL</v>
          </cell>
          <cell r="D3587" t="str">
            <v>SMB</v>
          </cell>
        </row>
        <row r="3588">
          <cell r="C3588" t="str">
            <v>USD</v>
          </cell>
          <cell r="D3588" t="str">
            <v>SMB</v>
          </cell>
        </row>
        <row r="3589">
          <cell r="C3589" t="str">
            <v>EUR</v>
          </cell>
          <cell r="D3589" t="str">
            <v>SMB</v>
          </cell>
        </row>
        <row r="3590">
          <cell r="C3590" t="str">
            <v>Kur Sabitleme</v>
          </cell>
          <cell r="D3590" t="str">
            <v>SMB</v>
          </cell>
        </row>
        <row r="3591">
          <cell r="C3591" t="str">
            <v>NESTINVEST PROJE PAZARLAMA ANONİM ŞİRKETİ</v>
          </cell>
          <cell r="D3591" t="str">
            <v>SMB</v>
          </cell>
          <cell r="E3591" t="str">
            <v>Genel</v>
          </cell>
        </row>
        <row r="3592">
          <cell r="C3592" t="str">
            <v>TL</v>
          </cell>
          <cell r="D3592" t="str">
            <v>SMB</v>
          </cell>
        </row>
        <row r="3593">
          <cell r="C3593" t="str">
            <v>USD</v>
          </cell>
          <cell r="D3593" t="str">
            <v>SMB</v>
          </cell>
        </row>
        <row r="3594">
          <cell r="C3594" t="str">
            <v>EUR</v>
          </cell>
          <cell r="D3594" t="str">
            <v>SMB</v>
          </cell>
        </row>
        <row r="3595">
          <cell r="C3595" t="str">
            <v>Kur Sabitleme</v>
          </cell>
          <cell r="D3595" t="str">
            <v>SMB</v>
          </cell>
        </row>
        <row r="3596">
          <cell r="C3596" t="str">
            <v>HASGÜR OFİS MALZEMELERİ TEMİZLİK ÜRÜNLERİ LTD.ŞTİ.</v>
          </cell>
          <cell r="D3596" t="str">
            <v>SMB</v>
          </cell>
          <cell r="E3596" t="e">
            <v>#N/A</v>
          </cell>
        </row>
        <row r="3597">
          <cell r="C3597" t="str">
            <v>TL</v>
          </cell>
          <cell r="D3597" t="str">
            <v>SMB</v>
          </cell>
        </row>
        <row r="3598">
          <cell r="C3598" t="str">
            <v>USD</v>
          </cell>
          <cell r="D3598" t="str">
            <v>SMB</v>
          </cell>
        </row>
        <row r="3599">
          <cell r="C3599" t="str">
            <v>USD</v>
          </cell>
          <cell r="D3599" t="str">
            <v>SMB</v>
          </cell>
        </row>
        <row r="3600">
          <cell r="C3600" t="str">
            <v>EUR</v>
          </cell>
          <cell r="D3600" t="str">
            <v>SMB</v>
          </cell>
        </row>
        <row r="3601">
          <cell r="C3601" t="str">
            <v>Kur Sabitleme</v>
          </cell>
          <cell r="D3601" t="str">
            <v>SMB</v>
          </cell>
        </row>
        <row r="3602">
          <cell r="C3602" t="str">
            <v>VENITURE BİLİŞİM TEKNOLOJİLERİ LİMİTED ŞİRKETİ</v>
          </cell>
          <cell r="D3602" t="str">
            <v>SMB</v>
          </cell>
          <cell r="E3602" t="e">
            <v>#N/A</v>
          </cell>
        </row>
        <row r="3603">
          <cell r="C3603" t="str">
            <v>TL</v>
          </cell>
          <cell r="D3603" t="str">
            <v>SMB</v>
          </cell>
        </row>
        <row r="3604">
          <cell r="C3604" t="str">
            <v>USD</v>
          </cell>
          <cell r="D3604" t="str">
            <v>SMB</v>
          </cell>
        </row>
        <row r="3605">
          <cell r="C3605" t="str">
            <v>USD</v>
          </cell>
          <cell r="D3605" t="str">
            <v>SMB</v>
          </cell>
        </row>
        <row r="3606">
          <cell r="C3606" t="str">
            <v>EUR</v>
          </cell>
          <cell r="D3606" t="str">
            <v>SMB</v>
          </cell>
        </row>
        <row r="3607">
          <cell r="C3607" t="str">
            <v>Kur Sabitleme</v>
          </cell>
          <cell r="D3607" t="str">
            <v>SMB</v>
          </cell>
        </row>
        <row r="3608">
          <cell r="C3608" t="str">
            <v>METROPET İTHALAT İHRACAT İNŞAAT LİMİTED ŞİRKETİ</v>
          </cell>
          <cell r="D3608" t="str">
            <v>SMB</v>
          </cell>
          <cell r="E3608" t="str">
            <v>Enerji</v>
          </cell>
        </row>
        <row r="3609">
          <cell r="C3609" t="str">
            <v>TL</v>
          </cell>
          <cell r="D3609" t="str">
            <v>SMB</v>
          </cell>
        </row>
        <row r="3610">
          <cell r="C3610" t="str">
            <v>USD</v>
          </cell>
          <cell r="D3610" t="str">
            <v>SMB</v>
          </cell>
        </row>
        <row r="3611">
          <cell r="C3611" t="str">
            <v>USD</v>
          </cell>
          <cell r="D3611" t="str">
            <v>SMB</v>
          </cell>
        </row>
        <row r="3612">
          <cell r="C3612" t="str">
            <v>EUR</v>
          </cell>
          <cell r="D3612" t="str">
            <v>SMB</v>
          </cell>
        </row>
        <row r="3613">
          <cell r="C3613" t="str">
            <v>Kur Sabitleme</v>
          </cell>
          <cell r="D3613" t="str">
            <v>SMB</v>
          </cell>
        </row>
        <row r="3614">
          <cell r="C3614" t="str">
            <v>AŞÇIOĞLU İŞ ORTAKLIĞI</v>
          </cell>
          <cell r="D3614" t="str">
            <v>SMB</v>
          </cell>
          <cell r="E3614" t="e">
            <v>#N/A</v>
          </cell>
        </row>
        <row r="3615">
          <cell r="C3615" t="str">
            <v>TL</v>
          </cell>
          <cell r="D3615" t="str">
            <v>SMB</v>
          </cell>
        </row>
        <row r="3616">
          <cell r="C3616" t="str">
            <v>USD</v>
          </cell>
          <cell r="D3616" t="str">
            <v>SMB</v>
          </cell>
        </row>
        <row r="3617">
          <cell r="C3617" t="str">
            <v>EUR</v>
          </cell>
          <cell r="D3617" t="str">
            <v>SMB</v>
          </cell>
        </row>
        <row r="3618">
          <cell r="C3618" t="str">
            <v>Kur Sabitleme</v>
          </cell>
          <cell r="D3618" t="str">
            <v>SMB</v>
          </cell>
        </row>
        <row r="3619">
          <cell r="C3619" t="str">
            <v>POİNT KURYE HİMZETLERİ TİCARET LİMİTED ŞİRKETİ</v>
          </cell>
          <cell r="D3619" t="str">
            <v>SMB</v>
          </cell>
          <cell r="E3619" t="str">
            <v>Diğer</v>
          </cell>
        </row>
        <row r="3620">
          <cell r="C3620" t="str">
            <v>TL</v>
          </cell>
          <cell r="D3620" t="str">
            <v>SMB</v>
          </cell>
        </row>
        <row r="3621">
          <cell r="C3621" t="str">
            <v>USD</v>
          </cell>
          <cell r="D3621" t="str">
            <v>SMB</v>
          </cell>
        </row>
        <row r="3622">
          <cell r="C3622" t="str">
            <v>EUR</v>
          </cell>
          <cell r="D3622" t="str">
            <v>SMB</v>
          </cell>
        </row>
        <row r="3623">
          <cell r="C3623" t="str">
            <v>Kur Sabitleme</v>
          </cell>
          <cell r="D3623" t="str">
            <v>SMB</v>
          </cell>
        </row>
        <row r="3624">
          <cell r="C3624" t="str">
            <v>RENTMAK LOJISTIK TICARET ANONIM SIRKETI (GEMONT)</v>
          </cell>
          <cell r="D3624" t="str">
            <v>SMB</v>
          </cell>
          <cell r="E3624" t="str">
            <v>Diğer</v>
          </cell>
        </row>
        <row r="3625">
          <cell r="C3625" t="str">
            <v>TL</v>
          </cell>
          <cell r="D3625" t="str">
            <v>SMB</v>
          </cell>
        </row>
        <row r="3626">
          <cell r="C3626" t="str">
            <v>USD</v>
          </cell>
          <cell r="D3626" t="str">
            <v>SMB</v>
          </cell>
        </row>
        <row r="3627">
          <cell r="C3627" t="str">
            <v>EUR</v>
          </cell>
          <cell r="D3627" t="str">
            <v>SMB</v>
          </cell>
        </row>
        <row r="3628">
          <cell r="C3628" t="str">
            <v>Kur Sabitleme</v>
          </cell>
          <cell r="D3628" t="str">
            <v>SMB</v>
          </cell>
        </row>
        <row r="3629">
          <cell r="C3629" t="str">
            <v>CİTİX İST BİLİŞİM REKLAMCILIK TİCARET A.Ş</v>
          </cell>
          <cell r="D3629" t="str">
            <v>SMB</v>
          </cell>
          <cell r="E3629" t="e">
            <v>#N/A</v>
          </cell>
        </row>
        <row r="3630">
          <cell r="C3630" t="str">
            <v>TL</v>
          </cell>
          <cell r="D3630" t="str">
            <v>SMB</v>
          </cell>
        </row>
        <row r="3631">
          <cell r="C3631" t="str">
            <v>USD</v>
          </cell>
          <cell r="D3631" t="str">
            <v>SMB</v>
          </cell>
        </row>
        <row r="3632">
          <cell r="C3632" t="str">
            <v>EUR</v>
          </cell>
          <cell r="D3632" t="str">
            <v>SMB</v>
          </cell>
        </row>
        <row r="3633">
          <cell r="C3633" t="str">
            <v>Kur Sabitleme</v>
          </cell>
          <cell r="D3633" t="str">
            <v>SMB</v>
          </cell>
        </row>
        <row r="3634">
          <cell r="C3634" t="str">
            <v>EFEX ELEKTRİK MÜHENDİSLİK OTOMASYON</v>
          </cell>
          <cell r="D3634" t="str">
            <v>SMB</v>
          </cell>
          <cell r="E3634" t="str">
            <v>Diğer</v>
          </cell>
        </row>
        <row r="3635">
          <cell r="C3635" t="str">
            <v>TL</v>
          </cell>
          <cell r="D3635" t="str">
            <v>SMB</v>
          </cell>
        </row>
        <row r="3636">
          <cell r="C3636" t="str">
            <v>USD</v>
          </cell>
          <cell r="D3636" t="str">
            <v>SMB</v>
          </cell>
        </row>
        <row r="3637">
          <cell r="C3637" t="str">
            <v>USD</v>
          </cell>
          <cell r="D3637" t="str">
            <v>SMB</v>
          </cell>
        </row>
        <row r="3638">
          <cell r="C3638" t="str">
            <v>EUR</v>
          </cell>
          <cell r="D3638" t="str">
            <v>SMB</v>
          </cell>
        </row>
        <row r="3639">
          <cell r="C3639" t="str">
            <v>Kur Sabitleme</v>
          </cell>
          <cell r="D3639" t="str">
            <v>SMB</v>
          </cell>
        </row>
        <row r="3640">
          <cell r="C3640" t="str">
            <v>EUROTEC MÜHENDISLIK</v>
          </cell>
          <cell r="D3640" t="str">
            <v>SMB</v>
          </cell>
          <cell r="E3640" t="str">
            <v>Üretim</v>
          </cell>
        </row>
        <row r="3641">
          <cell r="C3641" t="str">
            <v>TL</v>
          </cell>
          <cell r="D3641" t="str">
            <v>SMB</v>
          </cell>
        </row>
        <row r="3642">
          <cell r="C3642" t="str">
            <v>USD</v>
          </cell>
          <cell r="D3642" t="str">
            <v>SMB</v>
          </cell>
        </row>
        <row r="3643">
          <cell r="C3643" t="str">
            <v>EUR</v>
          </cell>
          <cell r="D3643" t="str">
            <v>SMB</v>
          </cell>
        </row>
        <row r="3644">
          <cell r="C3644" t="str">
            <v>Kur Sabitleme</v>
          </cell>
          <cell r="D3644" t="str">
            <v>SMB</v>
          </cell>
        </row>
        <row r="3645">
          <cell r="C3645" t="str">
            <v>ÖZ-SEL ECZA DEPOLARI (ÖZSEL)</v>
          </cell>
          <cell r="D3645" t="str">
            <v>SMB</v>
          </cell>
          <cell r="E3645" t="str">
            <v>Sağlık</v>
          </cell>
        </row>
        <row r="3646">
          <cell r="C3646" t="str">
            <v>TL</v>
          </cell>
          <cell r="D3646" t="str">
            <v>SMB</v>
          </cell>
        </row>
        <row r="3647">
          <cell r="C3647" t="str">
            <v>USD</v>
          </cell>
          <cell r="D3647" t="str">
            <v>SMB</v>
          </cell>
        </row>
        <row r="3648">
          <cell r="C3648" t="str">
            <v>EUR</v>
          </cell>
          <cell r="D3648" t="str">
            <v>SMB</v>
          </cell>
        </row>
        <row r="3649">
          <cell r="C3649" t="str">
            <v>Kur Sabitleme</v>
          </cell>
          <cell r="D3649" t="str">
            <v>SMB</v>
          </cell>
        </row>
        <row r="3650">
          <cell r="C3650" t="str">
            <v>CAHAN TİCARET MMC</v>
          </cell>
          <cell r="D3650" t="str">
            <v>SMB</v>
          </cell>
          <cell r="E3650" t="e">
            <v>#N/A</v>
          </cell>
        </row>
        <row r="3651">
          <cell r="C3651" t="str">
            <v>TL</v>
          </cell>
          <cell r="D3651" t="str">
            <v>SMB</v>
          </cell>
        </row>
        <row r="3652">
          <cell r="C3652" t="str">
            <v>USD</v>
          </cell>
          <cell r="D3652" t="str">
            <v>SMB</v>
          </cell>
        </row>
        <row r="3653">
          <cell r="C3653" t="str">
            <v>EUR</v>
          </cell>
          <cell r="D3653" t="str">
            <v>SMB</v>
          </cell>
        </row>
        <row r="3654">
          <cell r="C3654" t="str">
            <v>Kur Sabitleme</v>
          </cell>
          <cell r="D3654" t="str">
            <v>SMB</v>
          </cell>
        </row>
        <row r="3655">
          <cell r="C3655" t="str">
            <v>DORUK SOĞUTMA SİSTEMLERİ SAN.VE TİCARETLTD.ŞTİ</v>
          </cell>
          <cell r="D3655" t="str">
            <v>SMB</v>
          </cell>
          <cell r="E3655" t="str">
            <v>Diğer</v>
          </cell>
        </row>
        <row r="3656">
          <cell r="C3656" t="str">
            <v>TL</v>
          </cell>
          <cell r="D3656" t="str">
            <v>SMB</v>
          </cell>
        </row>
        <row r="3657">
          <cell r="C3657" t="str">
            <v>USD</v>
          </cell>
          <cell r="D3657" t="str">
            <v>SMB</v>
          </cell>
        </row>
        <row r="3658">
          <cell r="C3658" t="str">
            <v>EUR</v>
          </cell>
          <cell r="D3658" t="str">
            <v>SMB</v>
          </cell>
        </row>
        <row r="3659">
          <cell r="C3659" t="str">
            <v>Kur Sabitleme</v>
          </cell>
          <cell r="D3659" t="str">
            <v>SMB</v>
          </cell>
        </row>
        <row r="3660">
          <cell r="C3660" t="str">
            <v>ELESA GANTER ENDÜST. VE MAKINE EKIPMANLARI SAN. VE</v>
          </cell>
          <cell r="D3660" t="str">
            <v>SMB</v>
          </cell>
          <cell r="E3660" t="str">
            <v>Diğer</v>
          </cell>
        </row>
        <row r="3661">
          <cell r="C3661" t="str">
            <v>TL</v>
          </cell>
          <cell r="D3661" t="str">
            <v>SMB</v>
          </cell>
        </row>
        <row r="3662">
          <cell r="C3662" t="str">
            <v>USD</v>
          </cell>
          <cell r="D3662" t="str">
            <v>SMB</v>
          </cell>
        </row>
        <row r="3663">
          <cell r="C3663" t="str">
            <v>USD</v>
          </cell>
          <cell r="D3663" t="str">
            <v>SMB</v>
          </cell>
        </row>
        <row r="3664">
          <cell r="C3664" t="str">
            <v>EUR</v>
          </cell>
          <cell r="D3664" t="str">
            <v>SMB</v>
          </cell>
        </row>
        <row r="3665">
          <cell r="C3665" t="str">
            <v>Kur Sabitleme</v>
          </cell>
          <cell r="D3665" t="str">
            <v>SMB</v>
          </cell>
        </row>
        <row r="3666">
          <cell r="C3666" t="str">
            <v>PERNET - İNSAN KAYNAKLARI YÖN.SİST.VE TİC.A.Ş</v>
          </cell>
          <cell r="D3666" t="str">
            <v>SMB</v>
          </cell>
          <cell r="E3666" t="str">
            <v>Genel</v>
          </cell>
        </row>
        <row r="3667">
          <cell r="C3667" t="str">
            <v>TL</v>
          </cell>
          <cell r="D3667" t="str">
            <v>SMB</v>
          </cell>
        </row>
        <row r="3668">
          <cell r="C3668" t="str">
            <v>USD</v>
          </cell>
          <cell r="D3668" t="str">
            <v>SMB</v>
          </cell>
        </row>
        <row r="3669">
          <cell r="C3669" t="str">
            <v>EUR</v>
          </cell>
          <cell r="D3669" t="str">
            <v>SMB</v>
          </cell>
        </row>
        <row r="3670">
          <cell r="C3670" t="str">
            <v>Kur Sabitleme</v>
          </cell>
          <cell r="D3670" t="str">
            <v>SMB</v>
          </cell>
        </row>
        <row r="3671">
          <cell r="C3671" t="str">
            <v>NATUREM TEKNIK MAKINE TIC.LTD.STI</v>
          </cell>
          <cell r="D3671" t="str">
            <v>SMB</v>
          </cell>
          <cell r="E3671" t="str">
            <v>Diğer</v>
          </cell>
        </row>
        <row r="3672">
          <cell r="C3672" t="str">
            <v>TL</v>
          </cell>
          <cell r="D3672" t="str">
            <v>SMB</v>
          </cell>
        </row>
        <row r="3673">
          <cell r="C3673" t="str">
            <v>USD</v>
          </cell>
          <cell r="D3673" t="str">
            <v>SMB</v>
          </cell>
        </row>
        <row r="3674">
          <cell r="C3674" t="str">
            <v>USD</v>
          </cell>
          <cell r="D3674" t="str">
            <v>SMB</v>
          </cell>
        </row>
        <row r="3675">
          <cell r="C3675" t="str">
            <v>EUR</v>
          </cell>
          <cell r="D3675" t="str">
            <v>SMB</v>
          </cell>
        </row>
        <row r="3676">
          <cell r="C3676" t="str">
            <v>Kur Sabitleme</v>
          </cell>
          <cell r="D3676" t="str">
            <v>SMB</v>
          </cell>
        </row>
        <row r="3677">
          <cell r="C3677" t="str">
            <v>İD GEMİ ACENTELİĞİ TİC.LTD.ŞTİ.</v>
          </cell>
          <cell r="D3677" t="str">
            <v>SMB</v>
          </cell>
          <cell r="E3677" t="e">
            <v>#N/A</v>
          </cell>
        </row>
        <row r="3678">
          <cell r="C3678" t="str">
            <v>TL</v>
          </cell>
          <cell r="D3678" t="str">
            <v>SMB</v>
          </cell>
        </row>
        <row r="3679">
          <cell r="C3679" t="str">
            <v>USD</v>
          </cell>
          <cell r="D3679" t="str">
            <v>SMB</v>
          </cell>
        </row>
        <row r="3680">
          <cell r="C3680" t="str">
            <v>USD</v>
          </cell>
          <cell r="D3680" t="str">
            <v>SMB</v>
          </cell>
        </row>
        <row r="3681">
          <cell r="C3681" t="str">
            <v>EUR</v>
          </cell>
          <cell r="D3681" t="str">
            <v>SMB</v>
          </cell>
        </row>
        <row r="3682">
          <cell r="C3682" t="str">
            <v>Kur Sabitleme</v>
          </cell>
          <cell r="D3682" t="str">
            <v>SMB</v>
          </cell>
        </row>
        <row r="3683">
          <cell r="C3683" t="str">
            <v>KARDEŞ ELEKTRIK SAN. VE TIC. AS.</v>
          </cell>
          <cell r="D3683" t="str">
            <v>SMB</v>
          </cell>
          <cell r="E3683" t="e">
            <v>#N/A</v>
          </cell>
        </row>
        <row r="3684">
          <cell r="C3684" t="str">
            <v>TL</v>
          </cell>
          <cell r="D3684" t="str">
            <v>SMB</v>
          </cell>
        </row>
        <row r="3685">
          <cell r="C3685" t="str">
            <v>USD</v>
          </cell>
          <cell r="D3685" t="str">
            <v>SMB</v>
          </cell>
        </row>
        <row r="3686">
          <cell r="C3686" t="str">
            <v>EUR</v>
          </cell>
          <cell r="D3686" t="str">
            <v>SMB</v>
          </cell>
        </row>
        <row r="3687">
          <cell r="C3687" t="str">
            <v>Kur Sabitleme</v>
          </cell>
          <cell r="D3687" t="str">
            <v>SMB</v>
          </cell>
        </row>
        <row r="3688">
          <cell r="C3688" t="str">
            <v>GUCCI TURKEY LÜKS ÜRÜNLER TIC.LTD.STI.</v>
          </cell>
          <cell r="D3688" t="str">
            <v>SMB</v>
          </cell>
          <cell r="E3688" t="str">
            <v>Perakende</v>
          </cell>
        </row>
        <row r="3689">
          <cell r="C3689" t="str">
            <v>TL</v>
          </cell>
          <cell r="D3689" t="str">
            <v>SMB</v>
          </cell>
        </row>
        <row r="3690">
          <cell r="C3690" t="str">
            <v>USD</v>
          </cell>
          <cell r="D3690" t="str">
            <v>SMB</v>
          </cell>
        </row>
        <row r="3691">
          <cell r="C3691" t="str">
            <v>USD</v>
          </cell>
          <cell r="D3691" t="str">
            <v>SMB</v>
          </cell>
        </row>
        <row r="3692">
          <cell r="C3692" t="str">
            <v>USD</v>
          </cell>
          <cell r="D3692" t="str">
            <v>SMB</v>
          </cell>
        </row>
        <row r="3693">
          <cell r="C3693" t="str">
            <v>EUR</v>
          </cell>
          <cell r="D3693" t="str">
            <v>SMB</v>
          </cell>
        </row>
        <row r="3694">
          <cell r="C3694" t="str">
            <v>Kur Sabitleme</v>
          </cell>
          <cell r="D3694" t="str">
            <v>SMB</v>
          </cell>
        </row>
        <row r="3695">
          <cell r="C3695" t="str">
            <v>PROFESYONEL PERAKENDE ÇÖZÜMLERİ SN.TC.A.Ş (PROPERA</v>
          </cell>
          <cell r="D3695" t="str">
            <v>SMB</v>
          </cell>
          <cell r="E3695" t="e">
            <v>#N/A</v>
          </cell>
        </row>
        <row r="3696">
          <cell r="C3696" t="str">
            <v>TL</v>
          </cell>
          <cell r="D3696" t="str">
            <v>SMB</v>
          </cell>
        </row>
        <row r="3697">
          <cell r="C3697" t="str">
            <v>USD</v>
          </cell>
          <cell r="D3697" t="str">
            <v>SMB</v>
          </cell>
        </row>
        <row r="3698">
          <cell r="C3698" t="str">
            <v>EUR</v>
          </cell>
          <cell r="D3698" t="str">
            <v>SMB</v>
          </cell>
        </row>
        <row r="3699">
          <cell r="C3699" t="str">
            <v>Kur Sabitleme</v>
          </cell>
          <cell r="D3699" t="str">
            <v>SMB</v>
          </cell>
        </row>
        <row r="3700">
          <cell r="C3700" t="str">
            <v>BOTTEGA VENETA TURKEY LUKS URUNLER TICARET LTD</v>
          </cell>
          <cell r="D3700" t="str">
            <v>SMB</v>
          </cell>
          <cell r="E3700" t="str">
            <v>Perakende</v>
          </cell>
        </row>
        <row r="3701">
          <cell r="C3701" t="str">
            <v>TL</v>
          </cell>
          <cell r="D3701" t="str">
            <v>SMB</v>
          </cell>
        </row>
        <row r="3702">
          <cell r="C3702" t="str">
            <v>USD</v>
          </cell>
          <cell r="D3702" t="str">
            <v>SMB</v>
          </cell>
        </row>
        <row r="3703">
          <cell r="C3703" t="str">
            <v>EUR</v>
          </cell>
          <cell r="D3703" t="str">
            <v>SMB</v>
          </cell>
        </row>
        <row r="3704">
          <cell r="C3704" t="str">
            <v>Kur Sabitleme</v>
          </cell>
          <cell r="D3704" t="str">
            <v>SMB</v>
          </cell>
        </row>
        <row r="3705">
          <cell r="C3705" t="str">
            <v>SAINT LAURENT TURKEY LÜKS ÜRÜNLER LİMİTED ŞİRKETİ</v>
          </cell>
          <cell r="D3705" t="str">
            <v>SMB</v>
          </cell>
          <cell r="E3705" t="str">
            <v>Perakende</v>
          </cell>
        </row>
        <row r="3706">
          <cell r="C3706" t="str">
            <v>TL</v>
          </cell>
          <cell r="D3706" t="str">
            <v>SMB</v>
          </cell>
        </row>
        <row r="3707">
          <cell r="C3707" t="str">
            <v>USD</v>
          </cell>
          <cell r="D3707" t="str">
            <v>SMB</v>
          </cell>
        </row>
        <row r="3708">
          <cell r="C3708" t="str">
            <v>EUR</v>
          </cell>
          <cell r="D3708" t="str">
            <v>SMB</v>
          </cell>
        </row>
        <row r="3709">
          <cell r="C3709" t="str">
            <v>Kur Sabitleme</v>
          </cell>
          <cell r="D3709" t="str">
            <v>SMB</v>
          </cell>
        </row>
        <row r="3710">
          <cell r="C3710" t="str">
            <v xml:space="preserve">APLUS DIAGNOSTICS LABORATUVAR SANAYI VE TIC. A.S. </v>
          </cell>
          <cell r="D3710" t="str">
            <v>SMB</v>
          </cell>
          <cell r="E3710" t="e">
            <v>#N/A</v>
          </cell>
        </row>
        <row r="3711">
          <cell r="C3711" t="str">
            <v>TL</v>
          </cell>
          <cell r="D3711" t="str">
            <v>SMB</v>
          </cell>
        </row>
        <row r="3712">
          <cell r="C3712" t="str">
            <v>USD</v>
          </cell>
          <cell r="D3712" t="str">
            <v>SMB</v>
          </cell>
        </row>
        <row r="3713">
          <cell r="C3713" t="str">
            <v>EUR</v>
          </cell>
          <cell r="D3713" t="str">
            <v>SMB</v>
          </cell>
        </row>
        <row r="3714">
          <cell r="C3714" t="str">
            <v>Kur Sabitleme</v>
          </cell>
          <cell r="D3714" t="str">
            <v>SMB</v>
          </cell>
        </row>
        <row r="3715">
          <cell r="C3715" t="str">
            <v>AHMAD TEA ÇAY İTHALAT VE TİCARET LTD.ŞTİ</v>
          </cell>
          <cell r="D3715" t="str">
            <v>SMB</v>
          </cell>
          <cell r="E3715" t="str">
            <v>Üretim</v>
          </cell>
        </row>
        <row r="3716">
          <cell r="C3716" t="str">
            <v>TL</v>
          </cell>
          <cell r="D3716" t="str">
            <v>SMB</v>
          </cell>
        </row>
        <row r="3717">
          <cell r="C3717" t="str">
            <v>USD</v>
          </cell>
          <cell r="D3717" t="str">
            <v>SMB</v>
          </cell>
        </row>
        <row r="3718">
          <cell r="C3718" t="str">
            <v>USD</v>
          </cell>
          <cell r="D3718" t="str">
            <v>SMB</v>
          </cell>
        </row>
        <row r="3719">
          <cell r="C3719" t="str">
            <v>EUR</v>
          </cell>
          <cell r="D3719" t="str">
            <v>SMB</v>
          </cell>
        </row>
        <row r="3720">
          <cell r="C3720" t="str">
            <v>Kur Sabitleme</v>
          </cell>
          <cell r="D3720" t="str">
            <v>SMB</v>
          </cell>
        </row>
        <row r="3721">
          <cell r="C3721" t="str">
            <v>Çerko Motor İç ve Dış Ticaret A.Ş.</v>
          </cell>
          <cell r="D3721" t="str">
            <v>SMB</v>
          </cell>
          <cell r="E3721" t="str">
            <v>Diğer</v>
          </cell>
        </row>
        <row r="3722">
          <cell r="C3722" t="str">
            <v>TL</v>
          </cell>
          <cell r="D3722" t="str">
            <v>SMB</v>
          </cell>
        </row>
        <row r="3723">
          <cell r="C3723" t="str">
            <v>USD</v>
          </cell>
          <cell r="D3723" t="str">
            <v>SMB</v>
          </cell>
        </row>
        <row r="3724">
          <cell r="C3724" t="str">
            <v>EUR</v>
          </cell>
          <cell r="D3724" t="str">
            <v>SMB</v>
          </cell>
        </row>
        <row r="3725">
          <cell r="C3725" t="str">
            <v>Kur Sabitleme</v>
          </cell>
          <cell r="D3725" t="str">
            <v>SMB</v>
          </cell>
        </row>
        <row r="3726">
          <cell r="C3726" t="str">
            <v>ALACA YAZILIM VE TEKNOLOJİ SAN.TİC.LTD.ŞTİ.</v>
          </cell>
          <cell r="D3726" t="str">
            <v>SMB</v>
          </cell>
          <cell r="E3726" t="str">
            <v>Bayi</v>
          </cell>
        </row>
        <row r="3727">
          <cell r="C3727" t="str">
            <v>TL</v>
          </cell>
          <cell r="D3727" t="str">
            <v>SMB</v>
          </cell>
        </row>
        <row r="3728">
          <cell r="C3728" t="str">
            <v>USD</v>
          </cell>
          <cell r="D3728" t="str">
            <v>SMB</v>
          </cell>
        </row>
        <row r="3729">
          <cell r="C3729" t="str">
            <v>EUR</v>
          </cell>
          <cell r="D3729" t="str">
            <v>SMB</v>
          </cell>
        </row>
        <row r="3730">
          <cell r="C3730" t="str">
            <v>Kur Sabitleme</v>
          </cell>
          <cell r="D3730" t="str">
            <v>SMB</v>
          </cell>
        </row>
        <row r="3731">
          <cell r="C3731" t="str">
            <v>ÇAMLIBEL KURUMSAL PAZARLAMA HİZ. GIDA HAYV. SÜT ÜR</v>
          </cell>
          <cell r="D3731" t="str">
            <v>SMB</v>
          </cell>
          <cell r="E3731" t="str">
            <v>Üretim</v>
          </cell>
        </row>
        <row r="3732">
          <cell r="C3732" t="str">
            <v>TL</v>
          </cell>
          <cell r="D3732" t="str">
            <v>SMB</v>
          </cell>
        </row>
        <row r="3733">
          <cell r="C3733" t="str">
            <v>USD</v>
          </cell>
          <cell r="D3733" t="str">
            <v>SMB</v>
          </cell>
        </row>
        <row r="3734">
          <cell r="C3734" t="str">
            <v>USD</v>
          </cell>
          <cell r="D3734" t="str">
            <v>SMB</v>
          </cell>
        </row>
        <row r="3735">
          <cell r="C3735" t="str">
            <v>EUR</v>
          </cell>
          <cell r="D3735" t="str">
            <v>SMB</v>
          </cell>
        </row>
        <row r="3736">
          <cell r="C3736" t="str">
            <v>Kur Sabitleme</v>
          </cell>
          <cell r="D3736" t="str">
            <v>SMB</v>
          </cell>
        </row>
        <row r="3737">
          <cell r="C3737" t="str">
            <v>EREN GIDA MAD. TURİZM SAN. TİC. LTD. ŞTİ.</v>
          </cell>
          <cell r="D3737" t="str">
            <v>SMB</v>
          </cell>
          <cell r="E3737" t="str">
            <v>Diğer</v>
          </cell>
        </row>
        <row r="3738">
          <cell r="C3738" t="str">
            <v>TL</v>
          </cell>
          <cell r="D3738" t="str">
            <v>SMB</v>
          </cell>
        </row>
        <row r="3739">
          <cell r="C3739" t="str">
            <v>USD</v>
          </cell>
          <cell r="D3739" t="str">
            <v>SMB</v>
          </cell>
        </row>
        <row r="3740">
          <cell r="C3740" t="str">
            <v>EUR</v>
          </cell>
          <cell r="D3740" t="str">
            <v>SMB</v>
          </cell>
        </row>
        <row r="3741">
          <cell r="C3741" t="str">
            <v>Kur Sabitleme</v>
          </cell>
          <cell r="D3741" t="str">
            <v>SMB</v>
          </cell>
        </row>
        <row r="3742">
          <cell r="C3742" t="str">
            <v>SOLVOCODE YAZILIM ANONİM ŞİRKETİ</v>
          </cell>
          <cell r="D3742" t="str">
            <v>SMB</v>
          </cell>
          <cell r="E3742" t="e">
            <v>#N/A</v>
          </cell>
        </row>
        <row r="3743">
          <cell r="C3743" t="str">
            <v>TL</v>
          </cell>
          <cell r="D3743" t="str">
            <v>SMB</v>
          </cell>
        </row>
        <row r="3744">
          <cell r="C3744" t="str">
            <v>USD</v>
          </cell>
          <cell r="D3744" t="str">
            <v>SMB</v>
          </cell>
        </row>
        <row r="3745">
          <cell r="C3745" t="str">
            <v>EUR</v>
          </cell>
          <cell r="D3745" t="str">
            <v>SMB</v>
          </cell>
        </row>
        <row r="3746">
          <cell r="C3746" t="str">
            <v>Kur Sabitleme</v>
          </cell>
          <cell r="D3746" t="str">
            <v>SMB</v>
          </cell>
        </row>
        <row r="3747">
          <cell r="C3747" t="str">
            <v>Sinerji Gıda Kimya Tekstil San. Ve Tic. A.Ş.</v>
          </cell>
          <cell r="D3747" t="str">
            <v>SMB</v>
          </cell>
          <cell r="E3747" t="str">
            <v>Üretim</v>
          </cell>
        </row>
        <row r="3748">
          <cell r="C3748" t="str">
            <v>TL</v>
          </cell>
          <cell r="D3748" t="str">
            <v>SMB</v>
          </cell>
        </row>
        <row r="3749">
          <cell r="C3749" t="str">
            <v>USD</v>
          </cell>
          <cell r="D3749" t="str">
            <v>SMB</v>
          </cell>
        </row>
        <row r="3750">
          <cell r="C3750" t="str">
            <v>EUR</v>
          </cell>
          <cell r="D3750" t="str">
            <v>SMB</v>
          </cell>
        </row>
        <row r="3751">
          <cell r="C3751" t="str">
            <v>Kur Sabitleme</v>
          </cell>
          <cell r="D3751" t="str">
            <v>SMB</v>
          </cell>
        </row>
        <row r="3752">
          <cell r="C3752" t="str">
            <v>LIBA LABORATUARLARI A.S.</v>
          </cell>
          <cell r="D3752" t="str">
            <v>SMB</v>
          </cell>
          <cell r="E3752" t="str">
            <v>Sağlık</v>
          </cell>
        </row>
        <row r="3753">
          <cell r="C3753" t="str">
            <v>TL</v>
          </cell>
          <cell r="D3753" t="str">
            <v>SMB</v>
          </cell>
        </row>
        <row r="3754">
          <cell r="C3754" t="str">
            <v>USD</v>
          </cell>
          <cell r="D3754" t="str">
            <v>SMB</v>
          </cell>
        </row>
        <row r="3755">
          <cell r="C3755" t="str">
            <v>USD</v>
          </cell>
          <cell r="D3755" t="str">
            <v>SMB</v>
          </cell>
        </row>
        <row r="3756">
          <cell r="C3756" t="str">
            <v>USD</v>
          </cell>
          <cell r="D3756" t="str">
            <v>SMB</v>
          </cell>
        </row>
        <row r="3757">
          <cell r="C3757" t="str">
            <v>EUR</v>
          </cell>
          <cell r="D3757" t="str">
            <v>SMB</v>
          </cell>
        </row>
        <row r="3758">
          <cell r="C3758" t="str">
            <v>Kur Sabitleme</v>
          </cell>
          <cell r="D3758" t="str">
            <v>SMB</v>
          </cell>
        </row>
        <row r="3759">
          <cell r="C3759" t="str">
            <v>ARSAN KİMYA SAN.TİC. A.Ş.</v>
          </cell>
          <cell r="D3759" t="str">
            <v>SMB</v>
          </cell>
          <cell r="E3759" t="str">
            <v>Üretim</v>
          </cell>
        </row>
        <row r="3760">
          <cell r="C3760" t="str">
            <v>TL</v>
          </cell>
          <cell r="D3760" t="str">
            <v>SMB</v>
          </cell>
        </row>
        <row r="3761">
          <cell r="C3761" t="str">
            <v>USD</v>
          </cell>
          <cell r="D3761" t="str">
            <v>SMB</v>
          </cell>
        </row>
        <row r="3762">
          <cell r="C3762" t="str">
            <v>EUR</v>
          </cell>
          <cell r="D3762" t="str">
            <v>SMB</v>
          </cell>
        </row>
        <row r="3763">
          <cell r="C3763" t="str">
            <v>Kur Sabitleme</v>
          </cell>
          <cell r="D3763" t="str">
            <v>SMB</v>
          </cell>
        </row>
        <row r="3764">
          <cell r="C3764" t="str">
            <v>Helsakam Konfeksiyon Yan Ürünleri San. ve Tic. A.Ş</v>
          </cell>
          <cell r="D3764" t="str">
            <v>SMB</v>
          </cell>
          <cell r="E3764" t="str">
            <v>Diğer</v>
          </cell>
        </row>
        <row r="3765">
          <cell r="C3765" t="str">
            <v>TL</v>
          </cell>
          <cell r="D3765" t="str">
            <v>SMB</v>
          </cell>
        </row>
        <row r="3766">
          <cell r="C3766" t="str">
            <v>USD</v>
          </cell>
          <cell r="D3766" t="str">
            <v>SMB</v>
          </cell>
        </row>
        <row r="3767">
          <cell r="C3767" t="str">
            <v>EUR</v>
          </cell>
          <cell r="D3767" t="str">
            <v>SMB</v>
          </cell>
        </row>
        <row r="3768">
          <cell r="C3768" t="str">
            <v>Kur Sabitleme</v>
          </cell>
          <cell r="D3768" t="str">
            <v>SMB</v>
          </cell>
        </row>
        <row r="3769">
          <cell r="C3769" t="str">
            <v>VAKIFBANK SPOR KULUBÜ DERNEĞİ</v>
          </cell>
          <cell r="D3769" t="str">
            <v>SMB</v>
          </cell>
          <cell r="E3769" t="str">
            <v>Diğer</v>
          </cell>
        </row>
        <row r="3770">
          <cell r="C3770" t="str">
            <v>TL</v>
          </cell>
          <cell r="D3770" t="str">
            <v>SMB</v>
          </cell>
        </row>
        <row r="3771">
          <cell r="C3771" t="str">
            <v>USD</v>
          </cell>
          <cell r="D3771" t="str">
            <v>SMB</v>
          </cell>
        </row>
        <row r="3772">
          <cell r="C3772" t="str">
            <v>USD</v>
          </cell>
          <cell r="D3772" t="str">
            <v>SMB</v>
          </cell>
        </row>
        <row r="3773">
          <cell r="C3773" t="str">
            <v>EUR</v>
          </cell>
          <cell r="D3773" t="str">
            <v>SMB</v>
          </cell>
        </row>
        <row r="3774">
          <cell r="C3774" t="str">
            <v>Kur Sabitleme</v>
          </cell>
          <cell r="D3774" t="str">
            <v>SMB</v>
          </cell>
        </row>
        <row r="3775">
          <cell r="C3775" t="str">
            <v>Trada Teknoloji Anonim Şirketi</v>
          </cell>
          <cell r="D3775" t="str">
            <v>SMB</v>
          </cell>
          <cell r="E3775" t="str">
            <v>Diğer</v>
          </cell>
        </row>
        <row r="3776">
          <cell r="C3776" t="str">
            <v>TL</v>
          </cell>
          <cell r="D3776" t="str">
            <v>SMB</v>
          </cell>
        </row>
        <row r="3777">
          <cell r="C3777" t="str">
            <v>USD</v>
          </cell>
          <cell r="D3777" t="str">
            <v>SMB</v>
          </cell>
        </row>
        <row r="3778">
          <cell r="C3778" t="str">
            <v>EUR</v>
          </cell>
          <cell r="D3778" t="str">
            <v>SMB</v>
          </cell>
        </row>
        <row r="3779">
          <cell r="C3779" t="str">
            <v>Kur Sabitleme</v>
          </cell>
          <cell r="D3779" t="str">
            <v>SMB</v>
          </cell>
        </row>
        <row r="3780">
          <cell r="C3780" t="str">
            <v>POLİMAZ AMBALAJ SANAYİ TİC. LTD. ŞTİ.</v>
          </cell>
          <cell r="D3780" t="str">
            <v>SMB</v>
          </cell>
          <cell r="E3780" t="str">
            <v>Üretim</v>
          </cell>
        </row>
        <row r="3781">
          <cell r="C3781" t="str">
            <v>TL</v>
          </cell>
          <cell r="D3781" t="str">
            <v>SMB</v>
          </cell>
        </row>
        <row r="3782">
          <cell r="C3782" t="str">
            <v>USD</v>
          </cell>
          <cell r="D3782" t="str">
            <v>SMB</v>
          </cell>
        </row>
        <row r="3783">
          <cell r="C3783" t="str">
            <v>EUR</v>
          </cell>
          <cell r="D3783" t="str">
            <v>SMB</v>
          </cell>
        </row>
        <row r="3784">
          <cell r="C3784" t="str">
            <v>Kur Sabitleme</v>
          </cell>
          <cell r="D3784" t="str">
            <v>SMB</v>
          </cell>
        </row>
        <row r="3785">
          <cell r="C3785" t="str">
            <v>MİLA PROJE MAĞAZACILIK ANONİM ŞİRKETİ</v>
          </cell>
          <cell r="D3785" t="str">
            <v>SMB</v>
          </cell>
          <cell r="E3785" t="e">
            <v>#N/A</v>
          </cell>
        </row>
        <row r="3786">
          <cell r="C3786" t="str">
            <v>TL</v>
          </cell>
          <cell r="D3786" t="str">
            <v>SMB</v>
          </cell>
        </row>
        <row r="3787">
          <cell r="C3787" t="str">
            <v>USD</v>
          </cell>
          <cell r="D3787" t="str">
            <v>SMB</v>
          </cell>
        </row>
        <row r="3788">
          <cell r="C3788" t="str">
            <v>EUR</v>
          </cell>
          <cell r="D3788" t="str">
            <v>SMB</v>
          </cell>
        </row>
        <row r="3789">
          <cell r="C3789" t="str">
            <v>Kur Sabitleme</v>
          </cell>
          <cell r="D3789" t="str">
            <v>SMB</v>
          </cell>
        </row>
        <row r="3790">
          <cell r="C3790" t="str">
            <v>PROSİSTEM ELEKTRONİK SİSTEMLERİ SANAYİ VE TİCARET</v>
          </cell>
          <cell r="D3790" t="str">
            <v>SMB</v>
          </cell>
          <cell r="E3790" t="str">
            <v>Genel</v>
          </cell>
        </row>
        <row r="3791">
          <cell r="C3791" t="str">
            <v>TL</v>
          </cell>
          <cell r="D3791" t="str">
            <v>SMB</v>
          </cell>
        </row>
        <row r="3792">
          <cell r="C3792" t="str">
            <v>USD</v>
          </cell>
          <cell r="D3792" t="str">
            <v>SMB</v>
          </cell>
        </row>
        <row r="3793">
          <cell r="C3793" t="str">
            <v>USD</v>
          </cell>
          <cell r="D3793" t="str">
            <v>SMB</v>
          </cell>
        </row>
        <row r="3794">
          <cell r="C3794" t="str">
            <v>USD</v>
          </cell>
          <cell r="D3794" t="str">
            <v>SMB</v>
          </cell>
        </row>
        <row r="3795">
          <cell r="C3795" t="str">
            <v>USD</v>
          </cell>
          <cell r="D3795" t="str">
            <v>SMB</v>
          </cell>
        </row>
        <row r="3796">
          <cell r="C3796" t="str">
            <v>EUR</v>
          </cell>
          <cell r="D3796" t="str">
            <v>SMB</v>
          </cell>
        </row>
        <row r="3797">
          <cell r="C3797" t="str">
            <v>Kur Sabitleme</v>
          </cell>
          <cell r="D3797" t="str">
            <v>SMB</v>
          </cell>
        </row>
        <row r="3798">
          <cell r="C3798" t="str">
            <v>PİA BİLİŞİM HİZMETLERİ A.Ş.</v>
          </cell>
          <cell r="D3798" t="str">
            <v>Enterprise</v>
          </cell>
          <cell r="E3798" t="str">
            <v>Teknoloji</v>
          </cell>
        </row>
        <row r="3799">
          <cell r="C3799" t="str">
            <v>TL</v>
          </cell>
          <cell r="D3799" t="str">
            <v>Enterprise</v>
          </cell>
        </row>
        <row r="3800">
          <cell r="C3800" t="str">
            <v>USD</v>
          </cell>
          <cell r="D3800" t="str">
            <v>Enterprise</v>
          </cell>
        </row>
        <row r="3801">
          <cell r="C3801" t="str">
            <v>USD</v>
          </cell>
          <cell r="D3801" t="str">
            <v>Enterprise</v>
          </cell>
        </row>
        <row r="3802">
          <cell r="C3802" t="str">
            <v>EUR</v>
          </cell>
          <cell r="D3802" t="str">
            <v>Enterprise</v>
          </cell>
        </row>
        <row r="3803">
          <cell r="C3803" t="str">
            <v>Kur Sabitleme</v>
          </cell>
          <cell r="D3803" t="str">
            <v>Enterprise</v>
          </cell>
        </row>
        <row r="3804">
          <cell r="C3804" t="str">
            <v>SESTEK SES VE İLETİŞİM BİLGİSAYAR TEKNOLOJİLERİ SA</v>
          </cell>
          <cell r="D3804" t="str">
            <v>Enterprise</v>
          </cell>
          <cell r="E3804" t="str">
            <v>Teknoloji</v>
          </cell>
        </row>
        <row r="3805">
          <cell r="C3805" t="str">
            <v>TL</v>
          </cell>
          <cell r="D3805" t="str">
            <v>Enterprise</v>
          </cell>
        </row>
        <row r="3806">
          <cell r="C3806" t="str">
            <v>USD</v>
          </cell>
          <cell r="D3806" t="str">
            <v>Enterprise</v>
          </cell>
        </row>
        <row r="3807">
          <cell r="C3807" t="str">
            <v>EUR</v>
          </cell>
          <cell r="D3807" t="str">
            <v>Enterprise</v>
          </cell>
        </row>
        <row r="3808">
          <cell r="C3808" t="str">
            <v>Kur Sabitleme</v>
          </cell>
          <cell r="D3808" t="str">
            <v>Enterprise</v>
          </cell>
        </row>
        <row r="3809">
          <cell r="C3809" t="str">
            <v>SHERPA YAZILIM EĞİTİM VE FİNANSAL DAN.TİC.LTD.ŞTİ.</v>
          </cell>
          <cell r="D3809" t="str">
            <v>SMB</v>
          </cell>
          <cell r="E3809" t="str">
            <v>Bayi</v>
          </cell>
        </row>
        <row r="3810">
          <cell r="C3810" t="str">
            <v>TL</v>
          </cell>
          <cell r="D3810" t="str">
            <v>SMB</v>
          </cell>
        </row>
        <row r="3811">
          <cell r="C3811" t="str">
            <v>USD</v>
          </cell>
          <cell r="D3811" t="str">
            <v>SMB</v>
          </cell>
        </row>
        <row r="3812">
          <cell r="C3812" t="str">
            <v>EUR</v>
          </cell>
          <cell r="D3812" t="str">
            <v>SMB</v>
          </cell>
        </row>
        <row r="3813">
          <cell r="C3813" t="str">
            <v>Kur Sabitleme</v>
          </cell>
          <cell r="D3813" t="str">
            <v>SMB</v>
          </cell>
        </row>
        <row r="3814">
          <cell r="C3814" t="str">
            <v>MEY Kozmetik İth.İhr.San.ve Tic.Ltd.Şti.</v>
          </cell>
          <cell r="D3814" t="str">
            <v>SMB</v>
          </cell>
          <cell r="E3814" t="str">
            <v>Diğer</v>
          </cell>
        </row>
        <row r="3815">
          <cell r="C3815" t="str">
            <v>TL</v>
          </cell>
          <cell r="D3815" t="str">
            <v>SMB</v>
          </cell>
        </row>
        <row r="3816">
          <cell r="C3816" t="str">
            <v>USD</v>
          </cell>
          <cell r="D3816" t="str">
            <v>SMB</v>
          </cell>
        </row>
        <row r="3817">
          <cell r="C3817" t="str">
            <v>USD</v>
          </cell>
          <cell r="D3817" t="str">
            <v>SMB</v>
          </cell>
        </row>
        <row r="3818">
          <cell r="C3818" t="str">
            <v>EUR</v>
          </cell>
          <cell r="D3818" t="str">
            <v>SMB</v>
          </cell>
        </row>
        <row r="3819">
          <cell r="C3819" t="str">
            <v>Kur Sabitleme</v>
          </cell>
          <cell r="D3819" t="str">
            <v>SMB</v>
          </cell>
        </row>
        <row r="3820">
          <cell r="C3820" t="str">
            <v>BİLGİLİ GRUP MÜHENDİSLİK VE TİC. LTD. ŞTİ.</v>
          </cell>
          <cell r="D3820" t="str">
            <v>SMB</v>
          </cell>
          <cell r="E3820" t="e">
            <v>#N/A</v>
          </cell>
        </row>
        <row r="3821">
          <cell r="C3821" t="str">
            <v>TL</v>
          </cell>
          <cell r="D3821" t="str">
            <v>SMB</v>
          </cell>
        </row>
        <row r="3822">
          <cell r="C3822" t="str">
            <v>USD</v>
          </cell>
          <cell r="D3822" t="str">
            <v>SMB</v>
          </cell>
        </row>
        <row r="3823">
          <cell r="C3823" t="str">
            <v>EUR</v>
          </cell>
          <cell r="D3823" t="str">
            <v>SMB</v>
          </cell>
        </row>
        <row r="3824">
          <cell r="C3824" t="str">
            <v>Kur Sabitleme</v>
          </cell>
          <cell r="D3824" t="str">
            <v>SMB</v>
          </cell>
        </row>
        <row r="3825">
          <cell r="C3825" t="str">
            <v>KILIÇKAYA LPG GIDA NAK. TURIZM INS.TIC. LTD. ŞTI.</v>
          </cell>
          <cell r="D3825" t="str">
            <v>SMB</v>
          </cell>
          <cell r="E3825" t="str">
            <v>Diğer</v>
          </cell>
        </row>
        <row r="3826">
          <cell r="C3826" t="str">
            <v>TL</v>
          </cell>
          <cell r="D3826" t="str">
            <v>SMB</v>
          </cell>
        </row>
        <row r="3827">
          <cell r="C3827" t="str">
            <v>USD</v>
          </cell>
          <cell r="D3827" t="str">
            <v>SMB</v>
          </cell>
        </row>
        <row r="3828">
          <cell r="C3828" t="str">
            <v>EUR</v>
          </cell>
          <cell r="D3828" t="str">
            <v>SMB</v>
          </cell>
        </row>
        <row r="3829">
          <cell r="C3829" t="str">
            <v>Kur Sabitleme</v>
          </cell>
          <cell r="D3829" t="str">
            <v>SMB</v>
          </cell>
        </row>
        <row r="3830">
          <cell r="C3830" t="str">
            <v>TIED UP DEKORASYON ÜRÜNLERİ SAN.TİC.LTD.ŞTİ.</v>
          </cell>
          <cell r="D3830" t="str">
            <v>SMB</v>
          </cell>
          <cell r="E3830" t="e">
            <v>#N/A</v>
          </cell>
        </row>
        <row r="3831">
          <cell r="C3831" t="str">
            <v>TL</v>
          </cell>
          <cell r="D3831" t="str">
            <v>SMB</v>
          </cell>
        </row>
        <row r="3832">
          <cell r="C3832" t="str">
            <v>USD</v>
          </cell>
          <cell r="D3832" t="str">
            <v>SMB</v>
          </cell>
        </row>
        <row r="3833">
          <cell r="C3833" t="str">
            <v>EUR</v>
          </cell>
          <cell r="D3833" t="str">
            <v>SMB</v>
          </cell>
        </row>
        <row r="3834">
          <cell r="C3834" t="str">
            <v>Kur Sabitleme</v>
          </cell>
          <cell r="D3834" t="str">
            <v>SMB</v>
          </cell>
        </row>
        <row r="3835">
          <cell r="C3835" t="str">
            <v>FARMASU DOGAL KAY. SULARI MES VE GIDA MAD.ÜRET. PA</v>
          </cell>
          <cell r="D3835" t="str">
            <v>SMB</v>
          </cell>
          <cell r="E3835" t="str">
            <v>Diğer</v>
          </cell>
        </row>
        <row r="3836">
          <cell r="C3836" t="str">
            <v>TL</v>
          </cell>
          <cell r="D3836" t="str">
            <v>SMB</v>
          </cell>
        </row>
        <row r="3837">
          <cell r="C3837" t="str">
            <v>USD</v>
          </cell>
          <cell r="D3837" t="str">
            <v>SMB</v>
          </cell>
        </row>
        <row r="3838">
          <cell r="C3838" t="str">
            <v>USD</v>
          </cell>
          <cell r="D3838" t="str">
            <v>SMB</v>
          </cell>
        </row>
        <row r="3839">
          <cell r="C3839" t="str">
            <v>EUR</v>
          </cell>
          <cell r="D3839" t="str">
            <v>SMB</v>
          </cell>
        </row>
        <row r="3840">
          <cell r="C3840" t="str">
            <v>Kur Sabitleme</v>
          </cell>
          <cell r="D3840" t="str">
            <v>SMB</v>
          </cell>
        </row>
        <row r="3841">
          <cell r="C3841" t="str">
            <v>PAMTEK METAL END. ÜRUNLER SAN. VE TIC.LTD.STI.</v>
          </cell>
          <cell r="D3841" t="str">
            <v>SMB</v>
          </cell>
          <cell r="E3841" t="str">
            <v>Üretim</v>
          </cell>
        </row>
        <row r="3842">
          <cell r="C3842" t="str">
            <v>TL</v>
          </cell>
          <cell r="D3842" t="str">
            <v>SMB</v>
          </cell>
        </row>
        <row r="3843">
          <cell r="C3843" t="str">
            <v>USD</v>
          </cell>
          <cell r="D3843" t="str">
            <v>SMB</v>
          </cell>
        </row>
        <row r="3844">
          <cell r="C3844" t="str">
            <v>EUR</v>
          </cell>
          <cell r="D3844" t="str">
            <v>SMB</v>
          </cell>
        </row>
        <row r="3845">
          <cell r="C3845" t="str">
            <v>Kur Sabitleme</v>
          </cell>
          <cell r="D3845" t="str">
            <v>SMB</v>
          </cell>
        </row>
        <row r="3846">
          <cell r="C3846" t="str">
            <v>PAYBOX ELEKTRONİK TİCARET ANONİM ŞİRKETİ</v>
          </cell>
          <cell r="D3846" t="str">
            <v>SMB</v>
          </cell>
          <cell r="E3846" t="e">
            <v>#N/A</v>
          </cell>
        </row>
        <row r="3847">
          <cell r="C3847" t="str">
            <v>TL</v>
          </cell>
          <cell r="D3847" t="str">
            <v>SMB</v>
          </cell>
        </row>
        <row r="3848">
          <cell r="C3848" t="str">
            <v>USD</v>
          </cell>
          <cell r="D3848" t="str">
            <v>SMB</v>
          </cell>
        </row>
        <row r="3849">
          <cell r="C3849" t="str">
            <v>EUR</v>
          </cell>
          <cell r="D3849" t="str">
            <v>SMB</v>
          </cell>
        </row>
        <row r="3850">
          <cell r="C3850" t="str">
            <v>Kur Sabitleme</v>
          </cell>
          <cell r="D3850" t="str">
            <v>SMB</v>
          </cell>
        </row>
        <row r="3851">
          <cell r="C3851" t="str">
            <v>BRİİSK LİMİTED</v>
          </cell>
          <cell r="D3851" t="str">
            <v>SMB</v>
          </cell>
          <cell r="E3851" t="e">
            <v>#N/A</v>
          </cell>
        </row>
        <row r="3852">
          <cell r="C3852" t="str">
            <v>TL</v>
          </cell>
          <cell r="D3852" t="str">
            <v>SMB</v>
          </cell>
        </row>
        <row r="3853">
          <cell r="C3853" t="str">
            <v>USD</v>
          </cell>
          <cell r="D3853" t="str">
            <v>SMB</v>
          </cell>
        </row>
        <row r="3854">
          <cell r="C3854" t="str">
            <v>EUR</v>
          </cell>
          <cell r="D3854" t="str">
            <v>SMB</v>
          </cell>
        </row>
        <row r="3855">
          <cell r="C3855" t="str">
            <v>Kur Sabitleme</v>
          </cell>
          <cell r="D3855" t="str">
            <v>SMB</v>
          </cell>
        </row>
        <row r="3856">
          <cell r="C3856" t="str">
            <v>HAZİRAN TEKNOLOJİ YAZILIM VE BİLİŞİM A.Ş.</v>
          </cell>
          <cell r="D3856" t="str">
            <v>SMB</v>
          </cell>
          <cell r="E3856" t="str">
            <v>Diğer</v>
          </cell>
        </row>
        <row r="3857">
          <cell r="C3857" t="str">
            <v>TL</v>
          </cell>
          <cell r="D3857" t="str">
            <v>SMB</v>
          </cell>
        </row>
        <row r="3858">
          <cell r="C3858" t="str">
            <v>USD</v>
          </cell>
          <cell r="D3858" t="str">
            <v>SMB</v>
          </cell>
        </row>
        <row r="3859">
          <cell r="C3859" t="str">
            <v>EUR</v>
          </cell>
          <cell r="D3859" t="str">
            <v>SMB</v>
          </cell>
        </row>
        <row r="3860">
          <cell r="C3860" t="str">
            <v>Kur Sabitleme</v>
          </cell>
          <cell r="D3860" t="str">
            <v>SMB</v>
          </cell>
        </row>
        <row r="3861">
          <cell r="C3861" t="str">
            <v>İPEKYOLU GÜMRÜK MÜŞAVİRLİĞİ LTD. ŞTİ.</v>
          </cell>
          <cell r="D3861" t="str">
            <v>SMB</v>
          </cell>
          <cell r="E3861" t="str">
            <v>Lojistik</v>
          </cell>
        </row>
        <row r="3862">
          <cell r="C3862" t="str">
            <v>TL</v>
          </cell>
          <cell r="D3862" t="str">
            <v>SMB</v>
          </cell>
        </row>
        <row r="3863">
          <cell r="C3863" t="str">
            <v>USD</v>
          </cell>
          <cell r="D3863" t="str">
            <v>SMB</v>
          </cell>
        </row>
        <row r="3864">
          <cell r="C3864" t="str">
            <v>EUR</v>
          </cell>
          <cell r="D3864" t="str">
            <v>SMB</v>
          </cell>
        </row>
        <row r="3865">
          <cell r="C3865" t="str">
            <v>Kur Sabitleme</v>
          </cell>
          <cell r="D3865" t="str">
            <v>SMB</v>
          </cell>
        </row>
        <row r="3866">
          <cell r="C3866" t="str">
            <v>BURSA KAYNAK MAKİNE İNŞAAT YEDEK PARÇA NAKLİYE VE</v>
          </cell>
          <cell r="D3866" t="str">
            <v>SMB</v>
          </cell>
          <cell r="E3866" t="str">
            <v>Diğer</v>
          </cell>
        </row>
        <row r="3867">
          <cell r="C3867" t="str">
            <v>TL</v>
          </cell>
          <cell r="D3867" t="str">
            <v>SMB</v>
          </cell>
        </row>
        <row r="3868">
          <cell r="C3868" t="str">
            <v>USD</v>
          </cell>
          <cell r="D3868" t="str">
            <v>SMB</v>
          </cell>
        </row>
        <row r="3869">
          <cell r="C3869" t="str">
            <v>EUR</v>
          </cell>
          <cell r="D3869" t="str">
            <v>SMB</v>
          </cell>
        </row>
        <row r="3870">
          <cell r="C3870" t="str">
            <v>Kur Sabitleme</v>
          </cell>
          <cell r="D3870" t="str">
            <v>SMB</v>
          </cell>
        </row>
        <row r="3871">
          <cell r="C3871" t="str">
            <v>BUSEM HEDİYELİK EŞYA VE METAL SAN. TİC. LTD. ŞTİ.</v>
          </cell>
          <cell r="D3871" t="str">
            <v>SMB</v>
          </cell>
          <cell r="E3871" t="str">
            <v>Diğer</v>
          </cell>
        </row>
        <row r="3872">
          <cell r="C3872" t="str">
            <v>TL</v>
          </cell>
          <cell r="D3872" t="str">
            <v>SMB</v>
          </cell>
        </row>
        <row r="3873">
          <cell r="C3873" t="str">
            <v>USD</v>
          </cell>
          <cell r="D3873" t="str">
            <v>SMB</v>
          </cell>
        </row>
        <row r="3874">
          <cell r="C3874" t="str">
            <v>EUR</v>
          </cell>
          <cell r="D3874" t="str">
            <v>SMB</v>
          </cell>
        </row>
        <row r="3875">
          <cell r="C3875" t="str">
            <v>Kur Sabitleme</v>
          </cell>
          <cell r="D3875" t="str">
            <v>SMB</v>
          </cell>
        </row>
        <row r="3876">
          <cell r="C3876" t="str">
            <v>JANUS BARKOD TEKNOLOJİLERİ VE TURİZM SAN.TİC.LTD.Ş</v>
          </cell>
          <cell r="D3876" t="str">
            <v>SMB</v>
          </cell>
          <cell r="E3876" t="str">
            <v>Diğer</v>
          </cell>
        </row>
        <row r="3877">
          <cell r="C3877" t="str">
            <v>TL</v>
          </cell>
          <cell r="D3877" t="str">
            <v>SMB</v>
          </cell>
        </row>
        <row r="3878">
          <cell r="C3878" t="str">
            <v>USD</v>
          </cell>
          <cell r="D3878" t="str">
            <v>SMB</v>
          </cell>
        </row>
        <row r="3879">
          <cell r="C3879" t="str">
            <v>EUR</v>
          </cell>
          <cell r="D3879" t="str">
            <v>SMB</v>
          </cell>
        </row>
        <row r="3880">
          <cell r="C3880" t="str">
            <v>Kur Sabitleme</v>
          </cell>
          <cell r="D3880" t="str">
            <v>SMB</v>
          </cell>
        </row>
        <row r="3881">
          <cell r="C3881" t="str">
            <v>VONTECH ELEKTRONİK VE TİC.LTD.ŞTİ</v>
          </cell>
          <cell r="D3881" t="str">
            <v>SMB</v>
          </cell>
          <cell r="E3881" t="str">
            <v>Diğer</v>
          </cell>
        </row>
        <row r="3882">
          <cell r="C3882" t="str">
            <v>TL</v>
          </cell>
          <cell r="D3882" t="str">
            <v>SMB</v>
          </cell>
        </row>
        <row r="3883">
          <cell r="C3883" t="str">
            <v>USD</v>
          </cell>
          <cell r="D3883" t="str">
            <v>SMB</v>
          </cell>
        </row>
        <row r="3884">
          <cell r="C3884" t="str">
            <v>USD</v>
          </cell>
          <cell r="D3884" t="str">
            <v>SMB</v>
          </cell>
        </row>
        <row r="3885">
          <cell r="C3885" t="str">
            <v>EUR</v>
          </cell>
          <cell r="D3885" t="str">
            <v>SMB</v>
          </cell>
        </row>
        <row r="3886">
          <cell r="C3886" t="str">
            <v>Kur Sabitleme</v>
          </cell>
          <cell r="D3886" t="str">
            <v>SMB</v>
          </cell>
        </row>
        <row r="3887">
          <cell r="C3887" t="str">
            <v>ALL PARTS OTOMOTİV VE DIŞ TİC. LTD.ŞTİ</v>
          </cell>
          <cell r="D3887" t="str">
            <v>SMB</v>
          </cell>
          <cell r="E3887" t="str">
            <v>Diğer</v>
          </cell>
        </row>
        <row r="3888">
          <cell r="C3888" t="str">
            <v>TL</v>
          </cell>
          <cell r="D3888" t="str">
            <v>SMB</v>
          </cell>
        </row>
        <row r="3889">
          <cell r="C3889" t="str">
            <v>USD</v>
          </cell>
          <cell r="D3889" t="str">
            <v>SMB</v>
          </cell>
        </row>
        <row r="3890">
          <cell r="C3890" t="str">
            <v>USD</v>
          </cell>
          <cell r="D3890" t="str">
            <v>SMB</v>
          </cell>
        </row>
        <row r="3891">
          <cell r="C3891" t="str">
            <v>EUR</v>
          </cell>
          <cell r="D3891" t="str">
            <v>SMB</v>
          </cell>
        </row>
        <row r="3892">
          <cell r="C3892" t="str">
            <v>Kur Sabitleme</v>
          </cell>
          <cell r="D3892" t="str">
            <v>SMB</v>
          </cell>
        </row>
        <row r="3893">
          <cell r="C3893" t="str">
            <v>CAREWIND RÜZGAR TÜRBİNLERİ MONTAJ BAKIM VE SERVİS</v>
          </cell>
          <cell r="D3893" t="str">
            <v>SMB</v>
          </cell>
          <cell r="E3893" t="str">
            <v>Diğer</v>
          </cell>
        </row>
        <row r="3894">
          <cell r="C3894" t="str">
            <v>TL</v>
          </cell>
          <cell r="D3894" t="str">
            <v>SMB</v>
          </cell>
        </row>
        <row r="3895">
          <cell r="C3895" t="str">
            <v>USD</v>
          </cell>
          <cell r="D3895" t="str">
            <v>SMB</v>
          </cell>
        </row>
        <row r="3896">
          <cell r="C3896" t="str">
            <v>EUR</v>
          </cell>
          <cell r="D3896" t="str">
            <v>SMB</v>
          </cell>
        </row>
        <row r="3897">
          <cell r="C3897" t="str">
            <v>Kur Sabitleme</v>
          </cell>
          <cell r="D3897" t="str">
            <v>SMB</v>
          </cell>
        </row>
        <row r="3898">
          <cell r="C3898" t="str">
            <v>ANATORIAS DIŞ TİCARET LTD. ŞTİ.</v>
          </cell>
          <cell r="D3898" t="str">
            <v>SMB</v>
          </cell>
          <cell r="E3898" t="e">
            <v>#N/A</v>
          </cell>
        </row>
        <row r="3899">
          <cell r="C3899" t="str">
            <v>TL</v>
          </cell>
          <cell r="D3899" t="str">
            <v>SMB</v>
          </cell>
        </row>
        <row r="3900">
          <cell r="C3900" t="str">
            <v>USD</v>
          </cell>
          <cell r="D3900" t="str">
            <v>SMB</v>
          </cell>
        </row>
        <row r="3901">
          <cell r="C3901" t="str">
            <v>EUR</v>
          </cell>
          <cell r="D3901" t="str">
            <v>SMB</v>
          </cell>
        </row>
        <row r="3902">
          <cell r="C3902" t="str">
            <v>Kur Sabitleme</v>
          </cell>
          <cell r="D3902" t="str">
            <v>SMB</v>
          </cell>
        </row>
        <row r="3903">
          <cell r="C3903" t="str">
            <v>LEY MODA TEKSTİL TASARIM SANAYİ VE TİC LİMİTED</v>
          </cell>
          <cell r="D3903" t="str">
            <v>SMB</v>
          </cell>
          <cell r="E3903" t="e">
            <v>#N/A</v>
          </cell>
        </row>
        <row r="3904">
          <cell r="C3904" t="str">
            <v>TL</v>
          </cell>
          <cell r="D3904" t="str">
            <v>SMB</v>
          </cell>
        </row>
        <row r="3905">
          <cell r="C3905" t="str">
            <v>USD</v>
          </cell>
          <cell r="D3905" t="str">
            <v>SMB</v>
          </cell>
        </row>
        <row r="3906">
          <cell r="C3906" t="str">
            <v>USD</v>
          </cell>
          <cell r="D3906" t="str">
            <v>SMB</v>
          </cell>
        </row>
        <row r="3907">
          <cell r="C3907" t="str">
            <v>EUR</v>
          </cell>
          <cell r="D3907" t="str">
            <v>SMB</v>
          </cell>
        </row>
        <row r="3908">
          <cell r="C3908" t="str">
            <v>Kur Sabitleme</v>
          </cell>
          <cell r="D3908" t="str">
            <v>SMB</v>
          </cell>
        </row>
        <row r="3909">
          <cell r="C3909" t="str">
            <v>MARKAHUB TEKSTİL</v>
          </cell>
          <cell r="D3909" t="str">
            <v>SMB</v>
          </cell>
          <cell r="E3909" t="str">
            <v>Diğer</v>
          </cell>
        </row>
        <row r="3910">
          <cell r="C3910" t="str">
            <v>TL</v>
          </cell>
          <cell r="D3910" t="str">
            <v>SMB</v>
          </cell>
        </row>
        <row r="3911">
          <cell r="C3911" t="str">
            <v>USD</v>
          </cell>
          <cell r="D3911" t="str">
            <v>SMB</v>
          </cell>
        </row>
        <row r="3912">
          <cell r="C3912" t="str">
            <v>EUR</v>
          </cell>
          <cell r="D3912" t="str">
            <v>SMB</v>
          </cell>
        </row>
        <row r="3913">
          <cell r="C3913" t="str">
            <v>Kur Sabitleme</v>
          </cell>
          <cell r="D3913" t="str">
            <v>SMB</v>
          </cell>
        </row>
        <row r="3914">
          <cell r="C3914" t="str">
            <v>ZEYMEL İÇ VE DIŞ TİC. A.Ş.</v>
          </cell>
          <cell r="D3914" t="str">
            <v>SMB</v>
          </cell>
          <cell r="E3914" t="e">
            <v>#N/A</v>
          </cell>
        </row>
        <row r="3915">
          <cell r="C3915" t="str">
            <v>TL</v>
          </cell>
          <cell r="D3915" t="str">
            <v>SMB</v>
          </cell>
        </row>
        <row r="3916">
          <cell r="C3916" t="str">
            <v>USD</v>
          </cell>
          <cell r="D3916" t="str">
            <v>SMB</v>
          </cell>
        </row>
        <row r="3917">
          <cell r="C3917" t="str">
            <v>EUR</v>
          </cell>
          <cell r="D3917" t="str">
            <v>SMB</v>
          </cell>
        </row>
        <row r="3918">
          <cell r="C3918" t="str">
            <v>Kur Sabitleme</v>
          </cell>
          <cell r="D3918" t="str">
            <v>SMB</v>
          </cell>
        </row>
        <row r="3919">
          <cell r="C3919" t="str">
            <v>DÖRTSAN GRUP HİDROLİK OTOMOTİV SAN. VE DIŞ TİC. LT</v>
          </cell>
          <cell r="D3919" t="str">
            <v>SMB</v>
          </cell>
          <cell r="E3919" t="str">
            <v>Diğer</v>
          </cell>
        </row>
        <row r="3920">
          <cell r="C3920" t="str">
            <v>TL</v>
          </cell>
          <cell r="D3920" t="str">
            <v>SMB</v>
          </cell>
        </row>
        <row r="3921">
          <cell r="C3921" t="str">
            <v>USD</v>
          </cell>
          <cell r="D3921" t="str">
            <v>SMB</v>
          </cell>
        </row>
        <row r="3922">
          <cell r="C3922" t="str">
            <v>EUR</v>
          </cell>
          <cell r="D3922" t="str">
            <v>SMB</v>
          </cell>
        </row>
        <row r="3923">
          <cell r="C3923" t="str">
            <v>Kur Sabitleme</v>
          </cell>
          <cell r="D3923" t="str">
            <v>SMB</v>
          </cell>
        </row>
        <row r="3924">
          <cell r="C3924" t="str">
            <v>HİVA TEKSTİL ÜRÜNLERİ SAN. VE TİC. LTD.ŞTİ</v>
          </cell>
          <cell r="D3924" t="str">
            <v>SMB</v>
          </cell>
          <cell r="E3924" t="e">
            <v>#N/A</v>
          </cell>
        </row>
        <row r="3925">
          <cell r="C3925" t="str">
            <v>TL</v>
          </cell>
          <cell r="D3925" t="str">
            <v>SMB</v>
          </cell>
        </row>
        <row r="3926">
          <cell r="C3926" t="str">
            <v>USD</v>
          </cell>
          <cell r="D3926" t="str">
            <v>SMB</v>
          </cell>
        </row>
        <row r="3927">
          <cell r="C3927" t="str">
            <v>EUR</v>
          </cell>
          <cell r="D3927" t="str">
            <v>SMB</v>
          </cell>
        </row>
        <row r="3928">
          <cell r="C3928" t="str">
            <v>Kur Sabitleme</v>
          </cell>
          <cell r="D3928" t="str">
            <v>SMB</v>
          </cell>
        </row>
        <row r="3929">
          <cell r="C3929" t="str">
            <v>AVM LOJİSTİK TİCARET ANONİM ŞİRKETİ</v>
          </cell>
          <cell r="D3929" t="str">
            <v>SMB</v>
          </cell>
          <cell r="E3929" t="e">
            <v>#N/A</v>
          </cell>
        </row>
        <row r="3930">
          <cell r="C3930" t="str">
            <v>TL</v>
          </cell>
          <cell r="D3930" t="str">
            <v>SMB</v>
          </cell>
        </row>
        <row r="3931">
          <cell r="C3931" t="str">
            <v>USD</v>
          </cell>
          <cell r="D3931" t="str">
            <v>SMB</v>
          </cell>
        </row>
        <row r="3932">
          <cell r="C3932" t="str">
            <v>USD</v>
          </cell>
          <cell r="D3932" t="str">
            <v>SMB</v>
          </cell>
        </row>
        <row r="3933">
          <cell r="C3933" t="str">
            <v>EUR</v>
          </cell>
          <cell r="D3933" t="str">
            <v>SMB</v>
          </cell>
        </row>
        <row r="3934">
          <cell r="C3934" t="str">
            <v>Kur Sabitleme</v>
          </cell>
          <cell r="D3934" t="str">
            <v>SMB</v>
          </cell>
        </row>
        <row r="3935">
          <cell r="C3935" t="str">
            <v>SL INVEST DANIŞMANLIK ANONİM ŞİRKETİ</v>
          </cell>
          <cell r="D3935" t="str">
            <v>SMB</v>
          </cell>
          <cell r="E3935" t="e">
            <v>#N/A</v>
          </cell>
        </row>
        <row r="3936">
          <cell r="C3936" t="str">
            <v>TL</v>
          </cell>
          <cell r="D3936" t="str">
            <v>SMB</v>
          </cell>
        </row>
        <row r="3937">
          <cell r="C3937" t="str">
            <v>USD</v>
          </cell>
          <cell r="D3937" t="str">
            <v>SMB</v>
          </cell>
        </row>
        <row r="3938">
          <cell r="C3938" t="str">
            <v>EUR</v>
          </cell>
          <cell r="D3938" t="str">
            <v>SMB</v>
          </cell>
        </row>
        <row r="3939">
          <cell r="C3939" t="str">
            <v>Kur Sabitleme</v>
          </cell>
          <cell r="D3939" t="str">
            <v>SMB</v>
          </cell>
        </row>
        <row r="3940">
          <cell r="C3940" t="str">
            <v>ASYAMED TEKNİK TIBBI MALZEMELER - ASLAN BURSALI</v>
          </cell>
          <cell r="D3940" t="str">
            <v>SMB</v>
          </cell>
          <cell r="E3940" t="e">
            <v>#N/A</v>
          </cell>
        </row>
        <row r="3941">
          <cell r="C3941" t="str">
            <v>TL</v>
          </cell>
          <cell r="D3941" t="str">
            <v>SMB</v>
          </cell>
        </row>
        <row r="3942">
          <cell r="C3942" t="str">
            <v>USD</v>
          </cell>
          <cell r="D3942" t="str">
            <v>SMB</v>
          </cell>
        </row>
        <row r="3943">
          <cell r="C3943" t="str">
            <v>EUR</v>
          </cell>
          <cell r="D3943" t="str">
            <v>SMB</v>
          </cell>
        </row>
        <row r="3944">
          <cell r="C3944" t="str">
            <v>Kur Sabitleme</v>
          </cell>
          <cell r="D3944" t="str">
            <v>SMB</v>
          </cell>
        </row>
        <row r="3945">
          <cell r="C3945" t="str">
            <v>Atomy Turkey Kozmetik ve Sağlıklı Ürünler Limited</v>
          </cell>
          <cell r="D3945" t="str">
            <v>SMB</v>
          </cell>
          <cell r="E3945" t="e">
            <v>#N/A</v>
          </cell>
        </row>
        <row r="3946">
          <cell r="C3946" t="str">
            <v>TL</v>
          </cell>
          <cell r="D3946" t="str">
            <v>SMB</v>
          </cell>
        </row>
        <row r="3947">
          <cell r="C3947" t="str">
            <v>USD</v>
          </cell>
          <cell r="D3947" t="str">
            <v>SMB</v>
          </cell>
        </row>
        <row r="3948">
          <cell r="C3948" t="str">
            <v>EUR</v>
          </cell>
          <cell r="D3948" t="str">
            <v>SMB</v>
          </cell>
        </row>
        <row r="3949">
          <cell r="C3949" t="str">
            <v>Kur Sabitleme</v>
          </cell>
          <cell r="D3949" t="str">
            <v>SMB</v>
          </cell>
        </row>
        <row r="3950">
          <cell r="C3950" t="str">
            <v>BY SELMA ÖZKAN / MELİSA COLLECTION</v>
          </cell>
          <cell r="D3950" t="str">
            <v>SMB</v>
          </cell>
          <cell r="E3950" t="e">
            <v>#N/A</v>
          </cell>
        </row>
        <row r="3951">
          <cell r="C3951" t="str">
            <v>TL</v>
          </cell>
          <cell r="D3951" t="str">
            <v>SMB</v>
          </cell>
        </row>
        <row r="3952">
          <cell r="C3952" t="str">
            <v>USD</v>
          </cell>
          <cell r="D3952" t="str">
            <v>SMB</v>
          </cell>
        </row>
        <row r="3953">
          <cell r="C3953" t="str">
            <v>EUR</v>
          </cell>
          <cell r="D3953" t="str">
            <v>SMB</v>
          </cell>
        </row>
        <row r="3954">
          <cell r="C3954" t="str">
            <v>Kur Sabitleme</v>
          </cell>
          <cell r="D3954" t="str">
            <v>SMB</v>
          </cell>
        </row>
        <row r="3955">
          <cell r="C3955" t="str">
            <v>EMTEK SU VE ISI TEKN İNŞ SAN DIŞ TİC LTD ŞTİ</v>
          </cell>
          <cell r="D3955" t="str">
            <v>SMB</v>
          </cell>
          <cell r="E3955" t="e">
            <v>#N/A</v>
          </cell>
        </row>
        <row r="3956">
          <cell r="C3956" t="str">
            <v>TL</v>
          </cell>
          <cell r="D3956" t="str">
            <v>SMB</v>
          </cell>
        </row>
        <row r="3957">
          <cell r="C3957" t="str">
            <v>USD</v>
          </cell>
          <cell r="D3957" t="str">
            <v>SMB</v>
          </cell>
        </row>
        <row r="3958">
          <cell r="C3958" t="str">
            <v>EUR</v>
          </cell>
          <cell r="D3958" t="str">
            <v>SMB</v>
          </cell>
        </row>
        <row r="3959">
          <cell r="C3959" t="str">
            <v>Kur Sabitleme</v>
          </cell>
          <cell r="D3959" t="str">
            <v>SMB</v>
          </cell>
        </row>
        <row r="3960">
          <cell r="C3960" t="str">
            <v>MURAT UYSAL YAPI MALZEMELERİ SANAYİ VE DIŞ TİCARET</v>
          </cell>
          <cell r="D3960" t="str">
            <v>SMB</v>
          </cell>
          <cell r="E3960" t="e">
            <v>#N/A</v>
          </cell>
        </row>
        <row r="3961">
          <cell r="C3961" t="str">
            <v>TL</v>
          </cell>
          <cell r="D3961" t="str">
            <v>SMB</v>
          </cell>
        </row>
        <row r="3962">
          <cell r="C3962" t="str">
            <v>USD</v>
          </cell>
          <cell r="D3962" t="str">
            <v>SMB</v>
          </cell>
        </row>
        <row r="3963">
          <cell r="C3963" t="str">
            <v>EUR</v>
          </cell>
          <cell r="D3963" t="str">
            <v>SMB</v>
          </cell>
        </row>
        <row r="3964">
          <cell r="C3964" t="str">
            <v>Kur Sabitleme</v>
          </cell>
          <cell r="D3964" t="str">
            <v>SMB</v>
          </cell>
        </row>
        <row r="3965">
          <cell r="C3965" t="str">
            <v>NEPROTECH YAZILIM VE BILGI TEKNOLOJILERI</v>
          </cell>
          <cell r="D3965" t="str">
            <v>SMB</v>
          </cell>
          <cell r="E3965" t="str">
            <v>Diğer</v>
          </cell>
        </row>
        <row r="3966">
          <cell r="C3966" t="str">
            <v>TL</v>
          </cell>
          <cell r="D3966" t="str">
            <v>SMB</v>
          </cell>
        </row>
        <row r="3967">
          <cell r="C3967" t="str">
            <v>USD</v>
          </cell>
          <cell r="D3967" t="str">
            <v>SMB</v>
          </cell>
        </row>
        <row r="3968">
          <cell r="C3968" t="str">
            <v>USD</v>
          </cell>
          <cell r="D3968" t="str">
            <v>SMB</v>
          </cell>
        </row>
        <row r="3969">
          <cell r="C3969" t="str">
            <v>USD</v>
          </cell>
          <cell r="D3969" t="str">
            <v>SMB</v>
          </cell>
        </row>
        <row r="3970">
          <cell r="C3970" t="str">
            <v>EUR</v>
          </cell>
          <cell r="D3970" t="str">
            <v>SMB</v>
          </cell>
        </row>
        <row r="3971">
          <cell r="C3971" t="str">
            <v>Kur Sabitleme</v>
          </cell>
          <cell r="D3971" t="str">
            <v>SMB</v>
          </cell>
        </row>
        <row r="3972">
          <cell r="C3972" t="str">
            <v>SADIK GROUP YATIRIM İNŞAAT VE TİCARET LİMİTED ŞİRK</v>
          </cell>
          <cell r="D3972" t="str">
            <v>SMB</v>
          </cell>
          <cell r="E3972" t="e">
            <v>#N/A</v>
          </cell>
        </row>
        <row r="3973">
          <cell r="C3973" t="str">
            <v>TL</v>
          </cell>
          <cell r="D3973" t="str">
            <v>SMB</v>
          </cell>
        </row>
        <row r="3974">
          <cell r="C3974" t="str">
            <v>USD</v>
          </cell>
          <cell r="D3974" t="str">
            <v>SMB</v>
          </cell>
        </row>
        <row r="3975">
          <cell r="C3975" t="str">
            <v>EUR</v>
          </cell>
          <cell r="D3975" t="str">
            <v>SMB</v>
          </cell>
        </row>
        <row r="3976">
          <cell r="C3976" t="str">
            <v>Kur Sabitleme</v>
          </cell>
          <cell r="D3976" t="str">
            <v>SMB</v>
          </cell>
        </row>
        <row r="3977">
          <cell r="C3977" t="str">
            <v>SAREM TURİZM GIDA TİCARET LİMİTED ŞİRKETİ</v>
          </cell>
          <cell r="D3977" t="str">
            <v>SMB</v>
          </cell>
          <cell r="E3977" t="e">
            <v>#N/A</v>
          </cell>
        </row>
        <row r="3978">
          <cell r="C3978" t="str">
            <v>TL</v>
          </cell>
          <cell r="D3978" t="str">
            <v>SMB</v>
          </cell>
        </row>
        <row r="3979">
          <cell r="C3979" t="str">
            <v>USD</v>
          </cell>
          <cell r="D3979" t="str">
            <v>SMB</v>
          </cell>
        </row>
        <row r="3980">
          <cell r="C3980" t="str">
            <v>USD</v>
          </cell>
          <cell r="D3980" t="str">
            <v>SMB</v>
          </cell>
        </row>
        <row r="3981">
          <cell r="C3981" t="str">
            <v>EUR</v>
          </cell>
          <cell r="D3981" t="str">
            <v>SMB</v>
          </cell>
        </row>
        <row r="3982">
          <cell r="C3982" t="str">
            <v>Kur Sabitleme</v>
          </cell>
          <cell r="D3982" t="str">
            <v>SMB</v>
          </cell>
        </row>
        <row r="3983">
          <cell r="C3983" t="str">
            <v>TARGET MUTFAK SİSTEM ÇÖZÜMLERİ A.Ş</v>
          </cell>
          <cell r="D3983" t="str">
            <v>SMB</v>
          </cell>
          <cell r="E3983" t="e">
            <v>#N/A</v>
          </cell>
        </row>
        <row r="3984">
          <cell r="C3984" t="str">
            <v>TL</v>
          </cell>
          <cell r="D3984" t="str">
            <v>SMB</v>
          </cell>
        </row>
        <row r="3985">
          <cell r="C3985" t="str">
            <v>USD</v>
          </cell>
          <cell r="D3985" t="str">
            <v>SMB</v>
          </cell>
        </row>
        <row r="3986">
          <cell r="C3986" t="str">
            <v>EUR</v>
          </cell>
          <cell r="D3986" t="str">
            <v>SMB</v>
          </cell>
        </row>
        <row r="3987">
          <cell r="C3987" t="str">
            <v>Kur Sabitleme</v>
          </cell>
          <cell r="D3987" t="str">
            <v>SMB</v>
          </cell>
        </row>
        <row r="3988">
          <cell r="C3988" t="str">
            <v>EZA İNTERNET HİZMETLERİ PAZARLAMA TİC. A.Ş</v>
          </cell>
          <cell r="D3988" t="str">
            <v>SMB</v>
          </cell>
          <cell r="E3988" t="e">
            <v>#N/A</v>
          </cell>
        </row>
        <row r="3989">
          <cell r="C3989" t="str">
            <v>TL</v>
          </cell>
          <cell r="D3989" t="str">
            <v>SMB</v>
          </cell>
        </row>
        <row r="3990">
          <cell r="C3990" t="str">
            <v>USD</v>
          </cell>
          <cell r="D3990" t="str">
            <v>SMB</v>
          </cell>
        </row>
        <row r="3991">
          <cell r="C3991" t="str">
            <v>EUR</v>
          </cell>
          <cell r="D3991" t="str">
            <v>SMB</v>
          </cell>
        </row>
        <row r="3992">
          <cell r="C3992" t="str">
            <v>Kur Sabitleme</v>
          </cell>
          <cell r="D3992" t="str">
            <v>SMB</v>
          </cell>
        </row>
        <row r="3993">
          <cell r="C3993" t="str">
            <v>MY FLOWERS TARIM SANAYİ TİC.LTD.ŞTİ</v>
          </cell>
          <cell r="D3993" t="str">
            <v>SMB</v>
          </cell>
          <cell r="E3993" t="e">
            <v>#N/A</v>
          </cell>
        </row>
      </sheetData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</sheetNames>
    <sheetDataSet>
      <sheetData sheetId="0">
        <row r="2">
          <cell r="A2" t="str">
            <v>MİKRO YAZILIMEVI YAZ. HIZ. BILG. SAN.TIC. A.S.</v>
          </cell>
          <cell r="B2" t="e">
            <v>#REF!</v>
          </cell>
          <cell r="C2" t="str">
            <v>Enterprise</v>
          </cell>
          <cell r="D2">
            <v>44927</v>
          </cell>
          <cell r="E2">
            <v>66122.871317364115</v>
          </cell>
          <cell r="F2">
            <v>66954.397661657349</v>
          </cell>
          <cell r="G2">
            <v>100878.24920751381</v>
          </cell>
        </row>
        <row r="3">
          <cell r="A3" t="str">
            <v>MEDİKAL PARK HASTANELERİ (MLP CARE)</v>
          </cell>
          <cell r="B3" t="e">
            <v>#REF!</v>
          </cell>
          <cell r="C3" t="str">
            <v>Enterprise</v>
          </cell>
          <cell r="D3">
            <v>44927</v>
          </cell>
          <cell r="E3">
            <v>64779.075606814818</v>
          </cell>
          <cell r="F3">
            <v>61839.225249512347</v>
          </cell>
          <cell r="G3">
            <v>81889.509394700464</v>
          </cell>
        </row>
        <row r="4">
          <cell r="A4" t="str">
            <v>FLO Magazacılık Hizmetleri ve Pazarlama A.Ş.</v>
          </cell>
          <cell r="B4" t="e">
            <v>#REF!</v>
          </cell>
          <cell r="C4" t="str">
            <v>Enterprise</v>
          </cell>
          <cell r="D4">
            <v>44951</v>
          </cell>
          <cell r="E4">
            <v>15464.324640174476</v>
          </cell>
          <cell r="F4">
            <v>27571.30845474638</v>
          </cell>
          <cell r="G4">
            <v>76325.108717543131</v>
          </cell>
        </row>
        <row r="5">
          <cell r="A5" t="str">
            <v>TOGG</v>
          </cell>
          <cell r="B5" t="e">
            <v>#REF!</v>
          </cell>
          <cell r="C5" t="str">
            <v>Enterprise</v>
          </cell>
          <cell r="D5">
            <v>45443</v>
          </cell>
          <cell r="E5">
            <v>37183.503359423281</v>
          </cell>
          <cell r="F5">
            <v>60452.734651856998</v>
          </cell>
          <cell r="G5">
            <v>0</v>
          </cell>
        </row>
        <row r="6">
          <cell r="A6" t="str">
            <v>TÜRKİYE ŞİŞE VE CAM FABRİKALARI A.Ş.</v>
          </cell>
          <cell r="B6" t="e">
            <v>#REF!</v>
          </cell>
          <cell r="C6" t="str">
            <v>Enterprise</v>
          </cell>
          <cell r="D6">
            <v>45576</v>
          </cell>
          <cell r="E6">
            <v>26825</v>
          </cell>
          <cell r="F6">
            <v>29388.319299999999</v>
          </cell>
          <cell r="G6">
            <v>0</v>
          </cell>
        </row>
        <row r="7">
          <cell r="A7" t="str">
            <v>SAHİBİNDEN BILGI.TEKN.PAZ.VE TIC.A.S</v>
          </cell>
          <cell r="B7" t="e">
            <v>#REF!</v>
          </cell>
          <cell r="C7" t="str">
            <v>Enterprise</v>
          </cell>
          <cell r="D7">
            <v>44927</v>
          </cell>
          <cell r="E7">
            <v>13132.282776157756</v>
          </cell>
          <cell r="F7">
            <v>15795.814897218823</v>
          </cell>
          <cell r="G7">
            <v>29488.376555577506</v>
          </cell>
        </row>
        <row r="8">
          <cell r="A8" t="str">
            <v>LOGO YAZILIM SANAYİ TİC AŞ</v>
          </cell>
          <cell r="B8" t="e">
            <v>#REF!</v>
          </cell>
          <cell r="C8" t="str">
            <v>Enterprise</v>
          </cell>
          <cell r="D8">
            <v>44927</v>
          </cell>
          <cell r="E8">
            <v>21218.719513159769</v>
          </cell>
          <cell r="F8">
            <v>29462.92049190135</v>
          </cell>
          <cell r="G8">
            <v>28683.128422000005</v>
          </cell>
        </row>
        <row r="9">
          <cell r="A9" t="str">
            <v>İSTANBUL KÜLTÜR ÜNIVERSITESI (İKÜ)</v>
          </cell>
          <cell r="B9" t="e">
            <v>#REF!</v>
          </cell>
          <cell r="C9" t="str">
            <v>Enterprise</v>
          </cell>
          <cell r="D9">
            <v>44927</v>
          </cell>
          <cell r="E9">
            <v>14466.911528178409</v>
          </cell>
          <cell r="F9">
            <v>16588.273765875652</v>
          </cell>
          <cell r="G9">
            <v>19809.566563055563</v>
          </cell>
        </row>
        <row r="10">
          <cell r="A10" t="str">
            <v>OSMANLI YATIRIM MENKUL DEGERLER A.S.</v>
          </cell>
          <cell r="B10" t="e">
            <v>#REF!</v>
          </cell>
          <cell r="C10" t="str">
            <v>Enterprise</v>
          </cell>
          <cell r="D10">
            <v>44927</v>
          </cell>
          <cell r="E10">
            <v>11483.88</v>
          </cell>
          <cell r="F10">
            <v>15287.778107000002</v>
          </cell>
          <cell r="G10">
            <v>15287.778107000002</v>
          </cell>
        </row>
        <row r="11">
          <cell r="A11" t="str">
            <v>ARENA BILGISAYAR</v>
          </cell>
          <cell r="B11" t="e">
            <v>#REF!</v>
          </cell>
          <cell r="C11" t="str">
            <v>Enterprise</v>
          </cell>
          <cell r="D11">
            <v>44927</v>
          </cell>
          <cell r="E11">
            <v>13840.188013092871</v>
          </cell>
          <cell r="F11">
            <v>13488.300053495026</v>
          </cell>
          <cell r="G11">
            <v>15693.8614077896</v>
          </cell>
        </row>
        <row r="12">
          <cell r="A12" t="str">
            <v xml:space="preserve">BEYMEN GRUP </v>
          </cell>
          <cell r="B12" t="e">
            <v>#REF!</v>
          </cell>
          <cell r="C12" t="str">
            <v>Enterprise</v>
          </cell>
          <cell r="D12">
            <v>44927</v>
          </cell>
          <cell r="E12">
            <v>11700</v>
          </cell>
          <cell r="F12">
            <v>12385.999268</v>
          </cell>
          <cell r="G12">
            <v>13914</v>
          </cell>
        </row>
        <row r="13">
          <cell r="A13" t="str">
            <v>EVIDEA MAGAZACILIK A.S.</v>
          </cell>
          <cell r="B13" t="e">
            <v>#REF!</v>
          </cell>
          <cell r="C13" t="str">
            <v>Enterprise</v>
          </cell>
          <cell r="D13">
            <v>44927</v>
          </cell>
          <cell r="E13">
            <v>3569.2072400750121</v>
          </cell>
          <cell r="F13">
            <v>5714.4161934929598</v>
          </cell>
          <cell r="G13">
            <v>7565.8873644774303</v>
          </cell>
        </row>
        <row r="14">
          <cell r="A14" t="str">
            <v>AROMSA BESİN AROMA KATKI MAD SAN TİC AŞ</v>
          </cell>
          <cell r="B14" t="e">
            <v>#REF!</v>
          </cell>
          <cell r="C14" t="str">
            <v>Enterprise</v>
          </cell>
          <cell r="D14">
            <v>45260</v>
          </cell>
          <cell r="E14">
            <v>8150</v>
          </cell>
          <cell r="F14">
            <v>10085</v>
          </cell>
          <cell r="G14">
            <v>0</v>
          </cell>
        </row>
        <row r="15">
          <cell r="A15" t="str">
            <v>TEKHNELOGOS YAZILIM MÜH MÜŞ BİL HİZ SAN</v>
          </cell>
          <cell r="B15" t="e">
            <v>#REF!</v>
          </cell>
          <cell r="C15" t="str">
            <v>Enterprise</v>
          </cell>
          <cell r="D15">
            <v>45044</v>
          </cell>
          <cell r="E15">
            <v>1168.746697020204</v>
          </cell>
          <cell r="F15">
            <v>1141.3569773537263</v>
          </cell>
          <cell r="G15">
            <v>10241.976450871189</v>
          </cell>
        </row>
        <row r="16">
          <cell r="A16" t="str">
            <v>COMPUGROUP MEDICAL BILGI SISTEMLERI A.S. (CGM)</v>
          </cell>
          <cell r="B16" t="e">
            <v>#REF!</v>
          </cell>
          <cell r="C16" t="str">
            <v>Enterprise</v>
          </cell>
          <cell r="D16">
            <v>44927</v>
          </cell>
          <cell r="E16">
            <v>4110.6539505179044</v>
          </cell>
          <cell r="F16">
            <v>7289.6535521714904</v>
          </cell>
          <cell r="G16">
            <v>11701.195286533735</v>
          </cell>
        </row>
        <row r="17">
          <cell r="A17" t="str">
            <v>AGDAS ADAPAZARI GAZ DAGITIM A.S.</v>
          </cell>
          <cell r="B17" t="e">
            <v>#REF!</v>
          </cell>
          <cell r="C17" t="str">
            <v>Enterprise</v>
          </cell>
          <cell r="D17">
            <v>45044</v>
          </cell>
          <cell r="E17">
            <v>5659.3251360730992</v>
          </cell>
          <cell r="F17">
            <v>8505.5684506797588</v>
          </cell>
          <cell r="G17">
            <v>11904.487135304502</v>
          </cell>
        </row>
        <row r="18">
          <cell r="A18" t="str">
            <v>MARS LOJISTIK</v>
          </cell>
          <cell r="B18" t="e">
            <v>#REF!</v>
          </cell>
          <cell r="C18" t="str">
            <v>Enterprise</v>
          </cell>
          <cell r="D18">
            <v>44927</v>
          </cell>
          <cell r="E18">
            <v>9950</v>
          </cell>
          <cell r="F18">
            <v>9949.9858319999985</v>
          </cell>
          <cell r="G18">
            <v>9949.9858319999985</v>
          </cell>
        </row>
        <row r="19">
          <cell r="A19" t="str">
            <v>GOSB</v>
          </cell>
          <cell r="B19" t="e">
            <v>#REF!</v>
          </cell>
          <cell r="C19" t="str">
            <v>Enterprise</v>
          </cell>
          <cell r="D19">
            <v>45281</v>
          </cell>
          <cell r="E19">
            <v>9800</v>
          </cell>
          <cell r="F19">
            <v>9800</v>
          </cell>
          <cell r="G19">
            <v>0</v>
          </cell>
        </row>
        <row r="20">
          <cell r="A20" t="str">
            <v>INVEON BILGI TEKNOLOJILERI DANISMANLIK VE TIC. A.S</v>
          </cell>
          <cell r="B20" t="e">
            <v>#REF!</v>
          </cell>
          <cell r="C20" t="str">
            <v>Enterprise</v>
          </cell>
          <cell r="D20">
            <v>44927</v>
          </cell>
          <cell r="E20">
            <v>14477.792941876465</v>
          </cell>
          <cell r="F20">
            <v>10322.924925994219</v>
          </cell>
          <cell r="G20">
            <v>12099.43624522392</v>
          </cell>
        </row>
        <row r="21">
          <cell r="A21" t="str">
            <v>ELİG HUKUK BÜROSU, GÖNENÇ GÜRKAYNAK</v>
          </cell>
          <cell r="B21" t="e">
            <v>#REF!</v>
          </cell>
          <cell r="C21" t="str">
            <v>SMB</v>
          </cell>
          <cell r="D21">
            <v>44927</v>
          </cell>
          <cell r="E21">
            <v>1241.1300000000001</v>
          </cell>
          <cell r="F21">
            <v>4693.1988060000003</v>
          </cell>
          <cell r="G21">
            <v>9552.8482029999996</v>
          </cell>
        </row>
        <row r="22">
          <cell r="A22" t="str">
            <v>SUNEXPRESS (GÜNEŞ HAVACILIK)</v>
          </cell>
          <cell r="B22" t="e">
            <v>#REF!</v>
          </cell>
          <cell r="C22" t="str">
            <v>Enterprise</v>
          </cell>
          <cell r="D22">
            <v>44927</v>
          </cell>
          <cell r="E22">
            <v>3524.8230116801628</v>
          </cell>
          <cell r="F22">
            <v>458.43447512412098</v>
          </cell>
          <cell r="G22">
            <v>6857.9673955752469</v>
          </cell>
        </row>
        <row r="23">
          <cell r="A23" t="str">
            <v>DİKEY VITAMIN KOZM.GIDATAKV. TIC.AS(SUPPLEMTLER)</v>
          </cell>
          <cell r="B23" t="e">
            <v>#REF!</v>
          </cell>
          <cell r="C23" t="str">
            <v>Enterprise</v>
          </cell>
          <cell r="D23">
            <v>44927</v>
          </cell>
          <cell r="E23">
            <v>5486.0338490161694</v>
          </cell>
          <cell r="F23">
            <v>6552.4666655552173</v>
          </cell>
          <cell r="G23">
            <v>8070.119719502215</v>
          </cell>
        </row>
        <row r="24">
          <cell r="A24" t="str">
            <v>KOALAY - KONUT KREDISI COM TR DANISMANLIK A.S</v>
          </cell>
          <cell r="B24" t="e">
            <v>#REF!</v>
          </cell>
          <cell r="C24" t="str">
            <v>Enterprise</v>
          </cell>
          <cell r="D24">
            <v>44927</v>
          </cell>
          <cell r="E24">
            <v>15135.389699493026</v>
          </cell>
          <cell r="F24">
            <v>14293.421281855495</v>
          </cell>
          <cell r="G24">
            <v>13398.991687548798</v>
          </cell>
        </row>
        <row r="25">
          <cell r="A25" t="str">
            <v>ALTERNA GIDA SANAYI PAZARLAMA VE TİC. A.Ş.</v>
          </cell>
          <cell r="B25" t="e">
            <v>#REF!</v>
          </cell>
          <cell r="C25" t="str">
            <v>SMB</v>
          </cell>
          <cell r="D25">
            <v>44986</v>
          </cell>
          <cell r="E25">
            <v>1351.9004345808439</v>
          </cell>
          <cell r="F25">
            <v>3944.4844723936371</v>
          </cell>
          <cell r="G25">
            <v>7368.5848867552922</v>
          </cell>
        </row>
        <row r="26">
          <cell r="A26" t="str">
            <v>TEKNOSA İÇ ve DIŞ TİCARET A.Ş.</v>
          </cell>
          <cell r="B26" t="e">
            <v>#REF!</v>
          </cell>
          <cell r="C26" t="str">
            <v>Enterprise</v>
          </cell>
          <cell r="D26">
            <v>44939</v>
          </cell>
          <cell r="E26">
            <v>4000</v>
          </cell>
          <cell r="F26">
            <v>6033.5151999999998</v>
          </cell>
          <cell r="G26">
            <v>6894.4809999999998</v>
          </cell>
        </row>
        <row r="27">
          <cell r="A27" t="str">
            <v>MARTAS OTOMOTIV YEDEK PARÇA TIC.VE SAN.A.S</v>
          </cell>
          <cell r="B27" t="e">
            <v>#REF!</v>
          </cell>
          <cell r="C27" t="str">
            <v>Enterprise</v>
          </cell>
          <cell r="D27">
            <v>44927</v>
          </cell>
          <cell r="E27">
            <v>4562.6263699485226</v>
          </cell>
          <cell r="F27">
            <v>3715.4460186256501</v>
          </cell>
          <cell r="G27">
            <v>7485.3921280911682</v>
          </cell>
        </row>
        <row r="28">
          <cell r="A28" t="str">
            <v>DIGITURK KREA IÇERIK HIZMETLERI VE PRODÜKSIYON A.S</v>
          </cell>
          <cell r="B28" t="e">
            <v>#REF!</v>
          </cell>
          <cell r="C28" t="str">
            <v>Enterprise</v>
          </cell>
          <cell r="D28">
            <v>44927</v>
          </cell>
          <cell r="E28">
            <v>1023.5668218803887</v>
          </cell>
          <cell r="F28">
            <v>3147.9548790966596</v>
          </cell>
          <cell r="G28">
            <v>6351.8923764756237</v>
          </cell>
        </row>
        <row r="29">
          <cell r="A29" t="str">
            <v>MEGA METAL SAN. VE TİC. A.Ş.</v>
          </cell>
          <cell r="B29" t="e">
            <v>#REF!</v>
          </cell>
          <cell r="C29" t="str">
            <v>Enterprise</v>
          </cell>
          <cell r="D29">
            <v>45931</v>
          </cell>
          <cell r="E29">
            <v>6500</v>
          </cell>
          <cell r="F29">
            <v>0</v>
          </cell>
          <cell r="G29">
            <v>0</v>
          </cell>
        </row>
        <row r="30">
          <cell r="A30" t="str">
            <v>KOZA GIDA DAGITIM SAN. VE TIC. A.S.</v>
          </cell>
          <cell r="B30" t="e">
            <v>#REF!</v>
          </cell>
          <cell r="C30" t="str">
            <v>SMB</v>
          </cell>
          <cell r="D30">
            <v>44927</v>
          </cell>
          <cell r="E30">
            <v>4201.0945180903964</v>
          </cell>
          <cell r="F30">
            <v>6106.9230164301507</v>
          </cell>
          <cell r="G30">
            <v>6781.5634042775428</v>
          </cell>
        </row>
        <row r="31">
          <cell r="A31" t="str">
            <v>BEZMIALEM VAKIF ÜNIVERSITESI (REKTÖRLÜK)</v>
          </cell>
          <cell r="B31" t="e">
            <v>#REF!</v>
          </cell>
          <cell r="C31" t="str">
            <v>Enterprise</v>
          </cell>
          <cell r="D31">
            <v>44927</v>
          </cell>
          <cell r="E31">
            <v>7273.19</v>
          </cell>
          <cell r="F31">
            <v>4668.0826517376936</v>
          </cell>
          <cell r="G31">
            <v>5530.9422270508221</v>
          </cell>
        </row>
        <row r="32">
          <cell r="A32" t="str">
            <v>İSTANBUL TURİZM OTELCİLİK AŞ (THE MARMARA HOTELS)</v>
          </cell>
          <cell r="B32" t="e">
            <v>#REF!</v>
          </cell>
          <cell r="C32" t="str">
            <v>SMB</v>
          </cell>
          <cell r="D32">
            <v>44927</v>
          </cell>
          <cell r="E32">
            <v>3251.8938283319922</v>
          </cell>
          <cell r="F32">
            <v>2967.5677205418974</v>
          </cell>
          <cell r="G32">
            <v>5431.2021834052939</v>
          </cell>
        </row>
        <row r="33">
          <cell r="A33" t="str">
            <v>SESTEK SES VE İLETİŞİM BİLGİSAYAR TEKNOLOJİLERİ SA</v>
          </cell>
          <cell r="B33" t="e">
            <v>#REF!</v>
          </cell>
          <cell r="C33" t="str">
            <v>Enterprise</v>
          </cell>
          <cell r="D33">
            <v>44927</v>
          </cell>
          <cell r="E33">
            <v>3649.58</v>
          </cell>
          <cell r="F33">
            <v>4067.9076040000004</v>
          </cell>
          <cell r="G33">
            <v>5259.0079999999998</v>
          </cell>
        </row>
        <row r="34">
          <cell r="A34" t="str">
            <v>GUSTOGIYIM SAN. VE TIC. A.S</v>
          </cell>
          <cell r="B34" t="e">
            <v>#REF!</v>
          </cell>
          <cell r="C34" t="str">
            <v>SMB</v>
          </cell>
          <cell r="D34">
            <v>44927</v>
          </cell>
          <cell r="E34">
            <v>1367.4327204490812</v>
          </cell>
          <cell r="F34">
            <v>3661.333041255848</v>
          </cell>
          <cell r="G34">
            <v>5618.2668952225076</v>
          </cell>
        </row>
        <row r="35">
          <cell r="A35" t="str">
            <v>UNIFREE DUTY FREE İŞLETMECİLİĞİ A.Ş.</v>
          </cell>
          <cell r="B35" t="e">
            <v>#REF!</v>
          </cell>
          <cell r="C35" t="str">
            <v>Enterprise</v>
          </cell>
          <cell r="D35">
            <v>44927</v>
          </cell>
          <cell r="E35">
            <v>3232.3893956275356</v>
          </cell>
          <cell r="F35">
            <v>2975.8339629644124</v>
          </cell>
          <cell r="G35">
            <v>5233.0901097440537</v>
          </cell>
        </row>
        <row r="36">
          <cell r="A36" t="str">
            <v>TEKNOFIX TELEKOMÜNIKASYON VE BILISIM HIZ. SAN. VE</v>
          </cell>
          <cell r="B36" t="e">
            <v>#REF!</v>
          </cell>
          <cell r="C36" t="str">
            <v>SMB</v>
          </cell>
          <cell r="D36">
            <v>44927</v>
          </cell>
          <cell r="E36">
            <v>2784.4920648459615</v>
          </cell>
          <cell r="F36">
            <v>3076.7445712532804</v>
          </cell>
          <cell r="G36">
            <v>5437.7300495984982</v>
          </cell>
        </row>
        <row r="37">
          <cell r="A37" t="str">
            <v>ASİMETRİK SES IŞIK ve GÖRÜNTÜ SİSTEMLERİ AŞ (ASF)</v>
          </cell>
          <cell r="B37" t="e">
            <v>#REF!</v>
          </cell>
          <cell r="C37" t="str">
            <v>SMB</v>
          </cell>
          <cell r="D37">
            <v>44927</v>
          </cell>
          <cell r="E37">
            <v>3942</v>
          </cell>
          <cell r="F37">
            <v>3983.0000019999998</v>
          </cell>
          <cell r="G37">
            <v>5036.9735136666659</v>
          </cell>
        </row>
        <row r="38">
          <cell r="A38" t="str">
            <v>BACACI YATIRIM HOLDING ANONIM SIRKETI</v>
          </cell>
          <cell r="B38" t="e">
            <v>#REF!</v>
          </cell>
          <cell r="C38" t="str">
            <v>SMB</v>
          </cell>
          <cell r="D38">
            <v>45381</v>
          </cell>
          <cell r="E38">
            <v>1550.0050820000004</v>
          </cell>
          <cell r="F38">
            <v>7842.4998529999993</v>
          </cell>
          <cell r="G38">
            <v>0</v>
          </cell>
        </row>
        <row r="39">
          <cell r="A39" t="str">
            <v>PİA BİLİŞİM HİZMETLERİ A.Ş.</v>
          </cell>
          <cell r="B39" t="e">
            <v>#REF!</v>
          </cell>
          <cell r="C39" t="str">
            <v>Enterprise</v>
          </cell>
          <cell r="D39">
            <v>44927</v>
          </cell>
          <cell r="E39">
            <v>3380.0049543587284</v>
          </cell>
          <cell r="F39">
            <v>4655.4968044916686</v>
          </cell>
          <cell r="G39">
            <v>5430.0967439817996</v>
          </cell>
        </row>
        <row r="40">
          <cell r="A40" t="str">
            <v>YEMEK PAY ELEKTRONİK PARA ve ODEME Hiz. A.S.</v>
          </cell>
          <cell r="B40" t="e">
            <v>#REF!</v>
          </cell>
          <cell r="C40" t="str">
            <v>Enterprise</v>
          </cell>
          <cell r="D40">
            <v>45481</v>
          </cell>
          <cell r="E40">
            <v>4870.9354327065048</v>
          </cell>
          <cell r="F40">
            <v>5179.2590228039026</v>
          </cell>
          <cell r="G40">
            <v>0</v>
          </cell>
        </row>
        <row r="41">
          <cell r="A41" t="str">
            <v>LİLA KAĞIT SANAYİ VE TİCARET A.Ş.</v>
          </cell>
          <cell r="B41" t="e">
            <v>#REF!</v>
          </cell>
          <cell r="C41" t="str">
            <v>Enterprise</v>
          </cell>
          <cell r="D41">
            <v>45657</v>
          </cell>
          <cell r="E41">
            <v>5644.6931173632083</v>
          </cell>
          <cell r="F41">
            <v>0</v>
          </cell>
          <cell r="G41">
            <v>0</v>
          </cell>
        </row>
        <row r="42">
          <cell r="A42" t="str">
            <v>ARVATO LOJİSTİK DIŞ TİC.VE E TİC.HİZMETLERİ A.Ş.</v>
          </cell>
          <cell r="B42" t="e">
            <v>#REF!</v>
          </cell>
          <cell r="C42" t="str">
            <v>Enterprise</v>
          </cell>
          <cell r="D42">
            <v>45657</v>
          </cell>
          <cell r="E42">
            <v>5361.6276772864521</v>
          </cell>
          <cell r="F42">
            <v>0</v>
          </cell>
          <cell r="G42">
            <v>0</v>
          </cell>
        </row>
        <row r="43">
          <cell r="A43" t="str">
            <v>BDO DENET YEMİNLİ MALİ MÜŞAVİRLİK A.Ş.</v>
          </cell>
          <cell r="B43" t="e">
            <v>#REF!</v>
          </cell>
          <cell r="C43" t="str">
            <v>SMB</v>
          </cell>
          <cell r="D43">
            <v>44927</v>
          </cell>
          <cell r="E43">
            <v>451.76878084542358</v>
          </cell>
          <cell r="F43">
            <v>2267.2344597185979</v>
          </cell>
          <cell r="G43">
            <v>3638.3214349137352</v>
          </cell>
        </row>
        <row r="44">
          <cell r="A44" t="str">
            <v>BİLSAR TEKSTIL SAN.VE DIS.TIC.A.S</v>
          </cell>
          <cell r="B44" t="e">
            <v>#REF!</v>
          </cell>
          <cell r="C44" t="str">
            <v>SMB</v>
          </cell>
          <cell r="D44">
            <v>45139</v>
          </cell>
          <cell r="E44">
            <v>2536.5645383110409</v>
          </cell>
          <cell r="F44">
            <v>3073.9019125585482</v>
          </cell>
          <cell r="G44">
            <v>4221.8847213764311</v>
          </cell>
        </row>
        <row r="45">
          <cell r="A45" t="str">
            <v>TÜRK PVEI SİGORTA A.Ş.</v>
          </cell>
          <cell r="B45" t="e">
            <v>#REF!</v>
          </cell>
          <cell r="C45" t="str">
            <v>Enterprise</v>
          </cell>
          <cell r="D45">
            <v>45156</v>
          </cell>
          <cell r="E45">
            <v>3266.6834290423285</v>
          </cell>
          <cell r="F45">
            <v>3606.3385938887004</v>
          </cell>
          <cell r="G45">
            <v>4076.4283148928434</v>
          </cell>
        </row>
        <row r="46">
          <cell r="A46" t="str">
            <v>Türkiye Menkul Kıymetleştirme Şirketi (TMKS)</v>
          </cell>
          <cell r="B46" t="e">
            <v>#REF!</v>
          </cell>
          <cell r="C46" t="str">
            <v>SMB</v>
          </cell>
          <cell r="D46">
            <v>44927</v>
          </cell>
          <cell r="E46">
            <v>1936.3895235708997</v>
          </cell>
          <cell r="F46">
            <v>2035.3170169368041</v>
          </cell>
          <cell r="G46">
            <v>3516.538608135565</v>
          </cell>
        </row>
        <row r="47">
          <cell r="A47" t="str">
            <v>ÇAĞATAY EVCİL HAYVAN MAMALARI VE YEM ÜRÜNLERİ SAN.</v>
          </cell>
          <cell r="B47" t="e">
            <v>#REF!</v>
          </cell>
          <cell r="C47" t="str">
            <v>Enterprise</v>
          </cell>
          <cell r="D47">
            <v>45839</v>
          </cell>
          <cell r="E47">
            <v>3865.4908924046845</v>
          </cell>
          <cell r="F47">
            <v>0</v>
          </cell>
          <cell r="G47">
            <v>0</v>
          </cell>
        </row>
        <row r="48">
          <cell r="A48" t="str">
            <v>PRONET GÜVENLİK HİZMETLERİ A.Ş.</v>
          </cell>
          <cell r="B48" t="e">
            <v>#REF!</v>
          </cell>
          <cell r="C48" t="str">
            <v>Enterprise</v>
          </cell>
          <cell r="D48">
            <v>44958</v>
          </cell>
          <cell r="E48">
            <v>2000.1</v>
          </cell>
          <cell r="F48">
            <v>2660.00018</v>
          </cell>
          <cell r="G48">
            <v>3699.9989999999998</v>
          </cell>
        </row>
        <row r="49">
          <cell r="A49" t="str">
            <v>ARSAN KİMYA SAN.TİC. A.Ş.</v>
          </cell>
          <cell r="B49" t="e">
            <v>#REF!</v>
          </cell>
          <cell r="C49" t="str">
            <v>SMB</v>
          </cell>
          <cell r="D49">
            <v>44927</v>
          </cell>
          <cell r="E49">
            <v>1331.36</v>
          </cell>
          <cell r="F49">
            <v>3262.3450060000005</v>
          </cell>
          <cell r="G49">
            <v>3656.4362290000008</v>
          </cell>
        </row>
        <row r="50">
          <cell r="A50" t="str">
            <v>MOROGLU ARSEVEN AVUKATLIK ORTAKLIGI</v>
          </cell>
          <cell r="B50" t="e">
            <v>#REF!</v>
          </cell>
          <cell r="C50" t="str">
            <v>Enterprise</v>
          </cell>
          <cell r="D50">
            <v>44927</v>
          </cell>
          <cell r="E50">
            <v>3500</v>
          </cell>
          <cell r="F50">
            <v>3499.9942870000004</v>
          </cell>
          <cell r="G50">
            <v>3499.9942870000004</v>
          </cell>
        </row>
        <row r="51">
          <cell r="A51" t="str">
            <v>ARICIOĞLU OTOMOTİV SANAYİ VE TİCARET ANONİM ŞİRKET</v>
          </cell>
          <cell r="B51" t="e">
            <v>#REF!</v>
          </cell>
          <cell r="C51" t="str">
            <v>SMB</v>
          </cell>
          <cell r="D51">
            <v>44927</v>
          </cell>
          <cell r="E51">
            <v>3667.9557930929013</v>
          </cell>
          <cell r="F51">
            <v>3743.8630713084776</v>
          </cell>
          <cell r="G51">
            <v>4645.1913933014084</v>
          </cell>
        </row>
        <row r="52">
          <cell r="A52" t="str">
            <v>AKTİF HUKUK</v>
          </cell>
          <cell r="B52" t="e">
            <v>#REF!</v>
          </cell>
          <cell r="C52" t="str">
            <v>SMB</v>
          </cell>
          <cell r="D52">
            <v>45176</v>
          </cell>
          <cell r="E52">
            <v>1450</v>
          </cell>
          <cell r="F52">
            <v>1600</v>
          </cell>
          <cell r="G52">
            <v>3405.6916259999998</v>
          </cell>
        </row>
        <row r="53">
          <cell r="A53" t="str">
            <v>TURASSİST SAĞLIK DESTEK HİZMETLERI ANONİM ŞİRKETİ</v>
          </cell>
          <cell r="B53" t="e">
            <v>#REF!</v>
          </cell>
          <cell r="C53" t="str">
            <v>SMB</v>
          </cell>
          <cell r="D53">
            <v>44927</v>
          </cell>
          <cell r="E53">
            <v>2038.2065538988077</v>
          </cell>
          <cell r="F53">
            <v>2751.7942343066293</v>
          </cell>
          <cell r="G53">
            <v>3539.3908984018594</v>
          </cell>
        </row>
        <row r="54">
          <cell r="A54" t="str">
            <v>İPSİZCAMBAZ</v>
          </cell>
          <cell r="B54" t="e">
            <v>#REF!</v>
          </cell>
          <cell r="C54" t="str">
            <v>Enterprise</v>
          </cell>
          <cell r="D54">
            <v>45323</v>
          </cell>
          <cell r="E54">
            <v>3252.91</v>
          </cell>
          <cell r="F54">
            <v>3252.91</v>
          </cell>
          <cell r="G54">
            <v>0</v>
          </cell>
        </row>
        <row r="55">
          <cell r="A55" t="str">
            <v>VANORAVENTURES YAZILIM TEKNOLOJİLERİ (NO21)</v>
          </cell>
          <cell r="B55" t="e">
            <v>#REF!</v>
          </cell>
          <cell r="C55" t="str">
            <v>Enterprise</v>
          </cell>
          <cell r="D55">
            <v>44927</v>
          </cell>
          <cell r="E55">
            <v>4752.3842778929866</v>
          </cell>
          <cell r="F55">
            <v>3958.1543074732667</v>
          </cell>
          <cell r="G55">
            <v>4198.242797076502</v>
          </cell>
        </row>
        <row r="56">
          <cell r="A56" t="str">
            <v xml:space="preserve">TELESURE KURUMSAL SIGORTA VE REASÜRANS BROKERLIGI </v>
          </cell>
          <cell r="B56" t="e">
            <v>#REF!</v>
          </cell>
          <cell r="C56" t="str">
            <v>SMB</v>
          </cell>
          <cell r="D56">
            <v>44927</v>
          </cell>
          <cell r="E56">
            <v>2064.0186088157175</v>
          </cell>
          <cell r="F56">
            <v>1621.9904130975283</v>
          </cell>
          <cell r="G56">
            <v>2215.0438203948797</v>
          </cell>
        </row>
        <row r="57">
          <cell r="A57" t="str">
            <v>SONOROUS</v>
          </cell>
          <cell r="B57" t="e">
            <v>#REF!</v>
          </cell>
          <cell r="C57" t="str">
            <v>SMB</v>
          </cell>
          <cell r="D57">
            <v>45245</v>
          </cell>
          <cell r="E57">
            <v>2850</v>
          </cell>
          <cell r="F57">
            <v>3749.9946520000003</v>
          </cell>
          <cell r="G57">
            <v>0</v>
          </cell>
        </row>
        <row r="58">
          <cell r="A58" t="str">
            <v>ŞÖLEN ÇIKOLATA GIDA</v>
          </cell>
          <cell r="B58" t="e">
            <v>#REF!</v>
          </cell>
          <cell r="C58" t="str">
            <v>Enterprise</v>
          </cell>
          <cell r="D58">
            <v>44927</v>
          </cell>
          <cell r="E58">
            <v>3190</v>
          </cell>
          <cell r="F58">
            <v>3190</v>
          </cell>
          <cell r="G58">
            <v>3190</v>
          </cell>
        </row>
        <row r="59">
          <cell r="A59" t="str">
            <v>ENDEKS BİLİŞİM SAN. ve DIŞ TİC. A.Ş.</v>
          </cell>
          <cell r="B59" t="e">
            <v>#REF!</v>
          </cell>
          <cell r="C59" t="str">
            <v>Enterprise</v>
          </cell>
          <cell r="D59">
            <v>45293</v>
          </cell>
          <cell r="E59">
            <v>3334.3447512412099</v>
          </cell>
          <cell r="F59">
            <v>2849.9850000000001</v>
          </cell>
          <cell r="G59">
            <v>0</v>
          </cell>
        </row>
        <row r="60">
          <cell r="A60" t="str">
            <v>OPSAN ORİJİNAL SAC PARÇA SAN.VE TİC. A.Ş.</v>
          </cell>
          <cell r="B60" t="e">
            <v>#REF!</v>
          </cell>
          <cell r="C60" t="str">
            <v>Enterprise</v>
          </cell>
          <cell r="D60">
            <v>45138</v>
          </cell>
          <cell r="E60">
            <v>2774.0849684341274</v>
          </cell>
          <cell r="F60">
            <v>3590.2598190447488</v>
          </cell>
          <cell r="G60">
            <v>3816.0624862837421</v>
          </cell>
        </row>
        <row r="61">
          <cell r="A61" t="str">
            <v>METRANS MAKINA ENT.ÜRN.SAN.VE TIC.A.S</v>
          </cell>
          <cell r="B61" t="e">
            <v>#REF!</v>
          </cell>
          <cell r="C61" t="str">
            <v>SMB</v>
          </cell>
          <cell r="D61">
            <v>44927</v>
          </cell>
          <cell r="E61">
            <v>2456.24133406291</v>
          </cell>
          <cell r="F61">
            <v>2346.4739539993798</v>
          </cell>
          <cell r="G61">
            <v>2608.0860685320708</v>
          </cell>
        </row>
        <row r="62">
          <cell r="A62" t="str">
            <v>Gülman Group - ÜSKÜDAR EĞİTİM HİZMETLERİ VE TİC.A.</v>
          </cell>
          <cell r="B62" t="e">
            <v>#REF!</v>
          </cell>
          <cell r="C62" t="str">
            <v>SMB</v>
          </cell>
          <cell r="D62">
            <v>44927</v>
          </cell>
          <cell r="E62">
            <v>1138.0001160147865</v>
          </cell>
          <cell r="F62">
            <v>2467.5270802143314</v>
          </cell>
          <cell r="G62">
            <v>2.165</v>
          </cell>
        </row>
        <row r="63">
          <cell r="A63" t="str">
            <v>MARK GLOBAL LOJISTIK A.S.</v>
          </cell>
          <cell r="B63" t="e">
            <v>#REF!</v>
          </cell>
          <cell r="C63" t="str">
            <v>SMB</v>
          </cell>
          <cell r="D63">
            <v>44927</v>
          </cell>
          <cell r="E63">
            <v>1123.9071723505124</v>
          </cell>
          <cell r="F63">
            <v>1462.8439838417653</v>
          </cell>
          <cell r="G63">
            <v>2333.5484682017855</v>
          </cell>
        </row>
        <row r="64">
          <cell r="A64" t="str">
            <v>POZITIF GÜMRÜK MÜSAVIRLIGI HIZMETLERI LTD. STI.</v>
          </cell>
          <cell r="B64" t="e">
            <v>#REF!</v>
          </cell>
          <cell r="C64" t="str">
            <v>SMB</v>
          </cell>
          <cell r="D64">
            <v>44927</v>
          </cell>
          <cell r="E64">
            <v>1024.012938285407</v>
          </cell>
          <cell r="F64">
            <v>1089.8865635322716</v>
          </cell>
          <cell r="G64">
            <v>1483.0936000000002</v>
          </cell>
        </row>
        <row r="65">
          <cell r="A65" t="str">
            <v>GALSAN PLASTIK VE KALIP SAN. A.S</v>
          </cell>
          <cell r="B65" t="e">
            <v>#REF!</v>
          </cell>
          <cell r="C65" t="str">
            <v>SMB</v>
          </cell>
          <cell r="D65">
            <v>44927</v>
          </cell>
          <cell r="E65">
            <v>568.08804362155979</v>
          </cell>
          <cell r="F65">
            <v>894.72602966233103</v>
          </cell>
          <cell r="G65">
            <v>1676.6959130005364</v>
          </cell>
        </row>
        <row r="66">
          <cell r="A66" t="str">
            <v>AYDIN ÜNİVERSİTESİ</v>
          </cell>
          <cell r="B66" t="e">
            <v>#REF!</v>
          </cell>
          <cell r="C66" t="str">
            <v>Enterprise</v>
          </cell>
          <cell r="D66">
            <v>45505</v>
          </cell>
          <cell r="E66">
            <v>2500</v>
          </cell>
          <cell r="F66">
            <v>2500</v>
          </cell>
          <cell r="G66">
            <v>0</v>
          </cell>
        </row>
        <row r="67">
          <cell r="A67" t="str">
            <v>SAH-96 MMC - BULUT HIZMETI</v>
          </cell>
          <cell r="B67" t="e">
            <v>#REF!</v>
          </cell>
          <cell r="C67" t="str">
            <v>SMB</v>
          </cell>
          <cell r="D67">
            <v>45099</v>
          </cell>
          <cell r="E67">
            <v>1427.0017439999999</v>
          </cell>
          <cell r="F67">
            <v>1525.0017439999999</v>
          </cell>
          <cell r="G67">
            <v>2440.0061739999996</v>
          </cell>
        </row>
        <row r="68">
          <cell r="A68" t="str">
            <v>Obilet.com Turizm Seyahat Acentası</v>
          </cell>
          <cell r="B68" t="e">
            <v>#REF!</v>
          </cell>
          <cell r="C68" t="str">
            <v>Enterprise</v>
          </cell>
          <cell r="D68">
            <v>45901</v>
          </cell>
          <cell r="E68">
            <v>2396.5700289745314</v>
          </cell>
          <cell r="F68">
            <v>0</v>
          </cell>
          <cell r="G68">
            <v>0</v>
          </cell>
        </row>
        <row r="69">
          <cell r="A69" t="str">
            <v>ENOCTA - AVEZ ELEKTRONIK ILETISIM</v>
          </cell>
          <cell r="B69" t="e">
            <v>#REF!</v>
          </cell>
          <cell r="C69" t="str">
            <v>Enterprise</v>
          </cell>
          <cell r="D69">
            <v>45017</v>
          </cell>
          <cell r="E69">
            <v>1433.4614543961873</v>
          </cell>
          <cell r="F69">
            <v>1957.6911573762459</v>
          </cell>
          <cell r="G69">
            <v>2630.796108315159</v>
          </cell>
        </row>
        <row r="70">
          <cell r="A70" t="str">
            <v>FET RESTORAN ISLETMELERI A.S</v>
          </cell>
          <cell r="B70" t="e">
            <v>#REF!</v>
          </cell>
          <cell r="C70" t="str">
            <v>SMB</v>
          </cell>
          <cell r="D70">
            <v>45015</v>
          </cell>
          <cell r="E70">
            <v>2003.3602248577499</v>
          </cell>
          <cell r="F70">
            <v>2167.9882558289628</v>
          </cell>
          <cell r="G70">
            <v>2329.4530413000721</v>
          </cell>
        </row>
        <row r="71">
          <cell r="A71" t="str">
            <v>TURSOY OTELCILIK VE TURIZM YATIRIMLARI A.S</v>
          </cell>
          <cell r="B71" t="e">
            <v>#REF!</v>
          </cell>
          <cell r="C71" t="str">
            <v>SMB</v>
          </cell>
          <cell r="D71">
            <v>44927</v>
          </cell>
          <cell r="E71">
            <v>2490.7462294872958</v>
          </cell>
          <cell r="F71">
            <v>2218.0605059868158</v>
          </cell>
          <cell r="G71">
            <v>2098.2680578679528</v>
          </cell>
        </row>
        <row r="72">
          <cell r="A72" t="str">
            <v>ACAR MENKUL DEĞERLER A.Ş</v>
          </cell>
          <cell r="B72" t="e">
            <v>#REF!</v>
          </cell>
          <cell r="C72" t="str">
            <v>SMB</v>
          </cell>
          <cell r="D72">
            <v>45036</v>
          </cell>
          <cell r="E72">
            <v>858.5</v>
          </cell>
          <cell r="F72">
            <v>1906.0296289999999</v>
          </cell>
          <cell r="G72">
            <v>2305.1187690000002</v>
          </cell>
        </row>
        <row r="73">
          <cell r="A73" t="str">
            <v>İSTANBUL GÖMLEK GIYIM SAN.VE TIC.A.S</v>
          </cell>
          <cell r="B73" t="e">
            <v>#REF!</v>
          </cell>
          <cell r="C73" t="str">
            <v>SMB</v>
          </cell>
          <cell r="D73">
            <v>44927</v>
          </cell>
          <cell r="E73">
            <v>1158.3800000000001</v>
          </cell>
          <cell r="F73">
            <v>1854.430895</v>
          </cell>
          <cell r="G73">
            <v>2266.4336920000001</v>
          </cell>
        </row>
        <row r="74">
          <cell r="A74" t="str">
            <v>PELSAN AYDINLATMA SANAYİ VE TİCARET ANONİM ŞİRKETİ</v>
          </cell>
          <cell r="B74" t="e">
            <v>#REF!</v>
          </cell>
          <cell r="C74" t="str">
            <v>SMB</v>
          </cell>
          <cell r="D74">
            <v>45124</v>
          </cell>
          <cell r="E74">
            <v>984.6582667742216</v>
          </cell>
          <cell r="F74">
            <v>1273.1716823906552</v>
          </cell>
          <cell r="G74">
            <v>2268.0000049999999</v>
          </cell>
        </row>
        <row r="75">
          <cell r="A75" t="str">
            <v>ISOTEC ENERJİ A.Ş.</v>
          </cell>
          <cell r="B75" t="e">
            <v>#REF!</v>
          </cell>
          <cell r="C75" t="str">
            <v>SMB</v>
          </cell>
          <cell r="D75">
            <v>45856</v>
          </cell>
          <cell r="E75">
            <v>2250.0102189999998</v>
          </cell>
          <cell r="F75">
            <v>0</v>
          </cell>
          <cell r="G75">
            <v>0</v>
          </cell>
        </row>
        <row r="76">
          <cell r="A76" t="str">
            <v>VAILLANT GROUP TURKEY</v>
          </cell>
          <cell r="B76" t="e">
            <v>#REF!</v>
          </cell>
          <cell r="C76" t="str">
            <v>Enterprise</v>
          </cell>
          <cell r="D76">
            <v>45330</v>
          </cell>
          <cell r="E76">
            <v>2280.4125592092832</v>
          </cell>
          <cell r="F76">
            <v>2564.2518344796235</v>
          </cell>
          <cell r="G76">
            <v>0</v>
          </cell>
        </row>
        <row r="77">
          <cell r="A77" t="str">
            <v>HAKMAR MAĞAZACILIK</v>
          </cell>
          <cell r="B77" t="e">
            <v>#REF!</v>
          </cell>
          <cell r="C77" t="str">
            <v>Enterprise</v>
          </cell>
          <cell r="D77">
            <v>44978</v>
          </cell>
          <cell r="E77">
            <v>1500</v>
          </cell>
          <cell r="F77">
            <v>1846.4449999999997</v>
          </cell>
          <cell r="G77">
            <v>2215.2200000000003</v>
          </cell>
        </row>
        <row r="78">
          <cell r="A78" t="str">
            <v>BIESTERFELD PLASTIK TIC.A.S</v>
          </cell>
          <cell r="B78" t="e">
            <v>#REF!</v>
          </cell>
          <cell r="C78" t="str">
            <v>SMB</v>
          </cell>
          <cell r="D78">
            <v>44927</v>
          </cell>
          <cell r="E78">
            <v>1616.6239254238008</v>
          </cell>
          <cell r="F78">
            <v>1480.2509234511936</v>
          </cell>
          <cell r="G78">
            <v>2152.2805960586957</v>
          </cell>
        </row>
        <row r="79">
          <cell r="A79" t="str">
            <v>ACTIFIT SPOR VE SAĞLIK HİZMETLERİ SANAYİ VE TİCARE</v>
          </cell>
          <cell r="B79" t="e">
            <v>#REF!</v>
          </cell>
          <cell r="C79" t="str">
            <v>SMB</v>
          </cell>
          <cell r="D79">
            <v>44927</v>
          </cell>
          <cell r="E79">
            <v>1713.4871629638615</v>
          </cell>
          <cell r="F79">
            <v>1863.9900479145342</v>
          </cell>
          <cell r="G79">
            <v>2334.1407031633607</v>
          </cell>
        </row>
        <row r="80">
          <cell r="A80" t="str">
            <v>NOBEL İLAÇ SANAYİİ VE TİCARET A.Ş.</v>
          </cell>
          <cell r="B80" t="e">
            <v>#REF!</v>
          </cell>
          <cell r="C80" t="str">
            <v>Enterprise</v>
          </cell>
          <cell r="D80">
            <v>45839</v>
          </cell>
          <cell r="E80">
            <v>2165.9218322925603</v>
          </cell>
          <cell r="F80">
            <v>0</v>
          </cell>
          <cell r="G80">
            <v>0</v>
          </cell>
        </row>
        <row r="81">
          <cell r="A81" t="str">
            <v>AKSOY PLASTIK SANAYI VE TIC. A.S.</v>
          </cell>
          <cell r="B81" t="e">
            <v>#REF!</v>
          </cell>
          <cell r="C81" t="str">
            <v>SMB</v>
          </cell>
          <cell r="D81">
            <v>44927</v>
          </cell>
          <cell r="E81">
            <v>1619.57</v>
          </cell>
          <cell r="F81">
            <v>1634.31</v>
          </cell>
          <cell r="G81">
            <v>2037.2984133333334</v>
          </cell>
        </row>
        <row r="82">
          <cell r="A82" t="str">
            <v>MILLENICOM TELEKOMÜNİKASYON HİZMETLERİ</v>
          </cell>
          <cell r="B82" t="e">
            <v>#REF!</v>
          </cell>
          <cell r="C82" t="str">
            <v>Enterprise</v>
          </cell>
          <cell r="D82">
            <v>44927</v>
          </cell>
          <cell r="E82">
            <v>2162.0937504943813</v>
          </cell>
          <cell r="F82">
            <v>1367.0814870844156</v>
          </cell>
          <cell r="G82">
            <v>1818.5508472782687</v>
          </cell>
        </row>
        <row r="83">
          <cell r="A83" t="str">
            <v>MİDAS MENKUL DEĞERLER A.Ş.</v>
          </cell>
          <cell r="B83" t="e">
            <v>#REF!</v>
          </cell>
          <cell r="C83" t="str">
            <v>Enterprise</v>
          </cell>
          <cell r="D83">
            <v>45700</v>
          </cell>
          <cell r="E83">
            <v>3062.5</v>
          </cell>
          <cell r="F83">
            <v>0</v>
          </cell>
          <cell r="G83">
            <v>0</v>
          </cell>
        </row>
        <row r="84">
          <cell r="A84" t="str">
            <v>EMARAT BOSPHORUS TURIZIM (OPERA HOTEL)</v>
          </cell>
          <cell r="B84" t="e">
            <v>#REF!</v>
          </cell>
          <cell r="C84" t="str">
            <v>SMB</v>
          </cell>
          <cell r="D84">
            <v>44927</v>
          </cell>
          <cell r="E84">
            <v>357.72743549966322</v>
          </cell>
          <cell r="F84">
            <v>627.40544743016494</v>
          </cell>
          <cell r="G84">
            <v>1535.2572442521378</v>
          </cell>
        </row>
        <row r="85">
          <cell r="A85" t="str">
            <v>ASAŞ ALÜMİNYUM SANAYİİ VE TİCARET A.Ş.</v>
          </cell>
          <cell r="B85" t="e">
            <v>#REF!</v>
          </cell>
          <cell r="C85" t="str">
            <v>Enterprise</v>
          </cell>
          <cell r="D85">
            <v>45100</v>
          </cell>
          <cell r="E85">
            <v>1888.8888444444444</v>
          </cell>
          <cell r="F85">
            <v>1888.8888444444444</v>
          </cell>
          <cell r="G85">
            <v>1888.8888444444444</v>
          </cell>
        </row>
        <row r="86">
          <cell r="A86" t="str">
            <v>EGE SERAMIK SAN. VE TIC. A.S.</v>
          </cell>
          <cell r="B86" t="e">
            <v>#REF!</v>
          </cell>
          <cell r="C86" t="str">
            <v>Enterprise</v>
          </cell>
          <cell r="D86">
            <v>44927</v>
          </cell>
          <cell r="E86">
            <v>1833</v>
          </cell>
          <cell r="F86">
            <v>1833.0071989999999</v>
          </cell>
          <cell r="G86">
            <v>1833.0071989999999</v>
          </cell>
        </row>
        <row r="87">
          <cell r="A87" t="str">
            <v>İHLAS PAZARLAMA A.Ş.</v>
          </cell>
          <cell r="B87" t="e">
            <v>#REF!</v>
          </cell>
          <cell r="C87" t="str">
            <v>Enterprise</v>
          </cell>
          <cell r="D87">
            <v>45292</v>
          </cell>
          <cell r="E87">
            <v>1810</v>
          </cell>
          <cell r="F87">
            <v>1810</v>
          </cell>
          <cell r="G87">
            <v>0</v>
          </cell>
        </row>
        <row r="88">
          <cell r="A88" t="str">
            <v>DENGE AUTOMOTİVE</v>
          </cell>
          <cell r="B88" t="e">
            <v>#REF!</v>
          </cell>
          <cell r="C88" t="str">
            <v>SMB</v>
          </cell>
          <cell r="D88">
            <v>45240</v>
          </cell>
          <cell r="E88">
            <v>1100.0064729999999</v>
          </cell>
          <cell r="F88">
            <v>1706.0064709999997</v>
          </cell>
          <cell r="G88">
            <v>0</v>
          </cell>
        </row>
        <row r="89">
          <cell r="A89" t="str">
            <v>YAYLAGÜL MULTİMEDYA BİLG.TİC.LTD ŞTİ (REVOTAS)</v>
          </cell>
          <cell r="B89" t="e">
            <v>#REF!</v>
          </cell>
          <cell r="C89" t="str">
            <v>SMB</v>
          </cell>
          <cell r="D89">
            <v>44927</v>
          </cell>
          <cell r="E89">
            <v>1739.2322331981045</v>
          </cell>
          <cell r="F89">
            <v>1667.172375620605</v>
          </cell>
          <cell r="G89">
            <v>1975.3365126844824</v>
          </cell>
        </row>
        <row r="90">
          <cell r="A90" t="str">
            <v>KARBONSAN BASINÇLI KAPLAR SANAYİ VE TİCARET ANONİM</v>
          </cell>
          <cell r="B90" t="e">
            <v>#REF!</v>
          </cell>
          <cell r="C90" t="str">
            <v>SMB</v>
          </cell>
          <cell r="D90">
            <v>45689</v>
          </cell>
          <cell r="E90">
            <v>1670.0111699999995</v>
          </cell>
          <cell r="F90">
            <v>0</v>
          </cell>
          <cell r="G90">
            <v>0</v>
          </cell>
        </row>
        <row r="91">
          <cell r="A91" t="str">
            <v>AXA SIGORTA</v>
          </cell>
          <cell r="B91" t="e">
            <v>#REF!</v>
          </cell>
          <cell r="C91" t="str">
            <v>Enterprise</v>
          </cell>
          <cell r="D91">
            <v>44927</v>
          </cell>
          <cell r="E91">
            <v>1570.9001704134528</v>
          </cell>
          <cell r="F91">
            <v>1494.5493466351459</v>
          </cell>
          <cell r="G91">
            <v>1725.9029921644985</v>
          </cell>
        </row>
        <row r="92">
          <cell r="A92" t="str">
            <v>CHRONOS INSAN KAYNAKLARI DANISMANLIK LTD.STI.</v>
          </cell>
          <cell r="B92" t="e">
            <v>#REF!</v>
          </cell>
          <cell r="C92" t="str">
            <v>SMB</v>
          </cell>
          <cell r="D92">
            <v>44927</v>
          </cell>
          <cell r="E92">
            <v>778.65036900998496</v>
          </cell>
          <cell r="F92">
            <v>823.42039946208024</v>
          </cell>
          <cell r="G92">
            <v>1489.6550512156975</v>
          </cell>
        </row>
        <row r="93">
          <cell r="A93" t="str">
            <v>REM MIMARLIK DEKORASYON RESTORASYON PROJE VE TAAH.</v>
          </cell>
          <cell r="B93" t="e">
            <v>#REF!</v>
          </cell>
          <cell r="C93" t="str">
            <v>SMB</v>
          </cell>
          <cell r="D93">
            <v>44927</v>
          </cell>
          <cell r="E93">
            <v>1553.0810361280076</v>
          </cell>
          <cell r="F93">
            <v>1523.3821217769391</v>
          </cell>
          <cell r="G93">
            <v>1782.7921005446292</v>
          </cell>
        </row>
        <row r="94">
          <cell r="A94" t="str">
            <v>MIRORA ÇEVIRI LTD. STI. (MİRORA)</v>
          </cell>
          <cell r="B94" t="e">
            <v>#REF!</v>
          </cell>
          <cell r="C94" t="str">
            <v>SMB</v>
          </cell>
          <cell r="D94">
            <v>44927</v>
          </cell>
          <cell r="E94">
            <v>1042.876454689391</v>
          </cell>
          <cell r="F94">
            <v>1475.9894899999999</v>
          </cell>
          <cell r="G94">
            <v>1546.0522583333332</v>
          </cell>
        </row>
        <row r="95">
          <cell r="A95" t="str">
            <v>TRİO DENİZ ARAÇLARI TİCARET ANONİM ŞİRKET</v>
          </cell>
          <cell r="B95" t="e">
            <v>#REF!</v>
          </cell>
          <cell r="C95" t="str">
            <v>SMB</v>
          </cell>
          <cell r="D95">
            <v>45253</v>
          </cell>
          <cell r="E95">
            <v>1200</v>
          </cell>
          <cell r="F95">
            <v>1424.9976495833332</v>
          </cell>
          <cell r="G95">
            <v>0</v>
          </cell>
        </row>
        <row r="96">
          <cell r="A96" t="str">
            <v>INTRA MEDİKAL</v>
          </cell>
          <cell r="B96" t="e">
            <v>#REF!</v>
          </cell>
          <cell r="C96" t="str">
            <v>SMB</v>
          </cell>
          <cell r="D96">
            <v>45903</v>
          </cell>
          <cell r="E96">
            <v>1511.2335838310132</v>
          </cell>
          <cell r="F96">
            <v>0</v>
          </cell>
          <cell r="G96">
            <v>0</v>
          </cell>
        </row>
        <row r="97">
          <cell r="A97" t="str">
            <v>KALE PRATT</v>
          </cell>
          <cell r="B97" t="e">
            <v>#REF!</v>
          </cell>
          <cell r="C97" t="str">
            <v>Enterprise</v>
          </cell>
          <cell r="D97">
            <v>45536</v>
          </cell>
          <cell r="E97">
            <v>1457.6229262001095</v>
          </cell>
          <cell r="F97">
            <v>1500.9242054501437</v>
          </cell>
          <cell r="G97">
            <v>0</v>
          </cell>
        </row>
        <row r="98">
          <cell r="A98" t="str">
            <v>BİS Çözüm Bilgisayar ve Entegrasyon Hizmetleri</v>
          </cell>
          <cell r="B98" t="e">
            <v>#REF!</v>
          </cell>
          <cell r="C98" t="str">
            <v>SMB</v>
          </cell>
          <cell r="D98">
            <v>44927</v>
          </cell>
          <cell r="E98">
            <v>754.54598764280354</v>
          </cell>
          <cell r="F98">
            <v>848.86360349305971</v>
          </cell>
          <cell r="G98">
            <v>1281.4748673702629</v>
          </cell>
        </row>
        <row r="99">
          <cell r="A99" t="str">
            <v>METRO İSTANBUL</v>
          </cell>
          <cell r="B99" t="e">
            <v>#REF!</v>
          </cell>
          <cell r="C99" t="str">
            <v>Enterprise</v>
          </cell>
          <cell r="D99">
            <v>44927</v>
          </cell>
          <cell r="E99">
            <v>266.54867445344195</v>
          </cell>
          <cell r="F99">
            <v>958.62411598184781</v>
          </cell>
          <cell r="G99">
            <v>510.62448852893874</v>
          </cell>
        </row>
        <row r="100">
          <cell r="A100" t="str">
            <v>CAHAN ENNA MMC</v>
          </cell>
          <cell r="B100" t="e">
            <v>#REF!</v>
          </cell>
          <cell r="C100" t="str">
            <v>SMB</v>
          </cell>
          <cell r="D100">
            <v>44927</v>
          </cell>
          <cell r="E100">
            <v>1023.7</v>
          </cell>
          <cell r="F100">
            <v>845.00054600000021</v>
          </cell>
          <cell r="G100">
            <v>1426.9989976666664</v>
          </cell>
        </row>
        <row r="101">
          <cell r="A101" t="str">
            <v>90PİXEL</v>
          </cell>
          <cell r="B101" t="e">
            <v>#REF!</v>
          </cell>
          <cell r="C101" t="str">
            <v>SMB</v>
          </cell>
          <cell r="D101">
            <v>45161</v>
          </cell>
          <cell r="E101">
            <v>720.00685999999996</v>
          </cell>
          <cell r="F101">
            <v>774.80685999999992</v>
          </cell>
          <cell r="G101">
            <v>1386.2714530000003</v>
          </cell>
        </row>
        <row r="102">
          <cell r="A102" t="str">
            <v>NAR GIDA</v>
          </cell>
          <cell r="B102" t="e">
            <v>#REF!</v>
          </cell>
          <cell r="C102" t="str">
            <v>SMB</v>
          </cell>
          <cell r="D102">
            <v>45308</v>
          </cell>
          <cell r="E102">
            <v>1150.0056199999999</v>
          </cell>
          <cell r="F102">
            <v>1334.871036</v>
          </cell>
          <cell r="G102">
            <v>0</v>
          </cell>
        </row>
        <row r="103">
          <cell r="A103" t="str">
            <v>DT MÜHENDİSLİK VE TAAHHÜT ANONİM SİRKETİ</v>
          </cell>
          <cell r="B103" t="e">
            <v>#REF!</v>
          </cell>
          <cell r="C103" t="str">
            <v>SMB</v>
          </cell>
          <cell r="D103">
            <v>45630</v>
          </cell>
          <cell r="E103">
            <v>1353.138616</v>
          </cell>
          <cell r="F103">
            <v>0</v>
          </cell>
          <cell r="G103">
            <v>0</v>
          </cell>
        </row>
        <row r="104">
          <cell r="A104" t="str">
            <v>FUTURE LOJİSTİK</v>
          </cell>
          <cell r="B104" t="e">
            <v>#REF!</v>
          </cell>
          <cell r="C104" t="str">
            <v>SMB</v>
          </cell>
          <cell r="D104">
            <v>45713</v>
          </cell>
          <cell r="E104">
            <v>1350.0199480000003</v>
          </cell>
          <cell r="F104">
            <v>0</v>
          </cell>
          <cell r="G104">
            <v>0</v>
          </cell>
        </row>
        <row r="105">
          <cell r="A105" t="str">
            <v>WORKINTON</v>
          </cell>
          <cell r="B105" t="e">
            <v>#REF!</v>
          </cell>
          <cell r="C105" t="str">
            <v>SMB</v>
          </cell>
          <cell r="D105">
            <v>45068</v>
          </cell>
          <cell r="E105">
            <v>325.21680957559249</v>
          </cell>
          <cell r="F105">
            <v>350.81028189795757</v>
          </cell>
          <cell r="G105">
            <v>1378.5288159864406</v>
          </cell>
        </row>
        <row r="106">
          <cell r="A106" t="str">
            <v>ASE ASYA AFRİKA HIZLI LOJİSTİK SİSTEMLERİ ANONİM Ş</v>
          </cell>
          <cell r="B106" t="e">
            <v>#REF!</v>
          </cell>
          <cell r="C106" t="str">
            <v>SMB</v>
          </cell>
          <cell r="D106">
            <v>44927</v>
          </cell>
          <cell r="E106">
            <v>1512.7885564474573</v>
          </cell>
          <cell r="F106">
            <v>1816.6412488454832</v>
          </cell>
          <cell r="G106">
            <v>3210.5949264892624</v>
          </cell>
        </row>
        <row r="107">
          <cell r="A107" t="str">
            <v>SAĞLIK VE EĞİTİM VAKFI</v>
          </cell>
          <cell r="B107" t="e">
            <v>#REF!</v>
          </cell>
          <cell r="C107" t="str">
            <v>SMB</v>
          </cell>
          <cell r="D107">
            <v>45474</v>
          </cell>
          <cell r="E107">
            <v>977.31966823254993</v>
          </cell>
          <cell r="F107">
            <v>1364.8119275621971</v>
          </cell>
          <cell r="G107">
            <v>0</v>
          </cell>
        </row>
        <row r="108">
          <cell r="A108" t="str">
            <v>T&amp;C GARMENTS</v>
          </cell>
          <cell r="B108" t="e">
            <v>#REF!</v>
          </cell>
          <cell r="C108" t="str">
            <v>SMB</v>
          </cell>
          <cell r="D108">
            <v>44927</v>
          </cell>
          <cell r="E108">
            <v>1049</v>
          </cell>
          <cell r="F108">
            <v>1058</v>
          </cell>
          <cell r="G108">
            <v>1322.2990933333333</v>
          </cell>
        </row>
        <row r="109">
          <cell r="A109" t="str">
            <v>İBRAHİM POLAT HOLDİNG</v>
          </cell>
          <cell r="B109" t="e">
            <v>#REF!</v>
          </cell>
          <cell r="C109" t="str">
            <v>SMB</v>
          </cell>
          <cell r="D109">
            <v>44927</v>
          </cell>
          <cell r="E109">
            <v>435.05544979460109</v>
          </cell>
          <cell r="F109">
            <v>1225.0886969007331</v>
          </cell>
          <cell r="G109">
            <v>1311.0323825319863</v>
          </cell>
        </row>
        <row r="110">
          <cell r="A110" t="str">
            <v>MACKA YAYINCILIK VE EGLENCE A.Ş.</v>
          </cell>
          <cell r="B110" t="e">
            <v>#REF!</v>
          </cell>
          <cell r="C110" t="str">
            <v>SMB</v>
          </cell>
          <cell r="D110">
            <v>44989</v>
          </cell>
          <cell r="E110">
            <v>342.77096044423115</v>
          </cell>
          <cell r="F110">
            <v>405.95387665971145</v>
          </cell>
          <cell r="G110">
            <v>1229.6315501717756</v>
          </cell>
        </row>
        <row r="111">
          <cell r="A111" t="str">
            <v>ŞEKER YATIRIM MENKUL DEGERLER A.S.</v>
          </cell>
          <cell r="B111" t="e">
            <v>#REF!</v>
          </cell>
          <cell r="C111" t="str">
            <v>Enterprise</v>
          </cell>
          <cell r="D111">
            <v>44927</v>
          </cell>
          <cell r="E111">
            <v>1143</v>
          </cell>
          <cell r="F111">
            <v>1182.991336</v>
          </cell>
          <cell r="G111">
            <v>1301.2904699999997</v>
          </cell>
        </row>
        <row r="112">
          <cell r="A112" t="str">
            <v>BABUR ARSLAN TUR. TİC. ÖZEL SAĞLIK HİZ VE SAN AŞ</v>
          </cell>
          <cell r="B112" t="e">
            <v>#REF!</v>
          </cell>
          <cell r="C112" t="str">
            <v>SMB</v>
          </cell>
          <cell r="D112">
            <v>45380</v>
          </cell>
          <cell r="E112">
            <v>551.40954063825654</v>
          </cell>
          <cell r="F112">
            <v>1365.2049587741453</v>
          </cell>
          <cell r="G112">
            <v>0</v>
          </cell>
        </row>
        <row r="113">
          <cell r="A113" t="str">
            <v>PALMİYE TATİL KÖYÜ İŞLETMELERİ TURİZM VE TİCARET A</v>
          </cell>
          <cell r="B113" t="e">
            <v>#REF!</v>
          </cell>
          <cell r="C113" t="str">
            <v>SMB</v>
          </cell>
          <cell r="D113">
            <v>44927</v>
          </cell>
          <cell r="E113">
            <v>1000</v>
          </cell>
          <cell r="F113">
            <v>1034.0000249999998</v>
          </cell>
          <cell r="G113">
            <v>1251.9990250000001</v>
          </cell>
        </row>
        <row r="114">
          <cell r="A114" t="str">
            <v>GARDENSA PEYZAJ A.Ş.</v>
          </cell>
          <cell r="B114" t="e">
            <v>#REF!</v>
          </cell>
          <cell r="C114" t="str">
            <v>SMB</v>
          </cell>
          <cell r="D114">
            <v>44927</v>
          </cell>
          <cell r="E114">
            <v>900</v>
          </cell>
          <cell r="F114">
            <v>971.99679999999989</v>
          </cell>
          <cell r="G114">
            <v>1250.1624666666667</v>
          </cell>
        </row>
        <row r="115">
          <cell r="A115" t="str">
            <v xml:space="preserve">SOLVENTAS TEKNIK DEPOLAMA A.S. </v>
          </cell>
          <cell r="B115" t="e">
            <v>#REF!</v>
          </cell>
          <cell r="C115" t="str">
            <v>SMB</v>
          </cell>
          <cell r="D115">
            <v>44927</v>
          </cell>
          <cell r="E115">
            <v>1226.3904511602864</v>
          </cell>
          <cell r="F115">
            <v>1008.7059741454908</v>
          </cell>
          <cell r="G115">
            <v>1463.3038914129299</v>
          </cell>
        </row>
        <row r="116">
          <cell r="A116" t="str">
            <v>LIBA LABORATUARLARI A.S.</v>
          </cell>
          <cell r="B116" t="e">
            <v>#REF!</v>
          </cell>
          <cell r="C116" t="str">
            <v>SMB</v>
          </cell>
          <cell r="D116">
            <v>44959</v>
          </cell>
          <cell r="E116">
            <v>1116</v>
          </cell>
          <cell r="F116">
            <v>1116</v>
          </cell>
          <cell r="G116">
            <v>1141.0039999999999</v>
          </cell>
        </row>
        <row r="117">
          <cell r="A117" t="str">
            <v>LINK BILG.SIST.YAZILIM VE DONANIM SAN.VE TIC. AS</v>
          </cell>
          <cell r="B117" t="e">
            <v>#REF!</v>
          </cell>
          <cell r="C117" t="str">
            <v>SMB</v>
          </cell>
          <cell r="D117">
            <v>44927</v>
          </cell>
          <cell r="E117">
            <v>583.88790598583569</v>
          </cell>
          <cell r="F117">
            <v>695.0663491246878</v>
          </cell>
          <cell r="G117">
            <v>1089.8995701526371</v>
          </cell>
        </row>
        <row r="118">
          <cell r="A118" t="str">
            <v>KOTON MAĞAZACILIK TEKSTİL SANAYİ VE TİCARET A.Ş.</v>
          </cell>
          <cell r="B118" t="e">
            <v>#REF!</v>
          </cell>
          <cell r="C118" t="str">
            <v>Enterprise</v>
          </cell>
          <cell r="D118">
            <v>45809</v>
          </cell>
          <cell r="E118">
            <v>220.50000100105535</v>
          </cell>
          <cell r="F118">
            <v>0</v>
          </cell>
          <cell r="G118">
            <v>0</v>
          </cell>
        </row>
        <row r="119">
          <cell r="A119" t="str">
            <v>SET KURUMSAL HİZ.TİC.A.Ş. (SETCARD)</v>
          </cell>
          <cell r="B119" t="e">
            <v>#REF!</v>
          </cell>
          <cell r="C119" t="str">
            <v>Enterprise</v>
          </cell>
          <cell r="D119">
            <v>45042</v>
          </cell>
          <cell r="E119">
            <v>978.71471799008532</v>
          </cell>
          <cell r="F119">
            <v>910.18043195726955</v>
          </cell>
          <cell r="G119">
            <v>1227.7914678924426</v>
          </cell>
        </row>
        <row r="120">
          <cell r="A120" t="str">
            <v>PROSES MÜHENDISLIK ARITMA SISTEMLERI.INS.SAN.TIC.L</v>
          </cell>
          <cell r="B120" t="e">
            <v>#REF!</v>
          </cell>
          <cell r="C120" t="str">
            <v>SMB</v>
          </cell>
          <cell r="D120">
            <v>45057</v>
          </cell>
          <cell r="E120">
            <v>848.8597174838103</v>
          </cell>
          <cell r="F120">
            <v>1018.9835746666666</v>
          </cell>
          <cell r="G120">
            <v>1156.3402550000001</v>
          </cell>
        </row>
        <row r="121">
          <cell r="A121" t="str">
            <v>ALESTA SIGORTA</v>
          </cell>
          <cell r="B121" t="e">
            <v>#REF!</v>
          </cell>
          <cell r="C121" t="str">
            <v>SMB</v>
          </cell>
          <cell r="D121">
            <v>44927</v>
          </cell>
          <cell r="E121">
            <v>800.02345628335195</v>
          </cell>
          <cell r="F121">
            <v>805.84477424818863</v>
          </cell>
          <cell r="G121">
            <v>963.18670702937607</v>
          </cell>
        </row>
        <row r="122">
          <cell r="A122" t="str">
            <v>DORUK İLETİŞİM</v>
          </cell>
          <cell r="B122" t="e">
            <v>#REF!</v>
          </cell>
          <cell r="C122" t="str">
            <v>SMB</v>
          </cell>
          <cell r="D122">
            <v>45356</v>
          </cell>
          <cell r="E122">
            <v>1303.0928909767333</v>
          </cell>
          <cell r="F122">
            <v>1250.0166161926047</v>
          </cell>
          <cell r="G122">
            <v>0</v>
          </cell>
        </row>
        <row r="123">
          <cell r="A123" t="str">
            <v>HM IÇ VE DIS TICARET REKLAM. ORG.TUR. A.S.</v>
          </cell>
          <cell r="B123" t="e">
            <v>#REF!</v>
          </cell>
          <cell r="C123" t="str">
            <v>SMB</v>
          </cell>
          <cell r="D123">
            <v>44927</v>
          </cell>
          <cell r="E123">
            <v>661.40185523463981</v>
          </cell>
          <cell r="F123">
            <v>709.9458044606863</v>
          </cell>
          <cell r="G123">
            <v>993.26980142224238</v>
          </cell>
        </row>
        <row r="124">
          <cell r="A124" t="str">
            <v>DATA HIDROLIK MAKINA SANAYI A.S.</v>
          </cell>
          <cell r="B124" t="e">
            <v>#REF!</v>
          </cell>
          <cell r="C124" t="str">
            <v>SMB</v>
          </cell>
          <cell r="D124">
            <v>44927</v>
          </cell>
          <cell r="E124">
            <v>568.14002334966392</v>
          </cell>
          <cell r="F124">
            <v>672.53024711940407</v>
          </cell>
          <cell r="G124">
            <v>1050.1545597134634</v>
          </cell>
        </row>
        <row r="125">
          <cell r="A125" t="str">
            <v>ASLANOBA YATIRIM GIDA SANAYİ VE TİCARET A.Ş.</v>
          </cell>
          <cell r="B125" t="e">
            <v>#REF!</v>
          </cell>
          <cell r="C125" t="str">
            <v>SMB</v>
          </cell>
          <cell r="D125">
            <v>45870</v>
          </cell>
          <cell r="E125">
            <v>1000</v>
          </cell>
          <cell r="F125">
            <v>0</v>
          </cell>
          <cell r="G125">
            <v>0</v>
          </cell>
        </row>
        <row r="126">
          <cell r="A126" t="str">
            <v>VIKING TURIZM</v>
          </cell>
          <cell r="B126" t="e">
            <v>#REF!</v>
          </cell>
          <cell r="C126" t="str">
            <v>SMB</v>
          </cell>
          <cell r="D126">
            <v>44927</v>
          </cell>
          <cell r="E126">
            <v>494.28786190646281</v>
          </cell>
          <cell r="F126">
            <v>960.17988048041229</v>
          </cell>
          <cell r="G126">
            <v>1120.9779195671192</v>
          </cell>
        </row>
        <row r="127">
          <cell r="A127" t="str">
            <v>İBSA ILAÇ SAN VE TIC.LTD STI</v>
          </cell>
          <cell r="B127" t="e">
            <v>#REF!</v>
          </cell>
          <cell r="C127" t="str">
            <v>SMB</v>
          </cell>
          <cell r="D127">
            <v>44927</v>
          </cell>
          <cell r="E127">
            <v>329.67736287843229</v>
          </cell>
          <cell r="F127">
            <v>574.13846686828344</v>
          </cell>
          <cell r="G127">
            <v>959.79531910150399</v>
          </cell>
        </row>
        <row r="128">
          <cell r="A128" t="str">
            <v>PI SEYAHAT TEKNOLOJIDAGITIM VE DANISMANLIK A.S.</v>
          </cell>
          <cell r="B128" t="e">
            <v>#REF!</v>
          </cell>
          <cell r="C128" t="str">
            <v>SMB</v>
          </cell>
          <cell r="D128">
            <v>44927</v>
          </cell>
          <cell r="E128">
            <v>453.13274657085134</v>
          </cell>
          <cell r="F128">
            <v>589.09419790669835</v>
          </cell>
          <cell r="G128">
            <v>916.86049030674155</v>
          </cell>
        </row>
        <row r="129">
          <cell r="A129" t="str">
            <v>Torlak &amp; Karaduman Hukuk Bürosu</v>
          </cell>
          <cell r="B129" t="e">
            <v>#REF!</v>
          </cell>
          <cell r="C129" t="str">
            <v>SMB</v>
          </cell>
          <cell r="D129">
            <v>45870</v>
          </cell>
          <cell r="E129">
            <v>953.33333333333337</v>
          </cell>
          <cell r="F129">
            <v>0</v>
          </cell>
          <cell r="G129">
            <v>0</v>
          </cell>
        </row>
        <row r="130">
          <cell r="A130" t="str">
            <v>SABANCI ÜNİVERSİTESİ</v>
          </cell>
          <cell r="B130" t="e">
            <v>#REF!</v>
          </cell>
          <cell r="C130" t="str">
            <v>Enterprise</v>
          </cell>
          <cell r="D130">
            <v>45901</v>
          </cell>
          <cell r="E130">
            <v>924.9</v>
          </cell>
          <cell r="F130">
            <v>0</v>
          </cell>
          <cell r="G130">
            <v>0</v>
          </cell>
        </row>
        <row r="131">
          <cell r="A131" t="str">
            <v>MAYA HOLDING - ADMA ALISVERIS</v>
          </cell>
          <cell r="B131" t="e">
            <v>#REF!</v>
          </cell>
          <cell r="C131" t="str">
            <v>SMB</v>
          </cell>
          <cell r="D131">
            <v>44927</v>
          </cell>
          <cell r="E131">
            <v>625</v>
          </cell>
          <cell r="F131">
            <v>875</v>
          </cell>
          <cell r="G131">
            <v>1067.500002</v>
          </cell>
        </row>
        <row r="132">
          <cell r="A132" t="str">
            <v>CAHAN ÇAY MMC</v>
          </cell>
          <cell r="B132" t="e">
            <v>#REF!</v>
          </cell>
          <cell r="C132" t="str">
            <v>SMB</v>
          </cell>
          <cell r="D132">
            <v>44927</v>
          </cell>
          <cell r="E132">
            <v>1153.27</v>
          </cell>
          <cell r="F132">
            <v>895.54999900000018</v>
          </cell>
          <cell r="G132">
            <v>915.54999900000018</v>
          </cell>
        </row>
        <row r="133">
          <cell r="A133" t="str">
            <v>KARINCA LOJİSTİK A.Ş..</v>
          </cell>
          <cell r="B133" t="e">
            <v>#REF!</v>
          </cell>
          <cell r="C133" t="str">
            <v>SMB</v>
          </cell>
          <cell r="D133">
            <v>44927</v>
          </cell>
          <cell r="E133">
            <v>1006.5416519450933</v>
          </cell>
          <cell r="F133">
            <v>636.43052802683485</v>
          </cell>
          <cell r="G133">
            <v>763.93487033326755</v>
          </cell>
        </row>
        <row r="134">
          <cell r="A134" t="str">
            <v>MAPP MERCHANDISING GROUP</v>
          </cell>
          <cell r="B134" t="e">
            <v>#REF!</v>
          </cell>
          <cell r="C134" t="str">
            <v>SMB</v>
          </cell>
          <cell r="D134">
            <v>45497</v>
          </cell>
          <cell r="E134">
            <v>824.99999899999989</v>
          </cell>
          <cell r="F134">
            <v>907.89999899999998</v>
          </cell>
          <cell r="G134">
            <v>0</v>
          </cell>
        </row>
        <row r="135">
          <cell r="A135" t="str">
            <v>TEKSAN JENARATÖR ELEK. SAN. TIC. A.S.</v>
          </cell>
          <cell r="B135" t="e">
            <v>#REF!</v>
          </cell>
          <cell r="C135" t="str">
            <v>SMB</v>
          </cell>
          <cell r="D135">
            <v>44927</v>
          </cell>
          <cell r="E135">
            <v>620.41999999999996</v>
          </cell>
          <cell r="F135">
            <v>840.41949999999997</v>
          </cell>
          <cell r="G135">
            <v>1252.4381582526739</v>
          </cell>
        </row>
        <row r="136">
          <cell r="A136" t="str">
            <v>ETUR TURİZM PAZARLAMA VE SEYAHAT LTD.ŞTİ.</v>
          </cell>
          <cell r="B136" t="e">
            <v>#REF!</v>
          </cell>
          <cell r="C136" t="str">
            <v>SMB</v>
          </cell>
          <cell r="D136">
            <v>44927</v>
          </cell>
          <cell r="E136">
            <v>337.84297484313612</v>
          </cell>
          <cell r="F136">
            <v>531.33411664871676</v>
          </cell>
          <cell r="G136">
            <v>604.60403674125905</v>
          </cell>
        </row>
        <row r="137">
          <cell r="A137" t="str">
            <v>Helsakam Konfeksiyon Yan Ürünleri San. ve Tic. A.Ş</v>
          </cell>
          <cell r="B137" t="e">
            <v>#REF!</v>
          </cell>
          <cell r="C137" t="str">
            <v>SMB</v>
          </cell>
          <cell r="D137">
            <v>45288</v>
          </cell>
          <cell r="E137">
            <v>874.999999</v>
          </cell>
          <cell r="F137">
            <v>874.999999</v>
          </cell>
          <cell r="G137">
            <v>0</v>
          </cell>
        </row>
        <row r="138">
          <cell r="A138" t="str">
            <v>WEITNAUER DIŞ TİC.A.Ş. (DEM DIŞ TİC )</v>
          </cell>
          <cell r="B138" t="e">
            <v>#REF!</v>
          </cell>
          <cell r="C138" t="str">
            <v>SMB</v>
          </cell>
          <cell r="D138">
            <v>44932</v>
          </cell>
          <cell r="E138">
            <v>450</v>
          </cell>
          <cell r="F138">
            <v>469.50000000000006</v>
          </cell>
          <cell r="G138">
            <v>847.50823100000002</v>
          </cell>
        </row>
        <row r="139">
          <cell r="A139" t="str">
            <v>BELTAS BESIKTAS BELEDIYESI ISL.A.S</v>
          </cell>
          <cell r="B139" t="e">
            <v>#REF!</v>
          </cell>
          <cell r="C139" t="str">
            <v>SMB</v>
          </cell>
          <cell r="D139">
            <v>44927</v>
          </cell>
          <cell r="E139">
            <v>364.02275999177346</v>
          </cell>
          <cell r="F139">
            <v>537.3060936817501</v>
          </cell>
          <cell r="G139">
            <v>713.77506038885917</v>
          </cell>
        </row>
        <row r="140">
          <cell r="A140" t="str">
            <v>CAPITOL ALISVERIS HIZ.TIC.A.S</v>
          </cell>
          <cell r="B140" t="e">
            <v>#REF!</v>
          </cell>
          <cell r="C140" t="str">
            <v>SMB</v>
          </cell>
          <cell r="D140">
            <v>45383</v>
          </cell>
          <cell r="E140">
            <v>882.15002425592934</v>
          </cell>
          <cell r="F140">
            <v>719.37858930546076</v>
          </cell>
          <cell r="G140">
            <v>0</v>
          </cell>
        </row>
        <row r="141">
          <cell r="A141" t="str">
            <v>IDEASOFT YAZILIM SAN. VE TIC. A.S.</v>
          </cell>
          <cell r="B141" t="e">
            <v>#REF!</v>
          </cell>
          <cell r="C141" t="str">
            <v>SMB</v>
          </cell>
          <cell r="D141">
            <v>44927</v>
          </cell>
          <cell r="E141">
            <v>648.04999999999995</v>
          </cell>
          <cell r="F141">
            <v>682.34156200000007</v>
          </cell>
          <cell r="G141">
            <v>804.69005233333326</v>
          </cell>
        </row>
        <row r="142">
          <cell r="A142" t="str">
            <v>DEMANT ISITME CIHAZLARI SAN.VE TIC.A.S. (SES)</v>
          </cell>
          <cell r="B142" t="e">
            <v>#REF!</v>
          </cell>
          <cell r="C142" t="str">
            <v>SMB</v>
          </cell>
          <cell r="D142">
            <v>44927</v>
          </cell>
          <cell r="E142">
            <v>731.66675498312748</v>
          </cell>
          <cell r="F142">
            <v>705.3894714730136</v>
          </cell>
          <cell r="G142">
            <v>868.10184851990857</v>
          </cell>
        </row>
        <row r="143">
          <cell r="A143" t="str">
            <v>SARAY DÖKÜM</v>
          </cell>
          <cell r="B143" t="e">
            <v>#REF!</v>
          </cell>
          <cell r="C143" t="str">
            <v>SMB</v>
          </cell>
          <cell r="D143">
            <v>45653</v>
          </cell>
          <cell r="E143">
            <v>775.00034000000016</v>
          </cell>
          <cell r="F143">
            <v>0</v>
          </cell>
          <cell r="G143">
            <v>0</v>
          </cell>
        </row>
        <row r="144">
          <cell r="A144" t="str">
            <v>CAHAN TİCARET MMC</v>
          </cell>
          <cell r="B144" t="e">
            <v>#REF!</v>
          </cell>
          <cell r="C144" t="str">
            <v>SMB</v>
          </cell>
          <cell r="D144">
            <v>44927</v>
          </cell>
          <cell r="E144">
            <v>454.45</v>
          </cell>
          <cell r="F144">
            <v>535.00096499999995</v>
          </cell>
          <cell r="G144">
            <v>555.00096499999995</v>
          </cell>
        </row>
        <row r="145">
          <cell r="A145" t="str">
            <v>SYS TELEKOMINIKASYON BILG. ELKT. SAN.TIC.AS.</v>
          </cell>
          <cell r="B145" t="e">
            <v>#REF!</v>
          </cell>
          <cell r="C145" t="str">
            <v>Enterprise</v>
          </cell>
          <cell r="D145">
            <v>44927</v>
          </cell>
          <cell r="E145">
            <v>2215.3223892717961</v>
          </cell>
          <cell r="F145">
            <v>2228.0187350162887</v>
          </cell>
          <cell r="G145">
            <v>3710.4022269943848</v>
          </cell>
        </row>
        <row r="146">
          <cell r="A146" t="str">
            <v>KARTAL KİMYA</v>
          </cell>
          <cell r="B146" t="e">
            <v>#REF!</v>
          </cell>
          <cell r="C146" t="str">
            <v>SMB</v>
          </cell>
          <cell r="D146">
            <v>45559</v>
          </cell>
          <cell r="E146">
            <v>772.01673300000004</v>
          </cell>
          <cell r="F146">
            <v>772.01673300000004</v>
          </cell>
          <cell r="G146">
            <v>0</v>
          </cell>
        </row>
        <row r="147">
          <cell r="A147" t="str">
            <v>MEDITEL MEDIKAL TEKNIK ELEKTRONIK A.S</v>
          </cell>
          <cell r="B147" t="e">
            <v>#REF!</v>
          </cell>
          <cell r="C147" t="str">
            <v>SMB</v>
          </cell>
          <cell r="D147">
            <v>44927</v>
          </cell>
          <cell r="E147">
            <v>282.75967536953345</v>
          </cell>
          <cell r="F147">
            <v>521.79309390515118</v>
          </cell>
          <cell r="G147">
            <v>887.37988330464395</v>
          </cell>
        </row>
        <row r="148">
          <cell r="A148" t="str">
            <v>KERAMIK MAKINA SAN. VE TIC.A.S.</v>
          </cell>
          <cell r="B148" t="e">
            <v>#REF!</v>
          </cell>
          <cell r="C148" t="str">
            <v>SMB</v>
          </cell>
          <cell r="D148">
            <v>44927</v>
          </cell>
          <cell r="E148">
            <v>1346.8979687214019</v>
          </cell>
          <cell r="F148">
            <v>1353.2528858642675</v>
          </cell>
          <cell r="G148">
            <v>715.03937692242573</v>
          </cell>
        </row>
        <row r="149">
          <cell r="A149" t="str">
            <v>HOROZ LOJİSTİK KARGO HİZMETLERİ VE TİC. A.Ş.</v>
          </cell>
          <cell r="B149" t="e">
            <v>#REF!</v>
          </cell>
          <cell r="C149" t="str">
            <v>Enterprise</v>
          </cell>
          <cell r="D149">
            <v>45565</v>
          </cell>
          <cell r="E149">
            <v>750</v>
          </cell>
          <cell r="F149">
            <v>750</v>
          </cell>
          <cell r="G149">
            <v>0</v>
          </cell>
        </row>
        <row r="150">
          <cell r="A150" t="str">
            <v>ELESA GANTER ENDÜST. VE MAKINE EKIPMANLARI SAN. VE</v>
          </cell>
          <cell r="B150" t="e">
            <v>#REF!</v>
          </cell>
          <cell r="C150" t="str">
            <v>SMB</v>
          </cell>
          <cell r="D150">
            <v>44927</v>
          </cell>
          <cell r="E150">
            <v>451.00566682481895</v>
          </cell>
          <cell r="F150">
            <v>682.90586711302421</v>
          </cell>
          <cell r="G150">
            <v>846.69708680193025</v>
          </cell>
        </row>
        <row r="151">
          <cell r="A151" t="str">
            <v>BAKLAVACI GÜLLÜOGLU MEHMET NEJAT GÜLLÜ GIDA SAN.VE</v>
          </cell>
          <cell r="B151" t="e">
            <v>#REF!</v>
          </cell>
          <cell r="C151" t="str">
            <v>SMB</v>
          </cell>
          <cell r="D151">
            <v>44986</v>
          </cell>
          <cell r="E151">
            <v>315.86548887692385</v>
          </cell>
          <cell r="F151">
            <v>546.49520065354579</v>
          </cell>
          <cell r="G151">
            <v>826.96111117718465</v>
          </cell>
        </row>
        <row r="152">
          <cell r="A152" t="str">
            <v>CAHAN SENAYE KOMLEKSİ ASC</v>
          </cell>
          <cell r="B152" t="e">
            <v>#REF!</v>
          </cell>
          <cell r="C152" t="str">
            <v>SMB</v>
          </cell>
          <cell r="D152">
            <v>44927</v>
          </cell>
          <cell r="E152">
            <v>632.16999999999996</v>
          </cell>
          <cell r="F152">
            <v>721.00999899999988</v>
          </cell>
          <cell r="G152">
            <v>741.00999899999988</v>
          </cell>
        </row>
        <row r="153">
          <cell r="A153" t="str">
            <v>SEGMENTIFY</v>
          </cell>
          <cell r="B153" t="e">
            <v>#REF!</v>
          </cell>
          <cell r="C153" t="str">
            <v>SMB</v>
          </cell>
          <cell r="D153">
            <v>45093</v>
          </cell>
          <cell r="E153">
            <v>425.00959000000006</v>
          </cell>
          <cell r="F153">
            <v>520.00959000000012</v>
          </cell>
          <cell r="G153">
            <v>740.00858999999991</v>
          </cell>
        </row>
        <row r="154">
          <cell r="A154" t="str">
            <v>GRAND STAR TURİZM SAN.A.Ş.</v>
          </cell>
          <cell r="B154" t="e">
            <v>#REF!</v>
          </cell>
          <cell r="C154" t="str">
            <v>SMB</v>
          </cell>
          <cell r="D154">
            <v>44935</v>
          </cell>
          <cell r="E154">
            <v>341.55771713318853</v>
          </cell>
          <cell r="F154">
            <v>352.63105908792335</v>
          </cell>
          <cell r="G154">
            <v>828.25418271862748</v>
          </cell>
        </row>
        <row r="155">
          <cell r="A155" t="str">
            <v>SAREM MAKINA SAN.VE TIC.LTD.STI</v>
          </cell>
          <cell r="B155" t="e">
            <v>#REF!</v>
          </cell>
          <cell r="C155" t="str">
            <v>SMB</v>
          </cell>
          <cell r="D155">
            <v>45061</v>
          </cell>
          <cell r="E155">
            <v>220.99799720565034</v>
          </cell>
          <cell r="F155">
            <v>527.59400481478599</v>
          </cell>
          <cell r="G155">
            <v>749.21132006648315</v>
          </cell>
        </row>
        <row r="156">
          <cell r="A156" t="str">
            <v>TEKSO TEKNİK SOĞUTMA SAN.ve TİC.A.Ş.</v>
          </cell>
          <cell r="B156" t="e">
            <v>#REF!</v>
          </cell>
          <cell r="C156" t="str">
            <v>SMB</v>
          </cell>
          <cell r="D156">
            <v>44927</v>
          </cell>
          <cell r="E156">
            <v>500</v>
          </cell>
          <cell r="F156">
            <v>574.54</v>
          </cell>
          <cell r="G156">
            <v>700.94665599999996</v>
          </cell>
        </row>
        <row r="157">
          <cell r="A157" t="str">
            <v>IMPACTA DÖNÜŞÜM A.Ş.</v>
          </cell>
          <cell r="B157" t="e">
            <v>#REF!</v>
          </cell>
          <cell r="C157" t="str">
            <v>SMB</v>
          </cell>
          <cell r="D157">
            <v>45715</v>
          </cell>
          <cell r="E157">
            <v>700.00000566666677</v>
          </cell>
          <cell r="F157">
            <v>0</v>
          </cell>
          <cell r="G157">
            <v>0</v>
          </cell>
        </row>
        <row r="158">
          <cell r="A158" t="str">
            <v>ALVIMEDICA SAGLIK EKIPMANLARI PAZARLAMA</v>
          </cell>
          <cell r="B158" t="e">
            <v>#REF!</v>
          </cell>
          <cell r="C158" t="str">
            <v>SMB</v>
          </cell>
          <cell r="D158">
            <v>45595</v>
          </cell>
          <cell r="E158">
            <v>556</v>
          </cell>
          <cell r="F158">
            <v>700</v>
          </cell>
          <cell r="G158">
            <v>0</v>
          </cell>
        </row>
        <row r="159">
          <cell r="A159" t="str">
            <v>MAYA HOLDING - KARTAL IST ALIŞVERİŞ MERKEZİ VE İŞLETMESİ A.Ş.</v>
          </cell>
          <cell r="B159" t="e">
            <v>#REF!</v>
          </cell>
          <cell r="C159" t="str">
            <v>SMB</v>
          </cell>
          <cell r="D159">
            <v>44927</v>
          </cell>
          <cell r="E159">
            <v>557.64</v>
          </cell>
          <cell r="F159">
            <v>557.64</v>
          </cell>
          <cell r="G159">
            <v>680.32079999999996</v>
          </cell>
        </row>
        <row r="160">
          <cell r="A160" t="str">
            <v>ÇAVUŞPET AKARYAKIT SANAYİ VE TİC.LTD ŞTİ</v>
          </cell>
          <cell r="B160" t="e">
            <v>#REF!</v>
          </cell>
          <cell r="C160" t="str">
            <v>SMB</v>
          </cell>
          <cell r="D160">
            <v>45061</v>
          </cell>
          <cell r="E160">
            <v>324.99921166666667</v>
          </cell>
          <cell r="F160">
            <v>381.99921166666667</v>
          </cell>
          <cell r="G160">
            <v>614.99921166666672</v>
          </cell>
        </row>
        <row r="161">
          <cell r="A161" t="str">
            <v>AN GIDA ÜRÜNLERİ ÜRETİM VE PAZARLA ( KORHAN SERA )</v>
          </cell>
          <cell r="B161" t="e">
            <v>#REF!</v>
          </cell>
          <cell r="C161" t="str">
            <v>SMB</v>
          </cell>
          <cell r="D161">
            <v>44927</v>
          </cell>
          <cell r="E161">
            <v>206.57522270141752</v>
          </cell>
          <cell r="F161">
            <v>425.12895578325424</v>
          </cell>
          <cell r="G161">
            <v>585.48974235968058</v>
          </cell>
        </row>
        <row r="162">
          <cell r="A162" t="str">
            <v>AKS GÜMRÜK MÜSAVIRLIK LTD. STI.</v>
          </cell>
          <cell r="B162" t="e">
            <v>#REF!</v>
          </cell>
          <cell r="C162" t="str">
            <v>SMB</v>
          </cell>
          <cell r="D162">
            <v>45055</v>
          </cell>
          <cell r="E162">
            <v>444.38</v>
          </cell>
          <cell r="F162">
            <v>500.58140000000003</v>
          </cell>
          <cell r="G162">
            <v>638.05615911111101</v>
          </cell>
        </row>
        <row r="163">
          <cell r="A163" t="str">
            <v>KALANKAN MAKINA MOBILYA SAN.TIC.LTD.STI</v>
          </cell>
          <cell r="B163" t="e">
            <v>#REF!</v>
          </cell>
          <cell r="C163" t="str">
            <v>SMB</v>
          </cell>
          <cell r="D163">
            <v>44927</v>
          </cell>
          <cell r="E163">
            <v>452</v>
          </cell>
          <cell r="F163">
            <v>548.5</v>
          </cell>
          <cell r="G163">
            <v>623.99</v>
          </cell>
        </row>
        <row r="164">
          <cell r="A164" t="str">
            <v>LİSA YAZILIM</v>
          </cell>
          <cell r="B164" t="e">
            <v>#REF!</v>
          </cell>
          <cell r="C164" t="str">
            <v>SMB</v>
          </cell>
          <cell r="D164">
            <v>45637</v>
          </cell>
          <cell r="E164">
            <v>619.98871399999996</v>
          </cell>
          <cell r="F164">
            <v>0</v>
          </cell>
          <cell r="G164">
            <v>0</v>
          </cell>
        </row>
        <row r="165">
          <cell r="A165" t="str">
            <v>Hannover Fairs Turkey Fuarcılık A.Ş.</v>
          </cell>
          <cell r="B165" t="e">
            <v>#REF!</v>
          </cell>
          <cell r="C165" t="str">
            <v>SMB</v>
          </cell>
          <cell r="D165">
            <v>45412</v>
          </cell>
          <cell r="E165">
            <v>434.88402578240272</v>
          </cell>
          <cell r="F165">
            <v>678.48224833141728</v>
          </cell>
          <cell r="G165">
            <v>0</v>
          </cell>
        </row>
        <row r="166">
          <cell r="A166" t="str">
            <v>ARZ PORTFÖY</v>
          </cell>
          <cell r="B166" t="e">
            <v>#REF!</v>
          </cell>
          <cell r="C166" t="str">
            <v>SMB</v>
          </cell>
          <cell r="D166">
            <v>45406</v>
          </cell>
          <cell r="E166">
            <v>599.99999799999989</v>
          </cell>
          <cell r="F166">
            <v>615.99999800000001</v>
          </cell>
          <cell r="G166">
            <v>0</v>
          </cell>
        </row>
        <row r="167">
          <cell r="A167" t="str">
            <v>REDINGTON</v>
          </cell>
          <cell r="B167" t="e">
            <v>#REF!</v>
          </cell>
          <cell r="C167" t="str">
            <v>Enterprise</v>
          </cell>
          <cell r="D167">
            <v>45544</v>
          </cell>
          <cell r="E167">
            <v>499.99999999999994</v>
          </cell>
          <cell r="F167">
            <v>609.99999999999989</v>
          </cell>
          <cell r="G167">
            <v>0</v>
          </cell>
        </row>
        <row r="168">
          <cell r="A168" t="str">
            <v>BAHTİYAR OCAK</v>
          </cell>
          <cell r="B168" t="e">
            <v>#REF!</v>
          </cell>
          <cell r="C168" t="str">
            <v>SMB</v>
          </cell>
          <cell r="D168">
            <v>45839</v>
          </cell>
          <cell r="E168">
            <v>607.5</v>
          </cell>
          <cell r="F168">
            <v>0</v>
          </cell>
          <cell r="G168">
            <v>0</v>
          </cell>
        </row>
        <row r="169">
          <cell r="A169" t="str">
            <v>EVRENSEL BAGIMSIZ DENETIM SMMM A.S</v>
          </cell>
          <cell r="B169" t="e">
            <v>#REF!</v>
          </cell>
          <cell r="C169" t="str">
            <v>SMB</v>
          </cell>
          <cell r="D169">
            <v>44927</v>
          </cell>
          <cell r="E169">
            <v>795.61452241897859</v>
          </cell>
          <cell r="F169">
            <v>759.7996755015688</v>
          </cell>
          <cell r="G169">
            <v>619.25372664164581</v>
          </cell>
        </row>
        <row r="170">
          <cell r="A170" t="str">
            <v xml:space="preserve">FIRAT İNŞAAT END.SAN.VE TİC. A.Ş </v>
          </cell>
          <cell r="B170" t="e">
            <v>#REF!</v>
          </cell>
          <cell r="C170" t="str">
            <v>SMB</v>
          </cell>
          <cell r="D170">
            <v>44927</v>
          </cell>
          <cell r="E170">
            <v>455.82</v>
          </cell>
          <cell r="F170">
            <v>470.85179999999997</v>
          </cell>
          <cell r="G170">
            <v>499.05179999999996</v>
          </cell>
        </row>
        <row r="171">
          <cell r="A171" t="str">
            <v>MİNAR MOBİLYA SANAYİ VE TİCARET LİMİTED ŞİRKET</v>
          </cell>
          <cell r="B171" t="e">
            <v>#REF!</v>
          </cell>
          <cell r="C171" t="str">
            <v>SMB</v>
          </cell>
          <cell r="D171">
            <v>45809</v>
          </cell>
          <cell r="E171">
            <v>220.50000100105535</v>
          </cell>
          <cell r="F171">
            <v>0</v>
          </cell>
          <cell r="G171">
            <v>0</v>
          </cell>
        </row>
        <row r="172">
          <cell r="A172" t="str">
            <v>PROSİSTEM ELEKTRONİK SİSTEMLERİ SANAYİ VE TİCARET</v>
          </cell>
          <cell r="B172" t="e">
            <v>#REF!</v>
          </cell>
          <cell r="C172" t="str">
            <v>SMB</v>
          </cell>
          <cell r="D172">
            <v>45272</v>
          </cell>
          <cell r="E172">
            <v>310.00727863636394</v>
          </cell>
          <cell r="F172">
            <v>677.19775647208917</v>
          </cell>
          <cell r="G172">
            <v>0</v>
          </cell>
        </row>
        <row r="173">
          <cell r="A173" t="str">
            <v>DÖNÜŞÜM OTOMOTİV VE SAN.TİC.A.Ş.</v>
          </cell>
          <cell r="B173" t="e">
            <v>#REF!</v>
          </cell>
          <cell r="C173" t="str">
            <v>SMB</v>
          </cell>
          <cell r="D173">
            <v>44927</v>
          </cell>
          <cell r="E173">
            <v>291.0711525031586</v>
          </cell>
          <cell r="F173">
            <v>202.65747276673926</v>
          </cell>
          <cell r="G173">
            <v>176.59198013375851</v>
          </cell>
        </row>
        <row r="174">
          <cell r="A174" t="str">
            <v>CAHAN MOTORS</v>
          </cell>
          <cell r="B174" t="e">
            <v>#REF!</v>
          </cell>
          <cell r="C174" t="str">
            <v>SMB</v>
          </cell>
          <cell r="D174">
            <v>44927</v>
          </cell>
          <cell r="E174">
            <v>509.81</v>
          </cell>
          <cell r="F174">
            <v>535.00096600000006</v>
          </cell>
          <cell r="G174">
            <v>555.00096600000006</v>
          </cell>
        </row>
        <row r="175">
          <cell r="A175" t="str">
            <v>ABALIOGLU HOLDING</v>
          </cell>
          <cell r="B175" t="e">
            <v>#REF!</v>
          </cell>
          <cell r="C175" t="str">
            <v>SMB</v>
          </cell>
          <cell r="D175">
            <v>44927</v>
          </cell>
          <cell r="E175">
            <v>459.8</v>
          </cell>
          <cell r="F175">
            <v>550.12280299999998</v>
          </cell>
          <cell r="G175">
            <v>550.12280299999998</v>
          </cell>
        </row>
        <row r="176">
          <cell r="A176" t="str">
            <v>BANK OF BAHRAIN AND KUWAIT TÜRKIYE TEMS. OF. (BBK)</v>
          </cell>
          <cell r="B176" t="e">
            <v>#REF!</v>
          </cell>
          <cell r="C176" t="str">
            <v>SMB</v>
          </cell>
          <cell r="D176">
            <v>44927</v>
          </cell>
          <cell r="E176">
            <v>500</v>
          </cell>
          <cell r="F176">
            <v>500</v>
          </cell>
          <cell r="G176">
            <v>500</v>
          </cell>
        </row>
        <row r="177">
          <cell r="A177" t="str">
            <v>B2 YAZILIM A.S.</v>
          </cell>
          <cell r="B177" t="e">
            <v>#REF!</v>
          </cell>
          <cell r="C177" t="str">
            <v>SMB</v>
          </cell>
          <cell r="D177">
            <v>44927</v>
          </cell>
          <cell r="E177">
            <v>276.21532868117049</v>
          </cell>
          <cell r="F177">
            <v>297.0564677618878</v>
          </cell>
          <cell r="G177">
            <v>510.20141566724061</v>
          </cell>
        </row>
        <row r="178">
          <cell r="A178" t="str">
            <v>TURKVEN Turk Ventures Advisory Limited</v>
          </cell>
          <cell r="B178" t="e">
            <v>#REF!</v>
          </cell>
          <cell r="C178" t="str">
            <v>SMB</v>
          </cell>
          <cell r="D178">
            <v>44927</v>
          </cell>
          <cell r="E178">
            <v>274.12251576470089</v>
          </cell>
          <cell r="F178">
            <v>401.05218916404647</v>
          </cell>
          <cell r="G178">
            <v>508.2054191946271</v>
          </cell>
        </row>
        <row r="179">
          <cell r="A179" t="str">
            <v>BCM Uluslararası Madencilik iIracat San ve Tic</v>
          </cell>
          <cell r="B179" t="e">
            <v>#REF!</v>
          </cell>
          <cell r="C179" t="str">
            <v>SMB</v>
          </cell>
          <cell r="D179">
            <v>45498</v>
          </cell>
          <cell r="E179">
            <v>539.99999800000001</v>
          </cell>
          <cell r="F179">
            <v>539.99999800000001</v>
          </cell>
          <cell r="G179">
            <v>0</v>
          </cell>
        </row>
        <row r="180">
          <cell r="A180" t="str">
            <v>ÖZ-SEL ECZA DEPOLARI (ÖZSEL)</v>
          </cell>
          <cell r="B180" t="e">
            <v>#REF!</v>
          </cell>
          <cell r="C180" t="str">
            <v>SMB</v>
          </cell>
          <cell r="D180">
            <v>44927</v>
          </cell>
          <cell r="E180">
            <v>492.65</v>
          </cell>
          <cell r="F180">
            <v>512.65211999999997</v>
          </cell>
          <cell r="G180">
            <v>512.652064</v>
          </cell>
        </row>
        <row r="181">
          <cell r="A181" t="str">
            <v>PİMMS ULUSLARARASI REKLAM ÜRÜNLERI A.S.</v>
          </cell>
          <cell r="B181" t="e">
            <v>#REF!</v>
          </cell>
          <cell r="C181" t="str">
            <v>SMB</v>
          </cell>
          <cell r="D181">
            <v>44927</v>
          </cell>
          <cell r="E181">
            <v>465.30973489068839</v>
          </cell>
          <cell r="F181">
            <v>503.67935336812167</v>
          </cell>
          <cell r="G181">
            <v>537.43633242204476</v>
          </cell>
        </row>
        <row r="182">
          <cell r="A182" t="str">
            <v>BOĞAZIÇI ISTANBUL REKLAM VE ORGANIZASYON PEYZAJ SP</v>
          </cell>
          <cell r="B182" t="e">
            <v>#REF!</v>
          </cell>
          <cell r="C182" t="str">
            <v>SMB</v>
          </cell>
          <cell r="D182">
            <v>44927</v>
          </cell>
          <cell r="E182">
            <v>442.94952101203199</v>
          </cell>
          <cell r="F182">
            <v>509.26471152916383</v>
          </cell>
          <cell r="G182">
            <v>609.21340088043564</v>
          </cell>
        </row>
        <row r="183">
          <cell r="A183" t="str">
            <v>KALİTEST BELGELENDIRME VE EGITIM HIZMETLERI LTD.ST</v>
          </cell>
          <cell r="B183" t="e">
            <v>#REF!</v>
          </cell>
          <cell r="C183" t="str">
            <v>SMB</v>
          </cell>
          <cell r="D183">
            <v>44927</v>
          </cell>
          <cell r="E183">
            <v>248.88366353602524</v>
          </cell>
          <cell r="F183">
            <v>271.89451800379447</v>
          </cell>
          <cell r="G183">
            <v>483.72888747670515</v>
          </cell>
        </row>
        <row r="184">
          <cell r="A184" t="str">
            <v>MORE KONTRAT TASARIM VE INSAAT A.S.</v>
          </cell>
          <cell r="B184" t="e">
            <v>#REF!</v>
          </cell>
          <cell r="C184" t="str">
            <v>SMB</v>
          </cell>
          <cell r="D184">
            <v>44927</v>
          </cell>
          <cell r="E184">
            <v>688</v>
          </cell>
          <cell r="F184">
            <v>691</v>
          </cell>
          <cell r="G184">
            <v>515.23500000000001</v>
          </cell>
        </row>
        <row r="185">
          <cell r="A185" t="str">
            <v>CAHAN İNŞAAT</v>
          </cell>
          <cell r="B185" t="e">
            <v>#REF!</v>
          </cell>
          <cell r="C185" t="str">
            <v>SMB</v>
          </cell>
          <cell r="D185">
            <v>44927</v>
          </cell>
          <cell r="E185">
            <v>448.92</v>
          </cell>
          <cell r="F185">
            <v>494.999999</v>
          </cell>
          <cell r="G185">
            <v>514.999999</v>
          </cell>
        </row>
        <row r="186">
          <cell r="A186" t="str">
            <v>Opus  Solutions</v>
          </cell>
          <cell r="B186" t="e">
            <v>#REF!</v>
          </cell>
          <cell r="C186" t="str">
            <v>SMB</v>
          </cell>
          <cell r="D186">
            <v>45512</v>
          </cell>
          <cell r="E186">
            <v>499.99420299999997</v>
          </cell>
          <cell r="F186">
            <v>512.49420299999997</v>
          </cell>
          <cell r="G186">
            <v>0</v>
          </cell>
        </row>
        <row r="187">
          <cell r="A187" t="str">
            <v>SAFİ REZİSTANS IMALAT SAN.SAFI YILMAZ</v>
          </cell>
          <cell r="B187" t="e">
            <v>#REF!</v>
          </cell>
          <cell r="C187" t="str">
            <v>SMB</v>
          </cell>
          <cell r="D187">
            <v>44927</v>
          </cell>
          <cell r="E187">
            <v>431.33333333333331</v>
          </cell>
          <cell r="F187">
            <v>500.4375</v>
          </cell>
          <cell r="G187">
            <v>752.0067396666667</v>
          </cell>
        </row>
        <row r="188">
          <cell r="A188" t="str">
            <v>WEIR TURKEY MINERALLERI LTD.STI.</v>
          </cell>
          <cell r="B188" t="e">
            <v>#REF!</v>
          </cell>
          <cell r="C188" t="str">
            <v>SMB</v>
          </cell>
          <cell r="D188">
            <v>44927</v>
          </cell>
          <cell r="E188">
            <v>494.0155070469674</v>
          </cell>
          <cell r="F188">
            <v>498.16914464054094</v>
          </cell>
          <cell r="G188">
            <v>500.68370629567966</v>
          </cell>
        </row>
        <row r="189">
          <cell r="A189" t="str">
            <v>SAF NUTRITION</v>
          </cell>
          <cell r="B189" t="e">
            <v>#REF!</v>
          </cell>
          <cell r="C189" t="str">
            <v>SMB</v>
          </cell>
          <cell r="D189">
            <v>45267</v>
          </cell>
          <cell r="E189">
            <v>495.000001</v>
          </cell>
          <cell r="F189">
            <v>495.000001</v>
          </cell>
          <cell r="G189">
            <v>0</v>
          </cell>
        </row>
        <row r="190">
          <cell r="A190" t="str">
            <v>ATESSONMEZ KIMYA SAN VE TIC AS</v>
          </cell>
          <cell r="B190" t="e">
            <v>#REF!</v>
          </cell>
          <cell r="C190" t="str">
            <v>SMB</v>
          </cell>
          <cell r="D190">
            <v>45138</v>
          </cell>
          <cell r="E190">
            <v>389.99999900000006</v>
          </cell>
          <cell r="F190">
            <v>389.99999900000006</v>
          </cell>
          <cell r="G190">
            <v>491.71986299999998</v>
          </cell>
        </row>
        <row r="191">
          <cell r="A191" t="str">
            <v>VIPFASHION TEKSTİL LİMİTED ŞİRKETİ</v>
          </cell>
          <cell r="B191" t="e">
            <v>#REF!</v>
          </cell>
          <cell r="C191" t="str">
            <v>SMB</v>
          </cell>
          <cell r="D191">
            <v>44927</v>
          </cell>
          <cell r="E191">
            <v>368.56635517990617</v>
          </cell>
          <cell r="F191">
            <v>353.76359929178517</v>
          </cell>
          <cell r="G191">
            <v>559.630904525402</v>
          </cell>
        </row>
        <row r="192">
          <cell r="A192" t="str">
            <v>GÜVEN PRES DÖKÜM</v>
          </cell>
          <cell r="B192" t="e">
            <v>#REF!</v>
          </cell>
          <cell r="C192" t="str">
            <v>SMB</v>
          </cell>
          <cell r="D192">
            <v>45504</v>
          </cell>
          <cell r="E192">
            <v>481.01051000000007</v>
          </cell>
          <cell r="F192">
            <v>481.01051000000007</v>
          </cell>
          <cell r="G192">
            <v>0</v>
          </cell>
        </row>
        <row r="193">
          <cell r="A193" t="str">
            <v>AKSISTEM ELEK.SAN.VE TIC.LTD.STI.</v>
          </cell>
          <cell r="B193" t="e">
            <v>#REF!</v>
          </cell>
          <cell r="C193" t="str">
            <v>SMB</v>
          </cell>
          <cell r="D193">
            <v>44927</v>
          </cell>
          <cell r="E193">
            <v>481.30076705600538</v>
          </cell>
          <cell r="F193">
            <v>478.74450000000002</v>
          </cell>
          <cell r="G193">
            <v>487.74450000000002</v>
          </cell>
        </row>
        <row r="194">
          <cell r="A194" t="str">
            <v>BASIT GIDA ANONIM SIRKETI</v>
          </cell>
          <cell r="B194" t="e">
            <v>#REF!</v>
          </cell>
          <cell r="C194" t="str">
            <v>SMB</v>
          </cell>
          <cell r="D194">
            <v>45230</v>
          </cell>
          <cell r="E194">
            <v>349.999999</v>
          </cell>
          <cell r="F194">
            <v>391.999999</v>
          </cell>
          <cell r="G194">
            <v>478.240092</v>
          </cell>
        </row>
        <row r="195">
          <cell r="A195" t="str">
            <v>ZEBRA TEKSTİL İNŞAAT SANAYİ VE TİCARET LİMİTED ŞİR</v>
          </cell>
          <cell r="B195" t="e">
            <v>#REF!</v>
          </cell>
          <cell r="C195" t="str">
            <v>SMB</v>
          </cell>
          <cell r="D195">
            <v>45468</v>
          </cell>
          <cell r="E195">
            <v>475</v>
          </cell>
          <cell r="F195">
            <v>474.995318</v>
          </cell>
          <cell r="G195">
            <v>0</v>
          </cell>
        </row>
        <row r="196">
          <cell r="A196" t="str">
            <v>DB GÜMRÜK MÜŞAVİRLİĞİ LİMİTED ŞİRKET</v>
          </cell>
          <cell r="B196" t="e">
            <v>#REF!</v>
          </cell>
          <cell r="C196" t="str">
            <v>SMB</v>
          </cell>
          <cell r="D196">
            <v>44927</v>
          </cell>
          <cell r="E196">
            <v>334.5</v>
          </cell>
          <cell r="F196">
            <v>364.09866799999998</v>
          </cell>
          <cell r="G196">
            <v>468.61120499999998</v>
          </cell>
        </row>
        <row r="197">
          <cell r="A197" t="str">
            <v>FT PORTFÖY</v>
          </cell>
          <cell r="B197" t="e">
            <v>#REF!</v>
          </cell>
          <cell r="C197" t="str">
            <v>SMB</v>
          </cell>
          <cell r="D197">
            <v>45373</v>
          </cell>
          <cell r="E197">
            <v>175</v>
          </cell>
          <cell r="F197">
            <v>461.34940400000005</v>
          </cell>
          <cell r="G197">
            <v>0</v>
          </cell>
        </row>
        <row r="198">
          <cell r="A198" t="str">
            <v>ISTANBUL REHBERLER ODASI</v>
          </cell>
          <cell r="B198" t="e">
            <v>#REF!</v>
          </cell>
          <cell r="C198" t="str">
            <v>SMB</v>
          </cell>
          <cell r="D198">
            <v>44927</v>
          </cell>
          <cell r="E198">
            <v>356.19989693843399</v>
          </cell>
          <cell r="F198">
            <v>288.45955606533983</v>
          </cell>
          <cell r="G198">
            <v>403.37440350481137</v>
          </cell>
        </row>
        <row r="199">
          <cell r="A199" t="str">
            <v>AKSAL TEKSTIL VE ELYAF SANAYI TICARET ANONIM</v>
          </cell>
          <cell r="B199" t="e">
            <v>#REF!</v>
          </cell>
          <cell r="C199" t="str">
            <v>SMB</v>
          </cell>
          <cell r="D199">
            <v>45627</v>
          </cell>
          <cell r="E199">
            <v>450.01209699999998</v>
          </cell>
          <cell r="F199">
            <v>0</v>
          </cell>
          <cell r="G199">
            <v>0</v>
          </cell>
        </row>
        <row r="200">
          <cell r="A200" t="str">
            <v>CNR HOLDİNG A.Ş.</v>
          </cell>
          <cell r="B200" t="e">
            <v>#REF!</v>
          </cell>
          <cell r="C200" t="str">
            <v>SMB</v>
          </cell>
          <cell r="D200">
            <v>45411</v>
          </cell>
          <cell r="E200">
            <v>200</v>
          </cell>
          <cell r="F200">
            <v>450.01155799999998</v>
          </cell>
          <cell r="G200">
            <v>0</v>
          </cell>
        </row>
        <row r="201">
          <cell r="A201" t="str">
            <v>BTI BİLİŞİM DANIŞMANLIK VE YAZILIM VE TİC. LTD. ŞT</v>
          </cell>
          <cell r="B201" t="e">
            <v>#REF!</v>
          </cell>
          <cell r="C201" t="str">
            <v>SMB</v>
          </cell>
          <cell r="D201">
            <v>45315</v>
          </cell>
          <cell r="E201">
            <v>440.009998</v>
          </cell>
          <cell r="F201">
            <v>440.009998</v>
          </cell>
          <cell r="G201">
            <v>0</v>
          </cell>
        </row>
        <row r="202">
          <cell r="A202" t="str">
            <v>ADALON OTOMOTİV SANAYİ VE DIŞ TİC. LTD. STİ</v>
          </cell>
          <cell r="B202" t="e">
            <v>#REF!</v>
          </cell>
          <cell r="C202" t="str">
            <v>SMB</v>
          </cell>
          <cell r="D202">
            <v>45496</v>
          </cell>
          <cell r="E202">
            <v>392.00000100000005</v>
          </cell>
          <cell r="F202">
            <v>439.60000100000008</v>
          </cell>
          <cell r="G202">
            <v>0</v>
          </cell>
        </row>
        <row r="203">
          <cell r="A203" t="str">
            <v>BOMBTEA GIDA IÇECEK REK.ORG.VE TIC..( DOSPRESSO )</v>
          </cell>
          <cell r="B203" t="e">
            <v>#REF!</v>
          </cell>
          <cell r="C203" t="str">
            <v>SMB</v>
          </cell>
          <cell r="D203">
            <v>44927</v>
          </cell>
          <cell r="E203">
            <v>276.27339411805031</v>
          </cell>
          <cell r="F203">
            <v>414.01070096265062</v>
          </cell>
          <cell r="G203">
            <v>568.4377696206484</v>
          </cell>
        </row>
        <row r="204">
          <cell r="A204" t="str">
            <v>Sinerji Gıda Kimya Tekstil San. Ve Tic. A.Ş.</v>
          </cell>
          <cell r="B204" t="e">
            <v>#REF!</v>
          </cell>
          <cell r="C204" t="str">
            <v>SMB</v>
          </cell>
          <cell r="D204">
            <v>45272</v>
          </cell>
          <cell r="E204">
            <v>275.006665</v>
          </cell>
          <cell r="F204">
            <v>401.006665</v>
          </cell>
          <cell r="G204">
            <v>0</v>
          </cell>
        </row>
        <row r="205">
          <cell r="A205" t="str">
            <v>İQM TEKNOLOJİ YAZILIM LİMİTED ŞİRKETİ</v>
          </cell>
          <cell r="B205" t="e">
            <v>#REF!</v>
          </cell>
          <cell r="C205" t="str">
            <v>SMB</v>
          </cell>
          <cell r="D205">
            <v>45809</v>
          </cell>
          <cell r="E205">
            <v>220.50000100105535</v>
          </cell>
          <cell r="F205">
            <v>0</v>
          </cell>
          <cell r="G205">
            <v>0</v>
          </cell>
        </row>
        <row r="206">
          <cell r="A206" t="str">
            <v>ŞENER OTO YEDEK PARÇA SANAYI.TIC.A.S</v>
          </cell>
          <cell r="B206" t="e">
            <v>#REF!</v>
          </cell>
          <cell r="C206" t="str">
            <v>SMB</v>
          </cell>
          <cell r="D206">
            <v>44927</v>
          </cell>
          <cell r="E206">
            <v>138.60531071578981</v>
          </cell>
          <cell r="F206">
            <v>176.72027181578412</v>
          </cell>
          <cell r="G206">
            <v>448.80488448984585</v>
          </cell>
        </row>
        <row r="207">
          <cell r="A207" t="str">
            <v>ASSERSAN</v>
          </cell>
          <cell r="B207" t="e">
            <v>#REF!</v>
          </cell>
          <cell r="C207" t="str">
            <v>SMB</v>
          </cell>
          <cell r="D207">
            <v>45706</v>
          </cell>
          <cell r="E207">
            <v>400.00000100000005</v>
          </cell>
          <cell r="F207">
            <v>0</v>
          </cell>
          <cell r="G207">
            <v>0</v>
          </cell>
        </row>
        <row r="208">
          <cell r="A208" t="str">
            <v>EKSEN MEDIKAL TIBBI MALZ. VE GERÇ. PAZ. TUR. ITH.</v>
          </cell>
          <cell r="B208" t="e">
            <v>#REF!</v>
          </cell>
          <cell r="C208" t="str">
            <v>SMB</v>
          </cell>
          <cell r="D208">
            <v>44927</v>
          </cell>
          <cell r="E208">
            <v>253</v>
          </cell>
          <cell r="F208">
            <v>282.02379999999999</v>
          </cell>
          <cell r="G208">
            <v>414.22689500000001</v>
          </cell>
        </row>
        <row r="209">
          <cell r="A209" t="str">
            <v>GUCCI TURKEY LÜKS ÜRÜNLER TIC.LTD.STI.</v>
          </cell>
          <cell r="B209" t="e">
            <v>#REF!</v>
          </cell>
          <cell r="C209" t="str">
            <v>SMB</v>
          </cell>
          <cell r="D209">
            <v>44927</v>
          </cell>
          <cell r="E209">
            <v>154.44034949862197</v>
          </cell>
          <cell r="F209">
            <v>166.7524616813767</v>
          </cell>
          <cell r="G209">
            <v>294.53702468055985</v>
          </cell>
        </row>
        <row r="210">
          <cell r="A210" t="str">
            <v>Fi Commerce Teknoloji</v>
          </cell>
          <cell r="B210" t="e">
            <v>#REF!</v>
          </cell>
          <cell r="C210" t="str">
            <v>SMB</v>
          </cell>
          <cell r="D210">
            <v>45723</v>
          </cell>
          <cell r="E210">
            <v>402.99999500000018</v>
          </cell>
          <cell r="F210">
            <v>0</v>
          </cell>
          <cell r="G210">
            <v>0</v>
          </cell>
        </row>
        <row r="211">
          <cell r="A211" t="str">
            <v>Temel Tel Metal San.Tic.Ltd.STİ</v>
          </cell>
          <cell r="B211" t="e">
            <v>#REF!</v>
          </cell>
          <cell r="C211" t="str">
            <v>SMB</v>
          </cell>
          <cell r="D211">
            <v>45218</v>
          </cell>
          <cell r="E211">
            <v>374.99999899999995</v>
          </cell>
          <cell r="F211">
            <v>374.99999899999995</v>
          </cell>
          <cell r="G211">
            <v>401.250474</v>
          </cell>
        </row>
        <row r="212">
          <cell r="A212" t="str">
            <v>TED GLOBAL AG</v>
          </cell>
          <cell r="B212" t="e">
            <v>#REF!</v>
          </cell>
          <cell r="C212" t="str">
            <v>SMB</v>
          </cell>
          <cell r="D212">
            <v>44927</v>
          </cell>
          <cell r="E212">
            <v>378</v>
          </cell>
          <cell r="F212">
            <v>400.68</v>
          </cell>
          <cell r="G212">
            <v>400.68</v>
          </cell>
        </row>
        <row r="213">
          <cell r="A213" t="str">
            <v>OTOFORM OTOMOTIV TIC.VE SAN.A.S.</v>
          </cell>
          <cell r="B213" t="e">
            <v>#REF!</v>
          </cell>
          <cell r="C213" t="str">
            <v>SMB</v>
          </cell>
          <cell r="D213">
            <v>45299</v>
          </cell>
          <cell r="E213">
            <v>610</v>
          </cell>
          <cell r="F213">
            <v>744.40669356886872</v>
          </cell>
          <cell r="G213">
            <v>0</v>
          </cell>
        </row>
        <row r="214">
          <cell r="A214" t="str">
            <v>ANTALYA SUBSTRAT YATIRIM LİMİTED ŞİRKETİ</v>
          </cell>
          <cell r="B214" t="e">
            <v>#REF!</v>
          </cell>
          <cell r="C214" t="str">
            <v>SMB</v>
          </cell>
          <cell r="D214">
            <v>45222</v>
          </cell>
          <cell r="E214">
            <v>195.82337691416899</v>
          </cell>
          <cell r="F214">
            <v>171.10106904453232</v>
          </cell>
          <cell r="G214">
            <v>0</v>
          </cell>
        </row>
        <row r="215">
          <cell r="A215" t="str">
            <v>KARAVAN TURİZM SEYAHAT VE NAKLIYAT AS</v>
          </cell>
          <cell r="B215" t="e">
            <v>#REF!</v>
          </cell>
          <cell r="C215" t="str">
            <v>SMB</v>
          </cell>
          <cell r="D215">
            <v>45642</v>
          </cell>
          <cell r="E215">
            <v>397.01630900000004</v>
          </cell>
          <cell r="F215">
            <v>0</v>
          </cell>
          <cell r="G215">
            <v>0</v>
          </cell>
        </row>
        <row r="216">
          <cell r="A216" t="str">
            <v>GAZİANTEP TİCARET ODASI</v>
          </cell>
          <cell r="B216" t="e">
            <v>#REF!</v>
          </cell>
          <cell r="C216" t="str">
            <v>SMB</v>
          </cell>
          <cell r="D216">
            <v>45204</v>
          </cell>
          <cell r="E216">
            <v>139.87384065297783</v>
          </cell>
          <cell r="F216">
            <v>184.26205296740582</v>
          </cell>
          <cell r="G216">
            <v>391.66633333333334</v>
          </cell>
        </row>
        <row r="217">
          <cell r="A217" t="str">
            <v>MEY Kozmetik İth.İhr.San.ve Tic.Ltd.Şti.</v>
          </cell>
          <cell r="B217" t="e">
            <v>#REF!</v>
          </cell>
          <cell r="C217" t="str">
            <v>SMB</v>
          </cell>
          <cell r="D217">
            <v>44927</v>
          </cell>
          <cell r="E217">
            <v>574</v>
          </cell>
          <cell r="F217">
            <v>642.02531799999997</v>
          </cell>
          <cell r="G217">
            <v>598.02532500000007</v>
          </cell>
        </row>
        <row r="218">
          <cell r="A218" t="str">
            <v>AGİTO BİLGİSAYAR VE DANIŞMANLIK HİZMETLERİ</v>
          </cell>
          <cell r="B218" t="e">
            <v>#REF!</v>
          </cell>
          <cell r="C218" t="str">
            <v>SMB</v>
          </cell>
          <cell r="D218">
            <v>45062</v>
          </cell>
          <cell r="E218">
            <v>302.56846302703337</v>
          </cell>
          <cell r="F218">
            <v>359.37873728352872</v>
          </cell>
          <cell r="G218">
            <v>413.81992477896711</v>
          </cell>
        </row>
        <row r="219">
          <cell r="A219" t="str">
            <v>CARREFOURSA CARREFOUR SABANCI TİCARET MERKEZİ A.Ş</v>
          </cell>
          <cell r="B219" t="e">
            <v>#REF!</v>
          </cell>
          <cell r="C219" t="str">
            <v>Enterprise</v>
          </cell>
          <cell r="D219">
            <v>45716</v>
          </cell>
          <cell r="E219">
            <v>1049.8499999999999</v>
          </cell>
          <cell r="F219">
            <v>0</v>
          </cell>
          <cell r="G219">
            <v>0</v>
          </cell>
        </row>
        <row r="220">
          <cell r="A220" t="str">
            <v>RAFINERI REKLAMCILIK HIZ.TIC.VE A.S</v>
          </cell>
          <cell r="B220" t="e">
            <v>#REF!</v>
          </cell>
          <cell r="C220" t="str">
            <v>SMB</v>
          </cell>
          <cell r="D220">
            <v>44927</v>
          </cell>
          <cell r="E220">
            <v>1510.5229489904077</v>
          </cell>
          <cell r="F220">
            <v>1898.968568498578</v>
          </cell>
          <cell r="G220">
            <v>2170.9418499440981</v>
          </cell>
        </row>
        <row r="221">
          <cell r="A221" t="str">
            <v>RENTMAK LOJISTIK TICARET ANONIM SIRKETI (GEMONT)</v>
          </cell>
          <cell r="B221" t="e">
            <v>#REF!</v>
          </cell>
          <cell r="C221" t="str">
            <v>SMB</v>
          </cell>
          <cell r="D221">
            <v>45069</v>
          </cell>
          <cell r="E221">
            <v>300</v>
          </cell>
          <cell r="F221">
            <v>300</v>
          </cell>
          <cell r="G221">
            <v>365.99985399999997</v>
          </cell>
        </row>
        <row r="222">
          <cell r="A222" t="str">
            <v>FEILO SYLVANIA TR ELEKTRIK ÜRÜNLERI TIC. LTD.STI.</v>
          </cell>
          <cell r="B222" t="e">
            <v>#REF!</v>
          </cell>
          <cell r="C222" t="str">
            <v>SMB</v>
          </cell>
          <cell r="D222">
            <v>44927</v>
          </cell>
          <cell r="E222">
            <v>300</v>
          </cell>
          <cell r="F222">
            <v>318</v>
          </cell>
          <cell r="G222">
            <v>365.7</v>
          </cell>
        </row>
        <row r="223">
          <cell r="A223" t="str">
            <v>AHMAD TEA ÇAY İTHALAT VE TİCARET LTD.ŞTİ</v>
          </cell>
          <cell r="B223" t="e">
            <v>#REF!</v>
          </cell>
          <cell r="C223" t="str">
            <v>SMB</v>
          </cell>
          <cell r="D223">
            <v>44927</v>
          </cell>
          <cell r="E223">
            <v>179.65950006130623</v>
          </cell>
          <cell r="F223">
            <v>196.99449999999999</v>
          </cell>
          <cell r="G223">
            <v>364.49450000000002</v>
          </cell>
        </row>
        <row r="224">
          <cell r="A224" t="str">
            <v>FOM TURKEY</v>
          </cell>
          <cell r="B224" t="e">
            <v>#REF!</v>
          </cell>
          <cell r="C224" t="str">
            <v>SMB</v>
          </cell>
          <cell r="D224">
            <v>45689</v>
          </cell>
          <cell r="E224">
            <v>415.82445833298692</v>
          </cell>
          <cell r="F224">
            <v>0</v>
          </cell>
          <cell r="G224">
            <v>0</v>
          </cell>
        </row>
        <row r="225">
          <cell r="A225" t="str">
            <v>DALYA GAYRIMENKUL GELISTIRME TICARET A.S</v>
          </cell>
          <cell r="B225" t="e">
            <v>#REF!</v>
          </cell>
          <cell r="C225" t="str">
            <v>SMB</v>
          </cell>
          <cell r="D225">
            <v>44927</v>
          </cell>
          <cell r="E225">
            <v>209.68677783857584</v>
          </cell>
          <cell r="F225">
            <v>222.42032406496639</v>
          </cell>
          <cell r="G225">
            <v>374.25572546773151</v>
          </cell>
        </row>
        <row r="226">
          <cell r="A226" t="str">
            <v>GLOBAL HASAR DANIŞMALIĞI A.Ş.</v>
          </cell>
          <cell r="B226" t="e">
            <v>#REF!</v>
          </cell>
          <cell r="C226" t="str">
            <v>SMB</v>
          </cell>
          <cell r="D226">
            <v>44927</v>
          </cell>
          <cell r="E226">
            <v>235</v>
          </cell>
          <cell r="F226">
            <v>258.00110000000001</v>
          </cell>
          <cell r="G226">
            <v>280.30110000000002</v>
          </cell>
        </row>
        <row r="227">
          <cell r="A227" t="str">
            <v>EUROTEC MÜHENDISLIK</v>
          </cell>
          <cell r="B227" t="e">
            <v>#REF!</v>
          </cell>
          <cell r="C227" t="str">
            <v>SMB</v>
          </cell>
          <cell r="D227">
            <v>44927</v>
          </cell>
          <cell r="E227">
            <v>1077.4000000000001</v>
          </cell>
          <cell r="F227">
            <v>1095.0019199999999</v>
          </cell>
          <cell r="G227">
            <v>350</v>
          </cell>
        </row>
        <row r="228">
          <cell r="A228" t="str">
            <v>FARMAZON BİLGİ TEKNOLOJİLERİ A.Ş.</v>
          </cell>
          <cell r="B228" t="e">
            <v>#REF!</v>
          </cell>
          <cell r="C228" t="str">
            <v>SMB</v>
          </cell>
          <cell r="D228">
            <v>45856</v>
          </cell>
          <cell r="E228">
            <v>350</v>
          </cell>
          <cell r="F228">
            <v>0</v>
          </cell>
          <cell r="G228">
            <v>0</v>
          </cell>
        </row>
        <row r="229">
          <cell r="A229" t="str">
            <v>INFODROM YAZILIM DANIŞMANLIK HİZ.TİC.LTD.ŞTİ.</v>
          </cell>
          <cell r="B229" t="e">
            <v>#REF!</v>
          </cell>
          <cell r="C229" t="str">
            <v>SMB</v>
          </cell>
          <cell r="D229">
            <v>45273</v>
          </cell>
          <cell r="E229">
            <v>125.00063383333332</v>
          </cell>
          <cell r="F229">
            <v>338.33396716666664</v>
          </cell>
          <cell r="G229">
            <v>0</v>
          </cell>
        </row>
        <row r="230">
          <cell r="A230" t="str">
            <v>FARMASU DOGAL KAY. SULARI MES VE GIDA MAD.ÜRET. PA</v>
          </cell>
          <cell r="B230" t="e">
            <v>#REF!</v>
          </cell>
          <cell r="C230" t="str">
            <v>SMB</v>
          </cell>
          <cell r="D230">
            <v>44927</v>
          </cell>
          <cell r="E230">
            <v>266.54867445344195</v>
          </cell>
          <cell r="F230">
            <v>511.25079927578031</v>
          </cell>
          <cell r="G230">
            <v>402.21342825295602</v>
          </cell>
        </row>
        <row r="231">
          <cell r="A231" t="str">
            <v>TRANSORIENT ULUSLARARASI LOJİSTİK VE TİCARET A.Ş</v>
          </cell>
          <cell r="B231" t="e">
            <v>#REF!</v>
          </cell>
          <cell r="C231" t="str">
            <v>SMB</v>
          </cell>
          <cell r="D231">
            <v>45117</v>
          </cell>
          <cell r="E231">
            <v>405.50901399999998</v>
          </cell>
          <cell r="F231">
            <v>405.50901399999998</v>
          </cell>
          <cell r="G231">
            <v>336.34601200000003</v>
          </cell>
        </row>
        <row r="232">
          <cell r="A232" t="str">
            <v>IVC ENDUSTRIYEL URUNLER VANA</v>
          </cell>
          <cell r="B232" t="e">
            <v>#REF!</v>
          </cell>
          <cell r="C232" t="str">
            <v>SMB</v>
          </cell>
          <cell r="D232">
            <v>45468</v>
          </cell>
          <cell r="E232">
            <v>308.00123923535608</v>
          </cell>
          <cell r="F232">
            <v>355.98861853531025</v>
          </cell>
          <cell r="G232">
            <v>0</v>
          </cell>
        </row>
        <row r="233">
          <cell r="A233" t="str">
            <v>CHİP COMPUTER BİLGİ İŞLEM VE DAN.HİZ.LTD.ŞTİ.</v>
          </cell>
          <cell r="B233" t="e">
            <v>#REF!</v>
          </cell>
          <cell r="C233" t="str">
            <v>SMB</v>
          </cell>
          <cell r="D233">
            <v>45645</v>
          </cell>
          <cell r="E233">
            <v>380.9575294466236</v>
          </cell>
          <cell r="F233">
            <v>0</v>
          </cell>
          <cell r="G233">
            <v>0</v>
          </cell>
        </row>
        <row r="234">
          <cell r="A234" t="str">
            <v>İZEM OTOMOTİV SEYAHAT TURİZM</v>
          </cell>
          <cell r="B234" t="e">
            <v>#REF!</v>
          </cell>
          <cell r="C234" t="str">
            <v>SMB</v>
          </cell>
          <cell r="D234">
            <v>45689</v>
          </cell>
          <cell r="E234">
            <v>332.01773600000001</v>
          </cell>
          <cell r="F234">
            <v>0</v>
          </cell>
          <cell r="G234">
            <v>0</v>
          </cell>
        </row>
        <row r="235">
          <cell r="A235" t="str">
            <v>ARTSANA TURKEY ( CHICCO )</v>
          </cell>
          <cell r="B235" t="e">
            <v>#REF!</v>
          </cell>
          <cell r="C235" t="str">
            <v>SMB</v>
          </cell>
          <cell r="D235">
            <v>44927</v>
          </cell>
          <cell r="E235">
            <v>139.28</v>
          </cell>
          <cell r="F235">
            <v>270.28000400000002</v>
          </cell>
          <cell r="G235">
            <v>321.62560500000001</v>
          </cell>
        </row>
        <row r="236">
          <cell r="A236" t="str">
            <v>NİSHANE</v>
          </cell>
          <cell r="B236" t="e">
            <v>#REF!</v>
          </cell>
          <cell r="C236" t="str">
            <v>SMB</v>
          </cell>
          <cell r="D236">
            <v>45939</v>
          </cell>
          <cell r="E236">
            <v>320</v>
          </cell>
          <cell r="F236">
            <v>0</v>
          </cell>
          <cell r="G236">
            <v>0</v>
          </cell>
        </row>
        <row r="237">
          <cell r="A237" t="str">
            <v>HELS ENDÜSTRİYEL MAMÜLLER SANAYİ TİC. LTD. ŞTİ.</v>
          </cell>
          <cell r="B237" t="e">
            <v>#REF!</v>
          </cell>
          <cell r="C237" t="str">
            <v>SMB</v>
          </cell>
          <cell r="D237">
            <v>45629</v>
          </cell>
          <cell r="E237">
            <v>289.98968100000002</v>
          </cell>
          <cell r="F237">
            <v>0</v>
          </cell>
          <cell r="G237">
            <v>0</v>
          </cell>
        </row>
        <row r="238">
          <cell r="A238" t="str">
            <v>ATG BİLİŞİM TEKNOLOJİLERİ ENDÜSTRİSİ LTD ŞTİ</v>
          </cell>
          <cell r="B238" t="e">
            <v>#REF!</v>
          </cell>
          <cell r="C238" t="str">
            <v>SMB</v>
          </cell>
          <cell r="D238">
            <v>44927</v>
          </cell>
          <cell r="E238">
            <v>273.32029045883849</v>
          </cell>
          <cell r="F238">
            <v>206.16308393546043</v>
          </cell>
          <cell r="G238">
            <v>279.17116324745325</v>
          </cell>
        </row>
        <row r="239">
          <cell r="A239" t="str">
            <v>GENERAL VETERİNER İLAÇLARI A.Ş.</v>
          </cell>
          <cell r="B239" t="e">
            <v>#REF!</v>
          </cell>
          <cell r="C239" t="str">
            <v>SMB</v>
          </cell>
          <cell r="D239">
            <v>45917</v>
          </cell>
          <cell r="E239">
            <v>300</v>
          </cell>
          <cell r="F239">
            <v>0</v>
          </cell>
          <cell r="G239">
            <v>0</v>
          </cell>
        </row>
        <row r="240">
          <cell r="A240" t="str">
            <v>PRO ILETISIM DAN. LTD.STI.</v>
          </cell>
          <cell r="B240" t="e">
            <v>#REF!</v>
          </cell>
          <cell r="C240" t="str">
            <v>SMB</v>
          </cell>
          <cell r="D240">
            <v>44927</v>
          </cell>
          <cell r="E240">
            <v>200</v>
          </cell>
          <cell r="F240">
            <v>221</v>
          </cell>
          <cell r="G240">
            <v>298.25080000000003</v>
          </cell>
        </row>
        <row r="241">
          <cell r="A241" t="str">
            <v>PROTEL BILGISAYAR  A.Ş.</v>
          </cell>
          <cell r="B241" t="e">
            <v>#REF!</v>
          </cell>
          <cell r="C241" t="str">
            <v>Enterprise</v>
          </cell>
          <cell r="D241">
            <v>44927</v>
          </cell>
          <cell r="E241">
            <v>296.99676000000011</v>
          </cell>
          <cell r="F241">
            <v>296.99676000000011</v>
          </cell>
          <cell r="G241">
            <v>296.99676000000011</v>
          </cell>
        </row>
        <row r="242">
          <cell r="A242" t="str">
            <v>MAYA HOLDING A.S</v>
          </cell>
          <cell r="B242" t="e">
            <v>#REF!</v>
          </cell>
          <cell r="C242" t="str">
            <v>SMB</v>
          </cell>
          <cell r="D242">
            <v>44927</v>
          </cell>
          <cell r="E242">
            <v>2224.04</v>
          </cell>
          <cell r="F242">
            <v>2217.04</v>
          </cell>
          <cell r="G242">
            <v>290</v>
          </cell>
        </row>
        <row r="243">
          <cell r="A243" t="str">
            <v>ARTI SINERJI BILISIM TEKNOLOJILERI TIC.LTD.STI.</v>
          </cell>
          <cell r="B243" t="e">
            <v>#REF!</v>
          </cell>
          <cell r="C243" t="str">
            <v>SMB</v>
          </cell>
          <cell r="D243">
            <v>44927</v>
          </cell>
          <cell r="E243">
            <v>280.85000000000002</v>
          </cell>
          <cell r="F243">
            <v>289.84630399999998</v>
          </cell>
          <cell r="G243">
            <v>290.84630399999998</v>
          </cell>
        </row>
        <row r="244">
          <cell r="A244" t="str">
            <v>CENTRON BILGISAYAR SISTEMLERI SAN.&amp;TIC.LTD (OGNY)</v>
          </cell>
          <cell r="B244" t="e">
            <v>#REF!</v>
          </cell>
          <cell r="C244" t="str">
            <v>SMB</v>
          </cell>
          <cell r="D244">
            <v>44927</v>
          </cell>
          <cell r="E244">
            <v>80</v>
          </cell>
          <cell r="F244">
            <v>89.001999999999981</v>
          </cell>
          <cell r="G244">
            <v>288.98870299999999</v>
          </cell>
        </row>
        <row r="245">
          <cell r="A245" t="str">
            <v>NAVEK SPORTİF ÜRÜNLER VE DANIŞMANLIK AŞ</v>
          </cell>
          <cell r="B245" t="e">
            <v>#REF!</v>
          </cell>
          <cell r="C245" t="str">
            <v>SMB</v>
          </cell>
          <cell r="D245">
            <v>45825</v>
          </cell>
          <cell r="E245">
            <v>220.50000100105535</v>
          </cell>
          <cell r="F245">
            <v>0</v>
          </cell>
          <cell r="G245">
            <v>0</v>
          </cell>
        </row>
        <row r="246">
          <cell r="A246" t="str">
            <v>NİLKY GIDA</v>
          </cell>
          <cell r="B246" t="e">
            <v>#REF!</v>
          </cell>
          <cell r="C246" t="str">
            <v>SMB</v>
          </cell>
          <cell r="D246">
            <v>45287</v>
          </cell>
          <cell r="E246">
            <v>260.0163</v>
          </cell>
          <cell r="F246">
            <v>280.0163</v>
          </cell>
          <cell r="G246">
            <v>0</v>
          </cell>
        </row>
        <row r="247">
          <cell r="A247" t="str">
            <v>KOZMETIK VE TEMIZLIK ÜRÜNLERI SANAYICILERI DERNEGI</v>
          </cell>
          <cell r="B247" t="e">
            <v>#REF!</v>
          </cell>
          <cell r="C247" t="str">
            <v>SMB</v>
          </cell>
          <cell r="D247">
            <v>44927</v>
          </cell>
          <cell r="E247">
            <v>197.81638722044391</v>
          </cell>
          <cell r="F247">
            <v>185.95591994571686</v>
          </cell>
          <cell r="G247">
            <v>249.00013579027569</v>
          </cell>
        </row>
        <row r="248">
          <cell r="A248" t="str">
            <v>BBS KALIP OTONASYON TEKNOLOJİK İMALAT SANAYİ VE Tİ</v>
          </cell>
          <cell r="B248" t="e">
            <v>#REF!</v>
          </cell>
          <cell r="C248" t="str">
            <v>SMB</v>
          </cell>
          <cell r="D248">
            <v>45809</v>
          </cell>
          <cell r="E248">
            <v>220.50000100105535</v>
          </cell>
          <cell r="F248">
            <v>0</v>
          </cell>
          <cell r="G248">
            <v>0</v>
          </cell>
        </row>
        <row r="249">
          <cell r="A249" t="str">
            <v>DEMKA KAĞIT VE AMBALAJ SANAYİ TİCARET ANONİM ŞİRKE</v>
          </cell>
          <cell r="B249" t="e">
            <v>#REF!</v>
          </cell>
          <cell r="C249" t="str">
            <v>SMB</v>
          </cell>
          <cell r="D249">
            <v>45812</v>
          </cell>
          <cell r="E249">
            <v>220.50000100105535</v>
          </cell>
          <cell r="F249">
            <v>0</v>
          </cell>
          <cell r="G249">
            <v>0</v>
          </cell>
        </row>
        <row r="250">
          <cell r="A250" t="str">
            <v>PESA ELEKTRIK MALZEMELERI SAN. ve TIC. LTD. STI.</v>
          </cell>
          <cell r="B250" t="e">
            <v>#REF!</v>
          </cell>
          <cell r="C250" t="str">
            <v>SMB</v>
          </cell>
          <cell r="D250">
            <v>44927</v>
          </cell>
          <cell r="E250">
            <v>165.26017816113401</v>
          </cell>
          <cell r="F250">
            <v>294.93430183822426</v>
          </cell>
          <cell r="G250">
            <v>323.55252024719931</v>
          </cell>
        </row>
        <row r="251">
          <cell r="A251" t="str">
            <v>İPEKYOLU GÜMRÜK MÜŞAVİRLİĞİ LTD. ŞTİ.</v>
          </cell>
          <cell r="B251" t="e">
            <v>#REF!</v>
          </cell>
          <cell r="C251" t="str">
            <v>SMB</v>
          </cell>
          <cell r="D251">
            <v>45413</v>
          </cell>
          <cell r="E251">
            <v>239.99962400000001</v>
          </cell>
          <cell r="F251">
            <v>263.99958700000002</v>
          </cell>
          <cell r="G251">
            <v>0</v>
          </cell>
        </row>
        <row r="252">
          <cell r="A252" t="str">
            <v>KURTARAN LASTİK VE PLASTİK ANONİM ŞİRKETİ</v>
          </cell>
          <cell r="B252" t="e">
            <v>#REF!</v>
          </cell>
          <cell r="C252" t="str">
            <v>SMB</v>
          </cell>
          <cell r="D252">
            <v>45347</v>
          </cell>
          <cell r="E252">
            <v>215.01110100000002</v>
          </cell>
          <cell r="F252">
            <v>260.01110100000005</v>
          </cell>
          <cell r="G252">
            <v>0</v>
          </cell>
        </row>
        <row r="253">
          <cell r="A253" t="str">
            <v>MATES DANIŞMANLIK</v>
          </cell>
          <cell r="B253" t="e">
            <v>#REF!</v>
          </cell>
          <cell r="C253" t="str">
            <v>SMB</v>
          </cell>
          <cell r="D253">
            <v>45581</v>
          </cell>
          <cell r="E253">
            <v>260.00000199999999</v>
          </cell>
          <cell r="F253">
            <v>260.00000199999999</v>
          </cell>
          <cell r="G253">
            <v>0</v>
          </cell>
        </row>
        <row r="254">
          <cell r="A254" t="str">
            <v>Nobel Bilişim Sistem Yazılım ve Network Hizmetleri</v>
          </cell>
          <cell r="B254" t="e">
            <v>#REF!</v>
          </cell>
          <cell r="C254" t="str">
            <v>SMB</v>
          </cell>
          <cell r="D254">
            <v>45828</v>
          </cell>
          <cell r="E254">
            <v>220.50000100105535</v>
          </cell>
          <cell r="F254">
            <v>0</v>
          </cell>
          <cell r="G254">
            <v>0</v>
          </cell>
        </row>
        <row r="255">
          <cell r="A255" t="str">
            <v>sobe diş ticaret tekstil ve sanayi limited şirketi</v>
          </cell>
          <cell r="B255" t="e">
            <v>#REF!</v>
          </cell>
          <cell r="C255" t="str">
            <v>SMB</v>
          </cell>
          <cell r="D255">
            <v>45554</v>
          </cell>
          <cell r="E255">
            <v>259.990003</v>
          </cell>
          <cell r="F255">
            <v>259.990002</v>
          </cell>
          <cell r="G255">
            <v>0</v>
          </cell>
        </row>
        <row r="256">
          <cell r="A256" t="str">
            <v>HARUN TUNABOYLU</v>
          </cell>
          <cell r="B256" t="e">
            <v>#REF!</v>
          </cell>
          <cell r="C256" t="str">
            <v>SMB</v>
          </cell>
          <cell r="D256">
            <v>45691</v>
          </cell>
          <cell r="E256">
            <v>250.01000099999999</v>
          </cell>
          <cell r="F256">
            <v>0</v>
          </cell>
          <cell r="G256">
            <v>0</v>
          </cell>
        </row>
        <row r="257">
          <cell r="A257" t="str">
            <v>ORBITER AVIATION LIMITED</v>
          </cell>
          <cell r="B257" t="e">
            <v>#REF!</v>
          </cell>
          <cell r="C257" t="str">
            <v>SMB</v>
          </cell>
          <cell r="D257">
            <v>45352</v>
          </cell>
          <cell r="E257">
            <v>275</v>
          </cell>
          <cell r="F257">
            <v>250</v>
          </cell>
          <cell r="G257">
            <v>0</v>
          </cell>
        </row>
        <row r="258">
          <cell r="A258" t="str">
            <v>BURGAN BANK A.S.</v>
          </cell>
          <cell r="B258" t="e">
            <v>#REF!</v>
          </cell>
          <cell r="C258" t="str">
            <v>Enterprise</v>
          </cell>
          <cell r="D258">
            <v>45747</v>
          </cell>
          <cell r="E258">
            <v>150.00399999999999</v>
          </cell>
          <cell r="F258">
            <v>0</v>
          </cell>
          <cell r="G258">
            <v>0</v>
          </cell>
        </row>
        <row r="259">
          <cell r="A259" t="str">
            <v>ARTROTEK TIBBİ MALZEME SANAYİ VE TİC.LTD.ŞTİ</v>
          </cell>
          <cell r="B259" t="e">
            <v>#REF!</v>
          </cell>
          <cell r="C259" t="str">
            <v>SMB</v>
          </cell>
          <cell r="D259">
            <v>45649</v>
          </cell>
          <cell r="E259">
            <v>80.500833333333333</v>
          </cell>
          <cell r="F259">
            <v>0</v>
          </cell>
          <cell r="G259">
            <v>0</v>
          </cell>
        </row>
        <row r="260">
          <cell r="A260" t="str">
            <v>MSA MESLEKİ EĞİTİM VE TİCARET A.Ş.</v>
          </cell>
          <cell r="B260" t="e">
            <v>#REF!</v>
          </cell>
          <cell r="C260" t="str">
            <v>SMB</v>
          </cell>
          <cell r="D260">
            <v>44927</v>
          </cell>
          <cell r="E260">
            <v>154.94690350404889</v>
          </cell>
          <cell r="F260">
            <v>152.36655118719347</v>
          </cell>
          <cell r="G260">
            <v>219.85403197223241</v>
          </cell>
        </row>
        <row r="261">
          <cell r="A261" t="str">
            <v>BAUZADE YAPI MALZEMELERİ SANAYİ VE TİCARET LİMİTED</v>
          </cell>
          <cell r="B261" t="e">
            <v>#REF!</v>
          </cell>
          <cell r="C261" t="str">
            <v>SMB</v>
          </cell>
          <cell r="D261">
            <v>45439</v>
          </cell>
          <cell r="E261">
            <v>190.000001</v>
          </cell>
          <cell r="F261">
            <v>231.813648</v>
          </cell>
          <cell r="G261">
            <v>0</v>
          </cell>
        </row>
        <row r="262">
          <cell r="A262" t="str">
            <v>HBM GIDA SANAYİ VE DIŞ TİCARET</v>
          </cell>
          <cell r="B262" t="e">
            <v>#REF!</v>
          </cell>
          <cell r="C262" t="str">
            <v>SMB</v>
          </cell>
          <cell r="D262">
            <v>44927</v>
          </cell>
          <cell r="E262">
            <v>167.2</v>
          </cell>
          <cell r="F262">
            <v>167.2</v>
          </cell>
          <cell r="G262">
            <v>177.2</v>
          </cell>
        </row>
        <row r="263">
          <cell r="A263" t="str">
            <v>KIRIKHAN MENSUCAT SAN. VE TİC. A.Ş.</v>
          </cell>
          <cell r="B263" t="e">
            <v>#REF!</v>
          </cell>
          <cell r="C263" t="str">
            <v>SMB</v>
          </cell>
          <cell r="D263">
            <v>45373</v>
          </cell>
          <cell r="E263">
            <v>226.88017393819007</v>
          </cell>
          <cell r="F263">
            <v>0</v>
          </cell>
          <cell r="G263">
            <v>0</v>
          </cell>
        </row>
        <row r="264">
          <cell r="A264" t="str">
            <v>SAINT LAURENT TURKEY LÜKS ÜRÜNLER LİMİTED ŞİRKETİ</v>
          </cell>
          <cell r="B264" t="e">
            <v>#REF!</v>
          </cell>
          <cell r="C264" t="str">
            <v>SMB</v>
          </cell>
          <cell r="D264">
            <v>44979</v>
          </cell>
          <cell r="E264">
            <v>152.49959999999996</v>
          </cell>
          <cell r="F264">
            <v>152.49959999999996</v>
          </cell>
          <cell r="G264">
            <v>222.64951199999996</v>
          </cell>
        </row>
        <row r="265">
          <cell r="A265" t="str">
            <v>FORM MİMARLIK MÜHENDİSLİK HİZM.SAN.VE TİC.LTD.ŞTİ</v>
          </cell>
          <cell r="B265" t="e">
            <v>#REF!</v>
          </cell>
          <cell r="C265" t="str">
            <v>SMB</v>
          </cell>
          <cell r="D265">
            <v>45510</v>
          </cell>
          <cell r="E265">
            <v>218.33352000000002</v>
          </cell>
          <cell r="F265">
            <v>222.33352000000002</v>
          </cell>
          <cell r="G265">
            <v>0</v>
          </cell>
        </row>
        <row r="266">
          <cell r="A266" t="str">
            <v>MARCUS GIDA TICARET ANONIM SIRKETI</v>
          </cell>
          <cell r="B266" t="e">
            <v>#REF!</v>
          </cell>
          <cell r="C266" t="str">
            <v>SMB</v>
          </cell>
          <cell r="D266">
            <v>45534</v>
          </cell>
          <cell r="E266">
            <v>140.00043799999997</v>
          </cell>
          <cell r="F266">
            <v>222.000438</v>
          </cell>
          <cell r="G266">
            <v>0</v>
          </cell>
        </row>
        <row r="267">
          <cell r="A267" t="str">
            <v>FRT SU ARITMA SANAYİ TİCARET LİMİTED ŞİRKETİ</v>
          </cell>
          <cell r="B267" t="e">
            <v>#REF!</v>
          </cell>
          <cell r="C267" t="str">
            <v>SMB</v>
          </cell>
          <cell r="D267">
            <v>45406</v>
          </cell>
          <cell r="E267">
            <v>220.00000199999999</v>
          </cell>
          <cell r="F267">
            <v>220.00000200000002</v>
          </cell>
          <cell r="G267">
            <v>0</v>
          </cell>
        </row>
        <row r="268">
          <cell r="A268" t="str">
            <v>ZAFER TAAHHÜT İNŞ. VE TİC. A.Ş.</v>
          </cell>
          <cell r="B268" t="e">
            <v>#REF!</v>
          </cell>
          <cell r="C268" t="str">
            <v>SMB</v>
          </cell>
          <cell r="D268">
            <v>44927</v>
          </cell>
          <cell r="E268">
            <v>171.19747977283959</v>
          </cell>
          <cell r="F268">
            <v>236.13296209850327</v>
          </cell>
          <cell r="G268">
            <v>201.2265870417925</v>
          </cell>
        </row>
        <row r="269">
          <cell r="A269" t="str">
            <v>DÜĞÜNÜMÜZ VAR FOTOĞRAFÇILIK HİZ. SAN. TİC. LTD. ŞT</v>
          </cell>
          <cell r="B269" t="e">
            <v>#REF!</v>
          </cell>
          <cell r="C269" t="str">
            <v>SMB</v>
          </cell>
          <cell r="D269">
            <v>44927</v>
          </cell>
          <cell r="E269">
            <v>110</v>
          </cell>
          <cell r="F269">
            <v>157.64000000000001</v>
          </cell>
          <cell r="G269">
            <v>199.49759999999998</v>
          </cell>
        </row>
        <row r="270">
          <cell r="A270" t="str">
            <v>ARTI DEĞER İNŞAAT OTOMOTİV SANAYİ VE DIŞ TİCARET A</v>
          </cell>
          <cell r="B270" t="e">
            <v>#REF!</v>
          </cell>
          <cell r="C270" t="str">
            <v>SMB</v>
          </cell>
          <cell r="D270">
            <v>45406</v>
          </cell>
          <cell r="E270">
            <v>177.01224699999997</v>
          </cell>
          <cell r="F270">
            <v>203.01224700000003</v>
          </cell>
          <cell r="G270">
            <v>0</v>
          </cell>
        </row>
        <row r="271">
          <cell r="A271" t="str">
            <v>MFK TEKNOLOJİ VE OTOMASYON</v>
          </cell>
          <cell r="B271" t="e">
            <v>#REF!</v>
          </cell>
          <cell r="C271" t="str">
            <v>SMB</v>
          </cell>
          <cell r="D271">
            <v>45412</v>
          </cell>
          <cell r="E271">
            <v>150</v>
          </cell>
          <cell r="F271">
            <v>196.99393199999997</v>
          </cell>
          <cell r="G271">
            <v>0</v>
          </cell>
        </row>
        <row r="272">
          <cell r="A272" t="str">
            <v>ALUNET MATERIAL SOLUTIONS ALÜMINYUM</v>
          </cell>
          <cell r="B272" t="e">
            <v>#REF!</v>
          </cell>
          <cell r="C272" t="str">
            <v>SMB</v>
          </cell>
          <cell r="D272">
            <v>45348</v>
          </cell>
          <cell r="E272">
            <v>200.00540899999996</v>
          </cell>
          <cell r="F272">
            <v>200.00540899999996</v>
          </cell>
          <cell r="G272">
            <v>0</v>
          </cell>
        </row>
        <row r="273">
          <cell r="A273" t="str">
            <v>FILIDEA TEKSTIL SAN. VE TIC. A.S</v>
          </cell>
          <cell r="B273" t="e">
            <v>#REF!</v>
          </cell>
          <cell r="C273" t="str">
            <v>SMB</v>
          </cell>
          <cell r="D273">
            <v>44927</v>
          </cell>
          <cell r="E273">
            <v>200</v>
          </cell>
          <cell r="F273">
            <v>200.00299999999999</v>
          </cell>
          <cell r="G273">
            <v>200.00299999999999</v>
          </cell>
        </row>
        <row r="274">
          <cell r="A274" t="str">
            <v>UTKU ORMAN ÜRÜNLERİ</v>
          </cell>
          <cell r="B274" t="e">
            <v>#REF!</v>
          </cell>
          <cell r="C274" t="str">
            <v>SMB</v>
          </cell>
          <cell r="D274">
            <v>45579</v>
          </cell>
          <cell r="E274">
            <v>200.00021400000003</v>
          </cell>
          <cell r="F274">
            <v>200.00021400000003</v>
          </cell>
          <cell r="G274">
            <v>0</v>
          </cell>
        </row>
        <row r="275">
          <cell r="A275" t="str">
            <v>Ada Design</v>
          </cell>
          <cell r="B275" t="e">
            <v>#REF!</v>
          </cell>
          <cell r="C275" t="str">
            <v>SMB</v>
          </cell>
          <cell r="D275">
            <v>45247</v>
          </cell>
          <cell r="E275">
            <v>190.0008</v>
          </cell>
          <cell r="F275">
            <v>200.00000008333336</v>
          </cell>
          <cell r="G275">
            <v>0</v>
          </cell>
        </row>
        <row r="276">
          <cell r="A276" t="str">
            <v>COŞAR &amp; ŞAHİN HUKUK BÜROSU</v>
          </cell>
          <cell r="B276" t="e">
            <v>#REF!</v>
          </cell>
          <cell r="C276" t="str">
            <v>SMB</v>
          </cell>
          <cell r="D276">
            <v>45809</v>
          </cell>
          <cell r="E276">
            <v>220.50000100105535</v>
          </cell>
          <cell r="F276">
            <v>0</v>
          </cell>
          <cell r="G276">
            <v>0</v>
          </cell>
        </row>
        <row r="277">
          <cell r="A277" t="str">
            <v>Trada Teknoloji Anonim Şirketi</v>
          </cell>
          <cell r="B277" t="e">
            <v>#REF!</v>
          </cell>
          <cell r="C277" t="str">
            <v>SMB</v>
          </cell>
          <cell r="D277">
            <v>44927</v>
          </cell>
          <cell r="E277">
            <v>135</v>
          </cell>
          <cell r="F277">
            <v>166.76</v>
          </cell>
          <cell r="G277">
            <v>191.76</v>
          </cell>
        </row>
        <row r="278">
          <cell r="A278" t="str">
            <v>POİNT KURYE HİMZETLERİ TİCARET LİMİTED ŞİRKETİ</v>
          </cell>
          <cell r="B278" t="e">
            <v>#REF!</v>
          </cell>
          <cell r="C278" t="str">
            <v>SMB</v>
          </cell>
          <cell r="D278">
            <v>44938</v>
          </cell>
          <cell r="E278">
            <v>120</v>
          </cell>
          <cell r="F278">
            <v>177</v>
          </cell>
          <cell r="G278">
            <v>197</v>
          </cell>
        </row>
        <row r="279">
          <cell r="A279" t="str">
            <v>NATUREM TEKNIK MAKINE TIC.LTD.STI</v>
          </cell>
          <cell r="B279" t="e">
            <v>#REF!</v>
          </cell>
          <cell r="C279" t="str">
            <v>SMB</v>
          </cell>
          <cell r="D279">
            <v>45008</v>
          </cell>
          <cell r="E279">
            <v>170</v>
          </cell>
          <cell r="F279">
            <v>177.5</v>
          </cell>
          <cell r="G279">
            <v>176.19444444444443</v>
          </cell>
        </row>
        <row r="280">
          <cell r="A280" t="str">
            <v>Çerko Motor İç ve Dış Ticaret A.Ş.</v>
          </cell>
          <cell r="B280" t="e">
            <v>#REF!</v>
          </cell>
          <cell r="C280" t="str">
            <v>SMB</v>
          </cell>
          <cell r="D280">
            <v>44927</v>
          </cell>
          <cell r="E280">
            <v>120</v>
          </cell>
          <cell r="F280">
            <v>161.74</v>
          </cell>
          <cell r="G280">
            <v>190.17395400000004</v>
          </cell>
        </row>
        <row r="281">
          <cell r="A281" t="str">
            <v>MODİS YAPI MİMARLIK</v>
          </cell>
          <cell r="B281" t="e">
            <v>#REF!</v>
          </cell>
          <cell r="C281" t="str">
            <v>SMB</v>
          </cell>
          <cell r="D281">
            <v>45141</v>
          </cell>
          <cell r="E281">
            <v>179.00000199999999</v>
          </cell>
          <cell r="F281">
            <v>189.00000199999999</v>
          </cell>
          <cell r="G281">
            <v>189.00000199999999</v>
          </cell>
        </row>
        <row r="282">
          <cell r="A282" t="str">
            <v>BATI EGITIM INSAAT VE TURIZM HIZ. A.S.</v>
          </cell>
          <cell r="B282" t="e">
            <v>#REF!</v>
          </cell>
          <cell r="C282" t="str">
            <v>SMB</v>
          </cell>
          <cell r="D282">
            <v>45017</v>
          </cell>
          <cell r="E282">
            <v>123.97168186882607</v>
          </cell>
          <cell r="F282">
            <v>164.04556296714466</v>
          </cell>
          <cell r="G282">
            <v>198.90091539007261</v>
          </cell>
        </row>
        <row r="283">
          <cell r="A283" t="str">
            <v>M LORD DIŞ TİCARET A.Ş</v>
          </cell>
          <cell r="B283" t="e">
            <v>#REF!</v>
          </cell>
          <cell r="C283" t="str">
            <v>SMB</v>
          </cell>
          <cell r="D283">
            <v>45194</v>
          </cell>
          <cell r="E283">
            <v>159.999999</v>
          </cell>
          <cell r="F283">
            <v>170.00999900000002</v>
          </cell>
          <cell r="G283">
            <v>186.98093699999995</v>
          </cell>
        </row>
        <row r="284">
          <cell r="A284" t="str">
            <v>BRANDCRAFTERS REKLAM TANITIM TASARIM ORG.IÇ VE DIS</v>
          </cell>
          <cell r="B284" t="e">
            <v>#REF!</v>
          </cell>
          <cell r="C284" t="str">
            <v>SMB</v>
          </cell>
          <cell r="D284">
            <v>44927</v>
          </cell>
          <cell r="E284">
            <v>161</v>
          </cell>
          <cell r="F284">
            <v>172.875</v>
          </cell>
          <cell r="G284">
            <v>181.51666666666668</v>
          </cell>
        </row>
        <row r="285">
          <cell r="A285" t="str">
            <v>EREN GIDA MAD. TURİZM SAN. TİC. LTD. ŞTİ.</v>
          </cell>
          <cell r="B285" t="e">
            <v>#REF!</v>
          </cell>
          <cell r="C285" t="str">
            <v>SMB</v>
          </cell>
          <cell r="D285">
            <v>44927</v>
          </cell>
          <cell r="E285">
            <v>160</v>
          </cell>
          <cell r="F285">
            <v>186.13999500000003</v>
          </cell>
          <cell r="G285">
            <v>186.13999500000003</v>
          </cell>
        </row>
        <row r="286">
          <cell r="A286" t="str">
            <v>DOGAN METE MİMARLIK INSAAT</v>
          </cell>
          <cell r="B286" t="e">
            <v>#REF!</v>
          </cell>
          <cell r="C286" t="str">
            <v>SMB</v>
          </cell>
          <cell r="D286">
            <v>45639</v>
          </cell>
          <cell r="E286">
            <v>165.00530000000001</v>
          </cell>
          <cell r="F286">
            <v>0</v>
          </cell>
          <cell r="G286">
            <v>0</v>
          </cell>
        </row>
        <row r="287">
          <cell r="A287" t="str">
            <v>MODA ENERJİ</v>
          </cell>
          <cell r="B287" t="e">
            <v>#REF!</v>
          </cell>
          <cell r="C287" t="str">
            <v>SMB</v>
          </cell>
          <cell r="D287">
            <v>45657</v>
          </cell>
          <cell r="E287">
            <v>210.94495742417902</v>
          </cell>
          <cell r="F287">
            <v>0</v>
          </cell>
          <cell r="G287">
            <v>0</v>
          </cell>
        </row>
        <row r="288">
          <cell r="A288" t="str">
            <v>BOTTEGA VENETA TURKEY LUKS URUNLER TICARET LTD</v>
          </cell>
          <cell r="B288" t="e">
            <v>#REF!</v>
          </cell>
          <cell r="C288" t="str">
            <v>SMB</v>
          </cell>
          <cell r="D288">
            <v>45071</v>
          </cell>
          <cell r="E288">
            <v>140.000001</v>
          </cell>
          <cell r="F288">
            <v>151.000001</v>
          </cell>
          <cell r="G288">
            <v>184.20624499999997</v>
          </cell>
        </row>
        <row r="289">
          <cell r="A289" t="str">
            <v>TRIO SES ISIK VE GÖRÜNTÜ SISTEMLERI A.S.</v>
          </cell>
          <cell r="B289" t="e">
            <v>#REF!</v>
          </cell>
          <cell r="C289" t="str">
            <v>SMB</v>
          </cell>
          <cell r="D289">
            <v>44927</v>
          </cell>
          <cell r="E289">
            <v>175</v>
          </cell>
          <cell r="F289">
            <v>175</v>
          </cell>
          <cell r="G289">
            <v>184</v>
          </cell>
        </row>
        <row r="290">
          <cell r="A290" t="str">
            <v>NESTINVEST PROJE PAZARLAMA ANONİM ŞİRKETİ</v>
          </cell>
          <cell r="B290" t="e">
            <v>#REF!</v>
          </cell>
          <cell r="C290" t="str">
            <v>SMB</v>
          </cell>
          <cell r="D290">
            <v>44927</v>
          </cell>
          <cell r="E290">
            <v>135</v>
          </cell>
          <cell r="F290">
            <v>160.99999999999997</v>
          </cell>
          <cell r="G290">
            <v>180.99999999999997</v>
          </cell>
        </row>
        <row r="291">
          <cell r="A291" t="str">
            <v>MALKAN KANAAT KİMYEVİ BOYA İNŞAAT</v>
          </cell>
          <cell r="B291" t="e">
            <v>#REF!</v>
          </cell>
          <cell r="C291" t="str">
            <v>SMB</v>
          </cell>
          <cell r="D291">
            <v>45717</v>
          </cell>
          <cell r="E291">
            <v>180.000428</v>
          </cell>
          <cell r="F291">
            <v>0</v>
          </cell>
          <cell r="G291">
            <v>0</v>
          </cell>
        </row>
        <row r="292">
          <cell r="A292" t="str">
            <v>IMPERIUM CIKOLATA GIDA VE PAZARLAMA DIS TİCARET LS</v>
          </cell>
          <cell r="B292" t="e">
            <v>#REF!</v>
          </cell>
          <cell r="C292" t="str">
            <v>SMB</v>
          </cell>
          <cell r="D292">
            <v>45649</v>
          </cell>
          <cell r="E292">
            <v>180</v>
          </cell>
          <cell r="F292">
            <v>0</v>
          </cell>
          <cell r="G292">
            <v>0</v>
          </cell>
        </row>
        <row r="293">
          <cell r="A293" t="str">
            <v>ÇAMLIBEL KURUMSAL PAZARLAMA HİZ. GIDA HAYV. SÜT ÜR</v>
          </cell>
          <cell r="B293" t="e">
            <v>#REF!</v>
          </cell>
          <cell r="C293" t="str">
            <v>SMB</v>
          </cell>
          <cell r="D293">
            <v>44927</v>
          </cell>
          <cell r="E293">
            <v>155</v>
          </cell>
          <cell r="F293">
            <v>164</v>
          </cell>
          <cell r="G293">
            <v>164</v>
          </cell>
        </row>
        <row r="294">
          <cell r="A294" t="str">
            <v>INFOTECH BİLİŞİM VE İLETİŞİM TEKNOLOJİLERİ SAN. VE</v>
          </cell>
          <cell r="B294" t="e">
            <v>#REF!</v>
          </cell>
          <cell r="C294" t="str">
            <v>SMB</v>
          </cell>
          <cell r="D294">
            <v>45530</v>
          </cell>
          <cell r="E294">
            <v>160.95690114630372</v>
          </cell>
          <cell r="F294">
            <v>183.37365819042566</v>
          </cell>
          <cell r="G294">
            <v>0</v>
          </cell>
        </row>
        <row r="295">
          <cell r="A295" t="str">
            <v>PROTEK ENDÜSTRİYEL OTOMASYON SİSTEMLERİ MAKİNA VE</v>
          </cell>
          <cell r="B295" t="e">
            <v>#REF!</v>
          </cell>
          <cell r="C295" t="str">
            <v>SMB</v>
          </cell>
          <cell r="D295">
            <v>45359</v>
          </cell>
          <cell r="E295">
            <v>150.013824</v>
          </cell>
          <cell r="F295">
            <v>177.00539100000003</v>
          </cell>
          <cell r="G295">
            <v>0</v>
          </cell>
        </row>
        <row r="296">
          <cell r="A296" t="str">
            <v>GÜNAY MOTORLU ARAÇLAR PAZARLAMA VE TİC. LTD. ŞTİ.</v>
          </cell>
          <cell r="B296" t="e">
            <v>#REF!</v>
          </cell>
          <cell r="C296" t="str">
            <v>SMB</v>
          </cell>
          <cell r="D296">
            <v>45439</v>
          </cell>
          <cell r="E296">
            <v>175.2</v>
          </cell>
          <cell r="F296">
            <v>175.2</v>
          </cell>
          <cell r="G296">
            <v>0</v>
          </cell>
        </row>
        <row r="297">
          <cell r="A297" t="str">
            <v>AYDEMİRLER ÇELİK A.Ş.</v>
          </cell>
          <cell r="B297" t="e">
            <v>#REF!</v>
          </cell>
          <cell r="C297" t="str">
            <v>SMB</v>
          </cell>
          <cell r="D297">
            <v>45809</v>
          </cell>
          <cell r="E297">
            <v>220.50000100105535</v>
          </cell>
          <cell r="F297">
            <v>0</v>
          </cell>
          <cell r="G297">
            <v>0</v>
          </cell>
        </row>
        <row r="298">
          <cell r="A298" t="str">
            <v>ALPEGE ENDÜSTRIYEL METROLOJI SAN. VE HIZ. DIS. TIC</v>
          </cell>
          <cell r="B298" t="e">
            <v>#REF!</v>
          </cell>
          <cell r="C298" t="str">
            <v>SMB</v>
          </cell>
          <cell r="D298">
            <v>44927</v>
          </cell>
          <cell r="E298">
            <v>150</v>
          </cell>
          <cell r="F298">
            <v>150</v>
          </cell>
          <cell r="G298">
            <v>174.5</v>
          </cell>
        </row>
        <row r="299">
          <cell r="A299" t="str">
            <v>SAHLANLAR GIDA SAN.VE TICARET LTD.STI</v>
          </cell>
          <cell r="B299" t="e">
            <v>#REF!</v>
          </cell>
          <cell r="C299" t="str">
            <v>SMB</v>
          </cell>
          <cell r="D299">
            <v>44927</v>
          </cell>
          <cell r="E299">
            <v>229.5</v>
          </cell>
          <cell r="F299">
            <v>221.5</v>
          </cell>
          <cell r="G299">
            <v>229.5</v>
          </cell>
        </row>
        <row r="300">
          <cell r="A300" t="str">
            <v>ÇYDD</v>
          </cell>
          <cell r="B300" t="e">
            <v>#REF!</v>
          </cell>
          <cell r="C300" t="str">
            <v>SMB</v>
          </cell>
          <cell r="D300">
            <v>44927</v>
          </cell>
          <cell r="E300">
            <v>196.02832879312092</v>
          </cell>
          <cell r="F300">
            <v>190.94141009439528</v>
          </cell>
          <cell r="G300">
            <v>195.09548500155208</v>
          </cell>
        </row>
        <row r="301">
          <cell r="A301" t="str">
            <v>GÜNEŞ ELEKTRONİK CİHAZLAR ve TİC. LTD.ŞTİ.</v>
          </cell>
          <cell r="B301" t="e">
            <v>#REF!</v>
          </cell>
          <cell r="C301" t="str">
            <v>SMB</v>
          </cell>
          <cell r="D301">
            <v>45076</v>
          </cell>
          <cell r="E301">
            <v>150.00521699999999</v>
          </cell>
          <cell r="F301">
            <v>173.00521699999999</v>
          </cell>
          <cell r="G301">
            <v>173.00521699999999</v>
          </cell>
        </row>
        <row r="302">
          <cell r="A302" t="str">
            <v>MTN KALIP SANAYİ VE TİCARET ANONİM ŞİRKETİ</v>
          </cell>
          <cell r="B302" t="e">
            <v>#REF!</v>
          </cell>
          <cell r="C302" t="str">
            <v>SMB</v>
          </cell>
          <cell r="D302">
            <v>44927</v>
          </cell>
          <cell r="E302">
            <v>114.98802042106495</v>
          </cell>
          <cell r="F302">
            <v>101.46416579695841</v>
          </cell>
          <cell r="G302">
            <v>202.24849733329572</v>
          </cell>
        </row>
        <row r="303">
          <cell r="A303" t="str">
            <v>METROPET İTHALAT İHRACAT İNŞAAT LİMİTED ŞİRKETİ</v>
          </cell>
          <cell r="B303" t="e">
            <v>#REF!</v>
          </cell>
          <cell r="C303" t="str">
            <v>SMB</v>
          </cell>
          <cell r="D303">
            <v>44927</v>
          </cell>
          <cell r="E303">
            <v>130</v>
          </cell>
          <cell r="F303">
            <v>140.67199999999997</v>
          </cell>
          <cell r="G303">
            <v>170.67226000000002</v>
          </cell>
        </row>
        <row r="304">
          <cell r="A304" t="str">
            <v>POLİMAZ AMBALAJ SANAYİ TİC. LTD. ŞTİ.</v>
          </cell>
          <cell r="B304" t="e">
            <v>#REF!</v>
          </cell>
          <cell r="C304" t="str">
            <v>SMB</v>
          </cell>
          <cell r="D304">
            <v>44931</v>
          </cell>
          <cell r="E304">
            <v>140</v>
          </cell>
          <cell r="F304">
            <v>149</v>
          </cell>
          <cell r="G304">
            <v>154</v>
          </cell>
        </row>
        <row r="305">
          <cell r="A305" t="str">
            <v>KARTAL RULMANS</v>
          </cell>
          <cell r="B305" t="e">
            <v>#REF!</v>
          </cell>
          <cell r="C305" t="str">
            <v>SMB</v>
          </cell>
          <cell r="D305">
            <v>45629</v>
          </cell>
          <cell r="E305">
            <v>197.53380983153201</v>
          </cell>
          <cell r="F305">
            <v>0</v>
          </cell>
          <cell r="G305">
            <v>0</v>
          </cell>
        </row>
        <row r="306">
          <cell r="A306" t="str">
            <v>ATMO OTOMOTİV LİMİTED ŞİRKETİ</v>
          </cell>
          <cell r="B306" t="e">
            <v>#REF!</v>
          </cell>
          <cell r="C306" t="str">
            <v>SMB</v>
          </cell>
          <cell r="D306">
            <v>45260</v>
          </cell>
          <cell r="E306">
            <v>450.76666666666665</v>
          </cell>
          <cell r="F306">
            <v>188.16666666666666</v>
          </cell>
          <cell r="G306">
            <v>0</v>
          </cell>
        </row>
        <row r="307">
          <cell r="A307" t="str">
            <v>MULLEN LOWE ISTANBUL REKLAMCILIK A.S</v>
          </cell>
          <cell r="B307" t="e">
            <v>#REF!</v>
          </cell>
          <cell r="C307" t="str">
            <v>SMB</v>
          </cell>
          <cell r="D307">
            <v>44927</v>
          </cell>
          <cell r="E307">
            <v>134</v>
          </cell>
          <cell r="F307">
            <v>134</v>
          </cell>
          <cell r="G307">
            <v>163.48000000000002</v>
          </cell>
        </row>
        <row r="308">
          <cell r="A308" t="str">
            <v>ARKON CELİK SANAYI ve TICARET LTD. ŞTI.</v>
          </cell>
          <cell r="B308" t="e">
            <v>#REF!</v>
          </cell>
          <cell r="C308" t="str">
            <v>SMB</v>
          </cell>
          <cell r="D308">
            <v>45098</v>
          </cell>
          <cell r="E308">
            <v>160.012461</v>
          </cell>
          <cell r="F308">
            <v>160.012461</v>
          </cell>
          <cell r="G308">
            <v>160.00536699999998</v>
          </cell>
        </row>
        <row r="309">
          <cell r="A309" t="str">
            <v>TITAN HAVACILIK ANONIM SIRKETI</v>
          </cell>
          <cell r="B309" t="e">
            <v>#REF!</v>
          </cell>
          <cell r="C309" t="str">
            <v>SMB</v>
          </cell>
          <cell r="D309">
            <v>44927</v>
          </cell>
          <cell r="E309">
            <v>311.62</v>
          </cell>
          <cell r="F309">
            <v>311.62</v>
          </cell>
          <cell r="G309">
            <v>354.12</v>
          </cell>
        </row>
        <row r="310">
          <cell r="A310" t="str">
            <v>KEY DİGİTAL PLATFORM TEKNOLOJİLERİ ANONİM ŞİRKETİ</v>
          </cell>
          <cell r="B310" t="e">
            <v>#REF!</v>
          </cell>
          <cell r="C310" t="str">
            <v>SMB</v>
          </cell>
          <cell r="D310">
            <v>45257</v>
          </cell>
          <cell r="E310">
            <v>200.18181826515152</v>
          </cell>
          <cell r="F310">
            <v>154.16666675000002</v>
          </cell>
          <cell r="G310">
            <v>0</v>
          </cell>
        </row>
        <row r="311">
          <cell r="A311" t="str">
            <v>ÜLGEN DENİZCİLİK VE LOJİSTİK SANAYİ TİCARET ANONİM</v>
          </cell>
          <cell r="B311" t="e">
            <v>#REF!</v>
          </cell>
          <cell r="C311" t="str">
            <v>SMB</v>
          </cell>
          <cell r="D311">
            <v>45435</v>
          </cell>
          <cell r="E311">
            <v>172.00000016666667</v>
          </cell>
          <cell r="F311">
            <v>173.25000016666667</v>
          </cell>
          <cell r="G311">
            <v>0</v>
          </cell>
        </row>
        <row r="312">
          <cell r="A312" t="str">
            <v>BS GÜMRÜK</v>
          </cell>
          <cell r="B312" t="e">
            <v>#REF!</v>
          </cell>
          <cell r="C312" t="str">
            <v>SMB</v>
          </cell>
          <cell r="D312">
            <v>45551</v>
          </cell>
          <cell r="E312">
            <v>220.50000100105535</v>
          </cell>
          <cell r="F312">
            <v>150</v>
          </cell>
          <cell r="G312">
            <v>0</v>
          </cell>
        </row>
        <row r="313">
          <cell r="A313" t="str">
            <v>CVS ÇAVUSOGLU AYAKKABI PAZARI TİC.A.Ş.</v>
          </cell>
          <cell r="B313" t="e">
            <v>#REF!</v>
          </cell>
          <cell r="C313" t="str">
            <v>SMB</v>
          </cell>
          <cell r="D313">
            <v>45075</v>
          </cell>
          <cell r="E313">
            <v>135.000001</v>
          </cell>
          <cell r="F313">
            <v>154.000001</v>
          </cell>
          <cell r="G313">
            <v>149.99641199999996</v>
          </cell>
        </row>
        <row r="314">
          <cell r="A314" t="str">
            <v>EDU ÇEVİRİ HİZMETLERİ LİMİTED ŞİRKETİ (BARLAS)</v>
          </cell>
          <cell r="B314" t="e">
            <v>#REF!</v>
          </cell>
          <cell r="C314" t="str">
            <v>SMB</v>
          </cell>
          <cell r="D314">
            <v>44927</v>
          </cell>
          <cell r="E314">
            <v>168.29888221510899</v>
          </cell>
          <cell r="F314">
            <v>158.33245417776726</v>
          </cell>
          <cell r="G314">
            <v>145.28405809370619</v>
          </cell>
        </row>
        <row r="315">
          <cell r="A315" t="str">
            <v>HD ÇELİK MÜHENDİSLİK METAL İNŞAAT MÜTEAHHİTLİK SAN</v>
          </cell>
          <cell r="B315" t="e">
            <v>#REF!</v>
          </cell>
          <cell r="C315" t="str">
            <v>SMB</v>
          </cell>
          <cell r="D315">
            <v>45264</v>
          </cell>
          <cell r="E315">
            <v>175.20000000000002</v>
          </cell>
          <cell r="F315">
            <v>146</v>
          </cell>
          <cell r="G315">
            <v>0</v>
          </cell>
        </row>
        <row r="316">
          <cell r="A316" t="str">
            <v>VAKIFBANK SPOR KULUBÜ DERNEĞİ</v>
          </cell>
          <cell r="B316" t="e">
            <v>#REF!</v>
          </cell>
          <cell r="C316" t="str">
            <v>SMB</v>
          </cell>
          <cell r="D316">
            <v>44927</v>
          </cell>
          <cell r="E316">
            <v>100.83333333333333</v>
          </cell>
          <cell r="F316">
            <v>140.04666666666668</v>
          </cell>
          <cell r="G316">
            <v>144.04666666666668</v>
          </cell>
        </row>
        <row r="317">
          <cell r="A317" t="str">
            <v>SOLVOCODE YAZILIM ANONİM ŞİRKETİ</v>
          </cell>
          <cell r="B317" t="e">
            <v>#REF!</v>
          </cell>
          <cell r="C317" t="str">
            <v>SMB</v>
          </cell>
          <cell r="D317">
            <v>45222</v>
          </cell>
          <cell r="E317">
            <v>140.00181500000002</v>
          </cell>
          <cell r="F317">
            <v>140.00181500000002</v>
          </cell>
          <cell r="G317">
            <v>140.00181500000002</v>
          </cell>
        </row>
        <row r="318">
          <cell r="A318" t="str">
            <v>ÖZSEÇKİN PLASTİK SANAYİ VE TİCARET LİMİTED ŞİRKETİ</v>
          </cell>
          <cell r="B318" t="e">
            <v>#REF!</v>
          </cell>
          <cell r="C318" t="str">
            <v>SMB</v>
          </cell>
          <cell r="D318">
            <v>45386</v>
          </cell>
          <cell r="E318">
            <v>140.000001</v>
          </cell>
          <cell r="F318">
            <v>140.000001</v>
          </cell>
          <cell r="G318">
            <v>0</v>
          </cell>
        </row>
        <row r="319">
          <cell r="A319" t="str">
            <v>İZMİR EKRAN (MUD BİLİŞİM)</v>
          </cell>
          <cell r="B319" t="e">
            <v>#REF!</v>
          </cell>
          <cell r="C319" t="str">
            <v>SMB</v>
          </cell>
          <cell r="D319">
            <v>45624</v>
          </cell>
          <cell r="E319">
            <v>125</v>
          </cell>
          <cell r="F319">
            <v>0</v>
          </cell>
          <cell r="G319">
            <v>0</v>
          </cell>
        </row>
        <row r="320">
          <cell r="A320" t="str">
            <v>PAMTEK METAL END. ÜRUNLER SAN. VE TIC.LTD.STI.</v>
          </cell>
          <cell r="B320" t="e">
            <v>#REF!</v>
          </cell>
          <cell r="C320" t="str">
            <v>SMB</v>
          </cell>
          <cell r="D320">
            <v>45075</v>
          </cell>
          <cell r="E320">
            <v>128</v>
          </cell>
          <cell r="F320">
            <v>138</v>
          </cell>
          <cell r="G320">
            <v>138</v>
          </cell>
        </row>
        <row r="321">
          <cell r="A321" t="str">
            <v>NOVA GÜÇ AKTARIM VE HAREKET SİS SAN TİC A.Ş</v>
          </cell>
          <cell r="B321" t="e">
            <v>#REF!</v>
          </cell>
          <cell r="C321" t="str">
            <v>SMB</v>
          </cell>
          <cell r="D321">
            <v>45596</v>
          </cell>
          <cell r="E321">
            <v>137.99957366666666</v>
          </cell>
          <cell r="F321">
            <v>137.99957366666666</v>
          </cell>
          <cell r="G321">
            <v>0</v>
          </cell>
        </row>
        <row r="322">
          <cell r="A322" t="str">
            <v>BUFALA SÜT ÜRÜNLERİ SANAYİ VE TİCARET A.Ş</v>
          </cell>
          <cell r="B322" t="e">
            <v>#REF!</v>
          </cell>
          <cell r="C322" t="str">
            <v>SMB</v>
          </cell>
          <cell r="D322">
            <v>45285</v>
          </cell>
          <cell r="E322">
            <v>131.41666658333332</v>
          </cell>
          <cell r="F322">
            <v>137.77936266666666</v>
          </cell>
          <cell r="G322">
            <v>0</v>
          </cell>
        </row>
        <row r="323">
          <cell r="A323" t="str">
            <v>PERNET - İNSAN KAYNAKLARI YÖN.SİST.VE TİC.A.Ş</v>
          </cell>
          <cell r="B323" t="e">
            <v>#REF!</v>
          </cell>
          <cell r="C323" t="str">
            <v>SMB</v>
          </cell>
          <cell r="D323">
            <v>44927</v>
          </cell>
          <cell r="E323">
            <v>85.295575825101423</v>
          </cell>
          <cell r="F323">
            <v>117.92904851138177</v>
          </cell>
          <cell r="G323">
            <v>156.68452693512432</v>
          </cell>
        </row>
        <row r="324">
          <cell r="A324" t="str">
            <v>KILIÇKAYA LPG GIDA NAK. TURIZM INS.TIC. LTD. ŞTI.</v>
          </cell>
          <cell r="B324" t="e">
            <v>#REF!</v>
          </cell>
          <cell r="C324" t="str">
            <v>SMB</v>
          </cell>
          <cell r="D324">
            <v>44927</v>
          </cell>
          <cell r="E324">
            <v>90</v>
          </cell>
          <cell r="F324">
            <v>106.49999</v>
          </cell>
          <cell r="G324">
            <v>116.49999</v>
          </cell>
        </row>
        <row r="325">
          <cell r="A325" t="str">
            <v>RAHMET GIDA NAKLİYE İNŞAAT TİC.SAN.LTD.ŞTİ</v>
          </cell>
          <cell r="B325" t="e">
            <v>#REF!</v>
          </cell>
          <cell r="C325" t="str">
            <v>SMB</v>
          </cell>
          <cell r="D325">
            <v>45706</v>
          </cell>
          <cell r="E325">
            <v>129.99999900000003</v>
          </cell>
          <cell r="F325">
            <v>0</v>
          </cell>
          <cell r="G325">
            <v>0</v>
          </cell>
        </row>
        <row r="326">
          <cell r="A326" t="str">
            <v>VONTECH ELEKTRONİK VE TİC.LTD.ŞTİ</v>
          </cell>
          <cell r="B326" t="e">
            <v>#REF!</v>
          </cell>
          <cell r="C326" t="str">
            <v>SMB</v>
          </cell>
          <cell r="D326">
            <v>45688</v>
          </cell>
          <cell r="E326">
            <v>119.20000008333335</v>
          </cell>
          <cell r="F326">
            <v>0</v>
          </cell>
          <cell r="G326">
            <v>0</v>
          </cell>
        </row>
        <row r="327">
          <cell r="A327" t="str">
            <v>PMA BİLİŞİM A.Ş.</v>
          </cell>
          <cell r="B327" t="e">
            <v>#REF!</v>
          </cell>
          <cell r="C327" t="str">
            <v>SMB</v>
          </cell>
          <cell r="D327">
            <v>44927</v>
          </cell>
          <cell r="E327">
            <v>120</v>
          </cell>
          <cell r="F327">
            <v>146.74</v>
          </cell>
          <cell r="G327">
            <v>227.74</v>
          </cell>
        </row>
        <row r="328">
          <cell r="A328" t="str">
            <v>Ömür Akkor Anadolu  Gastronomi Vakfı</v>
          </cell>
          <cell r="B328" t="e">
            <v>#REF!</v>
          </cell>
          <cell r="C328" t="str">
            <v>SMB</v>
          </cell>
          <cell r="D328">
            <v>45627</v>
          </cell>
          <cell r="E328">
            <v>125</v>
          </cell>
          <cell r="F328">
            <v>0</v>
          </cell>
          <cell r="G328">
            <v>0</v>
          </cell>
        </row>
        <row r="329">
          <cell r="A329" t="str">
            <v>ÖNDERLER İŞ MAKİNALARI</v>
          </cell>
          <cell r="B329" t="e">
            <v>#REF!</v>
          </cell>
          <cell r="C329" t="str">
            <v>SMB</v>
          </cell>
          <cell r="D329">
            <v>45870</v>
          </cell>
          <cell r="E329">
            <v>124.99833083333333</v>
          </cell>
          <cell r="F329">
            <v>0</v>
          </cell>
          <cell r="G329">
            <v>0</v>
          </cell>
        </row>
        <row r="330">
          <cell r="A330" t="str">
            <v>DEĞER ELEKTRİK - DEĞER İTHALAT İHRACAT ELEKTRİK MA</v>
          </cell>
          <cell r="B330" t="e">
            <v>#REF!</v>
          </cell>
          <cell r="C330" t="str">
            <v>SMB</v>
          </cell>
          <cell r="D330">
            <v>45323</v>
          </cell>
          <cell r="E330">
            <v>121.83333008333334</v>
          </cell>
          <cell r="F330">
            <v>124.82970833333334</v>
          </cell>
          <cell r="G330">
            <v>0</v>
          </cell>
        </row>
        <row r="331">
          <cell r="A331" t="str">
            <v>SETA SİSTEM ÇÖZÜMLERİ MÜH. LTD. ŞTİ.</v>
          </cell>
          <cell r="B331" t="e">
            <v>#REF!</v>
          </cell>
          <cell r="C331" t="str">
            <v>SMB</v>
          </cell>
          <cell r="D331">
            <v>44927</v>
          </cell>
          <cell r="E331">
            <v>73.5</v>
          </cell>
          <cell r="F331">
            <v>73.5</v>
          </cell>
          <cell r="G331">
            <v>117.5</v>
          </cell>
        </row>
        <row r="332">
          <cell r="A332" t="str">
            <v>Mehmet Doğru Ticaret Ltd.</v>
          </cell>
          <cell r="B332" t="e">
            <v>#REF!</v>
          </cell>
          <cell r="C332" t="str">
            <v>SMB</v>
          </cell>
          <cell r="D332">
            <v>45352</v>
          </cell>
          <cell r="E332">
            <v>86.000882333333337</v>
          </cell>
          <cell r="F332">
            <v>103.2007965</v>
          </cell>
          <cell r="G332">
            <v>0</v>
          </cell>
        </row>
        <row r="333">
          <cell r="A333" t="str">
            <v>SAYKOM BİLGİSAYAR TİC. VE SAN. LTD. ŞTİ.</v>
          </cell>
          <cell r="B333" t="e">
            <v>#REF!</v>
          </cell>
          <cell r="C333" t="str">
            <v>SMB</v>
          </cell>
          <cell r="D333">
            <v>45699</v>
          </cell>
          <cell r="E333">
            <v>113.00000000000003</v>
          </cell>
          <cell r="F333">
            <v>0</v>
          </cell>
          <cell r="G333">
            <v>0</v>
          </cell>
        </row>
        <row r="334">
          <cell r="A334" t="str">
            <v>MADEŞ METAL SAN. TİC. LTD. ŞTİ.</v>
          </cell>
          <cell r="B334" t="e">
            <v>#REF!</v>
          </cell>
          <cell r="C334" t="str">
            <v>SMB</v>
          </cell>
          <cell r="D334">
            <v>45870</v>
          </cell>
          <cell r="E334">
            <v>120.00000366666666</v>
          </cell>
          <cell r="F334">
            <v>0</v>
          </cell>
          <cell r="G334">
            <v>0</v>
          </cell>
        </row>
        <row r="335">
          <cell r="A335" t="str">
            <v>SİNYAL ELEKTRONİK VE KOZMETİK ÜRÜNLER SAN. VE  P</v>
          </cell>
          <cell r="B335" t="e">
            <v>#REF!</v>
          </cell>
          <cell r="C335" t="str">
            <v>SMB</v>
          </cell>
          <cell r="D335">
            <v>45214</v>
          </cell>
          <cell r="E335">
            <v>475.00917900000002</v>
          </cell>
          <cell r="F335">
            <v>286.47349922594509</v>
          </cell>
          <cell r="G335">
            <v>119.99999799999999</v>
          </cell>
        </row>
        <row r="336">
          <cell r="A336" t="str">
            <v>SENAMED</v>
          </cell>
          <cell r="B336" t="e">
            <v>#REF!</v>
          </cell>
          <cell r="C336" t="str">
            <v>SMB</v>
          </cell>
          <cell r="D336">
            <v>45442</v>
          </cell>
          <cell r="E336">
            <v>119.20083333333334</v>
          </cell>
          <cell r="F336">
            <v>119.20000533333334</v>
          </cell>
          <cell r="G336">
            <v>0</v>
          </cell>
        </row>
        <row r="337">
          <cell r="A337" t="str">
            <v>TRAKPAR YEDEK PARÇA SAN.DIŞ.TİC.LTD.ŞTİ.</v>
          </cell>
          <cell r="B337" t="e">
            <v>#REF!</v>
          </cell>
          <cell r="C337" t="str">
            <v>SMB</v>
          </cell>
          <cell r="D337">
            <v>45590</v>
          </cell>
          <cell r="E337">
            <v>99.333333333333329</v>
          </cell>
          <cell r="F337">
            <v>119.2</v>
          </cell>
          <cell r="G337">
            <v>0</v>
          </cell>
        </row>
        <row r="338">
          <cell r="A338" t="str">
            <v>ÇAĞBERK LOJİSTİK PAZARLAMA İÇ VE DIŞ TİCARET A.Ş</v>
          </cell>
          <cell r="B338" t="e">
            <v>#REF!</v>
          </cell>
          <cell r="C338" t="str">
            <v>SMB</v>
          </cell>
          <cell r="D338">
            <v>45442</v>
          </cell>
          <cell r="E338">
            <v>119.2</v>
          </cell>
          <cell r="F338">
            <v>119.2</v>
          </cell>
          <cell r="G338">
            <v>0</v>
          </cell>
        </row>
        <row r="339">
          <cell r="A339" t="str">
            <v>KANGURU GIDA SAN TURİZM DANIŞ. VE TİC.LTD.ŞTİ</v>
          </cell>
          <cell r="B339" t="e">
            <v>#REF!</v>
          </cell>
          <cell r="C339" t="str">
            <v>SMB</v>
          </cell>
          <cell r="D339">
            <v>45524</v>
          </cell>
          <cell r="E339">
            <v>119.2</v>
          </cell>
          <cell r="F339">
            <v>119.2</v>
          </cell>
          <cell r="G339">
            <v>0</v>
          </cell>
        </row>
        <row r="340">
          <cell r="A340" t="str">
            <v>SHERPA YAZILIM EĞİTİM VE FİNANSAL DAN.TİC.LTD.ŞTİ.</v>
          </cell>
          <cell r="B340" t="e">
            <v>#REF!</v>
          </cell>
          <cell r="C340" t="str">
            <v>SMB</v>
          </cell>
          <cell r="D340">
            <v>44986</v>
          </cell>
          <cell r="E340">
            <v>96.01</v>
          </cell>
          <cell r="F340">
            <v>107.99999999999999</v>
          </cell>
          <cell r="G340">
            <v>112.4</v>
          </cell>
        </row>
        <row r="341">
          <cell r="A341" t="str">
            <v>TOPCU DENTAL MEDİKAL SAN.TİC.LTD.ŞTİ</v>
          </cell>
          <cell r="B341" t="e">
            <v>#REF!</v>
          </cell>
          <cell r="C341" t="str">
            <v>SMB</v>
          </cell>
          <cell r="D341">
            <v>45573</v>
          </cell>
          <cell r="E341">
            <v>86.998993999999982</v>
          </cell>
          <cell r="F341">
            <v>111.83333333333333</v>
          </cell>
          <cell r="G341">
            <v>0</v>
          </cell>
        </row>
        <row r="342">
          <cell r="A342" t="str">
            <v>REISSWOLF DÖKÜMAN YÖNETIMI HIZMETLERI A.S.</v>
          </cell>
          <cell r="B342" t="e">
            <v>#REF!</v>
          </cell>
          <cell r="C342" t="str">
            <v>SMB</v>
          </cell>
          <cell r="D342">
            <v>44927</v>
          </cell>
          <cell r="E342">
            <v>1119.6261267444763</v>
          </cell>
          <cell r="F342">
            <v>1115.65711820919</v>
          </cell>
          <cell r="G342">
            <v>1077.3813669328667</v>
          </cell>
        </row>
        <row r="343">
          <cell r="A343" t="str">
            <v>YAFES TEKNOLOJİ TİCARET LİMİTED ŞİRKETİ</v>
          </cell>
          <cell r="B343" t="e">
            <v>#REF!</v>
          </cell>
          <cell r="C343" t="str">
            <v>SMB</v>
          </cell>
          <cell r="D343">
            <v>45291</v>
          </cell>
          <cell r="E343">
            <v>110.00133041666665</v>
          </cell>
          <cell r="F343">
            <v>110.00133041666665</v>
          </cell>
          <cell r="G343">
            <v>0</v>
          </cell>
        </row>
        <row r="344">
          <cell r="A344" t="str">
            <v>SEMPOLY YAPI</v>
          </cell>
          <cell r="B344" t="e">
            <v>#REF!</v>
          </cell>
          <cell r="C344" t="str">
            <v>SMB</v>
          </cell>
          <cell r="D344">
            <v>45883</v>
          </cell>
          <cell r="E344">
            <v>110.00074016666667</v>
          </cell>
          <cell r="F344">
            <v>0</v>
          </cell>
          <cell r="G344">
            <v>0</v>
          </cell>
        </row>
        <row r="345">
          <cell r="A345" t="str">
            <v>DÖRTSAN GRUP HİDROLİK OTOMOTİV SAN. VE DIŞ TİC. LT</v>
          </cell>
          <cell r="B345" t="e">
            <v>#REF!</v>
          </cell>
          <cell r="C345" t="str">
            <v>SMB</v>
          </cell>
          <cell r="D345">
            <v>45657</v>
          </cell>
          <cell r="E345">
            <v>86.000833333333333</v>
          </cell>
          <cell r="F345">
            <v>0</v>
          </cell>
          <cell r="G345">
            <v>0</v>
          </cell>
        </row>
        <row r="346">
          <cell r="A346" t="str">
            <v>LEPO TEKNİK MÜHENDİSLİK MAKİNA MADEN SANAYİ VE TİC</v>
          </cell>
          <cell r="B346" t="e">
            <v>#REF!</v>
          </cell>
          <cell r="C346" t="str">
            <v>SMB</v>
          </cell>
          <cell r="D346">
            <v>45809</v>
          </cell>
          <cell r="E346">
            <v>220.50000100105535</v>
          </cell>
          <cell r="F346">
            <v>0</v>
          </cell>
          <cell r="G346">
            <v>0</v>
          </cell>
        </row>
        <row r="347">
          <cell r="A347" t="str">
            <v>KARACAYOL İNŞAAT MADENCİLİK TUR MAK SAN TİC LTD ŞT</v>
          </cell>
          <cell r="B347" t="e">
            <v>#REF!</v>
          </cell>
          <cell r="C347" t="str">
            <v>SMB</v>
          </cell>
          <cell r="D347">
            <v>45803</v>
          </cell>
          <cell r="E347">
            <v>220.50000100105535</v>
          </cell>
          <cell r="F347">
            <v>0</v>
          </cell>
          <cell r="G347">
            <v>0</v>
          </cell>
        </row>
        <row r="348">
          <cell r="A348" t="str">
            <v>SERET ET VE GIDA SAN. TİC. LTD. ŞTİ.</v>
          </cell>
          <cell r="B348" t="e">
            <v>#REF!</v>
          </cell>
          <cell r="C348" t="str">
            <v>SMB</v>
          </cell>
          <cell r="D348">
            <v>45636</v>
          </cell>
          <cell r="E348">
            <v>107.49944383333334</v>
          </cell>
          <cell r="F348">
            <v>0</v>
          </cell>
          <cell r="G348">
            <v>0</v>
          </cell>
        </row>
        <row r="349">
          <cell r="A349" t="str">
            <v>İWİS TAHRİK SİSTEMLERİ SAN.TİC.LTD.ŞTİ</v>
          </cell>
          <cell r="B349" t="e">
            <v>#REF!</v>
          </cell>
          <cell r="C349" t="str">
            <v>SMB</v>
          </cell>
          <cell r="D349">
            <v>45443</v>
          </cell>
          <cell r="E349">
            <v>103.19999999999999</v>
          </cell>
          <cell r="F349">
            <v>106.19999999999999</v>
          </cell>
          <cell r="G349">
            <v>0</v>
          </cell>
        </row>
        <row r="350">
          <cell r="A350" t="str">
            <v>ERGÜ AYDINLATMA ELEKTRIK HIRDAVAT INSAAT TAAHHÜT</v>
          </cell>
          <cell r="B350" t="e">
            <v>#REF!</v>
          </cell>
          <cell r="C350" t="str">
            <v>SMB</v>
          </cell>
          <cell r="D350">
            <v>45714</v>
          </cell>
          <cell r="E350">
            <v>103.185051</v>
          </cell>
          <cell r="F350">
            <v>0</v>
          </cell>
          <cell r="G350">
            <v>0</v>
          </cell>
        </row>
        <row r="351">
          <cell r="A351" t="str">
            <v>ALACA YAZILIM VE TEKNOLOJİ SAN.TİC.LTD.ŞTİ.</v>
          </cell>
          <cell r="B351" t="e">
            <v>#REF!</v>
          </cell>
          <cell r="C351" t="str">
            <v>SMB</v>
          </cell>
          <cell r="D351">
            <v>44987</v>
          </cell>
          <cell r="E351">
            <v>106</v>
          </cell>
          <cell r="F351">
            <v>105.99999999999999</v>
          </cell>
          <cell r="G351">
            <v>105.99999999999999</v>
          </cell>
        </row>
        <row r="352">
          <cell r="A352" t="str">
            <v>HALBACH TEKNOLOJİK BASKILAR SAN VE TİC LTD ŞTİ</v>
          </cell>
          <cell r="B352" t="e">
            <v>#REF!</v>
          </cell>
          <cell r="C352" t="str">
            <v>SMB</v>
          </cell>
          <cell r="D352">
            <v>45734</v>
          </cell>
          <cell r="E352">
            <v>105.00742299999999</v>
          </cell>
          <cell r="F352">
            <v>0</v>
          </cell>
          <cell r="G352">
            <v>0</v>
          </cell>
        </row>
        <row r="353">
          <cell r="A353" t="str">
            <v>MELTEM TURİZM NAKLİYAT OTO ALIM SATIM VE YEDEK PAR</v>
          </cell>
          <cell r="B353" t="e">
            <v>#REF!</v>
          </cell>
          <cell r="C353" t="str">
            <v>SMB</v>
          </cell>
          <cell r="D353">
            <v>45870</v>
          </cell>
          <cell r="E353">
            <v>104.99957408333333</v>
          </cell>
          <cell r="F353">
            <v>0</v>
          </cell>
          <cell r="G353">
            <v>0</v>
          </cell>
        </row>
        <row r="354">
          <cell r="A354" t="str">
            <v>BİRZE MÜHENDİSLİK HİZMETLERİ SAN. TİC. LTD. ŞTİ.</v>
          </cell>
          <cell r="B354" t="e">
            <v>#REF!</v>
          </cell>
          <cell r="C354" t="str">
            <v>SMB</v>
          </cell>
          <cell r="D354">
            <v>45890</v>
          </cell>
          <cell r="E354">
            <v>104.99916675</v>
          </cell>
          <cell r="F354">
            <v>0</v>
          </cell>
          <cell r="G354">
            <v>0</v>
          </cell>
        </row>
        <row r="355">
          <cell r="A355" t="str">
            <v>NEU OTOMOTİV DÖVME ÇELİK SANAYİ VE TİCARET ANONİM</v>
          </cell>
          <cell r="B355" t="e">
            <v>#REF!</v>
          </cell>
          <cell r="C355" t="str">
            <v>SMB</v>
          </cell>
          <cell r="D355">
            <v>45847</v>
          </cell>
          <cell r="E355">
            <v>104.99916466666666</v>
          </cell>
          <cell r="F355">
            <v>0</v>
          </cell>
          <cell r="G355">
            <v>0</v>
          </cell>
        </row>
        <row r="356">
          <cell r="A356" t="str">
            <v>HANMEY TARIM ÜRÜNLERİ SANAYİ VE TİC.LTD.ŞTİ</v>
          </cell>
          <cell r="B356" t="e">
            <v>#REF!</v>
          </cell>
          <cell r="C356" t="str">
            <v>SMB</v>
          </cell>
          <cell r="D356">
            <v>45425</v>
          </cell>
          <cell r="E356">
            <v>86.000882333333337</v>
          </cell>
          <cell r="F356">
            <v>103.20079458333333</v>
          </cell>
          <cell r="G356">
            <v>0</v>
          </cell>
        </row>
        <row r="357">
          <cell r="A357" t="str">
            <v>MİSBAHÇE GIDA VE TARIM ÜRÜNLERİ SAN.VE TİC.LTD.ŞTİ</v>
          </cell>
          <cell r="B357" t="e">
            <v>#REF!</v>
          </cell>
          <cell r="C357" t="str">
            <v>SMB</v>
          </cell>
          <cell r="D357">
            <v>45365</v>
          </cell>
          <cell r="E357">
            <v>86.000002000000009</v>
          </cell>
          <cell r="F357">
            <v>103.19973758333333</v>
          </cell>
          <cell r="G357">
            <v>0</v>
          </cell>
        </row>
        <row r="358">
          <cell r="A358" t="str">
            <v>EGEPAK AMBALAJ GIDA PAKETLEME SAN.VE TİC.LTD.ŞTİ</v>
          </cell>
          <cell r="B358" t="e">
            <v>#REF!</v>
          </cell>
          <cell r="C358" t="str">
            <v>SMB</v>
          </cell>
          <cell r="D358">
            <v>45483</v>
          </cell>
          <cell r="E358">
            <v>103.19938716666665</v>
          </cell>
          <cell r="F358">
            <v>103.19938716666665</v>
          </cell>
          <cell r="G358">
            <v>0</v>
          </cell>
        </row>
        <row r="359">
          <cell r="A359" t="str">
            <v>KARO PORSELEN SERAMİK PAZARLAMA TİC.A.Ş</v>
          </cell>
          <cell r="B359" t="e">
            <v>#REF!</v>
          </cell>
          <cell r="C359" t="str">
            <v>SMB</v>
          </cell>
          <cell r="D359">
            <v>45478</v>
          </cell>
          <cell r="E359">
            <v>103.19916674999999</v>
          </cell>
          <cell r="F359">
            <v>0</v>
          </cell>
          <cell r="G359">
            <v>0</v>
          </cell>
        </row>
        <row r="360">
          <cell r="A360" t="str">
            <v>BAYEDİ A.Ş</v>
          </cell>
          <cell r="B360" t="e">
            <v>#REF!</v>
          </cell>
          <cell r="C360" t="str">
            <v>SMB</v>
          </cell>
          <cell r="D360">
            <v>45474</v>
          </cell>
          <cell r="E360">
            <v>103.19903958333333</v>
          </cell>
          <cell r="F360">
            <v>0</v>
          </cell>
          <cell r="G360">
            <v>0</v>
          </cell>
        </row>
        <row r="361">
          <cell r="A361" t="str">
            <v>ESENTEKS TEKSTİL SAN. VE TİC. LTD. ŞTİ.</v>
          </cell>
          <cell r="B361" t="e">
            <v>#REF!</v>
          </cell>
          <cell r="C361" t="str">
            <v>SMB</v>
          </cell>
          <cell r="D361">
            <v>45489</v>
          </cell>
          <cell r="E361">
            <v>103.19855383333332</v>
          </cell>
          <cell r="F361">
            <v>103.19855383333332</v>
          </cell>
          <cell r="G361">
            <v>0</v>
          </cell>
        </row>
        <row r="362">
          <cell r="A362" t="str">
            <v>24 KARGO VE TAŞIMACILIK TİCARET A.Ş.</v>
          </cell>
          <cell r="B362" t="e">
            <v>#REF!</v>
          </cell>
          <cell r="C362" t="str">
            <v>SMB</v>
          </cell>
          <cell r="D362">
            <v>45400</v>
          </cell>
          <cell r="E362">
            <v>103.2</v>
          </cell>
          <cell r="F362">
            <v>103.1978709166667</v>
          </cell>
          <cell r="G362">
            <v>0</v>
          </cell>
        </row>
        <row r="363">
          <cell r="A363" t="str">
            <v>JANUS BARKOD TEKNOLOJİLERİ VE TURİZM SAN.TİC.LTD.Ş</v>
          </cell>
          <cell r="B363" t="e">
            <v>#REF!</v>
          </cell>
          <cell r="C363" t="str">
            <v>SMB</v>
          </cell>
          <cell r="D363">
            <v>45688</v>
          </cell>
          <cell r="E363">
            <v>115.20000008333334</v>
          </cell>
          <cell r="F363">
            <v>0</v>
          </cell>
          <cell r="G363">
            <v>0</v>
          </cell>
        </row>
        <row r="364">
          <cell r="A364" t="str">
            <v>İGGNİTA MAKİNA SAN. VE TİC. A. Ş.</v>
          </cell>
          <cell r="B364" t="e">
            <v>#REF!</v>
          </cell>
          <cell r="C364" t="str">
            <v>SMB</v>
          </cell>
          <cell r="D364">
            <v>45707</v>
          </cell>
          <cell r="E364">
            <v>103</v>
          </cell>
          <cell r="F364">
            <v>0</v>
          </cell>
          <cell r="G364">
            <v>0</v>
          </cell>
        </row>
        <row r="365">
          <cell r="A365" t="str">
            <v>BERSAY İLETİŞİM DANIŞMANLIĞI TİC.A.Ş</v>
          </cell>
          <cell r="B365" t="e">
            <v>#REF!</v>
          </cell>
          <cell r="C365" t="str">
            <v>SMB</v>
          </cell>
          <cell r="D365">
            <v>45412</v>
          </cell>
          <cell r="E365">
            <v>86.000461416666667</v>
          </cell>
          <cell r="F365">
            <v>102.99941425</v>
          </cell>
          <cell r="G365">
            <v>0</v>
          </cell>
        </row>
        <row r="366">
          <cell r="A366" t="str">
            <v>WEDİACORP TEKNOLOJİ MEDYA İLETİŞİM TURİZM SANAYİ V</v>
          </cell>
          <cell r="B366" t="e">
            <v>#REF!</v>
          </cell>
          <cell r="C366" t="str">
            <v>SMB</v>
          </cell>
          <cell r="D366">
            <v>45758</v>
          </cell>
          <cell r="E366">
            <v>102.99921575</v>
          </cell>
          <cell r="F366">
            <v>0</v>
          </cell>
          <cell r="G366">
            <v>0</v>
          </cell>
        </row>
        <row r="367">
          <cell r="A367" t="str">
            <v>YEYKİM QUATTRO YAPI ENDÜSTRİ KİMYA SANAYİ VE TİCAR</v>
          </cell>
          <cell r="B367" t="e">
            <v>#REF!</v>
          </cell>
          <cell r="C367" t="str">
            <v>SMB</v>
          </cell>
          <cell r="D367">
            <v>45775</v>
          </cell>
          <cell r="E367">
            <v>102.99908624999999</v>
          </cell>
          <cell r="F367">
            <v>0</v>
          </cell>
          <cell r="G367">
            <v>0</v>
          </cell>
        </row>
        <row r="368">
          <cell r="A368" t="str">
            <v>CVS HAVALANDIRMA SİSTEMLERİ SAN.VE TİC.A.Ş.</v>
          </cell>
          <cell r="B368" t="e">
            <v>#REF!</v>
          </cell>
          <cell r="C368" t="str">
            <v>SMB</v>
          </cell>
          <cell r="D368">
            <v>45219</v>
          </cell>
          <cell r="E368">
            <v>99.333333333333329</v>
          </cell>
          <cell r="F368">
            <v>99.33</v>
          </cell>
          <cell r="G368">
            <v>102.32954608333334</v>
          </cell>
        </row>
        <row r="369">
          <cell r="A369" t="str">
            <v>SMMM RECEP ÇETİN</v>
          </cell>
          <cell r="B369" t="e">
            <v>#REF!</v>
          </cell>
          <cell r="C369" t="str">
            <v>SMB</v>
          </cell>
          <cell r="D369">
            <v>45317</v>
          </cell>
          <cell r="E369">
            <v>119.20039174999998</v>
          </cell>
          <cell r="F369">
            <v>101.82819649999999</v>
          </cell>
          <cell r="G369">
            <v>0</v>
          </cell>
        </row>
        <row r="370">
          <cell r="A370" t="str">
            <v>PRODIGITAL - P REKLAM ÜRÜNLERİ SATIŞ VE UYGULAMA L</v>
          </cell>
          <cell r="B370" t="e">
            <v>#REF!</v>
          </cell>
          <cell r="C370" t="str">
            <v>SMB</v>
          </cell>
          <cell r="D370">
            <v>45644</v>
          </cell>
          <cell r="E370">
            <v>100.00088591666666</v>
          </cell>
          <cell r="F370">
            <v>0</v>
          </cell>
          <cell r="G370">
            <v>0</v>
          </cell>
        </row>
        <row r="371">
          <cell r="A371" t="str">
            <v>Türkiye Finans Katılım Bankası</v>
          </cell>
          <cell r="B371" t="e">
            <v>#REF!</v>
          </cell>
          <cell r="C371" t="str">
            <v>Enterprise</v>
          </cell>
          <cell r="D371">
            <v>45070</v>
          </cell>
          <cell r="E371">
            <v>100</v>
          </cell>
          <cell r="F371">
            <v>100</v>
          </cell>
          <cell r="G371">
            <v>100</v>
          </cell>
        </row>
        <row r="372">
          <cell r="A372" t="str">
            <v>BTYÖN TEKNOLOJİ A.Ş.</v>
          </cell>
          <cell r="B372" t="e">
            <v>#REF!</v>
          </cell>
          <cell r="C372" t="str">
            <v>SMB</v>
          </cell>
          <cell r="D372">
            <v>45033</v>
          </cell>
          <cell r="E372">
            <v>100</v>
          </cell>
          <cell r="F372">
            <v>99.999821249999982</v>
          </cell>
          <cell r="G372">
            <v>99.999821249999982</v>
          </cell>
        </row>
        <row r="373">
          <cell r="A373" t="str">
            <v>ÖZSAĞDIÇLAR</v>
          </cell>
          <cell r="B373" t="e">
            <v>#REF!</v>
          </cell>
          <cell r="C373" t="str">
            <v>SMB</v>
          </cell>
          <cell r="D373">
            <v>45716</v>
          </cell>
          <cell r="E373">
            <v>115.50686233525259</v>
          </cell>
          <cell r="F373">
            <v>0</v>
          </cell>
          <cell r="G373">
            <v>0</v>
          </cell>
        </row>
        <row r="374">
          <cell r="A374" t="str">
            <v>EGGO GROUP (URFASAN)</v>
          </cell>
          <cell r="B374" t="e">
            <v>#REF!</v>
          </cell>
          <cell r="C374" t="str">
            <v>SMB</v>
          </cell>
          <cell r="D374">
            <v>45646</v>
          </cell>
          <cell r="E374">
            <v>117.5607390016085</v>
          </cell>
          <cell r="F374">
            <v>0</v>
          </cell>
          <cell r="G374">
            <v>0</v>
          </cell>
        </row>
        <row r="375">
          <cell r="A375" t="str">
            <v>TAZE DÜNYA GIDA SANAYİ VE TİCARET A.Ş.</v>
          </cell>
          <cell r="B375" t="e">
            <v>#REF!</v>
          </cell>
          <cell r="C375" t="str">
            <v>SMB</v>
          </cell>
          <cell r="D375">
            <v>45569</v>
          </cell>
          <cell r="E375">
            <v>99.333333416666676</v>
          </cell>
          <cell r="F375">
            <v>99.333333416666676</v>
          </cell>
          <cell r="G375">
            <v>0</v>
          </cell>
        </row>
        <row r="376">
          <cell r="A376" t="str">
            <v>ESAYAN GRUP İNŞAAT AMBALAJ PEYZAJ TURİZM TAŞ. GERİ</v>
          </cell>
          <cell r="B376" t="e">
            <v>#REF!</v>
          </cell>
          <cell r="C376" t="str">
            <v>SMB</v>
          </cell>
          <cell r="D376">
            <v>45287</v>
          </cell>
          <cell r="E376">
            <v>99.333333416666676</v>
          </cell>
          <cell r="F376">
            <v>99.330297000000002</v>
          </cell>
          <cell r="G376">
            <v>0</v>
          </cell>
        </row>
        <row r="377">
          <cell r="A377" t="str">
            <v>BİLİRA TEKNOLOJİ ANONİM ŞİRKETİ</v>
          </cell>
          <cell r="B377" t="e">
            <v>#REF!</v>
          </cell>
          <cell r="C377" t="str">
            <v>SMB</v>
          </cell>
          <cell r="D377">
            <v>45286</v>
          </cell>
          <cell r="E377">
            <v>99.333333416666676</v>
          </cell>
          <cell r="F377">
            <v>99.330196583333347</v>
          </cell>
          <cell r="G377">
            <v>0</v>
          </cell>
        </row>
        <row r="378">
          <cell r="A378" t="str">
            <v>TİRYAKİ KALIP  PLASTİK METAL İMALAT SAN. VE TİC. L</v>
          </cell>
          <cell r="B378" t="e">
            <v>#REF!</v>
          </cell>
          <cell r="C378" t="str">
            <v>SMB</v>
          </cell>
          <cell r="D378">
            <v>45230</v>
          </cell>
          <cell r="E378">
            <v>86</v>
          </cell>
          <cell r="F378">
            <v>99.33</v>
          </cell>
          <cell r="G378">
            <v>99.33</v>
          </cell>
        </row>
        <row r="379">
          <cell r="A379" t="str">
            <v>MARKAHUB TEKSTİL</v>
          </cell>
          <cell r="B379" t="e">
            <v>#REF!</v>
          </cell>
          <cell r="C379" t="str">
            <v>SMB</v>
          </cell>
          <cell r="D379">
            <v>45230</v>
          </cell>
          <cell r="E379">
            <v>124.16666666666667</v>
          </cell>
          <cell r="F379">
            <v>99.33</v>
          </cell>
          <cell r="G379">
            <v>99.33</v>
          </cell>
        </row>
        <row r="380">
          <cell r="A380" t="str">
            <v>BUSEM HEDİYELİK EŞYA VE METAL SAN. TİC. LTD. ŞTİ.</v>
          </cell>
          <cell r="B380" t="e">
            <v>#REF!</v>
          </cell>
          <cell r="C380" t="str">
            <v>SMB</v>
          </cell>
          <cell r="D380">
            <v>45322</v>
          </cell>
          <cell r="E380">
            <v>119.20000008333335</v>
          </cell>
          <cell r="F380">
            <v>99.328718583333341</v>
          </cell>
          <cell r="G380">
            <v>0</v>
          </cell>
        </row>
        <row r="381">
          <cell r="A381" t="str">
            <v>ERDOĞANLAR OTOMOTİV MAK SAN. TİC. LTD. ŞTİ.</v>
          </cell>
          <cell r="B381" t="e">
            <v>#REF!</v>
          </cell>
          <cell r="C381" t="str">
            <v>SMB</v>
          </cell>
          <cell r="D381">
            <v>45636</v>
          </cell>
          <cell r="E381">
            <v>98.999135416666661</v>
          </cell>
          <cell r="F381">
            <v>0</v>
          </cell>
          <cell r="G381">
            <v>0</v>
          </cell>
        </row>
        <row r="382">
          <cell r="A382" t="str">
            <v>KIYI RESTORANT TURIZM GIDA LTD.STI.</v>
          </cell>
          <cell r="B382" t="e">
            <v>#REF!</v>
          </cell>
          <cell r="C382" t="str">
            <v>SMB</v>
          </cell>
          <cell r="D382">
            <v>44927</v>
          </cell>
          <cell r="E382">
            <v>71.5</v>
          </cell>
          <cell r="F382">
            <v>80.5</v>
          </cell>
          <cell r="G382">
            <v>96.23</v>
          </cell>
        </row>
        <row r="383">
          <cell r="A383" t="str">
            <v>ARON MIMARLIK</v>
          </cell>
          <cell r="B383" t="e">
            <v>#REF!</v>
          </cell>
          <cell r="C383" t="str">
            <v>SMB</v>
          </cell>
          <cell r="D383">
            <v>45688</v>
          </cell>
          <cell r="E383">
            <v>91.712051725597547</v>
          </cell>
          <cell r="F383">
            <v>0</v>
          </cell>
          <cell r="G383">
            <v>0</v>
          </cell>
        </row>
        <row r="384">
          <cell r="A384" t="str">
            <v>DORUK SOĞUTMA SİSTEMLERİ SAN.VE TİCARETLTD.ŞTİ</v>
          </cell>
          <cell r="B384" t="e">
            <v>#REF!</v>
          </cell>
          <cell r="C384" t="str">
            <v>SMB</v>
          </cell>
          <cell r="D384">
            <v>44927</v>
          </cell>
          <cell r="E384">
            <v>75</v>
          </cell>
          <cell r="F384">
            <v>96.057199999999995</v>
          </cell>
          <cell r="G384">
            <v>96.057199999999995</v>
          </cell>
        </row>
        <row r="385">
          <cell r="A385" t="str">
            <v>SİMURG İLAÇ KİMYA SAN. TİC. LTD. ŞTİ.</v>
          </cell>
          <cell r="B385" t="e">
            <v>#REF!</v>
          </cell>
          <cell r="C385" t="str">
            <v>SMB</v>
          </cell>
          <cell r="D385">
            <v>45602</v>
          </cell>
          <cell r="E385">
            <v>94.998424916666664</v>
          </cell>
          <cell r="F385">
            <v>0</v>
          </cell>
          <cell r="G385">
            <v>0</v>
          </cell>
        </row>
        <row r="386">
          <cell r="A386" t="str">
            <v>Özdemir Çelik Konstrüksiyon İmalat Montaj Sanayi</v>
          </cell>
          <cell r="B386" t="e">
            <v>#REF!</v>
          </cell>
          <cell r="C386" t="str">
            <v>SMB</v>
          </cell>
          <cell r="D386">
            <v>45273</v>
          </cell>
          <cell r="E386">
            <v>99.333333333333329</v>
          </cell>
          <cell r="F386">
            <v>99.376666666666665</v>
          </cell>
          <cell r="G386">
            <v>0</v>
          </cell>
        </row>
        <row r="387">
          <cell r="A387" t="str">
            <v>EFEX ELEKTRİK MÜHENDİSLİK OTOMASYON</v>
          </cell>
          <cell r="B387" t="e">
            <v>#REF!</v>
          </cell>
          <cell r="C387" t="str">
            <v>SMB</v>
          </cell>
          <cell r="D387">
            <v>45230</v>
          </cell>
          <cell r="E387">
            <v>99.333333333333329</v>
          </cell>
          <cell r="F387">
            <v>91.083333333333329</v>
          </cell>
          <cell r="G387">
            <v>94.083333333333329</v>
          </cell>
        </row>
        <row r="388">
          <cell r="A388" t="str">
            <v>UÇARLAR TİC. KOLL.ŞTİ</v>
          </cell>
          <cell r="B388" t="e">
            <v>#REF!</v>
          </cell>
          <cell r="C388" t="str">
            <v>SMB</v>
          </cell>
          <cell r="D388">
            <v>45286</v>
          </cell>
          <cell r="E388">
            <v>99.333333416666676</v>
          </cell>
          <cell r="F388">
            <v>93.333596916666664</v>
          </cell>
          <cell r="G388">
            <v>0</v>
          </cell>
        </row>
        <row r="389">
          <cell r="A389" t="str">
            <v>ALL PARTS OTOMOTİV VE DIŞ TİC. LTD.ŞTİ</v>
          </cell>
          <cell r="B389" t="e">
            <v>#REF!</v>
          </cell>
          <cell r="C389" t="str">
            <v>SMB</v>
          </cell>
          <cell r="D389">
            <v>45293</v>
          </cell>
          <cell r="E389">
            <v>86.000833249999999</v>
          </cell>
          <cell r="F389">
            <v>88.500833416666666</v>
          </cell>
          <cell r="G389">
            <v>0</v>
          </cell>
        </row>
        <row r="390">
          <cell r="A390" t="str">
            <v>BURSA KAYNAK MAKİNE İNŞAAT YEDEK PARÇA NAKLİYE VE</v>
          </cell>
          <cell r="B390" t="e">
            <v>#REF!</v>
          </cell>
          <cell r="C390" t="str">
            <v>SMB</v>
          </cell>
          <cell r="D390">
            <v>45322</v>
          </cell>
          <cell r="E390">
            <v>103.19916674999999</v>
          </cell>
          <cell r="F390">
            <v>86</v>
          </cell>
          <cell r="G390">
            <v>0</v>
          </cell>
        </row>
        <row r="391">
          <cell r="A391" t="str">
            <v>EVRENSEL MEKANIK İZOLASYON İNŞAAT SAN.TİC.LTD.ŞTİ.</v>
          </cell>
          <cell r="B391" t="e">
            <v>#REF!</v>
          </cell>
          <cell r="C391" t="str">
            <v>SMB</v>
          </cell>
          <cell r="D391">
            <v>45693</v>
          </cell>
          <cell r="E391">
            <v>86.000904750000004</v>
          </cell>
          <cell r="F391">
            <v>0</v>
          </cell>
          <cell r="G391">
            <v>0</v>
          </cell>
        </row>
        <row r="392">
          <cell r="A392" t="str">
            <v>SARAN GIDA TEKSTİL İNŞAAT.SAN.VE DIŞ.TİC.LTD.ŞTİ.</v>
          </cell>
          <cell r="B392" t="e">
            <v>#REF!</v>
          </cell>
          <cell r="C392" t="str">
            <v>SMB</v>
          </cell>
          <cell r="D392">
            <v>45322</v>
          </cell>
          <cell r="E392">
            <v>86.000882333333337</v>
          </cell>
          <cell r="F392">
            <v>86.000882333333337</v>
          </cell>
          <cell r="G392">
            <v>0</v>
          </cell>
        </row>
        <row r="393">
          <cell r="A393" t="str">
            <v>CAREWIND RÜZGAR TÜRBİNLERİ MONTAJ BAKIM VE SERVİS</v>
          </cell>
          <cell r="B393" t="e">
            <v>#REF!</v>
          </cell>
          <cell r="C393" t="str">
            <v>SMB</v>
          </cell>
          <cell r="D393">
            <v>45293</v>
          </cell>
          <cell r="E393">
            <v>86.000461416666667</v>
          </cell>
          <cell r="F393">
            <v>86.000461583333333</v>
          </cell>
          <cell r="G393">
            <v>0</v>
          </cell>
        </row>
        <row r="394">
          <cell r="A394" t="str">
            <v>PUCK GLOBAL -  MUZIP PERI REKLAM TANITIM HIZ. A.Ş.</v>
          </cell>
          <cell r="B394" t="e">
            <v>#REF!</v>
          </cell>
          <cell r="C394" t="str">
            <v>SMB</v>
          </cell>
          <cell r="D394">
            <v>45330</v>
          </cell>
          <cell r="E394">
            <v>86.000461416666667</v>
          </cell>
          <cell r="F394">
            <v>86.000461416666667</v>
          </cell>
          <cell r="G394">
            <v>0</v>
          </cell>
        </row>
        <row r="395">
          <cell r="A395" t="str">
            <v>ÇELİK KULE METALÜRJİ SAN.VE TİC.LTD.ŞTİ</v>
          </cell>
          <cell r="B395" t="e">
            <v>#REF!</v>
          </cell>
          <cell r="C395" t="str">
            <v>SMB</v>
          </cell>
          <cell r="D395">
            <v>45621</v>
          </cell>
          <cell r="E395">
            <v>86.000461416666667</v>
          </cell>
          <cell r="F395">
            <v>0</v>
          </cell>
          <cell r="G395">
            <v>0</v>
          </cell>
        </row>
        <row r="396">
          <cell r="A396" t="str">
            <v>EMG GÜÇ VE ENERJİ SİST YAPI MALZİ İTH.İHRTİC LTD Ş</v>
          </cell>
          <cell r="B396" t="e">
            <v>#REF!</v>
          </cell>
          <cell r="C396" t="str">
            <v>SMB</v>
          </cell>
          <cell r="D396">
            <v>45700</v>
          </cell>
          <cell r="E396">
            <v>103.2</v>
          </cell>
          <cell r="F396">
            <v>0</v>
          </cell>
          <cell r="G396">
            <v>0</v>
          </cell>
        </row>
        <row r="397">
          <cell r="A397" t="str">
            <v>CD VİNÇ TEKSTİL MAKİNA SAN. VE TİC LTD. ŞTİ.</v>
          </cell>
          <cell r="B397" t="e">
            <v>#REF!</v>
          </cell>
          <cell r="C397" t="str">
            <v>SMB</v>
          </cell>
          <cell r="D397">
            <v>45503</v>
          </cell>
          <cell r="E397">
            <v>85.999999916666667</v>
          </cell>
          <cell r="F397">
            <v>86</v>
          </cell>
          <cell r="G397">
            <v>0</v>
          </cell>
        </row>
        <row r="398">
          <cell r="A398" t="str">
            <v>BİGADİÇ ÜNAL GIDA TUR.SU ÜRN.HAY.KUY.DAYANIKLI TÜK</v>
          </cell>
          <cell r="B398" t="e">
            <v>#REF!</v>
          </cell>
          <cell r="C398" t="str">
            <v>SMB</v>
          </cell>
          <cell r="D398">
            <v>45468</v>
          </cell>
          <cell r="E398">
            <v>85.967129</v>
          </cell>
          <cell r="F398">
            <v>85.967129</v>
          </cell>
          <cell r="G398">
            <v>0</v>
          </cell>
        </row>
        <row r="399">
          <cell r="A399" t="str">
            <v>BUDDY DIŞ TİCARET SAN. A.Ş</v>
          </cell>
          <cell r="B399" t="e">
            <v>#REF!</v>
          </cell>
          <cell r="C399" t="str">
            <v>SMB</v>
          </cell>
          <cell r="D399">
            <v>45545</v>
          </cell>
          <cell r="E399">
            <v>85.967129</v>
          </cell>
          <cell r="F399">
            <v>85.967129</v>
          </cell>
          <cell r="G399">
            <v>0</v>
          </cell>
        </row>
        <row r="400">
          <cell r="A400" t="str">
            <v>UNNOX GROUP</v>
          </cell>
          <cell r="B400" t="e">
            <v>#REF!</v>
          </cell>
          <cell r="C400" t="str">
            <v>SMB</v>
          </cell>
          <cell r="D400">
            <v>44927</v>
          </cell>
          <cell r="E400">
            <v>85.6</v>
          </cell>
          <cell r="F400">
            <v>85.6</v>
          </cell>
          <cell r="G400">
            <v>85.6</v>
          </cell>
        </row>
        <row r="401">
          <cell r="A401" t="str">
            <v>LAYDA BİLGİSAYAR YAZILIM ve DANIŞMANLIK LTD.ŞTİ.</v>
          </cell>
          <cell r="B401" t="e">
            <v>#REF!</v>
          </cell>
          <cell r="C401" t="str">
            <v>SMB</v>
          </cell>
          <cell r="D401">
            <v>45554</v>
          </cell>
          <cell r="E401">
            <v>80.010002000000014</v>
          </cell>
          <cell r="F401">
            <v>80.010002000000014</v>
          </cell>
          <cell r="G401">
            <v>0</v>
          </cell>
        </row>
        <row r="402">
          <cell r="A402" t="str">
            <v>AGS.AKIN YANGIN SÖNDÜRME CİHAZLARI VE GÜVENLİK SİS</v>
          </cell>
          <cell r="B402" t="e">
            <v>#REF!</v>
          </cell>
          <cell r="C402" t="str">
            <v>SMB</v>
          </cell>
          <cell r="D402">
            <v>45712</v>
          </cell>
          <cell r="E402">
            <v>90.095334724959741</v>
          </cell>
          <cell r="F402">
            <v>0</v>
          </cell>
          <cell r="G402">
            <v>0</v>
          </cell>
        </row>
        <row r="403">
          <cell r="A403" t="str">
            <v>REFORM CNC,LOJISTIK VE GERI DÖNÜSÜM SISTEMLERI GÖR</v>
          </cell>
          <cell r="B403" t="e">
            <v>#REF!</v>
          </cell>
          <cell r="C403" t="str">
            <v>SMB</v>
          </cell>
          <cell r="D403">
            <v>45163</v>
          </cell>
          <cell r="E403">
            <v>75</v>
          </cell>
          <cell r="F403">
            <v>75</v>
          </cell>
          <cell r="G403">
            <v>75</v>
          </cell>
        </row>
        <row r="404">
          <cell r="A404" t="str">
            <v>AKSİN TEKNİK HIRDAVAT VE YAPI MALZEMELERİ SAN.TİC.</v>
          </cell>
          <cell r="B404" t="e">
            <v>#REF!</v>
          </cell>
          <cell r="C404" t="str">
            <v>SMB</v>
          </cell>
          <cell r="D404">
            <v>45600</v>
          </cell>
          <cell r="E404">
            <v>74.999999916666667</v>
          </cell>
          <cell r="F404">
            <v>0</v>
          </cell>
          <cell r="G404">
            <v>0</v>
          </cell>
        </row>
        <row r="405">
          <cell r="A405" t="str">
            <v>ADA GROUP MEKANİK VE MÜHENDİSLİK İNŞAAT SAN.LTD.ŞT</v>
          </cell>
          <cell r="B405" t="e">
            <v>#REF!</v>
          </cell>
          <cell r="C405" t="str">
            <v>SMB</v>
          </cell>
          <cell r="D405">
            <v>45666</v>
          </cell>
          <cell r="E405">
            <v>75</v>
          </cell>
          <cell r="F405">
            <v>0</v>
          </cell>
          <cell r="G405">
            <v>0</v>
          </cell>
        </row>
        <row r="406">
          <cell r="A406" t="str">
            <v>KHD ELEKTRONİK LTD. ŞTİ.</v>
          </cell>
          <cell r="B406" t="e">
            <v>#REF!</v>
          </cell>
          <cell r="C406" t="str">
            <v>SMB</v>
          </cell>
          <cell r="D406">
            <v>45565</v>
          </cell>
          <cell r="E406">
            <v>74.16666808333332</v>
          </cell>
          <cell r="F406">
            <v>74.16666808333332</v>
          </cell>
          <cell r="G406">
            <v>0</v>
          </cell>
        </row>
        <row r="407">
          <cell r="A407" t="str">
            <v>DERTEC ELEKTRONIK SES ISIK GÖRÜNTÜ SIS.SAN.TIC.LTD</v>
          </cell>
          <cell r="B407" t="e">
            <v>#REF!</v>
          </cell>
          <cell r="C407" t="str">
            <v>SMB</v>
          </cell>
          <cell r="D407">
            <v>44927</v>
          </cell>
          <cell r="E407">
            <v>70.5</v>
          </cell>
          <cell r="F407">
            <v>70.5</v>
          </cell>
          <cell r="G407">
            <v>72.49166666666666</v>
          </cell>
        </row>
        <row r="408">
          <cell r="A408" t="str">
            <v>ŞAHİNLER MOTORLU ARAÇLAR SAN.VE TİC. A.Ş</v>
          </cell>
          <cell r="B408" t="e">
            <v>#REF!</v>
          </cell>
          <cell r="C408" t="str">
            <v>SMB</v>
          </cell>
          <cell r="D408">
            <v>45435</v>
          </cell>
          <cell r="E408">
            <v>70</v>
          </cell>
          <cell r="F408">
            <v>70</v>
          </cell>
          <cell r="G408">
            <v>0</v>
          </cell>
        </row>
        <row r="409">
          <cell r="A409" t="str">
            <v>PUSULA GÖRSEL VE DIJITAL PLATFORM LTD.STI.</v>
          </cell>
          <cell r="B409" t="e">
            <v>#REF!</v>
          </cell>
          <cell r="C409" t="str">
            <v>SMB</v>
          </cell>
          <cell r="D409">
            <v>44927</v>
          </cell>
          <cell r="E409">
            <v>54.95444661825686</v>
          </cell>
          <cell r="F409">
            <v>46.824679497225276</v>
          </cell>
          <cell r="G409">
            <v>62.864793273979174</v>
          </cell>
        </row>
        <row r="410">
          <cell r="A410" t="str">
            <v>HAS PORTFÖY YÖNETİMİ A.Ş</v>
          </cell>
          <cell r="B410" t="e">
            <v>#REF!</v>
          </cell>
          <cell r="C410" t="str">
            <v>SMB</v>
          </cell>
          <cell r="D410">
            <v>45128</v>
          </cell>
          <cell r="E410">
            <v>65</v>
          </cell>
          <cell r="F410">
            <v>65</v>
          </cell>
          <cell r="G410">
            <v>65</v>
          </cell>
        </row>
        <row r="411">
          <cell r="A411" t="str">
            <v>BEREKET LIFE TEKSTİL MEFRUŞAT SAN. ve TİC. LTD. ŞT</v>
          </cell>
          <cell r="B411" t="e">
            <v>#REF!</v>
          </cell>
          <cell r="C411" t="str">
            <v>SMB</v>
          </cell>
          <cell r="D411">
            <v>45715</v>
          </cell>
          <cell r="E411">
            <v>62.997877000000003</v>
          </cell>
          <cell r="F411">
            <v>0</v>
          </cell>
          <cell r="G411">
            <v>0</v>
          </cell>
        </row>
        <row r="412">
          <cell r="A412" t="str">
            <v>NEPROTECH YAZILIM VE BILGI TEKNOLOJILERI</v>
          </cell>
          <cell r="B412" t="e">
            <v>#REF!</v>
          </cell>
          <cell r="C412" t="str">
            <v>SMB</v>
          </cell>
          <cell r="D412">
            <v>45199</v>
          </cell>
          <cell r="E412">
            <v>119.16666666666667</v>
          </cell>
          <cell r="F412">
            <v>119.20039466666667</v>
          </cell>
          <cell r="G412">
            <v>62.584356916666664</v>
          </cell>
        </row>
        <row r="413">
          <cell r="A413" t="str">
            <v>ZNN GIRISIM DANISMANLIK NURGÜL SENEFE MUSTAFAOGLU</v>
          </cell>
          <cell r="B413" t="e">
            <v>#REF!</v>
          </cell>
          <cell r="C413" t="str">
            <v>SMB</v>
          </cell>
          <cell r="D413">
            <v>44927</v>
          </cell>
          <cell r="E413">
            <v>49</v>
          </cell>
          <cell r="F413">
            <v>49</v>
          </cell>
          <cell r="G413">
            <v>61.5</v>
          </cell>
        </row>
        <row r="414">
          <cell r="A414" t="str">
            <v>ABİDA BİLİŞİM TEKNOLOJİLERİ DANIŞMANLIK AŞ.</v>
          </cell>
          <cell r="B414" t="e">
            <v>#REF!</v>
          </cell>
          <cell r="C414" t="str">
            <v>SMB</v>
          </cell>
          <cell r="D414">
            <v>44927</v>
          </cell>
          <cell r="E414">
            <v>85</v>
          </cell>
          <cell r="F414">
            <v>60</v>
          </cell>
          <cell r="G414">
            <v>130.01110199999999</v>
          </cell>
        </row>
        <row r="415">
          <cell r="A415" t="str">
            <v>Acr Naturel Gıda Pazarlama Sanayi Ve Ticaret Limit</v>
          </cell>
          <cell r="B415" t="e">
            <v>#REF!</v>
          </cell>
          <cell r="C415" t="str">
            <v>SMB</v>
          </cell>
          <cell r="D415">
            <v>45146</v>
          </cell>
          <cell r="E415">
            <v>36</v>
          </cell>
          <cell r="F415">
            <v>36</v>
          </cell>
          <cell r="G415">
            <v>60</v>
          </cell>
        </row>
        <row r="416">
          <cell r="A416" t="str">
            <v>İZKA TEMİZLİK GIDA ÜRÜNLERİ PAZARLAMA SAN. VE TİC.</v>
          </cell>
          <cell r="B416" t="e">
            <v>#REF!</v>
          </cell>
          <cell r="C416" t="str">
            <v>SMB</v>
          </cell>
          <cell r="D416">
            <v>45588</v>
          </cell>
          <cell r="E416">
            <v>58.999418916666663</v>
          </cell>
          <cell r="F416">
            <v>58.999418916666663</v>
          </cell>
          <cell r="G416">
            <v>0</v>
          </cell>
        </row>
        <row r="417">
          <cell r="A417" t="str">
            <v>ATLAS PSA OTOMOTİV YED. PAR. İNŞ. SAN. VE TİC. LTD</v>
          </cell>
          <cell r="B417" t="e">
            <v>#REF!</v>
          </cell>
          <cell r="C417" t="str">
            <v>SMB</v>
          </cell>
          <cell r="D417">
            <v>45565</v>
          </cell>
          <cell r="E417">
            <v>57.499999916666674</v>
          </cell>
          <cell r="F417">
            <v>57.499999916666674</v>
          </cell>
          <cell r="G417">
            <v>0</v>
          </cell>
        </row>
        <row r="418">
          <cell r="A418" t="str">
            <v>BRAVO YAZILIM VE DANIŞMANLIK HİZM. İÇ VE DIŞ TİC</v>
          </cell>
          <cell r="B418" t="e">
            <v>#REF!</v>
          </cell>
          <cell r="C418" t="str">
            <v>SMB</v>
          </cell>
          <cell r="D418">
            <v>45380</v>
          </cell>
          <cell r="E418">
            <v>103.20083333333334</v>
          </cell>
          <cell r="F418">
            <v>54.998576833333331</v>
          </cell>
          <cell r="G418">
            <v>0</v>
          </cell>
        </row>
        <row r="419">
          <cell r="A419" t="str">
            <v>KASTAS</v>
          </cell>
          <cell r="B419" t="e">
            <v>#REF!</v>
          </cell>
          <cell r="C419" t="str">
            <v>SMB</v>
          </cell>
          <cell r="D419">
            <v>44927</v>
          </cell>
          <cell r="E419">
            <v>54</v>
          </cell>
          <cell r="F419">
            <v>54</v>
          </cell>
          <cell r="G419">
            <v>54</v>
          </cell>
        </row>
        <row r="420">
          <cell r="A420" t="str">
            <v>E SİM TELEKOMÜNİKASYON LİMİTED SİRKETİ</v>
          </cell>
          <cell r="B420" t="e">
            <v>#REF!</v>
          </cell>
          <cell r="C420" t="str">
            <v>SMB</v>
          </cell>
          <cell r="D420">
            <v>45415</v>
          </cell>
          <cell r="E420">
            <v>61.083333333333336</v>
          </cell>
          <cell r="F420">
            <v>48.5</v>
          </cell>
          <cell r="G420">
            <v>0</v>
          </cell>
        </row>
        <row r="421">
          <cell r="A421" t="str">
            <v>OPTIMUSFLOW YAZILIM - BARIS GÜLEÇYÜZ</v>
          </cell>
          <cell r="B421" t="e">
            <v>#REF!</v>
          </cell>
          <cell r="C421" t="str">
            <v>SMB</v>
          </cell>
          <cell r="D421">
            <v>44927</v>
          </cell>
          <cell r="E421">
            <v>63.972748063523888</v>
          </cell>
          <cell r="F421">
            <v>40.012383756406116</v>
          </cell>
          <cell r="G421">
            <v>42.328439766345909</v>
          </cell>
        </row>
        <row r="422">
          <cell r="A422" t="str">
            <v>ORONTES GIDA SANAYİ VE TİCARET A.Ş</v>
          </cell>
          <cell r="B422" t="e">
            <v>#REF!</v>
          </cell>
          <cell r="C422" t="str">
            <v>SMB</v>
          </cell>
          <cell r="D422">
            <v>45631</v>
          </cell>
          <cell r="E422">
            <v>86.000503166666661</v>
          </cell>
          <cell r="F422">
            <v>0</v>
          </cell>
          <cell r="G422">
            <v>0</v>
          </cell>
        </row>
        <row r="423">
          <cell r="A423" t="str">
            <v>GÜLER MOBİLYA VE BEYAZ EŞYA - HASAN GÜLER</v>
          </cell>
          <cell r="B423" t="e">
            <v>#REF!</v>
          </cell>
          <cell r="C423" t="str">
            <v>SMB</v>
          </cell>
          <cell r="D423">
            <v>45663</v>
          </cell>
          <cell r="E423">
            <v>42.918033206024987</v>
          </cell>
          <cell r="F423">
            <v>0</v>
          </cell>
          <cell r="G423">
            <v>0</v>
          </cell>
        </row>
        <row r="424">
          <cell r="A424" t="str">
            <v>DİNAMİK BARKOD OTOMASYON YAZILIM MÜHENDİSLİK BİLİŞ</v>
          </cell>
          <cell r="B424" t="e">
            <v>#REF!</v>
          </cell>
          <cell r="C424" t="str">
            <v>SMB</v>
          </cell>
          <cell r="D424">
            <v>45685</v>
          </cell>
          <cell r="E424">
            <v>42.917008613455145</v>
          </cell>
          <cell r="F424">
            <v>0</v>
          </cell>
          <cell r="G424">
            <v>0</v>
          </cell>
        </row>
        <row r="425">
          <cell r="A425" t="str">
            <v>KAYRA İPLİK A.Ş.</v>
          </cell>
          <cell r="B425" t="e">
            <v>#REF!</v>
          </cell>
          <cell r="C425" t="str">
            <v>SMB</v>
          </cell>
          <cell r="D425">
            <v>45688</v>
          </cell>
          <cell r="E425">
            <v>42.914696193061324</v>
          </cell>
          <cell r="F425">
            <v>0</v>
          </cell>
          <cell r="G425">
            <v>0</v>
          </cell>
        </row>
        <row r="426">
          <cell r="A426" t="str">
            <v>CONVERGING EUROPE FUND III MANAGEMENT</v>
          </cell>
          <cell r="B426" t="e">
            <v>#REF!</v>
          </cell>
          <cell r="C426" t="str">
            <v>SMB</v>
          </cell>
          <cell r="D426">
            <v>44927</v>
          </cell>
          <cell r="E426">
            <v>67.5</v>
          </cell>
          <cell r="F426">
            <v>43</v>
          </cell>
          <cell r="G426">
            <v>35.416666666666671</v>
          </cell>
        </row>
        <row r="427">
          <cell r="A427" t="str">
            <v>ARI DÖKÜM MAK.SAN.VE TIC.LTD.STI.</v>
          </cell>
          <cell r="B427" t="e">
            <v>#REF!</v>
          </cell>
          <cell r="C427" t="str">
            <v>SMB</v>
          </cell>
          <cell r="D427">
            <v>45099</v>
          </cell>
          <cell r="E427">
            <v>196.82963228586041</v>
          </cell>
          <cell r="F427">
            <v>192.66732057386795</v>
          </cell>
          <cell r="G427">
            <v>32.208494041004798</v>
          </cell>
        </row>
        <row r="428">
          <cell r="A428" t="str">
            <v>INCOMET INSAAT SAN. VE TIC. LTD.STI.</v>
          </cell>
          <cell r="B428" t="e">
            <v>#REF!</v>
          </cell>
          <cell r="C428" t="str">
            <v>SMB</v>
          </cell>
          <cell r="D428">
            <v>44927</v>
          </cell>
          <cell r="E428">
            <v>134.44</v>
          </cell>
          <cell r="F428">
            <v>131.4478</v>
          </cell>
          <cell r="G428">
            <v>157.131608</v>
          </cell>
        </row>
        <row r="429">
          <cell r="A429" t="str">
            <v>ERDE DIŞ TİCARET LTD.  ŞTİ.</v>
          </cell>
          <cell r="B429" t="e">
            <v>#REF!</v>
          </cell>
          <cell r="C429" t="str">
            <v>SMB</v>
          </cell>
          <cell r="D429">
            <v>45258</v>
          </cell>
          <cell r="E429">
            <v>35</v>
          </cell>
          <cell r="F429">
            <v>42</v>
          </cell>
          <cell r="G429">
            <v>0</v>
          </cell>
        </row>
        <row r="430">
          <cell r="A430" t="str">
            <v>ZAMIL GROUP TURKEY INS.TURIZM VE ENDUSTRIYEL YATIR</v>
          </cell>
          <cell r="B430" t="e">
            <v>#REF!</v>
          </cell>
          <cell r="C430" t="str">
            <v>SMB</v>
          </cell>
          <cell r="D430">
            <v>44927</v>
          </cell>
          <cell r="E430">
            <v>22.323333333333334</v>
          </cell>
          <cell r="F430">
            <v>22.323333333333331</v>
          </cell>
          <cell r="G430">
            <v>23.973333333333329</v>
          </cell>
        </row>
        <row r="431">
          <cell r="A431" t="str">
            <v>BOĞAZİÇİ SİGORTA</v>
          </cell>
          <cell r="B431" t="e">
            <v>#REF!</v>
          </cell>
          <cell r="C431" t="str">
            <v>SMB</v>
          </cell>
          <cell r="D431">
            <v>45287</v>
          </cell>
          <cell r="E431">
            <v>24</v>
          </cell>
          <cell r="F431">
            <v>24</v>
          </cell>
          <cell r="G431">
            <v>0</v>
          </cell>
        </row>
        <row r="432">
          <cell r="A432" t="str">
            <v>UGI SOFT YAZILIM</v>
          </cell>
          <cell r="B432" t="e">
            <v>#REF!</v>
          </cell>
          <cell r="C432" t="str">
            <v>SMB</v>
          </cell>
          <cell r="D432">
            <v>45155</v>
          </cell>
          <cell r="E432">
            <v>16</v>
          </cell>
          <cell r="F432">
            <v>16</v>
          </cell>
          <cell r="G432">
            <v>16</v>
          </cell>
        </row>
        <row r="433">
          <cell r="A433" t="str">
            <v>DEHA SANAT ETKİNLİKLERİ EĞİTİM VE ORGANİZASYON İTH</v>
          </cell>
          <cell r="B433" t="e">
            <v>#REF!</v>
          </cell>
          <cell r="C433" t="str">
            <v>SMB</v>
          </cell>
          <cell r="D433">
            <v>45211</v>
          </cell>
          <cell r="E433">
            <v>130.00065441666666</v>
          </cell>
          <cell r="F433">
            <v>88.050936913788718</v>
          </cell>
          <cell r="G433">
            <v>272</v>
          </cell>
        </row>
        <row r="434">
          <cell r="A434" t="str">
            <v>GTC İLETİŞİM DANIŞMANLIK ANONİM ŞİRKETİ</v>
          </cell>
          <cell r="B434" t="e">
            <v>#REF!</v>
          </cell>
          <cell r="C434" t="str">
            <v>SMB</v>
          </cell>
          <cell r="D434">
            <v>44927</v>
          </cell>
          <cell r="E434">
            <v>1316.5843980678264</v>
          </cell>
          <cell r="F434">
            <v>1101.4072678885582</v>
          </cell>
          <cell r="G434">
            <v>345.77333124999996</v>
          </cell>
        </row>
        <row r="435">
          <cell r="A435" t="str">
            <v>HAZİRAN TEKNOLOJİ YAZILIM VE BİLİŞİM A.Ş.</v>
          </cell>
          <cell r="B435" t="e">
            <v>#REF!</v>
          </cell>
          <cell r="C435" t="str">
            <v>SMB</v>
          </cell>
          <cell r="D435">
            <v>45169</v>
          </cell>
          <cell r="E435">
            <v>35</v>
          </cell>
          <cell r="F435">
            <v>35</v>
          </cell>
          <cell r="G435">
            <v>8</v>
          </cell>
        </row>
        <row r="436">
          <cell r="A436" t="str">
            <v>SERTAN TEKNİK KESİCİ TAKIM SANAYİ TİC.LTD.ŞTİ</v>
          </cell>
          <cell r="B436" t="e">
            <v>#REF!</v>
          </cell>
          <cell r="C436" t="str">
            <v>SMB</v>
          </cell>
          <cell r="D436">
            <v>45483</v>
          </cell>
          <cell r="E436">
            <v>171.66666666666666</v>
          </cell>
          <cell r="F436">
            <v>6</v>
          </cell>
          <cell r="G436">
            <v>0</v>
          </cell>
        </row>
        <row r="437">
          <cell r="A437" t="str">
            <v>AVEON GLOBAL SİGORTA ANONİM ŞİRKETİ</v>
          </cell>
          <cell r="B437" t="e">
            <v>#REF!</v>
          </cell>
          <cell r="C437" t="str">
            <v>Enterprise</v>
          </cell>
          <cell r="D437">
            <v>45070</v>
          </cell>
          <cell r="E437">
            <v>2709</v>
          </cell>
          <cell r="F437">
            <v>12757.324889648211</v>
          </cell>
          <cell r="G437">
            <v>16921.416020739074</v>
          </cell>
        </row>
        <row r="438">
          <cell r="A438" t="str">
            <v>MEDICANA HASTANE İŞLETMECILIĞI A.Ş.</v>
          </cell>
          <cell r="B438" t="e">
            <v>#REF!</v>
          </cell>
          <cell r="C438" t="str">
            <v>Enterprise</v>
          </cell>
          <cell r="D438">
            <v>45330</v>
          </cell>
          <cell r="E438">
            <v>4406</v>
          </cell>
          <cell r="F438">
            <v>4417.4513999999999</v>
          </cell>
          <cell r="G438">
            <v>0</v>
          </cell>
        </row>
        <row r="439">
          <cell r="A439" t="str">
            <v>FİNE OTEL TURİZM İŞLT. A.Ş</v>
          </cell>
          <cell r="B439" t="e">
            <v>#REF!</v>
          </cell>
          <cell r="C439" t="str">
            <v>Enterprise</v>
          </cell>
          <cell r="D439">
            <v>44927</v>
          </cell>
          <cell r="E439">
            <v>1779.0166839999999</v>
          </cell>
          <cell r="F439">
            <v>0</v>
          </cell>
          <cell r="G439">
            <v>2134.8000000000002</v>
          </cell>
        </row>
        <row r="440">
          <cell r="A440" t="str">
            <v>KALE HAVACILIK SANAYİ A.Ş.</v>
          </cell>
          <cell r="B440" t="e">
            <v>#REF!</v>
          </cell>
          <cell r="C440" t="str">
            <v>Enterprise</v>
          </cell>
          <cell r="D440">
            <v>44927</v>
          </cell>
          <cell r="E440">
            <v>2595.6897870073985</v>
          </cell>
          <cell r="F440">
            <v>1167.0207296880053</v>
          </cell>
          <cell r="G440">
            <v>1396.8450009030112</v>
          </cell>
        </row>
        <row r="441">
          <cell r="A441" t="str">
            <v>KALE JET MOTORLARI</v>
          </cell>
          <cell r="B441" t="e">
            <v>#REF!</v>
          </cell>
          <cell r="C441" t="str">
            <v>Enterprise</v>
          </cell>
          <cell r="D441">
            <v>45449</v>
          </cell>
          <cell r="E441">
            <v>1506.9456494935748</v>
          </cell>
          <cell r="F441">
            <v>1258.6740464209158</v>
          </cell>
          <cell r="G441">
            <v>0</v>
          </cell>
        </row>
        <row r="442">
          <cell r="A442" t="str">
            <v>CAHAN AVM</v>
          </cell>
          <cell r="B442" t="e">
            <v>#REF!</v>
          </cell>
          <cell r="C442" t="str">
            <v>SMB</v>
          </cell>
          <cell r="D442">
            <v>45016</v>
          </cell>
          <cell r="E442">
            <v>1112.99</v>
          </cell>
          <cell r="F442">
            <v>1051.9999970000001</v>
          </cell>
          <cell r="G442">
            <v>1051.9999970000001</v>
          </cell>
        </row>
        <row r="443">
          <cell r="A443" t="str">
            <v>SİSKON OTOMASYON YAZILIM A.Ş.</v>
          </cell>
          <cell r="B443" t="e">
            <v>#REF!</v>
          </cell>
          <cell r="C443" t="str">
            <v>Enterprise</v>
          </cell>
          <cell r="D443">
            <v>45070</v>
          </cell>
          <cell r="E443">
            <v>600.00096400000007</v>
          </cell>
          <cell r="F443">
            <v>667.00096400000007</v>
          </cell>
          <cell r="G443">
            <v>800.4011569999999</v>
          </cell>
        </row>
        <row r="444">
          <cell r="A444" t="str">
            <v>ÖZŞANAL PERAKENDE MAĞAZACILIK A.Ş.</v>
          </cell>
          <cell r="B444" t="e">
            <v>#REF!</v>
          </cell>
          <cell r="C444" t="str">
            <v>SMB</v>
          </cell>
          <cell r="D444">
            <v>44927</v>
          </cell>
          <cell r="E444">
            <v>531.24518559050557</v>
          </cell>
          <cell r="F444">
            <v>500.15181651767699</v>
          </cell>
          <cell r="G444">
            <v>691.36772334001193</v>
          </cell>
        </row>
        <row r="445">
          <cell r="A445" t="str">
            <v>TAKSIM OTELCILIK A.S.</v>
          </cell>
          <cell r="B445" t="e">
            <v>#REF!</v>
          </cell>
          <cell r="C445" t="str">
            <v>SMB</v>
          </cell>
          <cell r="D445">
            <v>44927</v>
          </cell>
          <cell r="E445">
            <v>441.36373557305302</v>
          </cell>
          <cell r="F445">
            <v>422.37772079930903</v>
          </cell>
          <cell r="G445">
            <v>469.58725163717764</v>
          </cell>
        </row>
        <row r="446">
          <cell r="A446" t="str">
            <v>SİMETO GÜMRÜK MÜŞAVİRLİĞİ VE LOJİSTİK</v>
          </cell>
          <cell r="B446" t="e">
            <v>#REF!</v>
          </cell>
          <cell r="C446" t="str">
            <v>SMB</v>
          </cell>
          <cell r="D446">
            <v>45383</v>
          </cell>
          <cell r="E446">
            <v>170.01087599999997</v>
          </cell>
          <cell r="F446">
            <v>169.99943433333331</v>
          </cell>
          <cell r="G446">
            <v>0</v>
          </cell>
        </row>
        <row r="447">
          <cell r="A447" t="str">
            <v>DİNAMİK TOPTAN GIDA PAZARLAMA SAN.TİC.LTD.ŞTİ</v>
          </cell>
          <cell r="B447" t="e">
            <v>#N/A</v>
          </cell>
          <cell r="C447" t="str">
            <v>SMB</v>
          </cell>
          <cell r="D447">
            <v>45287</v>
          </cell>
          <cell r="E447">
            <v>99.333333416666676</v>
          </cell>
          <cell r="F447">
            <v>99.330000166666679</v>
          </cell>
          <cell r="G447">
            <v>0</v>
          </cell>
        </row>
        <row r="448">
          <cell r="A448" t="str">
            <v>CİTİX İST BİLİŞİM REKLAMCILIK TİCARET A.Ş</v>
          </cell>
          <cell r="B448" t="e">
            <v>#REF!</v>
          </cell>
          <cell r="C448" t="str">
            <v>SMB</v>
          </cell>
          <cell r="D448">
            <v>45205</v>
          </cell>
          <cell r="E448">
            <v>86</v>
          </cell>
          <cell r="F448">
            <v>79.666666666666671</v>
          </cell>
          <cell r="G448">
            <v>0</v>
          </cell>
        </row>
        <row r="449">
          <cell r="A449" t="str">
            <v>CCL LABEL TURKEY AMBALAJ SAN. VE TIC. A.S</v>
          </cell>
          <cell r="B449" t="e">
            <v>#REF!</v>
          </cell>
          <cell r="C449" t="str">
            <v>SMB</v>
          </cell>
          <cell r="D449">
            <v>44927</v>
          </cell>
          <cell r="E449">
            <v>1795.6337724317227</v>
          </cell>
          <cell r="F449">
            <v>2642.8238572233577</v>
          </cell>
          <cell r="G449">
            <v>2895.3063449784122</v>
          </cell>
        </row>
        <row r="450">
          <cell r="A450" t="str">
            <v>Vigo Teknoloji ve Lojistik A.Ş.</v>
          </cell>
          <cell r="B450" t="e">
            <v>#REF!</v>
          </cell>
          <cell r="C450" t="str">
            <v>Enterprise</v>
          </cell>
          <cell r="D450">
            <v>45688</v>
          </cell>
          <cell r="E450">
            <v>1800</v>
          </cell>
          <cell r="F450">
            <v>0</v>
          </cell>
          <cell r="G450">
            <v>0</v>
          </cell>
        </row>
        <row r="451">
          <cell r="A451" t="str">
            <v>MAYEN TELEKOMİNİKASYON HİZMETLERİ A.Ş.</v>
          </cell>
          <cell r="B451" t="e">
            <v>#REF!</v>
          </cell>
          <cell r="C451" t="str">
            <v>SMB</v>
          </cell>
          <cell r="D451">
            <v>44927</v>
          </cell>
          <cell r="E451">
            <v>544.94336373765213</v>
          </cell>
          <cell r="F451">
            <v>667.02904453723636</v>
          </cell>
          <cell r="G451">
            <v>703.1699354565568</v>
          </cell>
        </row>
        <row r="452">
          <cell r="A452" t="str">
            <v>LKG MÜHENDISLIK VE ARGE HIZMETLERI LTD. ŞTI.</v>
          </cell>
          <cell r="B452" t="e">
            <v>#REF!</v>
          </cell>
          <cell r="C452" t="str">
            <v>SMB</v>
          </cell>
          <cell r="D452">
            <v>45597</v>
          </cell>
          <cell r="E452">
            <v>99.999999999999986</v>
          </cell>
          <cell r="F452">
            <v>0</v>
          </cell>
          <cell r="G452">
            <v>0</v>
          </cell>
        </row>
        <row r="453">
          <cell r="A453" t="str">
            <v>USTA ELLER BAKLAVA</v>
          </cell>
          <cell r="B453" t="e">
            <v>#REF!</v>
          </cell>
          <cell r="C453" t="str">
            <v>SMB</v>
          </cell>
          <cell r="D453">
            <v>45381</v>
          </cell>
          <cell r="E453">
            <v>103.21337500000001</v>
          </cell>
          <cell r="F453">
            <v>103.21337500000001</v>
          </cell>
          <cell r="G453">
            <v>0</v>
          </cell>
        </row>
        <row r="454">
          <cell r="A454" t="str">
            <v>AVM LOJİSTİK TİCARET ANONİM ŞİRKETİ</v>
          </cell>
          <cell r="B454" t="e">
            <v>#REF!</v>
          </cell>
          <cell r="C454" t="str">
            <v>SMB</v>
          </cell>
          <cell r="D454">
            <v>45194</v>
          </cell>
          <cell r="E454">
            <v>119.16666666666667</v>
          </cell>
          <cell r="F454">
            <v>86.00333333333333</v>
          </cell>
          <cell r="G454">
            <v>0</v>
          </cell>
        </row>
        <row r="455">
          <cell r="A455" t="str">
            <v>ES DIL HIZ. VE DAN.TIC.A.S.</v>
          </cell>
          <cell r="B455" t="e">
            <v>#REF!</v>
          </cell>
          <cell r="C455" t="str">
            <v>SMB</v>
          </cell>
          <cell r="D455">
            <v>44927</v>
          </cell>
          <cell r="E455">
            <v>4671.95</v>
          </cell>
          <cell r="F455">
            <v>4817.4934000000003</v>
          </cell>
          <cell r="G455">
            <v>4594.4082340000004</v>
          </cell>
        </row>
        <row r="456">
          <cell r="A456" t="str">
            <v>ONURFİX MONTAJ SİSTEMLERİ SAN. TİC. A.Ş.</v>
          </cell>
          <cell r="B456" t="e">
            <v>#REF!</v>
          </cell>
          <cell r="C456" t="str">
            <v>SMB</v>
          </cell>
          <cell r="D456">
            <v>44927</v>
          </cell>
          <cell r="E456">
            <v>2557.54</v>
          </cell>
          <cell r="F456">
            <v>3413.8976359999992</v>
          </cell>
          <cell r="G456">
            <v>3570.7561670000005</v>
          </cell>
        </row>
        <row r="457">
          <cell r="A457" t="str">
            <v>KONTAK ARTI İLETİŞİM HİZMETLERİ LTD.ŞTİ</v>
          </cell>
          <cell r="B457" t="e">
            <v>#REF!</v>
          </cell>
          <cell r="C457" t="str">
            <v>SMB</v>
          </cell>
          <cell r="D457">
            <v>44927</v>
          </cell>
          <cell r="E457">
            <v>1572.89</v>
          </cell>
          <cell r="F457">
            <v>2202.057217</v>
          </cell>
          <cell r="G457">
            <v>2733.1818466666664</v>
          </cell>
        </row>
        <row r="458">
          <cell r="A458" t="str">
            <v>CABİR HOLDİNG - MİLK ACADEMY</v>
          </cell>
          <cell r="B458" t="e">
            <v>#REF!</v>
          </cell>
          <cell r="C458" t="str">
            <v>SMB</v>
          </cell>
          <cell r="D458">
            <v>45285</v>
          </cell>
          <cell r="E458">
            <v>1349.9959979999999</v>
          </cell>
          <cell r="F458">
            <v>1349.9959979999999</v>
          </cell>
          <cell r="G458">
            <v>0</v>
          </cell>
        </row>
        <row r="459">
          <cell r="A459" t="str">
            <v>HIT REKLAM TAN. ORG.YAT.EMLAK GIDA TEKS.YAZ.DAN.IT</v>
          </cell>
          <cell r="B459" t="e">
            <v>#REF!</v>
          </cell>
          <cell r="C459" t="str">
            <v>SMB</v>
          </cell>
          <cell r="D459">
            <v>45083</v>
          </cell>
          <cell r="E459">
            <v>802.1</v>
          </cell>
          <cell r="F459">
            <v>1085.6087526666668</v>
          </cell>
          <cell r="G459">
            <v>1327.983561</v>
          </cell>
        </row>
        <row r="460">
          <cell r="A460" t="str">
            <v>KARDEŞ ELEKTRIK SAN. VE TIC. AS.</v>
          </cell>
          <cell r="B460" t="e">
            <v>#REF!</v>
          </cell>
          <cell r="C460" t="str">
            <v>SMB</v>
          </cell>
          <cell r="D460">
            <v>44927</v>
          </cell>
          <cell r="E460">
            <v>683.43783453127389</v>
          </cell>
          <cell r="F460">
            <v>579.06013890880229</v>
          </cell>
          <cell r="G460">
            <v>939.71157217033033</v>
          </cell>
        </row>
        <row r="461">
          <cell r="A461" t="str">
            <v>AKSAN KOZMETIK SAN. VE TIC. A.S.</v>
          </cell>
          <cell r="B461" t="e">
            <v>#REF!</v>
          </cell>
          <cell r="C461" t="str">
            <v>SMB</v>
          </cell>
          <cell r="D461">
            <v>44927</v>
          </cell>
          <cell r="E461">
            <v>341.40471851973842</v>
          </cell>
          <cell r="F461">
            <v>408.52363820358852</v>
          </cell>
          <cell r="G461">
            <v>609.62223317436587</v>
          </cell>
        </row>
        <row r="462">
          <cell r="A462" t="str">
            <v>2 DESIGN MIMARLIK INS. SAN. VE TIC. A.S.</v>
          </cell>
          <cell r="B462" t="e">
            <v>#REF!</v>
          </cell>
          <cell r="C462" t="str">
            <v>SMB</v>
          </cell>
          <cell r="D462">
            <v>44927</v>
          </cell>
          <cell r="E462">
            <v>1108.4134578293342</v>
          </cell>
          <cell r="F462">
            <v>1171.9315282969169</v>
          </cell>
          <cell r="G462">
            <v>1454.5186431131301</v>
          </cell>
        </row>
        <row r="463">
          <cell r="A463" t="str">
            <v>DICLE ÜNIVERSITESI</v>
          </cell>
          <cell r="B463" t="e">
            <v>#REF!</v>
          </cell>
          <cell r="C463" t="str">
            <v>SMB</v>
          </cell>
          <cell r="D463">
            <v>45323</v>
          </cell>
          <cell r="E463">
            <v>244.32991705813748</v>
          </cell>
          <cell r="F463">
            <v>0</v>
          </cell>
          <cell r="G463">
            <v>0</v>
          </cell>
        </row>
        <row r="464">
          <cell r="A464" t="str">
            <v>PROFESYONEL PERAKENDE ÇÖZÜMLERİ SN.TC.A.Ş (PROPERA</v>
          </cell>
          <cell r="B464" t="e">
            <v>#REF!</v>
          </cell>
          <cell r="C464" t="str">
            <v>SMB</v>
          </cell>
          <cell r="D464">
            <v>44927</v>
          </cell>
          <cell r="E464">
            <v>100</v>
          </cell>
          <cell r="F464">
            <v>105.99380299999999</v>
          </cell>
          <cell r="G464">
            <v>105.99380299999999</v>
          </cell>
        </row>
        <row r="465">
          <cell r="A465" t="str">
            <v>DEMİRSOY PASLANMAZ ÇELİK DÖKÜM SAN.VE TİC.LTD.ŞTİ</v>
          </cell>
          <cell r="B465" t="e">
            <v>#REF!</v>
          </cell>
          <cell r="C465" t="str">
            <v>SMB</v>
          </cell>
          <cell r="D465">
            <v>45553</v>
          </cell>
          <cell r="E465">
            <v>98.999166750000001</v>
          </cell>
          <cell r="F465">
            <v>0</v>
          </cell>
          <cell r="G465">
            <v>0</v>
          </cell>
        </row>
        <row r="466">
          <cell r="A466" t="str">
            <v>YILDIZ BRONZ SAN VE TIC LTD. STI.</v>
          </cell>
          <cell r="B466" t="e">
            <v>#REF!</v>
          </cell>
          <cell r="C466" t="str">
            <v>SMB</v>
          </cell>
          <cell r="D466">
            <v>44927</v>
          </cell>
          <cell r="E466">
            <v>26.874725676989211</v>
          </cell>
          <cell r="F466">
            <v>26.100972850653587</v>
          </cell>
          <cell r="G466">
            <v>37.718898561766892</v>
          </cell>
        </row>
        <row r="467">
          <cell r="A467" t="str">
            <v>BOYTORUN MIMARLIK LTD.STI.</v>
          </cell>
          <cell r="B467" t="e">
            <v>#REF!</v>
          </cell>
          <cell r="C467" t="str">
            <v>SMB</v>
          </cell>
          <cell r="D467">
            <v>44927</v>
          </cell>
          <cell r="E467">
            <v>633.13231486413088</v>
          </cell>
          <cell r="F467">
            <v>1121.5687348932008</v>
          </cell>
          <cell r="G467">
            <v>1369.4984677307707</v>
          </cell>
        </row>
        <row r="468">
          <cell r="A468" t="str">
            <v>İLERİ MEKANİK MAKINA KALIP IML.SAN. VETIC. A.S.</v>
          </cell>
          <cell r="B468" t="e">
            <v>#REF!</v>
          </cell>
          <cell r="C468" t="str">
            <v>SMB</v>
          </cell>
          <cell r="D468">
            <v>44927</v>
          </cell>
          <cell r="E468">
            <v>3394.2493481199454</v>
          </cell>
          <cell r="F468">
            <v>4211.6578504962963</v>
          </cell>
          <cell r="G468">
            <v>4857.7466356154473</v>
          </cell>
        </row>
        <row r="469">
          <cell r="A469" t="str">
            <v>BIRCOM TELEKOMÜNIKASYON VE BILISIM HIZ.SAN.TIC.A.S</v>
          </cell>
          <cell r="B469" t="e">
            <v>#REF!</v>
          </cell>
          <cell r="C469" t="str">
            <v>SMB</v>
          </cell>
          <cell r="D469">
            <v>44927</v>
          </cell>
          <cell r="E469">
            <v>1131.23</v>
          </cell>
          <cell r="F469">
            <v>1517.3625020000002</v>
          </cell>
          <cell r="G469">
            <v>3862.2121160000002</v>
          </cell>
        </row>
        <row r="470">
          <cell r="A470" t="str">
            <v>MEDIALYZER MEDYA TEKNOLOJİLERİ ANONİM ŞİRKETİ</v>
          </cell>
          <cell r="B470" t="e">
            <v>#REF!</v>
          </cell>
          <cell r="C470" t="str">
            <v>SMB</v>
          </cell>
          <cell r="D470">
            <v>44927</v>
          </cell>
          <cell r="E470">
            <v>977.47535476794394</v>
          </cell>
          <cell r="F470">
            <v>1218.2426857813539</v>
          </cell>
          <cell r="G470">
            <v>1350.2300702655416</v>
          </cell>
        </row>
        <row r="471">
          <cell r="A471" t="str">
            <v>BRİİSK LİMİTED</v>
          </cell>
          <cell r="B471" t="e">
            <v>#REF!</v>
          </cell>
          <cell r="C471" t="str">
            <v>SMB</v>
          </cell>
          <cell r="D471">
            <v>45042</v>
          </cell>
          <cell r="E471">
            <v>1150</v>
          </cell>
          <cell r="F471">
            <v>1169.992933</v>
          </cell>
          <cell r="G471">
            <v>1169.9929330000002</v>
          </cell>
        </row>
        <row r="472">
          <cell r="A472" t="str">
            <v>MOBILTRUST</v>
          </cell>
          <cell r="B472" t="e">
            <v>#REF!</v>
          </cell>
          <cell r="C472" t="str">
            <v>Enterprise</v>
          </cell>
          <cell r="D472">
            <v>45413</v>
          </cell>
          <cell r="E472">
            <v>1077</v>
          </cell>
          <cell r="F472">
            <v>1180.4471874886833</v>
          </cell>
          <cell r="G472">
            <v>0</v>
          </cell>
        </row>
        <row r="473">
          <cell r="A473" t="str">
            <v>ROTAP TEKNOLOJİ YAZILIM</v>
          </cell>
          <cell r="B473" t="e">
            <v>#REF!</v>
          </cell>
          <cell r="C473" t="str">
            <v>SMB</v>
          </cell>
          <cell r="D473">
            <v>45199</v>
          </cell>
          <cell r="E473">
            <v>650.00890600000002</v>
          </cell>
          <cell r="F473">
            <v>666.00890500000003</v>
          </cell>
          <cell r="G473">
            <v>0</v>
          </cell>
        </row>
        <row r="474">
          <cell r="A474" t="str">
            <v>PRİME PORTFÖY YÖNETİMİ ANONİM ŞİRKETİ</v>
          </cell>
          <cell r="B474" t="e">
            <v>#REF!</v>
          </cell>
          <cell r="C474" t="str">
            <v>SMB</v>
          </cell>
          <cell r="D474">
            <v>45439</v>
          </cell>
          <cell r="E474">
            <v>570.01121200000011</v>
          </cell>
          <cell r="F474">
            <v>570.011212</v>
          </cell>
          <cell r="G474">
            <v>0</v>
          </cell>
        </row>
        <row r="475">
          <cell r="A475" t="str">
            <v>Mia Istanbul Gayrimenkul</v>
          </cell>
          <cell r="B475" t="e">
            <v>#REF!</v>
          </cell>
          <cell r="C475" t="str">
            <v>SMB</v>
          </cell>
          <cell r="D475">
            <v>45152</v>
          </cell>
          <cell r="E475">
            <v>160</v>
          </cell>
          <cell r="F475">
            <v>160.00749000000002</v>
          </cell>
          <cell r="G475">
            <v>0</v>
          </cell>
        </row>
        <row r="476">
          <cell r="A476" t="str">
            <v>İGM GÜMRÜK MÜŞAVİRLİĞİ</v>
          </cell>
          <cell r="B476" t="e">
            <v>#REF!</v>
          </cell>
          <cell r="C476" t="str">
            <v>SMB</v>
          </cell>
          <cell r="D476">
            <v>45093</v>
          </cell>
          <cell r="E476">
            <v>240.0061</v>
          </cell>
          <cell r="F476">
            <v>250.0061</v>
          </cell>
          <cell r="G476">
            <v>0</v>
          </cell>
        </row>
        <row r="477">
          <cell r="A477" t="str">
            <v>PEDAŞ LED AYDINLATMA TEKNOLOJİLERİ A.Ş.</v>
          </cell>
          <cell r="B477" t="e">
            <v>#REF!</v>
          </cell>
          <cell r="C477" t="str">
            <v>SMB</v>
          </cell>
          <cell r="D477">
            <v>45468</v>
          </cell>
          <cell r="E477">
            <v>380.54183068019563</v>
          </cell>
          <cell r="F477">
            <v>317.84698083509841</v>
          </cell>
          <cell r="G477">
            <v>0</v>
          </cell>
        </row>
        <row r="478">
          <cell r="A478" t="str">
            <v>IRMAK SAYA TRİKO SAN. VE TİC.LTD.ŞTİ.</v>
          </cell>
          <cell r="B478" t="e">
            <v>#REF!</v>
          </cell>
          <cell r="C478" t="str">
            <v>SMB</v>
          </cell>
          <cell r="D478">
            <v>45408</v>
          </cell>
          <cell r="E478">
            <v>150</v>
          </cell>
          <cell r="F478">
            <v>238.599604</v>
          </cell>
          <cell r="G478">
            <v>0</v>
          </cell>
        </row>
        <row r="479">
          <cell r="A479" t="str">
            <v>İKİ MİMARİ PROJE VE DANIŞMANLIK A.Ş.</v>
          </cell>
          <cell r="B479" t="e">
            <v>#REF!</v>
          </cell>
          <cell r="C479" t="str">
            <v>SMB</v>
          </cell>
          <cell r="D479">
            <v>44927</v>
          </cell>
          <cell r="E479">
            <v>189.75</v>
          </cell>
          <cell r="F479">
            <v>148.5</v>
          </cell>
          <cell r="G479">
            <v>206.25</v>
          </cell>
        </row>
        <row r="480">
          <cell r="A480" t="str">
            <v>İDİLSU TEKS.TUR.İNŞ.TAAH.İTH.İHR.VETİC.LTD.ŞTİ</v>
          </cell>
          <cell r="B480" t="e">
            <v>#REF!</v>
          </cell>
          <cell r="C480" t="str">
            <v>SMB</v>
          </cell>
          <cell r="D480">
            <v>45489</v>
          </cell>
          <cell r="E480">
            <v>175.19977041666664</v>
          </cell>
          <cell r="F480">
            <v>0</v>
          </cell>
          <cell r="G480">
            <v>0</v>
          </cell>
        </row>
        <row r="481">
          <cell r="A481" t="str">
            <v>OTO NAMUK TRAKTÖR YEDEK PARÇA VE TARIM MAK.SAN.TİC</v>
          </cell>
          <cell r="B481" t="e">
            <v>#REF!</v>
          </cell>
          <cell r="C481" t="str">
            <v>SMB</v>
          </cell>
          <cell r="D481">
            <v>45334</v>
          </cell>
          <cell r="E481">
            <v>170</v>
          </cell>
          <cell r="F481">
            <v>170</v>
          </cell>
          <cell r="G481">
            <v>0</v>
          </cell>
        </row>
        <row r="482">
          <cell r="A482" t="str">
            <v>4D ENDÜSTRİYEL ÇÖZÜMLER SANAYİ VE TİCARET LİMİTED</v>
          </cell>
          <cell r="B482" t="e">
            <v>#REF!</v>
          </cell>
          <cell r="C482" t="str">
            <v>SMB</v>
          </cell>
          <cell r="D482">
            <v>45432</v>
          </cell>
          <cell r="E482">
            <v>155.01000099999999</v>
          </cell>
          <cell r="F482">
            <v>0</v>
          </cell>
          <cell r="G482">
            <v>0</v>
          </cell>
        </row>
        <row r="483">
          <cell r="A483" t="str">
            <v>FYTECH</v>
          </cell>
          <cell r="B483" t="e">
            <v>#REF!</v>
          </cell>
          <cell r="C483" t="str">
            <v>SMB</v>
          </cell>
          <cell r="D483">
            <v>45224</v>
          </cell>
          <cell r="E483">
            <v>140.00531499999997</v>
          </cell>
          <cell r="F483">
            <v>140.00531499999997</v>
          </cell>
          <cell r="G483">
            <v>0</v>
          </cell>
        </row>
        <row r="484">
          <cell r="A484" t="str">
            <v>KOREL ELEKTRİK VE GEMİ MALZEMELERİ SAN.TİC.LTD.ŞTİ</v>
          </cell>
          <cell r="B484" t="e">
            <v>#REF!</v>
          </cell>
          <cell r="C484" t="str">
            <v>SMB</v>
          </cell>
          <cell r="D484">
            <v>45685</v>
          </cell>
          <cell r="E484">
            <v>129.000001</v>
          </cell>
          <cell r="F484">
            <v>0</v>
          </cell>
          <cell r="G484">
            <v>0</v>
          </cell>
        </row>
        <row r="485">
          <cell r="A485" t="str">
            <v>DATASAFE ARSIVLEME HIZMETLERI A.S</v>
          </cell>
          <cell r="B485" t="e">
            <v>#REF!</v>
          </cell>
          <cell r="C485" t="str">
            <v>SMB</v>
          </cell>
          <cell r="D485">
            <v>44927</v>
          </cell>
          <cell r="E485">
            <v>3107.1450671228295</v>
          </cell>
          <cell r="F485">
            <v>3198.667978867059</v>
          </cell>
          <cell r="G485">
            <v>229.66166633333336</v>
          </cell>
        </row>
        <row r="486">
          <cell r="A486" t="str">
            <v>TARGET MUTFAK SİSTEM ÇÖZÜMLERİ A.Ş</v>
          </cell>
          <cell r="B486" t="e">
            <v>#REF!</v>
          </cell>
          <cell r="C486" t="str">
            <v>SMB</v>
          </cell>
          <cell r="D486">
            <v>45565</v>
          </cell>
          <cell r="E486">
            <v>119.16666666666667</v>
          </cell>
          <cell r="F486">
            <v>0</v>
          </cell>
          <cell r="G486">
            <v>0</v>
          </cell>
        </row>
        <row r="487">
          <cell r="A487" t="str">
            <v>DBB MÜHENDİSLİK ELEKTRİK TAAHHÜT İNŞAAT TİCARET LT</v>
          </cell>
          <cell r="B487" t="e">
            <v>#REF!</v>
          </cell>
          <cell r="C487" t="str">
            <v>SMB</v>
          </cell>
          <cell r="D487">
            <v>45558</v>
          </cell>
          <cell r="E487">
            <v>110</v>
          </cell>
          <cell r="F487">
            <v>0</v>
          </cell>
          <cell r="G487">
            <v>0</v>
          </cell>
        </row>
        <row r="488">
          <cell r="A488" t="str">
            <v>SAREM TURİZM GIDA TİCARET LİMİTED ŞİRKETİ</v>
          </cell>
          <cell r="B488" t="e">
            <v>#REF!</v>
          </cell>
          <cell r="C488" t="str">
            <v>SMB</v>
          </cell>
          <cell r="D488">
            <v>45441</v>
          </cell>
          <cell r="E488">
            <v>119.16666666666667</v>
          </cell>
          <cell r="F488">
            <v>0</v>
          </cell>
          <cell r="G488">
            <v>0</v>
          </cell>
        </row>
        <row r="489">
          <cell r="A489" t="str">
            <v>ASYAMED TEKNİK TIBBI MALZEMELER - ASLAN BURSALI</v>
          </cell>
          <cell r="B489" t="e">
            <v>#REF!</v>
          </cell>
          <cell r="C489" t="str">
            <v>SMB</v>
          </cell>
          <cell r="D489">
            <v>45565</v>
          </cell>
          <cell r="E489">
            <v>119.16666666666667</v>
          </cell>
          <cell r="F489">
            <v>0</v>
          </cell>
          <cell r="G489">
            <v>0</v>
          </cell>
        </row>
        <row r="490">
          <cell r="A490" t="str">
            <v>BY SELMA ÖZKAN / MELİSA COLLECTION</v>
          </cell>
          <cell r="B490" t="e">
            <v>#REF!</v>
          </cell>
          <cell r="C490" t="str">
            <v>SMB</v>
          </cell>
          <cell r="D490">
            <v>45565</v>
          </cell>
          <cell r="E490">
            <v>119.16666666666667</v>
          </cell>
          <cell r="F490">
            <v>0</v>
          </cell>
          <cell r="G490">
            <v>0</v>
          </cell>
        </row>
        <row r="491">
          <cell r="A491" t="str">
            <v>EMTEK SU VE ISI TEKN İNŞ SAN DIŞ TİC LTD ŞTİ</v>
          </cell>
          <cell r="B491" t="e">
            <v>#REF!</v>
          </cell>
          <cell r="C491" t="str">
            <v>SMB</v>
          </cell>
          <cell r="D491">
            <v>45565</v>
          </cell>
          <cell r="E491">
            <v>119.16666666666667</v>
          </cell>
          <cell r="F491">
            <v>0</v>
          </cell>
          <cell r="G491">
            <v>0</v>
          </cell>
        </row>
        <row r="492">
          <cell r="A492" t="str">
            <v>MURAT UYSAL YAPI MALZEMELERİ SANAYİ VE DIŞ TİCARET</v>
          </cell>
          <cell r="B492" t="e">
            <v>#REF!</v>
          </cell>
          <cell r="C492" t="str">
            <v>SMB</v>
          </cell>
          <cell r="D492">
            <v>45565</v>
          </cell>
          <cell r="E492">
            <v>119.16666666666667</v>
          </cell>
          <cell r="F492">
            <v>0</v>
          </cell>
          <cell r="G492">
            <v>0</v>
          </cell>
        </row>
        <row r="493">
          <cell r="A493" t="str">
            <v>EZA İNTERNET HİZMETLERİ PAZARLAMA TİC. A.Ş</v>
          </cell>
          <cell r="B493" t="e">
            <v>#REF!</v>
          </cell>
          <cell r="C493" t="str">
            <v>SMB</v>
          </cell>
          <cell r="D493">
            <v>45597</v>
          </cell>
          <cell r="E493">
            <v>119.2</v>
          </cell>
          <cell r="F493">
            <v>0</v>
          </cell>
          <cell r="G493">
            <v>0</v>
          </cell>
        </row>
        <row r="494">
          <cell r="A494" t="str">
            <v>MY FLOWERS TARIM SANAYİ TİC.LTD.ŞTİ</v>
          </cell>
          <cell r="B494" t="e">
            <v>#REF!</v>
          </cell>
          <cell r="C494" t="str">
            <v>SMB</v>
          </cell>
          <cell r="D494">
            <v>45469</v>
          </cell>
          <cell r="E494">
            <v>99.319299999999998</v>
          </cell>
          <cell r="F494">
            <v>103.689308</v>
          </cell>
          <cell r="G494">
            <v>0</v>
          </cell>
        </row>
        <row r="495">
          <cell r="A495" t="str">
            <v>PETROLİGHT KİMYA SANAYİ VE DIŞ TİC.LTD.ŞTİ</v>
          </cell>
          <cell r="B495" t="e">
            <v>#REF!</v>
          </cell>
          <cell r="C495" t="str">
            <v>SMB</v>
          </cell>
          <cell r="D495">
            <v>45415</v>
          </cell>
          <cell r="E495">
            <v>103.20000008333332</v>
          </cell>
          <cell r="F495">
            <v>0</v>
          </cell>
          <cell r="G495">
            <v>0</v>
          </cell>
        </row>
        <row r="496">
          <cell r="A496" t="str">
            <v>ANDRİALİ CONTRACT TEKSTİL SAN.TİC.LTD.ŞTİ</v>
          </cell>
          <cell r="B496" t="e">
            <v>#REF!</v>
          </cell>
          <cell r="C496" t="str">
            <v>SMB</v>
          </cell>
          <cell r="D496">
            <v>45518</v>
          </cell>
          <cell r="E496">
            <v>103.19883349999998</v>
          </cell>
          <cell r="F496">
            <v>0</v>
          </cell>
          <cell r="G496">
            <v>0</v>
          </cell>
        </row>
        <row r="497">
          <cell r="A497" t="str">
            <v>ASN FORKLİFT İŞ MAKİNALARI SAN.VE TİC.LTD.ŞTİ</v>
          </cell>
          <cell r="B497" t="e">
            <v>#REF!</v>
          </cell>
          <cell r="C497" t="str">
            <v>SMB</v>
          </cell>
          <cell r="D497">
            <v>45421</v>
          </cell>
          <cell r="E497">
            <v>86.000882333333337</v>
          </cell>
          <cell r="F497">
            <v>0</v>
          </cell>
          <cell r="G497">
            <v>0</v>
          </cell>
        </row>
        <row r="498">
          <cell r="A498" t="str">
            <v>ENVAWİSE LOJİSTİK ANONİM ŞİRKETİ</v>
          </cell>
          <cell r="B498" t="e">
            <v>#REF!</v>
          </cell>
          <cell r="C498" t="str">
            <v>SMB</v>
          </cell>
          <cell r="D498">
            <v>45434</v>
          </cell>
          <cell r="E498">
            <v>86.000461416666667</v>
          </cell>
          <cell r="F498">
            <v>0</v>
          </cell>
          <cell r="G498">
            <v>0</v>
          </cell>
        </row>
        <row r="499">
          <cell r="A499" t="str">
            <v>KATRE ISI SAN.TİC.A.Ş.</v>
          </cell>
          <cell r="B499" t="e">
            <v>#REF!</v>
          </cell>
          <cell r="C499" t="str">
            <v>SMB</v>
          </cell>
          <cell r="D499">
            <v>45439</v>
          </cell>
          <cell r="E499">
            <v>77.177499999999995</v>
          </cell>
          <cell r="F499">
            <v>0</v>
          </cell>
          <cell r="G499">
            <v>0</v>
          </cell>
        </row>
        <row r="500">
          <cell r="A500" t="str">
            <v>Rateks Baski Boya Sanayi ve Ticaret Anonim Şirketi</v>
          </cell>
          <cell r="B500" t="e">
            <v>#REF!</v>
          </cell>
          <cell r="C500" t="str">
            <v>SMB</v>
          </cell>
          <cell r="D500">
            <v>45090</v>
          </cell>
          <cell r="E500">
            <v>64.10037263683293</v>
          </cell>
          <cell r="F500">
            <v>76.938713909952753</v>
          </cell>
          <cell r="G500">
            <v>0</v>
          </cell>
        </row>
        <row r="501">
          <cell r="A501" t="str">
            <v>HDI SIGORTA A.S.</v>
          </cell>
          <cell r="B501" t="e">
            <v>#REF!</v>
          </cell>
          <cell r="C501" t="str">
            <v>Enterprise</v>
          </cell>
          <cell r="D501">
            <v>44927</v>
          </cell>
          <cell r="E501">
            <v>17780.82</v>
          </cell>
          <cell r="F501">
            <v>16665.72</v>
          </cell>
          <cell r="G501">
            <v>22296</v>
          </cell>
        </row>
        <row r="502">
          <cell r="A502" t="str">
            <v>KARACA ZÜCCACIYE TICARET SANAYI A.S.</v>
          </cell>
          <cell r="B502" t="e">
            <v>#REF!</v>
          </cell>
          <cell r="C502" t="str">
            <v>Enterprise</v>
          </cell>
          <cell r="D502">
            <v>44927</v>
          </cell>
          <cell r="E502">
            <v>3250</v>
          </cell>
          <cell r="F502">
            <v>3250</v>
          </cell>
          <cell r="G502">
            <v>3250</v>
          </cell>
        </row>
        <row r="503">
          <cell r="A503" t="str">
            <v>BOYNER HOLDING</v>
          </cell>
          <cell r="B503" t="e">
            <v>#REF!</v>
          </cell>
          <cell r="C503" t="str">
            <v>Enterprise</v>
          </cell>
          <cell r="D503">
            <v>44927</v>
          </cell>
          <cell r="E503">
            <v>2830</v>
          </cell>
          <cell r="F503">
            <v>2830</v>
          </cell>
          <cell r="G503">
            <v>2830</v>
          </cell>
        </row>
        <row r="504">
          <cell r="A504" t="str">
            <v>ICBC</v>
          </cell>
          <cell r="B504" t="e">
            <v>#REF!</v>
          </cell>
          <cell r="C504" t="str">
            <v>Enterprise</v>
          </cell>
          <cell r="D504">
            <v>44927</v>
          </cell>
          <cell r="E504">
            <v>1800</v>
          </cell>
          <cell r="F504">
            <v>1800</v>
          </cell>
          <cell r="G504">
            <v>1173.9142703953496</v>
          </cell>
        </row>
        <row r="505">
          <cell r="A505" t="str">
            <v xml:space="preserve">BEYMEN GRUP </v>
          </cell>
          <cell r="B505" t="e">
            <v>#REF!</v>
          </cell>
          <cell r="C505" t="str">
            <v>Enterprise</v>
          </cell>
          <cell r="D505">
            <v>44927</v>
          </cell>
          <cell r="E505">
            <v>639.71681868826067</v>
          </cell>
          <cell r="F505">
            <v>1864.4544400690431</v>
          </cell>
          <cell r="G505">
            <v>0</v>
          </cell>
        </row>
        <row r="506">
          <cell r="A506" t="str">
            <v>DOĞUŞ TEKNOLOJİ</v>
          </cell>
          <cell r="B506" t="e">
            <v>#N/A</v>
          </cell>
          <cell r="C506" t="str">
            <v>Enterprise</v>
          </cell>
          <cell r="D506">
            <v>44927</v>
          </cell>
          <cell r="E506">
            <v>11156.148897400619</v>
          </cell>
          <cell r="F506">
            <v>0</v>
          </cell>
          <cell r="G506">
            <v>0</v>
          </cell>
        </row>
        <row r="507">
          <cell r="A507" t="str">
            <v>TÜRKİYE SINAI KALKINMA BANKASI A.S.</v>
          </cell>
          <cell r="B507" t="e">
            <v>#N/A</v>
          </cell>
          <cell r="C507" t="str">
            <v>Enterprise</v>
          </cell>
          <cell r="D507">
            <v>44927</v>
          </cell>
          <cell r="E507">
            <v>360.83333333333331</v>
          </cell>
          <cell r="F507">
            <v>0</v>
          </cell>
          <cell r="G507">
            <v>0</v>
          </cell>
        </row>
        <row r="508">
          <cell r="A508" t="str">
            <v>ULUSAL FAKTORING A.S.</v>
          </cell>
          <cell r="B508" t="e">
            <v>#N/A</v>
          </cell>
          <cell r="C508" t="str">
            <v>Enterprise</v>
          </cell>
          <cell r="D508">
            <v>44927</v>
          </cell>
          <cell r="E508">
            <v>2703.6666542709459</v>
          </cell>
          <cell r="F508">
            <v>0</v>
          </cell>
          <cell r="G508">
            <v>0</v>
          </cell>
        </row>
        <row r="509">
          <cell r="A509" t="str">
            <v>WYNDHAM HOTEL ( Reisler Turizm  )</v>
          </cell>
          <cell r="B509" t="e">
            <v>#N/A</v>
          </cell>
          <cell r="C509" t="str">
            <v>Enterprise</v>
          </cell>
          <cell r="D509">
            <v>44927</v>
          </cell>
          <cell r="E509">
            <v>1416.1946978137678</v>
          </cell>
          <cell r="F509">
            <v>0</v>
          </cell>
          <cell r="G509">
            <v>0</v>
          </cell>
        </row>
        <row r="510">
          <cell r="A510" t="str">
            <v>BADE HALI</v>
          </cell>
          <cell r="B510" t="e">
            <v>#N/A</v>
          </cell>
          <cell r="C510" t="str">
            <v>Enterprise</v>
          </cell>
          <cell r="D510">
            <v>44928</v>
          </cell>
          <cell r="E510">
            <v>1332.7433722672099</v>
          </cell>
          <cell r="F510">
            <v>0</v>
          </cell>
          <cell r="G510">
            <v>0</v>
          </cell>
        </row>
        <row r="511">
          <cell r="A511" t="str">
            <v>COCA-COLA İÇECEK A.Ş.</v>
          </cell>
          <cell r="B511" t="e">
            <v>#N/A</v>
          </cell>
          <cell r="C511" t="str">
            <v>Enterprise</v>
          </cell>
          <cell r="D511">
            <v>45231</v>
          </cell>
          <cell r="E511">
            <v>950</v>
          </cell>
          <cell r="F511">
            <v>0</v>
          </cell>
          <cell r="G511">
            <v>0</v>
          </cell>
        </row>
        <row r="512">
          <cell r="A512" t="str">
            <v>FYK MOBILE</v>
          </cell>
          <cell r="B512" t="e">
            <v>#N/A</v>
          </cell>
          <cell r="C512" t="str">
            <v>Enterprise</v>
          </cell>
          <cell r="D512">
            <v>45343</v>
          </cell>
          <cell r="E512">
            <v>1750</v>
          </cell>
          <cell r="F512">
            <v>0</v>
          </cell>
          <cell r="G512">
            <v>0</v>
          </cell>
        </row>
        <row r="513">
          <cell r="A513" t="str">
            <v>ŞEKERBANK T.A.S.</v>
          </cell>
          <cell r="B513" t="e">
            <v>#N/A</v>
          </cell>
          <cell r="C513" t="str">
            <v>Enterprise</v>
          </cell>
          <cell r="D513">
            <v>44927</v>
          </cell>
          <cell r="E513">
            <v>533.09734890688389</v>
          </cell>
          <cell r="F513">
            <v>0</v>
          </cell>
          <cell r="G513">
            <v>0</v>
          </cell>
        </row>
        <row r="514">
          <cell r="A514" t="str">
            <v>BOYNER HOLDING</v>
          </cell>
          <cell r="B514" t="e">
            <v>#REF!</v>
          </cell>
          <cell r="C514" t="str">
            <v>Enterprise</v>
          </cell>
          <cell r="D514">
            <v>44927</v>
          </cell>
          <cell r="E514">
            <v>807.162695979913</v>
          </cell>
          <cell r="F514">
            <v>0</v>
          </cell>
          <cell r="G514">
            <v>0</v>
          </cell>
        </row>
        <row r="515">
          <cell r="A515" t="str">
            <v>KALE HOLDING A.S.</v>
          </cell>
          <cell r="B515" t="e">
            <v>#N/A</v>
          </cell>
          <cell r="C515" t="str">
            <v>Enterprise</v>
          </cell>
          <cell r="D515">
            <v>44927</v>
          </cell>
          <cell r="E515">
            <v>10272.371078568378</v>
          </cell>
          <cell r="F515">
            <v>9849.1812516463324</v>
          </cell>
          <cell r="G515">
            <v>0</v>
          </cell>
        </row>
        <row r="516">
          <cell r="A516" t="str">
            <v>ANTIK DANTEL SAN.TIC.A.S.</v>
          </cell>
          <cell r="B516" t="e">
            <v>#REF!</v>
          </cell>
          <cell r="C516" t="str">
            <v>SMB</v>
          </cell>
          <cell r="D516">
            <v>44927</v>
          </cell>
          <cell r="E516">
            <v>927.41972087022816</v>
          </cell>
          <cell r="F516">
            <v>930.15822740849717</v>
          </cell>
          <cell r="G516">
            <v>1414.3294432427406</v>
          </cell>
        </row>
        <row r="517">
          <cell r="A517" t="str">
            <v>MAPPLİCO BİLGİ TEKNOLOJİLERİ ANONİM ŞİRKET</v>
          </cell>
          <cell r="B517" t="e">
            <v>#REF!</v>
          </cell>
          <cell r="C517" t="str">
            <v>SMB</v>
          </cell>
          <cell r="D517">
            <v>44927</v>
          </cell>
          <cell r="E517">
            <v>650</v>
          </cell>
          <cell r="F517">
            <v>659.00061599999992</v>
          </cell>
          <cell r="G517">
            <v>659.00061599999992</v>
          </cell>
        </row>
        <row r="518">
          <cell r="A518" t="str">
            <v>AXOFT BILISIM LIMITED SIRKETI</v>
          </cell>
          <cell r="B518" t="e">
            <v>#REF!</v>
          </cell>
          <cell r="C518" t="str">
            <v>SMB</v>
          </cell>
          <cell r="D518">
            <v>44984</v>
          </cell>
          <cell r="E518">
            <v>514.15644066634673</v>
          </cell>
          <cell r="F518">
            <v>490.83310657345208</v>
          </cell>
          <cell r="G518">
            <v>0</v>
          </cell>
        </row>
        <row r="519">
          <cell r="A519" t="str">
            <v>ZONGULDAK KÖMÜR İŞLETMELERİ ANONİM ŞİRKETİ</v>
          </cell>
          <cell r="B519" t="e">
            <v>#REF!</v>
          </cell>
          <cell r="C519" t="str">
            <v>SMB</v>
          </cell>
          <cell r="D519">
            <v>44927</v>
          </cell>
          <cell r="E519">
            <v>322.01</v>
          </cell>
          <cell r="F519">
            <v>350.87074200000001</v>
          </cell>
          <cell r="G519">
            <v>390.87074200000001</v>
          </cell>
        </row>
        <row r="520">
          <cell r="A520" t="str">
            <v>ATAKO TASIMACILIK DENIZCILIK A.S.</v>
          </cell>
          <cell r="B520" t="e">
            <v>#REF!</v>
          </cell>
          <cell r="C520" t="str">
            <v>SMB</v>
          </cell>
          <cell r="D520">
            <v>44927</v>
          </cell>
          <cell r="E520">
            <v>290.24790250539206</v>
          </cell>
          <cell r="F520">
            <v>269.26011096699335</v>
          </cell>
          <cell r="G520">
            <v>373.9031290176934</v>
          </cell>
        </row>
        <row r="521">
          <cell r="A521" t="str">
            <v>CHRONOS ISTIHDAM HIZMETLERI LTD.STI</v>
          </cell>
          <cell r="B521" t="e">
            <v>#REF!</v>
          </cell>
          <cell r="C521" t="str">
            <v>SMB</v>
          </cell>
          <cell r="D521">
            <v>44927</v>
          </cell>
          <cell r="E521">
            <v>156.61996192605639</v>
          </cell>
          <cell r="F521">
            <v>156.10471976499539</v>
          </cell>
          <cell r="G521">
            <v>204.68478497051109</v>
          </cell>
        </row>
        <row r="522">
          <cell r="A522" t="str">
            <v>GEMSAN GEMİ VE GEMİ İŞLETMECİLİĞİ SANAYİ VE TİCARE</v>
          </cell>
          <cell r="B522" t="e">
            <v>#REF!</v>
          </cell>
          <cell r="C522" t="str">
            <v>SMB</v>
          </cell>
          <cell r="D522">
            <v>44927</v>
          </cell>
          <cell r="E522">
            <v>147</v>
          </cell>
          <cell r="F522">
            <v>156.00005000000002</v>
          </cell>
          <cell r="G522">
            <v>156.00005000000002</v>
          </cell>
        </row>
        <row r="523">
          <cell r="A523" t="str">
            <v>HEXAROB OTOMASYON VE MÜHENDISLIK LTD. ŞTI.</v>
          </cell>
          <cell r="B523" t="e">
            <v>#REF!</v>
          </cell>
          <cell r="C523" t="str">
            <v>SMB</v>
          </cell>
          <cell r="D523">
            <v>45159</v>
          </cell>
          <cell r="E523">
            <v>173.99999899999997</v>
          </cell>
          <cell r="F523">
            <v>154.99999899999997</v>
          </cell>
          <cell r="G523">
            <v>0</v>
          </cell>
        </row>
        <row r="524">
          <cell r="A524" t="str">
            <v>Welldermo Sağlık Güzellik ve Spor Ürünleri San. Ti</v>
          </cell>
          <cell r="B524" t="e">
            <v>#REF!</v>
          </cell>
          <cell r="C524" t="str">
            <v>SMB</v>
          </cell>
          <cell r="D524">
            <v>45716</v>
          </cell>
          <cell r="E524">
            <v>149.99893483333332</v>
          </cell>
          <cell r="F524">
            <v>0</v>
          </cell>
          <cell r="G524">
            <v>0</v>
          </cell>
        </row>
        <row r="525">
          <cell r="A525" t="str">
            <v>SUNTEL BANYO MUTFAK AKSESUARLARI SAN. TİC. LTD.ŞTİ</v>
          </cell>
          <cell r="B525" t="e">
            <v>#REF!</v>
          </cell>
          <cell r="C525" t="str">
            <v>SMB</v>
          </cell>
          <cell r="D525">
            <v>45372</v>
          </cell>
          <cell r="E525">
            <v>103.20000008333332</v>
          </cell>
          <cell r="F525">
            <v>0</v>
          </cell>
          <cell r="G525">
            <v>0</v>
          </cell>
        </row>
        <row r="526">
          <cell r="A526" t="str">
            <v>VELOSİ ELEKTRONİK TİC.LTD.ŞTİ</v>
          </cell>
          <cell r="B526" t="e">
            <v>#REF!</v>
          </cell>
          <cell r="C526" t="str">
            <v>SMB</v>
          </cell>
          <cell r="D526">
            <v>45380</v>
          </cell>
          <cell r="E526">
            <v>86.000884416666665</v>
          </cell>
          <cell r="F526">
            <v>0</v>
          </cell>
          <cell r="G526">
            <v>0</v>
          </cell>
        </row>
        <row r="527">
          <cell r="A527" t="str">
            <v>DENİZLİ RATEKS TEKSTİL SANAYİ VE TİCARET A.Ş.</v>
          </cell>
          <cell r="B527" t="e">
            <v>#REF!</v>
          </cell>
          <cell r="C527" t="str">
            <v>SMB</v>
          </cell>
          <cell r="D527">
            <v>45015</v>
          </cell>
          <cell r="E527">
            <v>79.100990871745651</v>
          </cell>
          <cell r="F527">
            <v>73.84501632297561</v>
          </cell>
          <cell r="G527">
            <v>0</v>
          </cell>
        </row>
        <row r="528">
          <cell r="A528" t="str">
            <v>ESM DANIŞMANLIK HİZMETLERİ AŞ.</v>
          </cell>
          <cell r="B528" t="e">
            <v>#REF!</v>
          </cell>
          <cell r="C528" t="str">
            <v>SMB</v>
          </cell>
          <cell r="D528">
            <v>44927</v>
          </cell>
          <cell r="E528">
            <v>35.947499999999998</v>
          </cell>
          <cell r="F528">
            <v>20</v>
          </cell>
          <cell r="G528">
            <v>20</v>
          </cell>
        </row>
        <row r="529">
          <cell r="A529" t="str">
            <v>AFFIDEA</v>
          </cell>
          <cell r="B529" t="e">
            <v>#N/A</v>
          </cell>
          <cell r="C529" t="str">
            <v>SMB</v>
          </cell>
          <cell r="D529">
            <v>44927</v>
          </cell>
          <cell r="E529">
            <v>1050</v>
          </cell>
          <cell r="F529">
            <v>0</v>
          </cell>
          <cell r="G529">
            <v>0</v>
          </cell>
        </row>
        <row r="530">
          <cell r="A530" t="str">
            <v>ASTAY GAYRIMENKUL INSAAT YATIRIM VE TURIZM A.S.</v>
          </cell>
          <cell r="B530" t="e">
            <v>#N/A</v>
          </cell>
          <cell r="C530" t="str">
            <v>SMB</v>
          </cell>
          <cell r="D530">
            <v>44927</v>
          </cell>
          <cell r="E530">
            <v>860</v>
          </cell>
          <cell r="F530">
            <v>0</v>
          </cell>
          <cell r="G530">
            <v>0</v>
          </cell>
        </row>
        <row r="531">
          <cell r="A531" t="str">
            <v>AYDOGAN KARDESLER INS. SAN. VE TIC.LTD.STI.</v>
          </cell>
          <cell r="B531" t="e">
            <v>#N/A</v>
          </cell>
          <cell r="C531" t="str">
            <v>SMB</v>
          </cell>
          <cell r="D531">
            <v>44927</v>
          </cell>
          <cell r="E531">
            <v>150</v>
          </cell>
          <cell r="F531">
            <v>0</v>
          </cell>
          <cell r="G531">
            <v>0</v>
          </cell>
        </row>
        <row r="532">
          <cell r="A532" t="str">
            <v xml:space="preserve">AZE MEDYA ANONİM ŞİRKETİ </v>
          </cell>
          <cell r="B532" t="e">
            <v>#N/A</v>
          </cell>
          <cell r="C532" t="str">
            <v>SMB</v>
          </cell>
          <cell r="D532">
            <v>44927</v>
          </cell>
          <cell r="E532">
            <v>870.5</v>
          </cell>
          <cell r="F532">
            <v>0</v>
          </cell>
          <cell r="G532">
            <v>0</v>
          </cell>
        </row>
        <row r="533">
          <cell r="A533" t="str">
            <v>BARIT MADEN TÜRK A.S.</v>
          </cell>
          <cell r="B533" t="e">
            <v>#N/A</v>
          </cell>
          <cell r="C533" t="str">
            <v>SMB</v>
          </cell>
          <cell r="D533">
            <v>44927</v>
          </cell>
          <cell r="E533">
            <v>526.63</v>
          </cell>
          <cell r="F533">
            <v>640.625</v>
          </cell>
          <cell r="G533">
            <v>0</v>
          </cell>
        </row>
        <row r="534">
          <cell r="A534" t="str">
            <v>CAFFE NERO GIDA ÜRÜNLERI A.S.</v>
          </cell>
          <cell r="B534" t="e">
            <v>#N/A</v>
          </cell>
          <cell r="C534" t="str">
            <v>SMB</v>
          </cell>
          <cell r="D534">
            <v>44927</v>
          </cell>
          <cell r="E534">
            <v>134.87362927344162</v>
          </cell>
          <cell r="F534">
            <v>342.43419170481718</v>
          </cell>
          <cell r="G534">
            <v>0</v>
          </cell>
        </row>
        <row r="535">
          <cell r="A535" t="str">
            <v>CAHAN TABAK  BEYNELXALQ MMC</v>
          </cell>
          <cell r="B535" t="e">
            <v>#N/A</v>
          </cell>
          <cell r="C535" t="str">
            <v>SMB</v>
          </cell>
          <cell r="D535">
            <v>44927</v>
          </cell>
          <cell r="E535">
            <v>437.24</v>
          </cell>
          <cell r="F535">
            <v>535.00096499999995</v>
          </cell>
          <cell r="G535">
            <v>0</v>
          </cell>
        </row>
        <row r="536">
          <cell r="A536" t="str">
            <v>COGİTO PARK COGNİTİVE DİJİTAL TEKN. VE YATIRIM A.Ş</v>
          </cell>
          <cell r="B536" t="e">
            <v>#N/A</v>
          </cell>
          <cell r="C536" t="str">
            <v>SMB</v>
          </cell>
          <cell r="D536">
            <v>44927</v>
          </cell>
          <cell r="E536">
            <v>430.20956056785531</v>
          </cell>
          <cell r="F536">
            <v>0</v>
          </cell>
          <cell r="G536">
            <v>0</v>
          </cell>
        </row>
        <row r="537">
          <cell r="A537" t="str">
            <v>DAM BILGI TEKNOLOJILERI A.S.</v>
          </cell>
          <cell r="B537" t="e">
            <v>#N/A</v>
          </cell>
          <cell r="C537" t="str">
            <v>SMB</v>
          </cell>
          <cell r="D537">
            <v>44927</v>
          </cell>
          <cell r="E537">
            <v>128</v>
          </cell>
          <cell r="F537">
            <v>0</v>
          </cell>
          <cell r="G537">
            <v>0</v>
          </cell>
        </row>
        <row r="538">
          <cell r="A538" t="str">
            <v>DIGITAY TEKNOLOJI VE YAZILIM TICARET LIMITED SIRKE</v>
          </cell>
          <cell r="B538" t="e">
            <v>#N/A</v>
          </cell>
          <cell r="C538" t="str">
            <v>SMB</v>
          </cell>
          <cell r="D538">
            <v>44927</v>
          </cell>
          <cell r="E538">
            <v>600</v>
          </cell>
          <cell r="F538">
            <v>0</v>
          </cell>
          <cell r="G538">
            <v>0</v>
          </cell>
        </row>
        <row r="539">
          <cell r="A539" t="str">
            <v>ECE FITOTERAPI SAGLIK ÜRÜNLERI SANAYI VE TIC.A.S</v>
          </cell>
          <cell r="B539" t="e">
            <v>#N/A</v>
          </cell>
          <cell r="C539" t="str">
            <v>SMB</v>
          </cell>
          <cell r="D539">
            <v>44927</v>
          </cell>
          <cell r="E539">
            <v>255</v>
          </cell>
          <cell r="F539">
            <v>473</v>
          </cell>
          <cell r="G539">
            <v>0</v>
          </cell>
        </row>
        <row r="540">
          <cell r="A540" t="str">
            <v>ESTIMA ARASTIRMA DANISMANLIK VE TIC.A.S</v>
          </cell>
          <cell r="B540" t="e">
            <v>#N/A</v>
          </cell>
          <cell r="C540" t="str">
            <v>SMB</v>
          </cell>
          <cell r="D540">
            <v>44927</v>
          </cell>
          <cell r="E540">
            <v>1587.6058235204159</v>
          </cell>
          <cell r="F540">
            <v>1277.4991711819252</v>
          </cell>
          <cell r="G540">
            <v>0</v>
          </cell>
        </row>
        <row r="541">
          <cell r="A541" t="str">
            <v>FRESENIUS KABI ILAÇ SAN. VE TIC. LTD. STI.</v>
          </cell>
          <cell r="B541" t="e">
            <v>#N/A</v>
          </cell>
          <cell r="C541" t="str">
            <v>SMB</v>
          </cell>
          <cell r="D541">
            <v>44927</v>
          </cell>
          <cell r="E541">
            <v>746.33628846963745</v>
          </cell>
          <cell r="F541">
            <v>475.80848477371461</v>
          </cell>
          <cell r="G541">
            <v>0</v>
          </cell>
        </row>
        <row r="542">
          <cell r="A542" t="str">
            <v>GENMAK GENEL MAKİNA SANAYİ VE TİCARET LTD.ŞTİ.</v>
          </cell>
          <cell r="B542" t="e">
            <v>#N/A</v>
          </cell>
          <cell r="C542" t="str">
            <v>SMB</v>
          </cell>
          <cell r="D542">
            <v>44927</v>
          </cell>
          <cell r="E542">
            <v>6</v>
          </cell>
          <cell r="F542">
            <v>0</v>
          </cell>
          <cell r="G542">
            <v>0</v>
          </cell>
        </row>
        <row r="543">
          <cell r="A543" t="str">
            <v>HARE GROUP ORGANİZASYON TURİZM SANAYİ TİCARET A.Ş</v>
          </cell>
          <cell r="B543" t="e">
            <v>#N/A</v>
          </cell>
          <cell r="C543" t="str">
            <v>SMB</v>
          </cell>
          <cell r="D543">
            <v>44927</v>
          </cell>
          <cell r="E543">
            <v>210</v>
          </cell>
          <cell r="F543">
            <v>0</v>
          </cell>
          <cell r="G543">
            <v>0</v>
          </cell>
        </row>
        <row r="544">
          <cell r="A544" t="str">
            <v>INTER MEDYA TİCARET LTD.ŞTİ.</v>
          </cell>
          <cell r="B544" t="e">
            <v>#N/A</v>
          </cell>
          <cell r="C544" t="str">
            <v>SMB</v>
          </cell>
          <cell r="D544">
            <v>44927</v>
          </cell>
          <cell r="E544">
            <v>454.62663460974613</v>
          </cell>
          <cell r="F544">
            <v>0</v>
          </cell>
          <cell r="G544">
            <v>0</v>
          </cell>
        </row>
        <row r="545">
          <cell r="A545" t="str">
            <v>İSTEM OKULLARI LTD.ŞTİ.</v>
          </cell>
          <cell r="B545" t="e">
            <v>#N/A</v>
          </cell>
          <cell r="C545" t="str">
            <v>SMB</v>
          </cell>
          <cell r="D545">
            <v>44927</v>
          </cell>
          <cell r="E545">
            <v>69.462584562566974</v>
          </cell>
          <cell r="F545">
            <v>43.446845543148086</v>
          </cell>
          <cell r="G545">
            <v>0</v>
          </cell>
        </row>
        <row r="546">
          <cell r="A546" t="str">
            <v>ITO Bilgiyi Ticarilestirme ve Arastirma Vakfi Ikti</v>
          </cell>
          <cell r="B546" t="e">
            <v>#N/A</v>
          </cell>
          <cell r="C546" t="str">
            <v>SMB</v>
          </cell>
          <cell r="D546">
            <v>44927</v>
          </cell>
          <cell r="E546">
            <v>101.28849629230794</v>
          </cell>
          <cell r="F546">
            <v>97.863018448929509</v>
          </cell>
          <cell r="G546">
            <v>0</v>
          </cell>
        </row>
        <row r="547">
          <cell r="A547" t="str">
            <v>KENTPARK ALISVERIS MERKEZI VE ILETMECILIK AS.</v>
          </cell>
          <cell r="B547" t="e">
            <v>#N/A</v>
          </cell>
          <cell r="C547" t="str">
            <v>SMB</v>
          </cell>
          <cell r="D547">
            <v>44927</v>
          </cell>
          <cell r="E547">
            <v>293.17</v>
          </cell>
          <cell r="F547">
            <v>0</v>
          </cell>
          <cell r="G547">
            <v>0</v>
          </cell>
        </row>
        <row r="548">
          <cell r="A548" t="str">
            <v>MARGE ARAŞTIRMA GELİŞTİRME VE MÜHENDİSLİK  A.Ş.</v>
          </cell>
          <cell r="B548" t="e">
            <v>#N/A</v>
          </cell>
          <cell r="C548" t="str">
            <v>SMB</v>
          </cell>
          <cell r="D548">
            <v>44927</v>
          </cell>
          <cell r="E548">
            <v>54.46</v>
          </cell>
          <cell r="F548">
            <v>54.46</v>
          </cell>
          <cell r="G548">
            <v>0</v>
          </cell>
        </row>
        <row r="549">
          <cell r="A549" t="str">
            <v>MATADOR ET ÜRÜNLERI VE REST.ISL.GIDA. - GÜRKAN ŞEF</v>
          </cell>
          <cell r="B549" t="e">
            <v>#N/A</v>
          </cell>
          <cell r="C549" t="str">
            <v>SMB</v>
          </cell>
          <cell r="D549">
            <v>44927</v>
          </cell>
          <cell r="E549">
            <v>433.54159492064849</v>
          </cell>
          <cell r="F549">
            <v>623.45003079600815</v>
          </cell>
          <cell r="G549">
            <v>0</v>
          </cell>
        </row>
        <row r="550">
          <cell r="A550" t="str">
            <v>MAYA HOLDING - MAYA GAYRİMENKUL GELİŞTİRME A.Ş.</v>
          </cell>
          <cell r="B550" t="e">
            <v>#N/A</v>
          </cell>
          <cell r="C550" t="str">
            <v>SMB</v>
          </cell>
          <cell r="D550">
            <v>44927</v>
          </cell>
          <cell r="E550">
            <v>377.32</v>
          </cell>
          <cell r="F550">
            <v>377.32</v>
          </cell>
          <cell r="G550">
            <v>0</v>
          </cell>
        </row>
        <row r="551">
          <cell r="A551" t="str">
            <v>NEMA BAHÇE KÜLTÜRLERI ÜRETIM VE PAZARLAMA LTD.STI.</v>
          </cell>
          <cell r="B551" t="e">
            <v>#N/A</v>
          </cell>
          <cell r="C551" t="str">
            <v>SMB</v>
          </cell>
          <cell r="D551">
            <v>44927</v>
          </cell>
          <cell r="E551">
            <v>856.85146415934094</v>
          </cell>
          <cell r="F551">
            <v>550.97313775178475</v>
          </cell>
          <cell r="G551">
            <v>0</v>
          </cell>
        </row>
        <row r="552">
          <cell r="A552" t="str">
            <v>OGOO ILETISIM HIZMETLERI TICARET LIMITED SIRKETI</v>
          </cell>
          <cell r="B552" t="e">
            <v>#N/A</v>
          </cell>
          <cell r="C552" t="str">
            <v>SMB</v>
          </cell>
          <cell r="D552">
            <v>44927</v>
          </cell>
          <cell r="E552">
            <v>700</v>
          </cell>
          <cell r="F552">
            <v>751.53942000000006</v>
          </cell>
          <cell r="G552">
            <v>0</v>
          </cell>
        </row>
        <row r="553">
          <cell r="A553" t="str">
            <v>OKAN KONFEKSIYON SAN. VE TIC. LTD.STI. (KİKİRİKİ)</v>
          </cell>
          <cell r="B553" t="e">
            <v>#N/A</v>
          </cell>
          <cell r="C553" t="str">
            <v>SMB</v>
          </cell>
          <cell r="D553">
            <v>44927</v>
          </cell>
          <cell r="E553">
            <v>976.73456549900595</v>
          </cell>
          <cell r="F553">
            <v>1533.8619501248716</v>
          </cell>
          <cell r="G553">
            <v>0</v>
          </cell>
        </row>
        <row r="554">
          <cell r="A554" t="str">
            <v>PENINSULA EMLAK YATIRIM A.S.</v>
          </cell>
          <cell r="B554" t="e">
            <v>#N/A</v>
          </cell>
          <cell r="C554" t="str">
            <v>SMB</v>
          </cell>
          <cell r="D554">
            <v>44927</v>
          </cell>
          <cell r="E554">
            <v>724.75424478764069</v>
          </cell>
          <cell r="F554">
            <v>746.17451993771442</v>
          </cell>
          <cell r="G554">
            <v>0</v>
          </cell>
        </row>
        <row r="555">
          <cell r="A555" t="str">
            <v>PSH PERAKENDE SATIS HIZMETLERI GIDA ANONIM SIRKETI</v>
          </cell>
          <cell r="B555" t="e">
            <v>#N/A</v>
          </cell>
          <cell r="C555" t="str">
            <v>SMB</v>
          </cell>
          <cell r="D555">
            <v>44927</v>
          </cell>
          <cell r="E555">
            <v>373.30461715613893</v>
          </cell>
          <cell r="F555">
            <v>0</v>
          </cell>
          <cell r="G555">
            <v>0</v>
          </cell>
        </row>
        <row r="556">
          <cell r="A556" t="str">
            <v>SAĞLIK BAHÇESİ EĞ. ARŞ. DAN VE İLETİŞİM A.Ş</v>
          </cell>
          <cell r="B556" t="e">
            <v>#N/A</v>
          </cell>
          <cell r="C556" t="str">
            <v>SMB</v>
          </cell>
          <cell r="D556">
            <v>44927</v>
          </cell>
          <cell r="E556">
            <v>110</v>
          </cell>
          <cell r="F556">
            <v>141.9982</v>
          </cell>
          <cell r="G556">
            <v>0</v>
          </cell>
        </row>
        <row r="557">
          <cell r="A557" t="str">
            <v>SAKLIKOY SPOR VE TUR (TAMER CANKAT)</v>
          </cell>
          <cell r="B557" t="e">
            <v>#N/A</v>
          </cell>
          <cell r="C557" t="str">
            <v>SMB</v>
          </cell>
          <cell r="D557">
            <v>44927</v>
          </cell>
          <cell r="E557">
            <v>146.43</v>
          </cell>
          <cell r="F557">
            <v>27.5</v>
          </cell>
          <cell r="G557">
            <v>0</v>
          </cell>
        </row>
        <row r="558">
          <cell r="A558" t="str">
            <v>SANGO OTOMOTIV ÜRÜNLERI SANAYI VE TICARET A.S</v>
          </cell>
          <cell r="B558" t="e">
            <v>#N/A</v>
          </cell>
          <cell r="C558" t="str">
            <v>SMB</v>
          </cell>
          <cell r="D558">
            <v>44927</v>
          </cell>
          <cell r="E558">
            <v>1674.7631760278293</v>
          </cell>
          <cell r="F558">
            <v>1178.2734696191178</v>
          </cell>
          <cell r="G558">
            <v>0</v>
          </cell>
        </row>
        <row r="559">
          <cell r="A559" t="str">
            <v>ŞEKER SIGORTA A.S.</v>
          </cell>
          <cell r="B559" t="e">
            <v>#N/A</v>
          </cell>
          <cell r="C559" t="str">
            <v>SMB</v>
          </cell>
          <cell r="D559">
            <v>44927</v>
          </cell>
          <cell r="E559">
            <v>2421.9499999999998</v>
          </cell>
          <cell r="F559">
            <v>2535.0660000000003</v>
          </cell>
          <cell r="G559">
            <v>0</v>
          </cell>
        </row>
        <row r="560">
          <cell r="A560" t="str">
            <v>ALTIUM INTERNATIONAL LABORATUVAR CİHAZLARI A.Ş.</v>
          </cell>
          <cell r="B560" t="e">
            <v>#N/A</v>
          </cell>
          <cell r="C560" t="str">
            <v>SMB</v>
          </cell>
          <cell r="D560">
            <v>44927</v>
          </cell>
          <cell r="E560">
            <v>2006</v>
          </cell>
          <cell r="F560">
            <v>798.83999999999992</v>
          </cell>
          <cell r="G560">
            <v>0</v>
          </cell>
        </row>
        <row r="561">
          <cell r="A561" t="str">
            <v>SEZER TEKSTIL SAN.TIC.A.S</v>
          </cell>
          <cell r="B561" t="e">
            <v>#N/A</v>
          </cell>
          <cell r="C561" t="str">
            <v>SMB</v>
          </cell>
          <cell r="D561">
            <v>44927</v>
          </cell>
          <cell r="E561">
            <v>991.07279121532963</v>
          </cell>
          <cell r="F561">
            <v>0</v>
          </cell>
          <cell r="G561">
            <v>0</v>
          </cell>
        </row>
        <row r="562">
          <cell r="A562" t="str">
            <v>SİLKAR TURİZM YATIRIM VE İŞLETMELERİ A.Ş</v>
          </cell>
          <cell r="B562" t="e">
            <v>#N/A</v>
          </cell>
          <cell r="C562" t="str">
            <v>SMB</v>
          </cell>
          <cell r="D562">
            <v>44927</v>
          </cell>
          <cell r="E562">
            <v>176</v>
          </cell>
          <cell r="F562">
            <v>176</v>
          </cell>
          <cell r="G562">
            <v>0</v>
          </cell>
        </row>
        <row r="563">
          <cell r="A563" t="str">
            <v>SOYKP IS MERKEZI ISLETMECILIGI A.S.</v>
          </cell>
          <cell r="B563" t="e">
            <v>#N/A</v>
          </cell>
          <cell r="C563" t="str">
            <v>SMB</v>
          </cell>
          <cell r="D563">
            <v>44927</v>
          </cell>
          <cell r="E563">
            <v>333.23893956275356</v>
          </cell>
          <cell r="F563">
            <v>0</v>
          </cell>
          <cell r="G563">
            <v>0</v>
          </cell>
        </row>
        <row r="564">
          <cell r="A564" t="str">
            <v>STRADA SEYAHAT ACENTELIGI LTD. STI</v>
          </cell>
          <cell r="B564" t="e">
            <v>#N/A</v>
          </cell>
          <cell r="C564" t="str">
            <v>SMB</v>
          </cell>
          <cell r="D564">
            <v>44927</v>
          </cell>
          <cell r="E564">
            <v>176.5</v>
          </cell>
          <cell r="F564">
            <v>0</v>
          </cell>
          <cell r="G564">
            <v>0</v>
          </cell>
        </row>
        <row r="565">
          <cell r="A565" t="str">
            <v>TEKYAZ TEKNOLOJIK  YAZILIMLAR VE MAKINE  TIC. A.S.</v>
          </cell>
          <cell r="B565" t="e">
            <v>#N/A</v>
          </cell>
          <cell r="C565" t="str">
            <v>SMB</v>
          </cell>
          <cell r="D565">
            <v>44927</v>
          </cell>
          <cell r="E565">
            <v>841.39198440157156</v>
          </cell>
          <cell r="F565">
            <v>0</v>
          </cell>
          <cell r="G565">
            <v>0</v>
          </cell>
        </row>
        <row r="566">
          <cell r="A566" t="str">
            <v>TERAKKI VAKFI ÖZEL SISLI TERAKKI LISESI</v>
          </cell>
          <cell r="B566" t="e">
            <v>#N/A</v>
          </cell>
          <cell r="C566" t="str">
            <v>SMB</v>
          </cell>
          <cell r="D566">
            <v>44927</v>
          </cell>
          <cell r="E566">
            <v>279.94114605268072</v>
          </cell>
          <cell r="F566">
            <v>0</v>
          </cell>
          <cell r="G566">
            <v>0</v>
          </cell>
        </row>
        <row r="567">
          <cell r="A567" t="str">
            <v>TK 34 YIYECEK IÇECEK GIDA RESTORAN TUR.TIC.SAN.LTD</v>
          </cell>
          <cell r="B567" t="e">
            <v>#N/A</v>
          </cell>
          <cell r="C567" t="str">
            <v>SMB</v>
          </cell>
          <cell r="D567">
            <v>44927</v>
          </cell>
          <cell r="E567">
            <v>150</v>
          </cell>
          <cell r="F567">
            <v>0</v>
          </cell>
          <cell r="G567">
            <v>0</v>
          </cell>
        </row>
        <row r="568">
          <cell r="A568" t="str">
            <v>TSM DANISMANLIK ORGA.VE PAZ. AS.</v>
          </cell>
          <cell r="B568" t="e">
            <v>#N/A</v>
          </cell>
          <cell r="C568" t="str">
            <v>SMB</v>
          </cell>
          <cell r="D568">
            <v>44927</v>
          </cell>
          <cell r="E568">
            <v>100</v>
          </cell>
          <cell r="F568">
            <v>0</v>
          </cell>
          <cell r="G568">
            <v>0</v>
          </cell>
        </row>
        <row r="569">
          <cell r="A569" t="str">
            <v>TURGUT ALTON MIMARLIK MÜSAVIRLIK LTD.STI.</v>
          </cell>
          <cell r="B569" t="e">
            <v>#N/A</v>
          </cell>
          <cell r="C569" t="str">
            <v>SMB</v>
          </cell>
          <cell r="D569">
            <v>44927</v>
          </cell>
          <cell r="E569">
            <v>514.94999999999993</v>
          </cell>
          <cell r="F569">
            <v>514.94997999999998</v>
          </cell>
          <cell r="G569">
            <v>0</v>
          </cell>
        </row>
        <row r="570">
          <cell r="A570" t="str">
            <v>UMTAS ULUSLARARASI MAKINA TIC. A.S.</v>
          </cell>
          <cell r="B570" t="e">
            <v>#N/A</v>
          </cell>
          <cell r="C570" t="str">
            <v>SMB</v>
          </cell>
          <cell r="D570">
            <v>44927</v>
          </cell>
          <cell r="E570">
            <v>635.79404931417025</v>
          </cell>
          <cell r="F570">
            <v>0</v>
          </cell>
          <cell r="G570">
            <v>0</v>
          </cell>
        </row>
        <row r="571">
          <cell r="A571" t="str">
            <v>YARGICI KONFEKSIYON IHRACAT VE TICARET AS.</v>
          </cell>
          <cell r="B571" t="e">
            <v>#N/A</v>
          </cell>
          <cell r="C571" t="str">
            <v>SMB</v>
          </cell>
          <cell r="D571">
            <v>44927</v>
          </cell>
          <cell r="E571">
            <v>990.24485161235293</v>
          </cell>
          <cell r="F571">
            <v>0</v>
          </cell>
          <cell r="G571">
            <v>0</v>
          </cell>
        </row>
        <row r="572">
          <cell r="A572" t="str">
            <v>ZEKİ EDEBALI</v>
          </cell>
          <cell r="B572" t="e">
            <v>#N/A</v>
          </cell>
          <cell r="C572" t="str">
            <v>SMB</v>
          </cell>
          <cell r="D572">
            <v>44927</v>
          </cell>
          <cell r="E572">
            <v>368.01100294783026</v>
          </cell>
          <cell r="F572">
            <v>468.0708859720782</v>
          </cell>
          <cell r="G572">
            <v>0</v>
          </cell>
        </row>
        <row r="573">
          <cell r="A573" t="str">
            <v>ARTEK YAZILIMEVİ DAN. HİZ. TİC. LTD. ŞTİ.</v>
          </cell>
          <cell r="B573" t="e">
            <v>#N/A</v>
          </cell>
          <cell r="C573" t="str">
            <v>SMB</v>
          </cell>
          <cell r="D573">
            <v>44927</v>
          </cell>
          <cell r="E573">
            <v>55</v>
          </cell>
          <cell r="F573">
            <v>50</v>
          </cell>
          <cell r="G573">
            <v>0</v>
          </cell>
        </row>
        <row r="574">
          <cell r="A574" t="str">
            <v>DEVON YAPI ÜRÜNLERİ İTH. SAN. ve TİC. A.Ş.</v>
          </cell>
          <cell r="B574" t="e">
            <v>#N/A</v>
          </cell>
          <cell r="C574" t="str">
            <v>SMB</v>
          </cell>
          <cell r="D574">
            <v>44927</v>
          </cell>
          <cell r="E574">
            <v>125</v>
          </cell>
          <cell r="F574">
            <v>0</v>
          </cell>
          <cell r="G574">
            <v>0</v>
          </cell>
        </row>
        <row r="575">
          <cell r="A575" t="str">
            <v xml:space="preserve">İNGENO DAN. ÇEVİRİ VE TIBBİ ARAŞ. ORG. TİC. İTH. </v>
          </cell>
          <cell r="B575" t="e">
            <v>#N/A</v>
          </cell>
          <cell r="C575" t="str">
            <v>SMB</v>
          </cell>
          <cell r="D575">
            <v>44927</v>
          </cell>
          <cell r="E575">
            <v>95</v>
          </cell>
          <cell r="F575">
            <v>95</v>
          </cell>
          <cell r="G575">
            <v>0</v>
          </cell>
        </row>
        <row r="576">
          <cell r="A576" t="str">
            <v>KGM ENERJİ TİC.LTD.ŞTİ.</v>
          </cell>
          <cell r="B576" t="e">
            <v>#N/A</v>
          </cell>
          <cell r="C576" t="str">
            <v>SMB</v>
          </cell>
          <cell r="D576">
            <v>45015</v>
          </cell>
          <cell r="E576">
            <v>640</v>
          </cell>
          <cell r="F576">
            <v>0</v>
          </cell>
          <cell r="G576">
            <v>0</v>
          </cell>
        </row>
        <row r="577">
          <cell r="A577" t="str">
            <v>TÜM TEKNOLOJI ÜRETIM MERKEZI A.Ş.</v>
          </cell>
          <cell r="B577" t="e">
            <v>#N/A</v>
          </cell>
          <cell r="C577" t="str">
            <v>SMB</v>
          </cell>
          <cell r="D577">
            <v>45015</v>
          </cell>
          <cell r="E577">
            <v>110.01</v>
          </cell>
          <cell r="F577">
            <v>0</v>
          </cell>
          <cell r="G577">
            <v>0</v>
          </cell>
        </row>
        <row r="578">
          <cell r="A578" t="str">
            <v>Kentglobal Park Dış Tic AŞ</v>
          </cell>
          <cell r="B578" t="e">
            <v>#REF!</v>
          </cell>
          <cell r="C578" t="str">
            <v>SMB</v>
          </cell>
          <cell r="D578">
            <v>45042</v>
          </cell>
          <cell r="E578">
            <v>180</v>
          </cell>
          <cell r="F578">
            <v>103.20000524999999</v>
          </cell>
          <cell r="G578">
            <v>0</v>
          </cell>
        </row>
        <row r="579">
          <cell r="A579" t="str">
            <v>SHOPISTANBUL TEKNOLOJI VE TICARET LIMITED SIRKETI</v>
          </cell>
          <cell r="B579" t="e">
            <v>#N/A</v>
          </cell>
          <cell r="C579" t="str">
            <v>SMB</v>
          </cell>
          <cell r="D579">
            <v>45046</v>
          </cell>
          <cell r="E579">
            <v>160.00000299999999</v>
          </cell>
          <cell r="F579">
            <v>0</v>
          </cell>
          <cell r="G579">
            <v>0</v>
          </cell>
        </row>
        <row r="580">
          <cell r="A580" t="str">
            <v>JONES LANG LASALLE GAYRIMENKUL HIZMETLERI TIC.A.Ş.</v>
          </cell>
          <cell r="B580" t="e">
            <v>#N/A</v>
          </cell>
          <cell r="C580" t="str">
            <v>SMB</v>
          </cell>
          <cell r="D580">
            <v>45057</v>
          </cell>
          <cell r="E580">
            <v>225.00679199999996</v>
          </cell>
          <cell r="F580">
            <v>232.00679199999996</v>
          </cell>
          <cell r="G580">
            <v>0</v>
          </cell>
        </row>
        <row r="581">
          <cell r="A581" t="str">
            <v>BASKENT HOLDING A S.</v>
          </cell>
          <cell r="B581" t="e">
            <v>#N/A</v>
          </cell>
          <cell r="C581" t="str">
            <v>SMB</v>
          </cell>
          <cell r="D581">
            <v>45077</v>
          </cell>
          <cell r="E581">
            <v>159.98935800000001</v>
          </cell>
          <cell r="F581">
            <v>0</v>
          </cell>
          <cell r="G581">
            <v>0</v>
          </cell>
        </row>
        <row r="582">
          <cell r="A582" t="str">
            <v>GÜLENYÜZ SİGORTA</v>
          </cell>
          <cell r="B582" t="e">
            <v>#N/A</v>
          </cell>
          <cell r="C582" t="str">
            <v>SMB</v>
          </cell>
          <cell r="D582">
            <v>45061</v>
          </cell>
          <cell r="E582">
            <v>25</v>
          </cell>
          <cell r="F582">
            <v>0</v>
          </cell>
          <cell r="G582">
            <v>0</v>
          </cell>
        </row>
        <row r="583">
          <cell r="A583" t="str">
            <v>SÜTPLUS GIDA TÜKETİM MADDELERİ SAN.VE TİC.LTD.ŞTİ.</v>
          </cell>
          <cell r="B583" t="e">
            <v>#N/A</v>
          </cell>
          <cell r="C583" t="str">
            <v>SMB</v>
          </cell>
          <cell r="D583">
            <v>45134</v>
          </cell>
          <cell r="E583">
            <v>86</v>
          </cell>
          <cell r="F583">
            <v>0</v>
          </cell>
          <cell r="G583">
            <v>0</v>
          </cell>
        </row>
        <row r="584">
          <cell r="A584" t="str">
            <v>GİSAŞ GEMI İNŞA SANAYI A.Ş.</v>
          </cell>
          <cell r="B584" t="e">
            <v>#N/A</v>
          </cell>
          <cell r="C584" t="str">
            <v>SMB</v>
          </cell>
          <cell r="D584">
            <v>45098</v>
          </cell>
          <cell r="E584">
            <v>575.00033000000008</v>
          </cell>
          <cell r="F584">
            <v>600.0006800000001</v>
          </cell>
          <cell r="G584">
            <v>0</v>
          </cell>
        </row>
        <row r="585">
          <cell r="A585" t="str">
            <v>ÖZEL ALEV OKULLARI</v>
          </cell>
          <cell r="B585" t="e">
            <v>#N/A</v>
          </cell>
          <cell r="C585" t="str">
            <v>SMB</v>
          </cell>
          <cell r="D585">
            <v>45176</v>
          </cell>
          <cell r="E585">
            <v>200</v>
          </cell>
          <cell r="F585">
            <v>200</v>
          </cell>
          <cell r="G585">
            <v>0</v>
          </cell>
        </row>
        <row r="586">
          <cell r="A586" t="str">
            <v>ANTAKYA BASIM YAYIN TURZ.İNŞ.TİC.LTD.ŞTİ</v>
          </cell>
          <cell r="B586" t="e">
            <v>#N/A</v>
          </cell>
          <cell r="C586" t="str">
            <v>SMB</v>
          </cell>
          <cell r="D586">
            <v>45219</v>
          </cell>
          <cell r="E586">
            <v>595.03000000000009</v>
          </cell>
          <cell r="F586">
            <v>645.03</v>
          </cell>
          <cell r="G586">
            <v>0</v>
          </cell>
        </row>
        <row r="587">
          <cell r="A587" t="str">
            <v>ULU MOTOR SAN. VE TİC.. A.Ş</v>
          </cell>
          <cell r="B587" t="e">
            <v>#N/A</v>
          </cell>
          <cell r="C587" t="str">
            <v>SMB</v>
          </cell>
          <cell r="D587">
            <v>45251</v>
          </cell>
          <cell r="E587">
            <v>146.00092000000001</v>
          </cell>
          <cell r="F587">
            <v>0</v>
          </cell>
          <cell r="G587">
            <v>0</v>
          </cell>
        </row>
        <row r="588">
          <cell r="A588" t="str">
            <v>DAĞCIOĞLU BAHARAT</v>
          </cell>
          <cell r="B588" t="e">
            <v>#N/A</v>
          </cell>
          <cell r="C588" t="str">
            <v>SMB</v>
          </cell>
          <cell r="D588">
            <v>45239</v>
          </cell>
          <cell r="E588">
            <v>119.16666666666667</v>
          </cell>
          <cell r="F588">
            <v>0</v>
          </cell>
          <cell r="G588">
            <v>0</v>
          </cell>
        </row>
        <row r="589">
          <cell r="A589" t="str">
            <v>TEDMARİNE GEMİ ACENTELİĞİ ANONİM ŞİRKETİ</v>
          </cell>
          <cell r="B589" t="e">
            <v>#N/A</v>
          </cell>
          <cell r="C589" t="str">
            <v>SMB</v>
          </cell>
          <cell r="D589">
            <v>45231</v>
          </cell>
          <cell r="E589">
            <v>150</v>
          </cell>
          <cell r="F589">
            <v>0</v>
          </cell>
          <cell r="G589">
            <v>0</v>
          </cell>
        </row>
        <row r="590">
          <cell r="A590" t="str">
            <v>ALBAŞLAR İNŞAAT TESİSAT TEKNİK YAPI MAL</v>
          </cell>
          <cell r="B590" t="e">
            <v>#N/A</v>
          </cell>
          <cell r="C590" t="str">
            <v>SMB</v>
          </cell>
          <cell r="D590">
            <v>45260</v>
          </cell>
          <cell r="E590">
            <v>103.2</v>
          </cell>
          <cell r="F590">
            <v>0</v>
          </cell>
          <cell r="G590">
            <v>0</v>
          </cell>
        </row>
        <row r="591">
          <cell r="A591" t="str">
            <v>ROSTHİL SU ARITIM TEKNOLOJİLERİ</v>
          </cell>
          <cell r="B591" t="e">
            <v>#REF!</v>
          </cell>
          <cell r="C591" t="str">
            <v>SMB</v>
          </cell>
          <cell r="D591">
            <v>45261</v>
          </cell>
          <cell r="E591">
            <v>165</v>
          </cell>
          <cell r="F591">
            <v>175</v>
          </cell>
          <cell r="G591">
            <v>0</v>
          </cell>
        </row>
        <row r="592">
          <cell r="A592" t="str">
            <v>TS Verim Danışmanlık ve Turizm Ltd Şti.</v>
          </cell>
          <cell r="B592" t="e">
            <v>#REF!</v>
          </cell>
          <cell r="C592" t="str">
            <v>SMB</v>
          </cell>
          <cell r="D592">
            <v>45638</v>
          </cell>
          <cell r="E592">
            <v>175</v>
          </cell>
          <cell r="F592">
            <v>0</v>
          </cell>
          <cell r="G592">
            <v>0</v>
          </cell>
        </row>
        <row r="593">
          <cell r="A593" t="str">
            <v>Royal Duchess Marine Denizcilik A.Ş.</v>
          </cell>
          <cell r="B593" t="e">
            <v>#N/A</v>
          </cell>
          <cell r="C593" t="str">
            <v>SMB</v>
          </cell>
          <cell r="D593">
            <v>45299</v>
          </cell>
          <cell r="E593">
            <v>570.00000016666672</v>
          </cell>
          <cell r="F593">
            <v>0</v>
          </cell>
          <cell r="G593">
            <v>0</v>
          </cell>
        </row>
        <row r="594">
          <cell r="A594" t="str">
            <v>METU KİMYA</v>
          </cell>
          <cell r="B594" t="e">
            <v>#N/A</v>
          </cell>
          <cell r="C594" t="str">
            <v>SMB</v>
          </cell>
          <cell r="D594">
            <v>45289</v>
          </cell>
          <cell r="E594">
            <v>155</v>
          </cell>
          <cell r="F594">
            <v>0</v>
          </cell>
          <cell r="G594">
            <v>0</v>
          </cell>
        </row>
        <row r="595">
          <cell r="A595" t="str">
            <v>PENINSULA CORPORATE FINANCE DANIŞMANLIK A.Ş</v>
          </cell>
          <cell r="B595" t="e">
            <v>#REF!</v>
          </cell>
          <cell r="C595" t="str">
            <v>SMB</v>
          </cell>
          <cell r="D595">
            <v>45295</v>
          </cell>
          <cell r="E595">
            <v>208</v>
          </cell>
          <cell r="F595">
            <v>208</v>
          </cell>
          <cell r="G595">
            <v>0</v>
          </cell>
        </row>
        <row r="596">
          <cell r="A596" t="str">
            <v>NOBEL BIOCARE</v>
          </cell>
          <cell r="B596" t="e">
            <v>#N/A</v>
          </cell>
          <cell r="C596" t="str">
            <v>SMB</v>
          </cell>
          <cell r="D596">
            <v>45839</v>
          </cell>
          <cell r="E596">
            <v>925</v>
          </cell>
          <cell r="F596">
            <v>0</v>
          </cell>
          <cell r="G596">
            <v>0</v>
          </cell>
        </row>
        <row r="597">
          <cell r="A597" t="str">
            <v>PRİNCEPS LEGEM KURUMSAL DANIŞMANLIK LTD.ŞTİ</v>
          </cell>
          <cell r="B597" t="e">
            <v>#REF!</v>
          </cell>
          <cell r="C597" t="str">
            <v>SMB</v>
          </cell>
          <cell r="D597">
            <v>45344</v>
          </cell>
          <cell r="E597">
            <v>86.000835333333342</v>
          </cell>
          <cell r="F597">
            <v>0</v>
          </cell>
          <cell r="G597">
            <v>0</v>
          </cell>
        </row>
        <row r="598">
          <cell r="A598" t="str">
            <v>Mor Elma Yayıncılık</v>
          </cell>
          <cell r="B598" t="e">
            <v>#N/A</v>
          </cell>
          <cell r="C598" t="str">
            <v>SMB</v>
          </cell>
          <cell r="D598">
            <v>45384</v>
          </cell>
          <cell r="E598">
            <v>175.01293400000003</v>
          </cell>
          <cell r="F598">
            <v>0</v>
          </cell>
          <cell r="G598">
            <v>0</v>
          </cell>
        </row>
        <row r="599">
          <cell r="A599" t="str">
            <v>Fortis Plastik Sanayi Ticaret Ltd.Şti.</v>
          </cell>
          <cell r="B599" t="e">
            <v>#N/A</v>
          </cell>
          <cell r="C599" t="str">
            <v>SMB</v>
          </cell>
          <cell r="D599">
            <v>45411</v>
          </cell>
          <cell r="E599">
            <v>155.01231000000001</v>
          </cell>
          <cell r="F599">
            <v>0</v>
          </cell>
          <cell r="G599">
            <v>0</v>
          </cell>
        </row>
        <row r="600">
          <cell r="A600" t="str">
            <v>Mastcolor Plastik San Ve Tic Ltd Şti</v>
          </cell>
          <cell r="B600" t="e">
            <v>#N/A</v>
          </cell>
          <cell r="C600" t="str">
            <v>SMB</v>
          </cell>
          <cell r="D600">
            <v>45412</v>
          </cell>
          <cell r="E600">
            <v>148.01231000000001</v>
          </cell>
          <cell r="F600">
            <v>0</v>
          </cell>
          <cell r="G600">
            <v>0</v>
          </cell>
        </row>
        <row r="601">
          <cell r="A601" t="str">
            <v>VMM VAROL MAKİNA SAN.TİC.LTD.ŞTİ.</v>
          </cell>
          <cell r="B601" t="e">
            <v>#N/A</v>
          </cell>
          <cell r="C601" t="str">
            <v>SMB</v>
          </cell>
          <cell r="D601">
            <v>45498</v>
          </cell>
          <cell r="E601">
            <v>148.99000099999998</v>
          </cell>
          <cell r="F601">
            <v>0</v>
          </cell>
          <cell r="G601">
            <v>0</v>
          </cell>
        </row>
        <row r="602">
          <cell r="A602" t="str">
            <v>SONÇAĞ MÜHENDİSLİK - SİNAN SONÇAĞI</v>
          </cell>
          <cell r="B602" t="e">
            <v>#N/A</v>
          </cell>
          <cell r="C602" t="str">
            <v>SMB</v>
          </cell>
          <cell r="D602">
            <v>45483</v>
          </cell>
          <cell r="E602">
            <v>75.02000000000001</v>
          </cell>
          <cell r="F602">
            <v>0</v>
          </cell>
          <cell r="G602">
            <v>0</v>
          </cell>
        </row>
        <row r="603">
          <cell r="A603" t="str">
            <v>Bisam Cephe Sistemleri AS</v>
          </cell>
          <cell r="B603" t="e">
            <v>#N/A</v>
          </cell>
          <cell r="C603" t="str">
            <v>SMB</v>
          </cell>
          <cell r="D603">
            <v>45478</v>
          </cell>
          <cell r="E603">
            <v>499.999999</v>
          </cell>
          <cell r="F603">
            <v>0</v>
          </cell>
          <cell r="G603">
            <v>0</v>
          </cell>
        </row>
        <row r="604">
          <cell r="A604" t="str">
            <v>Birleşik Araştırmacılar</v>
          </cell>
          <cell r="B604" t="e">
            <v>#N/A</v>
          </cell>
          <cell r="C604" t="str">
            <v>SMB</v>
          </cell>
          <cell r="D604">
            <v>45504</v>
          </cell>
          <cell r="E604">
            <v>252</v>
          </cell>
          <cell r="F604">
            <v>0</v>
          </cell>
          <cell r="G604">
            <v>0</v>
          </cell>
        </row>
        <row r="605">
          <cell r="A605" t="str">
            <v>AKAR TAAHHÜT YAPI İNŞAAT</v>
          </cell>
          <cell r="B605" t="e">
            <v>#N/A</v>
          </cell>
          <cell r="C605" t="str">
            <v>SMB</v>
          </cell>
          <cell r="D605">
            <v>45565</v>
          </cell>
          <cell r="E605">
            <v>175.00000000000003</v>
          </cell>
          <cell r="F605">
            <v>0</v>
          </cell>
          <cell r="G605">
            <v>0</v>
          </cell>
        </row>
        <row r="606">
          <cell r="A606" t="str">
            <v>EURO GIDA</v>
          </cell>
          <cell r="B606" t="e">
            <v>#N/A</v>
          </cell>
          <cell r="C606" t="str">
            <v>SMB</v>
          </cell>
          <cell r="D606">
            <v>44927</v>
          </cell>
          <cell r="E606">
            <v>750</v>
          </cell>
          <cell r="F606">
            <v>750</v>
          </cell>
          <cell r="G606">
            <v>0</v>
          </cell>
        </row>
        <row r="607">
          <cell r="A607" t="str">
            <v xml:space="preserve">NEXTSOFTEK BILGI TEKNOLOJILERI YAZILIM A.S- EKSİT </v>
          </cell>
          <cell r="B607" t="e">
            <v>#N/A</v>
          </cell>
          <cell r="C607" t="str">
            <v>SMB</v>
          </cell>
          <cell r="D607">
            <v>44927</v>
          </cell>
          <cell r="E607">
            <v>740</v>
          </cell>
          <cell r="F607">
            <v>799.19589599999995</v>
          </cell>
          <cell r="G607">
            <v>0</v>
          </cell>
        </row>
        <row r="608">
          <cell r="A608" t="str">
            <v>Dizayn Teknik Boru ve Elemanları San. ve Tic A.Ş.</v>
          </cell>
          <cell r="B608" t="e">
            <v>#N/A</v>
          </cell>
          <cell r="C608" t="str">
            <v>SMB</v>
          </cell>
          <cell r="D608">
            <v>45199</v>
          </cell>
          <cell r="E608">
            <v>875</v>
          </cell>
          <cell r="F608">
            <v>0</v>
          </cell>
          <cell r="G608">
            <v>0</v>
          </cell>
        </row>
        <row r="609">
          <cell r="A609" t="str">
            <v>ABALIOĞLU YAĞ</v>
          </cell>
          <cell r="B609" t="e">
            <v>#N/A</v>
          </cell>
          <cell r="C609" t="str">
            <v>SMB</v>
          </cell>
          <cell r="D609">
            <v>44927</v>
          </cell>
          <cell r="E609">
            <v>967.67</v>
          </cell>
          <cell r="F609">
            <v>987.04319999999996</v>
          </cell>
          <cell r="G609">
            <v>0</v>
          </cell>
        </row>
        <row r="610">
          <cell r="A610" t="str">
            <v>KISAN (TİBET ÖRS)</v>
          </cell>
          <cell r="B610" t="e">
            <v>#N/A</v>
          </cell>
          <cell r="C610" t="str">
            <v>SMB</v>
          </cell>
          <cell r="D610">
            <v>44927</v>
          </cell>
          <cell r="E610">
            <v>130.26073791335037</v>
          </cell>
          <cell r="F610">
            <v>125.90465664584926</v>
          </cell>
          <cell r="G610">
            <v>0</v>
          </cell>
        </row>
        <row r="611">
          <cell r="A611" t="str">
            <v>APEC ÇELİK YAPI SİSTEMLERİ A.Ş.</v>
          </cell>
          <cell r="B611" t="e">
            <v>#N/A</v>
          </cell>
          <cell r="C611" t="str">
            <v>SMB</v>
          </cell>
          <cell r="D611">
            <v>45155</v>
          </cell>
          <cell r="E611">
            <v>102.79879641860933</v>
          </cell>
          <cell r="F611">
            <v>0</v>
          </cell>
          <cell r="G611">
            <v>0</v>
          </cell>
        </row>
        <row r="612">
          <cell r="A612" t="str">
            <v>CNMAR DENİZCİLİK VE LOJİSTİK HİZMETLERİ LİMİTED Şİ</v>
          </cell>
          <cell r="B612" t="e">
            <v>#N/A</v>
          </cell>
          <cell r="C612" t="str">
            <v>SMB</v>
          </cell>
          <cell r="D612">
            <v>44927</v>
          </cell>
          <cell r="E612">
            <v>104.5</v>
          </cell>
          <cell r="F612">
            <v>0</v>
          </cell>
          <cell r="G612">
            <v>0</v>
          </cell>
        </row>
        <row r="613">
          <cell r="A613" t="str">
            <v>HASGÜR OFİS MALZEMELERİ TEMİZLİK ÜRÜNLERİ LTD.ŞTİ.</v>
          </cell>
          <cell r="B613" t="e">
            <v>#N/A</v>
          </cell>
          <cell r="C613" t="str">
            <v>SMB</v>
          </cell>
          <cell r="D613">
            <v>44927</v>
          </cell>
          <cell r="E613">
            <v>103.58333333333333</v>
          </cell>
          <cell r="F613">
            <v>84.4444444444444</v>
          </cell>
          <cell r="G613">
            <v>0</v>
          </cell>
        </row>
        <row r="614">
          <cell r="A614" t="str">
            <v>VENITURE BİLİŞİM TEKNOLOJİLERİ LİMİTED ŞİRKETİ</v>
          </cell>
          <cell r="B614" t="e">
            <v>#N/A</v>
          </cell>
          <cell r="C614" t="str">
            <v>SMB</v>
          </cell>
          <cell r="D614">
            <v>44927</v>
          </cell>
          <cell r="E614">
            <v>91.666666666666671</v>
          </cell>
          <cell r="F614">
            <v>149.60666666666665</v>
          </cell>
          <cell r="G614">
            <v>0</v>
          </cell>
        </row>
        <row r="615">
          <cell r="A615" t="str">
            <v>AŞÇIOĞLU İŞ ORTAKLIĞI</v>
          </cell>
          <cell r="B615" t="e">
            <v>#N/A</v>
          </cell>
          <cell r="C615" t="str">
            <v>SMB</v>
          </cell>
          <cell r="D615">
            <v>44927</v>
          </cell>
          <cell r="E615">
            <v>330</v>
          </cell>
          <cell r="F615">
            <v>0</v>
          </cell>
          <cell r="G615">
            <v>0</v>
          </cell>
        </row>
        <row r="616">
          <cell r="A616" t="str">
            <v>İD GEMİ ACENTELİĞİ TİC.LTD.ŞTİ.</v>
          </cell>
          <cell r="B616" t="e">
            <v>#N/A</v>
          </cell>
          <cell r="C616" t="str">
            <v>SMB</v>
          </cell>
          <cell r="D616">
            <v>45041</v>
          </cell>
          <cell r="E616">
            <v>146.66</v>
          </cell>
          <cell r="F616">
            <v>30</v>
          </cell>
          <cell r="G616">
            <v>0</v>
          </cell>
        </row>
        <row r="617">
          <cell r="A617" t="str">
            <v>MİLA PROJE MAĞAZACILIK ANONİM ŞİRKETİ</v>
          </cell>
          <cell r="B617" t="e">
            <v>#N/A</v>
          </cell>
          <cell r="C617" t="str">
            <v>SMB</v>
          </cell>
          <cell r="D617">
            <v>45051</v>
          </cell>
          <cell r="E617">
            <v>165.01955599999999</v>
          </cell>
          <cell r="F617">
            <v>175.01955600000002</v>
          </cell>
          <cell r="G617">
            <v>0</v>
          </cell>
        </row>
        <row r="618">
          <cell r="A618" t="str">
            <v>BİLGİLİ GRUP MÜHENDİSLİK VE TİC. LTD. ŞTİ.</v>
          </cell>
          <cell r="B618" t="e">
            <v>#N/A</v>
          </cell>
          <cell r="C618" t="str">
            <v>SMB</v>
          </cell>
          <cell r="D618">
            <v>44927</v>
          </cell>
          <cell r="E618">
            <v>113</v>
          </cell>
          <cell r="F618">
            <v>0</v>
          </cell>
          <cell r="G618">
            <v>0</v>
          </cell>
        </row>
        <row r="619">
          <cell r="A619" t="str">
            <v>TIED UP DEKORASYON ÜRÜNLERİ SAN.TİC.LTD.ŞTİ.</v>
          </cell>
          <cell r="B619" t="e">
            <v>#N/A</v>
          </cell>
          <cell r="C619" t="str">
            <v>SMB</v>
          </cell>
          <cell r="D619">
            <v>44953</v>
          </cell>
          <cell r="E619">
            <v>109</v>
          </cell>
          <cell r="F619">
            <v>0</v>
          </cell>
          <cell r="G619">
            <v>0</v>
          </cell>
        </row>
        <row r="620">
          <cell r="A620" t="str">
            <v>PAYBOX ELEKTRONİK TİCARET ANONİM ŞİRKETİ</v>
          </cell>
          <cell r="B620" t="e">
            <v>#N/A</v>
          </cell>
          <cell r="C620" t="str">
            <v>SMB</v>
          </cell>
          <cell r="D620">
            <v>44937</v>
          </cell>
          <cell r="E620">
            <v>225</v>
          </cell>
          <cell r="F620">
            <v>225</v>
          </cell>
          <cell r="G620">
            <v>0</v>
          </cell>
        </row>
        <row r="621">
          <cell r="A621" t="str">
            <v>ANATORIAS DIŞ TİCARET LTD. ŞTİ.</v>
          </cell>
          <cell r="B621" t="e">
            <v>#N/A</v>
          </cell>
          <cell r="C621" t="str">
            <v>SMB</v>
          </cell>
          <cell r="D621">
            <v>45108</v>
          </cell>
          <cell r="E621">
            <v>86</v>
          </cell>
          <cell r="F621">
            <v>0</v>
          </cell>
          <cell r="G621">
            <v>0</v>
          </cell>
        </row>
        <row r="622">
          <cell r="A622" t="str">
            <v>LEY MODA TEKSTİL TASARIM SANAYİ VE TİC LİMİTED</v>
          </cell>
          <cell r="B622" t="e">
            <v>#N/A</v>
          </cell>
          <cell r="C622" t="str">
            <v>SMB</v>
          </cell>
          <cell r="D622">
            <v>45090</v>
          </cell>
          <cell r="E622">
            <v>699.66</v>
          </cell>
          <cell r="F622">
            <v>103.2</v>
          </cell>
          <cell r="G622">
            <v>0</v>
          </cell>
        </row>
        <row r="623">
          <cell r="A623" t="str">
            <v>ZEYMEL İÇ VE DIŞ TİC. A.Ş.</v>
          </cell>
          <cell r="B623" t="e">
            <v>#N/A</v>
          </cell>
          <cell r="C623" t="str">
            <v>SMB</v>
          </cell>
          <cell r="D623">
            <v>45217</v>
          </cell>
          <cell r="E623">
            <v>86</v>
          </cell>
          <cell r="F623">
            <v>86</v>
          </cell>
          <cell r="G623">
            <v>0</v>
          </cell>
        </row>
        <row r="624">
          <cell r="A624" t="str">
            <v>HİVA TEKSTİL ÜRÜNLERİ SAN. VE TİC. LTD.ŞTİ</v>
          </cell>
          <cell r="B624" t="e">
            <v>#N/A</v>
          </cell>
          <cell r="C624" t="str">
            <v>SMB</v>
          </cell>
          <cell r="D624">
            <v>45322</v>
          </cell>
          <cell r="E624">
            <v>103.20000008333332</v>
          </cell>
          <cell r="F624">
            <v>0</v>
          </cell>
          <cell r="G624">
            <v>0</v>
          </cell>
        </row>
        <row r="625">
          <cell r="A625" t="str">
            <v>SL INVEST DANIŞMANLIK ANONİM ŞİRKETİ</v>
          </cell>
          <cell r="B625" t="e">
            <v>#N/A</v>
          </cell>
          <cell r="C625" t="str">
            <v>SMB</v>
          </cell>
          <cell r="D625">
            <v>45194</v>
          </cell>
          <cell r="E625">
            <v>119.16666666666667</v>
          </cell>
          <cell r="F625">
            <v>0</v>
          </cell>
          <cell r="G625">
            <v>0</v>
          </cell>
        </row>
        <row r="626">
          <cell r="A626" t="str">
            <v>Atomy Turkey Kozmetik ve Sağlıklı Ürünler Limited</v>
          </cell>
          <cell r="B626" t="e">
            <v>#N/A</v>
          </cell>
          <cell r="C626" t="str">
            <v>SMB</v>
          </cell>
          <cell r="D626">
            <v>45199</v>
          </cell>
          <cell r="E626">
            <v>119.16666666666667</v>
          </cell>
          <cell r="F626">
            <v>0</v>
          </cell>
          <cell r="G626">
            <v>0</v>
          </cell>
        </row>
        <row r="627">
          <cell r="A627" t="str">
            <v>SADIK GROUP YATIRIM İNŞAAT VE TİCARET LİMİTED ŞİRK</v>
          </cell>
          <cell r="B627" t="e">
            <v>#N/A</v>
          </cell>
          <cell r="C627" t="str">
            <v>SMB</v>
          </cell>
          <cell r="D627">
            <v>45199</v>
          </cell>
          <cell r="E627">
            <v>119.16666666666667</v>
          </cell>
          <cell r="F627">
            <v>0</v>
          </cell>
          <cell r="G627">
            <v>0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"/>
    </sheetNames>
    <sheetDataSet>
      <sheetData sheetId="0">
        <row r="2">
          <cell r="B2" t="str">
            <v>24 KARGO VE TAŞIMACILIK TİCARET A.Ş.</v>
          </cell>
          <cell r="C2" t="str">
            <v>SMB</v>
          </cell>
          <cell r="E2">
            <v>103</v>
          </cell>
          <cell r="F2">
            <v>0.2145796053733347</v>
          </cell>
          <cell r="G2">
            <v>83</v>
          </cell>
          <cell r="H2">
            <v>0.80582524271844658</v>
          </cell>
          <cell r="I2" t="str">
            <v>NO RISK</v>
          </cell>
          <cell r="J2" t="str">
            <v>NO RISK</v>
          </cell>
          <cell r="K2">
            <v>0</v>
          </cell>
          <cell r="M2" t="str">
            <v>YOK</v>
          </cell>
          <cell r="O2" t="str">
            <v>NO RISK</v>
          </cell>
        </row>
        <row r="3">
          <cell r="B3" t="str">
            <v>90PİXEL</v>
          </cell>
          <cell r="C3" t="str">
            <v>SMB</v>
          </cell>
          <cell r="E3">
            <v>1508</v>
          </cell>
          <cell r="F3">
            <v>2.1905290140364662E-2</v>
          </cell>
          <cell r="G3">
            <v>1478</v>
          </cell>
          <cell r="H3">
            <v>0.980106100795756</v>
          </cell>
          <cell r="I3" t="str">
            <v>LOW RISK</v>
          </cell>
          <cell r="J3" t="str">
            <v>HİZMET MEMNUNİYETSİZLİĞİ</v>
          </cell>
          <cell r="K3">
            <v>6</v>
          </cell>
          <cell r="L3">
            <v>0.83333333333333337</v>
          </cell>
          <cell r="M3" t="str">
            <v>-</v>
          </cell>
          <cell r="N3">
            <v>1.8385278514588859</v>
          </cell>
          <cell r="O3" t="str">
            <v>ÇÖZÜMSÜZLÜK</v>
          </cell>
        </row>
        <row r="4">
          <cell r="B4" t="str">
            <v>ABALIOGLU HOLDING</v>
          </cell>
          <cell r="C4" t="str">
            <v>SMB</v>
          </cell>
          <cell r="E4">
            <v>550</v>
          </cell>
          <cell r="F4">
            <v>0.21813311381677084</v>
          </cell>
          <cell r="G4">
            <v>442</v>
          </cell>
          <cell r="H4">
            <v>0.80363636363636359</v>
          </cell>
          <cell r="I4" t="str">
            <v>CHURN</v>
          </cell>
          <cell r="J4" t="str">
            <v>SÖZLEŞME SÜRECİ</v>
          </cell>
          <cell r="K4">
            <v>0</v>
          </cell>
          <cell r="M4" t="str">
            <v>-</v>
          </cell>
          <cell r="N4">
            <v>2.9227272727272728</v>
          </cell>
          <cell r="O4" t="str">
            <v>FİYAT</v>
          </cell>
        </row>
        <row r="5">
          <cell r="B5" t="str">
            <v>ABİDA BİLİŞİM TEKNOLOJİLERİ DANIŞMANLIK AŞ.</v>
          </cell>
          <cell r="C5" t="str">
            <v>SMB</v>
          </cell>
          <cell r="E5">
            <v>60</v>
          </cell>
          <cell r="G5">
            <v>60</v>
          </cell>
          <cell r="H5">
            <v>1</v>
          </cell>
          <cell r="I5" t="str">
            <v>BOOKED CHURN</v>
          </cell>
          <cell r="J5" t="str">
            <v>OPERASYONEL KARAR</v>
          </cell>
          <cell r="K5">
            <v>0</v>
          </cell>
          <cell r="M5" t="str">
            <v>-</v>
          </cell>
          <cell r="O5" t="str">
            <v>HİZMETE İHTİYAÇ KALMAMASI</v>
          </cell>
        </row>
        <row r="6">
          <cell r="B6" t="str">
            <v>ACAR MENKUL DEĞERLER A.Ş</v>
          </cell>
          <cell r="C6" t="str">
            <v>SMB</v>
          </cell>
          <cell r="E6">
            <v>2279</v>
          </cell>
          <cell r="F6">
            <v>0.20414132509282429</v>
          </cell>
          <cell r="G6">
            <v>1860</v>
          </cell>
          <cell r="H6">
            <v>0.81614743308468629</v>
          </cell>
          <cell r="I6" t="str">
            <v>NO RISK</v>
          </cell>
          <cell r="J6" t="str">
            <v>NO RISK</v>
          </cell>
          <cell r="K6">
            <v>4</v>
          </cell>
          <cell r="L6">
            <v>1</v>
          </cell>
          <cell r="M6" t="str">
            <v>-</v>
          </cell>
          <cell r="O6" t="str">
            <v>NO RISK</v>
          </cell>
        </row>
        <row r="7">
          <cell r="B7" t="str">
            <v>Acr Naturel Gıda Pazarlama Sanayi Ve Ticaret Limit</v>
          </cell>
          <cell r="C7" t="str">
            <v>SMB</v>
          </cell>
          <cell r="E7">
            <v>60</v>
          </cell>
          <cell r="G7">
            <v>60</v>
          </cell>
          <cell r="H7">
            <v>1</v>
          </cell>
          <cell r="I7" t="str">
            <v>NO RISK</v>
          </cell>
          <cell r="J7" t="str">
            <v>NO RISK</v>
          </cell>
          <cell r="K7">
            <v>1</v>
          </cell>
          <cell r="L7">
            <v>1</v>
          </cell>
          <cell r="M7" t="str">
            <v>1</v>
          </cell>
          <cell r="O7" t="str">
            <v>NO RISK</v>
          </cell>
        </row>
        <row r="8">
          <cell r="B8" t="str">
            <v>ACTIFIT SPOR VE SAĞLIK HİZMETLERİ SANAYİ VE TİCARE</v>
          </cell>
          <cell r="C8" t="str">
            <v>SMB</v>
          </cell>
          <cell r="E8">
            <v>2108</v>
          </cell>
          <cell r="F8">
            <v>0.12783684048988081</v>
          </cell>
          <cell r="G8">
            <v>1865</v>
          </cell>
          <cell r="H8">
            <v>0.88472485768500952</v>
          </cell>
          <cell r="I8" t="str">
            <v>LOW RISK</v>
          </cell>
          <cell r="J8" t="str">
            <v>HİZMET MEMNUNİYETSİZLİĞİ</v>
          </cell>
          <cell r="K8">
            <v>5</v>
          </cell>
          <cell r="L8">
            <v>1</v>
          </cell>
          <cell r="M8" t="str">
            <v>-</v>
          </cell>
          <cell r="N8">
            <v>1.9999209361163823</v>
          </cell>
          <cell r="O8" t="str">
            <v>GEÇ GERİ DÖNÜŞ</v>
          </cell>
        </row>
        <row r="9">
          <cell r="B9" t="str">
            <v>Ada Design</v>
          </cell>
          <cell r="C9" t="str">
            <v>SMB</v>
          </cell>
          <cell r="E9">
            <v>200</v>
          </cell>
          <cell r="F9">
            <v>9.9999999958333335E-2</v>
          </cell>
          <cell r="G9">
            <v>182</v>
          </cell>
          <cell r="H9">
            <v>0.91</v>
          </cell>
          <cell r="I9" t="str">
            <v>NO RISK</v>
          </cell>
          <cell r="J9" t="str">
            <v>NO RISK</v>
          </cell>
          <cell r="K9">
            <v>0</v>
          </cell>
          <cell r="M9" t="str">
            <v>YOK</v>
          </cell>
          <cell r="N9">
            <v>0.15</v>
          </cell>
          <cell r="O9" t="str">
            <v>NO RISK</v>
          </cell>
        </row>
        <row r="10">
          <cell r="B10" t="str">
            <v>ADA GROUP MEKANİK VE MÜHENDİSLİK İNŞAAT SAN.LTD.ŞT</v>
          </cell>
          <cell r="C10" t="str">
            <v>SMB</v>
          </cell>
          <cell r="E10">
            <v>75</v>
          </cell>
          <cell r="F10">
            <v>0.3019053372477451</v>
          </cell>
          <cell r="G10">
            <v>55</v>
          </cell>
          <cell r="H10">
            <v>0.73333333333333328</v>
          </cell>
          <cell r="I10" t="str">
            <v>NO RISK</v>
          </cell>
          <cell r="J10" t="str">
            <v>NO RISK</v>
          </cell>
          <cell r="K10">
            <v>0</v>
          </cell>
          <cell r="M10" t="str">
            <v>YOK</v>
          </cell>
          <cell r="O10" t="str">
            <v>NO RISK</v>
          </cell>
        </row>
        <row r="11">
          <cell r="B11" t="str">
            <v>ADALON OTOMOTİV SANAYİ VE DIŞ TİC. LTD. STİ</v>
          </cell>
          <cell r="C11" t="str">
            <v>SMB</v>
          </cell>
          <cell r="E11">
            <v>440</v>
          </cell>
          <cell r="F11">
            <v>0.1182893536890597</v>
          </cell>
          <cell r="G11">
            <v>393</v>
          </cell>
          <cell r="H11">
            <v>0.89318181818181819</v>
          </cell>
          <cell r="I11" t="str">
            <v>NO RISK</v>
          </cell>
          <cell r="J11" t="str">
            <v>NO RISK</v>
          </cell>
          <cell r="K11">
            <v>1</v>
          </cell>
          <cell r="M11" t="str">
            <v>-</v>
          </cell>
          <cell r="O11" t="str">
            <v>NO RISK</v>
          </cell>
        </row>
        <row r="12">
          <cell r="B12" t="str">
            <v>ADMA ALIŞVERİŞ MERKEZLERİ YATIRIM VE İŞLETMESİ A.Ş</v>
          </cell>
          <cell r="C12" t="str">
            <v>OTHER</v>
          </cell>
          <cell r="E12">
            <v>916</v>
          </cell>
          <cell r="G12">
            <v>916</v>
          </cell>
          <cell r="H12">
            <v>1</v>
          </cell>
          <cell r="I12" t="str">
            <v>NO RISK</v>
          </cell>
          <cell r="J12" t="str">
            <v>NO RISK</v>
          </cell>
          <cell r="K12">
            <v>0</v>
          </cell>
          <cell r="M12" t="str">
            <v>YOK</v>
          </cell>
          <cell r="O12" t="str">
            <v>NO RISK</v>
          </cell>
        </row>
        <row r="13">
          <cell r="B13" t="str">
            <v>AGDAS ADAPAZARI GAZ DAGITIM A.S.</v>
          </cell>
          <cell r="C13" t="str">
            <v>ENTERPRISE</v>
          </cell>
          <cell r="E13">
            <v>10948</v>
          </cell>
          <cell r="F13">
            <v>0.22233614922472036</v>
          </cell>
          <cell r="G13">
            <v>8754</v>
          </cell>
          <cell r="H13">
            <v>0.79959810010960908</v>
          </cell>
          <cell r="I13" t="str">
            <v>HIGH RISK</v>
          </cell>
          <cell r="J13" t="str">
            <v>STRATEJİK KARARLAR</v>
          </cell>
          <cell r="K13">
            <v>50</v>
          </cell>
          <cell r="L13">
            <v>0.72</v>
          </cell>
          <cell r="M13" t="str">
            <v>-</v>
          </cell>
          <cell r="N13">
            <v>1.0164718061137499</v>
          </cell>
          <cell r="O13" t="str">
            <v>ŞİRKET SATILMASI - ORTAKLIK DEĞİŞİKLİĞİ</v>
          </cell>
        </row>
        <row r="14">
          <cell r="B14" t="str">
            <v>AGİTO BİLGİSAYAR VE DANIŞMANLIK HİZMETLERİ</v>
          </cell>
          <cell r="C14" t="str">
            <v>SMB</v>
          </cell>
          <cell r="E14">
            <v>485</v>
          </cell>
          <cell r="F14">
            <v>3.1370415931690189E-2</v>
          </cell>
          <cell r="G14">
            <v>471</v>
          </cell>
          <cell r="H14">
            <v>0.97113402061855669</v>
          </cell>
          <cell r="I14" t="str">
            <v>NO RISK</v>
          </cell>
          <cell r="J14" t="str">
            <v>NO RISK</v>
          </cell>
          <cell r="K14">
            <v>11</v>
          </cell>
          <cell r="L14">
            <v>0.63636363636363635</v>
          </cell>
          <cell r="M14" t="str">
            <v>1</v>
          </cell>
          <cell r="O14" t="str">
            <v>NO RISK</v>
          </cell>
        </row>
        <row r="15">
          <cell r="B15" t="str">
            <v>AGS.AKIN YANGIN SÖNDÜRME CİHAZLARI VE GÜVENLİK SİS</v>
          </cell>
          <cell r="C15" t="str">
            <v>SMB</v>
          </cell>
          <cell r="E15">
            <v>76</v>
          </cell>
          <cell r="F15">
            <v>0.22309140339436773</v>
          </cell>
          <cell r="G15">
            <v>61</v>
          </cell>
          <cell r="H15">
            <v>0.80263157894736847</v>
          </cell>
          <cell r="I15" t="str">
            <v>NO RISK</v>
          </cell>
          <cell r="J15" t="str">
            <v>NO RISK</v>
          </cell>
          <cell r="K15">
            <v>0</v>
          </cell>
          <cell r="M15" t="str">
            <v>-</v>
          </cell>
          <cell r="O15" t="str">
            <v>NO RISK</v>
          </cell>
        </row>
        <row r="16">
          <cell r="B16" t="str">
            <v>AHMAD TEA ÇAY İTHALAT VE TİCARET LTD.ŞTİ</v>
          </cell>
          <cell r="C16" t="str">
            <v>SMB</v>
          </cell>
          <cell r="E16">
            <v>364</v>
          </cell>
          <cell r="F16">
            <v>0.27575011684888029</v>
          </cell>
          <cell r="G16">
            <v>274</v>
          </cell>
          <cell r="H16">
            <v>0.75274725274725274</v>
          </cell>
          <cell r="I16" t="str">
            <v>NO RISK</v>
          </cell>
          <cell r="J16" t="str">
            <v>NO RISK</v>
          </cell>
          <cell r="K16">
            <v>8</v>
          </cell>
          <cell r="L16">
            <v>0.75</v>
          </cell>
          <cell r="M16" t="str">
            <v>-</v>
          </cell>
          <cell r="O16" t="str">
            <v>NO RISK</v>
          </cell>
        </row>
        <row r="17">
          <cell r="B17" t="str">
            <v>AKS GÜMRÜK MÜSAVIRLIK LTD. STI.</v>
          </cell>
          <cell r="C17" t="str">
            <v>SMB</v>
          </cell>
          <cell r="E17">
            <v>638</v>
          </cell>
          <cell r="F17">
            <v>0.31751078367982988</v>
          </cell>
          <cell r="G17">
            <v>456</v>
          </cell>
          <cell r="H17">
            <v>0.71473354231974917</v>
          </cell>
          <cell r="I17" t="str">
            <v>NO RISK</v>
          </cell>
          <cell r="J17" t="str">
            <v>FİNANSAL PROBLEMLER</v>
          </cell>
          <cell r="K17">
            <v>0</v>
          </cell>
          <cell r="M17" t="str">
            <v>YOK</v>
          </cell>
          <cell r="N17">
            <v>8.9237199582027174</v>
          </cell>
          <cell r="O17" t="str">
            <v>ÖDEME SORUNU</v>
          </cell>
        </row>
        <row r="18">
          <cell r="B18" t="str">
            <v>AKSAL TEKSTIL VE ELYAF SANAYI TICARET ANONIM</v>
          </cell>
          <cell r="C18" t="str">
            <v>SMB</v>
          </cell>
          <cell r="E18">
            <v>450</v>
          </cell>
          <cell r="F18">
            <v>0.1299284250129836</v>
          </cell>
          <cell r="G18">
            <v>397</v>
          </cell>
          <cell r="H18">
            <v>0.88222222222222224</v>
          </cell>
          <cell r="I18" t="str">
            <v>NO RISK</v>
          </cell>
          <cell r="J18" t="str">
            <v>NO RISK</v>
          </cell>
          <cell r="K18">
            <v>2</v>
          </cell>
          <cell r="L18">
            <v>1</v>
          </cell>
          <cell r="M18" t="str">
            <v>-</v>
          </cell>
          <cell r="O18" t="str">
            <v>NO RISK</v>
          </cell>
        </row>
        <row r="19">
          <cell r="B19" t="str">
            <v>AKSİN TEKNİK HIRDAVAT VE YAPI MALZEMELERİ SAN.TİC.</v>
          </cell>
          <cell r="C19" t="str">
            <v>SMB</v>
          </cell>
          <cell r="E19">
            <v>75</v>
          </cell>
          <cell r="F19">
            <v>0.27490770586100854</v>
          </cell>
          <cell r="G19">
            <v>56</v>
          </cell>
          <cell r="H19">
            <v>0.7466666666666667</v>
          </cell>
          <cell r="I19" t="str">
            <v>NO RISK</v>
          </cell>
          <cell r="J19" t="str">
            <v>NO RISK</v>
          </cell>
          <cell r="K19">
            <v>0</v>
          </cell>
          <cell r="M19" t="str">
            <v>YOK</v>
          </cell>
          <cell r="O19" t="str">
            <v>NO RISK</v>
          </cell>
        </row>
        <row r="20">
          <cell r="B20" t="str">
            <v>AKSISTEM ELEK.SAN.VE TIC.LTD.STI.</v>
          </cell>
          <cell r="C20" t="str">
            <v>SMB</v>
          </cell>
          <cell r="E20">
            <v>479</v>
          </cell>
          <cell r="F20">
            <v>0.30373445543499716</v>
          </cell>
          <cell r="G20">
            <v>348</v>
          </cell>
          <cell r="H20">
            <v>0.72651356993736949</v>
          </cell>
          <cell r="I20" t="str">
            <v>HIGH RISK</v>
          </cell>
          <cell r="J20" t="str">
            <v>HİZMET MEMNUNİYETSİZLİĞİ</v>
          </cell>
          <cell r="K20">
            <v>0</v>
          </cell>
          <cell r="M20" t="str">
            <v>1</v>
          </cell>
          <cell r="O20" t="str">
            <v>ECLIT ÇALIŞAN SİRKÜLASYONU</v>
          </cell>
        </row>
        <row r="21">
          <cell r="B21" t="str">
            <v>AKSOY PLASTIK SANAYI VE TIC. A.S.</v>
          </cell>
          <cell r="C21" t="str">
            <v>SMB</v>
          </cell>
          <cell r="E21">
            <v>1473</v>
          </cell>
          <cell r="F21">
            <v>0.40592087343129823</v>
          </cell>
          <cell r="G21">
            <v>935</v>
          </cell>
          <cell r="H21">
            <v>0.63475899524779367</v>
          </cell>
          <cell r="I21" t="str">
            <v>LOW RISK</v>
          </cell>
          <cell r="J21" t="str">
            <v>FİNANSAL PROBLEMLER</v>
          </cell>
          <cell r="K21">
            <v>28</v>
          </cell>
          <cell r="L21">
            <v>0.8928571428571429</v>
          </cell>
          <cell r="M21" t="str">
            <v>-</v>
          </cell>
          <cell r="N21">
            <v>14.90325865580448</v>
          </cell>
          <cell r="O21" t="str">
            <v>ÖDEME SORUNU</v>
          </cell>
        </row>
        <row r="22">
          <cell r="B22" t="str">
            <v>AKTİF HUKUK</v>
          </cell>
          <cell r="C22" t="str">
            <v>SMB</v>
          </cell>
          <cell r="E22">
            <v>3404</v>
          </cell>
          <cell r="F22">
            <v>0.30851878177755926</v>
          </cell>
          <cell r="G22">
            <v>2459</v>
          </cell>
          <cell r="H22">
            <v>0.72238542890716806</v>
          </cell>
          <cell r="I22" t="str">
            <v>NO RISK</v>
          </cell>
          <cell r="J22" t="str">
            <v>SÖZLEŞME SÜRECİ</v>
          </cell>
          <cell r="K22">
            <v>23</v>
          </cell>
          <cell r="L22">
            <v>0.78260869565217395</v>
          </cell>
          <cell r="M22" t="str">
            <v>-</v>
          </cell>
          <cell r="O22" t="str">
            <v>FİYAT</v>
          </cell>
        </row>
        <row r="23">
          <cell r="B23" t="str">
            <v>ALACA YAZILIM VE TEKNOLOJİ SAN.TİC.LTD.ŞTİ.</v>
          </cell>
          <cell r="C23" t="str">
            <v>SMB</v>
          </cell>
          <cell r="E23">
            <v>106</v>
          </cell>
          <cell r="F23">
            <v>9.4339622641509455E-2</v>
          </cell>
          <cell r="G23">
            <v>97</v>
          </cell>
          <cell r="H23">
            <v>0.91509433962264153</v>
          </cell>
          <cell r="I23" t="str">
            <v>NO RISK</v>
          </cell>
          <cell r="J23" t="str">
            <v>NO RISK</v>
          </cell>
          <cell r="K23">
            <v>0</v>
          </cell>
          <cell r="M23" t="str">
            <v>YOK</v>
          </cell>
          <cell r="N23">
            <v>5.0078616352201264</v>
          </cell>
          <cell r="O23" t="str">
            <v>NO RISK</v>
          </cell>
        </row>
        <row r="24">
          <cell r="B24" t="str">
            <v>ALESTA SIGORTA</v>
          </cell>
          <cell r="C24" t="str">
            <v>SMB</v>
          </cell>
          <cell r="E24">
            <v>1110</v>
          </cell>
          <cell r="F24">
            <v>8.1123140531797144E-2</v>
          </cell>
          <cell r="G24">
            <v>1029</v>
          </cell>
          <cell r="H24">
            <v>0.927027027027027</v>
          </cell>
          <cell r="I24" t="str">
            <v>NO RISK</v>
          </cell>
          <cell r="J24" t="str">
            <v>NO RISK</v>
          </cell>
          <cell r="K24">
            <v>1</v>
          </cell>
          <cell r="L24">
            <v>1</v>
          </cell>
          <cell r="M24" t="str">
            <v>1</v>
          </cell>
          <cell r="O24" t="str">
            <v>NO RISK</v>
          </cell>
        </row>
        <row r="25">
          <cell r="B25" t="str">
            <v>ALL PARTS OTOMOTİV VE DIŞ TİC. LTD.ŞTİ</v>
          </cell>
          <cell r="C25" t="str">
            <v>SMB</v>
          </cell>
          <cell r="E25">
            <v>89</v>
          </cell>
          <cell r="F25">
            <v>0.29361231599173993</v>
          </cell>
          <cell r="G25">
            <v>65</v>
          </cell>
          <cell r="H25">
            <v>0.7303370786516854</v>
          </cell>
          <cell r="I25" t="str">
            <v>NO RISK</v>
          </cell>
          <cell r="J25" t="str">
            <v>NO RISK</v>
          </cell>
          <cell r="K25">
            <v>1</v>
          </cell>
          <cell r="M25" t="str">
            <v>1</v>
          </cell>
          <cell r="O25" t="str">
            <v>NO RISK</v>
          </cell>
        </row>
        <row r="26">
          <cell r="B26" t="str">
            <v>ALPEGE ENDÜSTRIYEL METROLOJI SAN. VE HIZ. DIS. TIC</v>
          </cell>
          <cell r="C26" t="str">
            <v>SMB</v>
          </cell>
          <cell r="E26">
            <v>175</v>
          </cell>
          <cell r="F26">
            <v>1.9286403085824492E-3</v>
          </cell>
          <cell r="G26">
            <v>175</v>
          </cell>
          <cell r="H26">
            <v>1</v>
          </cell>
          <cell r="I26" t="str">
            <v>NO RISK</v>
          </cell>
          <cell r="J26" t="str">
            <v>NO RISK</v>
          </cell>
          <cell r="K26">
            <v>3</v>
          </cell>
          <cell r="L26">
            <v>1</v>
          </cell>
          <cell r="M26" t="str">
            <v>-</v>
          </cell>
          <cell r="O26" t="str">
            <v>NO RISK</v>
          </cell>
        </row>
        <row r="27">
          <cell r="B27" t="str">
            <v>ALTERNA GIDA SANAYI PAZARLAMA VE TİC. A.Ş.</v>
          </cell>
          <cell r="C27" t="str">
            <v>SMB</v>
          </cell>
          <cell r="E27">
            <v>9496</v>
          </cell>
          <cell r="F27">
            <v>0.52558835331165299</v>
          </cell>
          <cell r="G27">
            <v>5002</v>
          </cell>
          <cell r="H27">
            <v>0.52674810446503795</v>
          </cell>
          <cell r="I27" t="str">
            <v>NO RISK</v>
          </cell>
          <cell r="J27" t="str">
            <v>HİZMET MEMNUNİYETSİZLİĞİ</v>
          </cell>
          <cell r="K27">
            <v>76</v>
          </cell>
          <cell r="L27">
            <v>0.78947368421052633</v>
          </cell>
          <cell r="M27" t="str">
            <v>-</v>
          </cell>
          <cell r="O27" t="str">
            <v>GEÇ GERİ DÖNÜŞ</v>
          </cell>
        </row>
        <row r="28">
          <cell r="B28" t="str">
            <v>ALUNET MATERIAL SOLUTIONS ALÜMINYUM</v>
          </cell>
          <cell r="C28" t="str">
            <v>SMB</v>
          </cell>
          <cell r="E28">
            <v>200</v>
          </cell>
          <cell r="F28">
            <v>0.12499661946642654</v>
          </cell>
          <cell r="G28">
            <v>178</v>
          </cell>
          <cell r="H28">
            <v>0.89</v>
          </cell>
          <cell r="I28" t="str">
            <v>NO RISK</v>
          </cell>
          <cell r="J28" t="str">
            <v>NO RISK</v>
          </cell>
          <cell r="K28">
            <v>3</v>
          </cell>
          <cell r="L28">
            <v>1</v>
          </cell>
          <cell r="M28" t="str">
            <v>-</v>
          </cell>
          <cell r="O28" t="str">
            <v>NO RISK</v>
          </cell>
        </row>
        <row r="29">
          <cell r="B29" t="str">
            <v>ALVIMEDICA SAGLIK EKIPMANLARI PAZARLAMA</v>
          </cell>
          <cell r="C29" t="str">
            <v>SMB</v>
          </cell>
          <cell r="E29">
            <v>700</v>
          </cell>
          <cell r="F29">
            <v>0.16857142857142857</v>
          </cell>
          <cell r="G29">
            <v>594</v>
          </cell>
          <cell r="H29">
            <v>0.84857142857142853</v>
          </cell>
          <cell r="I29" t="str">
            <v>NO RISK</v>
          </cell>
          <cell r="J29" t="str">
            <v>-</v>
          </cell>
          <cell r="K29">
            <v>0</v>
          </cell>
          <cell r="M29" t="str">
            <v>YOK</v>
          </cell>
          <cell r="N29">
            <v>2</v>
          </cell>
          <cell r="O29" t="str">
            <v>-</v>
          </cell>
        </row>
        <row r="30">
          <cell r="B30" t="str">
            <v>AN GIDA ÜRÜNLERİ ÜRETİM VE PAZARLA ( KORHAN SERA )</v>
          </cell>
          <cell r="C30" t="str">
            <v>SMB</v>
          </cell>
          <cell r="E30">
            <v>637</v>
          </cell>
          <cell r="G30">
            <v>637</v>
          </cell>
          <cell r="H30">
            <v>1</v>
          </cell>
          <cell r="I30" t="str">
            <v>NO RISK</v>
          </cell>
          <cell r="J30" t="str">
            <v>HİZMET MEMNUNİYETSİZLİĞİ</v>
          </cell>
          <cell r="K30">
            <v>20</v>
          </cell>
          <cell r="L30">
            <v>0.75</v>
          </cell>
          <cell r="M30" t="str">
            <v>-</v>
          </cell>
          <cell r="N30">
            <v>0.99293563579277866</v>
          </cell>
          <cell r="O30" t="str">
            <v>GEÇ GERİ DÖNÜŞ</v>
          </cell>
        </row>
        <row r="31">
          <cell r="B31" t="str">
            <v>ANTALYA SUBSTRAT YATIRIM LİMİTED ŞİRKETİ</v>
          </cell>
          <cell r="C31" t="str">
            <v>SMB</v>
          </cell>
          <cell r="E31">
            <v>400</v>
          </cell>
          <cell r="F31">
            <v>0.29185021475751649</v>
          </cell>
          <cell r="G31">
            <v>295</v>
          </cell>
          <cell r="H31">
            <v>0.73750000000000004</v>
          </cell>
          <cell r="I31" t="str">
            <v>LOW RISK</v>
          </cell>
          <cell r="J31" t="str">
            <v>HİZMET MEMNUNİYETSİZLİĞİ</v>
          </cell>
          <cell r="K31">
            <v>2</v>
          </cell>
          <cell r="L31">
            <v>1</v>
          </cell>
          <cell r="M31" t="str">
            <v>-</v>
          </cell>
          <cell r="N31">
            <v>4.791666666666667E-2</v>
          </cell>
          <cell r="O31" t="str">
            <v>GEÇ GERİ DÖNÜŞ</v>
          </cell>
        </row>
        <row r="32">
          <cell r="B32" t="str">
            <v>ARENA BILGISAYAR</v>
          </cell>
          <cell r="C32" t="str">
            <v>ENTERPRISE</v>
          </cell>
          <cell r="E32">
            <v>15008</v>
          </cell>
          <cell r="F32">
            <v>0.25635420103743756</v>
          </cell>
          <cell r="G32">
            <v>11544</v>
          </cell>
          <cell r="H32">
            <v>0.76918976545842221</v>
          </cell>
          <cell r="I32" t="str">
            <v>NO RISK</v>
          </cell>
          <cell r="J32" t="str">
            <v>NO RISK</v>
          </cell>
          <cell r="K32">
            <v>13</v>
          </cell>
          <cell r="L32">
            <v>0.61538461538461542</v>
          </cell>
          <cell r="M32" t="str">
            <v>-</v>
          </cell>
          <cell r="N32">
            <v>4.4420753375977261E-4</v>
          </cell>
          <cell r="O32" t="str">
            <v>NO RISK</v>
          </cell>
        </row>
        <row r="33">
          <cell r="B33" t="str">
            <v>ARI DÖKÜM MAK.SAN.VE TIC.LTD.STI.</v>
          </cell>
          <cell r="C33" t="str">
            <v>SMB</v>
          </cell>
          <cell r="E33">
            <v>30</v>
          </cell>
          <cell r="G33">
            <v>30</v>
          </cell>
          <cell r="H33">
            <v>1</v>
          </cell>
          <cell r="I33" t="str">
            <v>NO RISK</v>
          </cell>
          <cell r="J33" t="str">
            <v>NO RISK</v>
          </cell>
          <cell r="K33">
            <v>1</v>
          </cell>
          <cell r="L33">
            <v>1</v>
          </cell>
          <cell r="M33" t="str">
            <v>-</v>
          </cell>
          <cell r="O33" t="str">
            <v>NO RISK</v>
          </cell>
        </row>
        <row r="34">
          <cell r="B34" t="str">
            <v>ARICIOĞLU OTOMOTİV SANAYİ VE TİCARET ANONİM ŞİRKET</v>
          </cell>
          <cell r="C34" t="str">
            <v>SMB</v>
          </cell>
          <cell r="E34">
            <v>3425</v>
          </cell>
          <cell r="G34">
            <v>3424</v>
          </cell>
          <cell r="H34">
            <v>0.99970802919708024</v>
          </cell>
          <cell r="I34" t="str">
            <v>BOOKED CHURN</v>
          </cell>
          <cell r="J34" t="str">
            <v>FİNANSAL PROBLEMLER</v>
          </cell>
          <cell r="K34">
            <v>7</v>
          </cell>
          <cell r="L34">
            <v>0.5714285714285714</v>
          </cell>
          <cell r="M34" t="str">
            <v>1</v>
          </cell>
          <cell r="N34">
            <v>1.0038929440389295</v>
          </cell>
          <cell r="O34" t="str">
            <v>ÖDEME SORUNU</v>
          </cell>
        </row>
        <row r="35">
          <cell r="B35" t="str">
            <v>ARKON CELİK SANAYI ve TICARET LTD. ŞTI.</v>
          </cell>
          <cell r="C35" t="str">
            <v>SMB</v>
          </cell>
          <cell r="E35">
            <v>160</v>
          </cell>
          <cell r="F35">
            <v>0.18123159581265799</v>
          </cell>
          <cell r="G35">
            <v>134</v>
          </cell>
          <cell r="H35">
            <v>0.83750000000000002</v>
          </cell>
          <cell r="I35" t="str">
            <v>NO RISK</v>
          </cell>
          <cell r="J35" t="str">
            <v>NO RISK</v>
          </cell>
          <cell r="K35">
            <v>1</v>
          </cell>
          <cell r="L35">
            <v>1</v>
          </cell>
          <cell r="M35" t="str">
            <v>-</v>
          </cell>
          <cell r="O35" t="str">
            <v>NO RISK</v>
          </cell>
        </row>
        <row r="36">
          <cell r="B36" t="str">
            <v>AROMSA BESİN AROMA KATKI MAD SAN TİC AŞ</v>
          </cell>
          <cell r="C36" t="str">
            <v>ENTERPRISE</v>
          </cell>
          <cell r="E36">
            <v>11809</v>
          </cell>
          <cell r="F36">
            <v>0.21709319756370954</v>
          </cell>
          <cell r="G36">
            <v>9499</v>
          </cell>
          <cell r="H36">
            <v>0.80438648488441022</v>
          </cell>
          <cell r="I36" t="str">
            <v>NO RISK</v>
          </cell>
          <cell r="J36" t="str">
            <v>HİZMET MEMNUNİYETSİZLİĞİ</v>
          </cell>
          <cell r="K36">
            <v>63</v>
          </cell>
          <cell r="L36">
            <v>0.84126984126984128</v>
          </cell>
          <cell r="M36" t="str">
            <v>-</v>
          </cell>
          <cell r="N36">
            <v>1.9999576594123127</v>
          </cell>
          <cell r="O36" t="str">
            <v>GEÇ GERİ DÖNÜŞ</v>
          </cell>
        </row>
        <row r="37">
          <cell r="B37" t="str">
            <v>ARON MIMARLIK</v>
          </cell>
          <cell r="C37" t="str">
            <v>SMB</v>
          </cell>
          <cell r="E37">
            <v>95</v>
          </cell>
          <cell r="F37">
            <v>0.2533667557163749</v>
          </cell>
          <cell r="G37">
            <v>73</v>
          </cell>
          <cell r="H37">
            <v>0.76842105263157889</v>
          </cell>
          <cell r="I37" t="str">
            <v>NO RISK</v>
          </cell>
          <cell r="J37" t="str">
            <v>NO RISK</v>
          </cell>
          <cell r="K37">
            <v>0</v>
          </cell>
          <cell r="M37" t="str">
            <v>-</v>
          </cell>
          <cell r="O37" t="str">
            <v>NO RISK</v>
          </cell>
        </row>
        <row r="38">
          <cell r="B38" t="str">
            <v>ARSAN KİMYA SAN.TİC. A.Ş.</v>
          </cell>
          <cell r="C38" t="str">
            <v>SMB</v>
          </cell>
          <cell r="E38">
            <v>1023</v>
          </cell>
          <cell r="F38">
            <v>0.16280776270737127</v>
          </cell>
          <cell r="G38">
            <v>872</v>
          </cell>
          <cell r="H38">
            <v>0.85239491691104596</v>
          </cell>
          <cell r="I38" t="str">
            <v>HIGH RISK</v>
          </cell>
          <cell r="J38" t="str">
            <v>STRATEJİK KARARLAR</v>
          </cell>
          <cell r="K38">
            <v>0</v>
          </cell>
          <cell r="M38" t="str">
            <v>1</v>
          </cell>
          <cell r="O38" t="str">
            <v>İDARİ SEVİYEDEKİ ÇALIŞAN DEĞİŞİKLİĞİ</v>
          </cell>
        </row>
        <row r="39">
          <cell r="B39" t="str">
            <v>ARTI DEĞER İNŞAAT OTOMOTİV SANAYİ VE DIŞ TİCARET A</v>
          </cell>
          <cell r="C39" t="str">
            <v>SMB</v>
          </cell>
          <cell r="E39">
            <v>203</v>
          </cell>
          <cell r="F39">
            <v>0.2364389375976908</v>
          </cell>
          <cell r="G39">
            <v>160</v>
          </cell>
          <cell r="H39">
            <v>0.78817733990147787</v>
          </cell>
          <cell r="I39" t="str">
            <v>BOOKED CHURN</v>
          </cell>
          <cell r="J39" t="str">
            <v>STRATEJİK KARARLAR</v>
          </cell>
          <cell r="K39">
            <v>0</v>
          </cell>
          <cell r="M39" t="str">
            <v>-</v>
          </cell>
          <cell r="O39" t="str">
            <v>BAYİ KARARI - FİNANSAL SEBEPLER</v>
          </cell>
        </row>
        <row r="40">
          <cell r="B40" t="str">
            <v>ARTI SINERJI BILISIM TEKNOLOJILERI TIC.LTD.STI.</v>
          </cell>
          <cell r="C40" t="str">
            <v>SMB</v>
          </cell>
          <cell r="E40">
            <v>290</v>
          </cell>
          <cell r="F40">
            <v>0.19711762041282124</v>
          </cell>
          <cell r="G40">
            <v>239</v>
          </cell>
          <cell r="H40">
            <v>0.82413793103448274</v>
          </cell>
          <cell r="I40" t="str">
            <v>NO RISK</v>
          </cell>
          <cell r="J40" t="str">
            <v>NO RISK</v>
          </cell>
          <cell r="K40">
            <v>2</v>
          </cell>
          <cell r="L40">
            <v>1</v>
          </cell>
          <cell r="M40" t="str">
            <v>-</v>
          </cell>
          <cell r="O40" t="str">
            <v>NO RISK</v>
          </cell>
        </row>
        <row r="41">
          <cell r="B41" t="str">
            <v>ARTROTEK TIBBİ MALZEME SANAYİ VE TİC.LTD.ŞTİ</v>
          </cell>
          <cell r="C41" t="str">
            <v>SMB</v>
          </cell>
          <cell r="E41">
            <v>242</v>
          </cell>
          <cell r="F41">
            <v>9.8231366031087286E-2</v>
          </cell>
          <cell r="G41">
            <v>221</v>
          </cell>
          <cell r="H41">
            <v>0.91322314049586772</v>
          </cell>
          <cell r="I41" t="str">
            <v>NO RISK</v>
          </cell>
          <cell r="J41" t="str">
            <v>NO RISK</v>
          </cell>
          <cell r="K41">
            <v>9</v>
          </cell>
          <cell r="L41">
            <v>0.55555555555555558</v>
          </cell>
          <cell r="M41" t="str">
            <v>1</v>
          </cell>
          <cell r="O41" t="str">
            <v>NO RISK</v>
          </cell>
        </row>
        <row r="42">
          <cell r="B42" t="str">
            <v>ARTSANA TURKEY ( CHICCO )</v>
          </cell>
          <cell r="C42" t="str">
            <v>SMB</v>
          </cell>
          <cell r="E42">
            <v>322</v>
          </cell>
          <cell r="F42">
            <v>0.82980209240492542</v>
          </cell>
          <cell r="G42">
            <v>82</v>
          </cell>
          <cell r="H42">
            <v>0.25465838509316768</v>
          </cell>
          <cell r="I42" t="str">
            <v>NO RISK</v>
          </cell>
          <cell r="J42" t="str">
            <v>NO RISK</v>
          </cell>
          <cell r="K42">
            <v>0</v>
          </cell>
          <cell r="M42" t="str">
            <v>YOK</v>
          </cell>
          <cell r="N42">
            <v>0.22774327122153212</v>
          </cell>
          <cell r="O42" t="str">
            <v>NO RISK</v>
          </cell>
        </row>
        <row r="43">
          <cell r="B43" t="str">
            <v>ARVATO LOJİSTİK DIŞ TİC.VE E TİC.HİZMETLERİ A.Ş.</v>
          </cell>
          <cell r="C43" t="str">
            <v>ENTERPRISE</v>
          </cell>
          <cell r="E43">
            <v>5765</v>
          </cell>
          <cell r="G43">
            <v>5762</v>
          </cell>
          <cell r="H43">
            <v>0.99947961838681698</v>
          </cell>
          <cell r="I43" t="str">
            <v>NO RISK</v>
          </cell>
          <cell r="J43" t="str">
            <v>NO RISK</v>
          </cell>
          <cell r="K43">
            <v>43</v>
          </cell>
          <cell r="L43">
            <v>0.32558139534883723</v>
          </cell>
          <cell r="M43" t="str">
            <v>-</v>
          </cell>
          <cell r="N43">
            <v>0.79155825383058698</v>
          </cell>
          <cell r="O43" t="str">
            <v>NO RISK</v>
          </cell>
        </row>
        <row r="44">
          <cell r="B44" t="str">
            <v>ARZ PORTFÖY</v>
          </cell>
          <cell r="C44" t="str">
            <v>SMB</v>
          </cell>
          <cell r="E44">
            <v>616</v>
          </cell>
          <cell r="F44">
            <v>0.20292207858091585</v>
          </cell>
          <cell r="G44">
            <v>503</v>
          </cell>
          <cell r="H44">
            <v>0.81655844155844159</v>
          </cell>
          <cell r="I44" t="str">
            <v>NO RISK</v>
          </cell>
          <cell r="J44" t="str">
            <v>NO RISK</v>
          </cell>
          <cell r="K44">
            <v>0</v>
          </cell>
          <cell r="M44" t="str">
            <v>YOK</v>
          </cell>
          <cell r="O44" t="str">
            <v>NO RISK</v>
          </cell>
        </row>
        <row r="45">
          <cell r="B45" t="str">
            <v>ASAŞ ALÜMİNYUM SANAYİİ VE TİCARET A.Ş.</v>
          </cell>
          <cell r="C45" t="str">
            <v>ENTERPRISE</v>
          </cell>
          <cell r="E45">
            <v>1889</v>
          </cell>
          <cell r="G45">
            <v>1888</v>
          </cell>
          <cell r="H45">
            <v>0.99947061937533088</v>
          </cell>
          <cell r="I45" t="str">
            <v>NO RISK</v>
          </cell>
          <cell r="J45" t="str">
            <v>NO RISK</v>
          </cell>
          <cell r="K45">
            <v>3</v>
          </cell>
          <cell r="M45" t="str">
            <v>-</v>
          </cell>
          <cell r="O45" t="str">
            <v>NO RISK</v>
          </cell>
        </row>
        <row r="46">
          <cell r="B46" t="str">
            <v>ASİMETRİK SES IŞIK ve GÖRÜNTÜ SİSTEMLERİ AŞ (ASF)</v>
          </cell>
          <cell r="C46" t="str">
            <v>SMB</v>
          </cell>
          <cell r="E46">
            <v>5739</v>
          </cell>
          <cell r="F46">
            <v>0.43357002226949487</v>
          </cell>
          <cell r="G46">
            <v>3499</v>
          </cell>
          <cell r="H46">
            <v>0.60968809897194631</v>
          </cell>
          <cell r="I46" t="str">
            <v>NO RISK</v>
          </cell>
          <cell r="J46" t="str">
            <v>-</v>
          </cell>
          <cell r="K46">
            <v>7</v>
          </cell>
          <cell r="L46">
            <v>0.8571428571428571</v>
          </cell>
          <cell r="M46" t="str">
            <v>-</v>
          </cell>
          <cell r="N46">
            <v>4.3561596096880987E-3</v>
          </cell>
          <cell r="O46" t="str">
            <v>-</v>
          </cell>
        </row>
        <row r="47">
          <cell r="B47" t="str">
            <v>ASLANOBA YATIRIM GIDA SANAYİ VE TİCARET A.Ş.</v>
          </cell>
          <cell r="C47" t="str">
            <v>SMB</v>
          </cell>
          <cell r="E47">
            <v>1000</v>
          </cell>
          <cell r="G47">
            <v>1000</v>
          </cell>
          <cell r="H47">
            <v>1</v>
          </cell>
          <cell r="I47" t="str">
            <v>NO RISK</v>
          </cell>
          <cell r="J47" t="str">
            <v>NO RISK</v>
          </cell>
          <cell r="K47">
            <v>0</v>
          </cell>
          <cell r="M47" t="str">
            <v>YOK</v>
          </cell>
          <cell r="O47" t="str">
            <v>NO RISK</v>
          </cell>
        </row>
        <row r="48">
          <cell r="B48" t="str">
            <v>ASSERSAN</v>
          </cell>
          <cell r="C48" t="str">
            <v>SMB</v>
          </cell>
          <cell r="E48">
            <v>415</v>
          </cell>
          <cell r="F48">
            <v>0.27640545234601099</v>
          </cell>
          <cell r="G48">
            <v>312</v>
          </cell>
          <cell r="H48">
            <v>0.75180722891566265</v>
          </cell>
          <cell r="I48" t="str">
            <v>NO RISK</v>
          </cell>
          <cell r="J48" t="str">
            <v>NO RISK</v>
          </cell>
          <cell r="K48">
            <v>0</v>
          </cell>
          <cell r="M48" t="str">
            <v>YOK</v>
          </cell>
          <cell r="O48" t="str">
            <v>NO RISK</v>
          </cell>
        </row>
        <row r="49">
          <cell r="B49" t="str">
            <v>ATESSONMEZ KIMYA SAN VE TIC AS</v>
          </cell>
          <cell r="C49" t="str">
            <v>SMB</v>
          </cell>
          <cell r="E49">
            <v>492</v>
          </cell>
          <cell r="F49">
            <v>0.19608725873251942</v>
          </cell>
          <cell r="G49">
            <v>405</v>
          </cell>
          <cell r="H49">
            <v>0.82317073170731703</v>
          </cell>
          <cell r="I49" t="str">
            <v>NO RISK</v>
          </cell>
          <cell r="J49" t="str">
            <v>NO RISK</v>
          </cell>
          <cell r="K49">
            <v>0</v>
          </cell>
          <cell r="M49" t="str">
            <v>-</v>
          </cell>
          <cell r="N49">
            <v>0.99932249322493227</v>
          </cell>
          <cell r="O49" t="str">
            <v>NO RISK</v>
          </cell>
        </row>
        <row r="50">
          <cell r="B50" t="str">
            <v>ATG BİLİŞİM TEKNOLOJİLERİ ENDÜSTRİSİ LTD ŞTİ</v>
          </cell>
          <cell r="C50" t="str">
            <v>SMB</v>
          </cell>
          <cell r="E50">
            <v>304</v>
          </cell>
          <cell r="G50">
            <v>304</v>
          </cell>
          <cell r="H50">
            <v>1</v>
          </cell>
          <cell r="I50" t="str">
            <v>NO RISK</v>
          </cell>
          <cell r="J50" t="str">
            <v>NO RISK</v>
          </cell>
          <cell r="K50">
            <v>1</v>
          </cell>
          <cell r="L50">
            <v>1</v>
          </cell>
          <cell r="M50" t="str">
            <v>-</v>
          </cell>
          <cell r="O50" t="str">
            <v>NO RISK</v>
          </cell>
        </row>
        <row r="51">
          <cell r="B51" t="str">
            <v>ATLAS PSA OTOMOTİV YED. PAR. İNŞ. SAN. VE TİC. LTD</v>
          </cell>
          <cell r="C51" t="str">
            <v>SMB</v>
          </cell>
          <cell r="E51">
            <v>57</v>
          </cell>
          <cell r="F51">
            <v>0.30214548174836764</v>
          </cell>
          <cell r="G51">
            <v>41</v>
          </cell>
          <cell r="H51">
            <v>0.7192982456140351</v>
          </cell>
          <cell r="I51" t="str">
            <v>NO RISK</v>
          </cell>
          <cell r="J51" t="str">
            <v>NO RISK</v>
          </cell>
          <cell r="K51">
            <v>0</v>
          </cell>
          <cell r="M51" t="str">
            <v>YOK</v>
          </cell>
          <cell r="O51" t="str">
            <v>NO RISK</v>
          </cell>
        </row>
        <row r="52">
          <cell r="B52" t="str">
            <v>ATMO OTOMOTİV LİMİTED ŞİRKETİ</v>
          </cell>
          <cell r="C52" t="str">
            <v>SMB</v>
          </cell>
          <cell r="E52">
            <v>166</v>
          </cell>
          <cell r="F52">
            <v>0.12136409227683051</v>
          </cell>
          <cell r="G52">
            <v>148</v>
          </cell>
          <cell r="H52">
            <v>0.89156626506024095</v>
          </cell>
          <cell r="I52" t="str">
            <v>NO RISK</v>
          </cell>
          <cell r="J52" t="str">
            <v>NO RISK</v>
          </cell>
          <cell r="K52">
            <v>0</v>
          </cell>
          <cell r="M52" t="str">
            <v>YOK</v>
          </cell>
          <cell r="O52" t="str">
            <v>NO RISK</v>
          </cell>
        </row>
        <row r="53">
          <cell r="B53" t="str">
            <v>AXA SIGORTA</v>
          </cell>
          <cell r="C53" t="str">
            <v>ENTERPRISE</v>
          </cell>
          <cell r="E53">
            <v>1514</v>
          </cell>
          <cell r="G53">
            <v>1514</v>
          </cell>
          <cell r="H53">
            <v>1</v>
          </cell>
          <cell r="I53" t="str">
            <v>NO RISK</v>
          </cell>
          <cell r="J53" t="str">
            <v>HİZMET MEMNUNİYETSİZLİĞİ</v>
          </cell>
          <cell r="K53">
            <v>2</v>
          </cell>
          <cell r="L53">
            <v>1</v>
          </cell>
          <cell r="M53" t="str">
            <v>-</v>
          </cell>
          <cell r="O53" t="str">
            <v>ECLIT ÇALIŞAN SİRKÜLASYONU</v>
          </cell>
        </row>
        <row r="54">
          <cell r="B54" t="str">
            <v>AYDEMİRLER ÇELİK A.Ş.</v>
          </cell>
          <cell r="C54" t="str">
            <v>SMB</v>
          </cell>
          <cell r="E54">
            <v>175</v>
          </cell>
          <cell r="F54">
            <v>0.29935202270929068</v>
          </cell>
          <cell r="G54">
            <v>128</v>
          </cell>
          <cell r="H54">
            <v>0.73142857142857143</v>
          </cell>
          <cell r="I54" t="str">
            <v>NO RISK</v>
          </cell>
          <cell r="J54" t="str">
            <v>NO RISK</v>
          </cell>
          <cell r="K54">
            <v>0</v>
          </cell>
          <cell r="M54" t="str">
            <v>YOK</v>
          </cell>
          <cell r="O54" t="str">
            <v>NO RISK</v>
          </cell>
        </row>
        <row r="55">
          <cell r="B55" t="str">
            <v>AYDIN ÜNİVERSİTESİ</v>
          </cell>
          <cell r="C55" t="str">
            <v>ENTERPRISE</v>
          </cell>
          <cell r="E55">
            <v>2500</v>
          </cell>
          <cell r="F55">
            <v>0.30404799999999998</v>
          </cell>
          <cell r="G55">
            <v>1816</v>
          </cell>
          <cell r="H55">
            <v>0.72640000000000005</v>
          </cell>
          <cell r="I55" t="str">
            <v>NO RISK</v>
          </cell>
          <cell r="J55" t="str">
            <v>NO RISK</v>
          </cell>
          <cell r="K55">
            <v>0</v>
          </cell>
          <cell r="M55" t="str">
            <v>-</v>
          </cell>
          <cell r="O55" t="str">
            <v>NO RISK</v>
          </cell>
        </row>
        <row r="56">
          <cell r="B56" t="str">
            <v>B2 YAZILIM A.S.</v>
          </cell>
          <cell r="C56" t="str">
            <v>SMB</v>
          </cell>
          <cell r="E56">
            <v>536</v>
          </cell>
          <cell r="F56">
            <v>9.3601711283718414E-2</v>
          </cell>
          <cell r="G56">
            <v>491</v>
          </cell>
          <cell r="H56">
            <v>0.91604477611940294</v>
          </cell>
          <cell r="I56" t="str">
            <v>NO RISK</v>
          </cell>
          <cell r="J56" t="str">
            <v>NO RISK</v>
          </cell>
          <cell r="K56">
            <v>0</v>
          </cell>
          <cell r="M56" t="str">
            <v>-</v>
          </cell>
          <cell r="N56">
            <v>1.5764925373134329</v>
          </cell>
          <cell r="O56" t="str">
            <v>NO RISK</v>
          </cell>
        </row>
        <row r="57">
          <cell r="B57" t="str">
            <v>BABUR ARSLAN TUR. TİC. ÖZEL SAĞLIK HİZ VE SAN AŞ</v>
          </cell>
          <cell r="C57" t="str">
            <v>SMB</v>
          </cell>
          <cell r="E57">
            <v>1267</v>
          </cell>
          <cell r="F57">
            <v>0.16498935051010657</v>
          </cell>
          <cell r="G57">
            <v>1079</v>
          </cell>
          <cell r="H57">
            <v>0.85161799526440407</v>
          </cell>
          <cell r="I57" t="str">
            <v>NO RISK</v>
          </cell>
          <cell r="J57" t="str">
            <v>HİZMET MEMNUNİYETSİZLİĞİ</v>
          </cell>
          <cell r="K57">
            <v>2</v>
          </cell>
          <cell r="M57" t="str">
            <v>-</v>
          </cell>
          <cell r="N57">
            <v>7.8268876611418056E-2</v>
          </cell>
          <cell r="O57" t="str">
            <v>GEÇ GERİ DÖNÜŞ</v>
          </cell>
        </row>
        <row r="58">
          <cell r="B58" t="str">
            <v>BACACI YATIRIM YÖNETİM HİZMETLERİ A.Ş.</v>
          </cell>
          <cell r="C58" t="str">
            <v>ENTERPRISE</v>
          </cell>
          <cell r="E58">
            <v>5673</v>
          </cell>
          <cell r="G58">
            <v>5673</v>
          </cell>
          <cell r="H58">
            <v>1</v>
          </cell>
          <cell r="I58" t="str">
            <v>NO RISK</v>
          </cell>
          <cell r="J58" t="str">
            <v>NO RISK</v>
          </cell>
          <cell r="K58">
            <v>0</v>
          </cell>
          <cell r="M58" t="str">
            <v>YOK</v>
          </cell>
          <cell r="O58" t="str">
            <v>NO RISK</v>
          </cell>
        </row>
        <row r="59">
          <cell r="B59" t="str">
            <v>BAHTİYAR OCAK</v>
          </cell>
          <cell r="C59" t="str">
            <v>SMB</v>
          </cell>
          <cell r="E59">
            <v>608</v>
          </cell>
          <cell r="F59">
            <v>0.39613168724279829</v>
          </cell>
          <cell r="G59">
            <v>391</v>
          </cell>
          <cell r="H59">
            <v>0.64309210526315785</v>
          </cell>
          <cell r="I59" t="str">
            <v>NO RISK</v>
          </cell>
          <cell r="J59" t="str">
            <v>NO RISK</v>
          </cell>
          <cell r="K59">
            <v>0</v>
          </cell>
          <cell r="M59" t="str">
            <v>-</v>
          </cell>
          <cell r="O59" t="str">
            <v>NO RISK</v>
          </cell>
        </row>
        <row r="60">
          <cell r="B60" t="str">
            <v>BAKLAVACI GÜLLÜOGLU MEHMET NEJAT GÜLLÜ GIDA SAN.VE</v>
          </cell>
          <cell r="C60" t="str">
            <v>SMB</v>
          </cell>
          <cell r="E60">
            <v>729</v>
          </cell>
          <cell r="F60">
            <v>0.28281948036507043</v>
          </cell>
          <cell r="G60">
            <v>543</v>
          </cell>
          <cell r="H60">
            <v>0.74485596707818935</v>
          </cell>
          <cell r="I60" t="str">
            <v>NO RISK</v>
          </cell>
          <cell r="J60" t="str">
            <v>NO RISK</v>
          </cell>
          <cell r="K60">
            <v>3</v>
          </cell>
          <cell r="L60">
            <v>0.66666666666666663</v>
          </cell>
          <cell r="M60" t="str">
            <v>-</v>
          </cell>
          <cell r="N60">
            <v>1.0105166895290354</v>
          </cell>
          <cell r="O60" t="str">
            <v>NO RISK</v>
          </cell>
        </row>
        <row r="61">
          <cell r="B61" t="str">
            <v>BANK OF BAHRAIN AND KUWAIT TÜRKIYE TEMS. OF. (BBK)</v>
          </cell>
          <cell r="C61" t="str">
            <v>SMB</v>
          </cell>
          <cell r="E61">
            <v>48</v>
          </cell>
          <cell r="G61">
            <v>48</v>
          </cell>
          <cell r="H61">
            <v>1</v>
          </cell>
          <cell r="I61" t="str">
            <v>CHURN</v>
          </cell>
          <cell r="J61" t="str">
            <v>HİZMET MEMNUNİYETSİZLİĞİ</v>
          </cell>
          <cell r="K61">
            <v>1</v>
          </cell>
          <cell r="L61">
            <v>1</v>
          </cell>
          <cell r="M61" t="str">
            <v>-</v>
          </cell>
          <cell r="O61" t="str">
            <v>ÇÖZÜMSÜZLÜK</v>
          </cell>
        </row>
        <row r="62">
          <cell r="B62" t="str">
            <v>BASIT GIDA ANONIM SIRKETI</v>
          </cell>
          <cell r="C62" t="str">
            <v>SMB</v>
          </cell>
          <cell r="E62">
            <v>478</v>
          </cell>
          <cell r="F62">
            <v>0.15816323487993972</v>
          </cell>
          <cell r="G62">
            <v>410</v>
          </cell>
          <cell r="H62">
            <v>0.85774058577405854</v>
          </cell>
          <cell r="I62" t="str">
            <v>NO RISK</v>
          </cell>
          <cell r="J62" t="str">
            <v>NO RISK</v>
          </cell>
          <cell r="K62">
            <v>1</v>
          </cell>
          <cell r="L62">
            <v>1</v>
          </cell>
          <cell r="M62" t="str">
            <v>-</v>
          </cell>
          <cell r="O62" t="str">
            <v>NO RISK</v>
          </cell>
        </row>
        <row r="63">
          <cell r="B63" t="str">
            <v>BATI EGITIM INSAAT VE TURIZM HIZ. A.S.</v>
          </cell>
          <cell r="C63" t="str">
            <v>SMB</v>
          </cell>
          <cell r="E63">
            <v>183</v>
          </cell>
          <cell r="F63">
            <v>0.33387323166808824</v>
          </cell>
          <cell r="G63">
            <v>128</v>
          </cell>
          <cell r="H63">
            <v>0.69945355191256831</v>
          </cell>
          <cell r="I63" t="str">
            <v>NO RISK</v>
          </cell>
          <cell r="J63" t="str">
            <v>SÖZLEŞME SÜRECİ</v>
          </cell>
          <cell r="K63">
            <v>1</v>
          </cell>
          <cell r="M63" t="str">
            <v>-</v>
          </cell>
          <cell r="N63">
            <v>1.3661202185792349</v>
          </cell>
          <cell r="O63" t="str">
            <v>FİYAT</v>
          </cell>
        </row>
        <row r="64">
          <cell r="B64" t="str">
            <v>BAUZADE YAPI MALZEMELERİ SANAYİ VE TİCARET LİMİTED</v>
          </cell>
          <cell r="C64" t="str">
            <v>SMB</v>
          </cell>
          <cell r="E64">
            <v>232</v>
          </cell>
          <cell r="F64">
            <v>0.13157120067408629</v>
          </cell>
          <cell r="G64">
            <v>205</v>
          </cell>
          <cell r="H64">
            <v>0.88362068965517238</v>
          </cell>
          <cell r="I64" t="str">
            <v>LOW RISK</v>
          </cell>
          <cell r="J64" t="str">
            <v>FİNANSAL PROBLEMLER</v>
          </cell>
          <cell r="K64">
            <v>1</v>
          </cell>
          <cell r="L64">
            <v>1</v>
          </cell>
          <cell r="M64" t="str">
            <v>1</v>
          </cell>
          <cell r="N64">
            <v>16.321839080459771</v>
          </cell>
          <cell r="O64" t="str">
            <v>ÖDEME SORUNU</v>
          </cell>
        </row>
        <row r="65">
          <cell r="B65" t="str">
            <v>BAYEDİ A.Ş</v>
          </cell>
          <cell r="C65" t="str">
            <v>SMB</v>
          </cell>
          <cell r="E65">
            <v>103</v>
          </cell>
          <cell r="G65">
            <v>103</v>
          </cell>
          <cell r="H65">
            <v>1</v>
          </cell>
          <cell r="I65" t="str">
            <v>NO RISK</v>
          </cell>
          <cell r="J65" t="str">
            <v>NO RISK</v>
          </cell>
          <cell r="K65">
            <v>1</v>
          </cell>
          <cell r="L65">
            <v>1</v>
          </cell>
          <cell r="M65" t="str">
            <v>-</v>
          </cell>
          <cell r="O65" t="str">
            <v>NO RISK</v>
          </cell>
        </row>
        <row r="66">
          <cell r="B66" t="str">
            <v>BBS KALIP OTONASYON TEKNOLOJİK İMALAT SANAYİ VE Tİ</v>
          </cell>
          <cell r="C66" t="str">
            <v>SMB</v>
          </cell>
          <cell r="E66">
            <v>275</v>
          </cell>
          <cell r="F66">
            <v>9.2727272727272728E-2</v>
          </cell>
          <cell r="G66">
            <v>252</v>
          </cell>
          <cell r="H66">
            <v>0.91636363636363638</v>
          </cell>
          <cell r="I66" t="str">
            <v>NO RISK</v>
          </cell>
          <cell r="J66" t="str">
            <v>NO RISK</v>
          </cell>
          <cell r="K66">
            <v>0</v>
          </cell>
          <cell r="M66" t="str">
            <v>YOK</v>
          </cell>
          <cell r="N66">
            <v>3</v>
          </cell>
          <cell r="O66" t="str">
            <v>NO RISK</v>
          </cell>
        </row>
        <row r="67">
          <cell r="B67" t="str">
            <v>BCM Uluslararası Madencilik iIracat San ve Tic</v>
          </cell>
          <cell r="C67" t="str">
            <v>SMB</v>
          </cell>
          <cell r="E67">
            <v>540</v>
          </cell>
          <cell r="F67">
            <v>0.44444444609053496</v>
          </cell>
          <cell r="G67">
            <v>324</v>
          </cell>
          <cell r="H67">
            <v>0.6</v>
          </cell>
          <cell r="I67" t="str">
            <v>NO RISK</v>
          </cell>
          <cell r="J67" t="str">
            <v>SÖZLEŞME SÜRECİ</v>
          </cell>
          <cell r="K67">
            <v>0</v>
          </cell>
          <cell r="M67" t="str">
            <v>YOK</v>
          </cell>
          <cell r="O67" t="str">
            <v>FİYAT</v>
          </cell>
        </row>
        <row r="68">
          <cell r="B68" t="str">
            <v>BDO DENET YEMİNLİ MALİ MÜŞAVİRLİK A.Ş.</v>
          </cell>
          <cell r="C68" t="str">
            <v>SMB</v>
          </cell>
          <cell r="E68">
            <v>4437</v>
          </cell>
          <cell r="F68">
            <v>0.17652104698681295</v>
          </cell>
          <cell r="G68">
            <v>3732</v>
          </cell>
          <cell r="H68">
            <v>0.84110885733603791</v>
          </cell>
          <cell r="I68" t="str">
            <v>NO RISK</v>
          </cell>
          <cell r="J68" t="str">
            <v>-</v>
          </cell>
          <cell r="K68">
            <v>7</v>
          </cell>
          <cell r="L68">
            <v>0.8571428571428571</v>
          </cell>
          <cell r="M68" t="str">
            <v>1</v>
          </cell>
          <cell r="O68" t="str">
            <v>-</v>
          </cell>
        </row>
        <row r="69">
          <cell r="B69" t="str">
            <v>BELTAS BESIKTAS BELEDIYESI ISL.A.S</v>
          </cell>
          <cell r="C69" t="str">
            <v>SMB</v>
          </cell>
          <cell r="E69">
            <v>803</v>
          </cell>
          <cell r="F69">
            <v>0.54932094610462245</v>
          </cell>
          <cell r="G69">
            <v>406</v>
          </cell>
          <cell r="H69">
            <v>0.50560398505603987</v>
          </cell>
          <cell r="I69" t="str">
            <v>NO RISK</v>
          </cell>
          <cell r="J69" t="str">
            <v>NO RISK</v>
          </cell>
          <cell r="K69">
            <v>2</v>
          </cell>
          <cell r="L69">
            <v>1</v>
          </cell>
          <cell r="M69" t="str">
            <v>-</v>
          </cell>
          <cell r="N69">
            <v>3.0915317559153177</v>
          </cell>
          <cell r="O69" t="str">
            <v>NO RISK</v>
          </cell>
        </row>
        <row r="70">
          <cell r="B70" t="str">
            <v>BEREKET LIFE TEKSTİL MEFRUŞAT SAN. ve TİC. LTD. ŞT</v>
          </cell>
          <cell r="C70" t="str">
            <v>SMB</v>
          </cell>
          <cell r="E70">
            <v>63</v>
          </cell>
          <cell r="F70">
            <v>0.30212688225456658</v>
          </cell>
          <cell r="G70">
            <v>46</v>
          </cell>
          <cell r="H70">
            <v>0.73015873015873012</v>
          </cell>
          <cell r="I70" t="str">
            <v>NO RISK</v>
          </cell>
          <cell r="J70" t="str">
            <v>NO RISK</v>
          </cell>
          <cell r="K70">
            <v>0</v>
          </cell>
          <cell r="M70" t="str">
            <v>1</v>
          </cell>
          <cell r="O70" t="str">
            <v>NO RISK</v>
          </cell>
        </row>
        <row r="71">
          <cell r="B71" t="str">
            <v>BERSAY İLETİŞİM DANIŞMANLIĞI TİC.A.Ş</v>
          </cell>
          <cell r="C71" t="str">
            <v>SMB</v>
          </cell>
          <cell r="E71">
            <v>103</v>
          </cell>
          <cell r="F71">
            <v>0.30213871256716068</v>
          </cell>
          <cell r="G71">
            <v>75</v>
          </cell>
          <cell r="H71">
            <v>0.72815533980582525</v>
          </cell>
          <cell r="I71" t="str">
            <v>NO RISK</v>
          </cell>
          <cell r="J71" t="str">
            <v>NO RISK</v>
          </cell>
          <cell r="K71">
            <v>0</v>
          </cell>
          <cell r="M71" t="str">
            <v>YOK</v>
          </cell>
          <cell r="O71" t="str">
            <v>NO RISK</v>
          </cell>
        </row>
        <row r="72">
          <cell r="B72" t="str">
            <v>BEYMEN GRUP</v>
          </cell>
          <cell r="C72" t="str">
            <v>ENTERPRISE</v>
          </cell>
          <cell r="E72">
            <v>13914</v>
          </cell>
          <cell r="F72">
            <v>5.606766741335599E-2</v>
          </cell>
          <cell r="G72">
            <v>13210</v>
          </cell>
          <cell r="H72">
            <v>0.94940347851085238</v>
          </cell>
          <cell r="I72" t="str">
            <v>HIGH RISK</v>
          </cell>
          <cell r="J72" t="str">
            <v>HİZMET MEMNUNİYETSİZLİĞİ</v>
          </cell>
          <cell r="K72">
            <v>32</v>
          </cell>
          <cell r="L72">
            <v>0.65625</v>
          </cell>
          <cell r="M72" t="str">
            <v>-</v>
          </cell>
          <cell r="O72" t="str">
            <v>GEÇ GERİ DÖNÜŞ</v>
          </cell>
        </row>
        <row r="73">
          <cell r="B73" t="str">
            <v>BEZMIALEM VAKIF ÜNIVERSITESI (REKTÖRLÜK)</v>
          </cell>
          <cell r="C73" t="str">
            <v>ENTERPRISE</v>
          </cell>
          <cell r="E73">
            <v>5871</v>
          </cell>
          <cell r="F73">
            <v>0.60166649367375302</v>
          </cell>
          <cell r="G73">
            <v>2692</v>
          </cell>
          <cell r="H73">
            <v>0.45852495315959801</v>
          </cell>
          <cell r="I73" t="str">
            <v>NO RISK</v>
          </cell>
          <cell r="J73" t="str">
            <v>NO RISK</v>
          </cell>
          <cell r="K73">
            <v>0</v>
          </cell>
          <cell r="M73" t="str">
            <v>1</v>
          </cell>
          <cell r="N73">
            <v>0.70828365411911665</v>
          </cell>
          <cell r="O73" t="str">
            <v>NO RISK</v>
          </cell>
        </row>
        <row r="74">
          <cell r="B74" t="str">
            <v>BIESTERFELD PLASTIK TIC.A.S</v>
          </cell>
          <cell r="C74" t="str">
            <v>SMB</v>
          </cell>
          <cell r="E74">
            <v>2128</v>
          </cell>
          <cell r="F74">
            <v>0.32952466823882187</v>
          </cell>
          <cell r="G74">
            <v>1496</v>
          </cell>
          <cell r="H74">
            <v>0.70300751879699253</v>
          </cell>
          <cell r="I74" t="str">
            <v>NO RISK</v>
          </cell>
          <cell r="J74" t="str">
            <v>NO RISK</v>
          </cell>
          <cell r="K74">
            <v>18</v>
          </cell>
          <cell r="L74">
            <v>1</v>
          </cell>
          <cell r="M74" t="str">
            <v>-</v>
          </cell>
          <cell r="O74" t="str">
            <v>NO RISK</v>
          </cell>
        </row>
        <row r="75">
          <cell r="B75" t="str">
            <v>BİGADİÇ ÜNAL GIDA TUR.SU ÜRN.HAY.KUY.DAYANIKLI TÜK</v>
          </cell>
          <cell r="C75" t="str">
            <v>SMB</v>
          </cell>
          <cell r="E75">
            <v>86</v>
          </cell>
          <cell r="F75">
            <v>0.30188356063397215</v>
          </cell>
          <cell r="G75">
            <v>149</v>
          </cell>
          <cell r="H75">
            <v>1.7325581395348837</v>
          </cell>
          <cell r="I75" t="str">
            <v>NO RISK</v>
          </cell>
          <cell r="J75" t="str">
            <v>NO RISK</v>
          </cell>
          <cell r="K75">
            <v>0</v>
          </cell>
          <cell r="M75" t="str">
            <v>YOK</v>
          </cell>
          <cell r="O75" t="str">
            <v>NO RISK</v>
          </cell>
        </row>
        <row r="76">
          <cell r="B76" t="str">
            <v>BİLİRA TEKNOLOJİ ANONİM ŞİRKETİ</v>
          </cell>
          <cell r="C76" t="str">
            <v>SMB</v>
          </cell>
          <cell r="E76">
            <v>105</v>
          </cell>
          <cell r="G76">
            <v>105</v>
          </cell>
          <cell r="H76">
            <v>1</v>
          </cell>
          <cell r="I76" t="str">
            <v>NO RISK</v>
          </cell>
          <cell r="J76" t="str">
            <v>NO RISK</v>
          </cell>
          <cell r="K76">
            <v>0</v>
          </cell>
          <cell r="M76" t="str">
            <v>-</v>
          </cell>
          <cell r="O76" t="str">
            <v>NO RISK</v>
          </cell>
        </row>
        <row r="77">
          <cell r="B77" t="str">
            <v>BİLSAR TEKSTIL SAN.VE DIS.TIC.A.S</v>
          </cell>
          <cell r="C77" t="str">
            <v>SMB</v>
          </cell>
          <cell r="E77">
            <v>4216</v>
          </cell>
          <cell r="F77">
            <v>0.64667441696091166</v>
          </cell>
          <cell r="G77">
            <v>1762</v>
          </cell>
          <cell r="H77">
            <v>0.41793168880455406</v>
          </cell>
          <cell r="I77" t="str">
            <v>HIGH RISK</v>
          </cell>
          <cell r="J77" t="str">
            <v>HİZMET MEMNUNİYETSİZLİĞİ</v>
          </cell>
          <cell r="K77">
            <v>19</v>
          </cell>
          <cell r="L77">
            <v>0.63157894736842102</v>
          </cell>
          <cell r="M77" t="str">
            <v>-</v>
          </cell>
          <cell r="N77">
            <v>2.9366302972802028</v>
          </cell>
          <cell r="O77" t="str">
            <v>TEKNİK YETKİNLİK EKSİKLİĞİ</v>
          </cell>
        </row>
        <row r="78">
          <cell r="B78" t="str">
            <v>BİRZE MÜHENDİSLİK HİZMETLERİ SAN. TİC. LTD. ŞTİ.</v>
          </cell>
          <cell r="C78" t="str">
            <v>SMB</v>
          </cell>
          <cell r="E78">
            <v>105</v>
          </cell>
          <cell r="F78">
            <v>0.27702346425207863</v>
          </cell>
          <cell r="G78">
            <v>79</v>
          </cell>
          <cell r="H78">
            <v>0.75238095238095237</v>
          </cell>
          <cell r="I78" t="str">
            <v>NO RISK</v>
          </cell>
          <cell r="J78" t="str">
            <v>NO RISK</v>
          </cell>
          <cell r="K78">
            <v>0</v>
          </cell>
          <cell r="M78" t="str">
            <v>YOK</v>
          </cell>
          <cell r="O78" t="str">
            <v>NO RISK</v>
          </cell>
        </row>
        <row r="79">
          <cell r="B79" t="str">
            <v>BİS Çözüm Bilgisayar ve Entegrasyon Hizmetleri</v>
          </cell>
          <cell r="C79" t="str">
            <v>SMB</v>
          </cell>
          <cell r="E79">
            <v>1610</v>
          </cell>
          <cell r="F79">
            <v>0.24288439632412051</v>
          </cell>
          <cell r="G79">
            <v>1258</v>
          </cell>
          <cell r="H79">
            <v>0.7813664596273292</v>
          </cell>
          <cell r="I79" t="str">
            <v>LOW RISK</v>
          </cell>
          <cell r="J79" t="str">
            <v>HİZMET MEMNUNİYETSİZLİĞİ</v>
          </cell>
          <cell r="K79">
            <v>2</v>
          </cell>
          <cell r="L79">
            <v>0.5</v>
          </cell>
          <cell r="M79" t="str">
            <v>-</v>
          </cell>
          <cell r="N79">
            <v>0.14492753623188406</v>
          </cell>
          <cell r="O79" t="str">
            <v>GEÇ GERİ DÖNÜŞ</v>
          </cell>
        </row>
        <row r="80">
          <cell r="B80" t="str">
            <v>BOĞAZIÇI ISTANBUL REKLAM VE ORGANIZASYON PEYZAJ SP</v>
          </cell>
          <cell r="C80" t="str">
            <v>SMB</v>
          </cell>
          <cell r="E80">
            <v>666</v>
          </cell>
          <cell r="F80">
            <v>0.20185978767996729</v>
          </cell>
          <cell r="G80">
            <v>545</v>
          </cell>
          <cell r="H80">
            <v>0.81831831831831836</v>
          </cell>
          <cell r="I80" t="str">
            <v>NO RISK</v>
          </cell>
          <cell r="J80" t="str">
            <v>NO RISK</v>
          </cell>
          <cell r="K80">
            <v>0</v>
          </cell>
          <cell r="M80" t="str">
            <v>YOK</v>
          </cell>
          <cell r="N80">
            <v>3.2357357357357359</v>
          </cell>
          <cell r="O80" t="str">
            <v>NO RISK</v>
          </cell>
        </row>
        <row r="81">
          <cell r="B81" t="str">
            <v>BOĞAZİÇİ SİGORTA</v>
          </cell>
          <cell r="C81" t="str">
            <v>SMB</v>
          </cell>
          <cell r="E81">
            <v>24</v>
          </cell>
          <cell r="G81">
            <v>24</v>
          </cell>
          <cell r="H81">
            <v>1</v>
          </cell>
          <cell r="I81" t="str">
            <v>NO RISK</v>
          </cell>
          <cell r="J81" t="str">
            <v>NO RISK</v>
          </cell>
          <cell r="K81">
            <v>0</v>
          </cell>
          <cell r="M81" t="str">
            <v>YOK</v>
          </cell>
          <cell r="O81" t="str">
            <v>NO RISK</v>
          </cell>
        </row>
        <row r="82">
          <cell r="B82" t="str">
            <v>BOMBTEA GIDA IÇECEK REK.ORG.VE TIC..( DOSPRESSO )</v>
          </cell>
          <cell r="C82" t="str">
            <v>SMB</v>
          </cell>
          <cell r="E82">
            <v>431</v>
          </cell>
          <cell r="F82">
            <v>0.60535041449777349</v>
          </cell>
          <cell r="G82">
            <v>196</v>
          </cell>
          <cell r="H82">
            <v>0.45475638051044082</v>
          </cell>
          <cell r="I82" t="str">
            <v>NO RISK</v>
          </cell>
          <cell r="J82" t="str">
            <v>NO RISK</v>
          </cell>
          <cell r="K82">
            <v>0</v>
          </cell>
          <cell r="M82" t="str">
            <v>YOK</v>
          </cell>
          <cell r="N82">
            <v>2.1268368136117557E-2</v>
          </cell>
          <cell r="O82" t="str">
            <v>NO RISK</v>
          </cell>
        </row>
        <row r="83">
          <cell r="B83" t="str">
            <v>BOTTEGA VENETA TURKEY LUKS URUNLER TICARET LTD</v>
          </cell>
          <cell r="C83" t="str">
            <v>SMB</v>
          </cell>
          <cell r="E83">
            <v>184</v>
          </cell>
          <cell r="F83">
            <v>6.6230110710958814E-2</v>
          </cell>
          <cell r="G83">
            <v>173</v>
          </cell>
          <cell r="H83">
            <v>0.94021739130434778</v>
          </cell>
          <cell r="I83" t="str">
            <v>NO RISK</v>
          </cell>
          <cell r="J83" t="str">
            <v>NO RISK</v>
          </cell>
          <cell r="K83">
            <v>0</v>
          </cell>
          <cell r="M83" t="str">
            <v>YOK</v>
          </cell>
          <cell r="O83" t="str">
            <v>NO RISK</v>
          </cell>
        </row>
        <row r="84">
          <cell r="B84" t="str">
            <v>BRANDCRAFTERS REKLAM TANITIM TASARIM ORG.IÇ VE DIS</v>
          </cell>
          <cell r="C84" t="str">
            <v>SMB</v>
          </cell>
          <cell r="E84">
            <v>187</v>
          </cell>
          <cell r="F84">
            <v>0.83299526707234617</v>
          </cell>
          <cell r="G84">
            <v>47</v>
          </cell>
          <cell r="H84">
            <v>0.25133689839572193</v>
          </cell>
          <cell r="I84" t="str">
            <v>NO RISK</v>
          </cell>
          <cell r="J84" t="str">
            <v>NO RISK</v>
          </cell>
          <cell r="K84">
            <v>3</v>
          </cell>
          <cell r="L84">
            <v>0.66666666666666663</v>
          </cell>
          <cell r="M84" t="str">
            <v>-</v>
          </cell>
          <cell r="N84">
            <v>0.30748663101604279</v>
          </cell>
          <cell r="O84" t="str">
            <v>NO RISK</v>
          </cell>
        </row>
        <row r="85">
          <cell r="B85" t="str">
            <v>BRAVO YAZILIM VE DANIŞMANLIK HİZM. İÇ VE DIŞ TİC</v>
          </cell>
          <cell r="C85" t="str">
            <v>SMB</v>
          </cell>
          <cell r="E85">
            <v>55</v>
          </cell>
          <cell r="F85">
            <v>0.27493881210975302</v>
          </cell>
          <cell r="G85">
            <v>41</v>
          </cell>
          <cell r="H85">
            <v>0.74545454545454548</v>
          </cell>
          <cell r="I85" t="str">
            <v>NO RISK</v>
          </cell>
          <cell r="J85" t="str">
            <v>NO RISK</v>
          </cell>
          <cell r="K85">
            <v>4</v>
          </cell>
          <cell r="L85">
            <v>0.75</v>
          </cell>
          <cell r="M85" t="str">
            <v>-</v>
          </cell>
          <cell r="N85">
            <v>0.63636363636363635</v>
          </cell>
          <cell r="O85" t="str">
            <v>NO RISK</v>
          </cell>
        </row>
        <row r="86">
          <cell r="B86" t="str">
            <v>BS GÜMRÜK</v>
          </cell>
          <cell r="C86" t="str">
            <v>SMB</v>
          </cell>
          <cell r="E86">
            <v>150</v>
          </cell>
          <cell r="F86">
            <v>0.04</v>
          </cell>
          <cell r="G86">
            <v>145</v>
          </cell>
          <cell r="H86">
            <v>0.96666666666666667</v>
          </cell>
          <cell r="I86" t="str">
            <v>NO RISK</v>
          </cell>
          <cell r="J86" t="str">
            <v>NO RISK</v>
          </cell>
          <cell r="K86">
            <v>1</v>
          </cell>
          <cell r="L86">
            <v>1</v>
          </cell>
          <cell r="M86" t="str">
            <v>-</v>
          </cell>
          <cell r="O86" t="str">
            <v>NO RISK</v>
          </cell>
        </row>
        <row r="87">
          <cell r="B87" t="str">
            <v>BTI BİLİŞİM DANIŞMANLIK VE YAZILIM VE TİC. LTD. ŞT</v>
          </cell>
          <cell r="C87" t="str">
            <v>SMB</v>
          </cell>
          <cell r="E87">
            <v>440</v>
          </cell>
          <cell r="F87">
            <v>0.55453285404664832</v>
          </cell>
          <cell r="G87">
            <v>220</v>
          </cell>
          <cell r="H87">
            <v>0.5</v>
          </cell>
          <cell r="I87" t="str">
            <v>NO RISK</v>
          </cell>
          <cell r="J87" t="str">
            <v>NO RISK</v>
          </cell>
          <cell r="K87">
            <v>5</v>
          </cell>
          <cell r="L87">
            <v>0.8</v>
          </cell>
          <cell r="M87" t="str">
            <v>-</v>
          </cell>
          <cell r="O87" t="str">
            <v>NO RISK</v>
          </cell>
        </row>
        <row r="88">
          <cell r="B88" t="str">
            <v>BTYÖN TEKNOLOJİ A.Ş.</v>
          </cell>
          <cell r="C88" t="str">
            <v>SMB</v>
          </cell>
          <cell r="E88">
            <v>100</v>
          </cell>
          <cell r="F88">
            <v>0.10000017875031952</v>
          </cell>
          <cell r="G88">
            <v>91</v>
          </cell>
          <cell r="H88">
            <v>0.91</v>
          </cell>
          <cell r="I88" t="str">
            <v>NO RISK</v>
          </cell>
          <cell r="J88" t="str">
            <v>NO RISK</v>
          </cell>
          <cell r="K88">
            <v>0</v>
          </cell>
          <cell r="M88" t="str">
            <v>YOK</v>
          </cell>
          <cell r="O88" t="str">
            <v>NO RISK</v>
          </cell>
        </row>
        <row r="89">
          <cell r="B89" t="str">
            <v>BUDDY DIŞ TİCARET SAN. A.Ş</v>
          </cell>
          <cell r="C89" t="str">
            <v>SMB</v>
          </cell>
          <cell r="E89">
            <v>86</v>
          </cell>
          <cell r="F89">
            <v>0.30188356063397209</v>
          </cell>
          <cell r="G89">
            <v>63</v>
          </cell>
          <cell r="H89">
            <v>0.73255813953488369</v>
          </cell>
          <cell r="I89" t="str">
            <v>NO RISK</v>
          </cell>
          <cell r="J89" t="str">
            <v>NO RISK</v>
          </cell>
          <cell r="K89">
            <v>0</v>
          </cell>
          <cell r="M89" t="str">
            <v>YOK</v>
          </cell>
          <cell r="O89" t="str">
            <v>NO RISK</v>
          </cell>
        </row>
        <row r="90">
          <cell r="B90" t="str">
            <v>BUFALA SÜT ÜRÜNLERİ SANAYİ VE TİCARET A.Ş</v>
          </cell>
          <cell r="C90" t="str">
            <v>SMB</v>
          </cell>
          <cell r="E90">
            <v>138</v>
          </cell>
          <cell r="F90">
            <v>0.32737499441377399</v>
          </cell>
          <cell r="G90">
            <v>97</v>
          </cell>
          <cell r="H90">
            <v>0.70289855072463769</v>
          </cell>
          <cell r="I90" t="str">
            <v>NO RISK</v>
          </cell>
          <cell r="J90" t="str">
            <v>NO RISK</v>
          </cell>
          <cell r="K90">
            <v>1</v>
          </cell>
          <cell r="M90" t="str">
            <v>-</v>
          </cell>
          <cell r="O90" t="str">
            <v>NO RISK</v>
          </cell>
        </row>
        <row r="91">
          <cell r="B91" t="str">
            <v>BURGAN BANK A.S.</v>
          </cell>
          <cell r="C91" t="str">
            <v>ENTERPRISE</v>
          </cell>
          <cell r="E91">
            <v>250</v>
          </cell>
          <cell r="G91">
            <v>250</v>
          </cell>
          <cell r="H91">
            <v>1</v>
          </cell>
          <cell r="I91" t="str">
            <v>NO RISK</v>
          </cell>
          <cell r="J91" t="str">
            <v>NO RISK</v>
          </cell>
          <cell r="K91">
            <v>2</v>
          </cell>
          <cell r="L91">
            <v>0.5</v>
          </cell>
          <cell r="M91" t="str">
            <v>-</v>
          </cell>
          <cell r="O91" t="str">
            <v>NO RISK</v>
          </cell>
        </row>
        <row r="92">
          <cell r="B92" t="str">
            <v>BURSA KAYNAK MAKİNE İNŞAAT YEDEK PARÇA NAKLİYE VE</v>
          </cell>
          <cell r="C92" t="str">
            <v>SMB</v>
          </cell>
          <cell r="E92">
            <v>86</v>
          </cell>
          <cell r="F92">
            <v>0.3033960484297662</v>
          </cell>
          <cell r="G92">
            <v>63</v>
          </cell>
          <cell r="H92">
            <v>0.73255813953488369</v>
          </cell>
          <cell r="I92" t="str">
            <v>BOOKED CHURN</v>
          </cell>
          <cell r="J92" t="str">
            <v>HİZMET MEMNUNİYETSİZLİĞİ</v>
          </cell>
          <cell r="K92">
            <v>14</v>
          </cell>
          <cell r="L92">
            <v>0.9285714285714286</v>
          </cell>
          <cell r="M92" t="str">
            <v>1</v>
          </cell>
          <cell r="O92" t="str">
            <v>SÖZLEŞME - HİZMET BEKLENTİSİ UYUŞMAZLIĞI</v>
          </cell>
        </row>
        <row r="93">
          <cell r="B93" t="str">
            <v>BUSEM HEDİYELİK EŞYA VE METAL SAN. TİC. LTD. ŞTİ.</v>
          </cell>
          <cell r="C93" t="str">
            <v>SMB</v>
          </cell>
          <cell r="E93">
            <v>99</v>
          </cell>
          <cell r="F93">
            <v>0.31952615553684149</v>
          </cell>
          <cell r="G93">
            <v>71</v>
          </cell>
          <cell r="H93">
            <v>0.71717171717171713</v>
          </cell>
          <cell r="I93" t="str">
            <v>NO RISK</v>
          </cell>
          <cell r="J93" t="str">
            <v>NO RISK</v>
          </cell>
          <cell r="K93">
            <v>0</v>
          </cell>
          <cell r="M93" t="str">
            <v>YOK</v>
          </cell>
          <cell r="O93" t="str">
            <v>NO RISK</v>
          </cell>
        </row>
        <row r="94">
          <cell r="B94" t="str">
            <v>ÇAĞATAY EVCİL HAYVAN MAMALARI VE YEM ÜRÜNLERİ SAN.</v>
          </cell>
          <cell r="C94" t="str">
            <v>ENTERPRISE</v>
          </cell>
          <cell r="E94">
            <v>4855</v>
          </cell>
          <cell r="F94">
            <v>8.3677463243744449E-2</v>
          </cell>
          <cell r="G94">
            <v>4489</v>
          </cell>
          <cell r="H94">
            <v>0.92461380020597317</v>
          </cell>
          <cell r="I94" t="str">
            <v>NO RISK</v>
          </cell>
          <cell r="J94" t="str">
            <v>HİZMET MEMNUNİYETSİZLİĞİ</v>
          </cell>
          <cell r="K94">
            <v>18</v>
          </cell>
          <cell r="L94">
            <v>0.61111111111111116</v>
          </cell>
          <cell r="M94" t="str">
            <v>1</v>
          </cell>
          <cell r="O94" t="str">
            <v>GEÇ GERİ DÖNÜŞ</v>
          </cell>
        </row>
        <row r="95">
          <cell r="B95" t="str">
            <v>ÇAĞBERK LOJİSTİK PAZARLAMA İÇ VE DIŞ TİCARET A.Ş</v>
          </cell>
          <cell r="C95" t="str">
            <v>SMB</v>
          </cell>
          <cell r="E95">
            <v>119</v>
          </cell>
          <cell r="F95">
            <v>0.31952409395973153</v>
          </cell>
          <cell r="G95">
            <v>85</v>
          </cell>
          <cell r="H95">
            <v>0.7142857142857143</v>
          </cell>
          <cell r="I95" t="str">
            <v>NO RISK</v>
          </cell>
          <cell r="J95" t="str">
            <v>NO RISK</v>
          </cell>
          <cell r="K95">
            <v>0</v>
          </cell>
          <cell r="M95" t="str">
            <v>YOK</v>
          </cell>
          <cell r="O95" t="str">
            <v>NO RISK</v>
          </cell>
        </row>
        <row r="96">
          <cell r="B96" t="str">
            <v>ÇAMLIBEL KURUMSAL PAZARLAMA HİZ. GIDA HAYV. SÜT ÜR</v>
          </cell>
          <cell r="C96" t="str">
            <v>SMB</v>
          </cell>
          <cell r="E96">
            <v>179</v>
          </cell>
          <cell r="F96">
            <v>0.16201117318435754</v>
          </cell>
          <cell r="G96">
            <v>153</v>
          </cell>
          <cell r="H96">
            <v>0.85474860335195535</v>
          </cell>
          <cell r="I96" t="str">
            <v>NO RISK</v>
          </cell>
          <cell r="J96" t="str">
            <v>FİNANSAL PROBLEMLER</v>
          </cell>
          <cell r="K96">
            <v>1</v>
          </cell>
          <cell r="M96" t="str">
            <v>-</v>
          </cell>
          <cell r="N96">
            <v>0.31657355679702048</v>
          </cell>
          <cell r="O96" t="str">
            <v>ÖDEME SORUNU</v>
          </cell>
        </row>
        <row r="97">
          <cell r="B97" t="str">
            <v>CAREWIND RÜZGAR TÜRBİNLERİ MONTAJ BAKIM VE SERVİS</v>
          </cell>
          <cell r="C97" t="str">
            <v>SMB</v>
          </cell>
          <cell r="E97">
            <v>86</v>
          </cell>
          <cell r="F97">
            <v>0.30215414764358162</v>
          </cell>
          <cell r="G97">
            <v>63</v>
          </cell>
          <cell r="H97">
            <v>0.73255813953488369</v>
          </cell>
          <cell r="I97" t="str">
            <v>NO RISK</v>
          </cell>
          <cell r="J97" t="str">
            <v>NO RISK</v>
          </cell>
          <cell r="K97">
            <v>0</v>
          </cell>
          <cell r="M97" t="str">
            <v>YOK</v>
          </cell>
          <cell r="O97" t="str">
            <v>NO RISK</v>
          </cell>
        </row>
        <row r="98">
          <cell r="B98" t="str">
            <v>CARREFOURSA CARREFOUR SABANCI TİCARET MERKEZİ A.Ş</v>
          </cell>
          <cell r="C98" t="str">
            <v>ENTERPRISE</v>
          </cell>
          <cell r="E98">
            <v>1005</v>
          </cell>
          <cell r="G98">
            <v>1005</v>
          </cell>
          <cell r="H98">
            <v>1</v>
          </cell>
          <cell r="I98" t="str">
            <v>LOW RISK</v>
          </cell>
          <cell r="J98" t="str">
            <v>STRATEJİK KARARLAR</v>
          </cell>
          <cell r="K98">
            <v>0</v>
          </cell>
          <cell r="M98" t="str">
            <v>YOK</v>
          </cell>
          <cell r="N98">
            <v>16.029021558872305</v>
          </cell>
          <cell r="O98" t="str">
            <v>ŞİRKET SATILMASI - ORTAKLIK DEĞİŞİKLİĞİ</v>
          </cell>
        </row>
        <row r="99">
          <cell r="B99" t="str">
            <v>ÇAVUŞPET AKARYAKIT SANAYİ VE TİC.LTD ŞTİ</v>
          </cell>
          <cell r="C99" t="str">
            <v>SMB</v>
          </cell>
          <cell r="E99">
            <v>675</v>
          </cell>
          <cell r="F99">
            <v>0.15407425401758554</v>
          </cell>
          <cell r="G99">
            <v>581</v>
          </cell>
          <cell r="H99">
            <v>0.8607407407407407</v>
          </cell>
          <cell r="I99" t="str">
            <v>NO RISK</v>
          </cell>
          <cell r="J99" t="str">
            <v>NO RISK</v>
          </cell>
          <cell r="K99">
            <v>1</v>
          </cell>
          <cell r="L99">
            <v>1</v>
          </cell>
          <cell r="M99" t="str">
            <v>-</v>
          </cell>
          <cell r="O99" t="str">
            <v>NO RISK</v>
          </cell>
        </row>
        <row r="100">
          <cell r="B100" t="str">
            <v>ÇELİK KULE METALÜRJİ SAN.VE TİC.LTD.ŞTİ</v>
          </cell>
          <cell r="C100" t="str">
            <v>SMB</v>
          </cell>
          <cell r="E100">
            <v>86</v>
          </cell>
          <cell r="F100">
            <v>0.30215414629117443</v>
          </cell>
          <cell r="G100">
            <v>63</v>
          </cell>
          <cell r="H100">
            <v>0.73255813953488369</v>
          </cell>
          <cell r="I100" t="str">
            <v>NO RISK</v>
          </cell>
          <cell r="J100" t="str">
            <v>NO RISK</v>
          </cell>
          <cell r="K100">
            <v>0</v>
          </cell>
          <cell r="M100" t="str">
            <v>YOK</v>
          </cell>
          <cell r="O100" t="str">
            <v>NO RISK</v>
          </cell>
        </row>
        <row r="101">
          <cell r="B101" t="str">
            <v>CENTRON BILGISAYAR SISTEMLERI SAN.&amp;TIC.LTD (OGNY)</v>
          </cell>
          <cell r="C101" t="str">
            <v>SMB</v>
          </cell>
          <cell r="E101">
            <v>289</v>
          </cell>
          <cell r="F101">
            <v>0.1171326063911917</v>
          </cell>
          <cell r="G101">
            <v>259</v>
          </cell>
          <cell r="H101">
            <v>0.89619377162629754</v>
          </cell>
          <cell r="I101" t="str">
            <v>NO RISK</v>
          </cell>
          <cell r="J101" t="str">
            <v>NO RISK</v>
          </cell>
          <cell r="K101">
            <v>0</v>
          </cell>
          <cell r="M101" t="str">
            <v>YOK</v>
          </cell>
          <cell r="N101">
            <v>2.9988465974625145</v>
          </cell>
          <cell r="O101" t="str">
            <v>NO RISK</v>
          </cell>
        </row>
        <row r="102">
          <cell r="B102" t="str">
            <v>Çerko Motor İç ve Dış Ticaret A.Ş.</v>
          </cell>
          <cell r="C102" t="str">
            <v>SMB</v>
          </cell>
          <cell r="E102">
            <v>190</v>
          </cell>
          <cell r="F102">
            <v>0.18912053540202459</v>
          </cell>
          <cell r="G102">
            <v>158</v>
          </cell>
          <cell r="H102">
            <v>0.83157894736842108</v>
          </cell>
          <cell r="I102" t="str">
            <v>NO RISK</v>
          </cell>
          <cell r="J102" t="str">
            <v>NO RISK</v>
          </cell>
          <cell r="K102">
            <v>0</v>
          </cell>
          <cell r="M102" t="str">
            <v>YOK</v>
          </cell>
          <cell r="O102" t="str">
            <v>NO RISK</v>
          </cell>
        </row>
        <row r="103">
          <cell r="B103" t="str">
            <v>CHİP COMPUTER BİLGİ İŞLEM VE DAN.HİZ.LTD.ŞTİ.</v>
          </cell>
          <cell r="C103" t="str">
            <v>SMB</v>
          </cell>
          <cell r="E103">
            <v>328</v>
          </cell>
          <cell r="F103">
            <v>0.11435183943484897</v>
          </cell>
          <cell r="G103">
            <v>294</v>
          </cell>
          <cell r="H103">
            <v>0.89634146341463417</v>
          </cell>
          <cell r="I103" t="str">
            <v>NO RISK</v>
          </cell>
          <cell r="J103" t="str">
            <v>NO RISK</v>
          </cell>
          <cell r="K103">
            <v>6</v>
          </cell>
          <cell r="L103">
            <v>0.5</v>
          </cell>
          <cell r="M103" t="str">
            <v>1</v>
          </cell>
          <cell r="O103" t="str">
            <v>NO RISK</v>
          </cell>
        </row>
        <row r="104">
          <cell r="B104" t="str">
            <v>CHRONOS INSAN KAYNAKLARI DANISMANLIK LTD.STI.</v>
          </cell>
          <cell r="C104" t="str">
            <v>SMB</v>
          </cell>
          <cell r="E104">
            <v>1535</v>
          </cell>
          <cell r="F104">
            <v>0.55162156107199523</v>
          </cell>
          <cell r="G104">
            <v>773</v>
          </cell>
          <cell r="H104">
            <v>0.50358306188925084</v>
          </cell>
          <cell r="I104" t="str">
            <v>NO RISK</v>
          </cell>
          <cell r="J104" t="str">
            <v>NO RISK</v>
          </cell>
          <cell r="K104">
            <v>4</v>
          </cell>
          <cell r="L104">
            <v>0.75</v>
          </cell>
          <cell r="M104" t="str">
            <v>-</v>
          </cell>
          <cell r="O104" t="str">
            <v>NO RISK</v>
          </cell>
        </row>
        <row r="105">
          <cell r="B105" t="str">
            <v>CNR HOLDİNG A.Ş.</v>
          </cell>
          <cell r="C105" t="str">
            <v>SMB</v>
          </cell>
          <cell r="E105">
            <v>450</v>
          </cell>
          <cell r="F105">
            <v>2.3977161937694051E-2</v>
          </cell>
          <cell r="G105">
            <v>440</v>
          </cell>
          <cell r="H105">
            <v>0.97777777777777775</v>
          </cell>
          <cell r="I105" t="str">
            <v>NO RISK</v>
          </cell>
          <cell r="J105" t="str">
            <v>NO RISK</v>
          </cell>
          <cell r="K105">
            <v>0</v>
          </cell>
          <cell r="M105" t="str">
            <v>YOK</v>
          </cell>
          <cell r="O105" t="str">
            <v>NO RISK</v>
          </cell>
        </row>
        <row r="106">
          <cell r="B106" t="str">
            <v>COMPUGROUP MEDICAL BILGI SISTEMLERI A.S. (CGM)</v>
          </cell>
          <cell r="C106" t="str">
            <v>ENTERPRISE</v>
          </cell>
          <cell r="E106">
            <v>11448</v>
          </cell>
          <cell r="F106">
            <v>0.22795535570172965</v>
          </cell>
          <cell r="G106">
            <v>9097</v>
          </cell>
          <cell r="H106">
            <v>0.7946366177498253</v>
          </cell>
          <cell r="I106" t="str">
            <v>LOW RISK</v>
          </cell>
          <cell r="J106" t="str">
            <v>HİZMET MEMNUNİYETSİZLİĞİ</v>
          </cell>
          <cell r="K106">
            <v>48</v>
          </cell>
          <cell r="L106">
            <v>0.77083333333333337</v>
          </cell>
          <cell r="M106" t="str">
            <v>-</v>
          </cell>
          <cell r="O106" t="str">
            <v>GEÇ GERİ DÖNÜŞ</v>
          </cell>
        </row>
        <row r="107">
          <cell r="B107" t="str">
            <v>CONVERGING EUROPE FUND III MANAGEMENT</v>
          </cell>
          <cell r="C107" t="str">
            <v>SMB</v>
          </cell>
          <cell r="E107">
            <v>38</v>
          </cell>
          <cell r="F107">
            <v>1</v>
          </cell>
          <cell r="G107">
            <v>4</v>
          </cell>
          <cell r="H107">
            <v>0.10526315789473684</v>
          </cell>
          <cell r="I107" t="str">
            <v>NO RISK</v>
          </cell>
          <cell r="J107" t="str">
            <v>NO RISK</v>
          </cell>
          <cell r="K107">
            <v>2</v>
          </cell>
          <cell r="L107">
            <v>1</v>
          </cell>
          <cell r="M107" t="str">
            <v>1</v>
          </cell>
          <cell r="O107" t="str">
            <v>NO RISK</v>
          </cell>
        </row>
        <row r="108">
          <cell r="B108" t="str">
            <v>COŞAR &amp; ŞAHİN HUKUK BÜROSU</v>
          </cell>
          <cell r="C108" t="str">
            <v>SMB</v>
          </cell>
          <cell r="E108">
            <v>200</v>
          </cell>
          <cell r="F108">
            <v>0.11</v>
          </cell>
          <cell r="G108">
            <v>180</v>
          </cell>
          <cell r="H108">
            <v>0.9</v>
          </cell>
          <cell r="I108" t="str">
            <v>NO RISK</v>
          </cell>
          <cell r="J108" t="str">
            <v>NO RISK</v>
          </cell>
          <cell r="K108">
            <v>0</v>
          </cell>
          <cell r="M108" t="str">
            <v>YOK</v>
          </cell>
          <cell r="N108">
            <v>2</v>
          </cell>
          <cell r="O108" t="str">
            <v>NO RISK</v>
          </cell>
        </row>
        <row r="109">
          <cell r="B109" t="str">
            <v>ÇÖZÜM BİLGİSAYAR PROGRAM İLT. SİS. VE TEK. SERV..</v>
          </cell>
          <cell r="C109" t="str">
            <v>SMB</v>
          </cell>
          <cell r="E109">
            <v>310</v>
          </cell>
          <cell r="F109">
            <v>0.1367272727272727</v>
          </cell>
          <cell r="G109">
            <v>272</v>
          </cell>
          <cell r="H109">
            <v>0.8774193548387097</v>
          </cell>
          <cell r="I109" t="str">
            <v>NO RISK</v>
          </cell>
          <cell r="J109" t="str">
            <v>NO RISK</v>
          </cell>
          <cell r="K109">
            <v>0</v>
          </cell>
          <cell r="M109" t="str">
            <v>YOK</v>
          </cell>
          <cell r="O109" t="str">
            <v>NO RISK</v>
          </cell>
        </row>
        <row r="110">
          <cell r="B110" t="str">
            <v>CVS ÇAVUSOGLU AYAKKABI PAZARI TİC.A.Ş.</v>
          </cell>
          <cell r="C110" t="str">
            <v>SMB</v>
          </cell>
          <cell r="E110">
            <v>150</v>
          </cell>
          <cell r="F110">
            <v>0.16259722265889934</v>
          </cell>
          <cell r="G110">
            <v>128</v>
          </cell>
          <cell r="H110">
            <v>0.85333333333333339</v>
          </cell>
          <cell r="I110" t="str">
            <v>NO RISK</v>
          </cell>
          <cell r="J110" t="str">
            <v>HİZMET MEMNUNİYETSİZLİĞİ</v>
          </cell>
          <cell r="K110">
            <v>1</v>
          </cell>
          <cell r="L110">
            <v>1</v>
          </cell>
          <cell r="M110" t="str">
            <v>-</v>
          </cell>
          <cell r="O110" t="str">
            <v>TEKNİK YETKİNLİK EKSİKLİĞİ</v>
          </cell>
        </row>
        <row r="111">
          <cell r="B111" t="str">
            <v>CVS HAVALANDIRMA SİSTEMLERİ SAN.VE TİC.A.Ş.</v>
          </cell>
          <cell r="C111" t="str">
            <v>SMB</v>
          </cell>
          <cell r="E111">
            <v>102</v>
          </cell>
          <cell r="F111">
            <v>0.31015355174956555</v>
          </cell>
          <cell r="G111">
            <v>74</v>
          </cell>
          <cell r="H111">
            <v>0.72549019607843135</v>
          </cell>
          <cell r="I111" t="str">
            <v>NO RISK</v>
          </cell>
          <cell r="J111" t="str">
            <v>NO RISK</v>
          </cell>
          <cell r="K111">
            <v>0</v>
          </cell>
          <cell r="M111" t="str">
            <v>YOK</v>
          </cell>
          <cell r="O111" t="str">
            <v>NO RISK</v>
          </cell>
        </row>
        <row r="112">
          <cell r="B112" t="str">
            <v>ÇYDD</v>
          </cell>
          <cell r="C112" t="str">
            <v>SMB</v>
          </cell>
          <cell r="E112">
            <v>171</v>
          </cell>
          <cell r="F112">
            <v>0.31065098256950896</v>
          </cell>
          <cell r="G112">
            <v>123</v>
          </cell>
          <cell r="H112">
            <v>0.7192982456140351</v>
          </cell>
          <cell r="I112" t="str">
            <v>NO RISK</v>
          </cell>
          <cell r="J112" t="str">
            <v>NO RISK</v>
          </cell>
          <cell r="K112">
            <v>0</v>
          </cell>
          <cell r="M112" t="str">
            <v>-</v>
          </cell>
          <cell r="O112" t="str">
            <v>NO RISK</v>
          </cell>
        </row>
        <row r="113">
          <cell r="B113" t="str">
            <v>DALYA GAYRIMENKUL GELISTIRME TICARET A.S</v>
          </cell>
          <cell r="C113" t="str">
            <v>SMB</v>
          </cell>
          <cell r="E113">
            <v>349</v>
          </cell>
          <cell r="F113">
            <v>0.14251940459505205</v>
          </cell>
          <cell r="G113">
            <v>304</v>
          </cell>
          <cell r="H113">
            <v>0.87106017191977081</v>
          </cell>
          <cell r="I113" t="str">
            <v>NO RISK</v>
          </cell>
          <cell r="J113" t="str">
            <v>HİZMET MEMNUNİYETSİZLİĞİ</v>
          </cell>
          <cell r="K113">
            <v>4</v>
          </cell>
          <cell r="L113">
            <v>1</v>
          </cell>
          <cell r="M113" t="str">
            <v>-</v>
          </cell>
          <cell r="O113" t="str">
            <v>SON KULLANICI</v>
          </cell>
        </row>
        <row r="114">
          <cell r="B114" t="str">
            <v>DATA HIDROLIK MAKINA SANAYI A.S.</v>
          </cell>
          <cell r="C114" t="str">
            <v>SMB</v>
          </cell>
          <cell r="E114">
            <v>2166</v>
          </cell>
          <cell r="F114">
            <v>0.25389060042073752</v>
          </cell>
          <cell r="G114">
            <v>1670</v>
          </cell>
          <cell r="H114">
            <v>0.77100646352723912</v>
          </cell>
          <cell r="I114" t="str">
            <v>NO RISK</v>
          </cell>
          <cell r="J114" t="str">
            <v>HİZMET MEMNUNİYETSİZLİĞİ</v>
          </cell>
          <cell r="K114">
            <v>71</v>
          </cell>
          <cell r="L114">
            <v>0.81690140845070425</v>
          </cell>
          <cell r="M114" t="str">
            <v>-</v>
          </cell>
          <cell r="O114" t="str">
            <v>SON KULLANICI</v>
          </cell>
        </row>
        <row r="115">
          <cell r="B115" t="str">
            <v>DB GÜMRÜK MÜŞAVİRLİĞİ LİMİTED ŞİRKET</v>
          </cell>
          <cell r="C115" t="str">
            <v>SMB</v>
          </cell>
          <cell r="E115">
            <v>469</v>
          </cell>
          <cell r="F115">
            <v>0.30444390248841785</v>
          </cell>
          <cell r="G115">
            <v>340</v>
          </cell>
          <cell r="H115">
            <v>0.72494669509594878</v>
          </cell>
          <cell r="I115" t="str">
            <v>NO RISK</v>
          </cell>
          <cell r="J115" t="str">
            <v>NO RISK</v>
          </cell>
          <cell r="K115">
            <v>1</v>
          </cell>
          <cell r="L115">
            <v>1</v>
          </cell>
          <cell r="M115" t="str">
            <v>-</v>
          </cell>
          <cell r="O115" t="str">
            <v>NO RISK</v>
          </cell>
        </row>
        <row r="116">
          <cell r="B116" t="str">
            <v>DEĞER ELEKTRİK - DEĞER İTHALAT İHRACAT ELEKTRİK MA</v>
          </cell>
          <cell r="C116" t="str">
            <v>SMB</v>
          </cell>
          <cell r="E116">
            <v>125</v>
          </cell>
          <cell r="F116">
            <v>0.43450709082673622</v>
          </cell>
          <cell r="G116">
            <v>76</v>
          </cell>
          <cell r="H116">
            <v>0.60799999999999998</v>
          </cell>
          <cell r="I116" t="str">
            <v>NO RISK</v>
          </cell>
          <cell r="J116" t="str">
            <v>NO RISK</v>
          </cell>
          <cell r="K116">
            <v>5</v>
          </cell>
          <cell r="L116">
            <v>0.8</v>
          </cell>
          <cell r="M116" t="str">
            <v>1</v>
          </cell>
          <cell r="O116" t="str">
            <v>NO RISK</v>
          </cell>
        </row>
        <row r="117">
          <cell r="B117" t="str">
            <v>DEHA SANAT ETKİNLİKLERİ EĞİTİM VE ORGANİZASYON İTH</v>
          </cell>
          <cell r="C117" t="str">
            <v>SMB</v>
          </cell>
          <cell r="E117">
            <v>190</v>
          </cell>
          <cell r="G117">
            <v>190</v>
          </cell>
          <cell r="H117">
            <v>1</v>
          </cell>
          <cell r="I117" t="str">
            <v>NO RISK</v>
          </cell>
          <cell r="J117" t="str">
            <v>NO RISK</v>
          </cell>
          <cell r="K117">
            <v>0</v>
          </cell>
          <cell r="M117" t="str">
            <v>YOK</v>
          </cell>
          <cell r="O117" t="str">
            <v>NO RISK</v>
          </cell>
        </row>
        <row r="118">
          <cell r="B118" t="str">
            <v>DEHA SANAT ETKİNLİKLERİ EĞİTİM VE ORGANİZASYON İTH</v>
          </cell>
          <cell r="C118" t="str">
            <v>SMB</v>
          </cell>
          <cell r="E118">
            <v>190</v>
          </cell>
          <cell r="F118">
            <v>0.21863417518073183</v>
          </cell>
          <cell r="G118">
            <v>153</v>
          </cell>
          <cell r="H118">
            <v>0.80526315789473679</v>
          </cell>
          <cell r="I118" t="str">
            <v>NO RISK</v>
          </cell>
          <cell r="J118" t="str">
            <v>NO RISK</v>
          </cell>
          <cell r="K118">
            <v>0</v>
          </cell>
          <cell r="M118" t="str">
            <v>YOK</v>
          </cell>
          <cell r="O118" t="str">
            <v>NO RISK</v>
          </cell>
        </row>
        <row r="119">
          <cell r="B119" t="str">
            <v>DEKORATİF PASLANMAZ METAL İÇ VE DIŞ TİCARET LİMİTE</v>
          </cell>
          <cell r="C119" t="str">
            <v>SMB</v>
          </cell>
          <cell r="E119">
            <v>265</v>
          </cell>
          <cell r="F119">
            <v>0.19056603773584907</v>
          </cell>
          <cell r="G119">
            <v>220</v>
          </cell>
          <cell r="H119">
            <v>0.83018867924528306</v>
          </cell>
          <cell r="I119" t="str">
            <v>NO RISK</v>
          </cell>
          <cell r="J119" t="str">
            <v>NO RISK</v>
          </cell>
          <cell r="K119">
            <v>0</v>
          </cell>
          <cell r="M119" t="str">
            <v>-</v>
          </cell>
          <cell r="O119" t="str">
            <v>NO RISK</v>
          </cell>
        </row>
        <row r="120">
          <cell r="B120" t="str">
            <v>DEMANT ISITME CIHAZLARI SAN.VE TIC.A.S. (SES)</v>
          </cell>
          <cell r="C120" t="str">
            <v>SMB</v>
          </cell>
          <cell r="E120">
            <v>750</v>
          </cell>
          <cell r="F120">
            <v>0.14000000000000001</v>
          </cell>
          <cell r="G120">
            <v>656</v>
          </cell>
          <cell r="H120">
            <v>0.8746666666666667</v>
          </cell>
          <cell r="I120" t="str">
            <v>CHURN-KAPSAM DARALMASI</v>
          </cell>
          <cell r="J120" t="str">
            <v>STRATEJİK KARARLAR</v>
          </cell>
          <cell r="K120">
            <v>1</v>
          </cell>
          <cell r="M120" t="str">
            <v>-</v>
          </cell>
          <cell r="N120">
            <v>1.0377777777777779</v>
          </cell>
          <cell r="O120" t="str">
            <v>GLOBAL KARAR</v>
          </cell>
        </row>
        <row r="121">
          <cell r="B121" t="str">
            <v>DEMKA KAĞIT VE AMBALAJ SANAYİ TİCARET ANONİM ŞİRKE</v>
          </cell>
          <cell r="C121" t="str">
            <v>SMB</v>
          </cell>
          <cell r="E121">
            <v>275</v>
          </cell>
          <cell r="F121">
            <v>5.4545454545454543E-2</v>
          </cell>
          <cell r="G121">
            <v>262</v>
          </cell>
          <cell r="H121">
            <v>0.95272727272727276</v>
          </cell>
          <cell r="I121" t="str">
            <v>NO RISK</v>
          </cell>
          <cell r="J121" t="str">
            <v>NO RISK</v>
          </cell>
          <cell r="K121">
            <v>0</v>
          </cell>
          <cell r="M121" t="str">
            <v>YOK</v>
          </cell>
          <cell r="N121">
            <v>1</v>
          </cell>
          <cell r="O121" t="str">
            <v>NO RISK</v>
          </cell>
        </row>
        <row r="122">
          <cell r="B122" t="str">
            <v>DENGE AUTOMOTİVE</v>
          </cell>
          <cell r="C122" t="str">
            <v>SMB</v>
          </cell>
          <cell r="E122">
            <v>1784</v>
          </cell>
          <cell r="F122">
            <v>0.48088008942755339</v>
          </cell>
          <cell r="G122">
            <v>1012</v>
          </cell>
          <cell r="H122">
            <v>0.56726457399103136</v>
          </cell>
          <cell r="I122" t="str">
            <v>NO RISK</v>
          </cell>
          <cell r="J122" t="str">
            <v>NO RISK</v>
          </cell>
          <cell r="K122">
            <v>1</v>
          </cell>
          <cell r="M122" t="str">
            <v>-</v>
          </cell>
          <cell r="O122" t="str">
            <v>NO RISK</v>
          </cell>
        </row>
        <row r="123">
          <cell r="B123" t="str">
            <v>DERTEC ELEKTRONIK SES ISIK GÖRÜNTÜ SIS.SAN.TIC.LTD</v>
          </cell>
          <cell r="C123" t="str">
            <v>SMB</v>
          </cell>
          <cell r="E123">
            <v>73</v>
          </cell>
          <cell r="F123">
            <v>1</v>
          </cell>
          <cell r="G123">
            <v>7</v>
          </cell>
          <cell r="H123">
            <v>9.5890410958904104E-2</v>
          </cell>
          <cell r="I123" t="str">
            <v>NO RISK</v>
          </cell>
          <cell r="J123" t="str">
            <v>NO RISK</v>
          </cell>
          <cell r="K123">
            <v>5</v>
          </cell>
          <cell r="L123">
            <v>1</v>
          </cell>
          <cell r="M123" t="str">
            <v>1</v>
          </cell>
          <cell r="O123" t="str">
            <v>NO RISK</v>
          </cell>
        </row>
        <row r="124">
          <cell r="B124" t="str">
            <v>DIGITURK KREA IÇERIK HIZMETLERI VE PRODÜKSIYON A.S</v>
          </cell>
          <cell r="C124" t="str">
            <v>ENTERPRISE</v>
          </cell>
          <cell r="E124">
            <v>6136</v>
          </cell>
          <cell r="G124">
            <v>6133</v>
          </cell>
          <cell r="H124">
            <v>0.99951108213820083</v>
          </cell>
          <cell r="I124" t="str">
            <v>NO RISK</v>
          </cell>
          <cell r="J124" t="str">
            <v>SÖZLEŞME SÜRECİ</v>
          </cell>
          <cell r="K124">
            <v>858</v>
          </cell>
          <cell r="L124">
            <v>0.97435897435897434</v>
          </cell>
          <cell r="M124" t="str">
            <v>-</v>
          </cell>
          <cell r="O124" t="str">
            <v>FİYAT</v>
          </cell>
        </row>
        <row r="125">
          <cell r="B125" t="str">
            <v>DİKEY VITAMIN KOZM.GIDATAKV.TIC.AS(SUPPLEMTLER)</v>
          </cell>
          <cell r="C125" t="str">
            <v>ENTERPRISE</v>
          </cell>
          <cell r="E125">
            <v>9159</v>
          </cell>
          <cell r="F125">
            <v>0.14620033566429438</v>
          </cell>
          <cell r="G125">
            <v>7954</v>
          </cell>
          <cell r="H125">
            <v>0.86843541871383334</v>
          </cell>
          <cell r="I125" t="str">
            <v>MEDIUM RISK</v>
          </cell>
          <cell r="J125" t="str">
            <v>HİZMET MEMNUNİYETSİZLİĞİ</v>
          </cell>
          <cell r="K125">
            <v>30</v>
          </cell>
          <cell r="L125">
            <v>0.8</v>
          </cell>
          <cell r="M125" t="str">
            <v>1</v>
          </cell>
          <cell r="N125">
            <v>0.86454125268406312</v>
          </cell>
          <cell r="O125" t="str">
            <v>ECLIT ÇALIŞAN SİRKÜLASYONU</v>
          </cell>
        </row>
        <row r="126">
          <cell r="B126" t="str">
            <v>DİNAMİK BARKOD OTOMASYON YAZILIM MÜHENDİSLİK BİLİŞ</v>
          </cell>
          <cell r="C126" t="str">
            <v>SMB</v>
          </cell>
          <cell r="E126">
            <v>43</v>
          </cell>
          <cell r="F126">
            <v>0.25877459030100924</v>
          </cell>
          <cell r="G126">
            <v>33</v>
          </cell>
          <cell r="H126">
            <v>0.76744186046511631</v>
          </cell>
          <cell r="I126" t="str">
            <v>NO RISK</v>
          </cell>
          <cell r="J126" t="str">
            <v>NO RISK</v>
          </cell>
          <cell r="K126">
            <v>3</v>
          </cell>
          <cell r="L126">
            <v>0.66666666666666663</v>
          </cell>
          <cell r="M126" t="str">
            <v>1</v>
          </cell>
          <cell r="O126" t="str">
            <v>NO RISK</v>
          </cell>
        </row>
        <row r="127">
          <cell r="B127" t="str">
            <v>DOGAN METE MİMARLIK INSAAT</v>
          </cell>
          <cell r="C127" t="str">
            <v>SMB</v>
          </cell>
          <cell r="E127">
            <v>186</v>
          </cell>
          <cell r="F127">
            <v>0.13523179715846809</v>
          </cell>
          <cell r="G127">
            <v>163</v>
          </cell>
          <cell r="H127">
            <v>0.87634408602150538</v>
          </cell>
          <cell r="I127" t="str">
            <v>NO RISK</v>
          </cell>
          <cell r="J127" t="str">
            <v>NO RISK</v>
          </cell>
          <cell r="K127">
            <v>0</v>
          </cell>
          <cell r="M127" t="str">
            <v>YOK</v>
          </cell>
          <cell r="O127" t="str">
            <v>NO RISK</v>
          </cell>
        </row>
        <row r="128">
          <cell r="B128" t="str">
            <v>DÖNÜŞÜM OTOMOTİV VE SAN.TİC.A.Ş.</v>
          </cell>
          <cell r="C128" t="str">
            <v>SMB</v>
          </cell>
          <cell r="E128">
            <v>702</v>
          </cell>
          <cell r="F128">
            <v>0.14997599966048952</v>
          </cell>
          <cell r="G128">
            <v>607</v>
          </cell>
          <cell r="H128">
            <v>0.86467236467236464</v>
          </cell>
          <cell r="I128" t="str">
            <v>NO RISK</v>
          </cell>
          <cell r="J128" t="str">
            <v>SÖZLEŞME SÜRECİ</v>
          </cell>
          <cell r="K128">
            <v>15</v>
          </cell>
          <cell r="L128">
            <v>0.6</v>
          </cell>
          <cell r="M128" t="str">
            <v>-</v>
          </cell>
          <cell r="O128" t="str">
            <v>FİYAT</v>
          </cell>
        </row>
        <row r="129">
          <cell r="B129" t="str">
            <v>DÖRTSAN GRUP HİDROLİK OTOMOTİV SAN. VE DIŞ TİC. LT</v>
          </cell>
          <cell r="C129" t="str">
            <v>SMB</v>
          </cell>
          <cell r="E129">
            <v>109</v>
          </cell>
          <cell r="F129">
            <v>0.30161732888533921</v>
          </cell>
          <cell r="G129">
            <v>79</v>
          </cell>
          <cell r="H129">
            <v>0.72477064220183485</v>
          </cell>
          <cell r="I129" t="str">
            <v>NO RISK</v>
          </cell>
          <cell r="J129" t="str">
            <v>NO RISK</v>
          </cell>
          <cell r="K129">
            <v>0</v>
          </cell>
          <cell r="M129" t="str">
            <v>YOK</v>
          </cell>
          <cell r="O129" t="str">
            <v>NO RISK</v>
          </cell>
        </row>
        <row r="130">
          <cell r="B130" t="str">
            <v>DORUK İLETİŞİM</v>
          </cell>
          <cell r="C130" t="str">
            <v>SMB</v>
          </cell>
          <cell r="E130">
            <v>1086</v>
          </cell>
          <cell r="F130">
            <v>6.0000013323245227E-2</v>
          </cell>
          <cell r="G130">
            <v>1027</v>
          </cell>
          <cell r="H130">
            <v>0.94567219152854509</v>
          </cell>
          <cell r="I130" t="str">
            <v>NO RISK</v>
          </cell>
          <cell r="J130" t="str">
            <v>NO RISK</v>
          </cell>
          <cell r="K130">
            <v>0</v>
          </cell>
          <cell r="M130" t="str">
            <v>-</v>
          </cell>
          <cell r="O130" t="str">
            <v>NO RISK</v>
          </cell>
        </row>
        <row r="131">
          <cell r="B131" t="str">
            <v>DORUK SOĞUTMA SİSTEMLERİ SAN.VE TİCARETLTD.ŞTİ</v>
          </cell>
          <cell r="C131" t="str">
            <v>SMB</v>
          </cell>
          <cell r="E131">
            <v>96</v>
          </cell>
          <cell r="F131">
            <v>0.36614433899801363</v>
          </cell>
          <cell r="G131">
            <v>64</v>
          </cell>
          <cell r="H131">
            <v>0.66666666666666663</v>
          </cell>
          <cell r="I131" t="str">
            <v>NO RISK</v>
          </cell>
          <cell r="J131" t="str">
            <v>NO RISK</v>
          </cell>
          <cell r="K131">
            <v>1</v>
          </cell>
          <cell r="M131" t="str">
            <v>-</v>
          </cell>
          <cell r="N131">
            <v>0.76388888888888895</v>
          </cell>
          <cell r="O131" t="str">
            <v>NO RISK</v>
          </cell>
        </row>
        <row r="132">
          <cell r="B132" t="str">
            <v>DT MÜHENDİSLİK VE TAAHHÜT ANONİM SİRKETİ</v>
          </cell>
          <cell r="C132" t="str">
            <v>SMB</v>
          </cell>
          <cell r="E132">
            <v>1353</v>
          </cell>
          <cell r="F132">
            <v>0.37974345120603664</v>
          </cell>
          <cell r="G132">
            <v>891</v>
          </cell>
          <cell r="H132">
            <v>0.65853658536585369</v>
          </cell>
          <cell r="I132" t="str">
            <v>NO RISK</v>
          </cell>
          <cell r="J132" t="str">
            <v>NO RISK</v>
          </cell>
          <cell r="K132">
            <v>6</v>
          </cell>
          <cell r="L132">
            <v>0.66666666666666663</v>
          </cell>
          <cell r="M132" t="str">
            <v>1</v>
          </cell>
          <cell r="N132">
            <v>1.0002463661000247</v>
          </cell>
          <cell r="O132" t="str">
            <v>NO RISK</v>
          </cell>
        </row>
        <row r="133">
          <cell r="B133" t="str">
            <v>E SİM TELEKOMÜNİKASYON LİMİTED SİRKETİ</v>
          </cell>
          <cell r="C133" t="str">
            <v>SMB</v>
          </cell>
          <cell r="E133">
            <v>49</v>
          </cell>
          <cell r="F133">
            <v>1</v>
          </cell>
          <cell r="G133">
            <v>5</v>
          </cell>
          <cell r="H133">
            <v>0.10204081632653061</v>
          </cell>
          <cell r="I133" t="str">
            <v>NO RISK</v>
          </cell>
          <cell r="J133" t="str">
            <v>HİZMET MEMNUNİYETSİZLİĞİ</v>
          </cell>
          <cell r="K133">
            <v>1</v>
          </cell>
          <cell r="M133" t="str">
            <v>YOK</v>
          </cell>
          <cell r="N133">
            <v>1.9727891156462587</v>
          </cell>
          <cell r="O133" t="str">
            <v>SON KULLANICI</v>
          </cell>
        </row>
        <row r="134">
          <cell r="B134" t="str">
            <v>EclitGO</v>
          </cell>
          <cell r="C134" t="str">
            <v>OTHER</v>
          </cell>
          <cell r="E134">
            <v>54708</v>
          </cell>
          <cell r="G134">
            <v>54702</v>
          </cell>
          <cell r="H134">
            <v>0.99989032682605838</v>
          </cell>
          <cell r="I134" t="str">
            <v>NO RISK</v>
          </cell>
          <cell r="J134" t="str">
            <v>NO RISK</v>
          </cell>
          <cell r="K134">
            <v>5</v>
          </cell>
          <cell r="M134" t="str">
            <v>-</v>
          </cell>
          <cell r="O134" t="str">
            <v>NO RISK</v>
          </cell>
        </row>
        <row r="135">
          <cell r="B135" t="str">
            <v>EDU ÇEVİRİ HİZMETLERİ LİMİTED ŞİRKETİ (BARLAS)</v>
          </cell>
          <cell r="C135" t="str">
            <v>SMB</v>
          </cell>
          <cell r="E135">
            <v>181</v>
          </cell>
          <cell r="F135">
            <v>0.70872130403647493</v>
          </cell>
          <cell r="G135">
            <v>66</v>
          </cell>
          <cell r="H135">
            <v>0.36464088397790057</v>
          </cell>
          <cell r="I135" t="str">
            <v>NO RISK</v>
          </cell>
          <cell r="J135" t="str">
            <v>NO RISK</v>
          </cell>
          <cell r="K135">
            <v>2</v>
          </cell>
          <cell r="L135">
            <v>0.5</v>
          </cell>
          <cell r="M135" t="str">
            <v>-</v>
          </cell>
          <cell r="O135" t="str">
            <v>NO RISK</v>
          </cell>
        </row>
        <row r="136">
          <cell r="B136" t="str">
            <v>EFEX ELEKTRİK MÜHENDİSLİK OTOMASYON</v>
          </cell>
          <cell r="C136" t="str">
            <v>SMB</v>
          </cell>
          <cell r="E136">
            <v>86</v>
          </cell>
          <cell r="G136">
            <v>86</v>
          </cell>
          <cell r="H136">
            <v>1</v>
          </cell>
          <cell r="I136" t="str">
            <v>NO RISK</v>
          </cell>
          <cell r="J136" t="str">
            <v>NO RISK</v>
          </cell>
          <cell r="K136">
            <v>0</v>
          </cell>
          <cell r="M136" t="str">
            <v>-</v>
          </cell>
          <cell r="O136" t="str">
            <v>NO RISK</v>
          </cell>
        </row>
        <row r="137">
          <cell r="B137" t="str">
            <v>EGE SERAMIK SAN. VE TIC. A.S.</v>
          </cell>
          <cell r="C137" t="str">
            <v>ENTERPRISE</v>
          </cell>
          <cell r="E137">
            <v>1833</v>
          </cell>
          <cell r="F137">
            <v>0.15209522644106105</v>
          </cell>
          <cell r="G137">
            <v>1582</v>
          </cell>
          <cell r="H137">
            <v>0.86306601200218225</v>
          </cell>
          <cell r="I137" t="str">
            <v>NO RISK</v>
          </cell>
          <cell r="J137" t="str">
            <v>NO RISK</v>
          </cell>
          <cell r="K137">
            <v>1</v>
          </cell>
          <cell r="M137" t="str">
            <v>-</v>
          </cell>
          <cell r="N137">
            <v>1.000181851245681</v>
          </cell>
          <cell r="O137" t="str">
            <v>NO RISK</v>
          </cell>
        </row>
        <row r="138">
          <cell r="B138" t="str">
            <v>EGEPAK AMBALAJ GIDA PAKETLEME SAN.VE TİC.LTD.ŞTİ</v>
          </cell>
          <cell r="C138" t="str">
            <v>SMB</v>
          </cell>
          <cell r="E138">
            <v>103</v>
          </cell>
          <cell r="F138">
            <v>0.30214625725417943</v>
          </cell>
          <cell r="G138">
            <v>75</v>
          </cell>
          <cell r="H138">
            <v>0.72815533980582525</v>
          </cell>
          <cell r="I138" t="str">
            <v>NO RISK</v>
          </cell>
          <cell r="J138" t="str">
            <v>NO RISK</v>
          </cell>
          <cell r="K138">
            <v>0</v>
          </cell>
          <cell r="M138" t="str">
            <v>YOK</v>
          </cell>
          <cell r="O138" t="str">
            <v>NO RISK</v>
          </cell>
        </row>
        <row r="139">
          <cell r="B139" t="str">
            <v>ELESA GANTER ENDÜST. VE MAKINE EKIPMANLARI SAN. VE</v>
          </cell>
          <cell r="C139" t="str">
            <v>SMB</v>
          </cell>
          <cell r="E139">
            <v>765</v>
          </cell>
          <cell r="F139">
            <v>0.20863093878808334</v>
          </cell>
          <cell r="G139">
            <v>621</v>
          </cell>
          <cell r="H139">
            <v>0.81176470588235294</v>
          </cell>
          <cell r="I139" t="str">
            <v>NO RISK</v>
          </cell>
          <cell r="J139" t="str">
            <v>NO RISK</v>
          </cell>
          <cell r="K139">
            <v>12</v>
          </cell>
          <cell r="L139">
            <v>1</v>
          </cell>
          <cell r="M139" t="str">
            <v>-</v>
          </cell>
          <cell r="O139" t="str">
            <v>NO RISK</v>
          </cell>
        </row>
        <row r="140">
          <cell r="B140" t="str">
            <v>ELİG HUKUK BÜROSU, GÖNENÇ GÜRKAYNAK</v>
          </cell>
          <cell r="C140" t="str">
            <v>SMB</v>
          </cell>
          <cell r="E140">
            <v>9683</v>
          </cell>
          <cell r="F140">
            <v>0.70122960034660442</v>
          </cell>
          <cell r="G140">
            <v>3572</v>
          </cell>
          <cell r="H140">
            <v>0.36889393782918517</v>
          </cell>
          <cell r="I140" t="str">
            <v>NO RISK</v>
          </cell>
          <cell r="J140" t="str">
            <v>HİZMET MEMNUNİYETSİZLİĞİ</v>
          </cell>
          <cell r="K140">
            <v>1</v>
          </cell>
          <cell r="M140" t="str">
            <v>-</v>
          </cell>
          <cell r="O140" t="str">
            <v>SON KULLANICI</v>
          </cell>
        </row>
        <row r="141">
          <cell r="B141" t="str">
            <v>EMARAT BOSPHORUS TURIZIM (OPERA HOTEL)</v>
          </cell>
          <cell r="C141" t="str">
            <v>SMB</v>
          </cell>
          <cell r="E141">
            <v>1931</v>
          </cell>
          <cell r="F141">
            <v>0.22832096363693019</v>
          </cell>
          <cell r="G141">
            <v>1534</v>
          </cell>
          <cell r="H141">
            <v>0.79440704298291043</v>
          </cell>
          <cell r="I141" t="str">
            <v>NO RISK</v>
          </cell>
          <cell r="J141" t="str">
            <v>NO RISK</v>
          </cell>
          <cell r="K141">
            <v>7</v>
          </cell>
          <cell r="L141">
            <v>0.8571428571428571</v>
          </cell>
          <cell r="M141" t="str">
            <v>-</v>
          </cell>
          <cell r="N141">
            <v>0.30769894700500611</v>
          </cell>
          <cell r="O141" t="str">
            <v>NO RISK</v>
          </cell>
        </row>
        <row r="142">
          <cell r="B142" t="str">
            <v>EMG GÜÇ VE ENERJİ SİST YAPI MALZİ İTH.İHRTİC LTD Ş</v>
          </cell>
          <cell r="C142" t="str">
            <v>SMB</v>
          </cell>
          <cell r="E142">
            <v>86</v>
          </cell>
          <cell r="G142">
            <v>86</v>
          </cell>
          <cell r="H142">
            <v>1</v>
          </cell>
          <cell r="I142" t="str">
            <v>NO RISK</v>
          </cell>
          <cell r="J142" t="str">
            <v>NO RISK</v>
          </cell>
          <cell r="K142">
            <v>0</v>
          </cell>
          <cell r="M142" t="str">
            <v>YOK</v>
          </cell>
          <cell r="O142" t="str">
            <v>NO RISK</v>
          </cell>
        </row>
        <row r="143">
          <cell r="B143" t="str">
            <v>ENDEKS BİLİŞİM SAN. ve DIŞ TİC. A.Ş.</v>
          </cell>
          <cell r="C143" t="str">
            <v>ENTERPRISE</v>
          </cell>
          <cell r="E143">
            <v>2850</v>
          </cell>
          <cell r="F143">
            <v>0.39269206680035151</v>
          </cell>
          <cell r="G143">
            <v>1843</v>
          </cell>
          <cell r="H143">
            <v>0.64666666666666661</v>
          </cell>
          <cell r="I143" t="str">
            <v>LOW RISK</v>
          </cell>
          <cell r="J143" t="str">
            <v>Ticket Spike Artışı</v>
          </cell>
          <cell r="K143">
            <v>14</v>
          </cell>
          <cell r="L143">
            <v>0.5714285714285714</v>
          </cell>
          <cell r="M143" t="str">
            <v>-</v>
          </cell>
          <cell r="O143" t="str">
            <v>Ticket Spike Artışı</v>
          </cell>
        </row>
        <row r="144">
          <cell r="B144" t="str">
            <v>ENOCTA - AVEZ ELEKTRONIK ILETISIM</v>
          </cell>
          <cell r="C144" t="str">
            <v>ENTERPRISE</v>
          </cell>
          <cell r="E144">
            <v>2348</v>
          </cell>
          <cell r="G144">
            <v>2347</v>
          </cell>
          <cell r="H144">
            <v>0.99957410562180582</v>
          </cell>
          <cell r="I144" t="str">
            <v>NO RISK</v>
          </cell>
          <cell r="J144" t="str">
            <v>NO RISK</v>
          </cell>
          <cell r="K144">
            <v>35</v>
          </cell>
          <cell r="L144">
            <v>0.88571428571428568</v>
          </cell>
          <cell r="M144" t="str">
            <v>1</v>
          </cell>
          <cell r="N144">
            <v>1.0228563316297559</v>
          </cell>
          <cell r="O144" t="str">
            <v>NO RISK</v>
          </cell>
        </row>
        <row r="145">
          <cell r="B145" t="str">
            <v>ERDE DIŞ TİCARET LTD.  ŞTİ.</v>
          </cell>
          <cell r="C145" t="str">
            <v>SMB</v>
          </cell>
          <cell r="E145">
            <v>28</v>
          </cell>
          <cell r="G145">
            <v>28</v>
          </cell>
          <cell r="H145">
            <v>1</v>
          </cell>
          <cell r="I145" t="str">
            <v>NO RISK</v>
          </cell>
          <cell r="J145" t="str">
            <v>NO RISK</v>
          </cell>
          <cell r="K145">
            <v>0</v>
          </cell>
          <cell r="M145" t="str">
            <v>YOK</v>
          </cell>
          <cell r="O145" t="str">
            <v>NO RISK</v>
          </cell>
        </row>
        <row r="146">
          <cell r="B146" t="str">
            <v>ERDOĞANLAR OTOMOTİV MAK SAN. TİC. LTD. ŞTİ.</v>
          </cell>
          <cell r="C146" t="str">
            <v>SMB</v>
          </cell>
          <cell r="E146">
            <v>99</v>
          </cell>
          <cell r="F146">
            <v>0.3195181498323269</v>
          </cell>
          <cell r="G146">
            <v>71</v>
          </cell>
          <cell r="H146">
            <v>0.71717171717171713</v>
          </cell>
          <cell r="I146" t="str">
            <v>NO RISK</v>
          </cell>
          <cell r="J146" t="str">
            <v>NO RISK</v>
          </cell>
          <cell r="K146">
            <v>2</v>
          </cell>
          <cell r="L146">
            <v>1</v>
          </cell>
          <cell r="M146" t="str">
            <v>1</v>
          </cell>
          <cell r="O146" t="str">
            <v>NO RISK</v>
          </cell>
        </row>
        <row r="147">
          <cell r="B147" t="str">
            <v>EREN GIDA MAD. TURİZM SAN. TİC. LTD. ŞTİ.</v>
          </cell>
          <cell r="C147" t="str">
            <v>SMB</v>
          </cell>
          <cell r="E147">
            <v>186</v>
          </cell>
          <cell r="F147">
            <v>0.11958741054011526</v>
          </cell>
          <cell r="G147">
            <v>166</v>
          </cell>
          <cell r="H147">
            <v>0.89247311827956988</v>
          </cell>
          <cell r="I147" t="str">
            <v>NO RISK</v>
          </cell>
          <cell r="J147" t="str">
            <v>NO RISK</v>
          </cell>
          <cell r="K147">
            <v>2</v>
          </cell>
          <cell r="L147">
            <v>0.5</v>
          </cell>
          <cell r="M147" t="str">
            <v>1</v>
          </cell>
          <cell r="O147" t="str">
            <v>NO RISK</v>
          </cell>
        </row>
        <row r="148">
          <cell r="B148" t="str">
            <v>ERGÜ AYDINLATMA ELEKTRIK HIRDAVAT INSAAT TAAHHÜT</v>
          </cell>
          <cell r="C148" t="str">
            <v>SMB</v>
          </cell>
          <cell r="E148">
            <v>106</v>
          </cell>
          <cell r="F148">
            <v>3.4544467092641883E-2</v>
          </cell>
          <cell r="G148">
            <v>103</v>
          </cell>
          <cell r="H148">
            <v>0.97169811320754718</v>
          </cell>
          <cell r="I148" t="str">
            <v>NO RISK</v>
          </cell>
          <cell r="J148" t="str">
            <v>NO RISK</v>
          </cell>
          <cell r="K148">
            <v>0</v>
          </cell>
          <cell r="M148" t="str">
            <v>YOK</v>
          </cell>
          <cell r="O148" t="str">
            <v>NO RISK</v>
          </cell>
        </row>
        <row r="149">
          <cell r="B149" t="str">
            <v>ESAYAN GRUP İNŞAAT AMBALAJ PEYZAJ TURİZM TAŞ. GERİ</v>
          </cell>
          <cell r="C149" t="str">
            <v>SMB</v>
          </cell>
          <cell r="E149">
            <v>99</v>
          </cell>
          <cell r="F149">
            <v>0.3195032923003005</v>
          </cell>
          <cell r="G149">
            <v>71</v>
          </cell>
          <cell r="H149">
            <v>0.71717171717171713</v>
          </cell>
          <cell r="I149" t="str">
            <v>NO RISK</v>
          </cell>
          <cell r="J149" t="str">
            <v>NO RISK</v>
          </cell>
          <cell r="K149">
            <v>0</v>
          </cell>
          <cell r="M149" t="str">
            <v>YOK</v>
          </cell>
          <cell r="O149" t="str">
            <v>NO RISK</v>
          </cell>
        </row>
        <row r="150">
          <cell r="B150" t="str">
            <v>ESENTEKS TEKSTİL SAN. VE TİC. LTD. ŞTİ.</v>
          </cell>
          <cell r="C150" t="str">
            <v>SMB</v>
          </cell>
          <cell r="E150">
            <v>103</v>
          </cell>
          <cell r="F150">
            <v>0.26714558933188731</v>
          </cell>
          <cell r="G150">
            <v>78</v>
          </cell>
          <cell r="H150">
            <v>0.75728155339805825</v>
          </cell>
          <cell r="I150" t="str">
            <v>NO RISK</v>
          </cell>
          <cell r="J150" t="str">
            <v>NO RISK</v>
          </cell>
          <cell r="K150">
            <v>0</v>
          </cell>
          <cell r="M150" t="str">
            <v>YOK</v>
          </cell>
          <cell r="O150" t="str">
            <v>NO RISK</v>
          </cell>
        </row>
        <row r="151">
          <cell r="B151" t="str">
            <v>ETUR TURİZM PAZARLAMA VE SEYAHAT LTD.ŞTİ.</v>
          </cell>
          <cell r="C151" t="str">
            <v>SMB</v>
          </cell>
          <cell r="E151">
            <v>1007</v>
          </cell>
          <cell r="F151">
            <v>0.53136271842761584</v>
          </cell>
          <cell r="G151">
            <v>525</v>
          </cell>
          <cell r="H151">
            <v>0.52135054617676269</v>
          </cell>
          <cell r="I151" t="str">
            <v>NO RISK</v>
          </cell>
          <cell r="J151" t="str">
            <v>NO RISK</v>
          </cell>
          <cell r="K151">
            <v>1</v>
          </cell>
          <cell r="L151">
            <v>1</v>
          </cell>
          <cell r="M151" t="str">
            <v>-</v>
          </cell>
          <cell r="O151" t="str">
            <v>NO RISK</v>
          </cell>
        </row>
        <row r="152">
          <cell r="B152" t="str">
            <v>EUROTEC MÜHENDISLIK</v>
          </cell>
          <cell r="C152" t="str">
            <v>SMB</v>
          </cell>
          <cell r="E152">
            <v>350</v>
          </cell>
          <cell r="F152">
            <v>8.5714285714285715E-2</v>
          </cell>
          <cell r="G152">
            <v>323</v>
          </cell>
          <cell r="H152">
            <v>0.92285714285714282</v>
          </cell>
          <cell r="I152" t="str">
            <v>BOOKED CHURN</v>
          </cell>
          <cell r="J152" t="str">
            <v>STRATEJİK KARARLAR</v>
          </cell>
          <cell r="K152">
            <v>0</v>
          </cell>
          <cell r="M152" t="str">
            <v>-</v>
          </cell>
          <cell r="O152" t="str">
            <v>HİZMETE İHTİYAÇ KALMAMASI</v>
          </cell>
        </row>
        <row r="153">
          <cell r="B153" t="str">
            <v>EVIDEA MAGAZACILIK A.S.</v>
          </cell>
          <cell r="C153" t="str">
            <v>ENTERPRISE</v>
          </cell>
          <cell r="E153">
            <v>9075</v>
          </cell>
          <cell r="F153">
            <v>0.33254149998167287</v>
          </cell>
          <cell r="G153">
            <v>6359</v>
          </cell>
          <cell r="H153">
            <v>0.70071625344352617</v>
          </cell>
          <cell r="I153" t="str">
            <v>NO RISK</v>
          </cell>
          <cell r="J153" t="str">
            <v>HİZMET MEMNUNİYETSİZLİĞİ</v>
          </cell>
          <cell r="K153">
            <v>17</v>
          </cell>
          <cell r="L153">
            <v>0.70588235294117652</v>
          </cell>
          <cell r="M153" t="str">
            <v>-</v>
          </cell>
          <cell r="N153">
            <v>1.0702479338842976</v>
          </cell>
          <cell r="O153" t="str">
            <v>GEÇ GERİ DÖNÜŞ</v>
          </cell>
        </row>
        <row r="154">
          <cell r="B154" t="str">
            <v>EVRENSEL BAGIMSIZ DENETIM SMMM A.S</v>
          </cell>
          <cell r="C154" t="str">
            <v>SMB</v>
          </cell>
          <cell r="E154">
            <v>599</v>
          </cell>
          <cell r="F154">
            <v>0.53348462777719952</v>
          </cell>
          <cell r="G154">
            <v>311</v>
          </cell>
          <cell r="H154">
            <v>0.51919866444073459</v>
          </cell>
          <cell r="I154" t="str">
            <v>NO RISK</v>
          </cell>
          <cell r="J154" t="str">
            <v>NO RISK</v>
          </cell>
          <cell r="K154">
            <v>4</v>
          </cell>
          <cell r="L154">
            <v>1</v>
          </cell>
          <cell r="M154" t="str">
            <v>-</v>
          </cell>
          <cell r="N154">
            <v>0.99888703394546474</v>
          </cell>
          <cell r="O154" t="str">
            <v>NO RISK</v>
          </cell>
        </row>
        <row r="155">
          <cell r="B155" t="str">
            <v>EVRENSEL MEKANIK İZOLASYON İNŞAAT SAN.TİC.LTD.ŞTİ.</v>
          </cell>
          <cell r="C155" t="str">
            <v>SMB</v>
          </cell>
          <cell r="E155">
            <v>86</v>
          </cell>
          <cell r="F155">
            <v>0.3021472224686102</v>
          </cell>
          <cell r="G155">
            <v>63</v>
          </cell>
          <cell r="H155">
            <v>0.73255813953488369</v>
          </cell>
          <cell r="I155" t="str">
            <v>NO RISK</v>
          </cell>
          <cell r="J155" t="str">
            <v>NO RISK</v>
          </cell>
          <cell r="K155">
            <v>0</v>
          </cell>
          <cell r="M155" t="str">
            <v>YOK</v>
          </cell>
          <cell r="O155" t="str">
            <v>NO RISK</v>
          </cell>
        </row>
        <row r="156">
          <cell r="B156" t="str">
            <v>FARMASU DOGAL KAY. SULARI MES VE GIDA MAD.ÜRET. PA</v>
          </cell>
          <cell r="C156" t="str">
            <v>SMB</v>
          </cell>
          <cell r="E156">
            <v>431</v>
          </cell>
          <cell r="F156">
            <v>0.16527390053776017</v>
          </cell>
          <cell r="G156">
            <v>367</v>
          </cell>
          <cell r="H156">
            <v>0.85150812064965198</v>
          </cell>
          <cell r="I156" t="str">
            <v>NO RISK</v>
          </cell>
          <cell r="J156" t="str">
            <v>NO RISK</v>
          </cell>
          <cell r="K156">
            <v>4</v>
          </cell>
          <cell r="L156">
            <v>0.75</v>
          </cell>
          <cell r="M156" t="str">
            <v>-</v>
          </cell>
          <cell r="N156">
            <v>3.824439288476412</v>
          </cell>
          <cell r="O156" t="str">
            <v>NO RISK</v>
          </cell>
        </row>
        <row r="157">
          <cell r="B157" t="str">
            <v>FARMAZON BİLGİ TEKNOLOJİLERİ A.Ş.</v>
          </cell>
          <cell r="C157" t="str">
            <v>SMB</v>
          </cell>
          <cell r="E157">
            <v>350</v>
          </cell>
          <cell r="F157">
            <v>8.8000000000000023E-2</v>
          </cell>
          <cell r="G157">
            <v>322</v>
          </cell>
          <cell r="H157">
            <v>0.92</v>
          </cell>
          <cell r="I157" t="str">
            <v>NO RISK</v>
          </cell>
          <cell r="J157" t="str">
            <v>NO RISK</v>
          </cell>
          <cell r="K157">
            <v>0</v>
          </cell>
          <cell r="M157" t="str">
            <v>YOK</v>
          </cell>
          <cell r="N157">
            <v>1</v>
          </cell>
          <cell r="O157" t="str">
            <v>NO RISK</v>
          </cell>
        </row>
        <row r="158">
          <cell r="B158" t="str">
            <v>FEILO SYLVANIA TR ELEKTRIK ÜRÜNLERI TIC. LTD.STI.</v>
          </cell>
          <cell r="C158" t="str">
            <v>SMB</v>
          </cell>
          <cell r="E158">
            <v>366</v>
          </cell>
          <cell r="G158">
            <v>366</v>
          </cell>
          <cell r="H158">
            <v>1</v>
          </cell>
          <cell r="I158" t="str">
            <v>NO RISK</v>
          </cell>
          <cell r="J158" t="str">
            <v>NO RISK</v>
          </cell>
          <cell r="K158">
            <v>0</v>
          </cell>
          <cell r="M158" t="str">
            <v>YOK</v>
          </cell>
          <cell r="O158" t="str">
            <v>NO RISK</v>
          </cell>
        </row>
        <row r="159">
          <cell r="B159" t="str">
            <v>FET RESTORAN ISLETMELERI A.S</v>
          </cell>
          <cell r="C159" t="str">
            <v>SMB</v>
          </cell>
          <cell r="E159">
            <v>2320</v>
          </cell>
          <cell r="F159">
            <v>0.18616710070840364</v>
          </cell>
          <cell r="G159">
            <v>1931</v>
          </cell>
          <cell r="H159">
            <v>0.83232758620689651</v>
          </cell>
          <cell r="I159" t="str">
            <v>NO RISK</v>
          </cell>
          <cell r="J159" t="str">
            <v>HİZMET MEMNUNİYETSİZLİĞİ</v>
          </cell>
          <cell r="K159">
            <v>7</v>
          </cell>
          <cell r="L159">
            <v>0.8571428571428571</v>
          </cell>
          <cell r="M159" t="str">
            <v>1</v>
          </cell>
          <cell r="O159" t="str">
            <v>NETWORK</v>
          </cell>
        </row>
        <row r="160">
          <cell r="B160" t="str">
            <v>Fi Commerce Teknoloji</v>
          </cell>
          <cell r="C160" t="str">
            <v>SMB</v>
          </cell>
          <cell r="E160">
            <v>403</v>
          </cell>
          <cell r="F160">
            <v>0.26407185935573024</v>
          </cell>
          <cell r="G160">
            <v>307</v>
          </cell>
          <cell r="H160">
            <v>0.76178660049627789</v>
          </cell>
          <cell r="I160" t="str">
            <v>NO RISK</v>
          </cell>
          <cell r="J160" t="str">
            <v>NO RISK</v>
          </cell>
          <cell r="K160">
            <v>0</v>
          </cell>
          <cell r="M160" t="str">
            <v>YOK</v>
          </cell>
          <cell r="N160">
            <v>1.000827129859388</v>
          </cell>
          <cell r="O160" t="str">
            <v>NO RISK</v>
          </cell>
        </row>
        <row r="161">
          <cell r="B161" t="str">
            <v>FILIDEA TEKSTIL SAN. VE TIC. A.S</v>
          </cell>
          <cell r="C161" t="str">
            <v>SMB</v>
          </cell>
          <cell r="E161">
            <v>200</v>
          </cell>
          <cell r="F161">
            <v>0.35724464133038009</v>
          </cell>
          <cell r="G161">
            <v>136</v>
          </cell>
          <cell r="H161">
            <v>0.68</v>
          </cell>
          <cell r="I161" t="str">
            <v>NO RISK</v>
          </cell>
          <cell r="J161" t="str">
            <v>SÖZLEŞME SÜRECİ</v>
          </cell>
          <cell r="K161">
            <v>0</v>
          </cell>
          <cell r="M161" t="str">
            <v>-</v>
          </cell>
          <cell r="N161">
            <v>8.0374999999999996</v>
          </cell>
          <cell r="O161" t="str">
            <v>FİYAT</v>
          </cell>
        </row>
        <row r="162">
          <cell r="B162" t="str">
            <v>FIRAT İNŞAAT END.SAN.VE TİC. A.Ş</v>
          </cell>
          <cell r="C162" t="str">
            <v>SMB</v>
          </cell>
          <cell r="E162">
            <v>598</v>
          </cell>
          <cell r="F162">
            <v>0.22795892760845562</v>
          </cell>
          <cell r="G162">
            <v>475</v>
          </cell>
          <cell r="H162">
            <v>0.79431438127090304</v>
          </cell>
          <cell r="I162" t="str">
            <v>NO RISK</v>
          </cell>
          <cell r="J162" t="str">
            <v>NO RISK</v>
          </cell>
          <cell r="K162">
            <v>3</v>
          </cell>
          <cell r="L162">
            <v>0.66666666666666663</v>
          </cell>
          <cell r="M162" t="str">
            <v>-</v>
          </cell>
          <cell r="N162">
            <v>1.8366778149386846</v>
          </cell>
          <cell r="O162" t="str">
            <v>NO RISK</v>
          </cell>
        </row>
        <row r="163">
          <cell r="B163" t="str">
            <v>FLO Magazacılık Hizmetleri ve Pazarlama A.Ş.</v>
          </cell>
          <cell r="C163" t="str">
            <v>ENTERPRISE</v>
          </cell>
          <cell r="E163">
            <v>84418</v>
          </cell>
          <cell r="F163">
            <v>0.19849568426782388</v>
          </cell>
          <cell r="G163">
            <v>69337</v>
          </cell>
          <cell r="H163">
            <v>0.82135326589116064</v>
          </cell>
          <cell r="I163" t="str">
            <v>NO RISK</v>
          </cell>
          <cell r="J163" t="str">
            <v>NO RISK</v>
          </cell>
          <cell r="K163">
            <v>18</v>
          </cell>
          <cell r="L163">
            <v>0.83333333333333337</v>
          </cell>
          <cell r="M163" t="str">
            <v>1</v>
          </cell>
          <cell r="N163">
            <v>0.62756165746641712</v>
          </cell>
          <cell r="O163" t="str">
            <v>NO RISK</v>
          </cell>
        </row>
        <row r="164">
          <cell r="B164" t="str">
            <v>FOM TURKEY</v>
          </cell>
          <cell r="C164" t="str">
            <v>SMB</v>
          </cell>
          <cell r="E164">
            <v>365</v>
          </cell>
          <cell r="F164">
            <v>0.22204596153584172</v>
          </cell>
          <cell r="G164">
            <v>292</v>
          </cell>
          <cell r="H164">
            <v>0.8</v>
          </cell>
          <cell r="I164" t="str">
            <v>NO RISK</v>
          </cell>
          <cell r="J164" t="str">
            <v>NO RISK</v>
          </cell>
          <cell r="K164">
            <v>4</v>
          </cell>
          <cell r="L164">
            <v>0.75</v>
          </cell>
          <cell r="M164" t="str">
            <v>-</v>
          </cell>
          <cell r="N164">
            <v>0.98630136986301364</v>
          </cell>
          <cell r="O164" t="str">
            <v>NO RISK</v>
          </cell>
        </row>
        <row r="165">
          <cell r="B165" t="str">
            <v>FORM MİMARLIK MÜHENDİSLİK HİZM.SAN.VE TİC.LTD.ŞTİ</v>
          </cell>
          <cell r="C165" t="str">
            <v>SMB</v>
          </cell>
          <cell r="E165">
            <v>222</v>
          </cell>
          <cell r="F165">
            <v>0.23073443896358947</v>
          </cell>
          <cell r="G165">
            <v>176</v>
          </cell>
          <cell r="H165">
            <v>0.7927927927927928</v>
          </cell>
          <cell r="I165" t="str">
            <v>NO RISK</v>
          </cell>
          <cell r="J165" t="str">
            <v>NO RISK</v>
          </cell>
          <cell r="K165">
            <v>4</v>
          </cell>
          <cell r="L165">
            <v>0.5</v>
          </cell>
          <cell r="M165" t="str">
            <v>1</v>
          </cell>
          <cell r="O165" t="str">
            <v>NO RISK</v>
          </cell>
        </row>
        <row r="166">
          <cell r="B166" t="str">
            <v>FRT SU ARITMA SANAYİ TİCARET LİMİTED ŞİRKETİ</v>
          </cell>
          <cell r="C166" t="str">
            <v>SMB</v>
          </cell>
          <cell r="E166">
            <v>220</v>
          </cell>
          <cell r="F166">
            <v>0.13636363512396696</v>
          </cell>
          <cell r="G166">
            <v>193</v>
          </cell>
          <cell r="H166">
            <v>0.87727272727272732</v>
          </cell>
          <cell r="I166" t="str">
            <v>NO RISK</v>
          </cell>
          <cell r="J166" t="str">
            <v>FİNANSAL PROBLEMLER</v>
          </cell>
          <cell r="K166">
            <v>0</v>
          </cell>
          <cell r="M166" t="str">
            <v>YOK</v>
          </cell>
          <cell r="O166" t="str">
            <v>ÖDEME SORUNU</v>
          </cell>
        </row>
        <row r="167">
          <cell r="B167" t="str">
            <v>FT PORTFÖY</v>
          </cell>
          <cell r="C167" t="str">
            <v>SMB</v>
          </cell>
          <cell r="E167">
            <v>461</v>
          </cell>
          <cell r="F167">
            <v>6.5934361290008167E-2</v>
          </cell>
          <cell r="G167">
            <v>434</v>
          </cell>
          <cell r="H167">
            <v>0.9414316702819957</v>
          </cell>
          <cell r="I167" t="str">
            <v>NO RISK</v>
          </cell>
          <cell r="J167" t="str">
            <v>NO RISK</v>
          </cell>
          <cell r="K167">
            <v>1</v>
          </cell>
          <cell r="L167">
            <v>1</v>
          </cell>
          <cell r="M167" t="str">
            <v>-</v>
          </cell>
          <cell r="O167" t="str">
            <v>NO RISK</v>
          </cell>
        </row>
        <row r="168">
          <cell r="B168" t="str">
            <v>GALSAN PLASTIK VE KALIP SAN. A.S</v>
          </cell>
          <cell r="C168" t="str">
            <v>SMB</v>
          </cell>
          <cell r="E168">
            <v>2732</v>
          </cell>
          <cell r="F168">
            <v>0.54238122582447679</v>
          </cell>
          <cell r="G168">
            <v>1396</v>
          </cell>
          <cell r="H168">
            <v>0.51098096632503665</v>
          </cell>
          <cell r="I168" t="str">
            <v>NO RISK</v>
          </cell>
          <cell r="J168" t="str">
            <v>HİZMET MEMNUNİYETSİZLİĞİ</v>
          </cell>
          <cell r="K168">
            <v>48</v>
          </cell>
          <cell r="L168">
            <v>0.85416666666666663</v>
          </cell>
          <cell r="M168" t="str">
            <v>1</v>
          </cell>
          <cell r="N168">
            <v>0.39226451927769646</v>
          </cell>
          <cell r="O168" t="str">
            <v>SON KULLANICI</v>
          </cell>
        </row>
        <row r="169">
          <cell r="B169" t="str">
            <v>GARDENSA PEYZAJ A.Ş.</v>
          </cell>
          <cell r="C169" t="str">
            <v>SMB</v>
          </cell>
          <cell r="E169">
            <v>1248</v>
          </cell>
          <cell r="F169">
            <v>0.39491266740096775</v>
          </cell>
          <cell r="G169">
            <v>804</v>
          </cell>
          <cell r="H169">
            <v>0.64423076923076927</v>
          </cell>
          <cell r="I169" t="str">
            <v>BOOKED CHURN</v>
          </cell>
          <cell r="J169" t="str">
            <v>FİNANSAL PROBLEMLER</v>
          </cell>
          <cell r="K169">
            <v>5</v>
          </cell>
          <cell r="L169">
            <v>0.8</v>
          </cell>
          <cell r="M169" t="str">
            <v>-</v>
          </cell>
          <cell r="N169">
            <v>1.9638087606837609</v>
          </cell>
          <cell r="O169" t="str">
            <v>MALİ DARALMA</v>
          </cell>
        </row>
        <row r="170">
          <cell r="B170" t="str">
            <v>GAZİANTEP TİCARET ODASI</v>
          </cell>
          <cell r="C170" t="str">
            <v>SMB</v>
          </cell>
          <cell r="E170">
            <v>208</v>
          </cell>
          <cell r="F170">
            <v>0.1200000960000768</v>
          </cell>
          <cell r="G170">
            <v>186</v>
          </cell>
          <cell r="H170">
            <v>0.89423076923076927</v>
          </cell>
          <cell r="I170" t="str">
            <v>NO RISK</v>
          </cell>
          <cell r="J170" t="str">
            <v>NO RISK</v>
          </cell>
          <cell r="K170">
            <v>0</v>
          </cell>
          <cell r="M170" t="str">
            <v>YOK</v>
          </cell>
          <cell r="O170" t="str">
            <v>NO RISK</v>
          </cell>
        </row>
        <row r="171">
          <cell r="B171" t="str">
            <v>GENERAL VETERİNER İLAÇLARI A.Ş.</v>
          </cell>
          <cell r="C171" t="str">
            <v>SMB</v>
          </cell>
          <cell r="E171">
            <v>300</v>
          </cell>
          <cell r="F171">
            <v>0.19166666666666668</v>
          </cell>
          <cell r="G171">
            <v>248</v>
          </cell>
          <cell r="H171">
            <v>0.82666666666666666</v>
          </cell>
          <cell r="I171" t="str">
            <v>HIGH RISK</v>
          </cell>
          <cell r="J171" t="str">
            <v>HİZMET MEMNUNİYETSİZLİĞİ</v>
          </cell>
          <cell r="K171">
            <v>3</v>
          </cell>
          <cell r="L171">
            <v>0.33333333333333331</v>
          </cell>
          <cell r="M171" t="str">
            <v>-</v>
          </cell>
          <cell r="O171" t="str">
            <v>ÇÖZÜMSÜZLÜK</v>
          </cell>
        </row>
        <row r="172">
          <cell r="B172" t="str">
            <v>GLOBAL HASAR DANIŞMALIĞI A.Ş.</v>
          </cell>
          <cell r="C172" t="str">
            <v>SMB</v>
          </cell>
          <cell r="E172">
            <v>350</v>
          </cell>
          <cell r="F172">
            <v>0.26449756191125606</v>
          </cell>
          <cell r="G172">
            <v>267</v>
          </cell>
          <cell r="H172">
            <v>0.7628571428571429</v>
          </cell>
          <cell r="I172" t="str">
            <v>NO RISK</v>
          </cell>
          <cell r="J172" t="str">
            <v>NO RISK</v>
          </cell>
          <cell r="K172">
            <v>2</v>
          </cell>
          <cell r="L172">
            <v>0.5</v>
          </cell>
          <cell r="M172" t="str">
            <v>-</v>
          </cell>
          <cell r="N172">
            <v>0.86904761904761907</v>
          </cell>
          <cell r="O172" t="str">
            <v>NO RISK</v>
          </cell>
        </row>
        <row r="173">
          <cell r="B173" t="str">
            <v>GOSB</v>
          </cell>
          <cell r="C173" t="str">
            <v>ENTERPRISE</v>
          </cell>
          <cell r="E173">
            <v>9800</v>
          </cell>
          <cell r="G173">
            <v>9797</v>
          </cell>
          <cell r="H173">
            <v>0.99969387755102046</v>
          </cell>
          <cell r="I173" t="str">
            <v>HIGH RISK</v>
          </cell>
          <cell r="J173" t="str">
            <v>STRATEJİK KARARLAR</v>
          </cell>
          <cell r="K173">
            <v>15</v>
          </cell>
          <cell r="L173">
            <v>0.6</v>
          </cell>
          <cell r="M173" t="str">
            <v>-</v>
          </cell>
          <cell r="O173" t="str">
            <v>İDARİ SEVİYEDEKİ ÇALIŞAN DEĞİŞİKLİĞİ</v>
          </cell>
        </row>
        <row r="174">
          <cell r="B174" t="str">
            <v>GTC İLETİŞİM DANIŞMANLIK ANONİM ŞİRKETİ</v>
          </cell>
          <cell r="C174" t="str">
            <v>SMB</v>
          </cell>
          <cell r="E174">
            <v>10</v>
          </cell>
          <cell r="G174">
            <v>10</v>
          </cell>
          <cell r="H174">
            <v>1</v>
          </cell>
          <cell r="I174" t="str">
            <v>NO RISK</v>
          </cell>
          <cell r="J174" t="str">
            <v>NO RISK</v>
          </cell>
          <cell r="K174">
            <v>0</v>
          </cell>
          <cell r="M174" t="str">
            <v>YOK</v>
          </cell>
          <cell r="O174" t="str">
            <v>NO RISK</v>
          </cell>
        </row>
        <row r="175">
          <cell r="B175" t="str">
            <v>GUCCI TURKEY LÜKS ÜRÜNLER TIC.LTD.STI.</v>
          </cell>
          <cell r="C175" t="str">
            <v>SMB</v>
          </cell>
          <cell r="E175">
            <v>406</v>
          </cell>
          <cell r="F175">
            <v>0.48656539266047977</v>
          </cell>
          <cell r="G175">
            <v>228</v>
          </cell>
          <cell r="H175">
            <v>0.56157635467980294</v>
          </cell>
          <cell r="I175" t="str">
            <v>NO RISK</v>
          </cell>
          <cell r="J175" t="str">
            <v>NO RISK</v>
          </cell>
          <cell r="K175">
            <v>0</v>
          </cell>
          <cell r="M175" t="str">
            <v>YOK</v>
          </cell>
          <cell r="N175">
            <v>1.6276683087027914</v>
          </cell>
          <cell r="O175" t="str">
            <v>NO RISK</v>
          </cell>
        </row>
        <row r="176">
          <cell r="B176" t="str">
            <v>GÜLER MOBİLYA VE BEYAZ EŞYA - HASAN GÜLER</v>
          </cell>
          <cell r="C176" t="str">
            <v>SMB</v>
          </cell>
          <cell r="E176">
            <v>43</v>
          </cell>
          <cell r="F176">
            <v>0.30234640473727109</v>
          </cell>
          <cell r="G176">
            <v>31</v>
          </cell>
          <cell r="H176">
            <v>0.72093023255813948</v>
          </cell>
          <cell r="I176" t="str">
            <v>NO RISK</v>
          </cell>
          <cell r="J176" t="str">
            <v>NO RISK</v>
          </cell>
          <cell r="K176">
            <v>0</v>
          </cell>
          <cell r="M176" t="str">
            <v>1</v>
          </cell>
          <cell r="O176" t="str">
            <v>NO RISK</v>
          </cell>
        </row>
        <row r="177">
          <cell r="B177" t="str">
            <v>Gülman Group - ÜSKÜDAR EĞİTİM HİZMETLERİ VE TİC.A.</v>
          </cell>
          <cell r="C177" t="str">
            <v>SMB</v>
          </cell>
          <cell r="E177">
            <v>3389</v>
          </cell>
          <cell r="F177">
            <v>0.3471954408183161</v>
          </cell>
          <cell r="G177">
            <v>2330</v>
          </cell>
          <cell r="H177">
            <v>0.68751844201829448</v>
          </cell>
          <cell r="I177" t="str">
            <v>NO RISK</v>
          </cell>
          <cell r="J177" t="str">
            <v>HİZMET MEMNUNİYETSİZLİĞİ</v>
          </cell>
          <cell r="K177">
            <v>0</v>
          </cell>
          <cell r="M177" t="str">
            <v>1</v>
          </cell>
          <cell r="O177" t="str">
            <v>SON KULLANICI</v>
          </cell>
        </row>
        <row r="178">
          <cell r="B178" t="str">
            <v>GÜNAY MOTORLU ARAÇLAR PAZARLAMA VE TİC. LTD. ŞTİ.</v>
          </cell>
          <cell r="C178" t="str">
            <v>SMB</v>
          </cell>
          <cell r="E178">
            <v>175</v>
          </cell>
          <cell r="F178">
            <v>0.31749732068112629</v>
          </cell>
          <cell r="G178">
            <v>125</v>
          </cell>
          <cell r="H178">
            <v>0.7142857142857143</v>
          </cell>
          <cell r="I178" t="str">
            <v>NO RISK</v>
          </cell>
          <cell r="J178" t="str">
            <v>NO RISK</v>
          </cell>
          <cell r="K178">
            <v>1</v>
          </cell>
          <cell r="L178">
            <v>1</v>
          </cell>
          <cell r="M178" t="str">
            <v>-</v>
          </cell>
          <cell r="O178" t="str">
            <v>NO RISK</v>
          </cell>
        </row>
        <row r="179">
          <cell r="B179" t="str">
            <v>GÜNEŞ ELEKTRONİK CİHAZLAR ve TİC. LTD.ŞTİ.</v>
          </cell>
          <cell r="C179" t="str">
            <v>SMB</v>
          </cell>
          <cell r="E179">
            <v>173</v>
          </cell>
          <cell r="F179">
            <v>0.17340517540577979</v>
          </cell>
          <cell r="G179">
            <v>146</v>
          </cell>
          <cell r="H179">
            <v>0.84393063583815031</v>
          </cell>
          <cell r="I179" t="str">
            <v>NO RISK</v>
          </cell>
          <cell r="J179" t="str">
            <v>NO RISK</v>
          </cell>
          <cell r="K179">
            <v>2</v>
          </cell>
          <cell r="L179">
            <v>1</v>
          </cell>
          <cell r="M179" t="str">
            <v>-</v>
          </cell>
          <cell r="N179">
            <v>3.7331406551059731</v>
          </cell>
          <cell r="O179" t="str">
            <v>NO RISK</v>
          </cell>
        </row>
        <row r="180">
          <cell r="B180" t="str">
            <v>GUSTOGIYIM SAN. VE TIC. A.S</v>
          </cell>
          <cell r="C180" t="str">
            <v>SMB</v>
          </cell>
          <cell r="E180">
            <v>6199</v>
          </cell>
          <cell r="F180">
            <v>0.4028427482678209</v>
          </cell>
          <cell r="G180">
            <v>3951</v>
          </cell>
          <cell r="H180">
            <v>0.63736086465558961</v>
          </cell>
          <cell r="I180" t="str">
            <v>MEDIUM RISK</v>
          </cell>
          <cell r="J180" t="str">
            <v>HİZMET MEMNUNİYETSİZLİĞİ</v>
          </cell>
          <cell r="K180">
            <v>149</v>
          </cell>
          <cell r="L180">
            <v>0.94630872483221473</v>
          </cell>
          <cell r="M180" t="str">
            <v>-</v>
          </cell>
          <cell r="N180">
            <v>2.3104532989191804</v>
          </cell>
          <cell r="O180" t="str">
            <v>SÖZLEŞME - HİZMET BEKLENTİSİ UYUŞMAZLIĞI</v>
          </cell>
        </row>
        <row r="181">
          <cell r="B181" t="str">
            <v>GÜVEN PRES DÖKÜM</v>
          </cell>
          <cell r="C181" t="str">
            <v>SMB</v>
          </cell>
          <cell r="E181">
            <v>481</v>
          </cell>
          <cell r="F181">
            <v>0.3305541078509906</v>
          </cell>
          <cell r="G181">
            <v>338</v>
          </cell>
          <cell r="H181">
            <v>0.70270270270270274</v>
          </cell>
          <cell r="I181" t="str">
            <v>NO RISK</v>
          </cell>
          <cell r="J181" t="str">
            <v>FİNANSAL PROBLEMLER</v>
          </cell>
          <cell r="K181">
            <v>1</v>
          </cell>
          <cell r="L181">
            <v>1</v>
          </cell>
          <cell r="M181" t="str">
            <v>-</v>
          </cell>
          <cell r="N181">
            <v>15.154192654192656</v>
          </cell>
          <cell r="O181" t="str">
            <v>ÖDEME SORUNU</v>
          </cell>
        </row>
        <row r="182">
          <cell r="B182" t="str">
            <v>HAKMAR MAĞAZACILIK</v>
          </cell>
          <cell r="C182" t="str">
            <v>ENTERPRISE</v>
          </cell>
          <cell r="E182">
            <v>2669</v>
          </cell>
          <cell r="F182">
            <v>0.36461804268636538</v>
          </cell>
          <cell r="G182">
            <v>1793</v>
          </cell>
          <cell r="H182">
            <v>0.67178718621206446</v>
          </cell>
          <cell r="I182" t="str">
            <v>NO RISK</v>
          </cell>
          <cell r="J182" t="str">
            <v>FİNANSAL PROBLEMLER</v>
          </cell>
          <cell r="K182">
            <v>2</v>
          </cell>
          <cell r="L182">
            <v>1</v>
          </cell>
          <cell r="M182" t="str">
            <v>-</v>
          </cell>
          <cell r="O182" t="str">
            <v>ÖDEME SORUNU</v>
          </cell>
        </row>
        <row r="183">
          <cell r="B183" t="str">
            <v>HALBACH TEKNOLOJİK BASKILAR SAN VE TİC LTD ŞTİ</v>
          </cell>
          <cell r="C183" t="str">
            <v>SMB</v>
          </cell>
          <cell r="E183">
            <v>105</v>
          </cell>
          <cell r="F183">
            <v>0.30219973115614879</v>
          </cell>
          <cell r="G183">
            <v>76</v>
          </cell>
          <cell r="H183">
            <v>0.72380952380952379</v>
          </cell>
          <cell r="I183" t="str">
            <v>NO RISK</v>
          </cell>
          <cell r="J183" t="str">
            <v>NO RISK</v>
          </cell>
          <cell r="K183">
            <v>0</v>
          </cell>
          <cell r="M183" t="str">
            <v>YOK</v>
          </cell>
          <cell r="O183" t="str">
            <v>NO RISK</v>
          </cell>
        </row>
        <row r="184">
          <cell r="B184" t="str">
            <v>HANMEY TARIM ÜRÜNLERİ SANAYİ VE TİC.LTD.ŞTİ</v>
          </cell>
          <cell r="C184" t="str">
            <v>SMB</v>
          </cell>
          <cell r="E184">
            <v>103</v>
          </cell>
          <cell r="F184">
            <v>0.30212289749529425</v>
          </cell>
          <cell r="G184">
            <v>75</v>
          </cell>
          <cell r="H184">
            <v>0.72815533980582525</v>
          </cell>
          <cell r="I184" t="str">
            <v>NO RISK</v>
          </cell>
          <cell r="J184" t="str">
            <v>NO RISK</v>
          </cell>
          <cell r="K184">
            <v>0</v>
          </cell>
          <cell r="M184" t="str">
            <v>YOK</v>
          </cell>
          <cell r="O184" t="str">
            <v>NO RISK</v>
          </cell>
        </row>
        <row r="185">
          <cell r="B185" t="str">
            <v>Hannover Fairs Turkey Fuarcılık A.Ş.</v>
          </cell>
          <cell r="C185" t="str">
            <v>SMB</v>
          </cell>
          <cell r="E185">
            <v>606</v>
          </cell>
          <cell r="F185">
            <v>0.42453598529936371</v>
          </cell>
          <cell r="G185">
            <v>374</v>
          </cell>
          <cell r="H185">
            <v>0.61716171617161719</v>
          </cell>
          <cell r="I185" t="str">
            <v>NO RISK</v>
          </cell>
          <cell r="J185" t="str">
            <v>NO RISK</v>
          </cell>
          <cell r="K185">
            <v>0</v>
          </cell>
          <cell r="M185" t="str">
            <v>YOK</v>
          </cell>
          <cell r="O185" t="str">
            <v>NO RISK</v>
          </cell>
        </row>
        <row r="186">
          <cell r="B186" t="str">
            <v>HARUN TUNABOYLU</v>
          </cell>
          <cell r="C186" t="str">
            <v>SMB</v>
          </cell>
          <cell r="E186">
            <v>250</v>
          </cell>
          <cell r="F186">
            <v>0.16668004013167456</v>
          </cell>
          <cell r="G186">
            <v>212</v>
          </cell>
          <cell r="H186">
            <v>0.84799999999999998</v>
          </cell>
          <cell r="I186" t="str">
            <v>NO RISK</v>
          </cell>
          <cell r="J186" t="str">
            <v>NO RISK</v>
          </cell>
          <cell r="K186">
            <v>1</v>
          </cell>
          <cell r="L186">
            <v>1</v>
          </cell>
          <cell r="M186" t="str">
            <v>-</v>
          </cell>
          <cell r="O186" t="str">
            <v>NO RISK</v>
          </cell>
        </row>
        <row r="187">
          <cell r="B187" t="str">
            <v>HAS PORTFÖY YÖNETİMİ A.Ş</v>
          </cell>
          <cell r="C187" t="str">
            <v>SMB</v>
          </cell>
          <cell r="E187">
            <v>65</v>
          </cell>
          <cell r="F187">
            <v>0.46153846153846156</v>
          </cell>
          <cell r="G187">
            <v>38</v>
          </cell>
          <cell r="H187">
            <v>0.58461538461538465</v>
          </cell>
          <cell r="I187" t="str">
            <v>NO RISK</v>
          </cell>
          <cell r="J187" t="str">
            <v>NO RISK</v>
          </cell>
          <cell r="K187">
            <v>0</v>
          </cell>
          <cell r="M187" t="str">
            <v>YOK</v>
          </cell>
          <cell r="O187" t="str">
            <v>NO RISK</v>
          </cell>
        </row>
        <row r="188">
          <cell r="B188" t="str">
            <v>HAZİRAN TEKNOLOJİ YAZILIM VE BİLİŞİM A.Ş.</v>
          </cell>
          <cell r="C188" t="str">
            <v>SMB</v>
          </cell>
          <cell r="E188">
            <v>8</v>
          </cell>
          <cell r="F188">
            <v>1</v>
          </cell>
          <cell r="G188">
            <v>1</v>
          </cell>
          <cell r="H188">
            <v>0.125</v>
          </cell>
          <cell r="I188" t="str">
            <v>NO RISK</v>
          </cell>
          <cell r="J188" t="str">
            <v>NO RISK</v>
          </cell>
          <cell r="K188">
            <v>0</v>
          </cell>
          <cell r="M188" t="str">
            <v>YOK</v>
          </cell>
          <cell r="O188" t="str">
            <v>NO RISK</v>
          </cell>
        </row>
        <row r="189">
          <cell r="B189" t="str">
            <v>HELS ENDÜSTRİYEL MAMÜLLER SANAYİ TİC. LTD. ŞTİ.</v>
          </cell>
          <cell r="C189" t="str">
            <v>SMB</v>
          </cell>
          <cell r="E189">
            <v>312</v>
          </cell>
          <cell r="F189">
            <v>0.22647474997738787</v>
          </cell>
          <cell r="G189">
            <v>248</v>
          </cell>
          <cell r="H189">
            <v>0.79487179487179482</v>
          </cell>
          <cell r="I189" t="str">
            <v>NO RISK</v>
          </cell>
          <cell r="J189" t="str">
            <v>HİZMET MEMNUNİYETSİZLİĞİ</v>
          </cell>
          <cell r="K189">
            <v>23</v>
          </cell>
          <cell r="L189">
            <v>0.91304347826086951</v>
          </cell>
          <cell r="M189" t="str">
            <v>1</v>
          </cell>
          <cell r="N189">
            <v>2.0005341880341883</v>
          </cell>
          <cell r="O189" t="str">
            <v>TEKNİK YETKİNLİK EKSİKLİĞİ</v>
          </cell>
        </row>
        <row r="190">
          <cell r="B190" t="str">
            <v>Helsakam Konfeksiyon Yan Ürünleri San. ve Tic. A.Ş</v>
          </cell>
          <cell r="C190" t="str">
            <v>SMB</v>
          </cell>
          <cell r="E190">
            <v>875</v>
          </cell>
          <cell r="F190">
            <v>6.0571428640653062E-2</v>
          </cell>
          <cell r="G190">
            <v>827</v>
          </cell>
          <cell r="H190">
            <v>0.94514285714285717</v>
          </cell>
          <cell r="I190" t="str">
            <v>NO RISK</v>
          </cell>
          <cell r="J190" t="str">
            <v>NO RISK</v>
          </cell>
          <cell r="K190">
            <v>0</v>
          </cell>
          <cell r="M190" t="str">
            <v>YOK</v>
          </cell>
          <cell r="O190" t="str">
            <v>NO RISK</v>
          </cell>
        </row>
        <row r="191">
          <cell r="B191" t="str">
            <v>HM IÇ VE DIS TICARET REKLAM. ORG.TUR. A.S.</v>
          </cell>
          <cell r="C191" t="str">
            <v>SMB</v>
          </cell>
          <cell r="E191">
            <v>1030</v>
          </cell>
          <cell r="F191">
            <v>0.61865410960538225</v>
          </cell>
          <cell r="G191">
            <v>457</v>
          </cell>
          <cell r="H191">
            <v>0.44368932038834952</v>
          </cell>
          <cell r="I191" t="str">
            <v>NO RISK</v>
          </cell>
          <cell r="J191" t="str">
            <v>STRATEJİK KARARLAR</v>
          </cell>
          <cell r="K191">
            <v>5</v>
          </cell>
          <cell r="L191">
            <v>1</v>
          </cell>
          <cell r="M191" t="str">
            <v>-</v>
          </cell>
          <cell r="O191" t="str">
            <v>İdari Seviyedeki Çalışan Değişikliği</v>
          </cell>
        </row>
        <row r="192">
          <cell r="B192" t="str">
            <v>HOROZ LOJİSTİK KARGO HİZMETLERİ VE TİC. A.Ş.</v>
          </cell>
          <cell r="C192" t="str">
            <v>ENTERPRISE</v>
          </cell>
          <cell r="E192">
            <v>750</v>
          </cell>
          <cell r="G192">
            <v>750</v>
          </cell>
          <cell r="H192">
            <v>1</v>
          </cell>
          <cell r="I192" t="str">
            <v>NO RISK</v>
          </cell>
          <cell r="J192" t="str">
            <v>HİZMET MEMNUNİYETSİZLİĞİ</v>
          </cell>
          <cell r="K192">
            <v>11</v>
          </cell>
          <cell r="L192">
            <v>0.90909090909090906</v>
          </cell>
          <cell r="M192" t="str">
            <v>-</v>
          </cell>
          <cell r="O192" t="str">
            <v>SON KULLANICI</v>
          </cell>
        </row>
        <row r="193">
          <cell r="B193" t="str">
            <v>İBRAHİM POLAT HOLDİNG</v>
          </cell>
          <cell r="C193" t="str">
            <v>SMB</v>
          </cell>
          <cell r="E193">
            <v>1315</v>
          </cell>
          <cell r="F193">
            <v>1.7010440672535876E-2</v>
          </cell>
          <cell r="G193">
            <v>1295</v>
          </cell>
          <cell r="H193">
            <v>0.98479087452471481</v>
          </cell>
          <cell r="I193" t="str">
            <v>NO RISK</v>
          </cell>
          <cell r="J193" t="str">
            <v>HİZMET MEMNUNİYETSİZLİĞİ</v>
          </cell>
          <cell r="K193">
            <v>7</v>
          </cell>
          <cell r="L193">
            <v>0.8571428571428571</v>
          </cell>
          <cell r="M193" t="str">
            <v>1</v>
          </cell>
          <cell r="O193" t="str">
            <v>GEÇ GERİ DÖNÜŞ</v>
          </cell>
        </row>
        <row r="194">
          <cell r="B194" t="str">
            <v>İBSA ILAÇ SAN VE TIC.LTD STI</v>
          </cell>
          <cell r="C194" t="str">
            <v>SMB</v>
          </cell>
          <cell r="E194">
            <v>961</v>
          </cell>
          <cell r="F194">
            <v>0.45412615001847834</v>
          </cell>
          <cell r="G194">
            <v>568</v>
          </cell>
          <cell r="H194">
            <v>0.59105098855359006</v>
          </cell>
          <cell r="I194" t="str">
            <v>NO RISK</v>
          </cell>
          <cell r="J194" t="str">
            <v>NO RISK</v>
          </cell>
          <cell r="K194">
            <v>1</v>
          </cell>
          <cell r="L194">
            <v>1</v>
          </cell>
          <cell r="M194" t="str">
            <v>-</v>
          </cell>
          <cell r="O194" t="str">
            <v>NO RISK</v>
          </cell>
        </row>
        <row r="195">
          <cell r="B195" t="str">
            <v>IDEASOFT YAZILIM SAN. VE TIC. A.S.</v>
          </cell>
          <cell r="C195" t="str">
            <v>SMB</v>
          </cell>
          <cell r="E195">
            <v>805</v>
          </cell>
          <cell r="F195">
            <v>0.16985832573867202</v>
          </cell>
          <cell r="G195">
            <v>682</v>
          </cell>
          <cell r="H195">
            <v>0.84720496894409936</v>
          </cell>
          <cell r="I195" t="str">
            <v>NO RISK</v>
          </cell>
          <cell r="J195" t="str">
            <v>STRATEJİK KARARLAR</v>
          </cell>
          <cell r="K195">
            <v>6</v>
          </cell>
          <cell r="L195">
            <v>0.16666666666666666</v>
          </cell>
          <cell r="M195" t="str">
            <v>-</v>
          </cell>
          <cell r="O195" t="str">
            <v>STRATEJİK YAPI DEĞİŞİKLİĞİ</v>
          </cell>
        </row>
        <row r="196">
          <cell r="B196" t="str">
            <v>İGGNİTA MAKİNA SAN. VE TİC. A. Ş.</v>
          </cell>
          <cell r="C196" t="str">
            <v>SMB</v>
          </cell>
          <cell r="E196">
            <v>103</v>
          </cell>
          <cell r="F196">
            <v>0.30215039805825239</v>
          </cell>
          <cell r="G196">
            <v>75</v>
          </cell>
          <cell r="H196">
            <v>0.72815533980582525</v>
          </cell>
          <cell r="I196" t="str">
            <v>NO RISK</v>
          </cell>
          <cell r="J196" t="str">
            <v>NO RISK</v>
          </cell>
          <cell r="K196">
            <v>0</v>
          </cell>
          <cell r="M196" t="str">
            <v>YOK</v>
          </cell>
          <cell r="O196" t="str">
            <v>NO RISK</v>
          </cell>
        </row>
        <row r="197">
          <cell r="B197" t="str">
            <v>İHLAS PAZARLAMA A.Ş.</v>
          </cell>
          <cell r="C197" t="str">
            <v>ENTERPRISE</v>
          </cell>
          <cell r="E197">
            <v>1810</v>
          </cell>
          <cell r="F197">
            <v>0.21933701657458562</v>
          </cell>
          <cell r="G197">
            <v>1453</v>
          </cell>
          <cell r="H197">
            <v>0.8027624309392265</v>
          </cell>
          <cell r="I197" t="str">
            <v>NO RISK</v>
          </cell>
          <cell r="J197" t="str">
            <v>NO RISK</v>
          </cell>
          <cell r="K197">
            <v>0</v>
          </cell>
          <cell r="M197" t="str">
            <v>YOK</v>
          </cell>
          <cell r="O197" t="str">
            <v>NO RISK</v>
          </cell>
        </row>
        <row r="198">
          <cell r="B198" t="str">
            <v>IMPACTA DÖNÜŞÜM A.Ş.</v>
          </cell>
          <cell r="C198" t="str">
            <v>SMB</v>
          </cell>
          <cell r="E198">
            <v>700</v>
          </cell>
          <cell r="F198">
            <v>9.8886116580445743E-2</v>
          </cell>
          <cell r="G198">
            <v>638</v>
          </cell>
          <cell r="H198">
            <v>0.91142857142857148</v>
          </cell>
          <cell r="I198" t="str">
            <v>NO RISK</v>
          </cell>
          <cell r="J198" t="str">
            <v>NO RISK</v>
          </cell>
          <cell r="K198">
            <v>0</v>
          </cell>
          <cell r="M198" t="str">
            <v>YOK</v>
          </cell>
          <cell r="O198" t="str">
            <v>NO RISK</v>
          </cell>
        </row>
        <row r="199">
          <cell r="B199" t="str">
            <v>IMPERIUM CIKOLATA GIDA VE PAZARLAMA DIS TİCARET LS</v>
          </cell>
          <cell r="C199" t="str">
            <v>SMB</v>
          </cell>
          <cell r="E199">
            <v>180</v>
          </cell>
          <cell r="F199">
            <v>0.15610070555555558</v>
          </cell>
          <cell r="G199">
            <v>155</v>
          </cell>
          <cell r="H199">
            <v>0.86111111111111116</v>
          </cell>
          <cell r="I199" t="str">
            <v>NO RISK</v>
          </cell>
          <cell r="J199" t="str">
            <v>NO RISK</v>
          </cell>
          <cell r="K199">
            <v>0</v>
          </cell>
          <cell r="M199" t="str">
            <v>YOK</v>
          </cell>
          <cell r="O199" t="str">
            <v>NO RISK</v>
          </cell>
        </row>
        <row r="200">
          <cell r="B200" t="str">
            <v>INCOMET INSAAT SAN. VE TIC. LTD.STI.</v>
          </cell>
          <cell r="C200" t="str">
            <v>SMB</v>
          </cell>
          <cell r="E200">
            <v>70</v>
          </cell>
          <cell r="F200">
            <v>1</v>
          </cell>
          <cell r="G200">
            <v>7</v>
          </cell>
          <cell r="H200">
            <v>0.1</v>
          </cell>
          <cell r="I200" t="str">
            <v>CHURN-KAPSAM DARALMASI</v>
          </cell>
          <cell r="J200" t="str">
            <v>HİZMET MEMNUNİYETSİZLİĞİ</v>
          </cell>
          <cell r="K200">
            <v>9</v>
          </cell>
          <cell r="L200">
            <v>0.88888888888888884</v>
          </cell>
          <cell r="M200" t="str">
            <v>1</v>
          </cell>
          <cell r="O200" t="str">
            <v>GEÇ GERİ DÖNÜŞ</v>
          </cell>
        </row>
        <row r="201">
          <cell r="B201" t="str">
            <v>INFODROM YAZILIM DANIŞMANLIK HİZ.TİC.LTD.ŞTİ.</v>
          </cell>
          <cell r="C201" t="str">
            <v>SMB</v>
          </cell>
          <cell r="E201">
            <v>335</v>
          </cell>
          <cell r="F201">
            <v>0.1988468990322973</v>
          </cell>
          <cell r="G201">
            <v>275</v>
          </cell>
          <cell r="H201">
            <v>0.82089552238805974</v>
          </cell>
          <cell r="I201" t="str">
            <v>NO RISK</v>
          </cell>
          <cell r="J201" t="str">
            <v>NO RISK</v>
          </cell>
          <cell r="K201">
            <v>1</v>
          </cell>
          <cell r="L201">
            <v>1</v>
          </cell>
          <cell r="M201" t="str">
            <v>-</v>
          </cell>
          <cell r="N201">
            <v>0.62686567164179108</v>
          </cell>
          <cell r="O201" t="str">
            <v>NO RISK</v>
          </cell>
        </row>
        <row r="202">
          <cell r="B202" t="str">
            <v>INFOTECH BİLİŞİM VE İLETİŞİM TEKNOLOJİLERİ SAN. VE</v>
          </cell>
          <cell r="C202" t="str">
            <v>SMB</v>
          </cell>
          <cell r="E202">
            <v>175</v>
          </cell>
          <cell r="F202">
            <v>0.16287855925254413</v>
          </cell>
          <cell r="G202">
            <v>149</v>
          </cell>
          <cell r="H202">
            <v>0.85142857142857142</v>
          </cell>
          <cell r="I202" t="str">
            <v>NO RISK</v>
          </cell>
          <cell r="J202" t="str">
            <v>STRATEJİK KARARLAR</v>
          </cell>
          <cell r="K202">
            <v>2</v>
          </cell>
          <cell r="L202">
            <v>1</v>
          </cell>
          <cell r="M202" t="str">
            <v>-</v>
          </cell>
          <cell r="O202" t="str">
            <v>TANIDIK FİRMAYA GEÇİŞ</v>
          </cell>
        </row>
        <row r="203">
          <cell r="B203" t="str">
            <v>INTRA MEDİKAL</v>
          </cell>
          <cell r="C203" t="str">
            <v>SMB</v>
          </cell>
          <cell r="E203">
            <v>1463</v>
          </cell>
          <cell r="F203">
            <v>0.23675361155698232</v>
          </cell>
          <cell r="G203">
            <v>1151</v>
          </cell>
          <cell r="H203">
            <v>0.78673957621326041</v>
          </cell>
          <cell r="I203" t="str">
            <v>NO RISK</v>
          </cell>
          <cell r="J203" t="str">
            <v>NO RISK</v>
          </cell>
          <cell r="K203">
            <v>6</v>
          </cell>
          <cell r="L203">
            <v>0.83333333333333337</v>
          </cell>
          <cell r="M203" t="str">
            <v>1</v>
          </cell>
          <cell r="O203" t="str">
            <v>NO RISK</v>
          </cell>
        </row>
        <row r="204">
          <cell r="B204" t="str">
            <v>INVEON BILGI TEKNOLOJILERI DANISMANLIK VE TIC. A.S</v>
          </cell>
          <cell r="C204" t="str">
            <v>ENTERPRISE</v>
          </cell>
          <cell r="E204">
            <v>11496</v>
          </cell>
          <cell r="F204">
            <v>3.2400099902558099E-2</v>
          </cell>
          <cell r="G204">
            <v>11161</v>
          </cell>
          <cell r="H204">
            <v>0.9708594293667363</v>
          </cell>
          <cell r="I204" t="str">
            <v>NO RISK</v>
          </cell>
          <cell r="J204" t="str">
            <v>SÖZLEŞME SÜRECİ</v>
          </cell>
          <cell r="K204">
            <v>6</v>
          </cell>
          <cell r="L204">
            <v>0.16666666666666666</v>
          </cell>
          <cell r="M204" t="str">
            <v>-</v>
          </cell>
          <cell r="N204">
            <v>0.11786708420320112</v>
          </cell>
          <cell r="O204" t="str">
            <v>FİYAT</v>
          </cell>
        </row>
        <row r="205">
          <cell r="B205" t="str">
            <v>İPEKYOLU GÜMRÜK MÜŞAVİRLİĞİ LTD. ŞTİ.</v>
          </cell>
          <cell r="C205" t="str">
            <v>SMB</v>
          </cell>
          <cell r="E205">
            <v>264</v>
          </cell>
          <cell r="F205">
            <v>0.14583356147447304</v>
          </cell>
          <cell r="G205">
            <v>229</v>
          </cell>
          <cell r="H205">
            <v>0.86742424242424243</v>
          </cell>
          <cell r="I205" t="str">
            <v>NO RISK</v>
          </cell>
          <cell r="J205" t="str">
            <v>NO RISK</v>
          </cell>
          <cell r="K205">
            <v>0</v>
          </cell>
          <cell r="M205" t="str">
            <v>YOK</v>
          </cell>
          <cell r="N205">
            <v>1.0006313131313131</v>
          </cell>
          <cell r="O205" t="str">
            <v>NO RISK</v>
          </cell>
        </row>
        <row r="206">
          <cell r="B206" t="str">
            <v>İPSİZCAMBAZ</v>
          </cell>
          <cell r="C206" t="str">
            <v>ENTERPRISE</v>
          </cell>
          <cell r="E206">
            <v>3253</v>
          </cell>
          <cell r="F206">
            <v>3.1258165765422348E-2</v>
          </cell>
          <cell r="G206">
            <v>3161</v>
          </cell>
          <cell r="H206">
            <v>0.97171841377190282</v>
          </cell>
          <cell r="I206" t="str">
            <v>HIGH RISK</v>
          </cell>
          <cell r="J206" t="str">
            <v>FİNANSAL PROBLEMLER</v>
          </cell>
          <cell r="K206">
            <v>0</v>
          </cell>
          <cell r="M206" t="str">
            <v>YOK</v>
          </cell>
          <cell r="O206" t="str">
            <v>ÖDEME SORUNU</v>
          </cell>
        </row>
        <row r="207">
          <cell r="B207" t="str">
            <v>İQM TEKNOLOJİ YAZILIM LİMİTED ŞİRKETİ</v>
          </cell>
          <cell r="C207" t="str">
            <v>SMB</v>
          </cell>
          <cell r="E207">
            <v>420</v>
          </cell>
          <cell r="F207">
            <v>5.4761904761904762E-2</v>
          </cell>
          <cell r="G207">
            <v>399</v>
          </cell>
          <cell r="H207">
            <v>0.95</v>
          </cell>
          <cell r="I207" t="str">
            <v>NO RISK</v>
          </cell>
          <cell r="J207" t="str">
            <v>NO RISK</v>
          </cell>
          <cell r="K207">
            <v>1</v>
          </cell>
          <cell r="L207">
            <v>1</v>
          </cell>
          <cell r="M207" t="str">
            <v>-</v>
          </cell>
          <cell r="N207">
            <v>1</v>
          </cell>
          <cell r="O207" t="str">
            <v>NO RISK</v>
          </cell>
        </row>
        <row r="208">
          <cell r="B208" t="str">
            <v>ISOTEC ENERJİ A.Ş.</v>
          </cell>
          <cell r="C208" t="str">
            <v>SMB</v>
          </cell>
          <cell r="E208">
            <v>2264</v>
          </cell>
          <cell r="F208">
            <v>8.4142729746221154E-2</v>
          </cell>
          <cell r="G208">
            <v>2093</v>
          </cell>
          <cell r="H208">
            <v>0.92446996466431097</v>
          </cell>
          <cell r="I208" t="str">
            <v>NO RISK</v>
          </cell>
          <cell r="J208" t="str">
            <v>NO RISK</v>
          </cell>
          <cell r="K208">
            <v>29</v>
          </cell>
          <cell r="L208">
            <v>0.82758620689655171</v>
          </cell>
          <cell r="M208" t="str">
            <v>-</v>
          </cell>
          <cell r="O208" t="str">
            <v>NO RISK</v>
          </cell>
        </row>
        <row r="209">
          <cell r="B209" t="str">
            <v>İSTANBUL GÖMLEK GIYIM SAN.VE TIC.A.S</v>
          </cell>
          <cell r="C209" t="str">
            <v>SMB</v>
          </cell>
          <cell r="E209">
            <v>2269</v>
          </cell>
          <cell r="F209">
            <v>0.2726080473114042</v>
          </cell>
          <cell r="G209">
            <v>1712</v>
          </cell>
          <cell r="H209">
            <v>0.75451740855002203</v>
          </cell>
          <cell r="I209" t="str">
            <v>BOOKED CHURN</v>
          </cell>
          <cell r="J209" t="str">
            <v>HİZMET MEMNUNİYETSİZLİĞİ</v>
          </cell>
          <cell r="K209">
            <v>1</v>
          </cell>
          <cell r="M209" t="str">
            <v>-</v>
          </cell>
          <cell r="N209">
            <v>1.1164977229322757</v>
          </cell>
          <cell r="O209" t="str">
            <v>SON KULLANICI</v>
          </cell>
        </row>
        <row r="210">
          <cell r="B210" t="str">
            <v>İSTANBUL KÜLTÜR ÜNIVERSITESI (İKÜ)</v>
          </cell>
          <cell r="C210" t="str">
            <v>ENTERPRISE</v>
          </cell>
          <cell r="E210">
            <v>20805</v>
          </cell>
          <cell r="F210">
            <v>9.4282877462809975E-3</v>
          </cell>
          <cell r="G210">
            <v>20627</v>
          </cell>
          <cell r="H210">
            <v>0.99144436433549632</v>
          </cell>
          <cell r="I210" t="str">
            <v>NO RISK</v>
          </cell>
          <cell r="J210" t="str">
            <v>NO RISK</v>
          </cell>
          <cell r="K210">
            <v>26</v>
          </cell>
          <cell r="L210">
            <v>0.84615384615384615</v>
          </cell>
          <cell r="M210" t="str">
            <v>-</v>
          </cell>
          <cell r="N210">
            <v>0.68905711768004485</v>
          </cell>
          <cell r="O210" t="str">
            <v>NO RISK</v>
          </cell>
        </row>
        <row r="211">
          <cell r="B211" t="str">
            <v>ISTANBUL REHBERLER ODASI</v>
          </cell>
          <cell r="C211" t="str">
            <v>SMB</v>
          </cell>
          <cell r="E211">
            <v>451</v>
          </cell>
          <cell r="F211">
            <v>0.32258143074989576</v>
          </cell>
          <cell r="G211">
            <v>320</v>
          </cell>
          <cell r="H211">
            <v>0.70953436807095349</v>
          </cell>
          <cell r="I211" t="str">
            <v>NO RISK</v>
          </cell>
          <cell r="J211" t="str">
            <v>NO RISK</v>
          </cell>
          <cell r="K211">
            <v>3</v>
          </cell>
          <cell r="L211">
            <v>0.66666666666666663</v>
          </cell>
          <cell r="M211" t="str">
            <v>-</v>
          </cell>
          <cell r="O211" t="str">
            <v>NO RISK</v>
          </cell>
        </row>
        <row r="212">
          <cell r="B212" t="str">
            <v>İSTANBUL TURİZM OTELCİLİK AŞ (THE MARMARA HOTELS)</v>
          </cell>
          <cell r="C212" t="str">
            <v>SMB</v>
          </cell>
          <cell r="E212">
            <v>5824</v>
          </cell>
          <cell r="F212">
            <v>0.39611644097931559</v>
          </cell>
          <cell r="G212">
            <v>3748</v>
          </cell>
          <cell r="H212">
            <v>0.64354395604395609</v>
          </cell>
          <cell r="I212" t="str">
            <v>NO RISK</v>
          </cell>
          <cell r="J212" t="str">
            <v>SÖZLEŞME SÜRECİ</v>
          </cell>
          <cell r="K212">
            <v>20</v>
          </cell>
          <cell r="L212">
            <v>0.7</v>
          </cell>
          <cell r="M212" t="str">
            <v>-</v>
          </cell>
          <cell r="O212" t="str">
            <v>FİYAT</v>
          </cell>
        </row>
        <row r="213">
          <cell r="B213" t="str">
            <v>IVC ENDUSTRIYEL URUNLER VANA</v>
          </cell>
          <cell r="C213" t="str">
            <v>SMB</v>
          </cell>
          <cell r="E213">
            <v>329</v>
          </cell>
          <cell r="F213">
            <v>0.35979928571428582</v>
          </cell>
          <cell r="G213">
            <v>222</v>
          </cell>
          <cell r="H213">
            <v>0.67477203647416417</v>
          </cell>
          <cell r="I213" t="str">
            <v>NO RISK</v>
          </cell>
          <cell r="J213" t="str">
            <v>NO RISK</v>
          </cell>
          <cell r="K213">
            <v>2</v>
          </cell>
          <cell r="L213">
            <v>1</v>
          </cell>
          <cell r="M213" t="str">
            <v>1</v>
          </cell>
          <cell r="O213" t="str">
            <v>NO RISK</v>
          </cell>
        </row>
        <row r="214">
          <cell r="B214" t="str">
            <v>İWİS TAHRİK SİSTEMLERİ SAN.TİC.LTD.ŞTİ</v>
          </cell>
          <cell r="C214" t="str">
            <v>SMB</v>
          </cell>
          <cell r="E214">
            <v>106</v>
          </cell>
          <cell r="F214">
            <v>0.26714195150659126</v>
          </cell>
          <cell r="G214">
            <v>81</v>
          </cell>
          <cell r="H214">
            <v>0.76415094339622647</v>
          </cell>
          <cell r="I214" t="str">
            <v>NO RISK</v>
          </cell>
          <cell r="J214" t="str">
            <v>NO RISK</v>
          </cell>
          <cell r="K214">
            <v>0</v>
          </cell>
          <cell r="M214" t="str">
            <v>YOK</v>
          </cell>
          <cell r="O214" t="str">
            <v>NO RISK</v>
          </cell>
        </row>
        <row r="215">
          <cell r="B215" t="str">
            <v>İZEM OTOMOTİV SEYAHAT TURİZM</v>
          </cell>
          <cell r="C215" t="str">
            <v>SMB</v>
          </cell>
          <cell r="E215">
            <v>372</v>
          </cell>
          <cell r="F215">
            <v>0.25987911501079619</v>
          </cell>
          <cell r="G215">
            <v>285</v>
          </cell>
          <cell r="H215">
            <v>0.7661290322580645</v>
          </cell>
          <cell r="I215" t="str">
            <v>NO RISK</v>
          </cell>
          <cell r="J215" t="str">
            <v>NO RISK</v>
          </cell>
          <cell r="K215">
            <v>0</v>
          </cell>
          <cell r="M215" t="str">
            <v>YOK</v>
          </cell>
          <cell r="N215">
            <v>0.8915770609318997</v>
          </cell>
          <cell r="O215" t="str">
            <v>NO RISK</v>
          </cell>
        </row>
        <row r="216">
          <cell r="B216" t="str">
            <v>İZKA TEMİZLİK GIDA ÜRÜNLERİ PAZARLAMA SAN. VE TİC.</v>
          </cell>
          <cell r="C216" t="str">
            <v>SMB</v>
          </cell>
          <cell r="E216">
            <v>59</v>
          </cell>
          <cell r="F216">
            <v>0.30215337841173401</v>
          </cell>
          <cell r="G216">
            <v>43</v>
          </cell>
          <cell r="H216">
            <v>0.72881355932203384</v>
          </cell>
          <cell r="I216" t="str">
            <v>NO RISK</v>
          </cell>
          <cell r="J216" t="str">
            <v>NO RISK</v>
          </cell>
          <cell r="K216">
            <v>0</v>
          </cell>
          <cell r="M216" t="str">
            <v>YOK</v>
          </cell>
          <cell r="O216" t="str">
            <v>NO RISK</v>
          </cell>
        </row>
        <row r="217">
          <cell r="B217" t="str">
            <v>İZMİR EKRAN (MUD BİLİŞİM)</v>
          </cell>
          <cell r="C217" t="str">
            <v>SMB</v>
          </cell>
          <cell r="E217">
            <v>138</v>
          </cell>
          <cell r="F217">
            <v>1</v>
          </cell>
          <cell r="G217">
            <v>14</v>
          </cell>
          <cell r="H217">
            <v>0.10144927536231885</v>
          </cell>
          <cell r="I217" t="str">
            <v>NO RISK</v>
          </cell>
          <cell r="J217" t="str">
            <v>NO RISK</v>
          </cell>
          <cell r="K217">
            <v>1</v>
          </cell>
          <cell r="M217" t="str">
            <v>1</v>
          </cell>
          <cell r="O217" t="str">
            <v>NO RISK</v>
          </cell>
        </row>
        <row r="218">
          <cell r="B218" t="str">
            <v>JANUS BARKOD TEKNOLOJİLERİ VE TURİZM SAN.TİC.LTD.Ş</v>
          </cell>
          <cell r="C218" t="str">
            <v>SMB</v>
          </cell>
          <cell r="E218">
            <v>103</v>
          </cell>
          <cell r="F218">
            <v>0.27089166666852421</v>
          </cell>
          <cell r="G218">
            <v>78</v>
          </cell>
          <cell r="H218">
            <v>0.75728155339805825</v>
          </cell>
          <cell r="I218" t="str">
            <v>NO RISK</v>
          </cell>
          <cell r="J218" t="str">
            <v>NO RISK</v>
          </cell>
          <cell r="K218">
            <v>1</v>
          </cell>
          <cell r="L218">
            <v>1</v>
          </cell>
          <cell r="M218" t="str">
            <v>-</v>
          </cell>
          <cell r="O218" t="str">
            <v>NO RISK</v>
          </cell>
        </row>
        <row r="219">
          <cell r="B219" t="str">
            <v>KALE PRATT</v>
          </cell>
          <cell r="C219" t="str">
            <v>ENTERPRISE</v>
          </cell>
          <cell r="E219">
            <v>1453</v>
          </cell>
          <cell r="G219">
            <v>1452</v>
          </cell>
          <cell r="H219">
            <v>0.9993117687543015</v>
          </cell>
          <cell r="I219" t="str">
            <v>LOW RISK</v>
          </cell>
          <cell r="J219" t="str">
            <v>STRATEJİK KARARLAR</v>
          </cell>
          <cell r="K219">
            <v>7</v>
          </cell>
          <cell r="L219">
            <v>0.5714285714285714</v>
          </cell>
          <cell r="M219" t="str">
            <v>-</v>
          </cell>
          <cell r="N219">
            <v>0.81842165634319808</v>
          </cell>
          <cell r="O219" t="str">
            <v>STRATEJİK YAPI DEĞİŞİKLİĞİ</v>
          </cell>
        </row>
        <row r="220">
          <cell r="B220" t="str">
            <v>KALİTEST BELGELENDIRME VE EGITIM HIZMETLERI LTD.ST</v>
          </cell>
          <cell r="C220" t="str">
            <v>SMB</v>
          </cell>
          <cell r="E220">
            <v>521</v>
          </cell>
          <cell r="F220">
            <v>0.39804124807143321</v>
          </cell>
          <cell r="G220">
            <v>334</v>
          </cell>
          <cell r="H220">
            <v>0.64107485604606529</v>
          </cell>
          <cell r="I220" t="str">
            <v>LOW RISK</v>
          </cell>
          <cell r="J220" t="str">
            <v>FİNANSAL PROBLEMLER</v>
          </cell>
          <cell r="K220">
            <v>10</v>
          </cell>
          <cell r="L220">
            <v>1</v>
          </cell>
          <cell r="M220" t="str">
            <v>-</v>
          </cell>
          <cell r="N220">
            <v>11.420345489443378</v>
          </cell>
          <cell r="O220" t="str">
            <v>ÖDEME SORUNU</v>
          </cell>
        </row>
        <row r="221">
          <cell r="B221" t="str">
            <v>KANGURU GIDA SAN TURİZM DANIŞ. VE TİC.LTD.ŞTİ</v>
          </cell>
          <cell r="C221" t="str">
            <v>SMB</v>
          </cell>
          <cell r="E221">
            <v>119</v>
          </cell>
          <cell r="F221">
            <v>0.31952409395973147</v>
          </cell>
          <cell r="G221">
            <v>85</v>
          </cell>
          <cell r="H221">
            <v>0.7142857142857143</v>
          </cell>
          <cell r="I221" t="str">
            <v>NO RISK</v>
          </cell>
          <cell r="J221" t="str">
            <v>NO RISK</v>
          </cell>
          <cell r="K221">
            <v>0</v>
          </cell>
          <cell r="M221" t="str">
            <v>YOK</v>
          </cell>
          <cell r="O221" t="str">
            <v>NO RISK</v>
          </cell>
        </row>
        <row r="222">
          <cell r="B222" t="str">
            <v>KARACAYOL İNŞAAT MADENCİLİK TUR MAK SAN TİC LTD ŞT</v>
          </cell>
          <cell r="C222" t="str">
            <v>SMB</v>
          </cell>
          <cell r="E222">
            <v>108</v>
          </cell>
          <cell r="F222">
            <v>0.28727704706116614</v>
          </cell>
          <cell r="G222">
            <v>80</v>
          </cell>
          <cell r="H222">
            <v>0.7407407407407407</v>
          </cell>
          <cell r="I222" t="str">
            <v>NO RISK</v>
          </cell>
          <cell r="J222" t="str">
            <v>NO RISK</v>
          </cell>
          <cell r="K222">
            <v>0</v>
          </cell>
          <cell r="M222" t="str">
            <v>YOK</v>
          </cell>
          <cell r="O222" t="str">
            <v>NO RISK</v>
          </cell>
        </row>
        <row r="223">
          <cell r="B223" t="str">
            <v>KARAVAN TURİZM SEYAHAT VE NAKLIYAT AS</v>
          </cell>
          <cell r="C223" t="str">
            <v>SMB</v>
          </cell>
          <cell r="E223">
            <v>397</v>
          </cell>
          <cell r="F223">
            <v>0.25274305293085575</v>
          </cell>
          <cell r="G223">
            <v>307</v>
          </cell>
          <cell r="H223">
            <v>0.77329974811083124</v>
          </cell>
          <cell r="I223" t="str">
            <v>NO RISK</v>
          </cell>
          <cell r="J223" t="str">
            <v>NO RISK</v>
          </cell>
          <cell r="K223">
            <v>3</v>
          </cell>
          <cell r="L223">
            <v>0.66666666666666663</v>
          </cell>
          <cell r="M223" t="str">
            <v>-</v>
          </cell>
          <cell r="O223" t="str">
            <v>NO RISK</v>
          </cell>
        </row>
        <row r="224">
          <cell r="B224" t="str">
            <v>KARBONSAN BASINÇLI KAPLAR SANAYİ VE TİCARET ANONİM</v>
          </cell>
          <cell r="C224" t="str">
            <v>SMB</v>
          </cell>
          <cell r="E224">
            <v>1670</v>
          </cell>
          <cell r="F224">
            <v>0.31333512278244224</v>
          </cell>
          <cell r="G224">
            <v>1198</v>
          </cell>
          <cell r="H224">
            <v>0.71736526946107781</v>
          </cell>
          <cell r="I224" t="str">
            <v>LOW RISK</v>
          </cell>
          <cell r="J224" t="str">
            <v>HİZMET MEMNUNİYETSİZLİĞİ</v>
          </cell>
          <cell r="K224">
            <v>3</v>
          </cell>
          <cell r="L224">
            <v>0.66666666666666663</v>
          </cell>
          <cell r="M224" t="str">
            <v>-</v>
          </cell>
          <cell r="O224" t="str">
            <v>GEÇ GERİ DÖNÜŞ</v>
          </cell>
        </row>
        <row r="225">
          <cell r="B225" t="str">
            <v>KARINCA LOJİSTİK A.Ş..</v>
          </cell>
          <cell r="C225" t="str">
            <v>SMB</v>
          </cell>
          <cell r="E225">
            <v>892</v>
          </cell>
          <cell r="F225">
            <v>0</v>
          </cell>
          <cell r="G225">
            <v>892</v>
          </cell>
          <cell r="H225">
            <v>1</v>
          </cell>
          <cell r="I225" t="str">
            <v>NO RISK</v>
          </cell>
          <cell r="J225" t="str">
            <v>NO RISK</v>
          </cell>
          <cell r="K225">
            <v>4</v>
          </cell>
          <cell r="L225">
            <v>0.75</v>
          </cell>
          <cell r="M225" t="str">
            <v>-</v>
          </cell>
          <cell r="O225" t="str">
            <v>NO RISK</v>
          </cell>
        </row>
        <row r="226">
          <cell r="B226" t="str">
            <v>KARO PORSELEN SERAMİK PAZARLAMA TİC.A.Ş</v>
          </cell>
          <cell r="C226" t="str">
            <v>SMB</v>
          </cell>
          <cell r="E226">
            <v>103</v>
          </cell>
          <cell r="G226">
            <v>103</v>
          </cell>
          <cell r="H226">
            <v>1</v>
          </cell>
          <cell r="I226" t="str">
            <v>NO RISK</v>
          </cell>
          <cell r="J226" t="str">
            <v>NO RISK</v>
          </cell>
          <cell r="K226">
            <v>2</v>
          </cell>
          <cell r="L226">
            <v>1</v>
          </cell>
          <cell r="M226" t="str">
            <v>1</v>
          </cell>
          <cell r="O226" t="str">
            <v>NO RISK</v>
          </cell>
        </row>
        <row r="227">
          <cell r="B227" t="str">
            <v>KARTAL IST ALIŞVERİŞ MERKEZİ VE İŞLETMESİ A.Ş.</v>
          </cell>
          <cell r="C227" t="str">
            <v>OTHER</v>
          </cell>
          <cell r="E227">
            <v>680</v>
          </cell>
          <cell r="G227">
            <v>680</v>
          </cell>
          <cell r="H227">
            <v>1</v>
          </cell>
          <cell r="I227" t="str">
            <v>NO RISK</v>
          </cell>
          <cell r="J227" t="str">
            <v>NO RISK</v>
          </cell>
          <cell r="K227">
            <v>0</v>
          </cell>
          <cell r="M227" t="str">
            <v>YOK</v>
          </cell>
          <cell r="O227" t="str">
            <v>NO RISK</v>
          </cell>
        </row>
        <row r="228">
          <cell r="B228" t="str">
            <v>KARTAL KİMYA</v>
          </cell>
          <cell r="C228" t="str">
            <v>SMB</v>
          </cell>
          <cell r="E228">
            <v>772</v>
          </cell>
          <cell r="F228">
            <v>0.25130852053695057</v>
          </cell>
          <cell r="G228">
            <v>597</v>
          </cell>
          <cell r="H228">
            <v>0.77331606217616577</v>
          </cell>
          <cell r="I228" t="str">
            <v>NO RISK</v>
          </cell>
          <cell r="J228" t="str">
            <v>NO RISK</v>
          </cell>
          <cell r="K228">
            <v>2</v>
          </cell>
          <cell r="L228">
            <v>1</v>
          </cell>
          <cell r="M228" t="str">
            <v>-</v>
          </cell>
          <cell r="N228">
            <v>0.99956822107081189</v>
          </cell>
          <cell r="O228" t="str">
            <v>NO RISK</v>
          </cell>
        </row>
        <row r="229">
          <cell r="B229" t="str">
            <v>KARTAL RULMANS</v>
          </cell>
          <cell r="C229" t="str">
            <v>SMB</v>
          </cell>
          <cell r="E229">
            <v>164</v>
          </cell>
          <cell r="F229">
            <v>0.28965286492007886</v>
          </cell>
          <cell r="G229">
            <v>121</v>
          </cell>
          <cell r="H229">
            <v>0.73780487804878048</v>
          </cell>
          <cell r="I229" t="str">
            <v>NO RISK</v>
          </cell>
          <cell r="J229" t="str">
            <v>NO RISK</v>
          </cell>
          <cell r="K229">
            <v>1</v>
          </cell>
          <cell r="M229" t="str">
            <v>-</v>
          </cell>
          <cell r="N229">
            <v>0.63516260162601634</v>
          </cell>
          <cell r="O229" t="str">
            <v>NO RISK</v>
          </cell>
        </row>
        <row r="230">
          <cell r="B230" t="str">
            <v>KASTAS</v>
          </cell>
          <cell r="C230" t="str">
            <v>SMB</v>
          </cell>
          <cell r="E230">
            <v>54</v>
          </cell>
          <cell r="F230">
            <v>0</v>
          </cell>
          <cell r="G230">
            <v>54</v>
          </cell>
          <cell r="H230">
            <v>1</v>
          </cell>
          <cell r="I230" t="str">
            <v>NO RISK</v>
          </cell>
          <cell r="J230" t="str">
            <v>NO RISK</v>
          </cell>
          <cell r="K230">
            <v>0</v>
          </cell>
          <cell r="M230" t="str">
            <v>-</v>
          </cell>
          <cell r="N230">
            <v>29.768518518518519</v>
          </cell>
          <cell r="O230" t="str">
            <v>NO RISK</v>
          </cell>
        </row>
        <row r="231">
          <cell r="B231" t="str">
            <v>KAYRA İPLİK A.Ş.</v>
          </cell>
          <cell r="C231" t="str">
            <v>SMB</v>
          </cell>
          <cell r="E231">
            <v>43</v>
          </cell>
          <cell r="F231">
            <v>0.30215038676076034</v>
          </cell>
          <cell r="G231">
            <v>31</v>
          </cell>
          <cell r="H231">
            <v>0.72093023255813948</v>
          </cell>
          <cell r="I231" t="str">
            <v>NO RISK</v>
          </cell>
          <cell r="J231" t="str">
            <v>NO RISK</v>
          </cell>
          <cell r="K231">
            <v>0</v>
          </cell>
          <cell r="M231" t="str">
            <v>-</v>
          </cell>
          <cell r="O231" t="str">
            <v>NO RISK</v>
          </cell>
        </row>
        <row r="232">
          <cell r="B232" t="str">
            <v>KERAMIK MAKINA SAN. VE TIC.A.S.</v>
          </cell>
          <cell r="C232" t="str">
            <v>SMB</v>
          </cell>
          <cell r="E232">
            <v>749</v>
          </cell>
          <cell r="F232">
            <v>1.0300297554900435</v>
          </cell>
          <cell r="G232">
            <v>54</v>
          </cell>
          <cell r="H232">
            <v>7.209612817089453E-2</v>
          </cell>
          <cell r="I232" t="str">
            <v>HIGH RISK</v>
          </cell>
          <cell r="J232" t="str">
            <v>Fiyat</v>
          </cell>
          <cell r="K232">
            <v>13</v>
          </cell>
          <cell r="L232">
            <v>0.69230769230769229</v>
          </cell>
          <cell r="M232" t="str">
            <v>-</v>
          </cell>
          <cell r="N232">
            <v>0.32153983088562527</v>
          </cell>
          <cell r="O232" t="str">
            <v>Fiyat</v>
          </cell>
        </row>
        <row r="233">
          <cell r="B233" t="str">
            <v>KEY DİGİTAL PLATFORM TEKNOLOJİLERİ ANONİM ŞİRKETİ</v>
          </cell>
          <cell r="C233" t="str">
            <v>SMB</v>
          </cell>
          <cell r="E233">
            <v>154</v>
          </cell>
          <cell r="F233">
            <v>9.0810810761723898E-2</v>
          </cell>
          <cell r="G233">
            <v>141</v>
          </cell>
          <cell r="H233">
            <v>0.91558441558441561</v>
          </cell>
          <cell r="I233" t="str">
            <v>CHURN</v>
          </cell>
          <cell r="J233" t="str">
            <v>FİNANSAL PROBLEMLER</v>
          </cell>
          <cell r="K233">
            <v>0</v>
          </cell>
          <cell r="M233" t="str">
            <v>YOK</v>
          </cell>
          <cell r="N233">
            <v>15.211038961038961</v>
          </cell>
          <cell r="O233" t="str">
            <v>ÖDEME SORUNU</v>
          </cell>
        </row>
        <row r="234">
          <cell r="B234" t="str">
            <v>KHD ELEKTRONİK LTD. ŞTİ.</v>
          </cell>
          <cell r="C234" t="str">
            <v>SMB</v>
          </cell>
          <cell r="E234">
            <v>74</v>
          </cell>
          <cell r="F234">
            <v>0.30215039310499253</v>
          </cell>
          <cell r="G234">
            <v>54</v>
          </cell>
          <cell r="H234">
            <v>0.72972972972972971</v>
          </cell>
          <cell r="I234" t="str">
            <v>NO RISK</v>
          </cell>
          <cell r="J234" t="str">
            <v>NO RISK</v>
          </cell>
          <cell r="K234">
            <v>0</v>
          </cell>
          <cell r="M234" t="str">
            <v>YOK</v>
          </cell>
          <cell r="O234" t="str">
            <v>NO RISK</v>
          </cell>
        </row>
        <row r="235">
          <cell r="B235" t="str">
            <v>KILIÇKAYA LPG GIDA NAK. TURIZM INS.TIC. LTD. ŞTI.</v>
          </cell>
          <cell r="C235" t="str">
            <v>SMB</v>
          </cell>
          <cell r="E235">
            <v>134</v>
          </cell>
          <cell r="G235">
            <v>134</v>
          </cell>
          <cell r="H235">
            <v>1</v>
          </cell>
          <cell r="I235" t="str">
            <v>NO RISK</v>
          </cell>
          <cell r="J235" t="str">
            <v>NO RISK</v>
          </cell>
          <cell r="K235">
            <v>0</v>
          </cell>
          <cell r="M235" t="str">
            <v>YOK</v>
          </cell>
          <cell r="O235" t="str">
            <v>NO RISK</v>
          </cell>
        </row>
        <row r="236">
          <cell r="B236" t="str">
            <v>KIRIKHAN MENSUCAT SAN. VE TİC. A.Ş.</v>
          </cell>
          <cell r="C236" t="str">
            <v>SMB</v>
          </cell>
          <cell r="E236">
            <v>227</v>
          </cell>
          <cell r="F236">
            <v>0.31755805033525203</v>
          </cell>
          <cell r="G236">
            <v>162</v>
          </cell>
          <cell r="H236">
            <v>0.71365638766519823</v>
          </cell>
          <cell r="I236" t="str">
            <v>NO RISK</v>
          </cell>
          <cell r="J236" t="str">
            <v>NO RISK</v>
          </cell>
          <cell r="K236">
            <v>0</v>
          </cell>
          <cell r="M236" t="str">
            <v>-</v>
          </cell>
          <cell r="O236" t="str">
            <v>NO RISK</v>
          </cell>
        </row>
        <row r="237">
          <cell r="B237" t="str">
            <v>KIYI RESTORANT TURIZM GIDA LTD.STI.</v>
          </cell>
          <cell r="C237" t="str">
            <v>SMB</v>
          </cell>
          <cell r="E237">
            <v>96</v>
          </cell>
          <cell r="F237">
            <v>0.29793203782604183</v>
          </cell>
          <cell r="G237">
            <v>70</v>
          </cell>
          <cell r="H237">
            <v>0.72916666666666663</v>
          </cell>
          <cell r="I237" t="str">
            <v>NO RISK</v>
          </cell>
          <cell r="J237" t="str">
            <v>NO RISK</v>
          </cell>
          <cell r="K237">
            <v>0</v>
          </cell>
          <cell r="M237" t="str">
            <v>YOK</v>
          </cell>
          <cell r="N237">
            <v>9.5486111111111119E-2</v>
          </cell>
          <cell r="O237" t="str">
            <v>NO RISK</v>
          </cell>
        </row>
        <row r="238">
          <cell r="B238" t="str">
            <v>KOALAY - KONUT KREDISI COM TR DANISMANLIK A.S</v>
          </cell>
          <cell r="C238" t="str">
            <v>ENTERPRISE</v>
          </cell>
          <cell r="E238">
            <v>8120</v>
          </cell>
          <cell r="F238">
            <v>0.37865588478392498</v>
          </cell>
          <cell r="G238">
            <v>5353</v>
          </cell>
          <cell r="H238">
            <v>0.65923645320197044</v>
          </cell>
          <cell r="I238" t="str">
            <v>MEDIUM RISK</v>
          </cell>
          <cell r="J238" t="str">
            <v>STRATEJİK KARARLAR</v>
          </cell>
          <cell r="K238">
            <v>20</v>
          </cell>
          <cell r="L238">
            <v>0.65</v>
          </cell>
          <cell r="M238" t="str">
            <v>1</v>
          </cell>
          <cell r="N238">
            <v>0.26765188834154352</v>
          </cell>
          <cell r="O238" t="str">
            <v>ŞİRKET SATILMASI - ORTAKLIK DEĞİŞİKLİĞİ</v>
          </cell>
        </row>
        <row r="239">
          <cell r="B239" t="str">
            <v>KOTON MAĞAZACILIK TEKSTİL SANAYİ VE TİCARET A.Ş.</v>
          </cell>
          <cell r="C239" t="str">
            <v>ENTERPRISE</v>
          </cell>
          <cell r="E239">
            <v>1174</v>
          </cell>
          <cell r="G239">
            <v>1174</v>
          </cell>
          <cell r="H239">
            <v>1</v>
          </cell>
          <cell r="I239" t="str">
            <v>MEDIUM RISK</v>
          </cell>
          <cell r="J239" t="str">
            <v>HİZMET MEMNUNİYETSİZLİĞİ</v>
          </cell>
          <cell r="K239">
            <v>2</v>
          </cell>
          <cell r="M239" t="str">
            <v>1</v>
          </cell>
          <cell r="N239">
            <v>2.0457126632595117</v>
          </cell>
          <cell r="O239" t="str">
            <v>HİZMET MEMNUNİYETSİZLİĞİ</v>
          </cell>
        </row>
        <row r="240">
          <cell r="B240" t="str">
            <v>KOZA GIDA DAGITIM SAN. VE TIC. A.S.</v>
          </cell>
          <cell r="C240" t="str">
            <v>SMB</v>
          </cell>
          <cell r="E240">
            <v>6209</v>
          </cell>
          <cell r="F240">
            <v>0.46567837652366995</v>
          </cell>
          <cell r="G240">
            <v>3606</v>
          </cell>
          <cell r="H240">
            <v>0.58076985021742633</v>
          </cell>
          <cell r="I240" t="str">
            <v>NO RISK</v>
          </cell>
          <cell r="J240" t="str">
            <v>SÖZLEŞME SÜRECİ</v>
          </cell>
          <cell r="K240">
            <v>59</v>
          </cell>
          <cell r="L240">
            <v>0.74576271186440679</v>
          </cell>
          <cell r="M240" t="str">
            <v>-</v>
          </cell>
          <cell r="N240">
            <v>0.20588393192677298</v>
          </cell>
          <cell r="O240" t="str">
            <v>FİYAT</v>
          </cell>
        </row>
        <row r="241">
          <cell r="B241" t="str">
            <v>KOZMETIK VE TEMIZLIK ÜRÜNLERI SANAYICILERI DERNEGI</v>
          </cell>
          <cell r="C241" t="str">
            <v>SMB</v>
          </cell>
          <cell r="E241">
            <v>273</v>
          </cell>
          <cell r="F241">
            <v>0.33505767000336162</v>
          </cell>
          <cell r="G241">
            <v>191</v>
          </cell>
          <cell r="H241">
            <v>0.69963369963369959</v>
          </cell>
          <cell r="I241" t="str">
            <v>NO RISK</v>
          </cell>
          <cell r="J241" t="str">
            <v>NO RISK</v>
          </cell>
          <cell r="K241">
            <v>6</v>
          </cell>
          <cell r="L241">
            <v>0.5</v>
          </cell>
          <cell r="M241" t="str">
            <v>-</v>
          </cell>
          <cell r="O241" t="str">
            <v>NO RISK</v>
          </cell>
        </row>
        <row r="242">
          <cell r="B242" t="str">
            <v>KURTARAN LASTİK VE PLASTİK ANONİM ŞİRKETİ</v>
          </cell>
          <cell r="C242" t="str">
            <v>SMB</v>
          </cell>
          <cell r="E242">
            <v>263</v>
          </cell>
          <cell r="F242">
            <v>0.10645938476946644</v>
          </cell>
          <cell r="G242">
            <v>238</v>
          </cell>
          <cell r="H242">
            <v>0.90494296577946765</v>
          </cell>
          <cell r="I242" t="str">
            <v>NO RISK</v>
          </cell>
          <cell r="J242" t="str">
            <v>NO RISK</v>
          </cell>
          <cell r="K242">
            <v>2</v>
          </cell>
          <cell r="L242">
            <v>0.5</v>
          </cell>
          <cell r="M242" t="str">
            <v>-</v>
          </cell>
          <cell r="O242" t="str">
            <v>NO RISK</v>
          </cell>
        </row>
        <row r="243">
          <cell r="B243" t="str">
            <v>LAYDA BİLGİSAYAR YAZILIM ve DANIŞMANLIK LTD.ŞTİ.</v>
          </cell>
          <cell r="C243" t="str">
            <v>SMB</v>
          </cell>
          <cell r="E243">
            <v>80</v>
          </cell>
          <cell r="F243">
            <v>0.15620618282199267</v>
          </cell>
          <cell r="G243">
            <v>69</v>
          </cell>
          <cell r="H243">
            <v>0.86250000000000004</v>
          </cell>
          <cell r="I243" t="str">
            <v>NO RISK</v>
          </cell>
          <cell r="J243" t="str">
            <v>NO RISK</v>
          </cell>
          <cell r="K243">
            <v>0</v>
          </cell>
          <cell r="M243" t="str">
            <v>YOK</v>
          </cell>
          <cell r="O243" t="str">
            <v>NO RISK</v>
          </cell>
        </row>
        <row r="244">
          <cell r="B244" t="str">
            <v>LEPO TEKNİK MÜHENDİSLİK MAKİNA MADEN SANAYİ VE TİC</v>
          </cell>
          <cell r="C244" t="str">
            <v>SMB</v>
          </cell>
          <cell r="E244">
            <v>108</v>
          </cell>
          <cell r="F244">
            <v>0.26433299218352346</v>
          </cell>
          <cell r="G244">
            <v>82</v>
          </cell>
          <cell r="H244">
            <v>0.7592592592592593</v>
          </cell>
          <cell r="I244" t="str">
            <v>NO RISK</v>
          </cell>
          <cell r="J244" t="str">
            <v>NO RISK</v>
          </cell>
          <cell r="K244">
            <v>0</v>
          </cell>
          <cell r="M244" t="str">
            <v>YOK</v>
          </cell>
          <cell r="O244" t="str">
            <v>NO RISK</v>
          </cell>
        </row>
        <row r="245">
          <cell r="B245" t="str">
            <v>LIBA LABORATUARLARI A.S.</v>
          </cell>
          <cell r="C245" t="str">
            <v>SMB</v>
          </cell>
          <cell r="E245">
            <v>1233</v>
          </cell>
          <cell r="F245">
            <v>0.151432715740241</v>
          </cell>
          <cell r="G245">
            <v>1065</v>
          </cell>
          <cell r="H245">
            <v>0.86374695863746964</v>
          </cell>
          <cell r="I245" t="str">
            <v>NO RISK</v>
          </cell>
          <cell r="J245" t="str">
            <v>NO RISK</v>
          </cell>
          <cell r="K245">
            <v>0</v>
          </cell>
          <cell r="M245" t="str">
            <v>-</v>
          </cell>
          <cell r="O245" t="str">
            <v>NO RISK</v>
          </cell>
        </row>
        <row r="246">
          <cell r="B246" t="str">
            <v>LİLA KAĞIT SANAYİ VE TİCARET A.Ş.</v>
          </cell>
          <cell r="C246" t="str">
            <v>ENTERPRISE</v>
          </cell>
          <cell r="E246">
            <v>6168</v>
          </cell>
          <cell r="G246">
            <v>6168</v>
          </cell>
          <cell r="H246">
            <v>1</v>
          </cell>
          <cell r="I246" t="str">
            <v>NO RISK</v>
          </cell>
          <cell r="J246" t="str">
            <v>NO RISK</v>
          </cell>
          <cell r="K246">
            <v>0</v>
          </cell>
          <cell r="M246" t="str">
            <v>-</v>
          </cell>
          <cell r="O246" t="str">
            <v>NO RISK</v>
          </cell>
        </row>
        <row r="247">
          <cell r="B247" t="str">
            <v>LİLA KAĞIT SANAYİ VE TİCARET A.Ş.</v>
          </cell>
          <cell r="C247" t="str">
            <v>ENTERPRISE</v>
          </cell>
          <cell r="E247">
            <v>6168</v>
          </cell>
          <cell r="F247">
            <v>0.28640114851914733</v>
          </cell>
          <cell r="G247">
            <v>4578</v>
          </cell>
          <cell r="H247">
            <v>0.74221789883268485</v>
          </cell>
          <cell r="I247" t="str">
            <v>NO RISK</v>
          </cell>
          <cell r="J247" t="str">
            <v>NO RISK</v>
          </cell>
          <cell r="K247">
            <v>9</v>
          </cell>
          <cell r="L247">
            <v>0.66666666666666663</v>
          </cell>
          <cell r="M247" t="str">
            <v>-</v>
          </cell>
          <cell r="O247" t="str">
            <v>NO RISK</v>
          </cell>
        </row>
        <row r="248">
          <cell r="B248" t="str">
            <v>LINK BILG.SIST.YAZILIM VE DONANIM SAN.VE TIC. AS</v>
          </cell>
          <cell r="C248" t="str">
            <v>SMB</v>
          </cell>
          <cell r="E248">
            <v>1203</v>
          </cell>
          <cell r="F248">
            <v>0.23476803527401383</v>
          </cell>
          <cell r="G248">
            <v>949</v>
          </cell>
          <cell r="H248">
            <v>0.7888611803823774</v>
          </cell>
          <cell r="I248" t="str">
            <v>NO RISK</v>
          </cell>
          <cell r="J248" t="str">
            <v>NO RISK</v>
          </cell>
          <cell r="K248">
            <v>1</v>
          </cell>
          <cell r="L248">
            <v>1</v>
          </cell>
          <cell r="M248" t="str">
            <v>-</v>
          </cell>
          <cell r="N248">
            <v>1.9756165142698812</v>
          </cell>
          <cell r="O248" t="str">
            <v>NO RISK</v>
          </cell>
        </row>
        <row r="249">
          <cell r="B249" t="str">
            <v>LİSA YAZILIM</v>
          </cell>
          <cell r="C249" t="str">
            <v>SMB</v>
          </cell>
          <cell r="E249">
            <v>620</v>
          </cell>
          <cell r="F249">
            <v>0.24873792783266704</v>
          </cell>
          <cell r="G249">
            <v>481</v>
          </cell>
          <cell r="H249">
            <v>0.77580645161290318</v>
          </cell>
          <cell r="I249" t="str">
            <v>NO RISK</v>
          </cell>
          <cell r="J249" t="str">
            <v>NO RISK</v>
          </cell>
          <cell r="K249">
            <v>7</v>
          </cell>
          <cell r="L249">
            <v>0.5714285714285714</v>
          </cell>
          <cell r="M249" t="str">
            <v>1</v>
          </cell>
          <cell r="N249">
            <v>2</v>
          </cell>
          <cell r="O249" t="str">
            <v>NO RISK</v>
          </cell>
        </row>
        <row r="250">
          <cell r="B250" t="str">
            <v>LOGO YAZILIM SANAYİ TİC AŞ</v>
          </cell>
          <cell r="C250" t="str">
            <v>ENTERPRISE</v>
          </cell>
          <cell r="E250">
            <v>31114</v>
          </cell>
          <cell r="G250">
            <v>31113</v>
          </cell>
          <cell r="H250">
            <v>0.9999678601272739</v>
          </cell>
          <cell r="I250" t="str">
            <v>NO RISK</v>
          </cell>
          <cell r="J250" t="str">
            <v>-</v>
          </cell>
          <cell r="K250">
            <v>25</v>
          </cell>
          <cell r="L250">
            <v>0.92</v>
          </cell>
          <cell r="M250" t="str">
            <v>-</v>
          </cell>
          <cell r="O250" t="str">
            <v>-</v>
          </cell>
        </row>
        <row r="251">
          <cell r="B251" t="str">
            <v>M LORD DIŞ TİCARET A.Ş</v>
          </cell>
          <cell r="C251" t="str">
            <v>SMB</v>
          </cell>
          <cell r="E251">
            <v>187</v>
          </cell>
          <cell r="F251">
            <v>0.1176590531258275</v>
          </cell>
          <cell r="G251">
            <v>167</v>
          </cell>
          <cell r="H251">
            <v>0.89304812834224601</v>
          </cell>
          <cell r="I251" t="str">
            <v>NO RISK</v>
          </cell>
          <cell r="J251" t="str">
            <v>NO RISK</v>
          </cell>
          <cell r="K251">
            <v>1</v>
          </cell>
          <cell r="L251">
            <v>1</v>
          </cell>
          <cell r="M251" t="str">
            <v>-</v>
          </cell>
          <cell r="O251" t="str">
            <v>NO RISK</v>
          </cell>
        </row>
        <row r="252">
          <cell r="B252" t="str">
            <v>MACKA YAYINCILIK VE EGLENCE A.Ş.</v>
          </cell>
          <cell r="C252" t="str">
            <v>SMB</v>
          </cell>
          <cell r="E252">
            <v>1291</v>
          </cell>
          <cell r="F252">
            <v>0.18241176981581669</v>
          </cell>
          <cell r="G252">
            <v>1079</v>
          </cell>
          <cell r="H252">
            <v>0.83578621223857474</v>
          </cell>
          <cell r="I252" t="str">
            <v>NO RISK</v>
          </cell>
          <cell r="J252" t="str">
            <v>NO RISK</v>
          </cell>
          <cell r="K252">
            <v>4</v>
          </cell>
          <cell r="L252">
            <v>0.25</v>
          </cell>
          <cell r="M252" t="str">
            <v>1</v>
          </cell>
          <cell r="O252" t="str">
            <v>NO RISK</v>
          </cell>
        </row>
        <row r="253">
          <cell r="B253" t="str">
            <v>MADEŞ METAL SAN. TİC. LTD. ŞTİ.</v>
          </cell>
          <cell r="C253" t="str">
            <v>SMB</v>
          </cell>
          <cell r="E253">
            <v>120</v>
          </cell>
          <cell r="F253">
            <v>0.31952408537565291</v>
          </cell>
          <cell r="G253">
            <v>85</v>
          </cell>
          <cell r="H253">
            <v>0.70833333333333337</v>
          </cell>
          <cell r="I253" t="str">
            <v>NO RISK</v>
          </cell>
          <cell r="J253" t="str">
            <v>NO RISK</v>
          </cell>
          <cell r="K253">
            <v>0</v>
          </cell>
          <cell r="M253" t="str">
            <v>YOK</v>
          </cell>
          <cell r="O253" t="str">
            <v>NO RISK</v>
          </cell>
        </row>
        <row r="254">
          <cell r="B254" t="str">
            <v>MALKAN KANAAT KİMYEVİ BOYA İNŞAAT</v>
          </cell>
          <cell r="C254" t="str">
            <v>SMB</v>
          </cell>
          <cell r="E254">
            <v>180</v>
          </cell>
          <cell r="F254">
            <v>0.10251955623127741</v>
          </cell>
          <cell r="G254">
            <v>163</v>
          </cell>
          <cell r="H254">
            <v>0.90555555555555556</v>
          </cell>
          <cell r="I254" t="str">
            <v>NO RISK</v>
          </cell>
          <cell r="J254" t="str">
            <v>NO RISK</v>
          </cell>
          <cell r="K254">
            <v>0</v>
          </cell>
          <cell r="M254" t="str">
            <v>YOK</v>
          </cell>
          <cell r="N254">
            <v>1</v>
          </cell>
          <cell r="O254" t="str">
            <v>NO RISK</v>
          </cell>
        </row>
        <row r="255">
          <cell r="B255" t="str">
            <v>MAPP MERCHANDISING GROUP</v>
          </cell>
          <cell r="C255" t="str">
            <v>SMB</v>
          </cell>
          <cell r="E255">
            <v>908</v>
          </cell>
          <cell r="F255">
            <v>0.17072364816689461</v>
          </cell>
          <cell r="G255">
            <v>768</v>
          </cell>
          <cell r="H255">
            <v>0.8458149779735683</v>
          </cell>
          <cell r="I255" t="str">
            <v>NO RISK</v>
          </cell>
          <cell r="J255" t="str">
            <v>NO RISK</v>
          </cell>
          <cell r="K255">
            <v>2</v>
          </cell>
          <cell r="L255">
            <v>1</v>
          </cell>
          <cell r="M255" t="str">
            <v>-</v>
          </cell>
          <cell r="O255" t="str">
            <v>NO RISK</v>
          </cell>
        </row>
        <row r="256">
          <cell r="B256" t="str">
            <v>MARK GLOBAL LOJISTIK A.S.</v>
          </cell>
          <cell r="C256" t="str">
            <v>SMB</v>
          </cell>
          <cell r="E256">
            <v>2861</v>
          </cell>
          <cell r="F256">
            <v>0.53705943366037423</v>
          </cell>
          <cell r="G256">
            <v>1478</v>
          </cell>
          <cell r="H256">
            <v>0.51660258650821389</v>
          </cell>
          <cell r="I256" t="str">
            <v>NO RISK</v>
          </cell>
          <cell r="J256" t="str">
            <v>NO RISK</v>
          </cell>
          <cell r="K256">
            <v>98</v>
          </cell>
          <cell r="L256">
            <v>0.90816326530612246</v>
          </cell>
          <cell r="M256" t="str">
            <v>1</v>
          </cell>
          <cell r="N256">
            <v>0.46662006291506464</v>
          </cell>
          <cell r="O256" t="str">
            <v>NO RISK</v>
          </cell>
        </row>
        <row r="257">
          <cell r="B257" t="str">
            <v>MARKAHUB TEKSTİL</v>
          </cell>
          <cell r="C257" t="str">
            <v>SMB</v>
          </cell>
          <cell r="E257">
            <v>99</v>
          </cell>
          <cell r="G257">
            <v>99</v>
          </cell>
          <cell r="H257">
            <v>1</v>
          </cell>
          <cell r="I257" t="str">
            <v>NO RISK</v>
          </cell>
          <cell r="J257" t="str">
            <v>NO RISK</v>
          </cell>
          <cell r="K257">
            <v>0</v>
          </cell>
          <cell r="M257" t="str">
            <v>YOK</v>
          </cell>
          <cell r="O257" t="str">
            <v>NO RISK</v>
          </cell>
        </row>
        <row r="258">
          <cell r="B258" t="str">
            <v>MARS LOJISTIK</v>
          </cell>
          <cell r="C258" t="str">
            <v>ENTERPRISE</v>
          </cell>
          <cell r="E258">
            <v>9950</v>
          </cell>
          <cell r="F258">
            <v>0.16775959887618061</v>
          </cell>
          <cell r="G258">
            <v>8447</v>
          </cell>
          <cell r="H258">
            <v>0.84894472361809048</v>
          </cell>
          <cell r="I258" t="str">
            <v>NO RISK</v>
          </cell>
          <cell r="J258" t="str">
            <v>NO RISK</v>
          </cell>
          <cell r="K258">
            <v>10</v>
          </cell>
          <cell r="L258">
            <v>0.4</v>
          </cell>
          <cell r="M258" t="str">
            <v>-</v>
          </cell>
          <cell r="O258" t="str">
            <v>NO RISK</v>
          </cell>
        </row>
        <row r="259">
          <cell r="B259" t="str">
            <v>MARTAS OTOMOTIV YEDEK PARÇA TIC.VE SAN.A.S</v>
          </cell>
          <cell r="C259" t="str">
            <v>ENTERPRISE</v>
          </cell>
          <cell r="E259">
            <v>7236</v>
          </cell>
          <cell r="F259">
            <v>0.15308149135871177</v>
          </cell>
          <cell r="G259">
            <v>6238</v>
          </cell>
          <cell r="H259">
            <v>0.86207849640685463</v>
          </cell>
          <cell r="I259" t="str">
            <v>NO RISK</v>
          </cell>
          <cell r="J259" t="str">
            <v>HİZMET MEMNUNİYETSİZLİĞİ</v>
          </cell>
          <cell r="K259">
            <v>10</v>
          </cell>
          <cell r="L259">
            <v>0.7</v>
          </cell>
          <cell r="M259" t="str">
            <v>-</v>
          </cell>
          <cell r="N259">
            <v>0.92834438916528472</v>
          </cell>
          <cell r="O259" t="str">
            <v>GEÇ GERİ DÖNÜŞ</v>
          </cell>
        </row>
        <row r="260">
          <cell r="B260" t="str">
            <v>MATES DANIŞMANLIK</v>
          </cell>
          <cell r="C260" t="str">
            <v>SMB</v>
          </cell>
          <cell r="E260">
            <v>260</v>
          </cell>
          <cell r="F260">
            <v>0.23066245207182728</v>
          </cell>
          <cell r="G260">
            <v>206</v>
          </cell>
          <cell r="H260">
            <v>0.79230769230769227</v>
          </cell>
          <cell r="I260" t="str">
            <v>NO RISK</v>
          </cell>
          <cell r="J260" t="str">
            <v>NO RISK</v>
          </cell>
          <cell r="K260">
            <v>1</v>
          </cell>
          <cell r="M260" t="str">
            <v>1</v>
          </cell>
          <cell r="O260" t="str">
            <v>NO RISK</v>
          </cell>
        </row>
        <row r="261">
          <cell r="B261" t="str">
            <v>MATRİX LOJİSTİK</v>
          </cell>
          <cell r="C261" t="str">
            <v>OTHER</v>
          </cell>
          <cell r="E261">
            <v>348</v>
          </cell>
          <cell r="F261">
            <v>0.32287356321839078</v>
          </cell>
          <cell r="G261">
            <v>247</v>
          </cell>
          <cell r="H261">
            <v>0.70977011494252873</v>
          </cell>
          <cell r="I261" t="str">
            <v>NO RISK</v>
          </cell>
          <cell r="J261" t="str">
            <v>NO RISK</v>
          </cell>
          <cell r="K261">
            <v>2</v>
          </cell>
          <cell r="L261">
            <v>0.5</v>
          </cell>
          <cell r="M261" t="str">
            <v>-</v>
          </cell>
          <cell r="O261" t="str">
            <v>NO RISK</v>
          </cell>
        </row>
        <row r="262">
          <cell r="B262" t="str">
            <v>MAYA HOLDING A.S</v>
          </cell>
          <cell r="C262" t="str">
            <v>SMB</v>
          </cell>
          <cell r="E262">
            <v>290</v>
          </cell>
          <cell r="F262">
            <v>9.7151122900007866E-2</v>
          </cell>
          <cell r="G262">
            <v>265</v>
          </cell>
          <cell r="H262">
            <v>0.91379310344827591</v>
          </cell>
          <cell r="I262" t="str">
            <v>NO RISK</v>
          </cell>
          <cell r="J262" t="str">
            <v>SÖZLEŞME SÜRECİ</v>
          </cell>
          <cell r="K262">
            <v>0</v>
          </cell>
          <cell r="M262" t="str">
            <v>-</v>
          </cell>
          <cell r="N262">
            <v>1.9856321839080462</v>
          </cell>
          <cell r="O262" t="str">
            <v>FİYAT</v>
          </cell>
        </row>
        <row r="263">
          <cell r="B263" t="str">
            <v>MEDICAL PARK HASTANELERİ (MLP CARE) ********||||||</v>
          </cell>
          <cell r="C263" t="str">
            <v>ENTERPRISE</v>
          </cell>
          <cell r="E263">
            <v>88626</v>
          </cell>
          <cell r="G263">
            <v>88623</v>
          </cell>
          <cell r="H263">
            <v>0.99996614988829469</v>
          </cell>
          <cell r="I263" t="str">
            <v>NO RISK</v>
          </cell>
          <cell r="J263" t="str">
            <v>NO RISK</v>
          </cell>
          <cell r="K263">
            <v>51</v>
          </cell>
          <cell r="L263">
            <v>0.68627450980392157</v>
          </cell>
          <cell r="M263" t="str">
            <v>-</v>
          </cell>
          <cell r="O263" t="str">
            <v>NO RISK</v>
          </cell>
        </row>
        <row r="264">
          <cell r="B264" t="str">
            <v>MEDITEL MEDIKAL TEKNIK ELEKTRONIK A.S</v>
          </cell>
          <cell r="C264" t="str">
            <v>SMB</v>
          </cell>
          <cell r="E264">
            <v>756</v>
          </cell>
          <cell r="F264">
            <v>0.13900395539719312</v>
          </cell>
          <cell r="G264">
            <v>660</v>
          </cell>
          <cell r="H264">
            <v>0.87301587301587302</v>
          </cell>
          <cell r="I264" t="str">
            <v>NO RISK</v>
          </cell>
          <cell r="J264" t="str">
            <v>HİZMET MEMNUNİYETSİZLİĞİ</v>
          </cell>
          <cell r="K264">
            <v>24</v>
          </cell>
          <cell r="L264">
            <v>0.83333333333333337</v>
          </cell>
          <cell r="M264" t="str">
            <v>-</v>
          </cell>
          <cell r="O264" t="str">
            <v>NETWORK</v>
          </cell>
        </row>
        <row r="265">
          <cell r="B265" t="str">
            <v>MEGA METAL SAN. VE TİC. A.Ş.</v>
          </cell>
          <cell r="C265" t="str">
            <v>ENTERPRISE</v>
          </cell>
          <cell r="E265">
            <v>6500</v>
          </cell>
          <cell r="G265">
            <v>6499</v>
          </cell>
          <cell r="H265">
            <v>0.99984615384615383</v>
          </cell>
          <cell r="I265" t="str">
            <v>NO RISK</v>
          </cell>
          <cell r="J265" t="str">
            <v>NO RISK</v>
          </cell>
          <cell r="K265">
            <v>12</v>
          </cell>
          <cell r="L265">
            <v>0.25</v>
          </cell>
          <cell r="M265" t="str">
            <v>-</v>
          </cell>
          <cell r="O265" t="str">
            <v>NO RISK</v>
          </cell>
        </row>
        <row r="266">
          <cell r="B266" t="str">
            <v>Mehmet Doğru Ticaret Ltd.</v>
          </cell>
          <cell r="C266" t="str">
            <v>SMB</v>
          </cell>
          <cell r="E266">
            <v>128</v>
          </cell>
          <cell r="F266">
            <v>0.34533770595040852</v>
          </cell>
          <cell r="G266">
            <v>88</v>
          </cell>
          <cell r="H266">
            <v>0.6875</v>
          </cell>
          <cell r="I266" t="str">
            <v>NO RISK</v>
          </cell>
          <cell r="J266" t="str">
            <v>NO RISK</v>
          </cell>
          <cell r="K266">
            <v>0</v>
          </cell>
          <cell r="M266" t="str">
            <v>1</v>
          </cell>
          <cell r="O266" t="str">
            <v>NO RISK</v>
          </cell>
        </row>
        <row r="267">
          <cell r="B267" t="str">
            <v>MELTEM TURİZM NAKLİYAT OTO ALIM SATIM VE YEDEK PAR</v>
          </cell>
          <cell r="C267" t="str">
            <v>SMB</v>
          </cell>
          <cell r="E267">
            <v>105</v>
          </cell>
          <cell r="F267">
            <v>0.277022388778912</v>
          </cell>
          <cell r="G267">
            <v>79</v>
          </cell>
          <cell r="H267">
            <v>0.75238095238095237</v>
          </cell>
          <cell r="I267" t="str">
            <v>NO RISK</v>
          </cell>
          <cell r="J267" t="str">
            <v>NO RISK</v>
          </cell>
          <cell r="K267">
            <v>0</v>
          </cell>
          <cell r="M267" t="str">
            <v>YOK</v>
          </cell>
          <cell r="O267" t="str">
            <v>NO RISK</v>
          </cell>
        </row>
        <row r="268">
          <cell r="B268" t="str">
            <v>METRANS MAKINA ENT.ÜRN.SAN.VE TIC.A.S</v>
          </cell>
          <cell r="C268" t="str">
            <v>SMB</v>
          </cell>
          <cell r="E268">
            <v>2206</v>
          </cell>
          <cell r="F268">
            <v>0.4559119712789087</v>
          </cell>
          <cell r="G268">
            <v>1300</v>
          </cell>
          <cell r="H268">
            <v>0.58930190389845871</v>
          </cell>
          <cell r="I268" t="str">
            <v>LOW RISK</v>
          </cell>
          <cell r="J268" t="str">
            <v>HİZMET MEMNUNİYETSİZLİĞİ</v>
          </cell>
          <cell r="K268">
            <v>10</v>
          </cell>
          <cell r="L268">
            <v>0.8</v>
          </cell>
          <cell r="M268" t="str">
            <v>-</v>
          </cell>
          <cell r="N268">
            <v>2.2079933514656997</v>
          </cell>
          <cell r="O268" t="str">
            <v>SON KULLANICI</v>
          </cell>
        </row>
        <row r="269">
          <cell r="B269" t="str">
            <v>METRO İSTANBUL</v>
          </cell>
          <cell r="C269" t="str">
            <v>ENTERPRISE</v>
          </cell>
          <cell r="E269">
            <v>2792</v>
          </cell>
          <cell r="G269">
            <v>2792</v>
          </cell>
          <cell r="H269">
            <v>1</v>
          </cell>
          <cell r="I269" t="str">
            <v>NO RISK</v>
          </cell>
          <cell r="J269" t="str">
            <v>HİZMET MEMNUNİYETSİZLİĞİ</v>
          </cell>
          <cell r="K269">
            <v>7</v>
          </cell>
          <cell r="M269" t="str">
            <v>-</v>
          </cell>
          <cell r="O269" t="str">
            <v>SÖZLEŞME - HİZMET BEKLENTİSİ UYUŞMAZLIĞI</v>
          </cell>
        </row>
        <row r="270">
          <cell r="B270" t="str">
            <v>METROPET İTHALAT İHRACAT İNŞAAT LİMİTED ŞİRKETİ</v>
          </cell>
          <cell r="C270" t="str">
            <v>SMB</v>
          </cell>
          <cell r="E270">
            <v>171</v>
          </cell>
          <cell r="F270">
            <v>0.2931935160406266</v>
          </cell>
          <cell r="G270">
            <v>126</v>
          </cell>
          <cell r="H270">
            <v>0.73684210526315785</v>
          </cell>
          <cell r="I270" t="str">
            <v>NO RISK</v>
          </cell>
          <cell r="J270" t="str">
            <v>NO RISK</v>
          </cell>
          <cell r="K270">
            <v>0</v>
          </cell>
          <cell r="M270" t="str">
            <v>YOK</v>
          </cell>
          <cell r="N270">
            <v>0.99902534113060437</v>
          </cell>
          <cell r="O270" t="str">
            <v>NO RISK</v>
          </cell>
        </row>
        <row r="271">
          <cell r="B271" t="str">
            <v>MEY Kozmetik İth.İhr.San.ve Tic.Ltd.Şti.</v>
          </cell>
          <cell r="C271" t="str">
            <v>SMB</v>
          </cell>
          <cell r="E271">
            <v>386</v>
          </cell>
          <cell r="F271">
            <v>0.19863482703842125</v>
          </cell>
          <cell r="G271">
            <v>317</v>
          </cell>
          <cell r="H271">
            <v>0.82124352331606221</v>
          </cell>
          <cell r="I271" t="str">
            <v>CHURN</v>
          </cell>
          <cell r="J271" t="str">
            <v>STRATEJİK KARARLAR</v>
          </cell>
          <cell r="K271">
            <v>0</v>
          </cell>
          <cell r="M271" t="str">
            <v>-</v>
          </cell>
          <cell r="O271" t="str">
            <v>BAYİ KARARI - FİNANSAL SEBEPLER</v>
          </cell>
        </row>
        <row r="272">
          <cell r="B272" t="str">
            <v>MFK TEKNOLOJİ VE OTOMASYON</v>
          </cell>
          <cell r="C272" t="str">
            <v>SMB</v>
          </cell>
          <cell r="E272">
            <v>202</v>
          </cell>
          <cell r="F272">
            <v>0.10327042893545932</v>
          </cell>
          <cell r="G272">
            <v>183</v>
          </cell>
          <cell r="H272">
            <v>0.90594059405940597</v>
          </cell>
          <cell r="I272" t="str">
            <v>NO RISK</v>
          </cell>
          <cell r="J272" t="str">
            <v>NO RISK</v>
          </cell>
          <cell r="K272">
            <v>1</v>
          </cell>
          <cell r="M272" t="str">
            <v>YOK</v>
          </cell>
          <cell r="N272">
            <v>1.9513201320132014</v>
          </cell>
          <cell r="O272" t="str">
            <v>NO RISK</v>
          </cell>
        </row>
        <row r="273">
          <cell r="B273" t="str">
            <v>MİDAS MENKUL DEĞERLER A.Ş.</v>
          </cell>
          <cell r="C273" t="str">
            <v>ENTERPRISE</v>
          </cell>
          <cell r="E273">
            <v>2000</v>
          </cell>
          <cell r="G273">
            <v>2000</v>
          </cell>
          <cell r="H273">
            <v>1</v>
          </cell>
          <cell r="I273" t="str">
            <v>NO RISK</v>
          </cell>
          <cell r="J273" t="str">
            <v>NO RISK</v>
          </cell>
          <cell r="K273">
            <v>1</v>
          </cell>
          <cell r="M273" t="str">
            <v>1</v>
          </cell>
          <cell r="O273" t="str">
            <v>NO RISK</v>
          </cell>
        </row>
        <row r="274">
          <cell r="B274" t="str">
            <v>MİKRO YAZILIMEVI YAZ. HIZ. BILG. SAN.TIC. A.S.</v>
          </cell>
          <cell r="C274" t="str">
            <v>ENTERPRISE</v>
          </cell>
          <cell r="E274">
            <v>114506</v>
          </cell>
          <cell r="F274">
            <v>1.737708882640698E-2</v>
          </cell>
          <cell r="G274">
            <v>112712</v>
          </cell>
          <cell r="H274">
            <v>0.98433269872321105</v>
          </cell>
          <cell r="I274" t="str">
            <v>NO RISK</v>
          </cell>
          <cell r="J274" t="str">
            <v>NO RISK</v>
          </cell>
          <cell r="K274">
            <v>87</v>
          </cell>
          <cell r="L274">
            <v>0.73563218390804597</v>
          </cell>
          <cell r="M274" t="str">
            <v>1</v>
          </cell>
          <cell r="N274">
            <v>3.0340477063792875E-2</v>
          </cell>
          <cell r="O274" t="str">
            <v>NO RISK</v>
          </cell>
        </row>
        <row r="275">
          <cell r="B275" t="str">
            <v>MILLENICOM TELEKOMÜNİKASYON HİZMETLERİ</v>
          </cell>
          <cell r="C275" t="str">
            <v>ENTERPRISE</v>
          </cell>
          <cell r="E275">
            <v>2000</v>
          </cell>
          <cell r="G275">
            <v>1999</v>
          </cell>
          <cell r="H275">
            <v>0.99950000000000006</v>
          </cell>
          <cell r="I275" t="str">
            <v>NO RISK</v>
          </cell>
          <cell r="J275" t="str">
            <v>NO RISK</v>
          </cell>
          <cell r="K275">
            <v>9</v>
          </cell>
          <cell r="L275">
            <v>0.33333333333333331</v>
          </cell>
          <cell r="M275" t="str">
            <v>-</v>
          </cell>
          <cell r="O275" t="str">
            <v>NO RISK</v>
          </cell>
        </row>
        <row r="276">
          <cell r="B276" t="str">
            <v>MİNAR MOBİLYA SANAYİ VE TİCARET LİMİTED ŞİRKET</v>
          </cell>
          <cell r="C276" t="str">
            <v>SMB</v>
          </cell>
          <cell r="E276">
            <v>585</v>
          </cell>
          <cell r="F276">
            <v>0.27863247863247864</v>
          </cell>
          <cell r="G276">
            <v>438</v>
          </cell>
          <cell r="H276">
            <v>0.74871794871794872</v>
          </cell>
          <cell r="I276" t="str">
            <v>NO RISK</v>
          </cell>
          <cell r="J276" t="str">
            <v>NO RISK</v>
          </cell>
          <cell r="K276">
            <v>3</v>
          </cell>
          <cell r="L276">
            <v>0.66666666666666663</v>
          </cell>
          <cell r="M276" t="str">
            <v>-</v>
          </cell>
          <cell r="O276" t="str">
            <v>NO RISK</v>
          </cell>
        </row>
        <row r="277">
          <cell r="B277" t="str">
            <v>MIRORA ÇEVIRI LTD. STI. (MİRORA)</v>
          </cell>
          <cell r="C277" t="str">
            <v>SMB</v>
          </cell>
          <cell r="E277">
            <v>1510</v>
          </cell>
          <cell r="F277">
            <v>0.32039921767792173</v>
          </cell>
          <cell r="G277">
            <v>1075</v>
          </cell>
          <cell r="H277">
            <v>0.71192052980132448</v>
          </cell>
          <cell r="I277" t="str">
            <v>LOW RISK</v>
          </cell>
          <cell r="J277" t="str">
            <v>FİNANSAL PROBLEMLER</v>
          </cell>
          <cell r="K277">
            <v>6</v>
          </cell>
          <cell r="L277">
            <v>0.66666666666666663</v>
          </cell>
          <cell r="M277" t="str">
            <v>-</v>
          </cell>
          <cell r="O277" t="str">
            <v>MALİ DARALMA</v>
          </cell>
        </row>
        <row r="278">
          <cell r="B278" t="str">
            <v>MİSBAHÇE GIDA VE TARIM ÜRÜNLERİ SAN.VE TİC.LTD.ŞTİ</v>
          </cell>
          <cell r="C278" t="str">
            <v>SMB</v>
          </cell>
          <cell r="E278">
            <v>103</v>
          </cell>
          <cell r="F278">
            <v>0.27488549710467569</v>
          </cell>
          <cell r="G278">
            <v>78</v>
          </cell>
          <cell r="H278">
            <v>0.75728155339805825</v>
          </cell>
          <cell r="I278" t="str">
            <v>NO RISK</v>
          </cell>
          <cell r="J278" t="str">
            <v>NO RISK</v>
          </cell>
          <cell r="K278">
            <v>0</v>
          </cell>
          <cell r="M278" t="str">
            <v>1</v>
          </cell>
          <cell r="O278" t="str">
            <v>NO RISK</v>
          </cell>
        </row>
        <row r="279">
          <cell r="B279" t="str">
            <v>MODA ENERJİ</v>
          </cell>
          <cell r="C279" t="str">
            <v>SMB</v>
          </cell>
          <cell r="E279">
            <v>223</v>
          </cell>
          <cell r="F279">
            <v>0.14773496393056665</v>
          </cell>
          <cell r="G279">
            <v>193</v>
          </cell>
          <cell r="H279">
            <v>0.86547085201793716</v>
          </cell>
          <cell r="I279" t="str">
            <v>NO RISK</v>
          </cell>
          <cell r="J279" t="str">
            <v>NO RISK</v>
          </cell>
          <cell r="K279">
            <v>0</v>
          </cell>
          <cell r="M279" t="str">
            <v>-</v>
          </cell>
          <cell r="O279" t="str">
            <v>NO RISK</v>
          </cell>
        </row>
        <row r="280">
          <cell r="B280" t="str">
            <v>MODİS YAPI MİMARLIK</v>
          </cell>
          <cell r="C280" t="str">
            <v>SMB</v>
          </cell>
          <cell r="E280">
            <v>189</v>
          </cell>
          <cell r="F280">
            <v>0.15343915181545872</v>
          </cell>
          <cell r="G280">
            <v>163</v>
          </cell>
          <cell r="H280">
            <v>0.86243386243386244</v>
          </cell>
          <cell r="I280" t="str">
            <v>NO RISK</v>
          </cell>
          <cell r="J280" t="str">
            <v>NO RISK</v>
          </cell>
          <cell r="K280">
            <v>1</v>
          </cell>
          <cell r="M280" t="str">
            <v>YOK</v>
          </cell>
          <cell r="N280">
            <v>1.0008818342151677</v>
          </cell>
          <cell r="O280" t="str">
            <v>NO RISK</v>
          </cell>
        </row>
        <row r="281">
          <cell r="B281" t="str">
            <v>MORE KONTRAT TASARIM VE INSAAT A.S.</v>
          </cell>
          <cell r="C281" t="str">
            <v>SMB</v>
          </cell>
          <cell r="E281">
            <v>515</v>
          </cell>
          <cell r="F281">
            <v>0.97819441614020786</v>
          </cell>
          <cell r="G281">
            <v>62</v>
          </cell>
          <cell r="H281">
            <v>0.12038834951456311</v>
          </cell>
          <cell r="I281" t="str">
            <v>NO RISK</v>
          </cell>
          <cell r="J281" t="str">
            <v>NO RISK</v>
          </cell>
          <cell r="K281">
            <v>9</v>
          </cell>
          <cell r="L281">
            <v>0.77777777777777779</v>
          </cell>
          <cell r="M281" t="str">
            <v>-</v>
          </cell>
          <cell r="N281">
            <v>1.585760517799353</v>
          </cell>
          <cell r="O281" t="str">
            <v>NO RISK</v>
          </cell>
        </row>
        <row r="282">
          <cell r="B282" t="str">
            <v>MOROGLU ARSEVEN AVUKATLIK ORTAKLIGI</v>
          </cell>
          <cell r="C282" t="str">
            <v>ENTERPRISE</v>
          </cell>
          <cell r="E282">
            <v>3509</v>
          </cell>
          <cell r="F282">
            <v>0.26211326312063021</v>
          </cell>
          <cell r="G282">
            <v>2680</v>
          </cell>
          <cell r="H282">
            <v>0.76375035622684528</v>
          </cell>
          <cell r="I282" t="str">
            <v>CHURN</v>
          </cell>
          <cell r="J282" t="str">
            <v>STRATEJİK KARARLAR</v>
          </cell>
          <cell r="K282">
            <v>1</v>
          </cell>
          <cell r="M282" t="str">
            <v>-</v>
          </cell>
          <cell r="N282">
            <v>1.999857509261898</v>
          </cell>
          <cell r="O282" t="str">
            <v>STRATEJİK YAPI DEĞİŞİKLİĞİ</v>
          </cell>
        </row>
        <row r="283">
          <cell r="B283" t="str">
            <v>MSA MESLEKİ EĞİTİM VE TİCARET A.Ş.</v>
          </cell>
          <cell r="C283" t="str">
            <v>SMB</v>
          </cell>
          <cell r="E283">
            <v>237</v>
          </cell>
          <cell r="F283">
            <v>0.14502785316752398</v>
          </cell>
          <cell r="G283">
            <v>206</v>
          </cell>
          <cell r="H283">
            <v>0.86919831223628696</v>
          </cell>
          <cell r="I283" t="str">
            <v>NO RISK</v>
          </cell>
          <cell r="J283" t="str">
            <v>NO RISK</v>
          </cell>
          <cell r="K283">
            <v>3</v>
          </cell>
          <cell r="L283">
            <v>0.33333333333333331</v>
          </cell>
          <cell r="M283" t="str">
            <v>1</v>
          </cell>
          <cell r="O283" t="str">
            <v>NO RISK</v>
          </cell>
        </row>
        <row r="284">
          <cell r="B284" t="str">
            <v>MTN KALIP SANAYİ VE TİCARET ANONİM ŞİRKETİ</v>
          </cell>
          <cell r="C284" t="str">
            <v>SMB</v>
          </cell>
          <cell r="E284">
            <v>168</v>
          </cell>
          <cell r="G284">
            <v>168</v>
          </cell>
          <cell r="H284">
            <v>1</v>
          </cell>
          <cell r="I284" t="str">
            <v>NO RISK</v>
          </cell>
          <cell r="J284" t="str">
            <v>NO RISK</v>
          </cell>
          <cell r="K284">
            <v>0</v>
          </cell>
          <cell r="M284" t="str">
            <v>-</v>
          </cell>
          <cell r="N284">
            <v>3.075396825396826</v>
          </cell>
          <cell r="O284" t="str">
            <v>NO RISK</v>
          </cell>
        </row>
        <row r="285">
          <cell r="B285" t="str">
            <v>MULLEN LOWE ISTANBUL REKLAMCILIK A.S</v>
          </cell>
          <cell r="C285" t="str">
            <v>SMB</v>
          </cell>
          <cell r="E285">
            <v>163</v>
          </cell>
          <cell r="G285">
            <v>163</v>
          </cell>
          <cell r="H285">
            <v>1</v>
          </cell>
          <cell r="I285" t="str">
            <v>NO RISK</v>
          </cell>
          <cell r="J285" t="str">
            <v>NO RISK</v>
          </cell>
          <cell r="K285">
            <v>0</v>
          </cell>
          <cell r="M285" t="str">
            <v>-</v>
          </cell>
          <cell r="O285" t="str">
            <v>NO RISK</v>
          </cell>
        </row>
        <row r="286">
          <cell r="B286" t="str">
            <v>NAR GIDA</v>
          </cell>
          <cell r="C286" t="str">
            <v>SMB</v>
          </cell>
          <cell r="E286">
            <v>1373</v>
          </cell>
          <cell r="F286">
            <v>0.52267258449468479</v>
          </cell>
          <cell r="G286">
            <v>727</v>
          </cell>
          <cell r="H286">
            <v>0.52949745083758193</v>
          </cell>
          <cell r="I286" t="str">
            <v>NO RISK</v>
          </cell>
          <cell r="J286" t="str">
            <v>NO RISK</v>
          </cell>
          <cell r="K286">
            <v>3</v>
          </cell>
          <cell r="L286">
            <v>1</v>
          </cell>
          <cell r="M286" t="str">
            <v>-</v>
          </cell>
          <cell r="O286" t="str">
            <v>NO RISK</v>
          </cell>
        </row>
        <row r="287">
          <cell r="B287" t="str">
            <v>NATUREM TEKNIK MAKINE TIC.LTD.STI</v>
          </cell>
          <cell r="C287" t="str">
            <v>SMB</v>
          </cell>
          <cell r="E287">
            <v>194</v>
          </cell>
          <cell r="F287">
            <v>4.5411066226706417E-2</v>
          </cell>
          <cell r="G287">
            <v>186</v>
          </cell>
          <cell r="H287">
            <v>0.95876288659793818</v>
          </cell>
          <cell r="I287" t="str">
            <v>BOOKED CHURN</v>
          </cell>
          <cell r="J287" t="str">
            <v>HİZMET MEMNUNİYETSİZLİĞİ</v>
          </cell>
          <cell r="K287">
            <v>1</v>
          </cell>
          <cell r="L287">
            <v>1</v>
          </cell>
          <cell r="M287" t="str">
            <v>-</v>
          </cell>
          <cell r="O287" t="str">
            <v>YANLIŞ ÇÖZÜM SATILMASI</v>
          </cell>
        </row>
        <row r="288">
          <cell r="B288" t="str">
            <v>NAVEK SPORTİF ÜRÜNLER VE DANIŞMANLIK AŞ</v>
          </cell>
          <cell r="C288" t="str">
            <v>SMB</v>
          </cell>
          <cell r="E288">
            <v>285</v>
          </cell>
          <cell r="F288">
            <v>0.15789473684210525</v>
          </cell>
          <cell r="G288">
            <v>245</v>
          </cell>
          <cell r="H288">
            <v>0.85964912280701755</v>
          </cell>
          <cell r="I288" t="str">
            <v>NO RISK</v>
          </cell>
          <cell r="J288" t="str">
            <v>NO RISK</v>
          </cell>
          <cell r="K288">
            <v>1</v>
          </cell>
          <cell r="L288">
            <v>1</v>
          </cell>
          <cell r="M288" t="str">
            <v>-</v>
          </cell>
          <cell r="O288" t="str">
            <v>NO RISK</v>
          </cell>
        </row>
        <row r="289">
          <cell r="B289" t="str">
            <v>NEPROTECH YAZILIM VE BILGI TEKNOLOJILERI</v>
          </cell>
          <cell r="C289" t="str">
            <v>SMB</v>
          </cell>
          <cell r="E289">
            <v>63</v>
          </cell>
          <cell r="F289">
            <v>0.30419749206685082</v>
          </cell>
          <cell r="G289">
            <v>46</v>
          </cell>
          <cell r="H289">
            <v>0.73015873015873012</v>
          </cell>
          <cell r="I289" t="str">
            <v>NO RISK</v>
          </cell>
          <cell r="J289" t="str">
            <v>NO RISK</v>
          </cell>
          <cell r="K289">
            <v>4</v>
          </cell>
          <cell r="L289">
            <v>1</v>
          </cell>
          <cell r="M289" t="str">
            <v>-</v>
          </cell>
          <cell r="O289" t="str">
            <v>NO RISK</v>
          </cell>
        </row>
        <row r="290">
          <cell r="B290" t="str">
            <v>NESTINVEST PROJE PAZARLAMA ANONİM ŞİRKETİ</v>
          </cell>
          <cell r="C290" t="str">
            <v>SMB</v>
          </cell>
          <cell r="E290">
            <v>181</v>
          </cell>
          <cell r="F290">
            <v>0.17679558011049726</v>
          </cell>
          <cell r="G290">
            <v>152</v>
          </cell>
          <cell r="H290">
            <v>0.83977900552486184</v>
          </cell>
          <cell r="I290" t="str">
            <v>NO RISK</v>
          </cell>
          <cell r="J290" t="str">
            <v>NO RISK</v>
          </cell>
          <cell r="K290">
            <v>0</v>
          </cell>
          <cell r="M290" t="str">
            <v>YOK</v>
          </cell>
          <cell r="N290">
            <v>1.9981583793738491</v>
          </cell>
          <cell r="O290" t="str">
            <v>NO RISK</v>
          </cell>
        </row>
        <row r="291">
          <cell r="B291" t="str">
            <v>NEU OTOMOTİV DÖVME ÇELİK SANAYİ VE TİCARET ANONİM</v>
          </cell>
          <cell r="C291" t="str">
            <v>SMB</v>
          </cell>
          <cell r="E291">
            <v>105</v>
          </cell>
          <cell r="F291">
            <v>0.27701553317754329</v>
          </cell>
          <cell r="G291">
            <v>79</v>
          </cell>
          <cell r="H291">
            <v>0.75238095238095237</v>
          </cell>
          <cell r="I291" t="str">
            <v>NO RISK</v>
          </cell>
          <cell r="J291" t="str">
            <v>NO RISK</v>
          </cell>
          <cell r="K291">
            <v>0</v>
          </cell>
          <cell r="M291" t="str">
            <v>YOK</v>
          </cell>
          <cell r="O291" t="str">
            <v>NO RISK</v>
          </cell>
        </row>
        <row r="292">
          <cell r="B292" t="str">
            <v>NİLKY GIDA</v>
          </cell>
          <cell r="C292" t="str">
            <v>SMB</v>
          </cell>
          <cell r="E292">
            <v>280</v>
          </cell>
          <cell r="F292">
            <v>0.29641131605552967</v>
          </cell>
          <cell r="G292">
            <v>205</v>
          </cell>
          <cell r="H292">
            <v>0.7321428571428571</v>
          </cell>
          <cell r="I292" t="str">
            <v>NO RISK</v>
          </cell>
          <cell r="J292" t="str">
            <v>NO RISK</v>
          </cell>
          <cell r="K292">
            <v>3</v>
          </cell>
          <cell r="L292">
            <v>1</v>
          </cell>
          <cell r="M292" t="str">
            <v>1</v>
          </cell>
          <cell r="O292" t="str">
            <v>NO RISK</v>
          </cell>
        </row>
        <row r="293">
          <cell r="B293" t="str">
            <v>NİSHANE</v>
          </cell>
          <cell r="C293" t="str">
            <v>SMB</v>
          </cell>
          <cell r="E293">
            <v>320</v>
          </cell>
          <cell r="F293">
            <v>0.14056250000000001</v>
          </cell>
          <cell r="G293">
            <v>280</v>
          </cell>
          <cell r="H293">
            <v>0.875</v>
          </cell>
          <cell r="I293" t="str">
            <v>NO RISK</v>
          </cell>
          <cell r="J293" t="str">
            <v>NO RISK</v>
          </cell>
          <cell r="K293">
            <v>0</v>
          </cell>
          <cell r="M293" t="str">
            <v>-</v>
          </cell>
          <cell r="O293" t="str">
            <v>NO RISK</v>
          </cell>
        </row>
        <row r="294">
          <cell r="B294" t="str">
            <v>Nobel Bilişim Sistem Yazılım ve Network Hizmetleri</v>
          </cell>
          <cell r="C294" t="str">
            <v>SMB</v>
          </cell>
          <cell r="E294">
            <v>260</v>
          </cell>
          <cell r="F294">
            <v>5.3846153846153849E-2</v>
          </cell>
          <cell r="G294">
            <v>247</v>
          </cell>
          <cell r="H294">
            <v>0.95</v>
          </cell>
          <cell r="I294" t="str">
            <v>NO RISK</v>
          </cell>
          <cell r="J294" t="str">
            <v>NO RISK</v>
          </cell>
          <cell r="K294">
            <v>0</v>
          </cell>
          <cell r="M294" t="str">
            <v>YOK</v>
          </cell>
          <cell r="N294">
            <v>2</v>
          </cell>
          <cell r="O294" t="str">
            <v>NO RISK</v>
          </cell>
        </row>
        <row r="295">
          <cell r="B295" t="str">
            <v>NOBEL İLAÇ SANAYİİ VE TİCARET A.Ş.</v>
          </cell>
          <cell r="C295" t="str">
            <v>ENTERPRISE</v>
          </cell>
          <cell r="E295">
            <v>2039</v>
          </cell>
          <cell r="G295">
            <v>2039</v>
          </cell>
          <cell r="H295">
            <v>1</v>
          </cell>
          <cell r="I295" t="str">
            <v>NO RISK</v>
          </cell>
          <cell r="J295" t="str">
            <v>NO RISK</v>
          </cell>
          <cell r="K295">
            <v>0</v>
          </cell>
          <cell r="M295" t="str">
            <v>-</v>
          </cell>
          <cell r="N295">
            <v>1.1198299820173288</v>
          </cell>
          <cell r="O295" t="str">
            <v>NO RISK</v>
          </cell>
        </row>
        <row r="296">
          <cell r="B296" t="str">
            <v>NOVA GÜÇ AKTARIM VE HAREKET SİS SAN TİC A.Ş</v>
          </cell>
          <cell r="C296" t="str">
            <v>SMB</v>
          </cell>
          <cell r="E296">
            <v>138</v>
          </cell>
          <cell r="F296">
            <v>0.31749521274487225</v>
          </cell>
          <cell r="G296">
            <v>99</v>
          </cell>
          <cell r="H296">
            <v>0.71739130434782605</v>
          </cell>
          <cell r="I296" t="str">
            <v>NO RISK</v>
          </cell>
          <cell r="J296" t="str">
            <v>NO RISK</v>
          </cell>
          <cell r="K296">
            <v>0</v>
          </cell>
          <cell r="M296" t="str">
            <v>YOK</v>
          </cell>
          <cell r="O296" t="str">
            <v>NO RISK</v>
          </cell>
        </row>
        <row r="297">
          <cell r="B297" t="str">
            <v>Obilet.com Turizm Seyahat Acentası</v>
          </cell>
          <cell r="C297" t="str">
            <v>ENTERPRISE</v>
          </cell>
          <cell r="E297">
            <v>2348</v>
          </cell>
          <cell r="G297">
            <v>2348</v>
          </cell>
          <cell r="H297">
            <v>1</v>
          </cell>
          <cell r="I297" t="str">
            <v>NO RISK</v>
          </cell>
          <cell r="J297" t="str">
            <v>NO RISK</v>
          </cell>
          <cell r="K297">
            <v>0</v>
          </cell>
          <cell r="M297" t="str">
            <v>YOK</v>
          </cell>
          <cell r="O297" t="str">
            <v>NO RISK</v>
          </cell>
        </row>
        <row r="298">
          <cell r="B298" t="str">
            <v>Ömür Akkor Anadolu  Gastronomi Vakfı</v>
          </cell>
          <cell r="C298" t="str">
            <v>SMB</v>
          </cell>
          <cell r="E298">
            <v>125</v>
          </cell>
          <cell r="F298">
            <v>1</v>
          </cell>
          <cell r="G298">
            <v>13</v>
          </cell>
          <cell r="H298">
            <v>0.104</v>
          </cell>
          <cell r="I298" t="str">
            <v>LOW RISK</v>
          </cell>
          <cell r="J298" t="str">
            <v>FİNANSAL PROBLEMLER</v>
          </cell>
          <cell r="K298">
            <v>0</v>
          </cell>
          <cell r="M298" t="str">
            <v>YOK</v>
          </cell>
          <cell r="N298">
            <v>2.9866666666666668</v>
          </cell>
          <cell r="O298" t="str">
            <v>ÖDEME SORUNU</v>
          </cell>
        </row>
        <row r="299">
          <cell r="B299" t="str">
            <v>ÖNDERLER İŞ MAKİNALARI</v>
          </cell>
          <cell r="C299" t="str">
            <v>SMB</v>
          </cell>
          <cell r="E299">
            <v>125</v>
          </cell>
          <cell r="F299">
            <v>0.27702496654005321</v>
          </cell>
          <cell r="G299">
            <v>94</v>
          </cell>
          <cell r="H299">
            <v>0.752</v>
          </cell>
          <cell r="I299" t="str">
            <v>NO RISK</v>
          </cell>
          <cell r="J299" t="str">
            <v>NO RISK</v>
          </cell>
          <cell r="K299">
            <v>0</v>
          </cell>
          <cell r="M299" t="str">
            <v>YOK</v>
          </cell>
          <cell r="O299" t="str">
            <v>NO RISK</v>
          </cell>
        </row>
        <row r="300">
          <cell r="B300" t="str">
            <v>OPSAN ORİJİNAL SAC PARÇA SAN.VE TİC. A.Ş.</v>
          </cell>
          <cell r="C300" t="str">
            <v>ENTERPRISE</v>
          </cell>
          <cell r="E300">
            <v>3828</v>
          </cell>
          <cell r="G300">
            <v>3826</v>
          </cell>
          <cell r="H300">
            <v>0.9994775339602926</v>
          </cell>
          <cell r="I300" t="str">
            <v>BOOKED CHURN</v>
          </cell>
          <cell r="J300" t="str">
            <v>FİNANSAL PROBLEMLER</v>
          </cell>
          <cell r="K300">
            <v>9</v>
          </cell>
          <cell r="L300">
            <v>0.33333333333333331</v>
          </cell>
          <cell r="M300" t="str">
            <v>1</v>
          </cell>
          <cell r="O300" t="str">
            <v>ÖDEME SORUNU</v>
          </cell>
        </row>
        <row r="301">
          <cell r="B301" t="str">
            <v>OPTIMUSFLOW YAZILIM - BARIS GÜLEÇYÜZ</v>
          </cell>
          <cell r="C301" t="str">
            <v>SMB</v>
          </cell>
          <cell r="E301">
            <v>54</v>
          </cell>
          <cell r="F301">
            <v>0.55488920061741831</v>
          </cell>
          <cell r="G301">
            <v>27</v>
          </cell>
          <cell r="H301">
            <v>0.5</v>
          </cell>
          <cell r="I301" t="str">
            <v>NO RISK</v>
          </cell>
          <cell r="J301" t="str">
            <v>NO RISK</v>
          </cell>
          <cell r="K301">
            <v>0</v>
          </cell>
          <cell r="M301" t="str">
            <v>-</v>
          </cell>
          <cell r="N301">
            <v>1.6203703703703705</v>
          </cell>
          <cell r="O301" t="str">
            <v>NO RISK</v>
          </cell>
        </row>
        <row r="302">
          <cell r="B302" t="str">
            <v>Opus  Solutions</v>
          </cell>
          <cell r="C302" t="str">
            <v>SMB</v>
          </cell>
          <cell r="E302">
            <v>512</v>
          </cell>
          <cell r="F302">
            <v>0.26980292692208269</v>
          </cell>
          <cell r="G302">
            <v>388</v>
          </cell>
          <cell r="H302">
            <v>0.7578125</v>
          </cell>
          <cell r="I302" t="str">
            <v>NO RISK</v>
          </cell>
          <cell r="J302" t="str">
            <v>NO RISK</v>
          </cell>
          <cell r="K302">
            <v>0</v>
          </cell>
          <cell r="M302" t="str">
            <v>YOK</v>
          </cell>
          <cell r="O302" t="str">
            <v>NO RISK</v>
          </cell>
        </row>
        <row r="303">
          <cell r="B303" t="str">
            <v>ORBITER AVIATION LIMITED</v>
          </cell>
          <cell r="C303" t="str">
            <v>SMB</v>
          </cell>
          <cell r="E303">
            <v>250</v>
          </cell>
          <cell r="G303">
            <v>250</v>
          </cell>
          <cell r="H303">
            <v>1</v>
          </cell>
          <cell r="I303" t="str">
            <v>LOW RISK</v>
          </cell>
          <cell r="J303" t="str">
            <v>FİNANSAL PROBLEMLER</v>
          </cell>
          <cell r="K303">
            <v>0</v>
          </cell>
          <cell r="M303" t="str">
            <v>YOK</v>
          </cell>
          <cell r="N303">
            <v>5</v>
          </cell>
          <cell r="O303" t="str">
            <v>ÖDEME SORUNU</v>
          </cell>
        </row>
        <row r="304">
          <cell r="B304" t="str">
            <v>ORONTES GIDA SANAYİ VE TİCARET A.Ş</v>
          </cell>
          <cell r="C304" t="str">
            <v>SMB</v>
          </cell>
          <cell r="E304">
            <v>86</v>
          </cell>
          <cell r="F304">
            <v>0.31952807431151875</v>
          </cell>
          <cell r="G304">
            <v>61</v>
          </cell>
          <cell r="H304">
            <v>0.70930232558139539</v>
          </cell>
          <cell r="I304" t="str">
            <v>NO RISK</v>
          </cell>
          <cell r="J304" t="str">
            <v>NO RISK</v>
          </cell>
          <cell r="K304">
            <v>0</v>
          </cell>
          <cell r="M304" t="str">
            <v>YOK</v>
          </cell>
          <cell r="O304" t="str">
            <v>NO RISK</v>
          </cell>
        </row>
        <row r="305">
          <cell r="B305" t="str">
            <v>OSMANLI YATIRIM MENKUL DEGERLER A.S.</v>
          </cell>
          <cell r="C305" t="str">
            <v>ENTERPRISE</v>
          </cell>
          <cell r="E305">
            <v>17802</v>
          </cell>
          <cell r="F305">
            <v>0.30299393602283747</v>
          </cell>
          <cell r="G305">
            <v>12947</v>
          </cell>
          <cell r="H305">
            <v>0.72727783395124146</v>
          </cell>
          <cell r="I305" t="str">
            <v>NO RISK</v>
          </cell>
          <cell r="J305" t="str">
            <v>HİZMET MEMNUNİYETSİZLİĞİ</v>
          </cell>
          <cell r="K305">
            <v>5</v>
          </cell>
          <cell r="L305">
            <v>0.6</v>
          </cell>
          <cell r="M305" t="str">
            <v>-</v>
          </cell>
          <cell r="N305">
            <v>0.27468823727671049</v>
          </cell>
          <cell r="O305" t="str">
            <v>NETWORK</v>
          </cell>
        </row>
        <row r="306">
          <cell r="B306" t="str">
            <v>OTOFORM OTOMOTIV TIC.VE SAN.A.S.</v>
          </cell>
          <cell r="C306" t="str">
            <v>SMB</v>
          </cell>
          <cell r="E306">
            <v>400</v>
          </cell>
          <cell r="F306">
            <v>0.29749999999999999</v>
          </cell>
          <cell r="G306">
            <v>293</v>
          </cell>
          <cell r="H306">
            <v>0.73250000000000004</v>
          </cell>
          <cell r="I306" t="str">
            <v>NO RISK</v>
          </cell>
          <cell r="J306" t="str">
            <v>SÖZLEŞME SÜRECİ</v>
          </cell>
          <cell r="K306">
            <v>0</v>
          </cell>
          <cell r="M306" t="str">
            <v>-</v>
          </cell>
          <cell r="N306">
            <v>1</v>
          </cell>
          <cell r="O306" t="str">
            <v>FİYAT</v>
          </cell>
        </row>
        <row r="307">
          <cell r="B307" t="str">
            <v>Özdemir Çelik Konstrüksiyon İmalat Montaj Sanayi</v>
          </cell>
          <cell r="C307" t="str">
            <v>SMB</v>
          </cell>
          <cell r="E307">
            <v>94</v>
          </cell>
          <cell r="G307">
            <v>94</v>
          </cell>
          <cell r="H307">
            <v>1</v>
          </cell>
          <cell r="I307" t="str">
            <v>NO RISK</v>
          </cell>
          <cell r="J307" t="str">
            <v>HİZMET MEMNUNİYETSİZLİĞİ</v>
          </cell>
          <cell r="K307">
            <v>2</v>
          </cell>
          <cell r="L307">
            <v>0.5</v>
          </cell>
          <cell r="M307" t="str">
            <v>1</v>
          </cell>
          <cell r="O307" t="str">
            <v>GEÇ GERİ DÖNÜŞ</v>
          </cell>
        </row>
        <row r="308">
          <cell r="B308" t="str">
            <v>ÖZSAĞDIÇLAR</v>
          </cell>
          <cell r="C308" t="str">
            <v>SMB</v>
          </cell>
          <cell r="E308">
            <v>98</v>
          </cell>
          <cell r="F308">
            <v>0.12732585432799232</v>
          </cell>
          <cell r="G308">
            <v>87</v>
          </cell>
          <cell r="H308">
            <v>0.88775510204081631</v>
          </cell>
          <cell r="I308" t="str">
            <v>NO RISK</v>
          </cell>
          <cell r="J308" t="str">
            <v>NO RISK</v>
          </cell>
          <cell r="K308">
            <v>1</v>
          </cell>
          <cell r="L308">
            <v>1</v>
          </cell>
          <cell r="M308" t="str">
            <v>1</v>
          </cell>
          <cell r="O308" t="str">
            <v>NO RISK</v>
          </cell>
        </row>
        <row r="309">
          <cell r="B309" t="str">
            <v>ÖZŞANAL PERAKENDE MAĞAZACILIK A.Ş.</v>
          </cell>
          <cell r="C309" t="str">
            <v>SMB</v>
          </cell>
          <cell r="E309">
            <v>575</v>
          </cell>
          <cell r="F309">
            <v>0.30292288172288528</v>
          </cell>
          <cell r="G309">
            <v>418</v>
          </cell>
          <cell r="H309">
            <v>0.72695652173913039</v>
          </cell>
          <cell r="I309" t="str">
            <v>NO RISK</v>
          </cell>
          <cell r="J309" t="str">
            <v>NO RISK</v>
          </cell>
          <cell r="K309">
            <v>3</v>
          </cell>
          <cell r="L309">
            <v>0.33333333333333331</v>
          </cell>
          <cell r="M309" t="str">
            <v>1</v>
          </cell>
          <cell r="N309">
            <v>1.3927536231884059</v>
          </cell>
          <cell r="O309" t="str">
            <v>NO RISK</v>
          </cell>
        </row>
        <row r="310">
          <cell r="B310" t="str">
            <v>ÖZSEÇKİN PLASTİK SANAYİ VE TİCARET LİMİTED ŞİRKETİ</v>
          </cell>
          <cell r="C310" t="str">
            <v>SMB</v>
          </cell>
          <cell r="E310">
            <v>140</v>
          </cell>
          <cell r="F310">
            <v>0.10714285637755103</v>
          </cell>
          <cell r="G310">
            <v>127</v>
          </cell>
          <cell r="H310">
            <v>0.90714285714285714</v>
          </cell>
          <cell r="I310" t="str">
            <v>NO RISK</v>
          </cell>
          <cell r="J310" t="str">
            <v>NO RISK</v>
          </cell>
          <cell r="K310">
            <v>0</v>
          </cell>
          <cell r="M310" t="str">
            <v>YOK</v>
          </cell>
          <cell r="O310" t="str">
            <v>NO RISK</v>
          </cell>
        </row>
        <row r="311">
          <cell r="B311" t="str">
            <v>ÖZ-SEL ECZA DEPOLARI (ÖZSEL)</v>
          </cell>
          <cell r="C311" t="str">
            <v>SMB</v>
          </cell>
          <cell r="E311">
            <v>530</v>
          </cell>
          <cell r="F311">
            <v>0.31770825054368534</v>
          </cell>
          <cell r="G311">
            <v>378</v>
          </cell>
          <cell r="H311">
            <v>0.71320754716981127</v>
          </cell>
          <cell r="I311" t="str">
            <v>NO RISK</v>
          </cell>
          <cell r="J311" t="str">
            <v>NO RISK</v>
          </cell>
          <cell r="K311">
            <v>0</v>
          </cell>
          <cell r="M311" t="str">
            <v>YOK</v>
          </cell>
          <cell r="O311" t="str">
            <v>NO RISK</v>
          </cell>
        </row>
        <row r="312">
          <cell r="B312" t="str">
            <v>PALMİYE TATİL KÖYÜ İŞLETMELERİ TURİZM VE TİCARET A</v>
          </cell>
          <cell r="C312" t="str">
            <v>SMB</v>
          </cell>
          <cell r="E312">
            <v>1477</v>
          </cell>
          <cell r="G312">
            <v>1477</v>
          </cell>
          <cell r="H312">
            <v>1</v>
          </cell>
          <cell r="I312" t="str">
            <v>NO RISK</v>
          </cell>
          <cell r="J312" t="str">
            <v>NO RISK</v>
          </cell>
          <cell r="K312">
            <v>0</v>
          </cell>
          <cell r="M312" t="str">
            <v>-</v>
          </cell>
          <cell r="O312" t="str">
            <v>NO RISK</v>
          </cell>
        </row>
        <row r="313">
          <cell r="B313" t="str">
            <v>PALMİYE TATİL KÖYÜ İŞLETMELERİ TURİZM VE TİCARET A</v>
          </cell>
          <cell r="C313" t="str">
            <v>SMB</v>
          </cell>
          <cell r="E313">
            <v>1477</v>
          </cell>
          <cell r="F313">
            <v>0.30043339171690592</v>
          </cell>
          <cell r="G313">
            <v>1078</v>
          </cell>
          <cell r="H313">
            <v>0.72985781990521326</v>
          </cell>
          <cell r="I313" t="str">
            <v>LOW RISK</v>
          </cell>
          <cell r="J313" t="str">
            <v>HİZMET MEMNUNİYETSİZLİĞİ</v>
          </cell>
          <cell r="K313">
            <v>11</v>
          </cell>
          <cell r="L313">
            <v>1</v>
          </cell>
          <cell r="M313" t="str">
            <v>-</v>
          </cell>
          <cell r="O313" t="str">
            <v>TEKNİK YETKİNLİK EKSİKLİĞİ</v>
          </cell>
        </row>
        <row r="314">
          <cell r="B314" t="str">
            <v>PAMTEK METAL END. ÜRUNLER SAN. VE TIC.LTD.STI.</v>
          </cell>
          <cell r="C314" t="str">
            <v>SMB</v>
          </cell>
          <cell r="E314">
            <v>138</v>
          </cell>
          <cell r="G314">
            <v>138</v>
          </cell>
          <cell r="H314">
            <v>1</v>
          </cell>
          <cell r="I314" t="str">
            <v>NO RISK</v>
          </cell>
          <cell r="J314" t="str">
            <v>FİNANSAL PROBLEMLER</v>
          </cell>
          <cell r="K314">
            <v>1</v>
          </cell>
          <cell r="L314">
            <v>1</v>
          </cell>
          <cell r="M314" t="str">
            <v>-</v>
          </cell>
          <cell r="N314">
            <v>3.1461352657004831</v>
          </cell>
          <cell r="O314" t="str">
            <v>ÖDEME SORUNU</v>
          </cell>
        </row>
        <row r="315">
          <cell r="B315" t="str">
            <v>PELSAN AYDINLATMA SANAYİ VE TİCARET ANONİM ŞİRKETİ</v>
          </cell>
          <cell r="C315" t="str">
            <v>SMB</v>
          </cell>
          <cell r="E315">
            <v>2268</v>
          </cell>
          <cell r="F315">
            <v>8.2451501140979933E-2</v>
          </cell>
          <cell r="G315">
            <v>2100</v>
          </cell>
          <cell r="H315">
            <v>0.92592592592592593</v>
          </cell>
          <cell r="I315" t="str">
            <v>NO RISK</v>
          </cell>
          <cell r="J315" t="str">
            <v>NO RISK</v>
          </cell>
          <cell r="K315">
            <v>1</v>
          </cell>
          <cell r="M315" t="str">
            <v>-</v>
          </cell>
          <cell r="O315" t="str">
            <v>NO RISK</v>
          </cell>
        </row>
        <row r="316">
          <cell r="B316" t="str">
            <v>PESA ELEKTRIK MALZEMELERI SAN. ve TIC. LTD. STI.</v>
          </cell>
          <cell r="C316" t="str">
            <v>SMB</v>
          </cell>
          <cell r="E316">
            <v>303</v>
          </cell>
          <cell r="F316">
            <v>0.48956691580490419</v>
          </cell>
          <cell r="G316">
            <v>169</v>
          </cell>
          <cell r="H316">
            <v>0.55775577557755773</v>
          </cell>
          <cell r="I316" t="str">
            <v>NO RISK</v>
          </cell>
          <cell r="J316" t="str">
            <v>NO RISK</v>
          </cell>
          <cell r="K316">
            <v>5</v>
          </cell>
          <cell r="L316">
            <v>0.6</v>
          </cell>
          <cell r="M316" t="str">
            <v>-</v>
          </cell>
          <cell r="O316" t="str">
            <v>NO RISK</v>
          </cell>
        </row>
        <row r="317">
          <cell r="B317" t="str">
            <v>PI SEYAHAT TEKNOLOJIDAGITIM VE DANISMANLIK A.S.</v>
          </cell>
          <cell r="C317" t="str">
            <v>SMB</v>
          </cell>
          <cell r="E317">
            <v>943</v>
          </cell>
          <cell r="F317">
            <v>5.1433220234143637E-2</v>
          </cell>
          <cell r="G317">
            <v>899</v>
          </cell>
          <cell r="H317">
            <v>0.95334040296924705</v>
          </cell>
          <cell r="I317" t="str">
            <v>NO RISK</v>
          </cell>
          <cell r="J317" t="str">
            <v>NO RISK</v>
          </cell>
          <cell r="K317">
            <v>0</v>
          </cell>
          <cell r="M317" t="str">
            <v>YOK</v>
          </cell>
          <cell r="N317">
            <v>1.0224460940261577</v>
          </cell>
          <cell r="O317" t="str">
            <v>NO RISK</v>
          </cell>
        </row>
        <row r="318">
          <cell r="B318" t="str">
            <v>PİA BİLİŞİM HİZMETLERİ A.Ş.</v>
          </cell>
          <cell r="C318" t="str">
            <v>ENTERPRISE</v>
          </cell>
          <cell r="E318">
            <v>5307</v>
          </cell>
          <cell r="F318">
            <v>0.1637975159952321</v>
          </cell>
          <cell r="G318">
            <v>4525</v>
          </cell>
          <cell r="H318">
            <v>0.85264744676841908</v>
          </cell>
          <cell r="I318" t="str">
            <v>NO RISK</v>
          </cell>
          <cell r="J318" t="str">
            <v>NO RISK</v>
          </cell>
          <cell r="K318">
            <v>2</v>
          </cell>
          <cell r="L318">
            <v>1</v>
          </cell>
          <cell r="M318" t="str">
            <v>-</v>
          </cell>
          <cell r="N318">
            <v>1.0026066201871744</v>
          </cell>
          <cell r="O318" t="str">
            <v>NO RISK</v>
          </cell>
        </row>
        <row r="319">
          <cell r="B319" t="str">
            <v>PMA BİLİŞİM A.Ş.</v>
          </cell>
          <cell r="C319" t="str">
            <v>SMB</v>
          </cell>
          <cell r="E319">
            <v>128</v>
          </cell>
          <cell r="F319">
            <v>0.20681478879423901</v>
          </cell>
          <cell r="G319">
            <v>104</v>
          </cell>
          <cell r="H319">
            <v>0.8125</v>
          </cell>
          <cell r="I319" t="str">
            <v>NO RISK</v>
          </cell>
          <cell r="J319" t="str">
            <v>NO RISK</v>
          </cell>
          <cell r="K319">
            <v>0</v>
          </cell>
          <cell r="M319" t="str">
            <v>YOK</v>
          </cell>
          <cell r="O319" t="str">
            <v>NO RISK</v>
          </cell>
        </row>
        <row r="320">
          <cell r="B320" t="str">
            <v>POLİMAZ AMBALAJ SANAYİ TİC. LTD. ŞTİ.</v>
          </cell>
          <cell r="C320" t="str">
            <v>SMB</v>
          </cell>
          <cell r="E320">
            <v>169</v>
          </cell>
          <cell r="F320">
            <v>0.19822485207100593</v>
          </cell>
          <cell r="G320">
            <v>139</v>
          </cell>
          <cell r="H320">
            <v>0.8224852071005917</v>
          </cell>
          <cell r="I320" t="str">
            <v>NO RISK</v>
          </cell>
          <cell r="J320" t="str">
            <v>HİZMET MEMNUNİYETSİZLİĞİ</v>
          </cell>
          <cell r="K320">
            <v>6</v>
          </cell>
          <cell r="L320">
            <v>0.66666666666666663</v>
          </cell>
          <cell r="M320" t="str">
            <v>1</v>
          </cell>
          <cell r="O320" t="str">
            <v>SON KULLANICI</v>
          </cell>
        </row>
        <row r="321">
          <cell r="B321" t="str">
            <v>POZITIF GÜMRÜK MÜSAVIRLIGI HIZMETLERI LTD. STI.</v>
          </cell>
          <cell r="C321" t="str">
            <v>SMB</v>
          </cell>
          <cell r="E321">
            <v>2703</v>
          </cell>
          <cell r="F321">
            <v>0.30838610746510903</v>
          </cell>
          <cell r="G321">
            <v>1952</v>
          </cell>
          <cell r="H321">
            <v>0.72216056233814285</v>
          </cell>
          <cell r="I321" t="str">
            <v>NO RISK</v>
          </cell>
          <cell r="J321" t="str">
            <v>NO RISK</v>
          </cell>
          <cell r="K321">
            <v>60</v>
          </cell>
          <cell r="L321">
            <v>0.68333333333333335</v>
          </cell>
          <cell r="M321" t="str">
            <v>-</v>
          </cell>
          <cell r="O321" t="str">
            <v>NO RISK</v>
          </cell>
        </row>
        <row r="322">
          <cell r="B322" t="str">
            <v>PRO ILETISIM DAN. LTD.STI.</v>
          </cell>
          <cell r="C322" t="str">
            <v>SMB</v>
          </cell>
          <cell r="E322">
            <v>298</v>
          </cell>
          <cell r="F322">
            <v>0.58484336001781045</v>
          </cell>
          <cell r="G322">
            <v>141</v>
          </cell>
          <cell r="H322">
            <v>0.47315436241610737</v>
          </cell>
          <cell r="I322" t="str">
            <v>NO RISK</v>
          </cell>
          <cell r="J322" t="str">
            <v>NO RISK</v>
          </cell>
          <cell r="K322">
            <v>1</v>
          </cell>
          <cell r="L322">
            <v>1</v>
          </cell>
          <cell r="M322" t="str">
            <v>1</v>
          </cell>
          <cell r="O322" t="str">
            <v>NO RISK</v>
          </cell>
        </row>
        <row r="323">
          <cell r="B323" t="str">
            <v>PRODIGITAL - P REKLAM ÜRÜNLERİ SATIŞ VE UYGULAMA L</v>
          </cell>
          <cell r="C323" t="str">
            <v>SMB</v>
          </cell>
          <cell r="E323">
            <v>100</v>
          </cell>
          <cell r="F323">
            <v>0.31953012172939665</v>
          </cell>
          <cell r="G323">
            <v>71</v>
          </cell>
          <cell r="H323">
            <v>0.71</v>
          </cell>
          <cell r="I323" t="str">
            <v>NO RISK</v>
          </cell>
          <cell r="J323" t="str">
            <v>NO RISK</v>
          </cell>
          <cell r="K323">
            <v>0</v>
          </cell>
          <cell r="M323" t="str">
            <v>YOK</v>
          </cell>
          <cell r="O323" t="str">
            <v>NO RISK</v>
          </cell>
        </row>
        <row r="324">
          <cell r="B324" t="str">
            <v>PRONET GÜVENLİK HİZMETLERİ A.Ş.</v>
          </cell>
          <cell r="C324" t="str">
            <v>ENTERPRISE</v>
          </cell>
          <cell r="E324">
            <v>3700</v>
          </cell>
          <cell r="F324">
            <v>0.45397297297297301</v>
          </cell>
          <cell r="G324">
            <v>2188</v>
          </cell>
          <cell r="H324">
            <v>0.59135135135135131</v>
          </cell>
          <cell r="I324" t="str">
            <v>NO RISK</v>
          </cell>
          <cell r="J324" t="str">
            <v>NO RISK</v>
          </cell>
          <cell r="K324">
            <v>2</v>
          </cell>
          <cell r="L324">
            <v>0.5</v>
          </cell>
          <cell r="M324" t="str">
            <v>-</v>
          </cell>
          <cell r="N324">
            <v>1.3808558558558559</v>
          </cell>
          <cell r="O324" t="str">
            <v>NO RISK</v>
          </cell>
        </row>
        <row r="325">
          <cell r="B325" t="str">
            <v>PROSES MÜHENDISLIK ARITMA SISTEMLERI.INS.SAN.TIC.L</v>
          </cell>
          <cell r="C325" t="str">
            <v>SMB</v>
          </cell>
          <cell r="E325">
            <v>1156</v>
          </cell>
          <cell r="F325">
            <v>5.7923730243223281E-2</v>
          </cell>
          <cell r="G325">
            <v>1096</v>
          </cell>
          <cell r="H325">
            <v>0.94809688581314877</v>
          </cell>
          <cell r="I325" t="str">
            <v>BOOKED CHURN</v>
          </cell>
          <cell r="J325" t="str">
            <v>FİNANSAL PROBLEMLER</v>
          </cell>
          <cell r="K325">
            <v>7</v>
          </cell>
          <cell r="L325">
            <v>1</v>
          </cell>
          <cell r="M325" t="str">
            <v>-</v>
          </cell>
          <cell r="N325">
            <v>1.0005767012687428</v>
          </cell>
          <cell r="O325" t="str">
            <v>MALİ DARALMA</v>
          </cell>
        </row>
        <row r="326">
          <cell r="B326" t="str">
            <v>PROSİSTEM ELEKTRONİK SİSTEMLERİ SANAYİ VE TİCARET</v>
          </cell>
          <cell r="C326" t="str">
            <v>SMB</v>
          </cell>
          <cell r="E326">
            <v>580</v>
          </cell>
          <cell r="F326">
            <v>0.12628258818645519</v>
          </cell>
          <cell r="G326">
            <v>514</v>
          </cell>
          <cell r="H326">
            <v>0.88620689655172413</v>
          </cell>
          <cell r="I326" t="str">
            <v>NO RISK</v>
          </cell>
          <cell r="J326" t="str">
            <v>HİZMET MEMNUNİYETSİZLİĞİ</v>
          </cell>
          <cell r="K326">
            <v>4</v>
          </cell>
          <cell r="L326">
            <v>0.5</v>
          </cell>
          <cell r="M326" t="str">
            <v>-</v>
          </cell>
          <cell r="O326" t="str">
            <v>GEÇ GERİ DÖNÜŞ</v>
          </cell>
        </row>
        <row r="327">
          <cell r="B327" t="str">
            <v>PROTEK ENDÜSTRİYEL OTOMASYON SİSTEMLERİ MAKİNA VE</v>
          </cell>
          <cell r="C327" t="str">
            <v>SMB</v>
          </cell>
          <cell r="E327">
            <v>177</v>
          </cell>
          <cell r="F327">
            <v>9.9996954330052026E-2</v>
          </cell>
          <cell r="G327">
            <v>161</v>
          </cell>
          <cell r="H327">
            <v>0.90960451977401124</v>
          </cell>
          <cell r="I327" t="str">
            <v>NO RISK</v>
          </cell>
          <cell r="J327" t="str">
            <v>NO RISK</v>
          </cell>
          <cell r="K327">
            <v>0</v>
          </cell>
          <cell r="M327" t="str">
            <v>YOK</v>
          </cell>
          <cell r="O327" t="str">
            <v>NO RISK</v>
          </cell>
        </row>
        <row r="328">
          <cell r="B328" t="str">
            <v>PROTEL BILGISAYAR  A.Ş.</v>
          </cell>
          <cell r="C328" t="str">
            <v>ENTERPRISE</v>
          </cell>
          <cell r="E328">
            <v>297</v>
          </cell>
          <cell r="F328">
            <v>4.1818638021505691E-2</v>
          </cell>
          <cell r="G328">
            <v>286</v>
          </cell>
          <cell r="H328">
            <v>0.96296296296296291</v>
          </cell>
          <cell r="I328" t="str">
            <v>NO RISK</v>
          </cell>
          <cell r="J328" t="str">
            <v>NO RISK</v>
          </cell>
          <cell r="K328">
            <v>1</v>
          </cell>
          <cell r="M328" t="str">
            <v>YOK</v>
          </cell>
          <cell r="N328">
            <v>0.99887766554433233</v>
          </cell>
          <cell r="O328" t="str">
            <v>NO RISK</v>
          </cell>
        </row>
        <row r="329">
          <cell r="B329" t="str">
            <v>PUCK GLOBAL -  MUZIP PERI REKLAM TANITIM HIZ. A.Ş.</v>
          </cell>
          <cell r="C329" t="str">
            <v>SMB</v>
          </cell>
          <cell r="E329">
            <v>86</v>
          </cell>
          <cell r="F329">
            <v>0.30215414629117443</v>
          </cell>
          <cell r="G329">
            <v>63</v>
          </cell>
          <cell r="H329">
            <v>0.73255813953488369</v>
          </cell>
          <cell r="I329" t="str">
            <v>NO RISK</v>
          </cell>
          <cell r="J329" t="str">
            <v>NO RISK</v>
          </cell>
          <cell r="K329">
            <v>0</v>
          </cell>
          <cell r="M329" t="str">
            <v>YOK</v>
          </cell>
          <cell r="O329" t="str">
            <v>NO RISK</v>
          </cell>
        </row>
        <row r="330">
          <cell r="B330" t="str">
            <v>PUSULA GÖRSEL VE DIJITAL PLATFORM LTD.STI.</v>
          </cell>
          <cell r="C330" t="str">
            <v>SMB</v>
          </cell>
          <cell r="E330">
            <v>68</v>
          </cell>
          <cell r="F330">
            <v>0.55223330070341536</v>
          </cell>
          <cell r="G330">
            <v>34</v>
          </cell>
          <cell r="H330">
            <v>0.5</v>
          </cell>
          <cell r="I330" t="str">
            <v>NO RISK</v>
          </cell>
          <cell r="J330" t="str">
            <v>SÖZLEŞME SÜRECİ</v>
          </cell>
          <cell r="K330">
            <v>2</v>
          </cell>
          <cell r="L330">
            <v>1</v>
          </cell>
          <cell r="M330" t="str">
            <v>1</v>
          </cell>
          <cell r="N330">
            <v>0.89460784313725494</v>
          </cell>
          <cell r="O330" t="str">
            <v>FİYAT</v>
          </cell>
        </row>
        <row r="331">
          <cell r="B331" t="str">
            <v>RAFINERI REKLAMCILIK HIZ.TIC.VE A.S</v>
          </cell>
          <cell r="C331" t="str">
            <v>SMB</v>
          </cell>
          <cell r="E331">
            <v>170</v>
          </cell>
          <cell r="F331">
            <v>1</v>
          </cell>
          <cell r="G331">
            <v>17</v>
          </cell>
          <cell r="H331">
            <v>0.1</v>
          </cell>
          <cell r="I331" t="str">
            <v>CHURN - LİSANS</v>
          </cell>
          <cell r="J331" t="str">
            <v>SÖZLEŞME SÜRECİ</v>
          </cell>
          <cell r="K331">
            <v>0</v>
          </cell>
          <cell r="M331" t="str">
            <v>YOK</v>
          </cell>
          <cell r="N331">
            <v>9.9068627450980404</v>
          </cell>
          <cell r="O331" t="str">
            <v>FİYAT</v>
          </cell>
        </row>
        <row r="332">
          <cell r="B332" t="str">
            <v>RAHMET GIDA NAKLİYE İNŞAAT TİC.SAN.LTD.ŞTİ</v>
          </cell>
          <cell r="C332" t="str">
            <v>SMB</v>
          </cell>
          <cell r="E332">
            <v>130</v>
          </cell>
          <cell r="F332">
            <v>0.30215039463192606</v>
          </cell>
          <cell r="G332">
            <v>95</v>
          </cell>
          <cell r="H332">
            <v>0.73076923076923073</v>
          </cell>
          <cell r="I332" t="str">
            <v>NO RISK</v>
          </cell>
          <cell r="J332" t="str">
            <v>NO RISK</v>
          </cell>
          <cell r="K332">
            <v>0</v>
          </cell>
          <cell r="M332" t="str">
            <v>YOK</v>
          </cell>
          <cell r="O332" t="str">
            <v>NO RISK</v>
          </cell>
        </row>
        <row r="333">
          <cell r="B333" t="str">
            <v>REDINGTON</v>
          </cell>
          <cell r="C333" t="str">
            <v>ENTERPRISE</v>
          </cell>
          <cell r="E333">
            <v>610</v>
          </cell>
          <cell r="F333">
            <v>5.3340000000000019E-2</v>
          </cell>
          <cell r="G333">
            <v>581</v>
          </cell>
          <cell r="H333">
            <v>0.95245901639344266</v>
          </cell>
          <cell r="I333" t="str">
            <v>NO RISK</v>
          </cell>
          <cell r="J333" t="str">
            <v>NO RISK</v>
          </cell>
          <cell r="K333">
            <v>0</v>
          </cell>
          <cell r="M333" t="str">
            <v>YOK</v>
          </cell>
          <cell r="O333" t="str">
            <v>NO RISK</v>
          </cell>
        </row>
        <row r="334">
          <cell r="B334" t="str">
            <v>REFORM CNC,LOJISTIK VE GERI DÖNÜSÜM SISTEMLERI GÖR</v>
          </cell>
          <cell r="C334" t="str">
            <v>SMB</v>
          </cell>
          <cell r="E334">
            <v>75</v>
          </cell>
          <cell r="F334">
            <v>1</v>
          </cell>
          <cell r="G334">
            <v>8</v>
          </cell>
          <cell r="H334">
            <v>0.10666666666666667</v>
          </cell>
          <cell r="I334" t="str">
            <v>LOW RISK</v>
          </cell>
          <cell r="J334" t="str">
            <v>FİNANSAL PROBLEMLER</v>
          </cell>
          <cell r="K334">
            <v>0</v>
          </cell>
          <cell r="M334" t="str">
            <v>YOK</v>
          </cell>
          <cell r="N334">
            <v>23.488888888888891</v>
          </cell>
          <cell r="O334" t="str">
            <v>ÖDEME SORUNU</v>
          </cell>
        </row>
        <row r="335">
          <cell r="B335" t="str">
            <v>REISSWOLF DÖKÜMAN YÖNETIMI HIZMETLERI A.S.</v>
          </cell>
          <cell r="C335" t="str">
            <v>SMB</v>
          </cell>
          <cell r="E335">
            <v>93</v>
          </cell>
          <cell r="G335">
            <v>93</v>
          </cell>
          <cell r="H335">
            <v>1</v>
          </cell>
          <cell r="I335" t="str">
            <v>CHURN - LİSANS</v>
          </cell>
          <cell r="J335" t="str">
            <v>HİZMET MEMNUNİYETSİZLİĞİ</v>
          </cell>
          <cell r="K335">
            <v>0</v>
          </cell>
          <cell r="M335" t="str">
            <v>YOK</v>
          </cell>
          <cell r="N335">
            <v>8.0376344086021501</v>
          </cell>
          <cell r="O335" t="str">
            <v>GEÇ GERİ DÖNÜŞ</v>
          </cell>
        </row>
        <row r="336">
          <cell r="B336" t="str">
            <v>REM MIMARLIK DEKORASYON RESTORASYON PROJE VE TAAH.</v>
          </cell>
          <cell r="C336" t="str">
            <v>SMB</v>
          </cell>
          <cell r="E336">
            <v>1916</v>
          </cell>
          <cell r="F336">
            <v>5.3092413112228037E-2</v>
          </cell>
          <cell r="G336">
            <v>1824</v>
          </cell>
          <cell r="H336">
            <v>0.95198329853862218</v>
          </cell>
          <cell r="I336" t="str">
            <v>NO RISK</v>
          </cell>
          <cell r="J336" t="str">
            <v>NO RISK</v>
          </cell>
          <cell r="K336">
            <v>4</v>
          </cell>
          <cell r="L336">
            <v>0.5</v>
          </cell>
          <cell r="M336" t="str">
            <v>-</v>
          </cell>
          <cell r="O336" t="str">
            <v>NO RISK</v>
          </cell>
        </row>
        <row r="337">
          <cell r="B337" t="str">
            <v>RENTMAK LOJISTIK TICARET ANONIM SIRKETI (GEMONT)</v>
          </cell>
          <cell r="C337" t="str">
            <v>SMB</v>
          </cell>
          <cell r="E337">
            <v>366</v>
          </cell>
          <cell r="F337">
            <v>0.19666674511842838</v>
          </cell>
          <cell r="G337">
            <v>301</v>
          </cell>
          <cell r="H337">
            <v>0.82240437158469948</v>
          </cell>
          <cell r="I337" t="str">
            <v>NO RISK</v>
          </cell>
          <cell r="J337" t="str">
            <v>NO RISK</v>
          </cell>
          <cell r="K337">
            <v>0</v>
          </cell>
          <cell r="M337" t="str">
            <v>YOK</v>
          </cell>
          <cell r="O337" t="str">
            <v>NO RISK</v>
          </cell>
        </row>
        <row r="338">
          <cell r="B338" t="str">
            <v>SAF NUTRITION</v>
          </cell>
          <cell r="C338" t="str">
            <v>SMB</v>
          </cell>
          <cell r="E338">
            <v>495</v>
          </cell>
          <cell r="F338">
            <v>0.20606060564432202</v>
          </cell>
          <cell r="G338">
            <v>403</v>
          </cell>
          <cell r="H338">
            <v>0.81414141414141417</v>
          </cell>
          <cell r="I338" t="str">
            <v>NO RISK</v>
          </cell>
          <cell r="J338" t="str">
            <v>NO RISK</v>
          </cell>
          <cell r="K338">
            <v>3</v>
          </cell>
          <cell r="L338">
            <v>0.66666666666666663</v>
          </cell>
          <cell r="M338" t="str">
            <v>-</v>
          </cell>
          <cell r="O338" t="str">
            <v>NO RISK</v>
          </cell>
        </row>
        <row r="339">
          <cell r="B339" t="str">
            <v>SAFİ REZİSTANS IMALAT SAN.SAFI YILMAZ</v>
          </cell>
          <cell r="C339" t="str">
            <v>SMB</v>
          </cell>
          <cell r="E339">
            <v>510</v>
          </cell>
          <cell r="F339">
            <v>0.26903956581901001</v>
          </cell>
          <cell r="G339">
            <v>387</v>
          </cell>
          <cell r="H339">
            <v>0.75882352941176467</v>
          </cell>
          <cell r="I339" t="str">
            <v>NO RISK</v>
          </cell>
          <cell r="J339" t="str">
            <v>HİZMET MEMNUNİYETSİZLİĞİ</v>
          </cell>
          <cell r="K339">
            <v>17</v>
          </cell>
          <cell r="L339">
            <v>0.88235294117647056</v>
          </cell>
          <cell r="M339" t="str">
            <v>-</v>
          </cell>
          <cell r="N339">
            <v>0.68300653594771255</v>
          </cell>
          <cell r="O339" t="str">
            <v>SON KULLANICI</v>
          </cell>
        </row>
        <row r="340">
          <cell r="B340" t="str">
            <v>SAĞLIK VE EĞİTİM VAKFI</v>
          </cell>
          <cell r="C340" t="str">
            <v>SMB</v>
          </cell>
          <cell r="E340">
            <v>1321</v>
          </cell>
          <cell r="F340">
            <v>0.46169631049199178</v>
          </cell>
          <cell r="G340">
            <v>772</v>
          </cell>
          <cell r="H340">
            <v>0.58440575321725963</v>
          </cell>
          <cell r="I340" t="str">
            <v>NO RISK</v>
          </cell>
          <cell r="J340" t="str">
            <v>NO RISK</v>
          </cell>
          <cell r="K340">
            <v>0</v>
          </cell>
          <cell r="M340" t="str">
            <v>1</v>
          </cell>
          <cell r="O340" t="str">
            <v>NO RISK</v>
          </cell>
        </row>
        <row r="341">
          <cell r="B341" t="str">
            <v>SAHİBİNDEN BILGI.TEKN.PAZ.VE TIC.A.S</v>
          </cell>
          <cell r="C341" t="str">
            <v>ENTERPRISE</v>
          </cell>
          <cell r="E341">
            <v>27696</v>
          </cell>
          <cell r="G341">
            <v>27696</v>
          </cell>
          <cell r="H341">
            <v>1</v>
          </cell>
          <cell r="I341" t="str">
            <v>NO RISK</v>
          </cell>
          <cell r="J341" t="str">
            <v>NO RISK</v>
          </cell>
          <cell r="K341">
            <v>0</v>
          </cell>
          <cell r="M341" t="str">
            <v>-</v>
          </cell>
          <cell r="O341" t="str">
            <v>NO RISK</v>
          </cell>
        </row>
        <row r="342">
          <cell r="B342" t="str">
            <v>ŞAHİNLER MOTORLU ARAÇLAR SAN.VE TİC. A.Ş</v>
          </cell>
          <cell r="C342" t="str">
            <v>SMB</v>
          </cell>
          <cell r="E342">
            <v>70</v>
          </cell>
          <cell r="F342">
            <v>0.21428571428571427</v>
          </cell>
          <cell r="G342">
            <v>57</v>
          </cell>
          <cell r="H342">
            <v>0.81428571428571428</v>
          </cell>
          <cell r="I342" t="str">
            <v>NO RISK</v>
          </cell>
          <cell r="J342" t="str">
            <v>NO RISK</v>
          </cell>
          <cell r="K342">
            <v>0</v>
          </cell>
          <cell r="M342" t="str">
            <v>YOK</v>
          </cell>
          <cell r="O342" t="str">
            <v>NO RISK</v>
          </cell>
        </row>
        <row r="343">
          <cell r="B343" t="str">
            <v>SAHLANLAR GIDA SAN.VE TICARET LTD.STI</v>
          </cell>
          <cell r="C343" t="str">
            <v>SMB</v>
          </cell>
          <cell r="E343">
            <v>174</v>
          </cell>
          <cell r="F343">
            <v>1</v>
          </cell>
          <cell r="G343">
            <v>17</v>
          </cell>
          <cell r="H343">
            <v>9.7701149425287362E-2</v>
          </cell>
          <cell r="I343" t="str">
            <v>NO RISK</v>
          </cell>
          <cell r="J343" t="str">
            <v>NO RISK</v>
          </cell>
          <cell r="K343">
            <v>0</v>
          </cell>
          <cell r="M343" t="str">
            <v>YOK</v>
          </cell>
          <cell r="N343">
            <v>1.0009578544061304</v>
          </cell>
          <cell r="O343" t="str">
            <v>NO RISK</v>
          </cell>
        </row>
        <row r="344">
          <cell r="B344" t="str">
            <v>SAINT LAURENT TURKEY LÜKS ÜRÜNLER LİMİTED ŞİRKETİ</v>
          </cell>
          <cell r="C344" t="str">
            <v>SMB</v>
          </cell>
          <cell r="E344">
            <v>223</v>
          </cell>
          <cell r="F344">
            <v>5.4794640645787721E-2</v>
          </cell>
          <cell r="G344">
            <v>212</v>
          </cell>
          <cell r="H344">
            <v>0.95067264573991028</v>
          </cell>
          <cell r="I344" t="str">
            <v>NO RISK</v>
          </cell>
          <cell r="J344" t="str">
            <v>NO RISK</v>
          </cell>
          <cell r="K344">
            <v>0</v>
          </cell>
          <cell r="M344" t="str">
            <v>YOK</v>
          </cell>
          <cell r="N344">
            <v>2.7242152466367715</v>
          </cell>
          <cell r="O344" t="str">
            <v>NO RISK</v>
          </cell>
        </row>
        <row r="345">
          <cell r="B345" t="str">
            <v>SARAN GIDA TEKSTİL İNŞAAT.SAN.VE DIŞ.TİC.LTD.ŞTİ.</v>
          </cell>
          <cell r="C345" t="str">
            <v>SMB</v>
          </cell>
          <cell r="E345">
            <v>86</v>
          </cell>
          <cell r="F345">
            <v>0.27352308591014601</v>
          </cell>
          <cell r="G345">
            <v>65</v>
          </cell>
          <cell r="H345">
            <v>0.7558139534883721</v>
          </cell>
          <cell r="I345" t="str">
            <v>NO RISK</v>
          </cell>
          <cell r="J345" t="str">
            <v>NO RISK</v>
          </cell>
          <cell r="K345">
            <v>2</v>
          </cell>
          <cell r="L345">
            <v>0.5</v>
          </cell>
          <cell r="M345" t="str">
            <v>1</v>
          </cell>
          <cell r="O345" t="str">
            <v>NO RISK</v>
          </cell>
        </row>
        <row r="346">
          <cell r="B346" t="str">
            <v>SARAY DÖKÜM</v>
          </cell>
          <cell r="C346" t="str">
            <v>SMB</v>
          </cell>
          <cell r="E346">
            <v>840</v>
          </cell>
          <cell r="F346">
            <v>0.18907388418438018</v>
          </cell>
          <cell r="G346">
            <v>697</v>
          </cell>
          <cell r="H346">
            <v>0.82976190476190481</v>
          </cell>
          <cell r="I346" t="str">
            <v>NO RISK</v>
          </cell>
          <cell r="J346" t="str">
            <v>NO RISK</v>
          </cell>
          <cell r="K346">
            <v>0</v>
          </cell>
          <cell r="M346" t="str">
            <v>-</v>
          </cell>
          <cell r="O346" t="str">
            <v>NO RISK</v>
          </cell>
        </row>
        <row r="347">
          <cell r="B347" t="str">
            <v>SAREM MAKINA SAN.VE TIC.LTD.STI</v>
          </cell>
          <cell r="C347" t="str">
            <v>SMB</v>
          </cell>
          <cell r="E347">
            <v>731</v>
          </cell>
          <cell r="F347">
            <v>1.4982894174290417E-2</v>
          </cell>
          <cell r="G347">
            <v>721</v>
          </cell>
          <cell r="H347">
            <v>0.98632010943912451</v>
          </cell>
          <cell r="I347" t="str">
            <v>LOW RISK</v>
          </cell>
          <cell r="J347" t="str">
            <v>HİZMET MEMNUNİYETSİZLİĞİ</v>
          </cell>
          <cell r="K347">
            <v>11</v>
          </cell>
          <cell r="L347">
            <v>0.63636363636363635</v>
          </cell>
          <cell r="M347" t="str">
            <v>-</v>
          </cell>
          <cell r="N347">
            <v>4.670542635658915</v>
          </cell>
          <cell r="O347" t="str">
            <v>ÇÖZÜMSÜZLÜK</v>
          </cell>
        </row>
        <row r="348">
          <cell r="B348" t="str">
            <v>SAYKOM BİLGİSAYAR TİC. VE SAN. LTD. ŞTİ.</v>
          </cell>
          <cell r="C348" t="str">
            <v>SMB</v>
          </cell>
          <cell r="E348">
            <v>123</v>
          </cell>
          <cell r="F348">
            <v>0.27796224359547639</v>
          </cell>
          <cell r="G348">
            <v>92</v>
          </cell>
          <cell r="H348">
            <v>0.74796747967479671</v>
          </cell>
          <cell r="I348" t="str">
            <v>NO RISK</v>
          </cell>
          <cell r="J348" t="str">
            <v>NO RISK</v>
          </cell>
          <cell r="K348">
            <v>0</v>
          </cell>
          <cell r="M348" t="str">
            <v>YOK</v>
          </cell>
          <cell r="O348" t="str">
            <v>NO RISK</v>
          </cell>
        </row>
        <row r="349">
          <cell r="B349" t="str">
            <v>SEGMENTIFY</v>
          </cell>
          <cell r="C349" t="str">
            <v>SMB</v>
          </cell>
          <cell r="E349">
            <v>740</v>
          </cell>
          <cell r="G349">
            <v>740</v>
          </cell>
          <cell r="H349">
            <v>1</v>
          </cell>
          <cell r="I349" t="str">
            <v>NO RISK</v>
          </cell>
          <cell r="J349" t="str">
            <v>NO RISK</v>
          </cell>
          <cell r="K349">
            <v>1</v>
          </cell>
          <cell r="L349">
            <v>1</v>
          </cell>
          <cell r="M349" t="str">
            <v>-</v>
          </cell>
          <cell r="O349" t="str">
            <v>NO RISK</v>
          </cell>
        </row>
        <row r="350">
          <cell r="B350" t="str">
            <v>ŞEKER YATIRIM MENKUL DEGERLER A.S.</v>
          </cell>
          <cell r="C350" t="str">
            <v>ENTERPRISE</v>
          </cell>
          <cell r="E350">
            <v>4552</v>
          </cell>
          <cell r="F350">
            <v>0.19324880077623308</v>
          </cell>
          <cell r="G350">
            <v>3760</v>
          </cell>
          <cell r="H350">
            <v>0.82601054481546576</v>
          </cell>
          <cell r="I350" t="str">
            <v>NO RISK</v>
          </cell>
          <cell r="J350" t="str">
            <v>HİZMET MEMNUNİYETSİZLİĞİ</v>
          </cell>
          <cell r="K350">
            <v>2</v>
          </cell>
          <cell r="M350" t="str">
            <v>-</v>
          </cell>
          <cell r="O350" t="str">
            <v>NETWORK</v>
          </cell>
        </row>
        <row r="351">
          <cell r="B351" t="str">
            <v>SEMPOLY YAPI</v>
          </cell>
          <cell r="C351" t="str">
            <v>SMB</v>
          </cell>
          <cell r="E351">
            <v>110</v>
          </cell>
          <cell r="F351">
            <v>0.28569040037716958</v>
          </cell>
          <cell r="G351">
            <v>82</v>
          </cell>
          <cell r="H351">
            <v>0.74545454545454548</v>
          </cell>
          <cell r="I351" t="str">
            <v>NO RISK</v>
          </cell>
          <cell r="J351" t="str">
            <v>NO RISK</v>
          </cell>
          <cell r="K351">
            <v>3</v>
          </cell>
          <cell r="L351">
            <v>0.66666666666666663</v>
          </cell>
          <cell r="M351" t="str">
            <v>-</v>
          </cell>
          <cell r="O351" t="str">
            <v>NO RISK</v>
          </cell>
        </row>
        <row r="352">
          <cell r="B352" t="str">
            <v>SENAMED TEKNİK VE TIBBİ SİSTEMLER SAN. TİC.A.Ş</v>
          </cell>
          <cell r="C352" t="str">
            <v>SMB</v>
          </cell>
          <cell r="E352">
            <v>119</v>
          </cell>
          <cell r="F352">
            <v>0.31952407896424695</v>
          </cell>
          <cell r="G352">
            <v>85</v>
          </cell>
          <cell r="H352">
            <v>0.7142857142857143</v>
          </cell>
          <cell r="I352" t="str">
            <v>NO RISK</v>
          </cell>
          <cell r="J352" t="str">
            <v>NO RISK</v>
          </cell>
          <cell r="K352">
            <v>0</v>
          </cell>
          <cell r="M352" t="str">
            <v>YOK</v>
          </cell>
          <cell r="O352" t="str">
            <v>NO RISK</v>
          </cell>
        </row>
        <row r="353">
          <cell r="B353" t="str">
            <v>ŞENER OTO YEDEK PARÇA SANAYI.TIC.A.S</v>
          </cell>
          <cell r="C353" t="str">
            <v>SMB</v>
          </cell>
          <cell r="E353">
            <v>414</v>
          </cell>
          <cell r="G353">
            <v>414</v>
          </cell>
          <cell r="H353">
            <v>1</v>
          </cell>
          <cell r="I353" t="str">
            <v>BOOKED CHURN</v>
          </cell>
          <cell r="J353" t="str">
            <v>SÖZLEŞME SÜRECİ</v>
          </cell>
          <cell r="K353">
            <v>0</v>
          </cell>
          <cell r="M353" t="str">
            <v>-</v>
          </cell>
          <cell r="N353">
            <v>2.0088566827697263</v>
          </cell>
          <cell r="O353" t="str">
            <v>FİYAT</v>
          </cell>
        </row>
        <row r="354">
          <cell r="B354" t="str">
            <v>SESTEK SES VE İLETİŞİM BİLGİSAYAR TEKNOLOJİLERİ SA</v>
          </cell>
          <cell r="C354" t="str">
            <v>ENTERPRISE</v>
          </cell>
          <cell r="E354">
            <v>6443</v>
          </cell>
          <cell r="F354">
            <v>0.14838019144620573</v>
          </cell>
          <cell r="G354">
            <v>5583</v>
          </cell>
          <cell r="H354">
            <v>0.86652180661182676</v>
          </cell>
          <cell r="I354" t="str">
            <v>NO RISK</v>
          </cell>
          <cell r="J354" t="str">
            <v>HİZMET MEMNUNİYETSİZLİĞİ</v>
          </cell>
          <cell r="K354">
            <v>4</v>
          </cell>
          <cell r="L354">
            <v>0.75</v>
          </cell>
          <cell r="M354" t="str">
            <v>-</v>
          </cell>
          <cell r="O354" t="str">
            <v>NETWORK</v>
          </cell>
        </row>
        <row r="355">
          <cell r="B355" t="str">
            <v>SET KURUMSAL HİZ.TİC.A.Ş. (SETCARD)</v>
          </cell>
          <cell r="C355" t="str">
            <v>ENTERPRISE</v>
          </cell>
          <cell r="E355">
            <v>1173</v>
          </cell>
          <cell r="F355">
            <v>0.18865985819474881</v>
          </cell>
          <cell r="G355">
            <v>974</v>
          </cell>
          <cell r="H355">
            <v>0.83034953111679455</v>
          </cell>
          <cell r="I355" t="str">
            <v>NO RISK</v>
          </cell>
          <cell r="J355" t="str">
            <v>NO RISK</v>
          </cell>
          <cell r="K355">
            <v>0</v>
          </cell>
          <cell r="M355" t="str">
            <v>-</v>
          </cell>
          <cell r="O355" t="str">
            <v>NO RISK</v>
          </cell>
        </row>
        <row r="356">
          <cell r="B356" t="str">
            <v>SETA SİSTEM ÇÖZÜMLERİ MÜH. LTD. ŞTİ.</v>
          </cell>
          <cell r="C356" t="str">
            <v>SMB</v>
          </cell>
          <cell r="E356">
            <v>124</v>
          </cell>
          <cell r="F356">
            <v>1</v>
          </cell>
          <cell r="G356">
            <v>12</v>
          </cell>
          <cell r="H356">
            <v>9.6774193548387094E-2</v>
          </cell>
          <cell r="I356" t="str">
            <v>NO RISK</v>
          </cell>
          <cell r="J356" t="str">
            <v>NO RISK</v>
          </cell>
          <cell r="K356">
            <v>2</v>
          </cell>
          <cell r="L356">
            <v>0.5</v>
          </cell>
          <cell r="M356" t="str">
            <v>1</v>
          </cell>
          <cell r="O356" t="str">
            <v>NO RISK</v>
          </cell>
        </row>
        <row r="357">
          <cell r="B357" t="str">
            <v>SETAPAK ELEKTRONİK VE AMBALAJ MAK. SAN. TİC. LTD.Ş</v>
          </cell>
          <cell r="C357" t="str">
            <v>OTHER</v>
          </cell>
          <cell r="E357">
            <v>115</v>
          </cell>
          <cell r="F357">
            <v>0.27702139000930004</v>
          </cell>
          <cell r="G357">
            <v>86</v>
          </cell>
          <cell r="H357">
            <v>0.74782608695652175</v>
          </cell>
          <cell r="I357" t="str">
            <v>NO RISK</v>
          </cell>
          <cell r="J357" t="str">
            <v>NO RISK</v>
          </cell>
          <cell r="K357">
            <v>1</v>
          </cell>
          <cell r="M357" t="str">
            <v>YOK</v>
          </cell>
          <cell r="O357" t="str">
            <v>NO RISK</v>
          </cell>
        </row>
        <row r="358">
          <cell r="B358" t="str">
            <v>SHERPA YAZILIM EĞİTİM VE FİNANSAL DAN.TİC.LTD.ŞTİ.</v>
          </cell>
          <cell r="C358" t="str">
            <v>SMB</v>
          </cell>
          <cell r="E358">
            <v>112</v>
          </cell>
          <cell r="F358">
            <v>0.23487544483985762</v>
          </cell>
          <cell r="G358">
            <v>88</v>
          </cell>
          <cell r="H358">
            <v>0.7857142857142857</v>
          </cell>
          <cell r="I358" t="str">
            <v>NO RISK</v>
          </cell>
          <cell r="J358" t="str">
            <v>NO RISK</v>
          </cell>
          <cell r="K358">
            <v>0</v>
          </cell>
          <cell r="M358" t="str">
            <v>YOK</v>
          </cell>
          <cell r="N358">
            <v>20.535714285714285</v>
          </cell>
          <cell r="O358" t="str">
            <v>NO RISK</v>
          </cell>
        </row>
        <row r="359">
          <cell r="B359" t="str">
            <v>Sinerji Gıda Kimya Tekstil San. Ve Tic. A.Ş.</v>
          </cell>
          <cell r="C359" t="str">
            <v>SMB</v>
          </cell>
          <cell r="E359">
            <v>425</v>
          </cell>
          <cell r="F359">
            <v>0.12940973525674004</v>
          </cell>
          <cell r="G359">
            <v>376</v>
          </cell>
          <cell r="H359">
            <v>0.88470588235294123</v>
          </cell>
          <cell r="I359" t="str">
            <v>CHURN</v>
          </cell>
          <cell r="J359" t="str">
            <v>STRATEJİK KARARLAR</v>
          </cell>
          <cell r="K359">
            <v>0</v>
          </cell>
          <cell r="M359" t="str">
            <v>1</v>
          </cell>
          <cell r="O359" t="str">
            <v>BAYİDEN MEMNUN OLMAMA</v>
          </cell>
        </row>
        <row r="360">
          <cell r="B360" t="str">
            <v>SİNYAL ELEKTRONİK VE KOZMETİK ÜRÜNLER SAN. VE  P</v>
          </cell>
          <cell r="C360" t="str">
            <v>SMB</v>
          </cell>
          <cell r="E360">
            <v>120</v>
          </cell>
          <cell r="F360">
            <v>3.5543667259061121E-2</v>
          </cell>
          <cell r="G360">
            <v>116</v>
          </cell>
          <cell r="H360">
            <v>0.96666666666666667</v>
          </cell>
          <cell r="I360" t="str">
            <v>NO RISK</v>
          </cell>
          <cell r="J360" t="str">
            <v>NO RISK</v>
          </cell>
          <cell r="K360">
            <v>8</v>
          </cell>
          <cell r="L360">
            <v>0.875</v>
          </cell>
          <cell r="M360" t="str">
            <v>-</v>
          </cell>
          <cell r="O360" t="str">
            <v>NO RISK</v>
          </cell>
        </row>
        <row r="361">
          <cell r="B361" t="str">
            <v>SMMM RECEP ÇETİN</v>
          </cell>
          <cell r="C361" t="str">
            <v>SMB</v>
          </cell>
          <cell r="E361">
            <v>102</v>
          </cell>
          <cell r="F361">
            <v>0.31150695246445481</v>
          </cell>
          <cell r="G361">
            <v>73</v>
          </cell>
          <cell r="H361">
            <v>0.71568627450980393</v>
          </cell>
          <cell r="I361" t="str">
            <v>NO RISK</v>
          </cell>
          <cell r="J361" t="str">
            <v>NO RISK</v>
          </cell>
          <cell r="K361">
            <v>0</v>
          </cell>
          <cell r="M361" t="str">
            <v>YOK</v>
          </cell>
          <cell r="O361" t="str">
            <v>NO RISK</v>
          </cell>
        </row>
        <row r="362">
          <cell r="B362" t="str">
            <v>Sobe Diş Ticaret Tekstil ve Sanayi Limited Şirketi</v>
          </cell>
          <cell r="C362" t="str">
            <v>SMB</v>
          </cell>
          <cell r="E362">
            <v>273</v>
          </cell>
          <cell r="F362">
            <v>4.1062236411134198E-2</v>
          </cell>
          <cell r="G362">
            <v>263</v>
          </cell>
          <cell r="H362">
            <v>0.96336996336996339</v>
          </cell>
          <cell r="I362" t="str">
            <v>NO RISK</v>
          </cell>
          <cell r="J362" t="str">
            <v>NO RISK</v>
          </cell>
          <cell r="K362">
            <v>0</v>
          </cell>
          <cell r="M362" t="str">
            <v>YOK</v>
          </cell>
          <cell r="N362">
            <v>1.9047619047619047</v>
          </cell>
          <cell r="O362" t="str">
            <v>NO RISK</v>
          </cell>
        </row>
        <row r="363">
          <cell r="B363" t="str">
            <v>ŞÖLEN ÇIKOLATA GIDA</v>
          </cell>
          <cell r="C363" t="str">
            <v>ENTERPRISE</v>
          </cell>
          <cell r="E363">
            <v>3190</v>
          </cell>
          <cell r="G363">
            <v>3189</v>
          </cell>
          <cell r="H363">
            <v>0.99968652037617556</v>
          </cell>
          <cell r="I363" t="str">
            <v>NO RISK</v>
          </cell>
          <cell r="J363" t="str">
            <v>HİZMET MEMNUNİYETSİZLİĞİ</v>
          </cell>
          <cell r="K363">
            <v>22</v>
          </cell>
          <cell r="L363">
            <v>0.68181818181818177</v>
          </cell>
          <cell r="M363" t="str">
            <v>-</v>
          </cell>
          <cell r="N363">
            <v>1</v>
          </cell>
          <cell r="O363" t="str">
            <v>ÇÖZÜMSÜZLÜK</v>
          </cell>
        </row>
        <row r="364">
          <cell r="B364" t="str">
            <v>SOLVENTAS TEKNIK DEPOLAMA A.S.</v>
          </cell>
          <cell r="C364" t="str">
            <v>SMB</v>
          </cell>
          <cell r="E364">
            <v>1218</v>
          </cell>
          <cell r="F364">
            <v>0</v>
          </cell>
          <cell r="G364">
            <v>1217</v>
          </cell>
          <cell r="H364">
            <v>0.99917898193760257</v>
          </cell>
          <cell r="I364" t="str">
            <v>NO RISK</v>
          </cell>
          <cell r="J364" t="str">
            <v>HİZMET MEMNUNİYETSİZLİĞİ</v>
          </cell>
          <cell r="K364">
            <v>19</v>
          </cell>
          <cell r="L364">
            <v>0.42105263157894735</v>
          </cell>
          <cell r="M364" t="str">
            <v>1</v>
          </cell>
          <cell r="O364" t="str">
            <v>ECLIT ÇALIŞAN SİRKÜLASYONU</v>
          </cell>
        </row>
        <row r="365">
          <cell r="B365" t="str">
            <v>SONOROUS</v>
          </cell>
          <cell r="C365" t="str">
            <v>SMB</v>
          </cell>
          <cell r="E365">
            <v>3201</v>
          </cell>
          <cell r="F365">
            <v>0.24727903215386676</v>
          </cell>
          <cell r="G365">
            <v>2488</v>
          </cell>
          <cell r="H365">
            <v>0.77725710715401441</v>
          </cell>
          <cell r="I365" t="str">
            <v>NO RISK</v>
          </cell>
          <cell r="J365" t="str">
            <v>NO RISK</v>
          </cell>
          <cell r="K365">
            <v>33</v>
          </cell>
          <cell r="L365">
            <v>0.81818181818181823</v>
          </cell>
          <cell r="M365" t="str">
            <v>-</v>
          </cell>
          <cell r="N365">
            <v>1.0619077371654693</v>
          </cell>
          <cell r="O365" t="str">
            <v>NO RISK</v>
          </cell>
        </row>
        <row r="366">
          <cell r="B366" t="str">
            <v>SUNEXPRESS (GÜNEŞ HAVACILIK)</v>
          </cell>
          <cell r="C366" t="str">
            <v>ENTERPRISE</v>
          </cell>
          <cell r="E366">
            <v>8749</v>
          </cell>
          <cell r="F366">
            <v>5.6528581605361027E-2</v>
          </cell>
          <cell r="G366">
            <v>8304</v>
          </cell>
          <cell r="H366">
            <v>0.94913704423362666</v>
          </cell>
          <cell r="I366" t="str">
            <v>NO RISK</v>
          </cell>
          <cell r="J366" t="str">
            <v>HİZMET MEMNUNİYETSİZLİĞİ</v>
          </cell>
          <cell r="K366">
            <v>1</v>
          </cell>
          <cell r="L366">
            <v>1</v>
          </cell>
          <cell r="M366" t="str">
            <v>-</v>
          </cell>
          <cell r="O366" t="str">
            <v>RAPORLAMA EKSİKLİĞİ</v>
          </cell>
        </row>
        <row r="367">
          <cell r="B367" t="str">
            <v>SYS TELEKOMINIKASYON BILG. ELKT. SAN.TIC.AS.</v>
          </cell>
          <cell r="C367" t="str">
            <v>ENTERPRISE</v>
          </cell>
          <cell r="E367">
            <v>758</v>
          </cell>
          <cell r="F367">
            <v>0.21620355675924616</v>
          </cell>
          <cell r="G367">
            <v>611</v>
          </cell>
          <cell r="H367">
            <v>0.80606860158311344</v>
          </cell>
          <cell r="I367" t="str">
            <v>MEDIUM RISK</v>
          </cell>
          <cell r="J367" t="str">
            <v>SÖZLEŞME SÜRECİ</v>
          </cell>
          <cell r="K367">
            <v>2</v>
          </cell>
          <cell r="L367">
            <v>0.5</v>
          </cell>
          <cell r="M367" t="str">
            <v>-</v>
          </cell>
          <cell r="O367" t="str">
            <v>FİYAT</v>
          </cell>
        </row>
        <row r="368">
          <cell r="B368" t="str">
            <v>T&amp;C GARMENTS</v>
          </cell>
          <cell r="C368" t="str">
            <v>SMB</v>
          </cell>
          <cell r="E368">
            <v>1322</v>
          </cell>
          <cell r="F368">
            <v>0.10748702824994752</v>
          </cell>
          <cell r="G368">
            <v>1194</v>
          </cell>
          <cell r="H368">
            <v>0.90317700453857797</v>
          </cell>
          <cell r="I368" t="str">
            <v>NO RISK</v>
          </cell>
          <cell r="J368" t="str">
            <v>NO RISK</v>
          </cell>
          <cell r="K368">
            <v>3</v>
          </cell>
          <cell r="L368">
            <v>0.66666666666666663</v>
          </cell>
          <cell r="M368" t="str">
            <v>-</v>
          </cell>
          <cell r="N368">
            <v>2.5006303580433689</v>
          </cell>
          <cell r="O368" t="str">
            <v>NO RISK</v>
          </cell>
        </row>
        <row r="369">
          <cell r="B369" t="str">
            <v>TAZE DÜNYA GIDA SANAYİ VE TİCARET A.Ş.</v>
          </cell>
          <cell r="C369" t="str">
            <v>SMB</v>
          </cell>
          <cell r="E369">
            <v>99</v>
          </cell>
          <cell r="F369">
            <v>0.31952409369167439</v>
          </cell>
          <cell r="G369">
            <v>71</v>
          </cell>
          <cell r="H369">
            <v>0.71717171717171713</v>
          </cell>
          <cell r="I369" t="str">
            <v>NO RISK</v>
          </cell>
          <cell r="J369" t="str">
            <v>NO RISK</v>
          </cell>
          <cell r="K369">
            <v>1</v>
          </cell>
          <cell r="L369">
            <v>1</v>
          </cell>
          <cell r="M369" t="str">
            <v>1</v>
          </cell>
          <cell r="O369" t="str">
            <v>NO RISK</v>
          </cell>
        </row>
        <row r="370">
          <cell r="B370" t="str">
            <v>TED GLOBAL AG</v>
          </cell>
          <cell r="C370" t="str">
            <v>SMB</v>
          </cell>
          <cell r="E370">
            <v>401</v>
          </cell>
          <cell r="F370">
            <v>0.29100529100529099</v>
          </cell>
          <cell r="G370">
            <v>296</v>
          </cell>
          <cell r="H370">
            <v>0.73815461346633415</v>
          </cell>
          <cell r="I370" t="str">
            <v>NO RISK</v>
          </cell>
          <cell r="J370" t="str">
            <v>HİZMET MEMNUNİYETSİZLİĞİ</v>
          </cell>
          <cell r="K370">
            <v>0</v>
          </cell>
          <cell r="M370" t="str">
            <v>YOK</v>
          </cell>
          <cell r="N370">
            <v>2.0781379883624274E-3</v>
          </cell>
          <cell r="O370" t="str">
            <v>GEÇ GERİ DÖNÜŞ</v>
          </cell>
        </row>
        <row r="371">
          <cell r="B371" t="str">
            <v>TEKHNELOGOS YAZILIM MÜH MÜŞ BİL HİZ SAN</v>
          </cell>
          <cell r="C371" t="str">
            <v>ENTERPRISE</v>
          </cell>
          <cell r="E371">
            <v>11487</v>
          </cell>
          <cell r="F371">
            <v>0.41529965584444611</v>
          </cell>
          <cell r="G371">
            <v>7194</v>
          </cell>
          <cell r="H371">
            <v>0.62627317837555496</v>
          </cell>
          <cell r="I371" t="str">
            <v>NO RISK</v>
          </cell>
          <cell r="J371" t="str">
            <v>HİZMET MEMNUNİYETSİZLİĞİ</v>
          </cell>
          <cell r="K371">
            <v>19</v>
          </cell>
          <cell r="L371">
            <v>0.73684210526315785</v>
          </cell>
          <cell r="M371" t="str">
            <v>-</v>
          </cell>
          <cell r="O371" t="str">
            <v>RAPORLAMA EKSİKLİĞİ</v>
          </cell>
        </row>
        <row r="372">
          <cell r="B372" t="str">
            <v>TEKNOFIX TELEKOMÜNIKASYON VE BILISIM HIZ. SAN. VE</v>
          </cell>
          <cell r="C372" t="str">
            <v>SMB</v>
          </cell>
          <cell r="E372">
            <v>5710</v>
          </cell>
          <cell r="F372">
            <v>0.10583271965445434</v>
          </cell>
          <cell r="G372">
            <v>5166</v>
          </cell>
          <cell r="H372">
            <v>0.90472854640980738</v>
          </cell>
          <cell r="I372" t="str">
            <v>NO RISK</v>
          </cell>
          <cell r="J372" t="str">
            <v>NO RISK</v>
          </cell>
          <cell r="K372">
            <v>2</v>
          </cell>
          <cell r="L372">
            <v>1</v>
          </cell>
          <cell r="M372" t="str">
            <v>-</v>
          </cell>
          <cell r="N372">
            <v>2.3496789258610627E-2</v>
          </cell>
          <cell r="O372" t="str">
            <v>NO RISK</v>
          </cell>
        </row>
        <row r="373">
          <cell r="B373" t="str">
            <v>TEKNOSA İÇ ve DIŞ TİCARET A.Ş.</v>
          </cell>
          <cell r="C373" t="str">
            <v>ENTERPRISE</v>
          </cell>
          <cell r="E373">
            <v>8523</v>
          </cell>
          <cell r="F373">
            <v>0.16168016128537166</v>
          </cell>
          <cell r="G373">
            <v>7283</v>
          </cell>
          <cell r="H373">
            <v>0.85451132230435289</v>
          </cell>
          <cell r="I373" t="str">
            <v>HIGH RISK</v>
          </cell>
          <cell r="J373" t="str">
            <v>STRATEJİK KARARLAR</v>
          </cell>
          <cell r="K373">
            <v>5</v>
          </cell>
          <cell r="L373">
            <v>0.6</v>
          </cell>
          <cell r="M373" t="str">
            <v>-</v>
          </cell>
          <cell r="N373">
            <v>0.97383550393054086</v>
          </cell>
          <cell r="O373" t="str">
            <v>ŞİRKET SATILMASI - ORTAKLIK DEĞİŞİKLİĞİ</v>
          </cell>
        </row>
        <row r="374">
          <cell r="B374" t="str">
            <v>TEKSAN JENARATÖR ELEK. SAN. TIC. A.S.</v>
          </cell>
          <cell r="C374" t="str">
            <v>SMB</v>
          </cell>
          <cell r="E374">
            <v>1649</v>
          </cell>
          <cell r="F374">
            <v>4.2090365451149601E-2</v>
          </cell>
          <cell r="G374">
            <v>1587</v>
          </cell>
          <cell r="H374">
            <v>0.96240145542753186</v>
          </cell>
          <cell r="I374" t="str">
            <v>NO RISK</v>
          </cell>
          <cell r="J374" t="str">
            <v>NO RISK</v>
          </cell>
          <cell r="K374">
            <v>8</v>
          </cell>
          <cell r="L374">
            <v>0.75</v>
          </cell>
          <cell r="M374" t="str">
            <v>1</v>
          </cell>
          <cell r="O374" t="str">
            <v>NO RISK</v>
          </cell>
        </row>
        <row r="375">
          <cell r="B375" t="str">
            <v>TEKSO TEKNİK SOĞUTMA SAN.ve TİC.A.Ş.</v>
          </cell>
          <cell r="C375" t="str">
            <v>SMB</v>
          </cell>
          <cell r="E375">
            <v>701</v>
          </cell>
          <cell r="F375">
            <v>7.3797341862202992E-2</v>
          </cell>
          <cell r="G375">
            <v>654</v>
          </cell>
          <cell r="H375">
            <v>0.93295292439372324</v>
          </cell>
          <cell r="I375" t="str">
            <v>NO RISK</v>
          </cell>
          <cell r="J375" t="str">
            <v>NO RISK</v>
          </cell>
          <cell r="K375">
            <v>2</v>
          </cell>
          <cell r="L375">
            <v>0.5</v>
          </cell>
          <cell r="M375" t="str">
            <v>1</v>
          </cell>
          <cell r="N375">
            <v>1.9995244888254875</v>
          </cell>
          <cell r="O375" t="str">
            <v>NO RISK</v>
          </cell>
        </row>
        <row r="376">
          <cell r="B376" t="str">
            <v>TELESURE KURUMSAL SIGORTA VE REASÜRANS BROKERLIGI</v>
          </cell>
          <cell r="C376" t="str">
            <v>SMB</v>
          </cell>
          <cell r="E376">
            <v>3357</v>
          </cell>
          <cell r="F376">
            <v>0.38135606088078</v>
          </cell>
          <cell r="G376">
            <v>2204</v>
          </cell>
          <cell r="H376">
            <v>0.65653857610962174</v>
          </cell>
          <cell r="I376" t="str">
            <v>NO RISK</v>
          </cell>
          <cell r="J376" t="str">
            <v>NO RISK</v>
          </cell>
          <cell r="K376">
            <v>31</v>
          </cell>
          <cell r="L376">
            <v>0.93548387096774188</v>
          </cell>
          <cell r="M376" t="str">
            <v>-</v>
          </cell>
          <cell r="N376">
            <v>0.81397080726839444</v>
          </cell>
          <cell r="O376" t="str">
            <v>NO RISK</v>
          </cell>
        </row>
        <row r="377">
          <cell r="B377" t="str">
            <v>Temel Tel Metal San.Tic.Ltd.STİ</v>
          </cell>
          <cell r="C377" t="str">
            <v>SMB</v>
          </cell>
          <cell r="E377">
            <v>401</v>
          </cell>
          <cell r="F377">
            <v>0.17599979208996525</v>
          </cell>
          <cell r="G377">
            <v>337</v>
          </cell>
          <cell r="H377">
            <v>0.84039900249376553</v>
          </cell>
          <cell r="I377" t="str">
            <v>NO RISK</v>
          </cell>
          <cell r="J377" t="str">
            <v>HİZMET MEMNUNİYETSİZLİĞİ</v>
          </cell>
          <cell r="K377">
            <v>3</v>
          </cell>
          <cell r="L377">
            <v>0.66666666666666663</v>
          </cell>
          <cell r="M377" t="str">
            <v>1</v>
          </cell>
          <cell r="N377">
            <v>1.00166251039069</v>
          </cell>
          <cell r="O377" t="str">
            <v>SON KULLANICI</v>
          </cell>
        </row>
        <row r="378">
          <cell r="B378" t="str">
            <v>TİRYAKİ KALIP  PLASTİK METAL İMALAT SAN. VE TİC. L</v>
          </cell>
          <cell r="C378" t="str">
            <v>SMB</v>
          </cell>
          <cell r="E378">
            <v>99</v>
          </cell>
          <cell r="G378">
            <v>99</v>
          </cell>
          <cell r="H378">
            <v>1</v>
          </cell>
          <cell r="I378" t="str">
            <v>NO RISK</v>
          </cell>
          <cell r="J378" t="str">
            <v>NO RISK</v>
          </cell>
          <cell r="K378">
            <v>0</v>
          </cell>
          <cell r="M378" t="str">
            <v>YOK</v>
          </cell>
          <cell r="O378" t="str">
            <v>NO RISK</v>
          </cell>
        </row>
        <row r="379">
          <cell r="B379" t="str">
            <v>TITAN HAVACILIK ANONIM SIRKETI</v>
          </cell>
          <cell r="C379" t="str">
            <v>SMB</v>
          </cell>
          <cell r="E379">
            <v>158</v>
          </cell>
          <cell r="F379">
            <v>1</v>
          </cell>
          <cell r="G379">
            <v>16</v>
          </cell>
          <cell r="H379">
            <v>0.10126582278481013</v>
          </cell>
          <cell r="I379" t="str">
            <v>NO RISK</v>
          </cell>
          <cell r="J379" t="str">
            <v>HİZMET MEMNUNİYETSİZLİĞİ</v>
          </cell>
          <cell r="K379">
            <v>1</v>
          </cell>
          <cell r="M379" t="str">
            <v>-</v>
          </cell>
          <cell r="N379">
            <v>0.97046413502109707</v>
          </cell>
          <cell r="O379" t="str">
            <v>SON KULLANICI</v>
          </cell>
        </row>
        <row r="380">
          <cell r="B380" t="str">
            <v>TOPCU DENTAL MEDİKAL SAN.TİC.LTD.ŞTİ</v>
          </cell>
          <cell r="C380" t="str">
            <v>SMB</v>
          </cell>
          <cell r="E380">
            <v>112</v>
          </cell>
          <cell r="F380">
            <v>0.30945072257090461</v>
          </cell>
          <cell r="G380">
            <v>81</v>
          </cell>
          <cell r="H380">
            <v>0.7232142857142857</v>
          </cell>
          <cell r="I380" t="str">
            <v>NO RISK</v>
          </cell>
          <cell r="J380" t="str">
            <v>NO RISK</v>
          </cell>
          <cell r="K380">
            <v>2</v>
          </cell>
          <cell r="L380">
            <v>1</v>
          </cell>
          <cell r="M380" t="str">
            <v>1</v>
          </cell>
          <cell r="O380" t="str">
            <v>NO RISK</v>
          </cell>
        </row>
        <row r="381">
          <cell r="B381" t="str">
            <v>Torlak &amp; Karaduman Hukuk Bürosu</v>
          </cell>
          <cell r="C381" t="str">
            <v>SMB</v>
          </cell>
          <cell r="E381">
            <v>953</v>
          </cell>
          <cell r="F381">
            <v>0.3283216783216783</v>
          </cell>
          <cell r="G381">
            <v>671</v>
          </cell>
          <cell r="H381">
            <v>0.70409233997901366</v>
          </cell>
          <cell r="I381" t="str">
            <v>NO RISK</v>
          </cell>
          <cell r="J381" t="str">
            <v>NO RISK</v>
          </cell>
          <cell r="K381">
            <v>3</v>
          </cell>
          <cell r="L381">
            <v>1</v>
          </cell>
          <cell r="M381" t="str">
            <v>-</v>
          </cell>
          <cell r="O381" t="str">
            <v>NO RISK</v>
          </cell>
        </row>
        <row r="382">
          <cell r="B382" t="str">
            <v>Trada Teknoloji Anonim Şirketi</v>
          </cell>
          <cell r="C382" t="str">
            <v>SMB</v>
          </cell>
          <cell r="E382">
            <v>198</v>
          </cell>
          <cell r="F382">
            <v>0.24777508090614889</v>
          </cell>
          <cell r="G382">
            <v>154</v>
          </cell>
          <cell r="H382">
            <v>0.77777777777777779</v>
          </cell>
          <cell r="I382" t="str">
            <v>CHURN</v>
          </cell>
          <cell r="J382" t="str">
            <v>FİNANSAL PROBLEMLER</v>
          </cell>
          <cell r="K382">
            <v>0</v>
          </cell>
          <cell r="M382" t="str">
            <v>YOK</v>
          </cell>
          <cell r="N382">
            <v>12.731481481481483</v>
          </cell>
          <cell r="O382" t="str">
            <v>FİRMA KAPANMASI</v>
          </cell>
        </row>
        <row r="383">
          <cell r="B383" t="str">
            <v>TRAKPAR YEDEK PARÇA SAN.DIŞ.TİC.LTD.ŞTİ.</v>
          </cell>
          <cell r="C383" t="str">
            <v>SMB</v>
          </cell>
          <cell r="E383">
            <v>119</v>
          </cell>
          <cell r="G383">
            <v>119</v>
          </cell>
          <cell r="H383">
            <v>1</v>
          </cell>
          <cell r="I383" t="str">
            <v>NO RISK</v>
          </cell>
          <cell r="J383" t="str">
            <v>NO RISK</v>
          </cell>
          <cell r="K383">
            <v>0</v>
          </cell>
          <cell r="M383" t="str">
            <v>YOK</v>
          </cell>
          <cell r="O383" t="str">
            <v>NO RISK</v>
          </cell>
        </row>
        <row r="384">
          <cell r="B384" t="str">
            <v>TRANSORIENT ULUSLARARASI LOJİSTİK VE TİCARET A.Ş</v>
          </cell>
          <cell r="C384" t="str">
            <v>SMB</v>
          </cell>
          <cell r="E384">
            <v>336</v>
          </cell>
          <cell r="F384">
            <v>0.49303394148761315</v>
          </cell>
          <cell r="G384">
            <v>187</v>
          </cell>
          <cell r="H384">
            <v>0.55654761904761907</v>
          </cell>
          <cell r="I384" t="str">
            <v>NO RISK</v>
          </cell>
          <cell r="J384" t="str">
            <v>SÖZLEŞME SÜRECİ</v>
          </cell>
          <cell r="K384">
            <v>0</v>
          </cell>
          <cell r="M384" t="str">
            <v>YOK</v>
          </cell>
          <cell r="N384">
            <v>9.9206349206349218E-3</v>
          </cell>
          <cell r="O384" t="str">
            <v>FİYAT</v>
          </cell>
        </row>
        <row r="385">
          <cell r="B385" t="str">
            <v>TRİO DENİZ ARAÇLARI TİCARET ANONİM ŞİRKET</v>
          </cell>
          <cell r="C385" t="str">
            <v>SMB</v>
          </cell>
          <cell r="E385">
            <v>1509</v>
          </cell>
          <cell r="F385">
            <v>0.41219414766600043</v>
          </cell>
          <cell r="G385">
            <v>949</v>
          </cell>
          <cell r="H385">
            <v>0.62889330682571243</v>
          </cell>
          <cell r="I385" t="str">
            <v>NO RISK</v>
          </cell>
          <cell r="J385" t="str">
            <v>NO RISK</v>
          </cell>
          <cell r="K385">
            <v>6</v>
          </cell>
          <cell r="L385">
            <v>1</v>
          </cell>
          <cell r="M385" t="str">
            <v>-</v>
          </cell>
          <cell r="O385" t="str">
            <v>NO RISK</v>
          </cell>
        </row>
        <row r="386">
          <cell r="B386" t="str">
            <v>TRIO SES ISIK VE GÖRÜNTÜ SISTEMLERI A.S.</v>
          </cell>
          <cell r="C386" t="str">
            <v>SMB</v>
          </cell>
          <cell r="E386">
            <v>184</v>
          </cell>
          <cell r="F386">
            <v>1</v>
          </cell>
          <cell r="G386">
            <v>18</v>
          </cell>
          <cell r="H386">
            <v>9.7826086956521743E-2</v>
          </cell>
          <cell r="I386" t="str">
            <v>NO RISK</v>
          </cell>
          <cell r="J386" t="str">
            <v>NO RISK</v>
          </cell>
          <cell r="K386">
            <v>1</v>
          </cell>
          <cell r="L386">
            <v>1</v>
          </cell>
          <cell r="M386" t="str">
            <v>-</v>
          </cell>
          <cell r="O386" t="str">
            <v>NO RISK</v>
          </cell>
        </row>
        <row r="387">
          <cell r="B387" t="str">
            <v>TÜRK PVEI SİGORTA A.Ş.</v>
          </cell>
          <cell r="C387" t="str">
            <v>ENTERPRISE</v>
          </cell>
          <cell r="E387">
            <v>4085</v>
          </cell>
          <cell r="F387">
            <v>0.16987308606256596</v>
          </cell>
          <cell r="G387">
            <v>3460</v>
          </cell>
          <cell r="H387">
            <v>0.84700122399020805</v>
          </cell>
          <cell r="I387" t="str">
            <v>NO RISK</v>
          </cell>
          <cell r="J387" t="str">
            <v>NO RISK</v>
          </cell>
          <cell r="K387">
            <v>15</v>
          </cell>
          <cell r="L387">
            <v>0.8</v>
          </cell>
          <cell r="M387" t="str">
            <v>-</v>
          </cell>
          <cell r="O387" t="str">
            <v>NO RISK</v>
          </cell>
        </row>
        <row r="388">
          <cell r="B388" t="str">
            <v>TÜRKİYE FİNANS KATILIM BANKASI A.Ş.</v>
          </cell>
          <cell r="C388" t="str">
            <v>ENTERPRISE</v>
          </cell>
          <cell r="E388">
            <v>100</v>
          </cell>
          <cell r="G388">
            <v>100</v>
          </cell>
          <cell r="H388">
            <v>1</v>
          </cell>
          <cell r="I388" t="str">
            <v>NO RISK</v>
          </cell>
          <cell r="J388" t="str">
            <v>NO RISK</v>
          </cell>
          <cell r="K388">
            <v>0</v>
          </cell>
          <cell r="M388" t="str">
            <v>1</v>
          </cell>
          <cell r="O388" t="str">
            <v>NO RISK</v>
          </cell>
        </row>
        <row r="389">
          <cell r="B389" t="str">
            <v>Türkiye Menkul Kıymetleştirme Şirketi (TMKS)</v>
          </cell>
          <cell r="C389" t="str">
            <v>SMB</v>
          </cell>
          <cell r="E389">
            <v>3761</v>
          </cell>
          <cell r="F389">
            <v>0.23305933697095738</v>
          </cell>
          <cell r="G389">
            <v>2972</v>
          </cell>
          <cell r="H389">
            <v>0.79021536825312422</v>
          </cell>
          <cell r="I389" t="str">
            <v>NO RISK</v>
          </cell>
          <cell r="J389" t="str">
            <v>NO RISK</v>
          </cell>
          <cell r="K389">
            <v>22</v>
          </cell>
          <cell r="L389">
            <v>0.86363636363636365</v>
          </cell>
          <cell r="M389" t="str">
            <v>-</v>
          </cell>
          <cell r="O389" t="str">
            <v>NO RISK</v>
          </cell>
        </row>
        <row r="390">
          <cell r="B390" t="str">
            <v>TÜRKİYE ŞİŞE VE CAM FABRİKALARI A.Ş.</v>
          </cell>
          <cell r="C390" t="str">
            <v>ENTERPRISE</v>
          </cell>
          <cell r="E390">
            <v>29475</v>
          </cell>
          <cell r="G390">
            <v>29463</v>
          </cell>
          <cell r="H390">
            <v>0.99959287531806618</v>
          </cell>
          <cell r="I390" t="str">
            <v>NO RISK</v>
          </cell>
          <cell r="J390" t="str">
            <v>NO RISK</v>
          </cell>
          <cell r="K390">
            <v>6</v>
          </cell>
          <cell r="L390">
            <v>1</v>
          </cell>
          <cell r="M390" t="str">
            <v>-</v>
          </cell>
          <cell r="N390">
            <v>2.6785411365564036</v>
          </cell>
          <cell r="O390" t="str">
            <v>NO RISK</v>
          </cell>
        </row>
        <row r="391">
          <cell r="B391" t="str">
            <v>Türkiye'nin Otomobili Girişim Grubu San.veTic. A.Ş</v>
          </cell>
          <cell r="C391" t="str">
            <v>ENTERPRISE</v>
          </cell>
          <cell r="E391">
            <v>54011</v>
          </cell>
          <cell r="G391">
            <v>53987</v>
          </cell>
          <cell r="H391">
            <v>0.99955564607209646</v>
          </cell>
          <cell r="I391" t="str">
            <v>LOW RISK</v>
          </cell>
          <cell r="J391" t="str">
            <v>HİZMET MEMNUNİYETSİZLİĞİ</v>
          </cell>
          <cell r="K391">
            <v>83</v>
          </cell>
          <cell r="L391">
            <v>0.6506024096385542</v>
          </cell>
          <cell r="M391" t="str">
            <v>-</v>
          </cell>
          <cell r="N391">
            <v>0.93386840952151728</v>
          </cell>
          <cell r="O391" t="str">
            <v>ÇÖZÜMSÜZLÜK</v>
          </cell>
        </row>
        <row r="392">
          <cell r="B392" t="str">
            <v>TURKVEN Turk Ventures Advisory Limited</v>
          </cell>
          <cell r="C392" t="str">
            <v>SMB</v>
          </cell>
          <cell r="E392">
            <v>536</v>
          </cell>
          <cell r="F392">
            <v>0.4222686807585227</v>
          </cell>
          <cell r="G392">
            <v>332</v>
          </cell>
          <cell r="H392">
            <v>0.61940298507462688</v>
          </cell>
          <cell r="I392" t="str">
            <v>NO RISK</v>
          </cell>
          <cell r="J392" t="str">
            <v>NO RISK</v>
          </cell>
          <cell r="K392">
            <v>0</v>
          </cell>
          <cell r="M392" t="str">
            <v>-</v>
          </cell>
          <cell r="O392" t="str">
            <v>NO RISK</v>
          </cell>
        </row>
        <row r="393">
          <cell r="B393" t="str">
            <v>TURSOY OTELCILIK VE TURIZM YATIRIMLARI A.S</v>
          </cell>
          <cell r="C393" t="str">
            <v>SMB</v>
          </cell>
          <cell r="E393">
            <v>214</v>
          </cell>
          <cell r="F393">
            <v>0.42427011190372871</v>
          </cell>
          <cell r="G393">
            <v>131</v>
          </cell>
          <cell r="H393">
            <v>0.61214953271028039</v>
          </cell>
          <cell r="I393" t="str">
            <v>CHURN</v>
          </cell>
          <cell r="J393" t="str">
            <v>SÖZLEŞME SÜRECİ</v>
          </cell>
          <cell r="K393">
            <v>4</v>
          </cell>
          <cell r="L393">
            <v>1</v>
          </cell>
          <cell r="M393" t="str">
            <v>1</v>
          </cell>
          <cell r="O393" t="str">
            <v>FİYAT</v>
          </cell>
        </row>
        <row r="394">
          <cell r="B394" t="str">
            <v>UÇARLAR TİC. KOLL.ŞTİ</v>
          </cell>
          <cell r="C394" t="str">
            <v>SMB</v>
          </cell>
          <cell r="E394">
            <v>93</v>
          </cell>
          <cell r="F394">
            <v>0.31952410477255055</v>
          </cell>
          <cell r="G394">
            <v>66</v>
          </cell>
          <cell r="H394">
            <v>0.70967741935483875</v>
          </cell>
          <cell r="I394" t="str">
            <v>NO RISK</v>
          </cell>
          <cell r="J394" t="str">
            <v>NO RISK</v>
          </cell>
          <cell r="K394">
            <v>0</v>
          </cell>
          <cell r="M394" t="str">
            <v>YOK</v>
          </cell>
          <cell r="O394" t="str">
            <v>NO RISK</v>
          </cell>
        </row>
        <row r="395">
          <cell r="B395" t="str">
            <v>UGI SOFT YAZILIM VE DANISMANLIK ANONIM SIRKETI</v>
          </cell>
          <cell r="C395" t="str">
            <v>OTHER</v>
          </cell>
          <cell r="E395">
            <v>16</v>
          </cell>
          <cell r="G395">
            <v>16</v>
          </cell>
          <cell r="H395">
            <v>1</v>
          </cell>
          <cell r="I395" t="str">
            <v>LOW RISK</v>
          </cell>
          <cell r="J395" t="str">
            <v>FİNANSAL PROBLEMLER</v>
          </cell>
          <cell r="K395">
            <v>0</v>
          </cell>
          <cell r="M395" t="str">
            <v>YOK</v>
          </cell>
          <cell r="N395">
            <v>10.3125</v>
          </cell>
          <cell r="O395" t="str">
            <v>ÖDEME SORUNU</v>
          </cell>
        </row>
        <row r="396">
          <cell r="B396" t="str">
            <v>ÜLGEN DENİZCİLİK VE LOJİSTİK SANAYİ TİCARET ANONİM</v>
          </cell>
          <cell r="C396" t="str">
            <v>SMB</v>
          </cell>
          <cell r="E396">
            <v>151</v>
          </cell>
          <cell r="F396">
            <v>0.13223140481296816</v>
          </cell>
          <cell r="G396">
            <v>133</v>
          </cell>
          <cell r="H396">
            <v>0.88079470198675491</v>
          </cell>
          <cell r="I396" t="str">
            <v>NO RISK</v>
          </cell>
          <cell r="J396" t="str">
            <v>NO RISK</v>
          </cell>
          <cell r="K396">
            <v>1</v>
          </cell>
          <cell r="L396">
            <v>1</v>
          </cell>
          <cell r="M396" t="str">
            <v>-</v>
          </cell>
          <cell r="O396" t="str">
            <v>NO RISK</v>
          </cell>
        </row>
        <row r="397">
          <cell r="B397" t="str">
            <v>UNIFREE DUTY FREE İŞLETMECİLİĞİ A.Ş.</v>
          </cell>
          <cell r="C397" t="str">
            <v>ENTERPRISE</v>
          </cell>
          <cell r="E397">
            <v>5698</v>
          </cell>
          <cell r="F397">
            <v>0.46709938146235791</v>
          </cell>
          <cell r="G397">
            <v>3303</v>
          </cell>
          <cell r="H397">
            <v>0.57967707967707971</v>
          </cell>
          <cell r="I397" t="str">
            <v>HIGH RISK</v>
          </cell>
          <cell r="J397" t="str">
            <v>HİZMET MEMNUNİYETSİZLİĞİ</v>
          </cell>
          <cell r="K397">
            <v>3</v>
          </cell>
          <cell r="L397">
            <v>0.33333333333333331</v>
          </cell>
          <cell r="M397" t="str">
            <v>-</v>
          </cell>
          <cell r="N397">
            <v>1.0227272727272727</v>
          </cell>
          <cell r="O397" t="str">
            <v>ÇÖZÜMSÜZLÜK</v>
          </cell>
        </row>
        <row r="398">
          <cell r="B398" t="str">
            <v>UNNOX GROUP</v>
          </cell>
          <cell r="C398" t="str">
            <v>SMB</v>
          </cell>
          <cell r="E398">
            <v>86</v>
          </cell>
          <cell r="F398">
            <v>0.30568948891031827</v>
          </cell>
          <cell r="G398">
            <v>62</v>
          </cell>
          <cell r="H398">
            <v>0.72093023255813948</v>
          </cell>
          <cell r="I398" t="str">
            <v>NO RISK</v>
          </cell>
          <cell r="J398" t="str">
            <v>NO RISK</v>
          </cell>
          <cell r="K398">
            <v>0</v>
          </cell>
          <cell r="M398" t="str">
            <v>YOK</v>
          </cell>
          <cell r="N398">
            <v>9.224806201550388</v>
          </cell>
          <cell r="O398" t="str">
            <v>NO RISK</v>
          </cell>
        </row>
        <row r="399">
          <cell r="B399" t="str">
            <v>UTKU ORMAN ÜRÜNLERİ</v>
          </cell>
          <cell r="C399" t="str">
            <v>SMB</v>
          </cell>
          <cell r="E399">
            <v>200</v>
          </cell>
          <cell r="F399">
            <v>0.17310319477958161</v>
          </cell>
          <cell r="G399">
            <v>169</v>
          </cell>
          <cell r="H399">
            <v>0.84499999999999997</v>
          </cell>
          <cell r="I399" t="str">
            <v>NO RISK</v>
          </cell>
          <cell r="J399" t="str">
            <v>NO RISK</v>
          </cell>
          <cell r="K399">
            <v>0</v>
          </cell>
          <cell r="M399" t="str">
            <v>YOK</v>
          </cell>
          <cell r="O399" t="str">
            <v>NO RISK</v>
          </cell>
        </row>
        <row r="400">
          <cell r="B400" t="str">
            <v>VAILLANT GROUP TURKEY</v>
          </cell>
          <cell r="C400" t="str">
            <v>ENTERPRISE</v>
          </cell>
          <cell r="E400">
            <v>2181</v>
          </cell>
          <cell r="G400">
            <v>2180</v>
          </cell>
          <cell r="H400">
            <v>0.99954149472718934</v>
          </cell>
          <cell r="I400" t="str">
            <v>NO RISK</v>
          </cell>
          <cell r="J400" t="str">
            <v>HİZMET MEMNUNİYETSİZLİĞİ</v>
          </cell>
          <cell r="K400">
            <v>13</v>
          </cell>
          <cell r="L400">
            <v>0.30769230769230771</v>
          </cell>
          <cell r="M400" t="str">
            <v>-</v>
          </cell>
          <cell r="O400" t="str">
            <v>RAPORLAMA EKSİKLİĞİ</v>
          </cell>
        </row>
        <row r="401">
          <cell r="B401" t="str">
            <v>VAKIFBANK SPOR KULUBÜ DERNEĞİ</v>
          </cell>
          <cell r="C401" t="str">
            <v>SMB</v>
          </cell>
          <cell r="E401">
            <v>144</v>
          </cell>
          <cell r="F401">
            <v>9.7190725227935398E-2</v>
          </cell>
          <cell r="G401">
            <v>131</v>
          </cell>
          <cell r="H401">
            <v>0.90972222222222221</v>
          </cell>
          <cell r="I401" t="str">
            <v>NO RISK</v>
          </cell>
          <cell r="J401" t="str">
            <v>NO RISK</v>
          </cell>
          <cell r="K401">
            <v>3</v>
          </cell>
          <cell r="L401">
            <v>0.66666666666666663</v>
          </cell>
          <cell r="M401" t="str">
            <v>-</v>
          </cell>
          <cell r="O401" t="str">
            <v>NO RISK</v>
          </cell>
        </row>
        <row r="402">
          <cell r="B402" t="str">
            <v>VANORAVENTURES YAZILIM TEKNOLOJİLERİ (NO21)</v>
          </cell>
          <cell r="C402" t="str">
            <v>ENTERPRISE</v>
          </cell>
          <cell r="E402">
            <v>1477</v>
          </cell>
          <cell r="F402">
            <v>0.21240173515099542</v>
          </cell>
          <cell r="G402">
            <v>1195</v>
          </cell>
          <cell r="H402">
            <v>0.80907244414353419</v>
          </cell>
          <cell r="I402" t="str">
            <v>HIGH RISK</v>
          </cell>
          <cell r="J402" t="str">
            <v>FİNANSAL PROBLEMLER</v>
          </cell>
          <cell r="K402">
            <v>0</v>
          </cell>
          <cell r="M402" t="str">
            <v>-</v>
          </cell>
          <cell r="O402" t="str">
            <v>MALİ DARALMA</v>
          </cell>
        </row>
        <row r="403">
          <cell r="B403" t="str">
            <v>VIKING TURIZM</v>
          </cell>
          <cell r="C403" t="str">
            <v>SMB</v>
          </cell>
          <cell r="E403">
            <v>971</v>
          </cell>
          <cell r="F403">
            <v>6.4120573361503536E-2</v>
          </cell>
          <cell r="G403">
            <v>915</v>
          </cell>
          <cell r="H403">
            <v>0.94232749742533473</v>
          </cell>
          <cell r="I403" t="str">
            <v>NO RISK</v>
          </cell>
          <cell r="J403" t="str">
            <v>NO RISK</v>
          </cell>
          <cell r="K403">
            <v>0</v>
          </cell>
          <cell r="M403" t="str">
            <v>YOK</v>
          </cell>
          <cell r="N403">
            <v>1.0169927909371781</v>
          </cell>
          <cell r="O403" t="str">
            <v>NO RISK</v>
          </cell>
        </row>
        <row r="404">
          <cell r="B404" t="str">
            <v>VIPFASHION TEKSTİL LİMİTED ŞİRKETİ</v>
          </cell>
          <cell r="C404" t="str">
            <v>SMB</v>
          </cell>
          <cell r="E404">
            <v>482</v>
          </cell>
          <cell r="F404">
            <v>0.29763417138050885</v>
          </cell>
          <cell r="G404">
            <v>353</v>
          </cell>
          <cell r="H404">
            <v>0.73236514522821572</v>
          </cell>
          <cell r="I404" t="str">
            <v>NO RISK</v>
          </cell>
          <cell r="J404" t="str">
            <v>NO RISK</v>
          </cell>
          <cell r="K404">
            <v>2</v>
          </cell>
          <cell r="L404">
            <v>0.5</v>
          </cell>
          <cell r="M404" t="str">
            <v>-</v>
          </cell>
          <cell r="N404">
            <v>1.3520055325034579</v>
          </cell>
          <cell r="O404" t="str">
            <v>NO RISK</v>
          </cell>
        </row>
        <row r="405">
          <cell r="B405" t="str">
            <v>VONTECH ELEKTRONİK VE TİC.LTD.ŞTİ</v>
          </cell>
          <cell r="C405" t="str">
            <v>SMB</v>
          </cell>
          <cell r="E405">
            <v>129</v>
          </cell>
          <cell r="F405">
            <v>0.31976858993001317</v>
          </cell>
          <cell r="G405">
            <v>92</v>
          </cell>
          <cell r="H405">
            <v>0.71317829457364346</v>
          </cell>
          <cell r="I405" t="str">
            <v>NO RISK</v>
          </cell>
          <cell r="J405" t="str">
            <v>NO RISK</v>
          </cell>
          <cell r="K405">
            <v>0</v>
          </cell>
          <cell r="M405" t="str">
            <v>YOK</v>
          </cell>
          <cell r="O405" t="str">
            <v>NO RISK</v>
          </cell>
        </row>
        <row r="406">
          <cell r="B406" t="str">
            <v>WEDİACORP TEKNOLOJİ MEDYA İLETİŞİM TURİZM SANAYİ V</v>
          </cell>
          <cell r="C406" t="str">
            <v>SMB</v>
          </cell>
          <cell r="E406">
            <v>103</v>
          </cell>
          <cell r="F406">
            <v>0.3021527019086388</v>
          </cell>
          <cell r="G406">
            <v>75</v>
          </cell>
          <cell r="H406">
            <v>0.72815533980582525</v>
          </cell>
          <cell r="I406" t="str">
            <v>NO RISK</v>
          </cell>
          <cell r="J406" t="str">
            <v>NO RISK</v>
          </cell>
          <cell r="K406">
            <v>2</v>
          </cell>
          <cell r="L406">
            <v>1</v>
          </cell>
          <cell r="M406" t="str">
            <v>-</v>
          </cell>
          <cell r="O406" t="str">
            <v>NO RISK</v>
          </cell>
        </row>
        <row r="407">
          <cell r="B407" t="str">
            <v>WEIR TURKEY MINERALLERI LTD.STI.</v>
          </cell>
          <cell r="C407" t="str">
            <v>SMB</v>
          </cell>
          <cell r="E407">
            <v>502</v>
          </cell>
          <cell r="F407">
            <v>9.3588431344476419E-2</v>
          </cell>
          <cell r="G407">
            <v>460</v>
          </cell>
          <cell r="H407">
            <v>0.91633466135458164</v>
          </cell>
          <cell r="I407" t="str">
            <v>NO RISK</v>
          </cell>
          <cell r="J407" t="str">
            <v>NO RISK</v>
          </cell>
          <cell r="K407">
            <v>0</v>
          </cell>
          <cell r="M407" t="str">
            <v>-</v>
          </cell>
          <cell r="N407">
            <v>0.9760956175298805</v>
          </cell>
          <cell r="O407" t="str">
            <v>NO RISK</v>
          </cell>
        </row>
        <row r="408">
          <cell r="B408" t="str">
            <v>WEITNAUER DIŞ TİC.A.Ş. (DEM DIŞ TİC )</v>
          </cell>
          <cell r="C408" t="str">
            <v>SMB</v>
          </cell>
          <cell r="E408">
            <v>830</v>
          </cell>
          <cell r="F408">
            <v>0.14973598014837036</v>
          </cell>
          <cell r="G408">
            <v>718</v>
          </cell>
          <cell r="H408">
            <v>0.86506024096385548</v>
          </cell>
          <cell r="I408" t="str">
            <v>BOOKED CHURN</v>
          </cell>
          <cell r="J408" t="str">
            <v>HİZMET MEMNUNİYETSİZLİĞİ</v>
          </cell>
          <cell r="K408">
            <v>4</v>
          </cell>
          <cell r="L408">
            <v>1</v>
          </cell>
          <cell r="M408" t="str">
            <v>-</v>
          </cell>
          <cell r="O408" t="str">
            <v>ÇÖZÜMSÜZLÜK</v>
          </cell>
        </row>
        <row r="409">
          <cell r="B409" t="str">
            <v>WORKINTON</v>
          </cell>
          <cell r="C409" t="str">
            <v>SMB</v>
          </cell>
          <cell r="E409">
            <v>1334</v>
          </cell>
          <cell r="F409">
            <v>0.13073158150430464</v>
          </cell>
          <cell r="G409">
            <v>1177</v>
          </cell>
          <cell r="H409">
            <v>0.88230884557721134</v>
          </cell>
          <cell r="I409" t="str">
            <v>NO RISK</v>
          </cell>
          <cell r="J409" t="str">
            <v>NO RISK</v>
          </cell>
          <cell r="K409">
            <v>0</v>
          </cell>
          <cell r="M409" t="str">
            <v>YOK</v>
          </cell>
          <cell r="N409">
            <v>1.2706146926536732</v>
          </cell>
          <cell r="O409" t="str">
            <v>NO RISK</v>
          </cell>
        </row>
        <row r="410">
          <cell r="B410" t="str">
            <v>YAFES TEKNOLOJİ TİCARET LİMİTED ŞİRKETİ</v>
          </cell>
          <cell r="C410" t="str">
            <v>SMB</v>
          </cell>
          <cell r="E410">
            <v>111</v>
          </cell>
          <cell r="F410">
            <v>8.9752107036358372E-2</v>
          </cell>
          <cell r="G410">
            <v>102</v>
          </cell>
          <cell r="H410">
            <v>0.91891891891891897</v>
          </cell>
          <cell r="I410" t="str">
            <v>NO RISK</v>
          </cell>
          <cell r="J410" t="str">
            <v>NO RISK</v>
          </cell>
          <cell r="K410">
            <v>7</v>
          </cell>
          <cell r="L410">
            <v>0.7142857142857143</v>
          </cell>
          <cell r="M410" t="str">
            <v>1</v>
          </cell>
          <cell r="O410" t="str">
            <v>NO RISK</v>
          </cell>
        </row>
        <row r="411">
          <cell r="B411" t="str">
            <v>YAYLAGÜL MULTİMEDYA BİLG.TİC.LTD ŞTİ (REVOTAS)</v>
          </cell>
          <cell r="C411" t="str">
            <v>SMB</v>
          </cell>
          <cell r="E411">
            <v>1661</v>
          </cell>
          <cell r="G411">
            <v>1661</v>
          </cell>
          <cell r="H411">
            <v>1</v>
          </cell>
          <cell r="I411" t="str">
            <v>NO RISK</v>
          </cell>
          <cell r="J411" t="str">
            <v>HİZMET MEMNUNİYETSİZLİĞİ</v>
          </cell>
          <cell r="K411">
            <v>3</v>
          </cell>
          <cell r="L411">
            <v>0.33333333333333331</v>
          </cell>
          <cell r="M411" t="str">
            <v>-</v>
          </cell>
          <cell r="N411">
            <v>1.0224764198274132</v>
          </cell>
          <cell r="O411" t="str">
            <v>SÖZLEŞME - HİZMET BEKLENTİSİ UYUŞMAZLIĞI</v>
          </cell>
        </row>
        <row r="412">
          <cell r="B412" t="str">
            <v>YEMEK PAY ELEKTRONİK PARA ve ODEME Hiz. A.S.</v>
          </cell>
          <cell r="C412" t="str">
            <v>ENTERPRISE</v>
          </cell>
          <cell r="E412">
            <v>4877</v>
          </cell>
          <cell r="G412">
            <v>4875</v>
          </cell>
          <cell r="H412">
            <v>0.99958991183104362</v>
          </cell>
          <cell r="I412" t="str">
            <v>NO RISK</v>
          </cell>
          <cell r="J412" t="str">
            <v>HİZMET MEMNUNİYETSİZLİĞİ</v>
          </cell>
          <cell r="K412">
            <v>28</v>
          </cell>
          <cell r="L412">
            <v>0.8214285714285714</v>
          </cell>
          <cell r="M412" t="str">
            <v>-</v>
          </cell>
          <cell r="N412">
            <v>1.022657371334837</v>
          </cell>
          <cell r="O412" t="str">
            <v>NETWORK</v>
          </cell>
        </row>
        <row r="413">
          <cell r="B413" t="str">
            <v>YEYKİM QUATTRO YAPI ENDÜSTRİ KİMYA SANAYİ VE TİCAR</v>
          </cell>
          <cell r="C413" t="str">
            <v>SMB</v>
          </cell>
          <cell r="E413">
            <v>103</v>
          </cell>
          <cell r="F413">
            <v>0.30215308180302747</v>
          </cell>
          <cell r="G413">
            <v>75</v>
          </cell>
          <cell r="H413">
            <v>0.72815533980582525</v>
          </cell>
          <cell r="I413" t="str">
            <v>NO RISK</v>
          </cell>
          <cell r="J413" t="str">
            <v>NO RISK</v>
          </cell>
          <cell r="K413">
            <v>1</v>
          </cell>
          <cell r="M413" t="str">
            <v>1</v>
          </cell>
          <cell r="O413" t="str">
            <v>NO RISK</v>
          </cell>
        </row>
        <row r="414">
          <cell r="B414" t="str">
            <v>ZAFER TAAHHÜT İNŞ. VE TİC. A.Ş.</v>
          </cell>
          <cell r="C414" t="str">
            <v>SMB</v>
          </cell>
          <cell r="E414">
            <v>216</v>
          </cell>
          <cell r="F414">
            <v>0.17846443309255491</v>
          </cell>
          <cell r="G414">
            <v>181</v>
          </cell>
          <cell r="H414">
            <v>0.83796296296296291</v>
          </cell>
          <cell r="I414" t="str">
            <v>NO RISK</v>
          </cell>
          <cell r="J414" t="str">
            <v>NO RISK</v>
          </cell>
          <cell r="K414">
            <v>0</v>
          </cell>
          <cell r="M414" t="str">
            <v>-</v>
          </cell>
          <cell r="O414" t="str">
            <v>NO RISK</v>
          </cell>
        </row>
        <row r="415">
          <cell r="B415" t="str">
            <v>ZAMIL GROUP TURKEY INS.TURIZM VE ENDUSTRIYEL YATIR</v>
          </cell>
          <cell r="C415" t="str">
            <v>SMB</v>
          </cell>
          <cell r="E415">
            <v>27</v>
          </cell>
          <cell r="F415">
            <v>1</v>
          </cell>
          <cell r="G415">
            <v>3</v>
          </cell>
          <cell r="H415">
            <v>0.1111111111111111</v>
          </cell>
          <cell r="I415" t="str">
            <v>NO RISK</v>
          </cell>
          <cell r="J415" t="str">
            <v>NO RISK</v>
          </cell>
          <cell r="K415">
            <v>1</v>
          </cell>
          <cell r="L415">
            <v>1</v>
          </cell>
          <cell r="M415" t="str">
            <v>-</v>
          </cell>
          <cell r="O415" t="str">
            <v>NO RISK</v>
          </cell>
        </row>
        <row r="416">
          <cell r="B416" t="str">
            <v>ZEBRA TEKSTİL İNŞAAT SANAYİ VE TİCARET LİMİTED ŞİR</v>
          </cell>
          <cell r="C416" t="str">
            <v>SMB</v>
          </cell>
          <cell r="E416">
            <v>475</v>
          </cell>
          <cell r="F416">
            <v>0.17473856447570291</v>
          </cell>
          <cell r="G416">
            <v>400</v>
          </cell>
          <cell r="H416">
            <v>0.84210526315789469</v>
          </cell>
          <cell r="I416" t="str">
            <v>NO RISK</v>
          </cell>
          <cell r="J416" t="str">
            <v>NO RISK</v>
          </cell>
          <cell r="K416">
            <v>1</v>
          </cell>
          <cell r="L416">
            <v>1</v>
          </cell>
          <cell r="M416" t="str">
            <v>-</v>
          </cell>
          <cell r="N416">
            <v>1</v>
          </cell>
          <cell r="O416" t="str">
            <v>NO RISK</v>
          </cell>
        </row>
        <row r="417">
          <cell r="B417" t="str">
            <v>ZNN GIRISIM DANISMANLIK NURGÜL SENEFE MUSTAFAOGLU</v>
          </cell>
          <cell r="C417" t="str">
            <v>SMB</v>
          </cell>
          <cell r="E417">
            <v>67</v>
          </cell>
          <cell r="F417">
            <v>1</v>
          </cell>
          <cell r="G417">
            <v>7</v>
          </cell>
          <cell r="H417">
            <v>0.1044776119402985</v>
          </cell>
          <cell r="I417" t="str">
            <v>NO RISK</v>
          </cell>
          <cell r="J417" t="str">
            <v>NO RISK</v>
          </cell>
          <cell r="K417">
            <v>3</v>
          </cell>
          <cell r="L417">
            <v>0.66666666666666663</v>
          </cell>
          <cell r="M417" t="str">
            <v>-</v>
          </cell>
          <cell r="O417" t="str">
            <v>NO RISK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A2ACE-7A83-4716-87AA-28554BFAA51B}">
  <dimension ref="A1:BJ530"/>
  <sheetViews>
    <sheetView tabSelected="1" workbookViewId="0">
      <selection activeCell="A4" sqref="A4"/>
    </sheetView>
  </sheetViews>
  <sheetFormatPr defaultRowHeight="15" x14ac:dyDescent="0.25"/>
  <cols>
    <col min="6" max="6" width="22.5703125" bestFit="1" customWidth="1"/>
    <col min="7" max="7" width="25.28515625" bestFit="1" customWidth="1"/>
    <col min="8" max="8" width="14.42578125" bestFit="1" customWidth="1"/>
    <col min="9" max="10" width="19" bestFit="1" customWidth="1"/>
    <col min="11" max="11" width="18.5703125" bestFit="1" customWidth="1"/>
    <col min="12" max="12" width="23.140625" bestFit="1" customWidth="1"/>
    <col min="13" max="13" width="17.7109375" bestFit="1" customWidth="1"/>
    <col min="14" max="14" width="17.28515625" customWidth="1"/>
    <col min="15" max="15" width="18.28515625" bestFit="1" customWidth="1"/>
    <col min="16" max="16" width="33.85546875" bestFit="1" customWidth="1"/>
    <col min="17" max="17" width="36.5703125" bestFit="1" customWidth="1"/>
    <col min="21" max="21" width="9.140625" customWidth="1"/>
    <col min="22" max="22" width="35.5703125" bestFit="1" customWidth="1"/>
    <col min="23" max="23" width="39.140625" bestFit="1" customWidth="1"/>
  </cols>
  <sheetData>
    <row r="1" spans="1:62" x14ac:dyDescent="0.25">
      <c r="A1" s="1" t="s">
        <v>366</v>
      </c>
      <c r="B1" s="1"/>
      <c r="C1" s="1" t="s">
        <v>524</v>
      </c>
      <c r="D1" s="1" t="s">
        <v>537</v>
      </c>
      <c r="E1" s="1" t="s">
        <v>367</v>
      </c>
      <c r="F1" s="1" t="s">
        <v>577</v>
      </c>
      <c r="G1" s="1" t="s">
        <v>578</v>
      </c>
      <c r="H1" s="1" t="s">
        <v>547</v>
      </c>
      <c r="I1" s="1" t="s">
        <v>579</v>
      </c>
      <c r="J1" s="1" t="s">
        <v>580</v>
      </c>
      <c r="K1" s="1" t="s">
        <v>581</v>
      </c>
      <c r="L1" s="1" t="s">
        <v>538</v>
      </c>
      <c r="M1" s="1" t="s">
        <v>368</v>
      </c>
      <c r="N1" s="1" t="s">
        <v>369</v>
      </c>
      <c r="O1" s="1" t="s">
        <v>370</v>
      </c>
      <c r="P1" s="1" t="s">
        <v>573</v>
      </c>
      <c r="Q1" s="1" t="s">
        <v>574</v>
      </c>
      <c r="R1" s="1" t="s">
        <v>371</v>
      </c>
      <c r="S1" s="1" t="s">
        <v>372</v>
      </c>
      <c r="T1" s="1" t="s">
        <v>545</v>
      </c>
      <c r="U1" s="5" t="s">
        <v>373</v>
      </c>
      <c r="V1" s="5" t="s">
        <v>575</v>
      </c>
      <c r="W1" s="5" t="s">
        <v>576</v>
      </c>
      <c r="Y1" s="2" t="s">
        <v>582</v>
      </c>
      <c r="Z1" s="2" t="s">
        <v>583</v>
      </c>
      <c r="AA1" s="2" t="s">
        <v>584</v>
      </c>
      <c r="AB1" s="2" t="s">
        <v>585</v>
      </c>
      <c r="AC1" s="2" t="s">
        <v>586</v>
      </c>
      <c r="AD1" s="2" t="s">
        <v>587</v>
      </c>
      <c r="AE1" s="2" t="s">
        <v>588</v>
      </c>
      <c r="AF1" s="2" t="s">
        <v>589</v>
      </c>
      <c r="AG1" s="2" t="s">
        <v>590</v>
      </c>
      <c r="AH1" s="2" t="s">
        <v>591</v>
      </c>
      <c r="AI1" s="2" t="s">
        <v>592</v>
      </c>
      <c r="AJ1" s="2" t="s">
        <v>593</v>
      </c>
      <c r="AK1" s="10" t="s">
        <v>594</v>
      </c>
      <c r="AL1" s="10" t="s">
        <v>595</v>
      </c>
      <c r="AM1" s="10" t="s">
        <v>596</v>
      </c>
      <c r="AN1" s="10" t="s">
        <v>597</v>
      </c>
      <c r="AO1" s="10" t="s">
        <v>598</v>
      </c>
      <c r="AP1" s="10" t="s">
        <v>599</v>
      </c>
      <c r="AQ1" s="10" t="s">
        <v>600</v>
      </c>
      <c r="AR1" s="10" t="s">
        <v>601</v>
      </c>
      <c r="AS1" s="10" t="s">
        <v>602</v>
      </c>
      <c r="AT1" s="10" t="s">
        <v>603</v>
      </c>
      <c r="AU1" s="10" t="s">
        <v>604</v>
      </c>
      <c r="AV1" s="10" t="s">
        <v>605</v>
      </c>
      <c r="AW1" s="2" t="s">
        <v>527</v>
      </c>
      <c r="AX1" s="2" t="s">
        <v>528</v>
      </c>
      <c r="AY1" s="2" t="s">
        <v>529</v>
      </c>
      <c r="AZ1" s="2" t="s">
        <v>530</v>
      </c>
      <c r="BA1" s="2" t="s">
        <v>531</v>
      </c>
      <c r="BB1" s="2" t="s">
        <v>532</v>
      </c>
      <c r="BC1" s="2" t="s">
        <v>533</v>
      </c>
      <c r="BD1" s="2" t="s">
        <v>534</v>
      </c>
      <c r="BE1" s="2" t="s">
        <v>535</v>
      </c>
      <c r="BF1" s="2" t="s">
        <v>536</v>
      </c>
      <c r="BG1" s="2" t="s">
        <v>548</v>
      </c>
      <c r="BH1" s="2" t="s">
        <v>549</v>
      </c>
    </row>
    <row r="2" spans="1:62" x14ac:dyDescent="0.25">
      <c r="A2" s="6" t="s">
        <v>0</v>
      </c>
      <c r="B2" s="6"/>
      <c r="C2" s="7" t="s">
        <v>526</v>
      </c>
      <c r="D2" s="3"/>
      <c r="E2" s="3">
        <f>VLOOKUP(A2,[2]Sheet1!$A$2:$E$627,5,0)</f>
        <v>1108.4134578293342</v>
      </c>
      <c r="F2" s="3">
        <f>VLOOKUP(A2,[2]Sheet1!$A$2:$F$627,6,0)</f>
        <v>1171.9315282969169</v>
      </c>
      <c r="G2" s="3">
        <f>VLOOKUP(A2,[2]Sheet1!$A$2:$G$627,7,0)</f>
        <v>1454.5186431131301</v>
      </c>
      <c r="H2" s="4">
        <f>MAX(BF2:BH2)</f>
        <v>0</v>
      </c>
      <c r="I2" s="11">
        <f>(F2-E2)/E2</f>
        <v>5.7305394497801872E-2</v>
      </c>
      <c r="J2" s="11">
        <f>(G2-E2)/E2</f>
        <v>0.3122527815221518</v>
      </c>
      <c r="K2" s="11">
        <f>(G2-F2)/F2</f>
        <v>0.24112937316984429</v>
      </c>
      <c r="L2" s="11">
        <f>IF(S2="",((BG2-E2)/E2),((U2-E2)/E2))</f>
        <v>0.26516490849730479</v>
      </c>
      <c r="M2" s="3" t="str">
        <f>IF(S2="Churn","Churn",VLOOKUP(A2,'[1]Revenue_Engine_2025 Dec.25'!$C$14:$E$3993,3,0))</f>
        <v>Churn</v>
      </c>
      <c r="N2" s="3" t="str">
        <f>IF(S2="",VLOOKUP(A2,[3]Export!$B$2:$F$417,5,0),"CHURN")</f>
        <v>CHURN</v>
      </c>
      <c r="O2" s="3" t="e">
        <f>(1-N2)*H2</f>
        <v>#VALUE!</v>
      </c>
      <c r="P2" s="3" t="e">
        <f>(1-N2)*F2</f>
        <v>#VALUE!</v>
      </c>
      <c r="Q2" s="3" t="e">
        <f>(1-N2)*G2</f>
        <v>#VALUE!</v>
      </c>
      <c r="R2" s="3" t="str">
        <f>IF(S2&lt;&gt;"Churn",VLOOKUP(A2,[3]Export!$B$2:$O$417,8,0),"CHURN")</f>
        <v>CHURN</v>
      </c>
      <c r="S2" s="3" t="s">
        <v>372</v>
      </c>
      <c r="T2" s="3" t="s">
        <v>550</v>
      </c>
      <c r="U2" s="3">
        <v>1402.3258109518308</v>
      </c>
      <c r="V2" s="4" t="str" cm="1">
        <f t="array" ref="V2">IFERROR(
    IF(
        MATCH(2,1/((Y2:BH2&lt;&gt;0)*(Y2:BH2&lt;&gt;"")))-MATCH(1,INDEX((Y2:BH2&lt;&gt;0)*(Y2:BH2&lt;&gt;""),0),0)+1 &lt;= 12,
        "No",
        "Yes"
    ),
    "No"
)</f>
        <v>Yes</v>
      </c>
      <c r="W2" s="4" t="str" cm="1">
        <f t="array" ref="W2">IFERROR(
    IF(
        MATCH(2,1/((Y2:BH2&lt;&gt;0)*(Y2:BH2&lt;&gt;"")))-MATCH(1,INDEX((Y2:BH2&lt;&gt;0)*(Y2:BH2&lt;&gt;""),0),0)+1 &lt;= 24,
        "No",
        "Yes"
    ),
    "No"
)</f>
        <v>Yes</v>
      </c>
      <c r="X2" s="3"/>
      <c r="Y2" s="4">
        <v>1108.4134578293342</v>
      </c>
      <c r="Z2" s="4">
        <v>1106.264946530172</v>
      </c>
      <c r="AA2" s="4">
        <v>1101.7348567481054</v>
      </c>
      <c r="AB2" s="4">
        <v>1391.9504779318454</v>
      </c>
      <c r="AC2" s="4">
        <v>1383.8511923757064</v>
      </c>
      <c r="AD2" s="4">
        <v>1243.130030469044</v>
      </c>
      <c r="AE2" s="4">
        <v>1167.467228035493</v>
      </c>
      <c r="AF2" s="4">
        <v>1167.4004493893581</v>
      </c>
      <c r="AG2" s="4">
        <v>1166.7968883749763</v>
      </c>
      <c r="AH2" s="4">
        <v>1176.7694472771832</v>
      </c>
      <c r="AI2" s="4">
        <v>1241.9328247658564</v>
      </c>
      <c r="AJ2" s="4">
        <v>1191.1407996473258</v>
      </c>
      <c r="AK2" s="4">
        <v>1171.9315282969169</v>
      </c>
      <c r="AL2" s="4">
        <v>1158.5208626149165</v>
      </c>
      <c r="AM2" s="4">
        <v>1138.6802657418023</v>
      </c>
      <c r="AN2" s="4">
        <v>1458.7673186194074</v>
      </c>
      <c r="AO2" s="4">
        <v>1421.7715795086842</v>
      </c>
      <c r="AP2" s="4">
        <v>1414.4072913034815</v>
      </c>
      <c r="AQ2" s="4">
        <v>1482.6448892623268</v>
      </c>
      <c r="AR2" s="4">
        <v>1464.0813201730082</v>
      </c>
      <c r="AS2" s="4">
        <v>1454.4213167193764</v>
      </c>
      <c r="AT2" s="4">
        <v>1449.263620606738</v>
      </c>
      <c r="AU2" s="4">
        <v>1444.69440325649</v>
      </c>
      <c r="AV2" s="4">
        <v>1431.8765507160836</v>
      </c>
      <c r="AW2" s="4">
        <v>1454.5186431131301</v>
      </c>
      <c r="AX2" s="4">
        <v>1443.889912066953</v>
      </c>
      <c r="AY2" s="4">
        <v>1423.5512264602289</v>
      </c>
      <c r="AZ2" s="4">
        <v>1402.3258109518308</v>
      </c>
      <c r="BA2" s="4">
        <v>1163.1977747714659</v>
      </c>
      <c r="BB2" s="4">
        <v>537.27688286194507</v>
      </c>
      <c r="BC2" s="4">
        <v>0</v>
      </c>
      <c r="BD2" s="4">
        <v>0</v>
      </c>
      <c r="BE2" s="4">
        <v>0</v>
      </c>
      <c r="BF2" s="4">
        <v>0</v>
      </c>
      <c r="BG2" s="4">
        <v>0</v>
      </c>
      <c r="BH2" s="4">
        <v>0</v>
      </c>
      <c r="BJ2" s="9"/>
    </row>
    <row r="3" spans="1:62" x14ac:dyDescent="0.25">
      <c r="A3" s="6" t="s">
        <v>1</v>
      </c>
      <c r="B3" s="6"/>
      <c r="C3" s="7" t="s">
        <v>526</v>
      </c>
      <c r="D3" s="3"/>
      <c r="E3" s="3">
        <f>VLOOKUP(A3,[2]Sheet1!$A$2:$E$627,5,0)</f>
        <v>1713.4871629638615</v>
      </c>
      <c r="F3" s="3">
        <f>VLOOKUP(A3,[2]Sheet1!$A$2:$F$627,6,0)</f>
        <v>1863.9900479145342</v>
      </c>
      <c r="G3" s="3">
        <f>VLOOKUP(A3,[2]Sheet1!$A$2:$G$627,7,0)</f>
        <v>2334.1407031633607</v>
      </c>
      <c r="H3" s="4">
        <f t="shared" ref="H3:H66" si="0">MAX(BF3:BH3)</f>
        <v>2108.0230000000001</v>
      </c>
      <c r="I3" s="11">
        <f t="shared" ref="I3:I66" si="1">(F3-E3)/E3</f>
        <v>8.783426465264213E-2</v>
      </c>
      <c r="J3" s="11">
        <f t="shared" ref="J3:J66" si="2">(G3-E3)/E3</f>
        <v>0.36221662677994004</v>
      </c>
      <c r="K3" s="11">
        <f t="shared" ref="K3:K66" si="3">(G3-F3)/F3</f>
        <v>0.25222809304955229</v>
      </c>
      <c r="L3" s="11">
        <f>IF(S3="",((BG3-E3)/E3),((U3-E3)/E3))</f>
        <v>0.23025316183501499</v>
      </c>
      <c r="M3" s="3" t="str">
        <f>IF(S3="Churn","Churn",VLOOKUP(A3,'[1]Revenue_Engine_2025 Dec.25'!$C$14:$E$3993,3,0))</f>
        <v>Sağlık</v>
      </c>
      <c r="N3" s="3">
        <f>IF(S3="",VLOOKUP(A3,[3]Export!$B$2:$F$417,5,0),"CHURN")</f>
        <v>0.12783684048988081</v>
      </c>
      <c r="O3" s="3">
        <f>(1-N3)*H3</f>
        <v>1838.54</v>
      </c>
      <c r="P3" s="3">
        <f>(1-N3)*F3</f>
        <v>1625.7034494845584</v>
      </c>
      <c r="Q3" s="3">
        <f t="shared" ref="Q3:Q66" si="4">(1-N3)*G3</f>
        <v>2035.7515304121277</v>
      </c>
      <c r="R3" s="3" t="str">
        <f>IF(S3&lt;&gt;"Churn",VLOOKUP(A3,[3]Export!$B$2:$O$417,8,0),"CHURN")</f>
        <v>LOW RISK</v>
      </c>
      <c r="S3" s="3"/>
      <c r="T3" s="3"/>
      <c r="U3" s="3" t="s">
        <v>551</v>
      </c>
      <c r="V3" s="4" t="str" cm="1">
        <f t="array" ref="V3">IFERROR(
    IF(
        MATCH(2,1/((Y3:BH3&lt;&gt;0)*(Y3:BH3&lt;&gt;"")))-MATCH(1,INDEX((Y3:BH3&lt;&gt;0)*(Y3:BH3&lt;&gt;""),0),0)+1 &lt;= 12,
        "No",
        "Yes"
    ),
    "No"
)</f>
        <v>Yes</v>
      </c>
      <c r="W3" s="4" t="str" cm="1">
        <f t="array" ref="W3">IFERROR(
    IF(
        MATCH(2,1/((Y3:BH3&lt;&gt;0)*(Y3:BH3&lt;&gt;"")))-MATCH(1,INDEX((Y3:BH3&lt;&gt;0)*(Y3:BH3&lt;&gt;""),0),0)+1 &lt;= 24,
        "No",
        "Yes"
    ),
    "No"
)</f>
        <v>Yes</v>
      </c>
      <c r="X3" s="3"/>
      <c r="Y3" s="4">
        <v>666.37168613360495</v>
      </c>
      <c r="Z3" s="4">
        <v>664.05648198813208</v>
      </c>
      <c r="AA3" s="4">
        <v>1713.4871629638615</v>
      </c>
      <c r="AB3" s="4">
        <v>1710.1344093317657</v>
      </c>
      <c r="AC3" s="4">
        <v>1697.1861460323589</v>
      </c>
      <c r="AD3" s="4">
        <v>1590.6333597569314</v>
      </c>
      <c r="AE3" s="4">
        <v>1696.2987683061228</v>
      </c>
      <c r="AF3" s="4">
        <v>1683.6398809183224</v>
      </c>
      <c r="AG3" s="4">
        <v>1947.451329767292</v>
      </c>
      <c r="AH3" s="4">
        <v>1922.1695207553023</v>
      </c>
      <c r="AI3" s="4">
        <v>1900.2844892575633</v>
      </c>
      <c r="AJ3" s="4">
        <v>1888.2390334523839</v>
      </c>
      <c r="AK3" s="4">
        <v>1863.9900479145342</v>
      </c>
      <c r="AL3" s="4">
        <v>1847.0609810986377</v>
      </c>
      <c r="AM3" s="4">
        <v>1819.5008392703851</v>
      </c>
      <c r="AN3" s="4">
        <v>1930.4865678845385</v>
      </c>
      <c r="AO3" s="4">
        <v>1876.6043495534677</v>
      </c>
      <c r="AP3" s="4">
        <v>1869.7930711421304</v>
      </c>
      <c r="AQ3" s="4">
        <v>1860.5534184224869</v>
      </c>
      <c r="AR3" s="4">
        <v>1843.5808546168378</v>
      </c>
      <c r="AS3" s="4">
        <v>1834.7487693539933</v>
      </c>
      <c r="AT3" s="4">
        <v>1830.0331176417226</v>
      </c>
      <c r="AU3" s="4">
        <v>2130.4278585335896</v>
      </c>
      <c r="AV3" s="4">
        <v>2113.9728063937564</v>
      </c>
      <c r="AW3" s="4">
        <v>2334.1407031633607</v>
      </c>
      <c r="AX3" s="4">
        <v>2316.0521034821159</v>
      </c>
      <c r="AY3" s="4">
        <v>2290.9030771707139</v>
      </c>
      <c r="AZ3" s="4">
        <v>2264.6472945387295</v>
      </c>
      <c r="BA3" s="4">
        <v>2108.0230000000001</v>
      </c>
      <c r="BB3" s="4">
        <v>2108.0230000000001</v>
      </c>
      <c r="BC3" s="4">
        <v>2108.0230000000001</v>
      </c>
      <c r="BD3" s="4">
        <v>2108.0230000000001</v>
      </c>
      <c r="BE3" s="4">
        <v>2108.0230000000001</v>
      </c>
      <c r="BF3" s="4">
        <v>2108.0230000000001</v>
      </c>
      <c r="BG3" s="4">
        <v>2108.0230000000001</v>
      </c>
      <c r="BH3" s="4">
        <v>2108.0230000000001</v>
      </c>
      <c r="BJ3" s="9"/>
    </row>
    <row r="4" spans="1:62" x14ac:dyDescent="0.25">
      <c r="A4" s="6" t="s">
        <v>2</v>
      </c>
      <c r="B4" s="6"/>
      <c r="C4" s="7" t="s">
        <v>526</v>
      </c>
      <c r="D4" s="3"/>
      <c r="E4" s="3">
        <f>VLOOKUP(A4,[2]Sheet1!$A$2:$E$627,5,0)</f>
        <v>625</v>
      </c>
      <c r="F4" s="3">
        <f>VLOOKUP(A4,[2]Sheet1!$A$2:$F$627,6,0)</f>
        <v>875</v>
      </c>
      <c r="G4" s="3">
        <f>VLOOKUP(A4,[2]Sheet1!$A$2:$G$627,7,0)</f>
        <v>1067.500002</v>
      </c>
      <c r="H4" s="4">
        <f t="shared" si="0"/>
        <v>915.85400200000015</v>
      </c>
      <c r="I4" s="11">
        <f t="shared" si="1"/>
        <v>0.4</v>
      </c>
      <c r="J4" s="11">
        <f t="shared" si="2"/>
        <v>0.70800000320000001</v>
      </c>
      <c r="K4" s="11">
        <f t="shared" si="3"/>
        <v>0.22000000228571429</v>
      </c>
      <c r="L4" s="11">
        <f>IF(S4="",((BG4-E4)/E4),((U4-E4)/E4))</f>
        <v>0.46536640320000022</v>
      </c>
      <c r="M4" s="3" t="str">
        <f>IF(S4="Churn","Churn",VLOOKUP(A4,'[1]Revenue_Engine_2025 Dec.25'!$C$14:$E$3993,3,0))</f>
        <v>Genel</v>
      </c>
      <c r="N4" s="3">
        <v>0</v>
      </c>
      <c r="O4" s="3">
        <f>(1-N4)*H4</f>
        <v>915.85400200000015</v>
      </c>
      <c r="P4" s="3">
        <f>(1-N4)*F4</f>
        <v>875</v>
      </c>
      <c r="Q4" s="3">
        <f t="shared" si="4"/>
        <v>1067.500002</v>
      </c>
      <c r="R4" s="3" t="s">
        <v>374</v>
      </c>
      <c r="S4" s="3"/>
      <c r="T4" s="3"/>
      <c r="U4" s="3" t="s">
        <v>551</v>
      </c>
      <c r="V4" s="4" t="str" cm="1">
        <f t="array" ref="V4">IFERROR(
    IF(
        MATCH(2,1/((Y4:BH4&lt;&gt;0)*(Y4:BH4&lt;&gt;"")))-MATCH(1,INDEX((Y4:BH4&lt;&gt;0)*(Y4:BH4&lt;&gt;""),0),0)+1 &lt;= 12,
        "No",
        "Yes"
    ),
    "No"
)</f>
        <v>Yes</v>
      </c>
      <c r="W4" s="4" t="str" cm="1">
        <f t="array" ref="W4">IFERROR(
    IF(
        MATCH(2,1/((Y4:BH4&lt;&gt;0)*(Y4:BH4&lt;&gt;"")))-MATCH(1,INDEX((Y4:BH4&lt;&gt;0)*(Y4:BH4&lt;&gt;""),0),0)+1 &lt;= 24,
        "No",
        "Yes"
    ),
    "No"
)</f>
        <v>Yes</v>
      </c>
      <c r="X4" s="3"/>
      <c r="Y4" s="4">
        <v>625</v>
      </c>
      <c r="Z4" s="4">
        <v>625</v>
      </c>
      <c r="AA4" s="4">
        <v>625</v>
      </c>
      <c r="AB4" s="4">
        <v>625</v>
      </c>
      <c r="AC4" s="4">
        <v>625</v>
      </c>
      <c r="AD4" s="4">
        <v>625</v>
      </c>
      <c r="AE4" s="4">
        <v>625</v>
      </c>
      <c r="AF4" s="4">
        <v>625</v>
      </c>
      <c r="AG4" s="4">
        <v>625</v>
      </c>
      <c r="AH4" s="4">
        <v>875</v>
      </c>
      <c r="AI4" s="4">
        <v>875</v>
      </c>
      <c r="AJ4" s="4">
        <v>875</v>
      </c>
      <c r="AK4" s="4">
        <v>875</v>
      </c>
      <c r="AL4" s="4">
        <v>875</v>
      </c>
      <c r="AM4" s="4">
        <v>875</v>
      </c>
      <c r="AN4" s="4">
        <v>875</v>
      </c>
      <c r="AO4" s="4">
        <v>875</v>
      </c>
      <c r="AP4" s="4">
        <v>875</v>
      </c>
      <c r="AQ4" s="4">
        <v>875</v>
      </c>
      <c r="AR4" s="4">
        <v>875</v>
      </c>
      <c r="AS4" s="4">
        <v>875</v>
      </c>
      <c r="AT4" s="4">
        <v>875</v>
      </c>
      <c r="AU4" s="4">
        <v>875</v>
      </c>
      <c r="AV4" s="4">
        <v>875</v>
      </c>
      <c r="AW4" s="4">
        <v>1067.500002</v>
      </c>
      <c r="AX4" s="4">
        <v>1067.500002</v>
      </c>
      <c r="AY4" s="4">
        <v>1067.500002</v>
      </c>
      <c r="AZ4" s="4">
        <v>1067.500002</v>
      </c>
      <c r="BA4" s="4">
        <v>1067.500002</v>
      </c>
      <c r="BB4" s="4">
        <v>1067.500002</v>
      </c>
      <c r="BC4" s="4">
        <v>915.85400200000015</v>
      </c>
      <c r="BD4" s="4">
        <v>915.85400200000015</v>
      </c>
      <c r="BE4" s="4">
        <v>915.85400200000015</v>
      </c>
      <c r="BF4" s="4">
        <v>915.85400200000015</v>
      </c>
      <c r="BG4" s="4">
        <v>915.85400200000015</v>
      </c>
      <c r="BH4" s="4">
        <v>915.85400200000015</v>
      </c>
      <c r="BJ4" s="9"/>
    </row>
    <row r="5" spans="1:62" x14ac:dyDescent="0.25">
      <c r="A5" s="6" t="s">
        <v>3</v>
      </c>
      <c r="B5" s="6"/>
      <c r="C5" s="7" t="s">
        <v>525</v>
      </c>
      <c r="D5" s="3"/>
      <c r="E5" s="3">
        <f>VLOOKUP(A5,[2]Sheet1!$A$2:$E$627,5,0)</f>
        <v>5659.3251360730992</v>
      </c>
      <c r="F5" s="3">
        <f>VLOOKUP(A5,[2]Sheet1!$A$2:$F$627,6,0)</f>
        <v>8505.5684506797588</v>
      </c>
      <c r="G5" s="3">
        <f>VLOOKUP(A5,[2]Sheet1!$A$2:$G$627,7,0)</f>
        <v>11904.487135304502</v>
      </c>
      <c r="H5" s="4">
        <f t="shared" si="0"/>
        <v>11111.609026110629</v>
      </c>
      <c r="I5" s="11">
        <f t="shared" si="1"/>
        <v>0.5029298098574374</v>
      </c>
      <c r="J5" s="11">
        <f t="shared" si="2"/>
        <v>1.1035170888882353</v>
      </c>
      <c r="K5" s="11">
        <f t="shared" si="3"/>
        <v>0.39961099652935061</v>
      </c>
      <c r="L5" s="11">
        <f>IF(S5="",((BG5-E5)/E5),((U5-E5)/E5))</f>
        <v>0.94836676472208137</v>
      </c>
      <c r="M5" s="3" t="str">
        <f>IF(S5="Churn","Churn",VLOOKUP(A5,'[1]Revenue_Engine_2025 Dec.25'!$C$14:$E$3993,3,0))</f>
        <v>Enerji</v>
      </c>
      <c r="N5" s="3">
        <f>IF(S5="",VLOOKUP(A5,[3]Export!$B$2:$F$417,5,0),"CHURN")</f>
        <v>0.22233614922472036</v>
      </c>
      <c r="O5" s="3">
        <f>(1-N5)*H5</f>
        <v>8641.0966635545465</v>
      </c>
      <c r="P5" s="3">
        <f>(1-N5)*F5</f>
        <v>6614.473114388351</v>
      </c>
      <c r="Q5" s="3">
        <f t="shared" si="4"/>
        <v>9257.6893071456761</v>
      </c>
      <c r="R5" s="3" t="str">
        <f>IF(S5&lt;&gt;"Churn",VLOOKUP(A5,[3]Export!$B$2:$O$417,8,0),"CHURN")</f>
        <v>HIGH RISK</v>
      </c>
      <c r="S5" s="3"/>
      <c r="T5" s="3"/>
      <c r="U5" s="3" t="s">
        <v>551</v>
      </c>
      <c r="V5" s="4" t="str" cm="1">
        <f t="array" ref="V5">IFERROR(
    IF(
        MATCH(2,1/((Y5:BH5&lt;&gt;0)*(Y5:BH5&lt;&gt;"")))-MATCH(1,INDEX((Y5:BH5&lt;&gt;0)*(Y5:BH5&lt;&gt;""),0),0)+1 &lt;= 12,
        "No",
        "Yes"
    ),
    "No"
)</f>
        <v>Yes</v>
      </c>
      <c r="W5" s="4" t="str" cm="1">
        <f t="array" ref="W5">IFERROR(
    IF(
        MATCH(2,1/((Y5:BH5&lt;&gt;0)*(Y5:BH5&lt;&gt;"")))-MATCH(1,INDEX((Y5:BH5&lt;&gt;0)*(Y5:BH5&lt;&gt;""),0),0)+1 &lt;= 24,
        "No",
        "Yes"
    ),
    "No"
)</f>
        <v>Yes</v>
      </c>
      <c r="X5" s="3"/>
      <c r="Y5" s="4">
        <v>5659.3251360730992</v>
      </c>
      <c r="Z5" s="4">
        <v>5645.1834283376811</v>
      </c>
      <c r="AA5" s="4">
        <v>5615.3659422773708</v>
      </c>
      <c r="AB5" s="4">
        <v>7839.681043815167</v>
      </c>
      <c r="AC5" s="4">
        <v>7731.6581161835848</v>
      </c>
      <c r="AD5" s="4">
        <v>6842.6939933677486</v>
      </c>
      <c r="AE5" s="4">
        <v>7724.2549431738562</v>
      </c>
      <c r="AF5" s="4">
        <v>7628.6425154657554</v>
      </c>
      <c r="AG5" s="4">
        <v>7613.5601242051571</v>
      </c>
      <c r="AH5" s="4">
        <v>7604.4707072916526</v>
      </c>
      <c r="AI5" s="4">
        <v>7454.092182878574</v>
      </c>
      <c r="AJ5" s="4">
        <v>7371.3242933257097</v>
      </c>
      <c r="AK5" s="4">
        <v>7871.5723042656273</v>
      </c>
      <c r="AL5" s="4">
        <v>7739.9251509958885</v>
      </c>
      <c r="AM5" s="4">
        <v>7525.6065323232515</v>
      </c>
      <c r="AN5" s="4">
        <v>8505.5684506797588</v>
      </c>
      <c r="AO5" s="4">
        <v>8514.8195185835193</v>
      </c>
      <c r="AP5" s="4">
        <v>8460.8611453950725</v>
      </c>
      <c r="AQ5" s="4">
        <v>8387.6653957178387</v>
      </c>
      <c r="AR5" s="4">
        <v>8253.2101765235057</v>
      </c>
      <c r="AS5" s="4">
        <v>8183.2431418694077</v>
      </c>
      <c r="AT5" s="4">
        <v>8145.8861466695153</v>
      </c>
      <c r="AU5" s="4">
        <v>8112.7914805835826</v>
      </c>
      <c r="AV5" s="4">
        <v>12697.619948886622</v>
      </c>
      <c r="AW5" s="4">
        <v>12551.420714197026</v>
      </c>
      <c r="AX5" s="4">
        <v>12383.028880200927</v>
      </c>
      <c r="AY5" s="4">
        <v>12148.909559832307</v>
      </c>
      <c r="AZ5" s="4">
        <v>11904.487135304502</v>
      </c>
      <c r="BA5" s="4">
        <v>11755.192432852036</v>
      </c>
      <c r="BB5" s="4">
        <v>11606.528864559044</v>
      </c>
      <c r="BC5" s="4">
        <v>11440.961561922672</v>
      </c>
      <c r="BD5" s="4">
        <v>11310.950075711593</v>
      </c>
      <c r="BE5" s="4">
        <v>11210.338763733303</v>
      </c>
      <c r="BF5" s="4">
        <v>11111.609026110629</v>
      </c>
      <c r="BG5" s="4">
        <v>11026.441005881097</v>
      </c>
      <c r="BH5" s="4">
        <v>10948.191398606523</v>
      </c>
      <c r="BJ5" s="9"/>
    </row>
    <row r="6" spans="1:62" x14ac:dyDescent="0.25">
      <c r="A6" s="6" t="s">
        <v>4</v>
      </c>
      <c r="B6" s="6"/>
      <c r="C6" s="7" t="s">
        <v>526</v>
      </c>
      <c r="D6" s="3"/>
      <c r="E6" s="3">
        <f>VLOOKUP(A6,[2]Sheet1!$A$2:$E$627,5,0)</f>
        <v>302.56846302703337</v>
      </c>
      <c r="F6" s="3">
        <f>VLOOKUP(A6,[2]Sheet1!$A$2:$F$627,6,0)</f>
        <v>359.37873728352872</v>
      </c>
      <c r="G6" s="3">
        <f>VLOOKUP(A6,[2]Sheet1!$A$2:$G$627,7,0)</f>
        <v>413.81992477896711</v>
      </c>
      <c r="H6" s="4">
        <f t="shared" si="0"/>
        <v>485.18179320450588</v>
      </c>
      <c r="I6" s="11">
        <f t="shared" si="1"/>
        <v>0.18776006490610211</v>
      </c>
      <c r="J6" s="11">
        <f t="shared" si="2"/>
        <v>0.36769021013929604</v>
      </c>
      <c r="K6" s="11">
        <f t="shared" si="3"/>
        <v>0.15148694635344406</v>
      </c>
      <c r="L6" s="11">
        <f>IF(S6="",((BG6-E6)/E6),((U6-E6)/E6))</f>
        <v>0.25386143635986391</v>
      </c>
      <c r="M6" s="3" t="str">
        <f>IF(S6="Churn","Churn",VLOOKUP(A6,'[1]Revenue_Engine_2025 Dec.25'!$C$14:$E$3993,3,0))</f>
        <v>Teknoloji</v>
      </c>
      <c r="N6" s="3">
        <f>IF(S6="",VLOOKUP(A6,[3]Export!$B$2:$F$417,5,0),"CHURN")</f>
        <v>3.1370415931690189E-2</v>
      </c>
      <c r="O6" s="3">
        <f>(1-N6)*H6</f>
        <v>469.96143854919723</v>
      </c>
      <c r="P6" s="3">
        <f t="shared" ref="P6:P69" si="5">(1-N6)*F6</f>
        <v>348.10487681793882</v>
      </c>
      <c r="Q6" s="3">
        <f t="shared" si="4"/>
        <v>400.83822161783013</v>
      </c>
      <c r="R6" s="3" t="str">
        <f>IF(S6&lt;&gt;"Churn",VLOOKUP(A6,[3]Export!$B$2:$O$417,8,0),"CHURN")</f>
        <v>NO RISK</v>
      </c>
      <c r="S6" s="3"/>
      <c r="T6" s="3"/>
      <c r="U6" s="3" t="s">
        <v>551</v>
      </c>
      <c r="V6" s="4" t="str" cm="1">
        <f t="array" ref="V6">IFERROR(
    IF(
        MATCH(2,1/((Y6:BH6&lt;&gt;0)*(Y6:BH6&lt;&gt;"")))-MATCH(1,INDEX((Y6:BH6&lt;&gt;0)*(Y6:BH6&lt;&gt;""),0),0)+1 &lt;= 12,
        "No",
        "Yes"
    ),
    "No"
)</f>
        <v>Yes</v>
      </c>
      <c r="W6" s="4" t="str" cm="1">
        <f t="array" ref="W6">IFERROR(
    IF(
        MATCH(2,1/((Y6:BH6&lt;&gt;0)*(Y6:BH6&lt;&gt;"")))-MATCH(1,INDEX((Y6:BH6&lt;&gt;0)*(Y6:BH6&lt;&gt;""),0),0)+1 &lt;= 24,
        "No",
        "Yes"
    ),
    "No"
)</f>
        <v>Yes</v>
      </c>
      <c r="X6" s="3"/>
      <c r="Y6" s="4">
        <v>302.56846302703337</v>
      </c>
      <c r="Z6" s="4">
        <v>301.51723625004649</v>
      </c>
      <c r="AA6" s="4">
        <v>299.30074724069374</v>
      </c>
      <c r="AB6" s="4">
        <v>293.98324881773118</v>
      </c>
      <c r="AC6" s="4">
        <v>288.40958982072442</v>
      </c>
      <c r="AD6" s="4">
        <v>242.5417079757957</v>
      </c>
      <c r="AE6" s="4">
        <v>288.02760830294147</v>
      </c>
      <c r="AF6" s="4">
        <v>282.57832453379802</v>
      </c>
      <c r="AG6" s="4">
        <v>282.31608839130934</v>
      </c>
      <c r="AH6" s="4">
        <v>273.61453416189289</v>
      </c>
      <c r="AI6" s="4">
        <v>266.08209104044727</v>
      </c>
      <c r="AJ6" s="4">
        <v>398.45636173898669</v>
      </c>
      <c r="AK6" s="4">
        <v>385.76034730534928</v>
      </c>
      <c r="AL6" s="4">
        <v>376.89681458942795</v>
      </c>
      <c r="AM6" s="4">
        <v>362.46718173330578</v>
      </c>
      <c r="AN6" s="4">
        <v>358.85704714432381</v>
      </c>
      <c r="AO6" s="4">
        <v>359.37873728352872</v>
      </c>
      <c r="AP6" s="4">
        <v>356.33589385044689</v>
      </c>
      <c r="AQ6" s="4">
        <v>352.208208135071</v>
      </c>
      <c r="AR6" s="4">
        <v>344.62595247031629</v>
      </c>
      <c r="AS6" s="4">
        <v>340.68034181993789</v>
      </c>
      <c r="AT6" s="4">
        <v>338.57369032533722</v>
      </c>
      <c r="AU6" s="4">
        <v>336.70740189929592</v>
      </c>
      <c r="AV6" s="4">
        <v>458.35950124345328</v>
      </c>
      <c r="AW6" s="4">
        <v>451.44989700031044</v>
      </c>
      <c r="AX6" s="4">
        <v>443.49165162767622</v>
      </c>
      <c r="AY6" s="4">
        <v>432.42710678750893</v>
      </c>
      <c r="AZ6" s="4">
        <v>420.8756343508378</v>
      </c>
      <c r="BA6" s="4">
        <v>413.81992477896711</v>
      </c>
      <c r="BB6" s="4">
        <v>406.79404278474641</v>
      </c>
      <c r="BC6" s="4">
        <v>398.96928555752851</v>
      </c>
      <c r="BD6" s="4">
        <v>392.82490620150475</v>
      </c>
      <c r="BE6" s="4">
        <v>388.06998733765761</v>
      </c>
      <c r="BF6" s="4">
        <v>383.40399220635425</v>
      </c>
      <c r="BG6" s="4">
        <v>379.37892764827245</v>
      </c>
      <c r="BH6" s="4">
        <v>485.18179320450588</v>
      </c>
      <c r="BJ6" s="9"/>
    </row>
    <row r="7" spans="1:62" x14ac:dyDescent="0.25">
      <c r="A7" s="6" t="s">
        <v>5</v>
      </c>
      <c r="B7" s="6"/>
      <c r="C7" s="7" t="s">
        <v>526</v>
      </c>
      <c r="D7" s="3"/>
      <c r="E7" s="3">
        <f>VLOOKUP(A7,[2]Sheet1!$A$2:$E$627,5,0)</f>
        <v>444.38</v>
      </c>
      <c r="F7" s="3">
        <f>VLOOKUP(A7,[2]Sheet1!$A$2:$F$627,6,0)</f>
        <v>500.58140000000003</v>
      </c>
      <c r="G7" s="3">
        <f>VLOOKUP(A7,[2]Sheet1!$A$2:$G$627,7,0)</f>
        <v>638.05615911111101</v>
      </c>
      <c r="H7" s="4">
        <f t="shared" si="0"/>
        <v>638.05615911111101</v>
      </c>
      <c r="I7" s="11">
        <f t="shared" si="1"/>
        <v>0.12647148836581312</v>
      </c>
      <c r="J7" s="11">
        <f t="shared" si="2"/>
        <v>0.43583455401033128</v>
      </c>
      <c r="K7" s="11">
        <f t="shared" si="3"/>
        <v>0.27463017825095176</v>
      </c>
      <c r="L7" s="11">
        <f>IF(S7="",((BG7-E7)/E7),((U7-E7)/E7))</f>
        <v>0.43583455401033128</v>
      </c>
      <c r="M7" s="3" t="str">
        <f>IF(S7="Churn","Churn",VLOOKUP(A7,'[1]Revenue_Engine_2025 Dec.25'!$C$14:$E$3993,3,0))</f>
        <v>Diğer</v>
      </c>
      <c r="N7" s="3">
        <f>IF(S7="",VLOOKUP(A7,[3]Export!$B$2:$F$417,5,0),"CHURN")</f>
        <v>0.31751078367982988</v>
      </c>
      <c r="O7" s="3">
        <f>(1-N7)*H7</f>
        <v>435.46644799999996</v>
      </c>
      <c r="P7" s="3">
        <f t="shared" si="5"/>
        <v>341.64140739045365</v>
      </c>
      <c r="Q7" s="3">
        <f t="shared" si="4"/>
        <v>435.46644799999996</v>
      </c>
      <c r="R7" s="3" t="str">
        <f>IF(S7&lt;&gt;"Churn",VLOOKUP(A7,[3]Export!$B$2:$O$417,8,0),"CHURN")</f>
        <v>NO RISK</v>
      </c>
      <c r="S7" s="3"/>
      <c r="T7" s="3"/>
      <c r="U7" s="3" t="s">
        <v>551</v>
      </c>
      <c r="V7" s="4" t="str" cm="1">
        <f t="array" ref="V7">IFERROR(
    IF(
        MATCH(2,1/((Y7:BH7&lt;&gt;0)*(Y7:BH7&lt;&gt;"")))-MATCH(1,INDEX((Y7:BH7&lt;&gt;0)*(Y7:BH7&lt;&gt;""),0),0)+1 &lt;= 12,
        "No",
        "Yes"
    ),
    "No"
)</f>
        <v>Yes</v>
      </c>
      <c r="W7" s="4" t="str" cm="1">
        <f t="array" ref="W7">IFERROR(
    IF(
        MATCH(2,1/((Y7:BH7&lt;&gt;0)*(Y7:BH7&lt;&gt;"")))-MATCH(1,INDEX((Y7:BH7&lt;&gt;0)*(Y7:BH7&lt;&gt;""),0),0)+1 &lt;= 24,
        "No",
        "Yes"
    ),
    "No"
)</f>
        <v>Yes</v>
      </c>
      <c r="X7" s="3"/>
      <c r="Y7" s="4">
        <v>444.38</v>
      </c>
      <c r="Z7" s="4">
        <v>444.38</v>
      </c>
      <c r="AA7" s="4">
        <v>444.38</v>
      </c>
      <c r="AB7" s="4">
        <v>453.38</v>
      </c>
      <c r="AC7" s="4">
        <v>453.38</v>
      </c>
      <c r="AD7" s="4">
        <v>453.38</v>
      </c>
      <c r="AE7" s="4">
        <v>480.58280000000002</v>
      </c>
      <c r="AF7" s="4">
        <v>480.58280000000002</v>
      </c>
      <c r="AG7" s="4">
        <v>480.58280000000002</v>
      </c>
      <c r="AH7" s="4">
        <v>480.58140000000003</v>
      </c>
      <c r="AI7" s="4">
        <v>480.57</v>
      </c>
      <c r="AJ7" s="4">
        <v>480.57</v>
      </c>
      <c r="AK7" s="4">
        <v>480.58140000000003</v>
      </c>
      <c r="AL7" s="4">
        <v>480.58140000000003</v>
      </c>
      <c r="AM7" s="4">
        <v>500.58140000000003</v>
      </c>
      <c r="AN7" s="4">
        <v>500.58140000000003</v>
      </c>
      <c r="AO7" s="4">
        <v>500.58140000000003</v>
      </c>
      <c r="AP7" s="4">
        <v>500.58140000000003</v>
      </c>
      <c r="AQ7" s="4">
        <v>500.58140000000003</v>
      </c>
      <c r="AR7" s="4">
        <v>500.58140000000003</v>
      </c>
      <c r="AS7" s="4">
        <v>500.58140000000003</v>
      </c>
      <c r="AT7" s="4">
        <v>500.58140000000003</v>
      </c>
      <c r="AU7" s="4">
        <v>500.58140000000003</v>
      </c>
      <c r="AV7" s="4">
        <v>500.58140000000003</v>
      </c>
      <c r="AW7" s="4">
        <v>610.69504799999993</v>
      </c>
      <c r="AX7" s="4">
        <v>638.05615911111101</v>
      </c>
      <c r="AY7" s="4">
        <v>638.05615911111101</v>
      </c>
      <c r="AZ7" s="4">
        <v>638.05615911111101</v>
      </c>
      <c r="BA7" s="4">
        <v>638.05615911111101</v>
      </c>
      <c r="BB7" s="4">
        <v>638.05615911111101</v>
      </c>
      <c r="BC7" s="4">
        <v>638.05615911111101</v>
      </c>
      <c r="BD7" s="4">
        <v>638.05615911111101</v>
      </c>
      <c r="BE7" s="4">
        <v>638.05615911111101</v>
      </c>
      <c r="BF7" s="4">
        <v>638.05615911111101</v>
      </c>
      <c r="BG7" s="4">
        <v>638.05615911111101</v>
      </c>
      <c r="BH7" s="4">
        <v>638.05615911111101</v>
      </c>
      <c r="BJ7" s="9"/>
    </row>
    <row r="8" spans="1:62" x14ac:dyDescent="0.25">
      <c r="A8" s="6" t="s">
        <v>6</v>
      </c>
      <c r="B8" s="6"/>
      <c r="C8" s="7" t="s">
        <v>526</v>
      </c>
      <c r="D8" s="3"/>
      <c r="E8" s="3">
        <f>VLOOKUP(A8,[2]Sheet1!$A$2:$E$627,5,0)</f>
        <v>481.30076705600538</v>
      </c>
      <c r="F8" s="3">
        <f>VLOOKUP(A8,[2]Sheet1!$A$2:$F$627,6,0)</f>
        <v>478.74450000000002</v>
      </c>
      <c r="G8" s="3">
        <f>VLOOKUP(A8,[2]Sheet1!$A$2:$G$627,7,0)</f>
        <v>487.74450000000002</v>
      </c>
      <c r="H8" s="4">
        <f t="shared" si="0"/>
        <v>478.74450000000002</v>
      </c>
      <c r="I8" s="11">
        <f t="shared" si="1"/>
        <v>-5.3111634781747895E-3</v>
      </c>
      <c r="J8" s="11">
        <f t="shared" si="2"/>
        <v>1.3388162631464959E-2</v>
      </c>
      <c r="K8" s="11">
        <f t="shared" si="3"/>
        <v>1.8799171583172233E-2</v>
      </c>
      <c r="L8" s="11">
        <f>IF(S8="",((BG8-E8)/E8),((U8-E8)/E8))</f>
        <v>-5.3111634781747895E-3</v>
      </c>
      <c r="M8" s="3" t="str">
        <f>IF(S8="Churn","Churn",VLOOKUP(A8,'[1]Revenue_Engine_2025 Dec.25'!$C$14:$E$3993,3,0))</f>
        <v>Üretim</v>
      </c>
      <c r="N8" s="3">
        <f>IF(S8="",VLOOKUP(A8,[3]Export!$B$2:$F$417,5,0),"CHURN")</f>
        <v>0.30373445543499716</v>
      </c>
      <c r="O8" s="3">
        <f>(1-N8)*H8</f>
        <v>333.33330000000001</v>
      </c>
      <c r="P8" s="3">
        <f t="shared" si="5"/>
        <v>333.33330000000001</v>
      </c>
      <c r="Q8" s="3">
        <f t="shared" si="4"/>
        <v>339.59968990108501</v>
      </c>
      <c r="R8" s="3" t="str">
        <f>IF(S8&lt;&gt;"Churn",VLOOKUP(A8,[3]Export!$B$2:$O$417,8,0),"CHURN")</f>
        <v>HIGH RISK</v>
      </c>
      <c r="S8" s="3"/>
      <c r="T8" s="3"/>
      <c r="U8" s="3" t="s">
        <v>551</v>
      </c>
      <c r="V8" s="4" t="str" cm="1">
        <f t="array" ref="V8">IFERROR(
    IF(
        MATCH(2,1/((Y8:BH8&lt;&gt;0)*(Y8:BH8&lt;&gt;"")))-MATCH(1,INDEX((Y8:BH8&lt;&gt;0)*(Y8:BH8&lt;&gt;""),0),0)+1 &lt;= 12,
        "No",
        "Yes"
    ),
    "No"
)</f>
        <v>Yes</v>
      </c>
      <c r="W8" s="4" t="str" cm="1">
        <f t="array" ref="W8">IFERROR(
    IF(
        MATCH(2,1/((Y8:BH8&lt;&gt;0)*(Y8:BH8&lt;&gt;"")))-MATCH(1,INDEX((Y8:BH8&lt;&gt;0)*(Y8:BH8&lt;&gt;""),0),0)+1 &lt;= 24,
        "No",
        "Yes"
    ),
    "No"
)</f>
        <v>Yes</v>
      </c>
      <c r="X8" s="3"/>
      <c r="Y8" s="4">
        <v>481.30076705600538</v>
      </c>
      <c r="Z8" s="4">
        <v>481.25446297309594</v>
      </c>
      <c r="AA8" s="4">
        <v>481.1568318119576</v>
      </c>
      <c r="AB8" s="4">
        <v>467.9733333333333</v>
      </c>
      <c r="AC8" s="4">
        <v>467.97329999999999</v>
      </c>
      <c r="AD8" s="4">
        <v>467.97329999999999</v>
      </c>
      <c r="AE8" s="4">
        <v>478.74450000000002</v>
      </c>
      <c r="AF8" s="4">
        <v>478.74450000000002</v>
      </c>
      <c r="AG8" s="4">
        <v>478.74450000000002</v>
      </c>
      <c r="AH8" s="4">
        <v>478.74450000000002</v>
      </c>
      <c r="AI8" s="4">
        <v>478.74450000000002</v>
      </c>
      <c r="AJ8" s="4">
        <v>478.74450000000002</v>
      </c>
      <c r="AK8" s="4">
        <v>478.74450000000002</v>
      </c>
      <c r="AL8" s="4">
        <v>478.74450000000002</v>
      </c>
      <c r="AM8" s="4">
        <v>478.74450000000002</v>
      </c>
      <c r="AN8" s="4">
        <v>478.74450000000002</v>
      </c>
      <c r="AO8" s="4">
        <v>478.74450000000002</v>
      </c>
      <c r="AP8" s="4">
        <v>478.74450000000002</v>
      </c>
      <c r="AQ8" s="4">
        <v>478.74450000000002</v>
      </c>
      <c r="AR8" s="4">
        <v>478.74450000000002</v>
      </c>
      <c r="AS8" s="4">
        <v>487.74450000000002</v>
      </c>
      <c r="AT8" s="4">
        <v>487.74450000000002</v>
      </c>
      <c r="AU8" s="4">
        <v>487.74450000000002</v>
      </c>
      <c r="AV8" s="4">
        <v>487.74450000000002</v>
      </c>
      <c r="AW8" s="4">
        <v>487.74450000000002</v>
      </c>
      <c r="AX8" s="4">
        <v>487.74450000000002</v>
      </c>
      <c r="AY8" s="4">
        <v>487.74450000000002</v>
      </c>
      <c r="AZ8" s="4">
        <v>487.74450000000002</v>
      </c>
      <c r="BA8" s="4">
        <v>487.74450000000002</v>
      </c>
      <c r="BB8" s="4">
        <v>487.74450000000002</v>
      </c>
      <c r="BC8" s="4">
        <v>487.74450000000002</v>
      </c>
      <c r="BD8" s="4">
        <v>487.74450000000002</v>
      </c>
      <c r="BE8" s="4">
        <v>478.74450000000002</v>
      </c>
      <c r="BF8" s="4">
        <v>478.74450000000002</v>
      </c>
      <c r="BG8" s="4">
        <v>478.74450000000002</v>
      </c>
      <c r="BH8" s="4">
        <v>478.74450000000002</v>
      </c>
      <c r="BJ8" s="9"/>
    </row>
    <row r="9" spans="1:62" x14ac:dyDescent="0.25">
      <c r="A9" s="6" t="s">
        <v>7</v>
      </c>
      <c r="B9" s="6"/>
      <c r="C9" s="7" t="s">
        <v>526</v>
      </c>
      <c r="D9" s="3"/>
      <c r="E9" s="3">
        <f>VLOOKUP(A9,[2]Sheet1!$A$2:$E$627,5,0)</f>
        <v>1619.57</v>
      </c>
      <c r="F9" s="3">
        <f>VLOOKUP(A9,[2]Sheet1!$A$2:$F$627,6,0)</f>
        <v>1634.31</v>
      </c>
      <c r="G9" s="3">
        <f>VLOOKUP(A9,[2]Sheet1!$A$2:$G$627,7,0)</f>
        <v>2037.2984133333334</v>
      </c>
      <c r="H9" s="4">
        <f t="shared" si="0"/>
        <v>2058.548413333333</v>
      </c>
      <c r="I9" s="11">
        <f t="shared" si="1"/>
        <v>9.1011811777200174E-3</v>
      </c>
      <c r="J9" s="11">
        <f t="shared" si="2"/>
        <v>0.25792550697613165</v>
      </c>
      <c r="K9" s="11">
        <f t="shared" si="3"/>
        <v>0.24658015513172746</v>
      </c>
      <c r="L9" s="11">
        <f>IF(S9="",((BG9-E9)/E9),((U9-E9)/E9))</f>
        <v>-9.0505348436107427E-2</v>
      </c>
      <c r="M9" s="3" t="str">
        <f>IF(S9="Churn","Churn",VLOOKUP(A9,'[1]Revenue_Engine_2025 Dec.25'!$C$14:$E$3993,3,0))</f>
        <v>Üretim</v>
      </c>
      <c r="N9" s="3">
        <f>IF(S9="",VLOOKUP(A9,[3]Export!$B$2:$F$417,5,0),"CHURN")</f>
        <v>0.40592087343129823</v>
      </c>
      <c r="O9" s="3">
        <f>(1-N9)*H9</f>
        <v>1222.9406433924532</v>
      </c>
      <c r="P9" s="3">
        <f t="shared" si="5"/>
        <v>970.90945734249499</v>
      </c>
      <c r="Q9" s="3">
        <f t="shared" si="4"/>
        <v>1210.3164619528686</v>
      </c>
      <c r="R9" s="3" t="str">
        <f>IF(S9&lt;&gt;"Churn",VLOOKUP(A9,[3]Export!$B$2:$O$417,8,0),"CHURN")</f>
        <v>LOW RISK</v>
      </c>
      <c r="S9" s="3"/>
      <c r="T9" s="3"/>
      <c r="U9" s="3" t="s">
        <v>551</v>
      </c>
      <c r="V9" s="4" t="str" cm="1">
        <f t="array" ref="V9">IFERROR(
    IF(
        MATCH(2,1/((Y9:BH9&lt;&gt;0)*(Y9:BH9&lt;&gt;"")))-MATCH(1,INDEX((Y9:BH9&lt;&gt;0)*(Y9:BH9&lt;&gt;""),0),0)+1 &lt;= 12,
        "No",
        "Yes"
    ),
    "No"
)</f>
        <v>Yes</v>
      </c>
      <c r="W9" s="4" t="str" cm="1">
        <f t="array" ref="W9">IFERROR(
    IF(
        MATCH(2,1/((Y9:BH9&lt;&gt;0)*(Y9:BH9&lt;&gt;"")))-MATCH(1,INDEX((Y9:BH9&lt;&gt;0)*(Y9:BH9&lt;&gt;""),0),0)+1 &lt;= 24,
        "No",
        "Yes"
    ),
    "No"
)</f>
        <v>Yes</v>
      </c>
      <c r="X9" s="3"/>
      <c r="Y9" s="4">
        <v>978.90496473561041</v>
      </c>
      <c r="Z9" s="4">
        <v>1021.247788691915</v>
      </c>
      <c r="AA9" s="4">
        <v>1619.57</v>
      </c>
      <c r="AB9" s="4">
        <v>1619.57</v>
      </c>
      <c r="AC9" s="4">
        <v>1619.5700000000002</v>
      </c>
      <c r="AD9" s="4">
        <v>1619.57</v>
      </c>
      <c r="AE9" s="4">
        <v>1634.31</v>
      </c>
      <c r="AF9" s="4">
        <v>1634.31</v>
      </c>
      <c r="AG9" s="4">
        <v>1634.31</v>
      </c>
      <c r="AH9" s="4">
        <v>1634.31</v>
      </c>
      <c r="AI9" s="4">
        <v>1634.31</v>
      </c>
      <c r="AJ9" s="4">
        <v>1634.31</v>
      </c>
      <c r="AK9" s="4">
        <v>1634.31</v>
      </c>
      <c r="AL9" s="4">
        <v>1634.31</v>
      </c>
      <c r="AM9" s="4">
        <v>1622.2933333333333</v>
      </c>
      <c r="AN9" s="4">
        <v>1623.3758333333333</v>
      </c>
      <c r="AO9" s="4">
        <v>1577.8058333333333</v>
      </c>
      <c r="AP9" s="4">
        <v>1577.8058333333333</v>
      </c>
      <c r="AQ9" s="4">
        <v>1577.8058333333333</v>
      </c>
      <c r="AR9" s="4">
        <v>1577.8058333333333</v>
      </c>
      <c r="AS9" s="4">
        <v>1577.8058333333333</v>
      </c>
      <c r="AT9" s="4">
        <v>1620.3058333333333</v>
      </c>
      <c r="AU9" s="4">
        <v>1622.3058333333333</v>
      </c>
      <c r="AV9" s="4">
        <v>1622.3058333333333</v>
      </c>
      <c r="AW9" s="4">
        <v>2037.2984133333334</v>
      </c>
      <c r="AX9" s="4">
        <v>2062.298413333333</v>
      </c>
      <c r="AY9" s="4">
        <v>2062.298413333333</v>
      </c>
      <c r="AZ9" s="4">
        <v>2062.2984133333325</v>
      </c>
      <c r="BA9" s="4">
        <v>2055.548413333333</v>
      </c>
      <c r="BB9" s="4">
        <v>2056.548413333333</v>
      </c>
      <c r="BC9" s="4">
        <v>2056.548413333333</v>
      </c>
      <c r="BD9" s="4">
        <v>2058.548413333333</v>
      </c>
      <c r="BE9" s="4">
        <v>2058.548413333333</v>
      </c>
      <c r="BF9" s="4">
        <v>2058.548413333333</v>
      </c>
      <c r="BG9" s="4">
        <v>1472.9902528333334</v>
      </c>
      <c r="BH9" s="4">
        <v>1472.9902528333334</v>
      </c>
      <c r="BJ9" s="9"/>
    </row>
    <row r="10" spans="1:62" x14ac:dyDescent="0.25">
      <c r="A10" s="6" t="s">
        <v>8</v>
      </c>
      <c r="B10" s="6"/>
      <c r="C10" s="7" t="s">
        <v>526</v>
      </c>
      <c r="D10" s="3"/>
      <c r="E10" s="3">
        <f>VLOOKUP(A10,[2]Sheet1!$A$2:$E$627,5,0)</f>
        <v>800.02345628335195</v>
      </c>
      <c r="F10" s="3">
        <f>VLOOKUP(A10,[2]Sheet1!$A$2:$F$627,6,0)</f>
        <v>805.84477424818863</v>
      </c>
      <c r="G10" s="3">
        <f>VLOOKUP(A10,[2]Sheet1!$A$2:$G$627,7,0)</f>
        <v>963.18670702937607</v>
      </c>
      <c r="H10" s="4">
        <f t="shared" si="0"/>
        <v>1132.3616512127842</v>
      </c>
      <c r="I10" s="11">
        <f t="shared" si="1"/>
        <v>7.2764341084205521E-3</v>
      </c>
      <c r="J10" s="11">
        <f t="shared" si="2"/>
        <v>0.20394808360248257</v>
      </c>
      <c r="K10" s="11">
        <f t="shared" si="3"/>
        <v>0.19525091904700789</v>
      </c>
      <c r="L10" s="11">
        <f>IF(S10="",((BG10-E10)/E10),((U10-E10)/E10))</f>
        <v>0.40055125336509417</v>
      </c>
      <c r="M10" s="3" t="str">
        <f>IF(S10="Churn","Churn",VLOOKUP(A10,'[1]Revenue_Engine_2025 Dec.25'!$C$14:$E$3993,3,0))</f>
        <v>Finans</v>
      </c>
      <c r="N10" s="3">
        <f>IF(S10="",VLOOKUP(A10,[3]Export!$B$2:$F$417,5,0),"CHURN")</f>
        <v>8.1123140531797144E-2</v>
      </c>
      <c r="O10" s="3">
        <f>(1-N10)*H10</f>
        <v>1040.5009178486316</v>
      </c>
      <c r="P10" s="3">
        <f t="shared" si="5"/>
        <v>740.47211538003853</v>
      </c>
      <c r="Q10" s="3">
        <f t="shared" si="4"/>
        <v>885.04997643667309</v>
      </c>
      <c r="R10" s="3" t="str">
        <f>IF(S10&lt;&gt;"Churn",VLOOKUP(A10,[3]Export!$B$2:$O$417,8,0),"CHURN")</f>
        <v>NO RISK</v>
      </c>
      <c r="S10" s="3"/>
      <c r="T10" s="3"/>
      <c r="U10" s="3" t="s">
        <v>551</v>
      </c>
      <c r="V10" s="4" t="str" cm="1">
        <f t="array" ref="V10">IFERROR(
    IF(
        MATCH(2,1/((Y10:BH10&lt;&gt;0)*(Y10:BH10&lt;&gt;"")))-MATCH(1,INDEX((Y10:BH10&lt;&gt;0)*(Y10:BH10&lt;&gt;""),0),0)+1 &lt;= 12,
        "No",
        "Yes"
    ),
    "No"
)</f>
        <v>Yes</v>
      </c>
      <c r="W10" s="4" t="str" cm="1">
        <f t="array" ref="W10">IFERROR(
    IF(
        MATCH(2,1/((Y10:BH10&lt;&gt;0)*(Y10:BH10&lt;&gt;"")))-MATCH(1,INDEX((Y10:BH10&lt;&gt;0)*(Y10:BH10&lt;&gt;""),0),0)+1 &lt;= 24,
        "No",
        "Yes"
    ),
    "No"
)</f>
        <v>Yes</v>
      </c>
      <c r="X10" s="3"/>
      <c r="Y10" s="4">
        <v>800.02345628335195</v>
      </c>
      <c r="Z10" s="4">
        <v>797.2438999771565</v>
      </c>
      <c r="AA10" s="4">
        <v>791.38326539437116</v>
      </c>
      <c r="AB10" s="4">
        <v>777.32322944561565</v>
      </c>
      <c r="AC10" s="4">
        <v>762.58636966949871</v>
      </c>
      <c r="AD10" s="4">
        <v>641.306694044648</v>
      </c>
      <c r="AE10" s="4">
        <v>761.57633317048601</v>
      </c>
      <c r="AF10" s="4">
        <v>747.16783401388852</v>
      </c>
      <c r="AG10" s="4">
        <v>897.12836042510389</v>
      </c>
      <c r="AH10" s="4">
        <v>869.47704546296734</v>
      </c>
      <c r="AI10" s="4">
        <v>845.54086674200312</v>
      </c>
      <c r="AJ10" s="4">
        <v>832.36646564698833</v>
      </c>
      <c r="AK10" s="4">
        <v>805.84477424818863</v>
      </c>
      <c r="AL10" s="4">
        <v>787.32905180445789</v>
      </c>
      <c r="AM10" s="4">
        <v>757.18587013052115</v>
      </c>
      <c r="AN10" s="4">
        <v>749.6443793754828</v>
      </c>
      <c r="AO10" s="4">
        <v>750.7341784577153</v>
      </c>
      <c r="AP10" s="4">
        <v>744.37774629320495</v>
      </c>
      <c r="AQ10" s="4">
        <v>735.7551027615159</v>
      </c>
      <c r="AR10" s="4">
        <v>719.9159395423377</v>
      </c>
      <c r="AS10" s="4">
        <v>711.67364676643285</v>
      </c>
      <c r="AT10" s="4">
        <v>998.88054201406476</v>
      </c>
      <c r="AU10" s="4">
        <v>993.37450522553763</v>
      </c>
      <c r="AV10" s="4">
        <v>977.92862856275133</v>
      </c>
      <c r="AW10" s="4">
        <v>963.18670702937607</v>
      </c>
      <c r="AX10" s="4">
        <v>1022.4419671553992</v>
      </c>
      <c r="AY10" s="4">
        <v>996.93335848026391</v>
      </c>
      <c r="AZ10" s="4">
        <v>970.30216901289873</v>
      </c>
      <c r="BA10" s="4">
        <v>954.03567662715921</v>
      </c>
      <c r="BB10" s="4">
        <v>937.8379498361179</v>
      </c>
      <c r="BC10" s="4">
        <v>919.79846669692552</v>
      </c>
      <c r="BD10" s="4">
        <v>905.63298851336742</v>
      </c>
      <c r="BE10" s="4">
        <v>894.67082365868907</v>
      </c>
      <c r="BF10" s="4">
        <v>1132.3616512127842</v>
      </c>
      <c r="BG10" s="4">
        <v>1120.4738544191232</v>
      </c>
      <c r="BH10" s="4">
        <v>1109.5517333230009</v>
      </c>
      <c r="BJ10" s="9"/>
    </row>
    <row r="11" spans="1:62" x14ac:dyDescent="0.25">
      <c r="A11" s="6" t="s">
        <v>9</v>
      </c>
      <c r="B11" s="6"/>
      <c r="C11" s="7" t="s">
        <v>526</v>
      </c>
      <c r="D11" s="3"/>
      <c r="E11" s="3">
        <f>VLOOKUP(A11,[2]Sheet1!$A$2:$E$627,5,0)</f>
        <v>150</v>
      </c>
      <c r="F11" s="3">
        <f>VLOOKUP(A11,[2]Sheet1!$A$2:$F$627,6,0)</f>
        <v>150</v>
      </c>
      <c r="G11" s="3">
        <f>VLOOKUP(A11,[2]Sheet1!$A$2:$G$627,7,0)</f>
        <v>174.5</v>
      </c>
      <c r="H11" s="4">
        <f t="shared" si="0"/>
        <v>174.5</v>
      </c>
      <c r="I11" s="11">
        <f t="shared" si="1"/>
        <v>0</v>
      </c>
      <c r="J11" s="11">
        <f t="shared" si="2"/>
        <v>0.16333333333333333</v>
      </c>
      <c r="K11" s="11">
        <f t="shared" si="3"/>
        <v>0.16333333333333333</v>
      </c>
      <c r="L11" s="11">
        <f>IF(S11="",((BG11-E11)/E11),((U11-E11)/E11))</f>
        <v>0.16333333333333333</v>
      </c>
      <c r="M11" s="3" t="str">
        <f>IF(S11="Churn","Churn",VLOOKUP(A11,'[1]Revenue_Engine_2025 Dec.25'!$C$14:$E$3993,3,0))</f>
        <v>Genel</v>
      </c>
      <c r="N11" s="3">
        <f>IF(S11="",VLOOKUP(A11,[3]Export!$B$2:$F$417,5,0),"CHURN")</f>
        <v>1.9286403085824492E-3</v>
      </c>
      <c r="O11" s="3">
        <f>(1-N11)*H11</f>
        <v>174.16345226615238</v>
      </c>
      <c r="P11" s="3">
        <f t="shared" si="5"/>
        <v>149.71070395371262</v>
      </c>
      <c r="Q11" s="3">
        <f t="shared" si="4"/>
        <v>174.16345226615238</v>
      </c>
      <c r="R11" s="3" t="str">
        <f>IF(S11&lt;&gt;"Churn",VLOOKUP(A11,[3]Export!$B$2:$O$417,8,0),"CHURN")</f>
        <v>NO RISK</v>
      </c>
      <c r="S11" s="3"/>
      <c r="T11" s="3"/>
      <c r="U11" s="3" t="s">
        <v>551</v>
      </c>
      <c r="V11" s="4" t="str" cm="1">
        <f t="array" ref="V11">IFERROR(
    IF(
        MATCH(2,1/((Y11:BH11&lt;&gt;0)*(Y11:BH11&lt;&gt;"")))-MATCH(1,INDEX((Y11:BH11&lt;&gt;0)*(Y11:BH11&lt;&gt;""),0),0)+1 &lt;= 12,
        "No",
        "Yes"
    ),
    "No"
)</f>
        <v>Yes</v>
      </c>
      <c r="W11" s="4" t="str" cm="1">
        <f t="array" ref="W11">IFERROR(
    IF(
        MATCH(2,1/((Y11:BH11&lt;&gt;0)*(Y11:BH11&lt;&gt;"")))-MATCH(1,INDEX((Y11:BH11&lt;&gt;0)*(Y11:BH11&lt;&gt;""),0),0)+1 &lt;= 24,
        "No",
        "Yes"
    ),
    "No"
)</f>
        <v>Yes</v>
      </c>
      <c r="X11" s="3"/>
      <c r="Y11" s="4">
        <v>150</v>
      </c>
      <c r="Z11" s="4">
        <v>150</v>
      </c>
      <c r="AA11" s="4">
        <v>150</v>
      </c>
      <c r="AB11" s="4">
        <v>150</v>
      </c>
      <c r="AC11" s="4">
        <v>150</v>
      </c>
      <c r="AD11" s="4">
        <v>150</v>
      </c>
      <c r="AE11" s="4">
        <v>150</v>
      </c>
      <c r="AF11" s="4">
        <v>150</v>
      </c>
      <c r="AG11" s="4">
        <v>150</v>
      </c>
      <c r="AH11" s="4">
        <v>150</v>
      </c>
      <c r="AI11" s="4">
        <v>150</v>
      </c>
      <c r="AJ11" s="4">
        <v>150</v>
      </c>
      <c r="AK11" s="4">
        <v>150</v>
      </c>
      <c r="AL11" s="4">
        <v>150</v>
      </c>
      <c r="AM11" s="4">
        <v>150</v>
      </c>
      <c r="AN11" s="4">
        <v>150</v>
      </c>
      <c r="AO11" s="4">
        <v>150</v>
      </c>
      <c r="AP11" s="4">
        <v>150</v>
      </c>
      <c r="AQ11" s="4">
        <v>150</v>
      </c>
      <c r="AR11" s="4">
        <v>150</v>
      </c>
      <c r="AS11" s="4">
        <v>150</v>
      </c>
      <c r="AT11" s="4">
        <v>152</v>
      </c>
      <c r="AU11" s="4">
        <v>152</v>
      </c>
      <c r="AV11" s="4">
        <v>152</v>
      </c>
      <c r="AW11" s="4">
        <v>174.5</v>
      </c>
      <c r="AX11" s="4">
        <v>174.5</v>
      </c>
      <c r="AY11" s="4">
        <v>174.5</v>
      </c>
      <c r="AZ11" s="4">
        <v>174.5</v>
      </c>
      <c r="BA11" s="4">
        <v>174.5</v>
      </c>
      <c r="BB11" s="4">
        <v>174.5</v>
      </c>
      <c r="BC11" s="4">
        <v>174.5</v>
      </c>
      <c r="BD11" s="4">
        <v>174.5</v>
      </c>
      <c r="BE11" s="4">
        <v>174.5</v>
      </c>
      <c r="BF11" s="4">
        <v>174.5</v>
      </c>
      <c r="BG11" s="4">
        <v>174.5</v>
      </c>
      <c r="BH11" s="4">
        <v>174.5</v>
      </c>
      <c r="BJ11" s="9"/>
    </row>
    <row r="12" spans="1:62" x14ac:dyDescent="0.25">
      <c r="A12" s="6" t="s">
        <v>402</v>
      </c>
      <c r="B12" s="6"/>
      <c r="C12" s="7" t="s">
        <v>526</v>
      </c>
      <c r="D12" s="3"/>
      <c r="E12" s="3">
        <f>VLOOKUP(A12,[2]Sheet1!$A$2:$E$627,5,0)</f>
        <v>556</v>
      </c>
      <c r="F12" s="3">
        <f>VLOOKUP(A12,[2]Sheet1!$A$2:$F$627,6,0)</f>
        <v>700</v>
      </c>
      <c r="G12" s="3">
        <f>VLOOKUP(A12,[2]Sheet1!$A$2:$G$627,7,0)</f>
        <v>0</v>
      </c>
      <c r="H12" s="4">
        <f t="shared" si="0"/>
        <v>700</v>
      </c>
      <c r="I12" s="11">
        <f t="shared" si="1"/>
        <v>0.25899280575539568</v>
      </c>
      <c r="J12" s="11">
        <f t="shared" si="2"/>
        <v>-1</v>
      </c>
      <c r="K12" s="11">
        <f t="shared" si="3"/>
        <v>-1</v>
      </c>
      <c r="L12" s="11">
        <f>IF(S12="",((BG12-E12)/E12),((U12-E12)/E12))</f>
        <v>0.25899280575539568</v>
      </c>
      <c r="M12" s="3" t="str">
        <f>IF(S12="Churn","Churn",VLOOKUP(A12,'[1]Revenue_Engine_2025 Dec.25'!$C$14:$E$3993,3,0))</f>
        <v>Sağlık</v>
      </c>
      <c r="N12" s="3">
        <f>IF(S12="",VLOOKUP(A12,[3]Export!$B$2:$F$417,5,0),"CHURN")</f>
        <v>0.16857142857142857</v>
      </c>
      <c r="O12" s="3">
        <f>(1-N12)*H12</f>
        <v>582</v>
      </c>
      <c r="P12" s="3">
        <f t="shared" si="5"/>
        <v>582</v>
      </c>
      <c r="Q12" s="3">
        <f t="shared" si="4"/>
        <v>0</v>
      </c>
      <c r="R12" s="3" t="str">
        <f>IF(S12&lt;&gt;"Churn",VLOOKUP(A12,[3]Export!$B$2:$O$417,8,0),"CHURN")</f>
        <v>NO RISK</v>
      </c>
      <c r="S12" s="3"/>
      <c r="T12" s="3"/>
      <c r="U12" s="3" t="s">
        <v>551</v>
      </c>
      <c r="V12" s="4" t="str" cm="1">
        <f t="array" ref="V12">IFERROR(
    IF(
        MATCH(2,1/((Y12:BH12&lt;&gt;0)*(Y12:BH12&lt;&gt;"")))-MATCH(1,INDEX((Y12:BH12&lt;&gt;0)*(Y12:BH12&lt;&gt;""),0),0)+1 &lt;= 12,
        "No",
        "Yes"
    ),
    "No"
)</f>
        <v>Yes</v>
      </c>
      <c r="W12" s="4" t="str" cm="1">
        <f t="array" ref="W12">IFERROR(
    IF(
        MATCH(2,1/((Y12:BH12&lt;&gt;0)*(Y12:BH12&lt;&gt;"")))-MATCH(1,INDEX((Y12:BH12&lt;&gt;0)*(Y12:BH12&lt;&gt;""),0),0)+1 &lt;= 24,
        "No",
        "Yes"
    ),
    "No"
)</f>
        <v>Yes</v>
      </c>
      <c r="X12" s="3"/>
      <c r="Y12" s="4">
        <v>524.79</v>
      </c>
      <c r="Z12" s="4">
        <v>556</v>
      </c>
      <c r="AA12" s="4">
        <v>556</v>
      </c>
      <c r="AB12" s="4">
        <v>556</v>
      </c>
      <c r="AC12" s="4">
        <v>556.00300000000004</v>
      </c>
      <c r="AD12" s="4">
        <v>556.00300000000004</v>
      </c>
      <c r="AE12" s="4">
        <v>556.00300000000004</v>
      </c>
      <c r="AF12" s="4">
        <v>556.00300000000004</v>
      </c>
      <c r="AG12" s="4">
        <v>556.19507999999996</v>
      </c>
      <c r="AH12" s="4">
        <v>565.03075999999999</v>
      </c>
      <c r="AI12" s="4">
        <v>565.03075999999999</v>
      </c>
      <c r="AJ12" s="4">
        <v>565.03075999999999</v>
      </c>
      <c r="AK12" s="4">
        <v>565.03075999999999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700</v>
      </c>
      <c r="AU12" s="4">
        <v>700</v>
      </c>
      <c r="AV12" s="4">
        <v>700</v>
      </c>
      <c r="AW12" s="4">
        <v>700</v>
      </c>
      <c r="AX12" s="4">
        <v>700</v>
      </c>
      <c r="AY12" s="4">
        <v>700</v>
      </c>
      <c r="AZ12" s="4">
        <v>700</v>
      </c>
      <c r="BA12" s="4">
        <v>700</v>
      </c>
      <c r="BB12" s="4">
        <v>700</v>
      </c>
      <c r="BC12" s="4">
        <v>700</v>
      </c>
      <c r="BD12" s="4">
        <v>700</v>
      </c>
      <c r="BE12" s="4">
        <v>700</v>
      </c>
      <c r="BF12" s="4">
        <v>700</v>
      </c>
      <c r="BG12" s="4">
        <v>700</v>
      </c>
      <c r="BH12" s="4">
        <v>700</v>
      </c>
      <c r="BJ12" s="9"/>
    </row>
    <row r="13" spans="1:62" x14ac:dyDescent="0.25">
      <c r="A13" s="6" t="s">
        <v>10</v>
      </c>
      <c r="B13" s="6"/>
      <c r="C13" s="7" t="s">
        <v>526</v>
      </c>
      <c r="D13" s="3"/>
      <c r="E13" s="3">
        <f>VLOOKUP(A13,[2]Sheet1!$A$2:$E$627,5,0)</f>
        <v>927.41972087022816</v>
      </c>
      <c r="F13" s="3">
        <f>VLOOKUP(A13,[2]Sheet1!$A$2:$F$627,6,0)</f>
        <v>930.15822740849717</v>
      </c>
      <c r="G13" s="3">
        <f>VLOOKUP(A13,[2]Sheet1!$A$2:$G$627,7,0)</f>
        <v>1414.3294432427406</v>
      </c>
      <c r="H13" s="4">
        <f t="shared" si="0"/>
        <v>0</v>
      </c>
      <c r="I13" s="11">
        <f t="shared" si="1"/>
        <v>2.9528232758511725E-3</v>
      </c>
      <c r="J13" s="11">
        <f t="shared" si="2"/>
        <v>0.52501549343336062</v>
      </c>
      <c r="K13" s="11">
        <f t="shared" si="3"/>
        <v>0.52052564990279893</v>
      </c>
      <c r="L13" s="11">
        <f>IF(S13="",((BG13-E13)/E13),((U13-E13)/E13))</f>
        <v>0.52501549343336062</v>
      </c>
      <c r="M13" s="3" t="str">
        <f>IF(S13="Churn","Churn",VLOOKUP(A13,'[1]Revenue_Engine_2025 Dec.25'!$C$14:$E$3993,3,0))</f>
        <v>Churn</v>
      </c>
      <c r="N13" s="3" t="str">
        <f>IF(S13="",VLOOKUP(A13,[3]Export!$B$2:$F$417,5,0),"CHURN")</f>
        <v>CHURN</v>
      </c>
      <c r="O13" s="3" t="e">
        <f>(1-N13)*H13</f>
        <v>#VALUE!</v>
      </c>
      <c r="P13" s="3" t="e">
        <f t="shared" si="5"/>
        <v>#VALUE!</v>
      </c>
      <c r="Q13" s="3" t="e">
        <f t="shared" si="4"/>
        <v>#VALUE!</v>
      </c>
      <c r="R13" s="3" t="str">
        <f>IF(S13&lt;&gt;"Churn",VLOOKUP(A13,[3]Export!$B$2:$O$417,8,0),"CHURN")</f>
        <v>CHURN</v>
      </c>
      <c r="S13" s="3" t="s">
        <v>372</v>
      </c>
      <c r="T13" s="3" t="s">
        <v>552</v>
      </c>
      <c r="U13" s="3">
        <v>1414.3294432427406</v>
      </c>
      <c r="V13" s="4" t="str" cm="1">
        <f t="array" ref="V13">IFERROR(
    IF(
        MATCH(2,1/((Y13:BH13&lt;&gt;0)*(Y13:BH13&lt;&gt;"")))-MATCH(1,INDEX((Y13:BH13&lt;&gt;0)*(Y13:BH13&lt;&gt;""),0),0)+1 &lt;= 12,
        "No",
        "Yes"
    ),
    "No"
)</f>
        <v>Yes</v>
      </c>
      <c r="W13" s="4" t="str" cm="1">
        <f t="array" ref="W13">IFERROR(
    IF(
        MATCH(2,1/((Y13:BH13&lt;&gt;0)*(Y13:BH13&lt;&gt;"")))-MATCH(1,INDEX((Y13:BH13&lt;&gt;0)*(Y13:BH13&lt;&gt;""),0),0)+1 &lt;= 24,
        "No",
        "Yes"
    ),
    "No"
)</f>
        <v>Yes</v>
      </c>
      <c r="X13" s="3"/>
      <c r="Y13" s="4">
        <v>927.41972087022816</v>
      </c>
      <c r="Z13" s="4">
        <v>926.12406965686876</v>
      </c>
      <c r="AA13" s="4">
        <v>923.39221698983818</v>
      </c>
      <c r="AB13" s="4">
        <v>918.08832830038182</v>
      </c>
      <c r="AC13" s="4">
        <v>911.21871824057894</v>
      </c>
      <c r="AD13" s="4">
        <v>854.68593381422852</v>
      </c>
      <c r="AE13" s="4">
        <v>835.90641653447619</v>
      </c>
      <c r="AF13" s="4">
        <v>830.89424048214141</v>
      </c>
      <c r="AG13" s="4">
        <v>970.84452437455684</v>
      </c>
      <c r="AH13" s="4">
        <v>958.51996900628797</v>
      </c>
      <c r="AI13" s="4">
        <v>947.85129880542218</v>
      </c>
      <c r="AJ13" s="4">
        <v>941.97929467246763</v>
      </c>
      <c r="AK13" s="4">
        <v>930.15822740849717</v>
      </c>
      <c r="AL13" s="4">
        <v>921.90552598168506</v>
      </c>
      <c r="AM13" s="4">
        <v>908.47031279110342</v>
      </c>
      <c r="AN13" s="4">
        <v>905.10897100692318</v>
      </c>
      <c r="AO13" s="4">
        <v>905.59470881532957</v>
      </c>
      <c r="AP13" s="4">
        <v>903.76156325739043</v>
      </c>
      <c r="AQ13" s="4">
        <v>899.91833743711163</v>
      </c>
      <c r="AR13" s="4">
        <v>942.8586137187599</v>
      </c>
      <c r="AS13" s="4">
        <v>1048.9630221865816</v>
      </c>
      <c r="AT13" s="4">
        <v>1046.3227202827716</v>
      </c>
      <c r="AU13" s="4">
        <v>1343.1032878675992</v>
      </c>
      <c r="AV13" s="4">
        <v>1331.8906573617587</v>
      </c>
      <c r="AW13" s="4">
        <v>1414.3294432427406</v>
      </c>
      <c r="AX13" s="4">
        <v>1402.0036977592072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  <c r="BH13" s="4">
        <v>0</v>
      </c>
      <c r="BJ13" s="9"/>
    </row>
    <row r="14" spans="1:62" x14ac:dyDescent="0.25">
      <c r="A14" s="6" t="s">
        <v>11</v>
      </c>
      <c r="B14" s="6"/>
      <c r="C14" s="7" t="s">
        <v>525</v>
      </c>
      <c r="D14" s="3"/>
      <c r="E14" s="3">
        <f>VLOOKUP(A14,[2]Sheet1!$A$2:$E$627,5,0)</f>
        <v>13840.188013092871</v>
      </c>
      <c r="F14" s="3">
        <f>VLOOKUP(A14,[2]Sheet1!$A$2:$F$627,6,0)</f>
        <v>13488.300053495026</v>
      </c>
      <c r="G14" s="3">
        <f>VLOOKUP(A14,[2]Sheet1!$A$2:$G$627,7,0)</f>
        <v>15693.8614077896</v>
      </c>
      <c r="H14" s="4">
        <f t="shared" si="0"/>
        <v>15007.947939003338</v>
      </c>
      <c r="I14" s="11">
        <f t="shared" si="1"/>
        <v>-2.5425085213073531E-2</v>
      </c>
      <c r="J14" s="11">
        <f t="shared" si="2"/>
        <v>0.13393411946016531</v>
      </c>
      <c r="K14" s="11">
        <f t="shared" si="3"/>
        <v>0.16351662889669177</v>
      </c>
      <c r="L14" s="11">
        <f>IF(S14="",((BG14-E14)/E14),((U14-E14)/E14))</f>
        <v>3.6953845371821739E-2</v>
      </c>
      <c r="M14" s="3" t="str">
        <f>IF(S14="Churn","Churn",VLOOKUP(A14,'[1]Revenue_Engine_2025 Dec.25'!$C$14:$E$3993,3,0))</f>
        <v>Teknoloji</v>
      </c>
      <c r="N14" s="3">
        <f>IF(S14="",VLOOKUP(A14,[3]Export!$B$2:$F$417,5,0),"CHURN")</f>
        <v>0.25635420103743756</v>
      </c>
      <c r="O14" s="3">
        <f>(1-N14)*H14</f>
        <v>11160.59743588868</v>
      </c>
      <c r="P14" s="3">
        <f t="shared" si="5"/>
        <v>10030.517669928082</v>
      </c>
      <c r="Q14" s="3">
        <f t="shared" si="4"/>
        <v>11670.674105403423</v>
      </c>
      <c r="R14" s="3" t="str">
        <f>IF(S14&lt;&gt;"Churn",VLOOKUP(A14,[3]Export!$B$2:$O$417,8,0),"CHURN")</f>
        <v>NO RISK</v>
      </c>
      <c r="S14" s="3"/>
      <c r="T14" s="3"/>
      <c r="U14" s="3" t="s">
        <v>551</v>
      </c>
      <c r="V14" s="4" t="str" cm="1">
        <f t="array" ref="V14">IFERROR(
    IF(
        MATCH(2,1/((Y14:BH14&lt;&gt;0)*(Y14:BH14&lt;&gt;"")))-MATCH(1,INDEX((Y14:BH14&lt;&gt;0)*(Y14:BH14&lt;&gt;""),0),0)+1 &lt;= 12,
        "No",
        "Yes"
    ),
    "No"
)</f>
        <v>Yes</v>
      </c>
      <c r="W14" s="4" t="str" cm="1">
        <f t="array" ref="W14">IFERROR(
    IF(
        MATCH(2,1/((Y14:BH14&lt;&gt;0)*(Y14:BH14&lt;&gt;"")))-MATCH(1,INDEX((Y14:BH14&lt;&gt;0)*(Y14:BH14&lt;&gt;""),0),0)+1 &lt;= 24,
        "No",
        "Yes"
    ),
    "No"
)</f>
        <v>Yes</v>
      </c>
      <c r="X14" s="3"/>
      <c r="Y14" s="4">
        <v>13840.188013092871</v>
      </c>
      <c r="Z14" s="4">
        <v>13815.001218357709</v>
      </c>
      <c r="AA14" s="4">
        <v>13761.895404337898</v>
      </c>
      <c r="AB14" s="4">
        <v>13634.491171287831</v>
      </c>
      <c r="AC14" s="4">
        <v>13500.949867923086</v>
      </c>
      <c r="AD14" s="4">
        <v>12401.981479435231</v>
      </c>
      <c r="AE14" s="4">
        <v>11740.803428496616</v>
      </c>
      <c r="AF14" s="4">
        <v>11643.36913140702</v>
      </c>
      <c r="AG14" s="4">
        <v>11638.680303958456</v>
      </c>
      <c r="AH14" s="4">
        <v>11483.095013811642</v>
      </c>
      <c r="AI14" s="4">
        <v>11348.41363188074</v>
      </c>
      <c r="AJ14" s="4">
        <v>13715.307572251295</v>
      </c>
      <c r="AK14" s="4">
        <v>13488.300053495026</v>
      </c>
      <c r="AL14" s="4">
        <v>13329.818133585002</v>
      </c>
      <c r="AM14" s="4">
        <v>13071.813115503755</v>
      </c>
      <c r="AN14" s="4">
        <v>13007.263112797982</v>
      </c>
      <c r="AO14" s="4">
        <v>13016.591047551447</v>
      </c>
      <c r="AP14" s="4">
        <v>12962.184335835453</v>
      </c>
      <c r="AQ14" s="4">
        <v>12888.380404838177</v>
      </c>
      <c r="AR14" s="4">
        <v>12752.808001202719</v>
      </c>
      <c r="AS14" s="4">
        <v>12682.259612526252</v>
      </c>
      <c r="AT14" s="4">
        <v>12644.592219157701</v>
      </c>
      <c r="AU14" s="4">
        <v>12611.222570469701</v>
      </c>
      <c r="AV14" s="4">
        <v>14786.322683363167</v>
      </c>
      <c r="AW14" s="4">
        <v>15693.8614077896</v>
      </c>
      <c r="AX14" s="4">
        <v>16736.376916991096</v>
      </c>
      <c r="AY14" s="4">
        <v>15379.571216169576</v>
      </c>
      <c r="AZ14" s="4">
        <v>15155.733877736779</v>
      </c>
      <c r="BA14" s="4">
        <v>15019.012670983204</v>
      </c>
      <c r="BB14" s="4">
        <v>14882.869444710443</v>
      </c>
      <c r="BC14" s="4">
        <v>14731.246104809368</v>
      </c>
      <c r="BD14" s="4">
        <v>14612.184095276485</v>
      </c>
      <c r="BE14" s="4">
        <v>14520.046197810821</v>
      </c>
      <c r="BF14" s="4">
        <v>14429.631409821048</v>
      </c>
      <c r="BG14" s="4">
        <v>14351.636180845646</v>
      </c>
      <c r="BH14" s="4">
        <v>15007.947939003338</v>
      </c>
      <c r="BJ14" s="9"/>
    </row>
    <row r="15" spans="1:62" x14ac:dyDescent="0.25">
      <c r="A15" s="6" t="s">
        <v>12</v>
      </c>
      <c r="B15" s="6"/>
      <c r="C15" s="7" t="s">
        <v>526</v>
      </c>
      <c r="D15" s="3"/>
      <c r="E15" s="3">
        <f>VLOOKUP(A15,[2]Sheet1!$A$2:$E$627,5,0)</f>
        <v>196.82963228586041</v>
      </c>
      <c r="F15" s="3">
        <f>VLOOKUP(A15,[2]Sheet1!$A$2:$F$627,6,0)</f>
        <v>192.66732057386795</v>
      </c>
      <c r="G15" s="3">
        <f>VLOOKUP(A15,[2]Sheet1!$A$2:$G$627,7,0)</f>
        <v>32.208494041004798</v>
      </c>
      <c r="H15" s="4">
        <f t="shared" si="0"/>
        <v>30.356553684366929</v>
      </c>
      <c r="I15" s="11">
        <f t="shared" si="1"/>
        <v>-2.114677380460394E-2</v>
      </c>
      <c r="J15" s="11">
        <f t="shared" si="2"/>
        <v>-0.83636359186899445</v>
      </c>
      <c r="K15" s="11">
        <f t="shared" si="3"/>
        <v>-0.83282845297754493</v>
      </c>
      <c r="L15" s="11">
        <f>IF(S15="",((BG15-E15)/E15),((U15-E15)/E15))</f>
        <v>-0.84739155810645583</v>
      </c>
      <c r="M15" s="3" t="str">
        <f>IF(S15="Churn","Churn",VLOOKUP(A15,'[1]Revenue_Engine_2025 Dec.25'!$C$14:$E$3993,3,0))</f>
        <v>Üretim</v>
      </c>
      <c r="N15" s="3">
        <f>IF(S15="",VLOOKUP(A15,[3]Export!$B$2:$F$417,5,0),"CHURN")</f>
        <v>0</v>
      </c>
      <c r="O15" s="3">
        <f>(1-N15)*H15</f>
        <v>30.356553684366929</v>
      </c>
      <c r="P15" s="3">
        <f t="shared" si="5"/>
        <v>192.66732057386795</v>
      </c>
      <c r="Q15" s="3">
        <f t="shared" si="4"/>
        <v>32.208494041004798</v>
      </c>
      <c r="R15" s="3" t="str">
        <f>IF(S15&lt;&gt;"Churn",VLOOKUP(A15,[3]Export!$B$2:$O$417,8,0),"CHURN")</f>
        <v>NO RISK</v>
      </c>
      <c r="S15" s="3"/>
      <c r="T15" s="3"/>
      <c r="U15" s="3" t="s">
        <v>551</v>
      </c>
      <c r="V15" s="4" t="str" cm="1">
        <f t="array" ref="V15">IFERROR(
    IF(
        MATCH(2,1/((Y15:BH15&lt;&gt;0)*(Y15:BH15&lt;&gt;"")))-MATCH(1,INDEX((Y15:BH15&lt;&gt;0)*(Y15:BH15&lt;&gt;""),0),0)+1 &lt;= 12,
        "No",
        "Yes"
    ),
    "No"
)</f>
        <v>Yes</v>
      </c>
      <c r="W15" s="4" t="str" cm="1">
        <f t="array" ref="W15">IFERROR(
    IF(
        MATCH(2,1/((Y15:BH15&lt;&gt;0)*(Y15:BH15&lt;&gt;"")))-MATCH(1,INDEX((Y15:BH15&lt;&gt;0)*(Y15:BH15&lt;&gt;""),0),0)+1 &lt;= 24,
        "No",
        "Yes"
    ),
    "No"
)</f>
        <v>Yes</v>
      </c>
      <c r="X15" s="3"/>
      <c r="Y15" s="4">
        <v>119.94850279609561</v>
      </c>
      <c r="Z15" s="4">
        <v>119.53176049342055</v>
      </c>
      <c r="AA15" s="4">
        <v>196.82963228586041</v>
      </c>
      <c r="AB15" s="4">
        <v>193.33267723672827</v>
      </c>
      <c r="AC15" s="4">
        <v>189.66725092144668</v>
      </c>
      <c r="AD15" s="4">
        <v>172.50308384043851</v>
      </c>
      <c r="AE15" s="4">
        <v>154.35525956475581</v>
      </c>
      <c r="AF15" s="4">
        <v>151.68091551083748</v>
      </c>
      <c r="AG15" s="4">
        <v>151.55221792449447</v>
      </c>
      <c r="AH15" s="4">
        <v>147.28175765867766</v>
      </c>
      <c r="AI15" s="4">
        <v>143.58506184933418</v>
      </c>
      <c r="AJ15" s="4">
        <v>141.55041154502737</v>
      </c>
      <c r="AK15" s="4">
        <v>137.45440998213905</v>
      </c>
      <c r="AL15" s="4">
        <v>134.59484771187749</v>
      </c>
      <c r="AM15" s="4">
        <v>195.75864127676374</v>
      </c>
      <c r="AN15" s="4">
        <v>193.93850561271492</v>
      </c>
      <c r="AO15" s="4">
        <v>194.20154582589112</v>
      </c>
      <c r="AP15" s="4">
        <v>192.66732057386795</v>
      </c>
      <c r="AQ15" s="4">
        <v>190.58610943165317</v>
      </c>
      <c r="AR15" s="4">
        <v>186.76307733552574</v>
      </c>
      <c r="AS15" s="4">
        <v>184.77366985282424</v>
      </c>
      <c r="AT15" s="4">
        <v>183.71147983506339</v>
      </c>
      <c r="AU15" s="4">
        <v>182.77048274015499</v>
      </c>
      <c r="AV15" s="4">
        <v>180.13073919570922</v>
      </c>
      <c r="AW15" s="4">
        <v>177.61130355278382</v>
      </c>
      <c r="AX15" s="4">
        <v>174.7095039212262</v>
      </c>
      <c r="AY15" s="4">
        <v>81.304870107228098</v>
      </c>
      <c r="AZ15" s="4">
        <v>13</v>
      </c>
      <c r="BA15" s="4">
        <v>32.764778191073837</v>
      </c>
      <c r="BB15" s="4">
        <v>32.208494041004798</v>
      </c>
      <c r="BC15" s="4">
        <v>31.588957813778105</v>
      </c>
      <c r="BD15" s="4">
        <v>31.10246788260946</v>
      </c>
      <c r="BE15" s="4">
        <v>30.725990452302746</v>
      </c>
      <c r="BF15" s="4">
        <v>30.356553684366929</v>
      </c>
      <c r="BG15" s="4">
        <v>30.037863501624415</v>
      </c>
      <c r="BH15" s="4">
        <v>29.745061325706072</v>
      </c>
      <c r="BJ15" s="9"/>
    </row>
    <row r="16" spans="1:62" x14ac:dyDescent="0.25">
      <c r="A16" s="6" t="s">
        <v>13</v>
      </c>
      <c r="B16" s="6"/>
      <c r="C16" s="7" t="s">
        <v>526</v>
      </c>
      <c r="D16" s="3"/>
      <c r="E16" s="3">
        <f>VLOOKUP(A16,[2]Sheet1!$A$2:$E$627,5,0)</f>
        <v>280.85000000000002</v>
      </c>
      <c r="F16" s="3">
        <f>VLOOKUP(A16,[2]Sheet1!$A$2:$F$627,6,0)</f>
        <v>289.84630399999998</v>
      </c>
      <c r="G16" s="3">
        <f>VLOOKUP(A16,[2]Sheet1!$A$2:$G$627,7,0)</f>
        <v>290.84630399999998</v>
      </c>
      <c r="H16" s="4">
        <f t="shared" si="0"/>
        <v>289.84630399999998</v>
      </c>
      <c r="I16" s="11">
        <f t="shared" si="1"/>
        <v>3.2032415880363013E-2</v>
      </c>
      <c r="J16" s="11">
        <f t="shared" si="2"/>
        <v>3.5593035428164325E-2</v>
      </c>
      <c r="K16" s="11">
        <f t="shared" si="3"/>
        <v>3.450104369797312E-3</v>
      </c>
      <c r="L16" s="11">
        <f>IF(S16="",((BG16-E16)/E16),((U16-E16)/E16))</f>
        <v>3.2032415880363013E-2</v>
      </c>
      <c r="M16" s="3" t="str">
        <f>IF(S16="Churn","Churn",VLOOKUP(A16,'[1]Revenue_Engine_2025 Dec.25'!$C$14:$E$3993,3,0))</f>
        <v>Bayi</v>
      </c>
      <c r="N16" s="3">
        <f>IF(S16="",VLOOKUP(A16,[3]Export!$B$2:$F$417,5,0),"CHURN")</f>
        <v>0.19711762041282124</v>
      </c>
      <c r="O16" s="3">
        <f>(1-N16)*H16</f>
        <v>232.7124902700688</v>
      </c>
      <c r="P16" s="3">
        <f t="shared" si="5"/>
        <v>232.7124902700688</v>
      </c>
      <c r="Q16" s="3">
        <f t="shared" si="4"/>
        <v>233.51537264965597</v>
      </c>
      <c r="R16" s="3" t="str">
        <f>IF(S16&lt;&gt;"Churn",VLOOKUP(A16,[3]Export!$B$2:$O$417,8,0),"CHURN")</f>
        <v>NO RISK</v>
      </c>
      <c r="S16" s="3"/>
      <c r="T16" s="3"/>
      <c r="U16" s="3" t="s">
        <v>551</v>
      </c>
      <c r="V16" s="4" t="str" cm="1">
        <f t="array" ref="V16">IFERROR(
    IF(
        MATCH(2,1/((Y16:BH16&lt;&gt;0)*(Y16:BH16&lt;&gt;"")))-MATCH(1,INDEX((Y16:BH16&lt;&gt;0)*(Y16:BH16&lt;&gt;""),0),0)+1 &lt;= 12,
        "No",
        "Yes"
    ),
    "No"
)</f>
        <v>Yes</v>
      </c>
      <c r="W16" s="4" t="str" cm="1">
        <f t="array" ref="W16">IFERROR(
    IF(
        MATCH(2,1/((Y16:BH16&lt;&gt;0)*(Y16:BH16&lt;&gt;"")))-MATCH(1,INDEX((Y16:BH16&lt;&gt;0)*(Y16:BH16&lt;&gt;""),0),0)+1 &lt;= 24,
        "No",
        "Yes"
    ),
    "No"
)</f>
        <v>Yes</v>
      </c>
      <c r="X16" s="3"/>
      <c r="Y16" s="4">
        <v>280.85000000000002</v>
      </c>
      <c r="Z16" s="4">
        <v>280.85000000000002</v>
      </c>
      <c r="AA16" s="4">
        <v>280.85000000000002</v>
      </c>
      <c r="AB16" s="4">
        <v>289.85000000000002</v>
      </c>
      <c r="AC16" s="4">
        <v>289.84630399999998</v>
      </c>
      <c r="AD16" s="4">
        <v>289.84630399999998</v>
      </c>
      <c r="AE16" s="4">
        <v>289.84630399999998</v>
      </c>
      <c r="AF16" s="4">
        <v>289.84630399999998</v>
      </c>
      <c r="AG16" s="4">
        <v>289.84630399999998</v>
      </c>
      <c r="AH16" s="4">
        <v>289.84630399999998</v>
      </c>
      <c r="AI16" s="4">
        <v>289.84630399999998</v>
      </c>
      <c r="AJ16" s="4">
        <v>289.84630399999998</v>
      </c>
      <c r="AK16" s="4">
        <v>289.84630399999998</v>
      </c>
      <c r="AL16" s="4">
        <v>289.84630399999998</v>
      </c>
      <c r="AM16" s="4">
        <v>289.84630399999998</v>
      </c>
      <c r="AN16" s="4">
        <v>289.84630399999998</v>
      </c>
      <c r="AO16" s="4">
        <v>289.84630399999998</v>
      </c>
      <c r="AP16" s="4">
        <v>289.84630399999998</v>
      </c>
      <c r="AQ16" s="4">
        <v>289.84630399999998</v>
      </c>
      <c r="AR16" s="4">
        <v>289.84630399999998</v>
      </c>
      <c r="AS16" s="4">
        <v>290.84630399999998</v>
      </c>
      <c r="AT16" s="4">
        <v>290.84630399999998</v>
      </c>
      <c r="AU16" s="4">
        <v>290.84630399999998</v>
      </c>
      <c r="AV16" s="4">
        <v>290.84630399999998</v>
      </c>
      <c r="AW16" s="4">
        <v>290.84630399999998</v>
      </c>
      <c r="AX16" s="4">
        <v>290.84630399999998</v>
      </c>
      <c r="AY16" s="4">
        <v>290.84630399999998</v>
      </c>
      <c r="AZ16" s="4">
        <v>290.84630399999998</v>
      </c>
      <c r="BA16" s="4">
        <v>290.84630399999998</v>
      </c>
      <c r="BB16" s="4">
        <v>290.84630399999998</v>
      </c>
      <c r="BC16" s="4">
        <v>290.84630399999998</v>
      </c>
      <c r="BD16" s="4">
        <v>290.84630399999998</v>
      </c>
      <c r="BE16" s="4">
        <v>289.84630399999998</v>
      </c>
      <c r="BF16" s="4">
        <v>289.84630399999998</v>
      </c>
      <c r="BG16" s="4">
        <v>289.84630399999998</v>
      </c>
      <c r="BH16" s="4">
        <v>289.84630399999998</v>
      </c>
      <c r="BJ16" s="9"/>
    </row>
    <row r="17" spans="1:62" x14ac:dyDescent="0.25">
      <c r="A17" s="6" t="s">
        <v>14</v>
      </c>
      <c r="B17" s="6"/>
      <c r="C17" s="7" t="s">
        <v>526</v>
      </c>
      <c r="D17" s="3"/>
      <c r="E17" s="3">
        <f>VLOOKUP(A17,[2]Sheet1!$A$2:$E$627,5,0)</f>
        <v>139.28</v>
      </c>
      <c r="F17" s="3">
        <f>VLOOKUP(A17,[2]Sheet1!$A$2:$F$627,6,0)</f>
        <v>270.28000400000002</v>
      </c>
      <c r="G17" s="3">
        <f>VLOOKUP(A17,[2]Sheet1!$A$2:$G$627,7,0)</f>
        <v>321.62560500000001</v>
      </c>
      <c r="H17" s="4">
        <f t="shared" si="0"/>
        <v>321.62560500000001</v>
      </c>
      <c r="I17" s="11">
        <f t="shared" si="1"/>
        <v>0.94055143595634705</v>
      </c>
      <c r="J17" s="11">
        <f t="shared" si="2"/>
        <v>1.3092016441700172</v>
      </c>
      <c r="K17" s="11">
        <f t="shared" si="3"/>
        <v>0.18997188190066766</v>
      </c>
      <c r="L17" s="11">
        <f>IF(S17="",((BG17-E17)/E17),((U17-E17)/E17))</f>
        <v>1.3092016441700172</v>
      </c>
      <c r="M17" s="3" t="str">
        <f>IF(S17="Churn","Churn",VLOOKUP(A17,'[1]Revenue_Engine_2025 Dec.25'!$C$14:$E$3993,3,0))</f>
        <v>Perakende</v>
      </c>
      <c r="N17" s="3">
        <f>IF(S17="",VLOOKUP(A17,[3]Export!$B$2:$F$417,5,0),"CHURN")</f>
        <v>0.82980209240492542</v>
      </c>
      <c r="O17" s="3">
        <f>(1-N17)*H17</f>
        <v>54.740004999999961</v>
      </c>
      <c r="P17" s="3">
        <f t="shared" si="5"/>
        <v>46.00109114558839</v>
      </c>
      <c r="Q17" s="3">
        <f t="shared" si="4"/>
        <v>54.740004999999961</v>
      </c>
      <c r="R17" s="3" t="str">
        <f>IF(S17&lt;&gt;"Churn",VLOOKUP(A17,[3]Export!$B$2:$O$417,8,0),"CHURN")</f>
        <v>NO RISK</v>
      </c>
      <c r="S17" s="3"/>
      <c r="T17" s="3"/>
      <c r="U17" s="3" t="s">
        <v>551</v>
      </c>
      <c r="V17" s="4" t="str" cm="1">
        <f t="array" ref="V17">IFERROR(
    IF(
        MATCH(2,1/((Y17:BH17&lt;&gt;0)*(Y17:BH17&lt;&gt;"")))-MATCH(1,INDEX((Y17:BH17&lt;&gt;0)*(Y17:BH17&lt;&gt;""),0),0)+1 &lt;= 12,
        "No",
        "Yes"
    ),
    "No"
)</f>
        <v>Yes</v>
      </c>
      <c r="W17" s="4" t="str" cm="1">
        <f t="array" ref="W17">IFERROR(
    IF(
        MATCH(2,1/((Y17:BH17&lt;&gt;0)*(Y17:BH17&lt;&gt;"")))-MATCH(1,INDEX((Y17:BH17&lt;&gt;0)*(Y17:BH17&lt;&gt;""),0),0)+1 &lt;= 24,
        "No",
        "Yes"
    ),
    "No"
)</f>
        <v>Yes</v>
      </c>
      <c r="X17" s="3"/>
      <c r="Y17" s="4">
        <v>139.28</v>
      </c>
      <c r="Z17" s="4">
        <v>139.28</v>
      </c>
      <c r="AA17" s="4">
        <v>139.28</v>
      </c>
      <c r="AB17" s="4">
        <v>139.28</v>
      </c>
      <c r="AC17" s="4">
        <v>139.28000399999999</v>
      </c>
      <c r="AD17" s="4">
        <v>139.28000399999999</v>
      </c>
      <c r="AE17" s="4">
        <v>139.28000399999999</v>
      </c>
      <c r="AF17" s="4">
        <v>139.28000399999999</v>
      </c>
      <c r="AG17" s="4">
        <v>139.28000399999999</v>
      </c>
      <c r="AH17" s="4">
        <v>139.28000399999999</v>
      </c>
      <c r="AI17" s="4">
        <v>139.28000399999999</v>
      </c>
      <c r="AJ17" s="4">
        <v>270.28000400000002</v>
      </c>
      <c r="AK17" s="4">
        <v>270.28000400000002</v>
      </c>
      <c r="AL17" s="4">
        <v>270.28000400000002</v>
      </c>
      <c r="AM17" s="4">
        <v>270.28000400000002</v>
      </c>
      <c r="AN17" s="4">
        <v>270.28000400000002</v>
      </c>
      <c r="AO17" s="4">
        <v>270.28000400000002</v>
      </c>
      <c r="AP17" s="4">
        <v>270.28000400000002</v>
      </c>
      <c r="AQ17" s="4">
        <v>270.28000400000002</v>
      </c>
      <c r="AR17" s="4">
        <v>270.28000400000002</v>
      </c>
      <c r="AS17" s="4">
        <v>270.28000400000002</v>
      </c>
      <c r="AT17" s="4">
        <v>270.28000400000002</v>
      </c>
      <c r="AU17" s="4">
        <v>270.28000400000002</v>
      </c>
      <c r="AV17" s="4">
        <v>270.28000400000002</v>
      </c>
      <c r="AW17" s="4">
        <v>321.62560500000001</v>
      </c>
      <c r="AX17" s="4">
        <v>321.62560500000001</v>
      </c>
      <c r="AY17" s="4">
        <v>321.62560500000001</v>
      </c>
      <c r="AZ17" s="4">
        <v>321.62560500000001</v>
      </c>
      <c r="BA17" s="4">
        <v>321.62560500000001</v>
      </c>
      <c r="BB17" s="4">
        <v>321.62560500000001</v>
      </c>
      <c r="BC17" s="4">
        <v>321.62560500000001</v>
      </c>
      <c r="BD17" s="4">
        <v>321.62560500000001</v>
      </c>
      <c r="BE17" s="4">
        <v>321.62560500000001</v>
      </c>
      <c r="BF17" s="4">
        <v>321.62560500000001</v>
      </c>
      <c r="BG17" s="4">
        <v>321.62560500000001</v>
      </c>
      <c r="BH17" s="4">
        <v>321.62560500000001</v>
      </c>
      <c r="BJ17" s="9"/>
    </row>
    <row r="18" spans="1:62" x14ac:dyDescent="0.25">
      <c r="A18" s="6" t="s">
        <v>15</v>
      </c>
      <c r="B18" s="6"/>
      <c r="C18" s="7" t="s">
        <v>526</v>
      </c>
      <c r="D18" s="3"/>
      <c r="E18" s="3">
        <f>VLOOKUP(A18,[2]Sheet1!$A$2:$E$627,5,0)</f>
        <v>1512.7885564474573</v>
      </c>
      <c r="F18" s="3">
        <f>VLOOKUP(A18,[2]Sheet1!$A$2:$F$627,6,0)</f>
        <v>1816.6412488454832</v>
      </c>
      <c r="G18" s="3">
        <f>VLOOKUP(A18,[2]Sheet1!$A$2:$G$627,7,0)</f>
        <v>3210.5949264892624</v>
      </c>
      <c r="H18" s="4">
        <f t="shared" si="0"/>
        <v>1342.2685681585847</v>
      </c>
      <c r="I18" s="11">
        <f t="shared" si="1"/>
        <v>0.20085602254394069</v>
      </c>
      <c r="J18" s="11">
        <f t="shared" si="2"/>
        <v>1.122302494162722</v>
      </c>
      <c r="K18" s="11">
        <f t="shared" si="3"/>
        <v>0.76732468699016299</v>
      </c>
      <c r="L18" s="11">
        <f>IF(S18="",((BG18-E18)/E18),((U18-E18)/E18))</f>
        <v>1.2655127621123017</v>
      </c>
      <c r="M18" s="3" t="str">
        <f>IF(S18="Churn","Churn",VLOOKUP(A18,'[1]Revenue_Engine_2025 Dec.25'!$C$14:$E$3993,3,0))</f>
        <v>Churn</v>
      </c>
      <c r="N18" s="3" t="str">
        <f>IF(S18="",VLOOKUP(A18,[3]Export!$B$2:$F$417,5,0),"CHURN")</f>
        <v>CHURN</v>
      </c>
      <c r="O18" s="3" t="e">
        <f>(1-N18)*H18</f>
        <v>#VALUE!</v>
      </c>
      <c r="P18" s="3" t="e">
        <f t="shared" si="5"/>
        <v>#VALUE!</v>
      </c>
      <c r="Q18" s="3" t="e">
        <f t="shared" si="4"/>
        <v>#VALUE!</v>
      </c>
      <c r="R18" s="3" t="str">
        <f>IF(S18&lt;&gt;"Churn",VLOOKUP(A18,[3]Export!$B$2:$O$417,8,0),"CHURN")</f>
        <v>CHURN</v>
      </c>
      <c r="S18" s="3" t="s">
        <v>372</v>
      </c>
      <c r="T18" s="3" t="s">
        <v>553</v>
      </c>
      <c r="U18" s="3">
        <v>3427.2417810091606</v>
      </c>
      <c r="V18" s="4" t="str" cm="1">
        <f t="array" ref="V18">IFERROR(
    IF(
        MATCH(2,1/((Y18:BH18&lt;&gt;0)*(Y18:BH18&lt;&gt;"")))-MATCH(1,INDEX((Y18:BH18&lt;&gt;0)*(Y18:BH18&lt;&gt;""),0),0)+1 &lt;= 12,
        "No",
        "Yes"
    ),
    "No"
)</f>
        <v>Yes</v>
      </c>
      <c r="W18" s="4" t="str" cm="1">
        <f t="array" ref="W18">IFERROR(
    IF(
        MATCH(2,1/((Y18:BH18&lt;&gt;0)*(Y18:BH18&lt;&gt;"")))-MATCH(1,INDEX((Y18:BH18&lt;&gt;0)*(Y18:BH18&lt;&gt;""),0),0)+1 &lt;= 24,
        "No",
        "Yes"
    ),
    "No"
)</f>
        <v>Yes</v>
      </c>
      <c r="X18" s="3"/>
      <c r="Y18" s="4">
        <v>857.84421029624218</v>
      </c>
      <c r="Z18" s="4">
        <v>1512.7885564474573</v>
      </c>
      <c r="AA18" s="4">
        <v>1503.531376726379</v>
      </c>
      <c r="AB18" s="4">
        <v>1481.3228124789573</v>
      </c>
      <c r="AC18" s="4">
        <v>1592.1030060673199</v>
      </c>
      <c r="AD18" s="4">
        <v>1400.5341508409972</v>
      </c>
      <c r="AE18" s="4">
        <v>1232.2795869737288</v>
      </c>
      <c r="AF18" s="4">
        <v>1215.2951621257105</v>
      </c>
      <c r="AG18" s="4">
        <v>1214.477819839417</v>
      </c>
      <c r="AH18" s="4">
        <v>1187.356660411577</v>
      </c>
      <c r="AI18" s="4">
        <v>1163.879407337954</v>
      </c>
      <c r="AJ18" s="4">
        <v>1150.9572697716228</v>
      </c>
      <c r="AK18" s="4">
        <v>1816.6412488454832</v>
      </c>
      <c r="AL18" s="4">
        <v>1784.8496207999688</v>
      </c>
      <c r="AM18" s="4">
        <v>1733.0935619803124</v>
      </c>
      <c r="AN18" s="4">
        <v>1720.1447683417446</v>
      </c>
      <c r="AO18" s="4">
        <v>1722.0159611710801</v>
      </c>
      <c r="AP18" s="4">
        <v>1711.1019216198404</v>
      </c>
      <c r="AQ18" s="4">
        <v>1696.2967809205459</v>
      </c>
      <c r="AR18" s="4">
        <v>1669.1008242331088</v>
      </c>
      <c r="AS18" s="4">
        <v>1654.9487485055683</v>
      </c>
      <c r="AT18" s="4">
        <v>1735.1871470002079</v>
      </c>
      <c r="AU18" s="4">
        <v>1736.0092212770044</v>
      </c>
      <c r="AV18" s="4">
        <v>3251.1938529287045</v>
      </c>
      <c r="AW18" s="4">
        <v>3210.5949264892624</v>
      </c>
      <c r="AX18" s="4">
        <v>3724.9455854672069</v>
      </c>
      <c r="AY18" s="4">
        <v>3659.9333754701347</v>
      </c>
      <c r="AZ18" s="4">
        <v>3592.0601133814894</v>
      </c>
      <c r="BA18" s="4">
        <v>3550.6027123775561</v>
      </c>
      <c r="BB18" s="4">
        <v>3509.3205699829828</v>
      </c>
      <c r="BC18" s="4">
        <v>3463.3444573294141</v>
      </c>
      <c r="BD18" s="4">
        <v>3427.2417810091606</v>
      </c>
      <c r="BE18" s="4">
        <v>3399.3031908402045</v>
      </c>
      <c r="BF18" s="4">
        <v>1342.2685681585847</v>
      </c>
      <c r="BG18" s="4">
        <v>0</v>
      </c>
      <c r="BH18" s="4">
        <v>0</v>
      </c>
      <c r="BJ18" s="9"/>
    </row>
    <row r="19" spans="1:62" x14ac:dyDescent="0.25">
      <c r="A19" s="6" t="s">
        <v>16</v>
      </c>
      <c r="B19" s="6"/>
      <c r="C19" s="7" t="s">
        <v>526</v>
      </c>
      <c r="D19" s="3"/>
      <c r="E19" s="3">
        <f>VLOOKUP(A19,[2]Sheet1!$A$2:$E$627,5,0)</f>
        <v>3942</v>
      </c>
      <c r="F19" s="3">
        <f>VLOOKUP(A19,[2]Sheet1!$A$2:$F$627,6,0)</f>
        <v>3983.0000019999998</v>
      </c>
      <c r="G19" s="3">
        <f>VLOOKUP(A19,[2]Sheet1!$A$2:$G$627,7,0)</f>
        <v>5036.9735136666659</v>
      </c>
      <c r="H19" s="4">
        <f t="shared" si="0"/>
        <v>5738.6218469999994</v>
      </c>
      <c r="I19" s="11">
        <f t="shared" si="1"/>
        <v>1.0400812278031397E-2</v>
      </c>
      <c r="J19" s="11">
        <f t="shared" si="2"/>
        <v>0.27777105876881431</v>
      </c>
      <c r="K19" s="11">
        <f t="shared" si="3"/>
        <v>0.26461800430264376</v>
      </c>
      <c r="L19" s="11">
        <f>IF(S19="",((BG19-E19)/E19),((U19-E19)/E19))</f>
        <v>0.45576404033485524</v>
      </c>
      <c r="M19" s="3" t="str">
        <f>IF(S19="Churn","Churn",VLOOKUP(A19,'[1]Revenue_Engine_2025 Dec.25'!$C$14:$E$3993,3,0))</f>
        <v>Genel</v>
      </c>
      <c r="N19" s="3">
        <f>IF(S19="",VLOOKUP(A19,[3]Export!$B$2:$F$417,5,0),"CHURN")</f>
        <v>0.43357002226949487</v>
      </c>
      <c r="O19" s="3">
        <f>(1-N19)*H19</f>
        <v>3250.5274449999997</v>
      </c>
      <c r="P19" s="3">
        <f t="shared" si="5"/>
        <v>2256.0906024334618</v>
      </c>
      <c r="Q19" s="3">
        <f t="shared" si="4"/>
        <v>2853.0927951753533</v>
      </c>
      <c r="R19" s="3" t="str">
        <f>IF(S19&lt;&gt;"Churn",VLOOKUP(A19,[3]Export!$B$2:$O$417,8,0),"CHURN")</f>
        <v>NO RISK</v>
      </c>
      <c r="S19" s="3"/>
      <c r="T19" s="3"/>
      <c r="U19" s="3" t="s">
        <v>551</v>
      </c>
      <c r="V19" s="4" t="str" cm="1">
        <f t="array" ref="V19">IFERROR(
    IF(
        MATCH(2,1/((Y19:BH19&lt;&gt;0)*(Y19:BH19&lt;&gt;"")))-MATCH(1,INDEX((Y19:BH19&lt;&gt;0)*(Y19:BH19&lt;&gt;""),0),0)+1 &lt;= 12,
        "No",
        "Yes"
    ),
    "No"
)</f>
        <v>Yes</v>
      </c>
      <c r="W19" s="4" t="str" cm="1">
        <f t="array" ref="W19">IFERROR(
    IF(
        MATCH(2,1/((Y19:BH19&lt;&gt;0)*(Y19:BH19&lt;&gt;"")))-MATCH(1,INDEX((Y19:BH19&lt;&gt;0)*(Y19:BH19&lt;&gt;""),0),0)+1 &lt;= 24,
        "No",
        "Yes"
    ),
    "No"
)</f>
        <v>Yes</v>
      </c>
      <c r="X19" s="3"/>
      <c r="Y19" s="4">
        <v>3790</v>
      </c>
      <c r="Z19" s="4">
        <v>3790</v>
      </c>
      <c r="AA19" s="4">
        <v>3942</v>
      </c>
      <c r="AB19" s="4">
        <v>3960</v>
      </c>
      <c r="AC19" s="4">
        <v>3960.0005019999999</v>
      </c>
      <c r="AD19" s="4">
        <v>3960.0005019999999</v>
      </c>
      <c r="AE19" s="4">
        <v>3960.0005019999999</v>
      </c>
      <c r="AF19" s="4">
        <v>3960.0005019999999</v>
      </c>
      <c r="AG19" s="4">
        <v>3983.0000019999998</v>
      </c>
      <c r="AH19" s="4">
        <v>3983.0000019999998</v>
      </c>
      <c r="AI19" s="4">
        <v>3983.0000019999998</v>
      </c>
      <c r="AJ19" s="4">
        <v>3983.0000019999998</v>
      </c>
      <c r="AK19" s="4">
        <v>3983.0000019999998</v>
      </c>
      <c r="AL19" s="4">
        <v>3983.0000019999998</v>
      </c>
      <c r="AM19" s="4">
        <v>3990.000004</v>
      </c>
      <c r="AN19" s="4">
        <v>3990.000004</v>
      </c>
      <c r="AO19" s="4">
        <v>3991.9916706666668</v>
      </c>
      <c r="AP19" s="4">
        <v>3991.9916706666668</v>
      </c>
      <c r="AQ19" s="4">
        <v>4086.9916706666668</v>
      </c>
      <c r="AR19" s="4">
        <v>4086.9916706666668</v>
      </c>
      <c r="AS19" s="4">
        <v>4086.9916706666668</v>
      </c>
      <c r="AT19" s="4">
        <v>4190.9876706666673</v>
      </c>
      <c r="AU19" s="4">
        <v>4190.9876706666673</v>
      </c>
      <c r="AV19" s="4">
        <v>4190.9876706666673</v>
      </c>
      <c r="AW19" s="4">
        <v>5036.9735136666659</v>
      </c>
      <c r="AX19" s="4">
        <v>5036.9735136666659</v>
      </c>
      <c r="AY19" s="4">
        <v>5738.6135136666662</v>
      </c>
      <c r="AZ19" s="4">
        <v>5740.6135136666662</v>
      </c>
      <c r="BA19" s="4">
        <v>5738.6218469999994</v>
      </c>
      <c r="BB19" s="4">
        <v>5738.6218469999994</v>
      </c>
      <c r="BC19" s="4">
        <v>5738.6218469999994</v>
      </c>
      <c r="BD19" s="4">
        <v>5738.6218469999994</v>
      </c>
      <c r="BE19" s="4">
        <v>5738.6218469999994</v>
      </c>
      <c r="BF19" s="4">
        <v>5738.6218469999994</v>
      </c>
      <c r="BG19" s="4">
        <v>5738.6218469999994</v>
      </c>
      <c r="BH19" s="4">
        <v>5738.6218469999994</v>
      </c>
      <c r="BJ19" s="9"/>
    </row>
    <row r="20" spans="1:62" x14ac:dyDescent="0.25">
      <c r="A20" s="6" t="s">
        <v>17</v>
      </c>
      <c r="B20" s="6"/>
      <c r="C20" s="7" t="s">
        <v>526</v>
      </c>
      <c r="D20" s="3"/>
      <c r="E20" s="3">
        <f>VLOOKUP(A20,[2]Sheet1!$A$2:$E$627,5,0)</f>
        <v>290.24790250539206</v>
      </c>
      <c r="F20" s="3">
        <f>VLOOKUP(A20,[2]Sheet1!$A$2:$F$627,6,0)</f>
        <v>269.26011096699335</v>
      </c>
      <c r="G20" s="3">
        <f>VLOOKUP(A20,[2]Sheet1!$A$2:$G$627,7,0)</f>
        <v>373.9031290176934</v>
      </c>
      <c r="H20" s="4">
        <f t="shared" si="0"/>
        <v>0</v>
      </c>
      <c r="I20" s="11">
        <f t="shared" si="1"/>
        <v>-7.230988185352627E-2</v>
      </c>
      <c r="J20" s="11">
        <f t="shared" si="2"/>
        <v>0.28821991749190068</v>
      </c>
      <c r="K20" s="11">
        <f t="shared" si="3"/>
        <v>0.38863171256557744</v>
      </c>
      <c r="L20" s="11">
        <f>IF(S20="",((BG20-E20)/E20),((U20-E20)/E20))</f>
        <v>0.28821991749190068</v>
      </c>
      <c r="M20" s="3" t="str">
        <f>IF(S20="Churn","Churn",VLOOKUP(A20,'[1]Revenue_Engine_2025 Dec.25'!$C$14:$E$3993,3,0))</f>
        <v>Churn</v>
      </c>
      <c r="N20" s="3" t="str">
        <f>IF(S20="",VLOOKUP(A20,[3]Export!$B$2:$F$417,5,0),"CHURN")</f>
        <v>CHURN</v>
      </c>
      <c r="O20" s="3" t="e">
        <f>(1-N20)*H20</f>
        <v>#VALUE!</v>
      </c>
      <c r="P20" s="3" t="e">
        <f t="shared" si="5"/>
        <v>#VALUE!</v>
      </c>
      <c r="Q20" s="3" t="e">
        <f t="shared" si="4"/>
        <v>#VALUE!</v>
      </c>
      <c r="R20" s="3" t="str">
        <f>IF(S20&lt;&gt;"Churn",VLOOKUP(A20,[3]Export!$B$2:$O$417,8,0),"CHURN")</f>
        <v>CHURN</v>
      </c>
      <c r="S20" s="3" t="s">
        <v>372</v>
      </c>
      <c r="T20" s="3" t="s">
        <v>554</v>
      </c>
      <c r="U20" s="3">
        <v>373.9031290176934</v>
      </c>
      <c r="V20" s="4" t="str" cm="1">
        <f t="array" ref="V20">IFERROR(
    IF(
        MATCH(2,1/((Y20:BH20&lt;&gt;0)*(Y20:BH20&lt;&gt;"")))-MATCH(1,INDEX((Y20:BH20&lt;&gt;0)*(Y20:BH20&lt;&gt;""),0),0)+1 &lt;= 12,
        "No",
        "Yes"
    ),
    "No"
)</f>
        <v>Yes</v>
      </c>
      <c r="W20" s="4" t="str" cm="1">
        <f t="array" ref="W20">IFERROR(
    IF(
        MATCH(2,1/((Y20:BH20&lt;&gt;0)*(Y20:BH20&lt;&gt;"")))-MATCH(1,INDEX((Y20:BH20&lt;&gt;0)*(Y20:BH20&lt;&gt;""),0),0)+1 &lt;= 24,
        "No",
        "Yes"
    ),
    "No"
)</f>
        <v>Yes</v>
      </c>
      <c r="X20" s="3"/>
      <c r="Y20" s="4">
        <v>177.84127559533647</v>
      </c>
      <c r="Z20" s="4">
        <v>177.22339391299266</v>
      </c>
      <c r="AA20" s="4">
        <v>290.24790250539206</v>
      </c>
      <c r="AB20" s="4">
        <v>285.09124059235165</v>
      </c>
      <c r="AC20" s="4">
        <v>279.68592686694581</v>
      </c>
      <c r="AD20" s="4">
        <v>235.20543280571607</v>
      </c>
      <c r="AE20" s="4">
        <v>279.3154754952642</v>
      </c>
      <c r="AF20" s="4">
        <v>274.03101927228278</v>
      </c>
      <c r="AG20" s="4">
        <v>273.77671513365237</v>
      </c>
      <c r="AH20" s="4">
        <v>290.52181415835287</v>
      </c>
      <c r="AI20" s="4">
        <v>282.5239238145885</v>
      </c>
      <c r="AJ20" s="4">
        <v>278.12190891776567</v>
      </c>
      <c r="AK20" s="4">
        <v>269.26011096699335</v>
      </c>
      <c r="AL20" s="4">
        <v>272.84657149744919</v>
      </c>
      <c r="AM20" s="4">
        <v>407.29130035528323</v>
      </c>
      <c r="AN20" s="4">
        <v>403.23472231096832</v>
      </c>
      <c r="AO20" s="4">
        <v>411.5867106624213</v>
      </c>
      <c r="AP20" s="4">
        <v>408.10182469184474</v>
      </c>
      <c r="AQ20" s="4">
        <v>403.37449830887203</v>
      </c>
      <c r="AR20" s="4">
        <v>394.69074675460075</v>
      </c>
      <c r="AS20" s="4">
        <v>390.17194600022373</v>
      </c>
      <c r="AT20" s="4">
        <v>387.75925523913764</v>
      </c>
      <c r="AU20" s="4">
        <v>385.62184577460482</v>
      </c>
      <c r="AV20" s="4">
        <v>379.62585188007836</v>
      </c>
      <c r="AW20" s="4">
        <v>373.9031290176934</v>
      </c>
      <c r="AX20" s="4">
        <v>367.31189294456505</v>
      </c>
      <c r="AY20" s="4">
        <v>358.14793485224038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  <c r="BH20" s="4">
        <v>0</v>
      </c>
      <c r="BJ20" s="9"/>
    </row>
    <row r="21" spans="1:62" x14ac:dyDescent="0.25">
      <c r="A21" s="6" t="s">
        <v>18</v>
      </c>
      <c r="B21" s="6"/>
      <c r="C21" s="7" t="s">
        <v>526</v>
      </c>
      <c r="D21" s="3"/>
      <c r="E21" s="3">
        <f>VLOOKUP(A21,[2]Sheet1!$A$2:$E$627,5,0)</f>
        <v>273.32029045883849</v>
      </c>
      <c r="F21" s="3">
        <f>VLOOKUP(A21,[2]Sheet1!$A$2:$F$627,6,0)</f>
        <v>206.16308393546043</v>
      </c>
      <c r="G21" s="3">
        <f>VLOOKUP(A21,[2]Sheet1!$A$2:$G$627,7,0)</f>
        <v>279.17116324745325</v>
      </c>
      <c r="H21" s="4">
        <f t="shared" si="0"/>
        <v>310.1264320584379</v>
      </c>
      <c r="I21" s="11">
        <f t="shared" si="1"/>
        <v>-0.24570882172939809</v>
      </c>
      <c r="J21" s="11">
        <f t="shared" si="2"/>
        <v>2.1406653632602867E-2</v>
      </c>
      <c r="K21" s="11">
        <f t="shared" si="3"/>
        <v>0.3541277997900345</v>
      </c>
      <c r="L21" s="11">
        <f>IF(S21="",((BG21-E21)/E21),((U21-E21)/E21))</f>
        <v>0.12275108411173626</v>
      </c>
      <c r="M21" s="3" t="str">
        <f>IF(S21="Churn","Churn",VLOOKUP(A21,'[1]Revenue_Engine_2025 Dec.25'!$C$14:$E$3993,3,0))</f>
        <v>Bayi</v>
      </c>
      <c r="N21" s="3">
        <f>IF(S21="",VLOOKUP(A21,[3]Export!$B$2:$F$417,5,0),"CHURN")</f>
        <v>0</v>
      </c>
      <c r="O21" s="3">
        <f>(1-N21)*H21</f>
        <v>310.1264320584379</v>
      </c>
      <c r="P21" s="3">
        <f t="shared" si="5"/>
        <v>206.16308393546043</v>
      </c>
      <c r="Q21" s="3">
        <f t="shared" si="4"/>
        <v>279.17116324745325</v>
      </c>
      <c r="R21" s="3" t="str">
        <f>IF(S21&lt;&gt;"Churn",VLOOKUP(A21,[3]Export!$B$2:$O$417,8,0),"CHURN")</f>
        <v>NO RISK</v>
      </c>
      <c r="S21" s="3"/>
      <c r="T21" s="3"/>
      <c r="U21" s="3" t="s">
        <v>551</v>
      </c>
      <c r="V21" s="4" t="str" cm="1">
        <f t="array" ref="V21">IFERROR(
    IF(
        MATCH(2,1/((Y21:BH21&lt;&gt;0)*(Y21:BH21&lt;&gt;"")))-MATCH(1,INDEX((Y21:BH21&lt;&gt;0)*(Y21:BH21&lt;&gt;""),0),0)+1 &lt;= 12,
        "No",
        "Yes"
    ),
    "No"
)</f>
        <v>Yes</v>
      </c>
      <c r="W21" s="4" t="str" cm="1">
        <f t="array" ref="W21">IFERROR(
    IF(
        MATCH(2,1/((Y21:BH21&lt;&gt;0)*(Y21:BH21&lt;&gt;"")))-MATCH(1,INDEX((Y21:BH21&lt;&gt;0)*(Y21:BH21&lt;&gt;""),0),0)+1 &lt;= 24,
        "No",
        "Yes"
    ),
    "No"
)</f>
        <v>Yes</v>
      </c>
      <c r="X21" s="3"/>
      <c r="Y21" s="4">
        <v>151.8549122255215</v>
      </c>
      <c r="Z21" s="4">
        <v>151.32731609619788</v>
      </c>
      <c r="AA21" s="4">
        <v>273.32029045883849</v>
      </c>
      <c r="AB21" s="4">
        <v>268.464371364491</v>
      </c>
      <c r="AC21" s="4">
        <v>263.37536251473637</v>
      </c>
      <c r="AD21" s="4">
        <v>221.48885653481932</v>
      </c>
      <c r="AE21" s="4">
        <v>196.28846071402873</v>
      </c>
      <c r="AF21" s="4">
        <v>192.57481836793079</v>
      </c>
      <c r="AG21" s="4">
        <v>192.39610658034917</v>
      </c>
      <c r="AH21" s="4">
        <v>186.46606849971022</v>
      </c>
      <c r="AI21" s="4">
        <v>181.33277008281178</v>
      </c>
      <c r="AJ21" s="4">
        <v>212.94825381518359</v>
      </c>
      <c r="AK21" s="4">
        <v>206.16308393546043</v>
      </c>
      <c r="AL21" s="4">
        <v>201.4261189984428</v>
      </c>
      <c r="AM21" s="4">
        <v>193.71444611538246</v>
      </c>
      <c r="AN21" s="4">
        <v>306.86114500004652</v>
      </c>
      <c r="AO21" s="4">
        <v>307.30724584918846</v>
      </c>
      <c r="AP21" s="4">
        <v>304.70528936718063</v>
      </c>
      <c r="AQ21" s="4">
        <v>301.17567674036997</v>
      </c>
      <c r="AR21" s="4">
        <v>294.69203743751973</v>
      </c>
      <c r="AS21" s="4">
        <v>291.31811845910113</v>
      </c>
      <c r="AT21" s="4">
        <v>289.51670618395292</v>
      </c>
      <c r="AU21" s="4">
        <v>287.9208300325086</v>
      </c>
      <c r="AV21" s="4">
        <v>283.44397905039136</v>
      </c>
      <c r="AW21" s="4">
        <v>279.17116324745325</v>
      </c>
      <c r="AX21" s="4">
        <v>274.24988043656043</v>
      </c>
      <c r="AY21" s="4">
        <v>267.40769955589673</v>
      </c>
      <c r="AZ21" s="4">
        <v>340.43635818822293</v>
      </c>
      <c r="BA21" s="4">
        <v>334.72916139412405</v>
      </c>
      <c r="BB21" s="4">
        <v>329.04609142296272</v>
      </c>
      <c r="BC21" s="4">
        <v>322.71683014783628</v>
      </c>
      <c r="BD21" s="4">
        <v>317.74678683678076</v>
      </c>
      <c r="BE21" s="4">
        <v>313.90064529431447</v>
      </c>
      <c r="BF21" s="4">
        <v>310.1264320584379</v>
      </c>
      <c r="BG21" s="4">
        <v>306.87065242239555</v>
      </c>
      <c r="BH21" s="4">
        <v>303.87934797260004</v>
      </c>
      <c r="BJ21" s="9"/>
    </row>
    <row r="22" spans="1:62" x14ac:dyDescent="0.25">
      <c r="A22" s="6" t="s">
        <v>19</v>
      </c>
      <c r="B22" s="6"/>
      <c r="C22" s="7" t="s">
        <v>526</v>
      </c>
      <c r="D22" s="3"/>
      <c r="E22" s="3">
        <f>VLOOKUP(A22,[2]Sheet1!$A$2:$E$627,5,0)</f>
        <v>276.21532868117049</v>
      </c>
      <c r="F22" s="3">
        <f>VLOOKUP(A22,[2]Sheet1!$A$2:$F$627,6,0)</f>
        <v>297.0564677618878</v>
      </c>
      <c r="G22" s="3">
        <f>VLOOKUP(A22,[2]Sheet1!$A$2:$G$627,7,0)</f>
        <v>510.20141566724061</v>
      </c>
      <c r="H22" s="4">
        <f t="shared" si="0"/>
        <v>547.37671605198648</v>
      </c>
      <c r="I22" s="11">
        <f t="shared" si="1"/>
        <v>7.545250721683805E-2</v>
      </c>
      <c r="J22" s="11">
        <f t="shared" si="2"/>
        <v>0.84711477854350115</v>
      </c>
      <c r="K22" s="11">
        <f t="shared" si="3"/>
        <v>0.71752333659405076</v>
      </c>
      <c r="L22" s="11">
        <f>IF(S22="",((BG22-E22)/E22),((U22-E22)/E22))</f>
        <v>0.96089851410613347</v>
      </c>
      <c r="M22" s="3" t="str">
        <f>IF(S22="Churn","Churn",VLOOKUP(A22,'[1]Revenue_Engine_2025 Dec.25'!$C$14:$E$3993,3,0))</f>
        <v>Diğer</v>
      </c>
      <c r="N22" s="3">
        <f>IF(S22="",VLOOKUP(A22,[3]Export!$B$2:$F$417,5,0),"CHURN")</f>
        <v>9.3601711283718414E-2</v>
      </c>
      <c r="O22" s="3">
        <f>(1-N22)*H22</f>
        <v>496.14131871265852</v>
      </c>
      <c r="P22" s="3">
        <f t="shared" si="5"/>
        <v>269.25147403147838</v>
      </c>
      <c r="Q22" s="3">
        <f t="shared" si="4"/>
        <v>462.44569006141114</v>
      </c>
      <c r="R22" s="3" t="str">
        <f>IF(S22&lt;&gt;"Churn",VLOOKUP(A22,[3]Export!$B$2:$O$417,8,0),"CHURN")</f>
        <v>NO RISK</v>
      </c>
      <c r="S22" s="3"/>
      <c r="T22" s="3"/>
      <c r="U22" s="3" t="s">
        <v>551</v>
      </c>
      <c r="V22" s="4" t="str" cm="1">
        <f t="array" ref="V22">IFERROR(
    IF(
        MATCH(2,1/((Y22:BH22&lt;&gt;0)*(Y22:BH22&lt;&gt;"")))-MATCH(1,INDEX((Y22:BH22&lt;&gt;0)*(Y22:BH22&lt;&gt;""),0),0)+1 &lt;= 12,
        "No",
        "Yes"
    ),
    "No"
)</f>
        <v>Yes</v>
      </c>
      <c r="W22" s="4" t="str" cm="1">
        <f t="array" ref="W22">IFERROR(
    IF(
        MATCH(2,1/((Y22:BH22&lt;&gt;0)*(Y22:BH22&lt;&gt;"")))-MATCH(1,INDEX((Y22:BH22&lt;&gt;0)*(Y22:BH22&lt;&gt;""),0),0)+1 &lt;= 24,
        "No",
        "Yes"
    ),
    "No"
)</f>
        <v>Yes</v>
      </c>
      <c r="X22" s="3"/>
      <c r="Y22" s="4">
        <v>276.21532868117049</v>
      </c>
      <c r="Z22" s="4">
        <v>275.25566174556542</v>
      </c>
      <c r="AA22" s="4">
        <v>273.23222468900127</v>
      </c>
      <c r="AB22" s="4">
        <v>268.37787020682583</v>
      </c>
      <c r="AC22" s="4">
        <v>263.290388430424</v>
      </c>
      <c r="AD22" s="4">
        <v>221.41739649926501</v>
      </c>
      <c r="AE22" s="4">
        <v>272.71300665401765</v>
      </c>
      <c r="AF22" s="4">
        <v>267.55259542325086</v>
      </c>
      <c r="AG22" s="4">
        <v>267.3043033412153</v>
      </c>
      <c r="AH22" s="4">
        <v>320.51306675809462</v>
      </c>
      <c r="AI22" s="4">
        <v>311.68953531657041</v>
      </c>
      <c r="AJ22" s="4">
        <v>306.83309003178891</v>
      </c>
      <c r="AK22" s="4">
        <v>297.0564677618878</v>
      </c>
      <c r="AL22" s="4">
        <v>290.23106505039715</v>
      </c>
      <c r="AM22" s="4">
        <v>279.11946221904748</v>
      </c>
      <c r="AN22" s="4">
        <v>276.33946205407688</v>
      </c>
      <c r="AO22" s="4">
        <v>276.74119186145839</v>
      </c>
      <c r="AP22" s="4">
        <v>274.39803676919007</v>
      </c>
      <c r="AQ22" s="4">
        <v>426.20672651828568</v>
      </c>
      <c r="AR22" s="4">
        <v>417.03144811233636</v>
      </c>
      <c r="AS22" s="4">
        <v>471.15072504225623</v>
      </c>
      <c r="AT22" s="4">
        <v>468.2372890224666</v>
      </c>
      <c r="AU22" s="4">
        <v>465.65626793868461</v>
      </c>
      <c r="AV22" s="4">
        <v>458.41582715426836</v>
      </c>
      <c r="AW22" s="4">
        <v>510.20141566724061</v>
      </c>
      <c r="AX22" s="4">
        <v>501.20748725497549</v>
      </c>
      <c r="AY22" s="4">
        <v>488.70300673858469</v>
      </c>
      <c r="AZ22" s="4">
        <v>475.64823005264236</v>
      </c>
      <c r="BA22" s="4">
        <v>467.67429310853259</v>
      </c>
      <c r="BB22" s="4">
        <v>459.73406549173478</v>
      </c>
      <c r="BC22" s="4">
        <v>569.59897569479085</v>
      </c>
      <c r="BD22" s="4">
        <v>560.8267297964918</v>
      </c>
      <c r="BE22" s="4">
        <v>554.03824578043213</v>
      </c>
      <c r="BF22" s="4">
        <v>547.37671605198648</v>
      </c>
      <c r="BG22" s="4">
        <v>541.63022758424449</v>
      </c>
      <c r="BH22" s="4">
        <v>536.35054085914715</v>
      </c>
      <c r="BJ22" s="9"/>
    </row>
    <row r="23" spans="1:62" x14ac:dyDescent="0.25">
      <c r="A23" s="6" t="s">
        <v>20</v>
      </c>
      <c r="B23" s="6"/>
      <c r="C23" s="7" t="s">
        <v>526</v>
      </c>
      <c r="D23" s="3"/>
      <c r="E23" s="3">
        <f>VLOOKUP(A23,[2]Sheet1!$A$2:$E$627,5,0)</f>
        <v>315.86548887692385</v>
      </c>
      <c r="F23" s="3">
        <f>VLOOKUP(A23,[2]Sheet1!$A$2:$F$627,6,0)</f>
        <v>546.49520065354579</v>
      </c>
      <c r="G23" s="3">
        <f>VLOOKUP(A23,[2]Sheet1!$A$2:$G$627,7,0)</f>
        <v>826.96111117718465</v>
      </c>
      <c r="H23" s="4">
        <f t="shared" si="0"/>
        <v>742.65337576061154</v>
      </c>
      <c r="I23" s="11">
        <f t="shared" si="1"/>
        <v>0.73015166233144957</v>
      </c>
      <c r="J23" s="11">
        <f t="shared" si="2"/>
        <v>1.6180799748572972</v>
      </c>
      <c r="K23" s="11">
        <f t="shared" si="3"/>
        <v>0.51320836887173704</v>
      </c>
      <c r="L23" s="11">
        <f>IF(S23="",((BG23-E23)/E23),((U23-E23)/E23))</f>
        <v>1.3290989817039394</v>
      </c>
      <c r="M23" s="3" t="str">
        <f>IF(S23="Churn","Churn",VLOOKUP(A23,'[1]Revenue_Engine_2025 Dec.25'!$C$14:$E$3993,3,0))</f>
        <v>Perakende</v>
      </c>
      <c r="N23" s="3">
        <f>IF(S23="",VLOOKUP(A23,[3]Export!$B$2:$F$417,5,0),"CHURN")</f>
        <v>0.28281948036507043</v>
      </c>
      <c r="O23" s="3">
        <f>(1-N23)*H23</f>
        <v>532.61653393662993</v>
      </c>
      <c r="P23" s="3">
        <f t="shared" si="5"/>
        <v>391.93571198270507</v>
      </c>
      <c r="Q23" s="3">
        <f t="shared" si="4"/>
        <v>593.08039943193205</v>
      </c>
      <c r="R23" s="3" t="str">
        <f>IF(S23&lt;&gt;"Churn",VLOOKUP(A23,[3]Export!$B$2:$O$417,8,0),"CHURN")</f>
        <v>NO RISK</v>
      </c>
      <c r="S23" s="3"/>
      <c r="T23" s="3"/>
      <c r="U23" s="3" t="s">
        <v>551</v>
      </c>
      <c r="V23" s="4" t="str" cm="1">
        <f t="array" ref="V23">IFERROR(
    IF(
        MATCH(2,1/((Y23:BH23&lt;&gt;0)*(Y23:BH23&lt;&gt;"")))-MATCH(1,INDEX((Y23:BH23&lt;&gt;0)*(Y23:BH23&lt;&gt;""),0),0)+1 &lt;= 12,
        "No",
        "Yes"
    ),
    "No"
)</f>
        <v>Yes</v>
      </c>
      <c r="W23" s="4" t="str" cm="1">
        <f t="array" ref="W23">IFERROR(
    IF(
        MATCH(2,1/((Y23:BH23&lt;&gt;0)*(Y23:BH23&lt;&gt;"")))-MATCH(1,INDEX((Y23:BH23&lt;&gt;0)*(Y23:BH23&lt;&gt;""),0),0)+1 &lt;= 24,
        "No",
        "Yes"
    ),
    "No"
)</f>
        <v>Yes</v>
      </c>
      <c r="X23" s="3"/>
      <c r="Y23" s="4">
        <v>315.86548887692385</v>
      </c>
      <c r="Z23" s="4">
        <v>314.8097557865882</v>
      </c>
      <c r="AA23" s="4">
        <v>312.58376531263349</v>
      </c>
      <c r="AB23" s="4">
        <v>379.75941282806986</v>
      </c>
      <c r="AC23" s="4">
        <v>375.13883016924802</v>
      </c>
      <c r="AD23" s="4">
        <v>317.38621186740056</v>
      </c>
      <c r="AE23" s="4">
        <v>372.77417868770289</v>
      </c>
      <c r="AF23" s="4">
        <v>365.94857996182935</v>
      </c>
      <c r="AG23" s="4">
        <v>365.6201113490946</v>
      </c>
      <c r="AH23" s="4">
        <v>354.72082256590835</v>
      </c>
      <c r="AI23" s="4">
        <v>345.28592499944597</v>
      </c>
      <c r="AJ23" s="4">
        <v>360.17027086569323</v>
      </c>
      <c r="AK23" s="4">
        <v>349.07652206724919</v>
      </c>
      <c r="AL23" s="4">
        <v>341.33158715628196</v>
      </c>
      <c r="AM23" s="4">
        <v>546.49520065354579</v>
      </c>
      <c r="AN23" s="4">
        <v>541.17168528783213</v>
      </c>
      <c r="AO23" s="4">
        <v>537.39669323082501</v>
      </c>
      <c r="AP23" s="4">
        <v>532.94818331105478</v>
      </c>
      <c r="AQ23" s="4">
        <v>526.91367931689194</v>
      </c>
      <c r="AR23" s="4">
        <v>599.70151998574158</v>
      </c>
      <c r="AS23" s="4">
        <v>593.72857726677546</v>
      </c>
      <c r="AT23" s="4">
        <v>590.53948695324766</v>
      </c>
      <c r="AU23" s="4">
        <v>587.71426296295226</v>
      </c>
      <c r="AV23" s="4">
        <v>579.78876900516116</v>
      </c>
      <c r="AW23" s="4">
        <v>669.77238611714699</v>
      </c>
      <c r="AX23" s="4">
        <v>659.34050899243857</v>
      </c>
      <c r="AY23" s="4">
        <v>826.96111117718465</v>
      </c>
      <c r="AZ23" s="4">
        <v>806.95403138014228</v>
      </c>
      <c r="BA23" s="4">
        <v>795.33358544105715</v>
      </c>
      <c r="BB23" s="4">
        <v>783.1648006845154</v>
      </c>
      <c r="BC23" s="4">
        <v>769.61236889751228</v>
      </c>
      <c r="BD23" s="4">
        <v>758.97034133321563</v>
      </c>
      <c r="BE23" s="4">
        <v>750.73485086574533</v>
      </c>
      <c r="BF23" s="4">
        <v>742.65337576061154</v>
      </c>
      <c r="BG23" s="4">
        <v>735.6819884986603</v>
      </c>
      <c r="BH23" s="4">
        <v>729.27690459584699</v>
      </c>
      <c r="BJ23" s="9"/>
    </row>
    <row r="24" spans="1:62" x14ac:dyDescent="0.25">
      <c r="A24" s="6" t="s">
        <v>21</v>
      </c>
      <c r="B24" s="6"/>
      <c r="C24" s="7" t="s">
        <v>526</v>
      </c>
      <c r="D24" s="3"/>
      <c r="E24" s="3">
        <f>VLOOKUP(A24,[2]Sheet1!$A$2:$E$627,5,0)</f>
        <v>500</v>
      </c>
      <c r="F24" s="3">
        <f>VLOOKUP(A24,[2]Sheet1!$A$2:$F$627,6,0)</f>
        <v>500</v>
      </c>
      <c r="G24" s="3">
        <f>VLOOKUP(A24,[2]Sheet1!$A$2:$G$627,7,0)</f>
        <v>500</v>
      </c>
      <c r="H24" s="4">
        <f t="shared" si="0"/>
        <v>547.5</v>
      </c>
      <c r="I24" s="11">
        <f t="shared" si="1"/>
        <v>0</v>
      </c>
      <c r="J24" s="11">
        <f t="shared" si="2"/>
        <v>0</v>
      </c>
      <c r="K24" s="11">
        <f t="shared" si="3"/>
        <v>0</v>
      </c>
      <c r="L24" s="11">
        <f>IF(S24="",((BG24-E24)/E24),((U24-E24)/E24))</f>
        <v>9.5000000000000001E-2</v>
      </c>
      <c r="M24" s="3" t="str">
        <f>IF(S24="Churn","Churn",VLOOKUP(A24,'[1]Revenue_Engine_2025 Dec.25'!$C$14:$E$3993,3,0))</f>
        <v>Churn</v>
      </c>
      <c r="N24" s="3" t="str">
        <f>IF(S24="",VLOOKUP(A24,[3]Export!$B$2:$F$417,5,0),"CHURN")</f>
        <v>CHURN</v>
      </c>
      <c r="O24" s="3" t="e">
        <f>(1-N24)*H24</f>
        <v>#VALUE!</v>
      </c>
      <c r="P24" s="3" t="e">
        <f t="shared" si="5"/>
        <v>#VALUE!</v>
      </c>
      <c r="Q24" s="3" t="e">
        <f t="shared" si="4"/>
        <v>#VALUE!</v>
      </c>
      <c r="R24" s="3" t="str">
        <f>IF(S24&lt;&gt;"Churn",VLOOKUP(A24,[3]Export!$B$2:$O$417,8,0),"CHURN")</f>
        <v>CHURN</v>
      </c>
      <c r="S24" s="3" t="s">
        <v>372</v>
      </c>
      <c r="T24" s="3" t="s">
        <v>553</v>
      </c>
      <c r="U24" s="3">
        <v>547.5</v>
      </c>
      <c r="V24" s="4" t="str" cm="1">
        <f t="array" ref="V24">IFERROR(
    IF(
        MATCH(2,1/((Y24:BH24&lt;&gt;0)*(Y24:BH24&lt;&gt;"")))-MATCH(1,INDEX((Y24:BH24&lt;&gt;0)*(Y24:BH24&lt;&gt;""),0),0)+1 &lt;= 12,
        "No",
        "Yes"
    ),
    "No"
)</f>
        <v>Yes</v>
      </c>
      <c r="W24" s="4" t="str" cm="1">
        <f t="array" ref="W24">IFERROR(
    IF(
        MATCH(2,1/((Y24:BH24&lt;&gt;0)*(Y24:BH24&lt;&gt;"")))-MATCH(1,INDEX((Y24:BH24&lt;&gt;0)*(Y24:BH24&lt;&gt;""),0),0)+1 &lt;= 24,
        "No",
        "Yes"
    ),
    "No"
)</f>
        <v>Yes</v>
      </c>
      <c r="X24" s="3"/>
      <c r="Y24" s="4">
        <v>500</v>
      </c>
      <c r="Z24" s="4">
        <v>500</v>
      </c>
      <c r="AA24" s="4">
        <v>500</v>
      </c>
      <c r="AB24" s="4">
        <v>500</v>
      </c>
      <c r="AC24" s="4">
        <v>500</v>
      </c>
      <c r="AD24" s="4">
        <v>500</v>
      </c>
      <c r="AE24" s="4">
        <v>500</v>
      </c>
      <c r="AF24" s="4">
        <v>500</v>
      </c>
      <c r="AG24" s="4">
        <v>500</v>
      </c>
      <c r="AH24" s="4">
        <v>500</v>
      </c>
      <c r="AI24" s="4">
        <v>500</v>
      </c>
      <c r="AJ24" s="4">
        <v>500</v>
      </c>
      <c r="AK24" s="4">
        <v>500</v>
      </c>
      <c r="AL24" s="4">
        <v>500</v>
      </c>
      <c r="AM24" s="4">
        <v>500</v>
      </c>
      <c r="AN24" s="4">
        <v>500</v>
      </c>
      <c r="AO24" s="4">
        <v>500</v>
      </c>
      <c r="AP24" s="4">
        <v>500</v>
      </c>
      <c r="AQ24" s="4">
        <v>500</v>
      </c>
      <c r="AR24" s="4">
        <v>500</v>
      </c>
      <c r="AS24" s="4">
        <v>500</v>
      </c>
      <c r="AT24" s="4">
        <v>500</v>
      </c>
      <c r="AU24" s="4">
        <v>500</v>
      </c>
      <c r="AV24" s="4">
        <v>500</v>
      </c>
      <c r="AW24" s="4">
        <v>500</v>
      </c>
      <c r="AX24" s="4">
        <v>500</v>
      </c>
      <c r="AY24" s="4">
        <v>547.5</v>
      </c>
      <c r="AZ24" s="4">
        <v>547.5</v>
      </c>
      <c r="BA24" s="4">
        <v>547.5</v>
      </c>
      <c r="BB24" s="4">
        <v>547.5</v>
      </c>
      <c r="BC24" s="4">
        <v>547.5</v>
      </c>
      <c r="BD24" s="4">
        <v>547.5</v>
      </c>
      <c r="BE24" s="4">
        <v>547.5</v>
      </c>
      <c r="BF24" s="4">
        <v>547.5</v>
      </c>
      <c r="BG24" s="4">
        <v>48</v>
      </c>
      <c r="BH24" s="4">
        <v>47.5</v>
      </c>
      <c r="BJ24" s="9"/>
    </row>
    <row r="25" spans="1:62" x14ac:dyDescent="0.25">
      <c r="A25" s="6" t="s">
        <v>22</v>
      </c>
      <c r="B25" s="6"/>
      <c r="C25" s="7" t="s">
        <v>526</v>
      </c>
      <c r="D25" s="3"/>
      <c r="E25" s="3">
        <f>VLOOKUP(A25,[2]Sheet1!$A$2:$E$627,5,0)</f>
        <v>168.29888221510899</v>
      </c>
      <c r="F25" s="3">
        <f>VLOOKUP(A25,[2]Sheet1!$A$2:$F$627,6,0)</f>
        <v>158.33245417776726</v>
      </c>
      <c r="G25" s="3">
        <f>VLOOKUP(A25,[2]Sheet1!$A$2:$G$627,7,0)</f>
        <v>145.28405809370619</v>
      </c>
      <c r="H25" s="4">
        <f t="shared" si="0"/>
        <v>180.50855507102415</v>
      </c>
      <c r="I25" s="11">
        <f t="shared" si="1"/>
        <v>-5.9218622881899302E-2</v>
      </c>
      <c r="J25" s="11">
        <f t="shared" si="2"/>
        <v>-0.13674971466528638</v>
      </c>
      <c r="K25" s="11">
        <f t="shared" si="3"/>
        <v>-8.2411380230429709E-2</v>
      </c>
      <c r="L25" s="11">
        <f>IF(S25="",((BG25-E25)/E25),((U25-E25)/E25))</f>
        <v>-0.13691774996173256</v>
      </c>
      <c r="M25" s="3" t="str">
        <f>IF(S25="Churn","Churn",VLOOKUP(A25,'[1]Revenue_Engine_2025 Dec.25'!$C$14:$E$3993,3,0))</f>
        <v>Genel</v>
      </c>
      <c r="N25" s="3">
        <f>IF(S25="",VLOOKUP(A25,[3]Export!$B$2:$F$417,5,0),"CHURN")</f>
        <v>0.70872130403647493</v>
      </c>
      <c r="O25" s="3">
        <f>(1-N25)*H25</f>
        <v>52.578296531348066</v>
      </c>
      <c r="P25" s="3">
        <f t="shared" si="5"/>
        <v>46.118870781604635</v>
      </c>
      <c r="Q25" s="3">
        <f t="shared" si="4"/>
        <v>42.318150985823763</v>
      </c>
      <c r="R25" s="3" t="str">
        <f>IF(S25&lt;&gt;"Churn",VLOOKUP(A25,[3]Export!$B$2:$O$417,8,0),"CHURN")</f>
        <v>NO RISK</v>
      </c>
      <c r="S25" s="3"/>
      <c r="T25" s="3"/>
      <c r="U25" s="3" t="s">
        <v>551</v>
      </c>
      <c r="V25" s="4" t="str" cm="1">
        <f t="array" ref="V25">IFERROR(
    IF(
        MATCH(2,1/((Y25:BH25&lt;&gt;0)*(Y25:BH25&lt;&gt;"")))-MATCH(1,INDEX((Y25:BH25&lt;&gt;0)*(Y25:BH25&lt;&gt;""),0),0)+1 &lt;= 12,
        "No",
        "Yes"
    ),
    "No"
)</f>
        <v>Yes</v>
      </c>
      <c r="W25" s="4" t="str" cm="1">
        <f t="array" ref="W25">IFERROR(
    IF(
        MATCH(2,1/((Y25:BH25&lt;&gt;0)*(Y25:BH25&lt;&gt;"")))-MATCH(1,INDEX((Y25:BH25&lt;&gt;0)*(Y25:BH25&lt;&gt;""),0),0)+1 &lt;= 24,
        "No",
        "Yes"
    ),
    "No"
)</f>
        <v>Yes</v>
      </c>
      <c r="X25" s="3"/>
      <c r="Y25" s="4">
        <v>160.1319007230577</v>
      </c>
      <c r="Z25" s="4">
        <v>159.86391800407642</v>
      </c>
      <c r="AA25" s="4">
        <v>168.29888221510899</v>
      </c>
      <c r="AB25" s="4">
        <v>166.94332533931419</v>
      </c>
      <c r="AC25" s="4">
        <v>165.52246686857188</v>
      </c>
      <c r="AD25" s="4">
        <v>153.82965240504598</v>
      </c>
      <c r="AE25" s="4">
        <v>154.69484039068209</v>
      </c>
      <c r="AF25" s="4">
        <v>153.50869723529871</v>
      </c>
      <c r="AG25" s="4">
        <v>196.78012903082114</v>
      </c>
      <c r="AH25" s="4">
        <v>163.57029259214355</v>
      </c>
      <c r="AI25" s="4">
        <v>161.6000055977525</v>
      </c>
      <c r="AJ25" s="4">
        <v>160.51556553574443</v>
      </c>
      <c r="AK25" s="4">
        <v>158.33245417776726</v>
      </c>
      <c r="AL25" s="4">
        <v>156.8083476130596</v>
      </c>
      <c r="AM25" s="4">
        <v>154.32713624201867</v>
      </c>
      <c r="AN25" s="4">
        <v>153.70636459228334</v>
      </c>
      <c r="AO25" s="4">
        <v>127.79607051331831</v>
      </c>
      <c r="AP25" s="4">
        <v>127.27284599321166</v>
      </c>
      <c r="AQ25" s="4">
        <v>126.56308013602086</v>
      </c>
      <c r="AR25" s="4">
        <v>125.25929235700286</v>
      </c>
      <c r="AS25" s="4">
        <v>124.58083476150932</v>
      </c>
      <c r="AT25" s="4">
        <v>148.22217182166787</v>
      </c>
      <c r="AU25" s="4">
        <v>147.76894615168951</v>
      </c>
      <c r="AV25" s="4">
        <v>146.49752932907006</v>
      </c>
      <c r="AW25" s="4">
        <v>145.28405809370619</v>
      </c>
      <c r="AX25" s="4">
        <v>143.88642351090894</v>
      </c>
      <c r="AY25" s="4">
        <v>141.94325767630107</v>
      </c>
      <c r="AZ25" s="4">
        <v>139.91457715644208</v>
      </c>
      <c r="BA25" s="4">
        <v>141.27544676499548</v>
      </c>
      <c r="BB25" s="4">
        <v>140.04155472095999</v>
      </c>
      <c r="BC25" s="4">
        <v>138.66736345257334</v>
      </c>
      <c r="BD25" s="4">
        <v>137.58828173597607</v>
      </c>
      <c r="BE25" s="4">
        <v>136.75321838578583</v>
      </c>
      <c r="BF25" s="4">
        <v>146.06906627235099</v>
      </c>
      <c r="BG25" s="4">
        <v>145.25577794114162</v>
      </c>
      <c r="BH25" s="4">
        <v>180.50855507102415</v>
      </c>
      <c r="BJ25" s="9"/>
    </row>
    <row r="26" spans="1:62" x14ac:dyDescent="0.25">
      <c r="A26" s="6" t="s">
        <v>23</v>
      </c>
      <c r="B26" s="6"/>
      <c r="C26" s="7" t="s">
        <v>526</v>
      </c>
      <c r="D26" s="3"/>
      <c r="E26" s="3">
        <f>VLOOKUP(A26,[2]Sheet1!$A$2:$E$627,5,0)</f>
        <v>123.97168186882607</v>
      </c>
      <c r="F26" s="3">
        <f>VLOOKUP(A26,[2]Sheet1!$A$2:$F$627,6,0)</f>
        <v>164.04556296714466</v>
      </c>
      <c r="G26" s="3">
        <f>VLOOKUP(A26,[2]Sheet1!$A$2:$G$627,7,0)</f>
        <v>198.90091539007261</v>
      </c>
      <c r="H26" s="4">
        <f t="shared" si="0"/>
        <v>187.69922389476181</v>
      </c>
      <c r="I26" s="11">
        <f t="shared" si="1"/>
        <v>0.3232502817919386</v>
      </c>
      <c r="J26" s="11">
        <f t="shared" si="2"/>
        <v>0.604406041700143</v>
      </c>
      <c r="K26" s="11">
        <f t="shared" si="3"/>
        <v>0.21247360667663315</v>
      </c>
      <c r="L26" s="11">
        <f>IF(S26="",((BG26-E26)/E26),((U26-E26)/E26))</f>
        <v>0.50433616670935166</v>
      </c>
      <c r="M26" s="3" t="str">
        <f>IF(S26="Churn","Churn",VLOOKUP(A26,'[1]Revenue_Engine_2025 Dec.25'!$C$14:$E$3993,3,0))</f>
        <v>Diğer</v>
      </c>
      <c r="N26" s="3">
        <f>IF(S26="",VLOOKUP(A26,[3]Export!$B$2:$F$417,5,0),"CHURN")</f>
        <v>0.33387323166808824</v>
      </c>
      <c r="O26" s="3">
        <f>(1-N26)*H26</f>
        <v>125.03147743142564</v>
      </c>
      <c r="P26" s="3">
        <f t="shared" si="5"/>
        <v>109.27514071849322</v>
      </c>
      <c r="Q26" s="3">
        <f t="shared" si="4"/>
        <v>132.49322398704808</v>
      </c>
      <c r="R26" s="3" t="str">
        <f>IF(S26&lt;&gt;"Churn",VLOOKUP(A26,[3]Export!$B$2:$O$417,8,0),"CHURN")</f>
        <v>NO RISK</v>
      </c>
      <c r="S26" s="3"/>
      <c r="T26" s="3"/>
      <c r="U26" s="3" t="s">
        <v>551</v>
      </c>
      <c r="V26" s="4" t="str" cm="1">
        <f t="array" ref="V26">IFERROR(
    IF(
        MATCH(2,1/((Y26:BH26&lt;&gt;0)*(Y26:BH26&lt;&gt;"")))-MATCH(1,INDEX((Y26:BH26&lt;&gt;0)*(Y26:BH26&lt;&gt;""),0),0)+1 &lt;= 12,
        "No",
        "Yes"
    ),
    "No"
)</f>
        <v>Yes</v>
      </c>
      <c r="W26" s="4" t="str" cm="1">
        <f t="array" ref="W26">IFERROR(
    IF(
        MATCH(2,1/((Y26:BH26&lt;&gt;0)*(Y26:BH26&lt;&gt;"")))-MATCH(1,INDEX((Y26:BH26&lt;&gt;0)*(Y26:BH26&lt;&gt;""),0),0)+1 &lt;= 24,
        "No",
        "Yes"
    ),
    "No"
)</f>
        <v>Yes</v>
      </c>
      <c r="X26" s="3"/>
      <c r="Y26" s="4">
        <v>123.97168186882607</v>
      </c>
      <c r="Z26" s="4">
        <v>123.74942227086068</v>
      </c>
      <c r="AA26" s="4">
        <v>123.28079269739652</v>
      </c>
      <c r="AB26" s="4">
        <v>157.11956324684945</v>
      </c>
      <c r="AC26" s="4">
        <v>155.27826334403835</v>
      </c>
      <c r="AD26" s="4">
        <v>140.12546579604117</v>
      </c>
      <c r="AE26" s="4">
        <v>140.00900962314097</v>
      </c>
      <c r="AF26" s="4">
        <v>138.66556811806362</v>
      </c>
      <c r="AG26" s="4">
        <v>138.60091761849787</v>
      </c>
      <c r="AH26" s="4">
        <v>136.45567622426657</v>
      </c>
      <c r="AI26" s="4">
        <v>134.59866213715193</v>
      </c>
      <c r="AJ26" s="4">
        <v>133.57656714413145</v>
      </c>
      <c r="AK26" s="4">
        <v>131.51896408577269</v>
      </c>
      <c r="AL26" s="4">
        <v>130.08247926453436</v>
      </c>
      <c r="AM26" s="4">
        <v>127.74391413049608</v>
      </c>
      <c r="AN26" s="4">
        <v>164.04556296714466</v>
      </c>
      <c r="AO26" s="4">
        <v>164.18084051150629</v>
      </c>
      <c r="AP26" s="4">
        <v>163.3918120124597</v>
      </c>
      <c r="AQ26" s="4">
        <v>162.32147706550495</v>
      </c>
      <c r="AR26" s="4">
        <v>160.35535033630617</v>
      </c>
      <c r="AS26" s="4">
        <v>159.33222860238993</v>
      </c>
      <c r="AT26" s="4">
        <v>158.78596057928775</v>
      </c>
      <c r="AU26" s="4">
        <v>158.30202021627798</v>
      </c>
      <c r="AV26" s="4">
        <v>156.94444062749506</v>
      </c>
      <c r="AW26" s="4">
        <v>174.27328827684812</v>
      </c>
      <c r="AX26" s="4">
        <v>172.45262004163791</v>
      </c>
      <c r="AY26" s="4">
        <v>169.92130008550498</v>
      </c>
      <c r="AZ26" s="4">
        <v>198.90091539007261</v>
      </c>
      <c r="BA26" s="4">
        <v>194.79846107285681</v>
      </c>
      <c r="BB26" s="4">
        <v>192.69659664709576</v>
      </c>
      <c r="BC26" s="4">
        <v>190.35574052830037</v>
      </c>
      <c r="BD26" s="4">
        <v>188.51758662855798</v>
      </c>
      <c r="BE26" s="4">
        <v>187.09510403982088</v>
      </c>
      <c r="BF26" s="4">
        <v>187.69922389476181</v>
      </c>
      <c r="BG26" s="4">
        <v>186.49508468306104</v>
      </c>
      <c r="BH26" s="4">
        <v>183.38876073464041</v>
      </c>
      <c r="BJ26" s="9"/>
    </row>
    <row r="27" spans="1:62" x14ac:dyDescent="0.25">
      <c r="A27" s="6" t="s">
        <v>24</v>
      </c>
      <c r="B27" s="6"/>
      <c r="C27" s="7" t="s">
        <v>526</v>
      </c>
      <c r="D27" s="3"/>
      <c r="E27" s="3">
        <f>VLOOKUP(A27,[2]Sheet1!$A$2:$E$627,5,0)</f>
        <v>364.02275999177346</v>
      </c>
      <c r="F27" s="3">
        <f>VLOOKUP(A27,[2]Sheet1!$A$2:$F$627,6,0)</f>
        <v>537.3060936817501</v>
      </c>
      <c r="G27" s="3">
        <f>VLOOKUP(A27,[2]Sheet1!$A$2:$G$627,7,0)</f>
        <v>713.77506038885917</v>
      </c>
      <c r="H27" s="4">
        <f t="shared" si="0"/>
        <v>818.71445122141188</v>
      </c>
      <c r="I27" s="11">
        <f t="shared" si="1"/>
        <v>0.47602335000672119</v>
      </c>
      <c r="J27" s="11">
        <f t="shared" si="2"/>
        <v>0.96079789188178721</v>
      </c>
      <c r="K27" s="11">
        <f t="shared" si="3"/>
        <v>0.3284328407628907</v>
      </c>
      <c r="L27" s="11">
        <f>IF(S27="",((BG27-E27)/E27),((U27-E27)/E27))</f>
        <v>1.2258961759005054</v>
      </c>
      <c r="M27" s="3" t="str">
        <f>IF(S27="Churn","Churn",VLOOKUP(A27,'[1]Revenue_Engine_2025 Dec.25'!$C$14:$E$3993,3,0))</f>
        <v>Perakende</v>
      </c>
      <c r="N27" s="3">
        <f>IF(S27="",VLOOKUP(A27,[3]Export!$B$2:$F$417,5,0),"CHURN")</f>
        <v>0.54932094610462245</v>
      </c>
      <c r="O27" s="3">
        <f>(1-N27)*H27</f>
        <v>368.97745428693912</v>
      </c>
      <c r="P27" s="3">
        <f t="shared" si="5"/>
        <v>242.15260195271222</v>
      </c>
      <c r="Q27" s="3">
        <f t="shared" si="4"/>
        <v>321.68346891016705</v>
      </c>
      <c r="R27" s="3" t="str">
        <f>IF(S27&lt;&gt;"Churn",VLOOKUP(A27,[3]Export!$B$2:$O$417,8,0),"CHURN")</f>
        <v>NO RISK</v>
      </c>
      <c r="S27" s="3"/>
      <c r="T27" s="3"/>
      <c r="U27" s="3" t="s">
        <v>551</v>
      </c>
      <c r="V27" s="4" t="str" cm="1">
        <f t="array" ref="V27">IFERROR(
    IF(
        MATCH(2,1/((Y27:BH27&lt;&gt;0)*(Y27:BH27&lt;&gt;"")))-MATCH(1,INDEX((Y27:BH27&lt;&gt;0)*(Y27:BH27&lt;&gt;""),0),0)+1 &lt;= 12,
        "No",
        "Yes"
    ),
    "No"
)</f>
        <v>Yes</v>
      </c>
      <c r="W27" s="4" t="str" cm="1">
        <f t="array" ref="W27">IFERROR(
    IF(
        MATCH(2,1/((Y27:BH27&lt;&gt;0)*(Y27:BH27&lt;&gt;"")))-MATCH(1,INDEX((Y27:BH27&lt;&gt;0)*(Y27:BH27&lt;&gt;""),0),0)+1 &lt;= 24,
        "No",
        "Yes"
    ),
    "No"
)</f>
        <v>Yes</v>
      </c>
      <c r="X27" s="3"/>
      <c r="Y27" s="4">
        <v>223.08631379176154</v>
      </c>
      <c r="Z27" s="4">
        <v>222.31123530443008</v>
      </c>
      <c r="AA27" s="4">
        <v>364.02275999177346</v>
      </c>
      <c r="AB27" s="4">
        <v>357.55538404960089</v>
      </c>
      <c r="AC27" s="4">
        <v>359.77589963006625</v>
      </c>
      <c r="AD27" s="4">
        <v>303.98944839492668</v>
      </c>
      <c r="AE27" s="4">
        <v>373.45488784363624</v>
      </c>
      <c r="AF27" s="4">
        <v>366.55991413486515</v>
      </c>
      <c r="AG27" s="4">
        <v>388.27766486137358</v>
      </c>
      <c r="AH27" s="4">
        <v>376.58755825921907</v>
      </c>
      <c r="AI27" s="4">
        <v>366.46809445507625</v>
      </c>
      <c r="AJ27" s="4">
        <v>554.69454412387677</v>
      </c>
      <c r="AK27" s="4">
        <v>537.3060936817501</v>
      </c>
      <c r="AL27" s="4">
        <v>525.16731794163445</v>
      </c>
      <c r="AM27" s="4">
        <v>789.25201342807554</v>
      </c>
      <c r="AN27" s="4">
        <v>781.48078633841305</v>
      </c>
      <c r="AO27" s="4">
        <v>782.60378395589032</v>
      </c>
      <c r="AP27" s="4">
        <v>776.05371588116088</v>
      </c>
      <c r="AQ27" s="4">
        <v>767.16840087189735</v>
      </c>
      <c r="AR27" s="4">
        <v>751.8467294299179</v>
      </c>
      <c r="AS27" s="4">
        <v>743.35335179655704</v>
      </c>
      <c r="AT27" s="4">
        <v>738.8185438109258</v>
      </c>
      <c r="AU27" s="4">
        <v>733.80114478712221</v>
      </c>
      <c r="AV27" s="4">
        <v>722.53128731792299</v>
      </c>
      <c r="AW27" s="4">
        <v>713.77506038885917</v>
      </c>
      <c r="AX27" s="4">
        <v>940.67407666142719</v>
      </c>
      <c r="AY27" s="4">
        <v>917.47964520392804</v>
      </c>
      <c r="AZ27" s="4">
        <v>893.26475563845497</v>
      </c>
      <c r="BA27" s="4">
        <v>878.47415391858135</v>
      </c>
      <c r="BB27" s="4">
        <v>867.74607855651698</v>
      </c>
      <c r="BC27" s="4">
        <v>851.34335300161604</v>
      </c>
      <c r="BD27" s="4">
        <v>838.46313635649324</v>
      </c>
      <c r="BE27" s="4">
        <v>828.49559015733325</v>
      </c>
      <c r="BF27" s="4">
        <v>818.71445122141188</v>
      </c>
      <c r="BG27" s="4">
        <v>810.27686940643605</v>
      </c>
      <c r="BH27" s="4">
        <v>802.52469362978206</v>
      </c>
      <c r="BJ27" s="9"/>
    </row>
    <row r="28" spans="1:62" x14ac:dyDescent="0.25">
      <c r="A28" s="6" t="s">
        <v>25</v>
      </c>
      <c r="B28" s="6"/>
      <c r="C28" s="7" t="s">
        <v>526</v>
      </c>
      <c r="D28" s="3"/>
      <c r="E28" s="3">
        <f>VLOOKUP(A28,[2]Sheet1!$A$2:$E$627,5,0)</f>
        <v>1616.6239254238008</v>
      </c>
      <c r="F28" s="3">
        <f>VLOOKUP(A28,[2]Sheet1!$A$2:$F$627,6,0)</f>
        <v>1480.2509234511936</v>
      </c>
      <c r="G28" s="3">
        <f>VLOOKUP(A28,[2]Sheet1!$A$2:$G$627,7,0)</f>
        <v>2152.2805960586957</v>
      </c>
      <c r="H28" s="4">
        <f t="shared" si="0"/>
        <v>2130.3388684682513</v>
      </c>
      <c r="I28" s="11">
        <f t="shared" si="1"/>
        <v>-8.4356664421415622E-2</v>
      </c>
      <c r="J28" s="11">
        <f t="shared" si="2"/>
        <v>0.33134278307459269</v>
      </c>
      <c r="K28" s="11">
        <f t="shared" si="3"/>
        <v>0.45399713113549028</v>
      </c>
      <c r="L28" s="11">
        <f>IF(S28="",((BG28-E28)/E28),((U28-E28)/E28))</f>
        <v>0.3168941949168233</v>
      </c>
      <c r="M28" s="3" t="str">
        <f>IF(S28="Churn","Churn",VLOOKUP(A28,'[1]Revenue_Engine_2025 Dec.25'!$C$14:$E$3993,3,0))</f>
        <v>Üretim</v>
      </c>
      <c r="N28" s="3">
        <f>IF(S28="",VLOOKUP(A28,[3]Export!$B$2:$F$417,5,0),"CHURN")</f>
        <v>0.32952466823882187</v>
      </c>
      <c r="O28" s="3">
        <f>(1-N28)*H28</f>
        <v>1428.3396595999836</v>
      </c>
      <c r="P28" s="3">
        <f t="shared" si="5"/>
        <v>992.47172899072928</v>
      </c>
      <c r="Q28" s="3">
        <f t="shared" si="4"/>
        <v>1443.0510466856001</v>
      </c>
      <c r="R28" s="3" t="str">
        <f>IF(S28&lt;&gt;"Churn",VLOOKUP(A28,[3]Export!$B$2:$O$417,8,0),"CHURN")</f>
        <v>NO RISK</v>
      </c>
      <c r="S28" s="3"/>
      <c r="T28" s="3"/>
      <c r="U28" s="3" t="s">
        <v>551</v>
      </c>
      <c r="V28" s="4" t="str" cm="1">
        <f t="array" ref="V28">IFERROR(
    IF(
        MATCH(2,1/((Y28:BH28&lt;&gt;0)*(Y28:BH28&lt;&gt;"")))-MATCH(1,INDEX((Y28:BH28&lt;&gt;0)*(Y28:BH28&lt;&gt;""),0),0)+1 &lt;= 12,
        "No",
        "Yes"
    ),
    "No"
)</f>
        <v>Yes</v>
      </c>
      <c r="W28" s="4" t="str" cm="1">
        <f t="array" ref="W28">IFERROR(
    IF(
        MATCH(2,1/((Y28:BH28&lt;&gt;0)*(Y28:BH28&lt;&gt;"")))-MATCH(1,INDEX((Y28:BH28&lt;&gt;0)*(Y28:BH28&lt;&gt;""),0),0)+1 &lt;= 24,
        "No",
        "Yes"
    ),
    "No"
)</f>
        <v>Yes</v>
      </c>
      <c r="X28" s="3"/>
      <c r="Y28" s="4">
        <v>1593.8373282760165</v>
      </c>
      <c r="Z28" s="4">
        <v>1616.6239254238008</v>
      </c>
      <c r="AA28" s="4">
        <v>1615.7522744171574</v>
      </c>
      <c r="AB28" s="4">
        <v>1627.6611280890495</v>
      </c>
      <c r="AC28" s="4">
        <v>1625.4691837066546</v>
      </c>
      <c r="AD28" s="4">
        <v>1291.7107142033092</v>
      </c>
      <c r="AE28" s="4">
        <v>1448.8584906096207</v>
      </c>
      <c r="AF28" s="4">
        <v>1447.2592587017793</v>
      </c>
      <c r="AG28" s="4">
        <v>1493.2325135112937</v>
      </c>
      <c r="AH28" s="4">
        <v>1489.3002505227932</v>
      </c>
      <c r="AI28" s="4">
        <v>1485.8962181669599</v>
      </c>
      <c r="AJ28" s="4">
        <v>1484.0226489511319</v>
      </c>
      <c r="AK28" s="4">
        <v>1480.2509234511936</v>
      </c>
      <c r="AL28" s="4">
        <v>1827.6177496674898</v>
      </c>
      <c r="AM28" s="4">
        <v>1823.3310016897944</v>
      </c>
      <c r="AN28" s="4">
        <v>1822.258504745289</v>
      </c>
      <c r="AO28" s="4">
        <v>1935.2034881860682</v>
      </c>
      <c r="AP28" s="4">
        <v>1934.2995218091501</v>
      </c>
      <c r="AQ28" s="4">
        <v>1940.3982710396829</v>
      </c>
      <c r="AR28" s="4">
        <v>1938.1457383895909</v>
      </c>
      <c r="AS28" s="4">
        <v>1981.3639227106014</v>
      </c>
      <c r="AT28" s="4">
        <v>1983.1385849492458</v>
      </c>
      <c r="AU28" s="4">
        <v>1987.3409732190416</v>
      </c>
      <c r="AV28" s="4">
        <v>1985.1034632127164</v>
      </c>
      <c r="AW28" s="4">
        <v>2152.2805960586957</v>
      </c>
      <c r="AX28" s="4">
        <v>2149.4805136233681</v>
      </c>
      <c r="AY28" s="4">
        <v>2145.587489946518</v>
      </c>
      <c r="AZ28" s="4">
        <v>2141.5231423978344</v>
      </c>
      <c r="BA28" s="4">
        <v>2139.0406142128022</v>
      </c>
      <c r="BB28" s="4">
        <v>2136.5685807627715</v>
      </c>
      <c r="BC28" s="4">
        <v>2135.8154656919578</v>
      </c>
      <c r="BD28" s="4">
        <v>2133.6535860432159</v>
      </c>
      <c r="BE28" s="4">
        <v>2131.9805834944573</v>
      </c>
      <c r="BF28" s="4">
        <v>2130.3388684682513</v>
      </c>
      <c r="BG28" s="4">
        <v>2128.9226627542507</v>
      </c>
      <c r="BH28" s="4">
        <v>2127.6214990000399</v>
      </c>
      <c r="BJ28" s="9"/>
    </row>
    <row r="29" spans="1:62" x14ac:dyDescent="0.25">
      <c r="A29" s="6" t="s">
        <v>26</v>
      </c>
      <c r="B29" s="6"/>
      <c r="C29" s="7" t="s">
        <v>526</v>
      </c>
      <c r="D29" s="3"/>
      <c r="E29" s="3">
        <f>VLOOKUP(A29,[2]Sheet1!$A$2:$E$627,5,0)</f>
        <v>2536.5645383110409</v>
      </c>
      <c r="F29" s="3">
        <f>VLOOKUP(A29,[2]Sheet1!$A$2:$F$627,6,0)</f>
        <v>3073.9019125585482</v>
      </c>
      <c r="G29" s="3">
        <f>VLOOKUP(A29,[2]Sheet1!$A$2:$G$627,7,0)</f>
        <v>4221.8847213764311</v>
      </c>
      <c r="H29" s="4">
        <f t="shared" si="0"/>
        <v>4218.5061422723556</v>
      </c>
      <c r="I29" s="11">
        <f t="shared" si="1"/>
        <v>0.2118366657468494</v>
      </c>
      <c r="J29" s="11">
        <f t="shared" si="2"/>
        <v>0.66441052755060293</v>
      </c>
      <c r="K29" s="11">
        <f t="shared" si="3"/>
        <v>0.37346110626619333</v>
      </c>
      <c r="L29" s="11">
        <f>IF(S29="",((BG29-E29)/E29),((U29-E29)/E29))</f>
        <v>0.66250950376762019</v>
      </c>
      <c r="M29" s="3" t="str">
        <f>IF(S29="Churn","Churn",VLOOKUP(A29,'[1]Revenue_Engine_2025 Dec.25'!$C$14:$E$3993,3,0))</f>
        <v>Üretim</v>
      </c>
      <c r="N29" s="3">
        <f>IF(S29="",VLOOKUP(A29,[3]Export!$B$2:$F$417,5,0),"CHURN")</f>
        <v>0.64667441696091166</v>
      </c>
      <c r="O29" s="3">
        <f>(1-N29)*H29</f>
        <v>1490.5061422723554</v>
      </c>
      <c r="P29" s="3">
        <f t="shared" si="5"/>
        <v>1086.0881854597178</v>
      </c>
      <c r="Q29" s="3">
        <f t="shared" si="4"/>
        <v>1491.6998807041466</v>
      </c>
      <c r="R29" s="3" t="str">
        <f>IF(S29&lt;&gt;"Churn",VLOOKUP(A29,[3]Export!$B$2:$O$417,8,0),"CHURN")</f>
        <v>HIGH RISK</v>
      </c>
      <c r="S29" s="3"/>
      <c r="T29" s="3"/>
      <c r="U29" s="3" t="s">
        <v>551</v>
      </c>
      <c r="V29" s="4" t="str" cm="1">
        <f t="array" ref="V29">IFERROR(
    IF(
        MATCH(2,1/((Y29:BH29&lt;&gt;0)*(Y29:BH29&lt;&gt;"")))-MATCH(1,INDEX((Y29:BH29&lt;&gt;0)*(Y29:BH29&lt;&gt;""),0),0)+1 &lt;= 12,
        "No",
        "Yes"
    ),
    "No"
)</f>
        <v>Yes</v>
      </c>
      <c r="W29" s="4" t="str" cm="1">
        <f t="array" ref="W29">IFERROR(
    IF(
        MATCH(2,1/((Y29:BH29&lt;&gt;0)*(Y29:BH29&lt;&gt;"")))-MATCH(1,INDEX((Y29:BH29&lt;&gt;0)*(Y29:BH29&lt;&gt;""),0),0)+1 &lt;= 24,
        "No",
        "Yes"
    ),
    "No"
)</f>
        <v>Yes</v>
      </c>
      <c r="X29" s="3"/>
      <c r="Y29" s="4">
        <v>2536.5645383110409</v>
      </c>
      <c r="Z29" s="4">
        <v>2536.0905178578068</v>
      </c>
      <c r="AA29" s="4">
        <v>2535.0910559454942</v>
      </c>
      <c r="AB29" s="4">
        <v>2732.5632831074117</v>
      </c>
      <c r="AC29" s="4">
        <v>2792.336261740681</v>
      </c>
      <c r="AD29" s="4">
        <v>2761.7477879488229</v>
      </c>
      <c r="AE29" s="4">
        <v>2752.3435207592474</v>
      </c>
      <c r="AF29" s="4">
        <v>2749.6327228940122</v>
      </c>
      <c r="AG29" s="4">
        <v>2749.5022149725983</v>
      </c>
      <c r="AH29" s="4">
        <v>2745.1682119299439</v>
      </c>
      <c r="AI29" s="4">
        <v>2741.4218326341975</v>
      </c>
      <c r="AJ29" s="4">
        <v>2769.3562453697982</v>
      </c>
      <c r="AK29" s="4">
        <v>2765.2026270676138</v>
      </c>
      <c r="AL29" s="4">
        <v>3012.3130015319812</v>
      </c>
      <c r="AM29" s="4">
        <v>3009.5838806287948</v>
      </c>
      <c r="AN29" s="4">
        <v>3008.4027917776025</v>
      </c>
      <c r="AO29" s="4">
        <v>3008.5734675216795</v>
      </c>
      <c r="AP29" s="4">
        <v>3007.5779732080591</v>
      </c>
      <c r="AQ29" s="4">
        <v>3006.2275627290328</v>
      </c>
      <c r="AR29" s="4">
        <v>3073.9019125585482</v>
      </c>
      <c r="AS29" s="4">
        <v>3071.9452555452099</v>
      </c>
      <c r="AT29" s="4">
        <v>3070.9005517498226</v>
      </c>
      <c r="AU29" s="4">
        <v>3069.9750457480141</v>
      </c>
      <c r="AV29" s="4">
        <v>3073.3787587808811</v>
      </c>
      <c r="AW29" s="4">
        <v>3086.9007991555904</v>
      </c>
      <c r="AX29" s="4">
        <v>4232.046770179747</v>
      </c>
      <c r="AY29" s="4">
        <v>4228.0787432969682</v>
      </c>
      <c r="AZ29" s="4">
        <v>4223.9360918073216</v>
      </c>
      <c r="BA29" s="4">
        <v>4219.4140684325675</v>
      </c>
      <c r="BB29" s="4">
        <v>4226.8944086516167</v>
      </c>
      <c r="BC29" s="4">
        <v>4224.0882519160859</v>
      </c>
      <c r="BD29" s="4">
        <v>4221.8847213764311</v>
      </c>
      <c r="BE29" s="4">
        <v>4220.1794866695618</v>
      </c>
      <c r="BF29" s="4">
        <v>4218.5061422723556</v>
      </c>
      <c r="BG29" s="4">
        <v>4217.0626518620311</v>
      </c>
      <c r="BH29" s="4">
        <v>4215.7364198161522</v>
      </c>
      <c r="BJ29" s="9"/>
    </row>
    <row r="30" spans="1:62" x14ac:dyDescent="0.25">
      <c r="A30" s="6" t="s">
        <v>27</v>
      </c>
      <c r="B30" s="6"/>
      <c r="C30" s="7" t="s">
        <v>526</v>
      </c>
      <c r="D30" s="3"/>
      <c r="E30" s="3">
        <f>VLOOKUP(A30,[2]Sheet1!$A$2:$E$627,5,0)</f>
        <v>1131.23</v>
      </c>
      <c r="F30" s="3">
        <f>VLOOKUP(A30,[2]Sheet1!$A$2:$F$627,6,0)</f>
        <v>1517.3625020000002</v>
      </c>
      <c r="G30" s="3">
        <f>VLOOKUP(A30,[2]Sheet1!$A$2:$G$627,7,0)</f>
        <v>3862.2121160000002</v>
      </c>
      <c r="H30" s="4">
        <f t="shared" si="0"/>
        <v>0</v>
      </c>
      <c r="I30" s="11">
        <f t="shared" si="1"/>
        <v>0.34133863316920532</v>
      </c>
      <c r="J30" s="11">
        <f t="shared" si="2"/>
        <v>2.4141705188158022</v>
      </c>
      <c r="K30" s="11">
        <f t="shared" si="3"/>
        <v>1.5453456974910795</v>
      </c>
      <c r="L30" s="11">
        <f>IF(S30="",((BG30-E30)/E30),((U30-E30)/E30))</f>
        <v>2.4141695764787001</v>
      </c>
      <c r="M30" s="3" t="str">
        <f>IF(S30="Churn","Churn",VLOOKUP(A30,'[1]Revenue_Engine_2025 Dec.25'!$C$14:$E$3993,3,0))</f>
        <v>Churn</v>
      </c>
      <c r="N30" s="3" t="str">
        <f>IF(S30="",VLOOKUP(A30,[3]Export!$B$2:$F$417,5,0),"CHURN")</f>
        <v>CHURN</v>
      </c>
      <c r="O30" s="3" t="e">
        <f>(1-N30)*H30</f>
        <v>#VALUE!</v>
      </c>
      <c r="P30" s="3" t="e">
        <f t="shared" si="5"/>
        <v>#VALUE!</v>
      </c>
      <c r="Q30" s="3" t="e">
        <f t="shared" si="4"/>
        <v>#VALUE!</v>
      </c>
      <c r="R30" s="3" t="str">
        <f>IF(S30&lt;&gt;"Churn",VLOOKUP(A30,[3]Export!$B$2:$O$417,8,0),"CHURN")</f>
        <v>CHURN</v>
      </c>
      <c r="S30" s="3" t="s">
        <v>372</v>
      </c>
      <c r="T30" s="3" t="s">
        <v>555</v>
      </c>
      <c r="U30" s="3">
        <v>3862.2110499999999</v>
      </c>
      <c r="V30" s="4" t="str" cm="1">
        <f t="array" ref="V30">IFERROR(
    IF(
        MATCH(2,1/((Y30:BH30&lt;&gt;0)*(Y30:BH30&lt;&gt;"")))-MATCH(1,INDEX((Y30:BH30&lt;&gt;0)*(Y30:BH30&lt;&gt;""),0),0)+1 &lt;= 12,
        "No",
        "Yes"
    ),
    "No"
)</f>
        <v>Yes</v>
      </c>
      <c r="W30" s="4" t="str" cm="1">
        <f t="array" ref="W30">IFERROR(
    IF(
        MATCH(2,1/((Y30:BH30&lt;&gt;0)*(Y30:BH30&lt;&gt;"")))-MATCH(1,INDEX((Y30:BH30&lt;&gt;0)*(Y30:BH30&lt;&gt;""),0),0)+1 &lt;= 24,
        "No",
        "Yes"
    ),
    "No"
)</f>
        <v>Yes</v>
      </c>
      <c r="X30" s="3"/>
      <c r="Y30" s="4">
        <v>1131.23</v>
      </c>
      <c r="Z30" s="4">
        <v>1131.23</v>
      </c>
      <c r="AA30" s="4">
        <v>1131.23</v>
      </c>
      <c r="AB30" s="4">
        <v>1140.23</v>
      </c>
      <c r="AC30" s="4">
        <v>1140.2339999999999</v>
      </c>
      <c r="AD30" s="4">
        <v>1431.4740000000002</v>
      </c>
      <c r="AE30" s="4">
        <v>1431.4740000000002</v>
      </c>
      <c r="AF30" s="4">
        <v>1517.3625020000002</v>
      </c>
      <c r="AG30" s="4">
        <v>1517.3625020000002</v>
      </c>
      <c r="AH30" s="4">
        <v>1517.3625020000002</v>
      </c>
      <c r="AI30" s="4">
        <v>1517.3625020000002</v>
      </c>
      <c r="AJ30" s="4">
        <v>1517.3625020000002</v>
      </c>
      <c r="AK30" s="4">
        <v>1517.3625020000002</v>
      </c>
      <c r="AL30" s="4">
        <v>1567.3625020000002</v>
      </c>
      <c r="AM30" s="4">
        <v>1567.3625020000002</v>
      </c>
      <c r="AN30" s="4">
        <v>1567.3625020000002</v>
      </c>
      <c r="AO30" s="4">
        <v>1567.3625020000002</v>
      </c>
      <c r="AP30" s="4">
        <v>1567.3625020000002</v>
      </c>
      <c r="AQ30" s="4">
        <v>1567.3625020000002</v>
      </c>
      <c r="AR30" s="4">
        <v>1567.3625020000002</v>
      </c>
      <c r="AS30" s="4">
        <v>1567.3625020000002</v>
      </c>
      <c r="AT30" s="4">
        <v>1567.3625020000002</v>
      </c>
      <c r="AU30" s="4">
        <v>1567.3625020000002</v>
      </c>
      <c r="AV30" s="4">
        <v>1567.3625020000002</v>
      </c>
      <c r="AW30" s="4">
        <v>3862.2121160000002</v>
      </c>
      <c r="AX30" s="4">
        <v>3862.2121160000002</v>
      </c>
      <c r="AY30" s="4">
        <v>3862.2110499999999</v>
      </c>
      <c r="AZ30" s="4">
        <v>1847.5621449999994</v>
      </c>
      <c r="BA30" s="4">
        <v>1847.5621450000001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4">
        <v>0</v>
      </c>
      <c r="BH30" s="4">
        <v>0</v>
      </c>
      <c r="BJ30" s="9"/>
    </row>
    <row r="31" spans="1:62" x14ac:dyDescent="0.25">
      <c r="A31" s="6" t="s">
        <v>28</v>
      </c>
      <c r="B31" s="6"/>
      <c r="C31" s="7" t="s">
        <v>526</v>
      </c>
      <c r="D31" s="3"/>
      <c r="E31" s="3">
        <f>VLOOKUP(A31,[2]Sheet1!$A$2:$E$627,5,0)</f>
        <v>754.54598764280354</v>
      </c>
      <c r="F31" s="3">
        <f>VLOOKUP(A31,[2]Sheet1!$A$2:$F$627,6,0)</f>
        <v>848.86360349305971</v>
      </c>
      <c r="G31" s="3">
        <f>VLOOKUP(A31,[2]Sheet1!$A$2:$G$627,7,0)</f>
        <v>1281.4748673702629</v>
      </c>
      <c r="H31" s="4">
        <f t="shared" si="0"/>
        <v>1610.3901753001708</v>
      </c>
      <c r="I31" s="11">
        <f t="shared" si="1"/>
        <v>0.12499916160829873</v>
      </c>
      <c r="J31" s="11">
        <f t="shared" si="2"/>
        <v>0.69833898577021336</v>
      </c>
      <c r="K31" s="11">
        <f t="shared" si="3"/>
        <v>0.50963577905450885</v>
      </c>
      <c r="L31" s="11">
        <f>IF(S31="",((BG31-E31)/E31),((U31-E31)/E31))</f>
        <v>0.92339103300920944</v>
      </c>
      <c r="M31" s="3" t="str">
        <f>IF(S31="Churn","Churn",VLOOKUP(A31,'[1]Revenue_Engine_2025 Dec.25'!$C$14:$E$3993,3,0))</f>
        <v>Teknoloji</v>
      </c>
      <c r="N31" s="3">
        <f>IF(S31="",VLOOKUP(A31,[3]Export!$B$2:$F$417,5,0),"CHURN")</f>
        <v>0.24288439632412051</v>
      </c>
      <c r="O31" s="3">
        <f>(1-N31)*H31</f>
        <v>1219.2515297260941</v>
      </c>
      <c r="P31" s="3">
        <f t="shared" si="5"/>
        <v>642.68787959713029</v>
      </c>
      <c r="Q31" s="3">
        <f t="shared" si="4"/>
        <v>970.22461780450419</v>
      </c>
      <c r="R31" s="3" t="str">
        <f>IF(S31&lt;&gt;"Churn",VLOOKUP(A31,[3]Export!$B$2:$O$417,8,0),"CHURN")</f>
        <v>LOW RISK</v>
      </c>
      <c r="S31" s="3"/>
      <c r="T31" s="3"/>
      <c r="U31" s="3" t="s">
        <v>551</v>
      </c>
      <c r="V31" s="4" t="str" cm="1">
        <f t="array" ref="V31">IFERROR(
    IF(
        MATCH(2,1/((Y31:BH31&lt;&gt;0)*(Y31:BH31&lt;&gt;"")))-MATCH(1,INDEX((Y31:BH31&lt;&gt;0)*(Y31:BH31&lt;&gt;""),0),0)+1 &lt;= 12,
        "No",
        "Yes"
    ),
    "No"
)</f>
        <v>Yes</v>
      </c>
      <c r="W31" s="4" t="str" cm="1">
        <f t="array" ref="W31">IFERROR(
    IF(
        MATCH(2,1/((Y31:BH31&lt;&gt;0)*(Y31:BH31&lt;&gt;"")))-MATCH(1,INDEX((Y31:BH31&lt;&gt;0)*(Y31:BH31&lt;&gt;""),0),0)+1 &lt;= 24,
        "No",
        "Yes"
    ),
    "No"
)</f>
        <v>Yes</v>
      </c>
      <c r="X31" s="3"/>
      <c r="Y31" s="4">
        <v>754.54598764280354</v>
      </c>
      <c r="Z31" s="4">
        <v>751.92443568480167</v>
      </c>
      <c r="AA31" s="4">
        <v>748.79634658890154</v>
      </c>
      <c r="AB31" s="4">
        <v>737.17633286888599</v>
      </c>
      <c r="AC31" s="4">
        <v>1063.1021586243342</v>
      </c>
      <c r="AD31" s="4">
        <v>894.02966761820119</v>
      </c>
      <c r="AE31" s="4">
        <v>804.61188732479729</v>
      </c>
      <c r="AF31" s="4">
        <v>791.51913466075666</v>
      </c>
      <c r="AG31" s="4">
        <v>945.02022866221478</v>
      </c>
      <c r="AH31" s="4">
        <v>915.89278922205813</v>
      </c>
      <c r="AI31" s="4">
        <v>890.67881306655386</v>
      </c>
      <c r="AJ31" s="4">
        <v>876.80111608972538</v>
      </c>
      <c r="AK31" s="4">
        <v>848.86360349305971</v>
      </c>
      <c r="AL31" s="4">
        <v>829.35944664160388</v>
      </c>
      <c r="AM31" s="4">
        <v>797.60711587746187</v>
      </c>
      <c r="AN31" s="4">
        <v>789.66303381276896</v>
      </c>
      <c r="AO31" s="4">
        <v>790.81101020424012</v>
      </c>
      <c r="AP31" s="4">
        <v>784.11524932701741</v>
      </c>
      <c r="AQ31" s="4">
        <v>1172.1692813848067</v>
      </c>
      <c r="AR31" s="4">
        <v>1146.9350961257767</v>
      </c>
      <c r="AS31" s="4">
        <v>1215.6662169531851</v>
      </c>
      <c r="AT31" s="4">
        <v>1208.148950065407</v>
      </c>
      <c r="AU31" s="4">
        <v>1201.489382394114</v>
      </c>
      <c r="AV31" s="4">
        <v>1182.8075491937609</v>
      </c>
      <c r="AW31" s="4">
        <v>1281.4748673702629</v>
      </c>
      <c r="AX31" s="4">
        <v>1258.8847826207486</v>
      </c>
      <c r="AY31" s="4">
        <v>1227.4772305850108</v>
      </c>
      <c r="AZ31" s="4">
        <v>1194.6874975336279</v>
      </c>
      <c r="BA31" s="4">
        <v>1174.6593292963678</v>
      </c>
      <c r="BB31" s="4">
        <v>1154.7158289067843</v>
      </c>
      <c r="BC31" s="4">
        <v>1469.991843539892</v>
      </c>
      <c r="BD31" s="4">
        <v>1447.353039341348</v>
      </c>
      <c r="BE31" s="4">
        <v>1429.8336657966361</v>
      </c>
      <c r="BF31" s="4">
        <v>1466.6845835600088</v>
      </c>
      <c r="BG31" s="4">
        <v>1451.2869866252461</v>
      </c>
      <c r="BH31" s="4">
        <v>1610.3901753001708</v>
      </c>
      <c r="BJ31" s="9"/>
    </row>
    <row r="32" spans="1:62" x14ac:dyDescent="0.25">
      <c r="A32" s="6" t="s">
        <v>543</v>
      </c>
      <c r="B32" s="6"/>
      <c r="C32" s="7" t="s">
        <v>526</v>
      </c>
      <c r="D32" s="3"/>
      <c r="E32" s="3">
        <f>VLOOKUP(A32,[2]Sheet1!$A$2:$E$627,5,0)</f>
        <v>442.94952101203199</v>
      </c>
      <c r="F32" s="3">
        <f>VLOOKUP(A32,[2]Sheet1!$A$2:$F$627,6,0)</f>
        <v>509.26471152916383</v>
      </c>
      <c r="G32" s="3">
        <f>VLOOKUP(A32,[2]Sheet1!$A$2:$G$627,7,0)</f>
        <v>609.21340088043564</v>
      </c>
      <c r="H32" s="4">
        <f t="shared" si="0"/>
        <v>672.68115067940892</v>
      </c>
      <c r="I32" s="11">
        <f t="shared" si="1"/>
        <v>0.1497127491313632</v>
      </c>
      <c r="J32" s="11">
        <f t="shared" si="2"/>
        <v>0.37535626969080155</v>
      </c>
      <c r="K32" s="11">
        <f t="shared" si="3"/>
        <v>0.19626077968598477</v>
      </c>
      <c r="L32" s="11">
        <f>IF(S32="",((BG32-E32)/E32),((U32-E32)/E32))</f>
        <v>0.51864065490464006</v>
      </c>
      <c r="M32" s="3" t="str">
        <f>IF(S32="Churn","Churn",VLOOKUP(A32,'[1]Revenue_Engine_2025 Dec.25'!$C$14:$E$3993,3,0))</f>
        <v>Genel</v>
      </c>
      <c r="N32" s="3">
        <f>IF(S32="",VLOOKUP(A32,[3]Export!$B$2:$F$417,5,0),"CHURN")</f>
        <v>0.20185978767996729</v>
      </c>
      <c r="O32" s="3">
        <f>(1-N32)*H32</f>
        <v>536.89387642694737</v>
      </c>
      <c r="P32" s="3">
        <f t="shared" si="5"/>
        <v>406.46464498698703</v>
      </c>
      <c r="Q32" s="3">
        <f t="shared" si="4"/>
        <v>486.23771312692014</v>
      </c>
      <c r="R32" s="3" t="str">
        <f>IF(S32&lt;&gt;"Churn",VLOOKUP(A32,[3]Export!$B$2:$O$417,8,0),"CHURN")</f>
        <v>NO RISK</v>
      </c>
      <c r="S32" s="3"/>
      <c r="T32" s="3"/>
      <c r="U32" s="3" t="s">
        <v>551</v>
      </c>
      <c r="V32" s="4" t="str" cm="1">
        <f t="array" ref="V32">IFERROR(
    IF(
        MATCH(2,1/((Y32:BH32&lt;&gt;0)*(Y32:BH32&lt;&gt;"")))-MATCH(1,INDEX((Y32:BH32&lt;&gt;0)*(Y32:BH32&lt;&gt;""),0),0)+1 &lt;= 12,
        "No",
        "Yes"
    ),
    "No"
)</f>
        <v>Yes</v>
      </c>
      <c r="W32" s="4" t="str" cm="1">
        <f t="array" ref="W32">IFERROR(
    IF(
        MATCH(2,1/((Y32:BH32&lt;&gt;0)*(Y32:BH32&lt;&gt;"")))-MATCH(1,INDEX((Y32:BH32&lt;&gt;0)*(Y32:BH32&lt;&gt;""),0),0)+1 &lt;= 24,
        "No",
        "Yes"
    ),
    "No"
)</f>
        <v>Yes</v>
      </c>
      <c r="X32" s="3"/>
      <c r="Y32" s="4">
        <v>442.94952101203199</v>
      </c>
      <c r="Z32" s="4">
        <v>441.41056221677991</v>
      </c>
      <c r="AA32" s="4">
        <v>438.16570075567807</v>
      </c>
      <c r="AB32" s="4">
        <v>439.38107126763038</v>
      </c>
      <c r="AC32" s="4">
        <v>502.5026829850807</v>
      </c>
      <c r="AD32" s="4">
        <v>424.01734979146016</v>
      </c>
      <c r="AE32" s="4">
        <v>501.84380577994403</v>
      </c>
      <c r="AF32" s="4">
        <v>247.14500774681116</v>
      </c>
      <c r="AG32" s="4">
        <v>369.49741749043221</v>
      </c>
      <c r="AH32" s="4">
        <v>548.76733141387456</v>
      </c>
      <c r="AI32" s="4">
        <v>533.90786228829131</v>
      </c>
      <c r="AJ32" s="4">
        <v>525.72925497583981</v>
      </c>
      <c r="AK32" s="4">
        <v>509.26471152916383</v>
      </c>
      <c r="AL32" s="4">
        <v>497.77023660909163</v>
      </c>
      <c r="AM32" s="4">
        <v>479.05748873683353</v>
      </c>
      <c r="AN32" s="4">
        <v>474.3757661301579</v>
      </c>
      <c r="AO32" s="4">
        <v>475.05230836374926</v>
      </c>
      <c r="AP32" s="4">
        <v>471.10626465315983</v>
      </c>
      <c r="AQ32" s="4">
        <v>470.16613046800552</v>
      </c>
      <c r="AR32" s="4">
        <v>460.23825421648706</v>
      </c>
      <c r="AS32" s="4">
        <v>455.07204299840396</v>
      </c>
      <c r="AT32" s="4">
        <v>452.31368502840161</v>
      </c>
      <c r="AU32" s="4">
        <v>628.02504029382908</v>
      </c>
      <c r="AV32" s="4">
        <v>618.39988445053109</v>
      </c>
      <c r="AW32" s="4">
        <v>609.21340088043564</v>
      </c>
      <c r="AX32" s="4">
        <v>598.63272392848921</v>
      </c>
      <c r="AY32" s="4">
        <v>583.92214777853758</v>
      </c>
      <c r="AZ32" s="4">
        <v>568.56418978040745</v>
      </c>
      <c r="BA32" s="4">
        <v>559.18345569253529</v>
      </c>
      <c r="BB32" s="4">
        <v>558.74209354363779</v>
      </c>
      <c r="BC32" s="4">
        <v>548.16770462163072</v>
      </c>
      <c r="BD32" s="4">
        <v>539.8641809328775</v>
      </c>
      <c r="BE32" s="4">
        <v>533.43837628503366</v>
      </c>
      <c r="BF32" s="4">
        <v>527.13274330578065</v>
      </c>
      <c r="BG32" s="4">
        <v>672.68115067940892</v>
      </c>
      <c r="BH32" s="4">
        <v>666.21173966339541</v>
      </c>
      <c r="BJ32" s="9"/>
    </row>
    <row r="33" spans="1:62" x14ac:dyDescent="0.25">
      <c r="A33" s="6" t="s">
        <v>29</v>
      </c>
      <c r="B33" s="6"/>
      <c r="C33" s="7" t="s">
        <v>526</v>
      </c>
      <c r="D33" s="3"/>
      <c r="E33" s="3">
        <f>VLOOKUP(A33,[2]Sheet1!$A$2:$E$627,5,0)</f>
        <v>276.27339411805031</v>
      </c>
      <c r="F33" s="3">
        <f>VLOOKUP(A33,[2]Sheet1!$A$2:$F$627,6,0)</f>
        <v>414.01070096265062</v>
      </c>
      <c r="G33" s="3">
        <f>VLOOKUP(A33,[2]Sheet1!$A$2:$G$627,7,0)</f>
        <v>568.4377696206484</v>
      </c>
      <c r="H33" s="4">
        <f t="shared" si="0"/>
        <v>439.4540695916005</v>
      </c>
      <c r="I33" s="11">
        <f t="shared" si="1"/>
        <v>0.49855436599061659</v>
      </c>
      <c r="J33" s="11">
        <f t="shared" si="2"/>
        <v>1.0575190435375679</v>
      </c>
      <c r="K33" s="11">
        <f t="shared" si="3"/>
        <v>0.3730026018625282</v>
      </c>
      <c r="L33" s="11">
        <f>IF(S33="",((BG33-E33)/E33),((U33-E33)/E33))</f>
        <v>0.5742922467537015</v>
      </c>
      <c r="M33" s="3" t="str">
        <f>IF(S33="Churn","Churn",VLOOKUP(A33,'[1]Revenue_Engine_2025 Dec.25'!$C$14:$E$3993,3,0))</f>
        <v>Diğer</v>
      </c>
      <c r="N33" s="3">
        <f>IF(S33="",VLOOKUP(A33,[3]Export!$B$2:$F$417,5,0),"CHURN")</f>
        <v>0.60535041449777349</v>
      </c>
      <c r="O33" s="3">
        <f>(1-N33)*H33</f>
        <v>173.43036641159173</v>
      </c>
      <c r="P33" s="3">
        <f t="shared" si="5"/>
        <v>163.38915152839633</v>
      </c>
      <c r="Q33" s="3">
        <f t="shared" si="4"/>
        <v>224.33373016459902</v>
      </c>
      <c r="R33" s="3" t="str">
        <f>IF(S33&lt;&gt;"Churn",VLOOKUP(A33,[3]Export!$B$2:$O$417,8,0),"CHURN")</f>
        <v>NO RISK</v>
      </c>
      <c r="S33" s="3"/>
      <c r="T33" s="3"/>
      <c r="U33" s="3" t="s">
        <v>551</v>
      </c>
      <c r="V33" s="4" t="str" cm="1">
        <f t="array" ref="V33">IFERROR(
    IF(
        MATCH(2,1/((Y33:BH33&lt;&gt;0)*(Y33:BH33&lt;&gt;"")))-MATCH(1,INDEX((Y33:BH33&lt;&gt;0)*(Y33:BH33&lt;&gt;""),0),0)+1 &lt;= 12,
        "No",
        "Yes"
    ),
    "No"
)</f>
        <v>Yes</v>
      </c>
      <c r="W33" s="4" t="str" cm="1">
        <f t="array" ref="W33">IFERROR(
    IF(
        MATCH(2,1/((Y33:BH33&lt;&gt;0)*(Y33:BH33&lt;&gt;"")))-MATCH(1,INDEX((Y33:BH33&lt;&gt;0)*(Y33:BH33&lt;&gt;""),0),0)+1 &lt;= 24,
        "No",
        "Yes"
    ),
    "No"
)</f>
        <v>Yes</v>
      </c>
      <c r="X33" s="3"/>
      <c r="Y33" s="4">
        <v>214.83823160947424</v>
      </c>
      <c r="Z33" s="4">
        <v>214.09180979297378</v>
      </c>
      <c r="AA33" s="4">
        <v>276.27339411805031</v>
      </c>
      <c r="AB33" s="4">
        <v>271.36500898679691</v>
      </c>
      <c r="AC33" s="4">
        <v>275.22011011626489</v>
      </c>
      <c r="AD33" s="4">
        <v>232.88118316467813</v>
      </c>
      <c r="AE33" s="4">
        <v>207.40859496839624</v>
      </c>
      <c r="AF33" s="4">
        <v>293.16122410763052</v>
      </c>
      <c r="AG33" s="4">
        <v>292.89751901497067</v>
      </c>
      <c r="AH33" s="4">
        <v>434.14722180410888</v>
      </c>
      <c r="AI33" s="4">
        <v>426.57258471387058</v>
      </c>
      <c r="AJ33" s="4">
        <v>422.40352714042535</v>
      </c>
      <c r="AK33" s="4">
        <v>414.01070096265062</v>
      </c>
      <c r="AL33" s="4">
        <v>408.15137480997589</v>
      </c>
      <c r="AM33" s="4">
        <v>398.61252299127614</v>
      </c>
      <c r="AN33" s="4">
        <v>396.22600773941713</v>
      </c>
      <c r="AO33" s="4">
        <v>396.57087617666508</v>
      </c>
      <c r="AP33" s="4">
        <v>394.55937436611441</v>
      </c>
      <c r="AQ33" s="4">
        <v>391.83072681244994</v>
      </c>
      <c r="AR33" s="4">
        <v>504.32714512705911</v>
      </c>
      <c r="AS33" s="4">
        <v>500.37350654517013</v>
      </c>
      <c r="AT33" s="4">
        <v>507.04202015622866</v>
      </c>
      <c r="AU33" s="4">
        <v>505.12354033127542</v>
      </c>
      <c r="AV33" s="4">
        <v>499.74170147069674</v>
      </c>
      <c r="AW33" s="4">
        <v>568.4377696206484</v>
      </c>
      <c r="AX33" s="4">
        <v>561.2201220859406</v>
      </c>
      <c r="AY33" s="4">
        <v>551.18524868747647</v>
      </c>
      <c r="AZ33" s="4">
        <v>540.70876139022846</v>
      </c>
      <c r="BA33" s="4">
        <v>534.30965927506338</v>
      </c>
      <c r="BB33" s="4">
        <v>527.93760896996582</v>
      </c>
      <c r="BC33" s="4">
        <v>520.84102711475941</v>
      </c>
      <c r="BD33" s="4">
        <v>600.03085630675059</v>
      </c>
      <c r="BE33" s="4">
        <v>594.6926602214362</v>
      </c>
      <c r="BF33" s="4">
        <v>439.4540695916005</v>
      </c>
      <c r="BG33" s="4">
        <v>434.93506234437626</v>
      </c>
      <c r="BH33" s="4">
        <v>430.78314544630513</v>
      </c>
      <c r="BJ33" s="9"/>
    </row>
    <row r="34" spans="1:62" x14ac:dyDescent="0.25">
      <c r="A34" s="6" t="s">
        <v>30</v>
      </c>
      <c r="B34" s="6"/>
      <c r="C34" s="7" t="s">
        <v>526</v>
      </c>
      <c r="D34" s="3"/>
      <c r="E34" s="3">
        <f>VLOOKUP(A34,[2]Sheet1!$A$2:$E$627,5,0)</f>
        <v>633.13231486413088</v>
      </c>
      <c r="F34" s="3">
        <f>VLOOKUP(A34,[2]Sheet1!$A$2:$F$627,6,0)</f>
        <v>1121.5687348932008</v>
      </c>
      <c r="G34" s="3">
        <f>VLOOKUP(A34,[2]Sheet1!$A$2:$G$627,7,0)</f>
        <v>1369.4984677307707</v>
      </c>
      <c r="H34" s="4">
        <f t="shared" si="0"/>
        <v>0</v>
      </c>
      <c r="I34" s="11">
        <f t="shared" si="1"/>
        <v>0.77146025966766141</v>
      </c>
      <c r="J34" s="11">
        <f t="shared" si="2"/>
        <v>1.1630525493311186</v>
      </c>
      <c r="K34" s="11">
        <f t="shared" si="3"/>
        <v>0.22105620915081811</v>
      </c>
      <c r="L34" s="11">
        <f>IF(S34="",((BG34-E34)/E34),((U34-E34)/E34))</f>
        <v>1.3549491970271654</v>
      </c>
      <c r="M34" s="3" t="str">
        <f>IF(S34="Churn","Churn",VLOOKUP(A34,'[1]Revenue_Engine_2025 Dec.25'!$C$14:$E$3993,3,0))</f>
        <v>Churn</v>
      </c>
      <c r="N34" s="3" t="str">
        <f>IF(S34="",VLOOKUP(A34,[3]Export!$B$2:$F$417,5,0),"CHURN")</f>
        <v>CHURN</v>
      </c>
      <c r="O34" s="3" t="e">
        <f>(1-N34)*H34</f>
        <v>#VALUE!</v>
      </c>
      <c r="P34" s="3" t="e">
        <f t="shared" si="5"/>
        <v>#VALUE!</v>
      </c>
      <c r="Q34" s="3" t="e">
        <f t="shared" si="4"/>
        <v>#VALUE!</v>
      </c>
      <c r="R34" s="3" t="str">
        <f>IF(S34&lt;&gt;"Churn",VLOOKUP(A34,[3]Export!$B$2:$O$417,8,0),"CHURN")</f>
        <v>CHURN</v>
      </c>
      <c r="S34" s="3" t="s">
        <v>372</v>
      </c>
      <c r="T34" s="3" t="s">
        <v>555</v>
      </c>
      <c r="U34" s="3">
        <v>1490.9944365012354</v>
      </c>
      <c r="V34" s="4" t="str" cm="1">
        <f t="array" ref="V34">IFERROR(
    IF(
        MATCH(2,1/((Y34:BH34&lt;&gt;0)*(Y34:BH34&lt;&gt;"")))-MATCH(1,INDEX((Y34:BH34&lt;&gt;0)*(Y34:BH34&lt;&gt;""),0),0)+1 &lt;= 12,
        "No",
        "Yes"
    ),
    "No"
)</f>
        <v>Yes</v>
      </c>
      <c r="W34" s="4" t="str" cm="1">
        <f t="array" ref="W34">IFERROR(
    IF(
        MATCH(2,1/((Y34:BH34&lt;&gt;0)*(Y34:BH34&lt;&gt;"")))-MATCH(1,INDEX((Y34:BH34&lt;&gt;0)*(Y34:BH34&lt;&gt;""),0),0)+1 &lt;= 24,
        "No",
        "Yes"
    ),
    "No"
)</f>
        <v>Yes</v>
      </c>
      <c r="X34" s="3"/>
      <c r="Y34" s="4">
        <v>515.23539979635689</v>
      </c>
      <c r="Z34" s="4">
        <v>514.46675202005986</v>
      </c>
      <c r="AA34" s="4">
        <v>633.13231486413088</v>
      </c>
      <c r="AB34" s="4">
        <v>627.107152661594</v>
      </c>
      <c r="AC34" s="4">
        <v>620.79163787145819</v>
      </c>
      <c r="AD34" s="4">
        <v>568.81957881781818</v>
      </c>
      <c r="AE34" s="4">
        <v>957.56464039648017</v>
      </c>
      <c r="AF34" s="4">
        <v>1012.9568165926032</v>
      </c>
      <c r="AG34" s="4">
        <v>1012.7952530681198</v>
      </c>
      <c r="AH34" s="4">
        <v>1026.2807182742267</v>
      </c>
      <c r="AI34" s="4">
        <v>1019.5657573160352</v>
      </c>
      <c r="AJ34" s="4">
        <v>1119.8212600040124</v>
      </c>
      <c r="AK34" s="4">
        <v>1121.5687348932008</v>
      </c>
      <c r="AL34" s="4">
        <v>1151.5620428734826</v>
      </c>
      <c r="AM34" s="4">
        <v>1207.1413162986321</v>
      </c>
      <c r="AN34" s="4">
        <v>1204.0838256368625</v>
      </c>
      <c r="AO34" s="4">
        <v>1208.508988129093</v>
      </c>
      <c r="AP34" s="4">
        <v>1216.4319469821316</v>
      </c>
      <c r="AQ34" s="4">
        <v>1212.9361325690072</v>
      </c>
      <c r="AR34" s="4">
        <v>1206.5145781037274</v>
      </c>
      <c r="AS34" s="4">
        <v>1203.1729664764687</v>
      </c>
      <c r="AT34" s="4">
        <v>1201.3888038327814</v>
      </c>
      <c r="AU34" s="4">
        <v>1211.4394326027327</v>
      </c>
      <c r="AV34" s="4">
        <v>1308.817077774524</v>
      </c>
      <c r="AW34" s="4">
        <v>1369.4984677307707</v>
      </c>
      <c r="AX34" s="4">
        <v>1407.6546630454272</v>
      </c>
      <c r="AY34" s="4">
        <v>1490.9944365012354</v>
      </c>
      <c r="AZ34" s="4">
        <v>1478.5801431889759</v>
      </c>
      <c r="BA34" s="4">
        <v>1467.0140840489094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G34" s="4">
        <v>0</v>
      </c>
      <c r="BH34" s="4">
        <v>0</v>
      </c>
      <c r="BJ34" s="9"/>
    </row>
    <row r="35" spans="1:62" x14ac:dyDescent="0.25">
      <c r="A35" s="6" t="s">
        <v>31</v>
      </c>
      <c r="B35" s="6"/>
      <c r="C35" s="7" t="s">
        <v>526</v>
      </c>
      <c r="D35" s="3"/>
      <c r="E35" s="3">
        <f>VLOOKUP(A35,[2]Sheet1!$A$2:$E$627,5,0)</f>
        <v>161</v>
      </c>
      <c r="F35" s="3">
        <f>VLOOKUP(A35,[2]Sheet1!$A$2:$F$627,6,0)</f>
        <v>172.875</v>
      </c>
      <c r="G35" s="3">
        <f>VLOOKUP(A35,[2]Sheet1!$A$2:$G$627,7,0)</f>
        <v>181.51666666666668</v>
      </c>
      <c r="H35" s="4">
        <f t="shared" si="0"/>
        <v>186.52500000000001</v>
      </c>
      <c r="I35" s="11">
        <f t="shared" si="1"/>
        <v>7.375776397515528E-2</v>
      </c>
      <c r="J35" s="11">
        <f t="shared" si="2"/>
        <v>0.12743271221532099</v>
      </c>
      <c r="K35" s="11">
        <f t="shared" si="3"/>
        <v>4.9987948903350281E-2</v>
      </c>
      <c r="L35" s="11">
        <f>IF(S35="",((BG35-E35)/E35),((U35-E35)/E35))</f>
        <v>0.15854037267080748</v>
      </c>
      <c r="M35" s="3" t="str">
        <f>IF(S35="Churn","Churn",VLOOKUP(A35,'[1]Revenue_Engine_2025 Dec.25'!$C$14:$E$3993,3,0))</f>
        <v>Diğer</v>
      </c>
      <c r="N35" s="3">
        <f>IF(S35="",VLOOKUP(A35,[3]Export!$B$2:$F$417,5,0),"CHURN")</f>
        <v>0.83299526707234617</v>
      </c>
      <c r="O35" s="3">
        <f>(1-N35)*H35</f>
        <v>31.150557809330632</v>
      </c>
      <c r="P35" s="3">
        <f t="shared" si="5"/>
        <v>28.870943204868155</v>
      </c>
      <c r="Q35" s="3">
        <f t="shared" si="4"/>
        <v>30.314142438584632</v>
      </c>
      <c r="R35" s="3" t="str">
        <f>IF(S35&lt;&gt;"Churn",VLOOKUP(A35,[3]Export!$B$2:$O$417,8,0),"CHURN")</f>
        <v>NO RISK</v>
      </c>
      <c r="S35" s="3"/>
      <c r="T35" s="3"/>
      <c r="U35" s="3" t="s">
        <v>551</v>
      </c>
      <c r="V35" s="4" t="str" cm="1">
        <f t="array" ref="V35">IFERROR(
    IF(
        MATCH(2,1/((Y35:BH35&lt;&gt;0)*(Y35:BH35&lt;&gt;"")))-MATCH(1,INDEX((Y35:BH35&lt;&gt;0)*(Y35:BH35&lt;&gt;""),0),0)+1 &lt;= 12,
        "No",
        "Yes"
    ),
    "No"
)</f>
        <v>Yes</v>
      </c>
      <c r="W35" s="4" t="str" cm="1">
        <f t="array" ref="W35">IFERROR(
    IF(
        MATCH(2,1/((Y35:BH35&lt;&gt;0)*(Y35:BH35&lt;&gt;"")))-MATCH(1,INDEX((Y35:BH35&lt;&gt;0)*(Y35:BH35&lt;&gt;""),0),0)+1 &lt;= 24,
        "No",
        "Yes"
    ),
    "No"
)</f>
        <v>Yes</v>
      </c>
      <c r="X35" s="3"/>
      <c r="Y35" s="4">
        <v>152</v>
      </c>
      <c r="Z35" s="4">
        <v>152</v>
      </c>
      <c r="AA35" s="4">
        <v>161</v>
      </c>
      <c r="AB35" s="4">
        <v>161</v>
      </c>
      <c r="AC35" s="4">
        <v>161</v>
      </c>
      <c r="AD35" s="4">
        <v>161</v>
      </c>
      <c r="AE35" s="4">
        <v>163.5</v>
      </c>
      <c r="AF35" s="4">
        <v>163.5</v>
      </c>
      <c r="AG35" s="4">
        <v>163.5</v>
      </c>
      <c r="AH35" s="4">
        <v>166.625</v>
      </c>
      <c r="AI35" s="4">
        <v>172.875</v>
      </c>
      <c r="AJ35" s="4">
        <v>172.875</v>
      </c>
      <c r="AK35" s="4">
        <v>172.875</v>
      </c>
      <c r="AL35" s="4">
        <v>172.875</v>
      </c>
      <c r="AM35" s="4">
        <v>176.51666666666668</v>
      </c>
      <c r="AN35" s="4">
        <v>176.51666666666668</v>
      </c>
      <c r="AO35" s="4">
        <v>176.51666666666668</v>
      </c>
      <c r="AP35" s="4">
        <v>176.51666666666668</v>
      </c>
      <c r="AQ35" s="4">
        <v>176.51666666666668</v>
      </c>
      <c r="AR35" s="4">
        <v>176.51666666666668</v>
      </c>
      <c r="AS35" s="4">
        <v>176.51666666666668</v>
      </c>
      <c r="AT35" s="4">
        <v>181.51666666666668</v>
      </c>
      <c r="AU35" s="4">
        <v>181.51666666666668</v>
      </c>
      <c r="AV35" s="4">
        <v>181.51666666666668</v>
      </c>
      <c r="AW35" s="4">
        <v>181.51666666666668</v>
      </c>
      <c r="AX35" s="4">
        <v>181.51666666666668</v>
      </c>
      <c r="AY35" s="4">
        <v>186.51666666666668</v>
      </c>
      <c r="AZ35" s="4">
        <v>186.52500000000001</v>
      </c>
      <c r="BA35" s="4">
        <v>186.52500000000001</v>
      </c>
      <c r="BB35" s="4">
        <v>184.52500000000001</v>
      </c>
      <c r="BC35" s="4">
        <v>184.52500000000001</v>
      </c>
      <c r="BD35" s="4">
        <v>184.52500000000001</v>
      </c>
      <c r="BE35" s="4">
        <v>184.52500000000001</v>
      </c>
      <c r="BF35" s="4">
        <v>186.52500000000001</v>
      </c>
      <c r="BG35" s="4">
        <v>186.52500000000001</v>
      </c>
      <c r="BH35" s="4">
        <v>186.52500000000001</v>
      </c>
      <c r="BJ35" s="9"/>
    </row>
    <row r="36" spans="1:62" x14ac:dyDescent="0.25">
      <c r="A36" s="6" t="s">
        <v>32</v>
      </c>
      <c r="B36" s="6"/>
      <c r="C36" s="7" t="s">
        <v>526</v>
      </c>
      <c r="D36" s="3"/>
      <c r="E36" s="3">
        <f>VLOOKUP(A36,[2]Sheet1!$A$2:$E$627,5,0)</f>
        <v>1112.99</v>
      </c>
      <c r="F36" s="3">
        <f>VLOOKUP(A36,[2]Sheet1!$A$2:$F$627,6,0)</f>
        <v>1051.9999970000001</v>
      </c>
      <c r="G36" s="3">
        <f>VLOOKUP(A36,[2]Sheet1!$A$2:$G$627,7,0)</f>
        <v>1051.9999970000001</v>
      </c>
      <c r="H36" s="4">
        <f t="shared" si="0"/>
        <v>1051.9999970000001</v>
      </c>
      <c r="I36" s="11">
        <f t="shared" si="1"/>
        <v>-5.4798338709242569E-2</v>
      </c>
      <c r="J36" s="11">
        <f t="shared" si="2"/>
        <v>-5.4798338709242569E-2</v>
      </c>
      <c r="K36" s="11">
        <f t="shared" si="3"/>
        <v>0</v>
      </c>
      <c r="L36" s="11">
        <f>IF(S36="",((BG36-E36)/E36),((U36-E36)/E36))</f>
        <v>-5.4798338709242569E-2</v>
      </c>
      <c r="M36" s="3" t="str">
        <f>IF(S36="Churn","Churn",VLOOKUP(A36,'[1]Revenue_Engine_2025 Dec.25'!$C$14:$E$3993,3,0))</f>
        <v>Churn</v>
      </c>
      <c r="N36" s="3" t="str">
        <f>IF(S36="",VLOOKUP(A36,[3]Export!$B$2:$F$417,5,0),"CHURN")</f>
        <v>CHURN</v>
      </c>
      <c r="O36" s="3" t="e">
        <f>(1-N36)*H36</f>
        <v>#VALUE!</v>
      </c>
      <c r="P36" s="3" t="e">
        <f t="shared" si="5"/>
        <v>#VALUE!</v>
      </c>
      <c r="Q36" s="3" t="e">
        <f t="shared" si="4"/>
        <v>#VALUE!</v>
      </c>
      <c r="R36" s="3" t="str">
        <f>IF(S36&lt;&gt;"Churn",VLOOKUP(A36,[3]Export!$B$2:$O$417,8,0),"CHURN")</f>
        <v>CHURN</v>
      </c>
      <c r="S36" s="3" t="s">
        <v>372</v>
      </c>
      <c r="T36" s="3" t="s">
        <v>553</v>
      </c>
      <c r="U36" s="3">
        <v>1051.9999970000001</v>
      </c>
      <c r="V36" s="4" t="str" cm="1">
        <f t="array" ref="V36">IFERROR(
    IF(
        MATCH(2,1/((Y36:BH36&lt;&gt;0)*(Y36:BH36&lt;&gt;"")))-MATCH(1,INDEX((Y36:BH36&lt;&gt;0)*(Y36:BH36&lt;&gt;""),0),0)+1 &lt;= 12,
        "No",
        "Yes"
    ),
    "No"
)</f>
        <v>Yes</v>
      </c>
      <c r="W36" s="4" t="str" cm="1">
        <f t="array" ref="W36">IFERROR(
    IF(
        MATCH(2,1/((Y36:BH36&lt;&gt;0)*(Y36:BH36&lt;&gt;"")))-MATCH(1,INDEX((Y36:BH36&lt;&gt;0)*(Y36:BH36&lt;&gt;""),0),0)+1 &lt;= 24,
        "No",
        "Yes"
    ),
    "No"
)</f>
        <v>Yes</v>
      </c>
      <c r="X36" s="3"/>
      <c r="Y36" s="4">
        <v>733.01525191515236</v>
      </c>
      <c r="Z36" s="4">
        <v>730.4685051291724</v>
      </c>
      <c r="AA36" s="4">
        <v>1112.99</v>
      </c>
      <c r="AB36" s="4">
        <v>1112.99</v>
      </c>
      <c r="AC36" s="4">
        <v>1112.99</v>
      </c>
      <c r="AD36" s="4">
        <v>916</v>
      </c>
      <c r="AE36" s="4">
        <v>915.99999900000012</v>
      </c>
      <c r="AF36" s="4">
        <v>915.99999900000012</v>
      </c>
      <c r="AG36" s="4">
        <v>915.99999900000012</v>
      </c>
      <c r="AH36" s="4">
        <v>953.99999700000012</v>
      </c>
      <c r="AI36" s="4">
        <v>1031.9999970000001</v>
      </c>
      <c r="AJ36" s="4">
        <v>1031.9999970000001</v>
      </c>
      <c r="AK36" s="4">
        <v>1031.9999970000001</v>
      </c>
      <c r="AL36" s="4">
        <v>1051.9999970000001</v>
      </c>
      <c r="AM36" s="4">
        <v>1051.9999970000001</v>
      </c>
      <c r="AN36" s="4">
        <v>1051.9999970000001</v>
      </c>
      <c r="AO36" s="4">
        <v>1051.9999970000001</v>
      </c>
      <c r="AP36" s="4">
        <v>1051.9999970000001</v>
      </c>
      <c r="AQ36" s="4">
        <v>1051.9999970000001</v>
      </c>
      <c r="AR36" s="4">
        <v>1051.9999970000001</v>
      </c>
      <c r="AS36" s="4">
        <v>1051.9999970000001</v>
      </c>
      <c r="AT36" s="4">
        <v>1051.9999970000001</v>
      </c>
      <c r="AU36" s="4">
        <v>1051.9999970000001</v>
      </c>
      <c r="AV36" s="4">
        <v>1051.9999970000001</v>
      </c>
      <c r="AW36" s="4">
        <v>1051.9999970000001</v>
      </c>
      <c r="AX36" s="4">
        <v>1051.9999970000001</v>
      </c>
      <c r="AY36" s="4">
        <v>1051.9999970000001</v>
      </c>
      <c r="AZ36" s="4">
        <v>1051.9999969999999</v>
      </c>
      <c r="BA36" s="4">
        <v>1051.9999970000001</v>
      </c>
      <c r="BB36" s="4">
        <v>1051.9999970000001</v>
      </c>
      <c r="BC36" s="4">
        <v>1051.9999970000001</v>
      </c>
      <c r="BD36" s="4">
        <v>1051.9999970000001</v>
      </c>
      <c r="BE36" s="4">
        <v>1051.9999970000001</v>
      </c>
      <c r="BF36" s="4">
        <v>1051.9999970000001</v>
      </c>
      <c r="BG36" s="4">
        <v>0</v>
      </c>
      <c r="BH36" s="4">
        <v>0</v>
      </c>
      <c r="BJ36" s="9"/>
    </row>
    <row r="37" spans="1:62" x14ac:dyDescent="0.25">
      <c r="A37" s="6" t="s">
        <v>33</v>
      </c>
      <c r="B37" s="6"/>
      <c r="C37" s="7" t="s">
        <v>526</v>
      </c>
      <c r="D37" s="3"/>
      <c r="E37" s="3">
        <f>VLOOKUP(A37,[2]Sheet1!$A$2:$E$627,5,0)</f>
        <v>1153.27</v>
      </c>
      <c r="F37" s="3">
        <f>VLOOKUP(A37,[2]Sheet1!$A$2:$F$627,6,0)</f>
        <v>895.54999900000018</v>
      </c>
      <c r="G37" s="3">
        <f>VLOOKUP(A37,[2]Sheet1!$A$2:$G$627,7,0)</f>
        <v>915.54999900000018</v>
      </c>
      <c r="H37" s="4">
        <f t="shared" si="0"/>
        <v>915.54999900000018</v>
      </c>
      <c r="I37" s="11">
        <f t="shared" si="1"/>
        <v>-0.22346891968056032</v>
      </c>
      <c r="J37" s="11">
        <f t="shared" si="2"/>
        <v>-0.2061269269121713</v>
      </c>
      <c r="K37" s="11">
        <f t="shared" si="3"/>
        <v>2.2332644768391089E-2</v>
      </c>
      <c r="L37" s="11">
        <f>IF(S37="",((BG37-E37)/E37),((U37-E37)/E37))</f>
        <v>-0.2061269269121713</v>
      </c>
      <c r="M37" s="3" t="str">
        <f>IF(S37="Churn","Churn",VLOOKUP(A37,'[1]Revenue_Engine_2025 Dec.25'!$C$14:$E$3993,3,0))</f>
        <v>Churn</v>
      </c>
      <c r="N37" s="3" t="str">
        <f>IF(S37="",VLOOKUP(A37,[3]Export!$B$2:$F$417,5,0),"CHURN")</f>
        <v>CHURN</v>
      </c>
      <c r="O37" s="3" t="e">
        <f>(1-N37)*H37</f>
        <v>#VALUE!</v>
      </c>
      <c r="P37" s="3" t="e">
        <f t="shared" si="5"/>
        <v>#VALUE!</v>
      </c>
      <c r="Q37" s="3" t="e">
        <f t="shared" si="4"/>
        <v>#VALUE!</v>
      </c>
      <c r="R37" s="3" t="str">
        <f>IF(S37&lt;&gt;"Churn",VLOOKUP(A37,[3]Export!$B$2:$O$417,8,0),"CHURN")</f>
        <v>CHURN</v>
      </c>
      <c r="S37" s="3" t="s">
        <v>372</v>
      </c>
      <c r="T37" s="3" t="s">
        <v>556</v>
      </c>
      <c r="U37" s="3">
        <v>915.54999900000018</v>
      </c>
      <c r="V37" s="4" t="str" cm="1">
        <f t="array" ref="V37">IFERROR(
    IF(
        MATCH(2,1/((Y37:BH37&lt;&gt;0)*(Y37:BH37&lt;&gt;"")))-MATCH(1,INDEX((Y37:BH37&lt;&gt;0)*(Y37:BH37&lt;&gt;""),0),0)+1 &lt;= 12,
        "No",
        "Yes"
    ),
    "No"
)</f>
        <v>Yes</v>
      </c>
      <c r="W37" s="4" t="str" cm="1">
        <f t="array" ref="W37">IFERROR(
    IF(
        MATCH(2,1/((Y37:BH37&lt;&gt;0)*(Y37:BH37&lt;&gt;"")))-MATCH(1,INDEX((Y37:BH37&lt;&gt;0)*(Y37:BH37&lt;&gt;""),0),0)+1 &lt;= 24,
        "No",
        "Yes"
    ),
    "No"
)</f>
        <v>Yes</v>
      </c>
      <c r="X37" s="3"/>
      <c r="Y37" s="4">
        <v>759.75914661776403</v>
      </c>
      <c r="Z37" s="4">
        <v>757.11948235469129</v>
      </c>
      <c r="AA37" s="4">
        <v>1153.27</v>
      </c>
      <c r="AB37" s="4">
        <v>1153.27</v>
      </c>
      <c r="AC37" s="4">
        <v>1153.27</v>
      </c>
      <c r="AD37" s="4">
        <v>779.55</v>
      </c>
      <c r="AE37" s="4">
        <v>779.54999900000018</v>
      </c>
      <c r="AF37" s="4">
        <v>779.54999900000018</v>
      </c>
      <c r="AG37" s="4">
        <v>779.54999900000018</v>
      </c>
      <c r="AH37" s="4">
        <v>817.54999900000018</v>
      </c>
      <c r="AI37" s="4">
        <v>895.54999900000018</v>
      </c>
      <c r="AJ37" s="4">
        <v>895.54999900000018</v>
      </c>
      <c r="AK37" s="4">
        <v>895.54999900000018</v>
      </c>
      <c r="AL37" s="4">
        <v>915.54999900000018</v>
      </c>
      <c r="AM37" s="4">
        <v>915.54999900000018</v>
      </c>
      <c r="AN37" s="4">
        <v>915.54999900000018</v>
      </c>
      <c r="AO37" s="4">
        <v>915.54999900000018</v>
      </c>
      <c r="AP37" s="4">
        <v>915.54999900000018</v>
      </c>
      <c r="AQ37" s="4">
        <v>915.54999900000018</v>
      </c>
      <c r="AR37" s="4">
        <v>915.54999900000018</v>
      </c>
      <c r="AS37" s="4">
        <v>915.54999900000018</v>
      </c>
      <c r="AT37" s="4">
        <v>915.54999900000018</v>
      </c>
      <c r="AU37" s="4">
        <v>915.54999900000018</v>
      </c>
      <c r="AV37" s="4">
        <v>915.54999900000018</v>
      </c>
      <c r="AW37" s="4">
        <v>915.54999900000018</v>
      </c>
      <c r="AX37" s="4">
        <v>915.54999900000018</v>
      </c>
      <c r="AY37" s="4">
        <v>915.54999900000018</v>
      </c>
      <c r="AZ37" s="4">
        <v>915.54999900000007</v>
      </c>
      <c r="BA37" s="4">
        <v>915.54999900000018</v>
      </c>
      <c r="BB37" s="4">
        <v>915.54999900000018</v>
      </c>
      <c r="BC37" s="4">
        <v>915.54999900000018</v>
      </c>
      <c r="BD37" s="4">
        <v>915.54999900000018</v>
      </c>
      <c r="BE37" s="4">
        <v>915.54999900000018</v>
      </c>
      <c r="BF37" s="4">
        <v>915.54999900000018</v>
      </c>
      <c r="BG37" s="4">
        <v>915.54999900000018</v>
      </c>
      <c r="BH37" s="4">
        <v>0</v>
      </c>
      <c r="BJ37" s="9"/>
    </row>
    <row r="38" spans="1:62" x14ac:dyDescent="0.25">
      <c r="A38" s="6" t="s">
        <v>34</v>
      </c>
      <c r="B38" s="6"/>
      <c r="C38" s="7" t="s">
        <v>526</v>
      </c>
      <c r="D38" s="3"/>
      <c r="E38" s="3">
        <f>VLOOKUP(A38,[2]Sheet1!$A$2:$E$627,5,0)</f>
        <v>1023.7</v>
      </c>
      <c r="F38" s="3">
        <f>VLOOKUP(A38,[2]Sheet1!$A$2:$F$627,6,0)</f>
        <v>845.00054600000021</v>
      </c>
      <c r="G38" s="3">
        <f>VLOOKUP(A38,[2]Sheet1!$A$2:$G$627,7,0)</f>
        <v>1426.9989976666664</v>
      </c>
      <c r="H38" s="4">
        <f t="shared" si="0"/>
        <v>1427.0505849999997</v>
      </c>
      <c r="I38" s="11">
        <f t="shared" si="1"/>
        <v>-0.1745623268535702</v>
      </c>
      <c r="J38" s="11">
        <f t="shared" si="2"/>
        <v>0.39396209599166387</v>
      </c>
      <c r="K38" s="11">
        <f t="shared" si="3"/>
        <v>0.68875511906079412</v>
      </c>
      <c r="L38" s="11">
        <f>IF(S38="",((BG38-E38)/E38),((U38-E38)/E38))</f>
        <v>0.39401248901045194</v>
      </c>
      <c r="M38" s="3" t="str">
        <f>IF(S38="Churn","Churn",VLOOKUP(A38,'[1]Revenue_Engine_2025 Dec.25'!$C$14:$E$3993,3,0))</f>
        <v>Churn</v>
      </c>
      <c r="N38" s="3" t="str">
        <f>IF(S38="",VLOOKUP(A38,[3]Export!$B$2:$F$417,5,0),"CHURN")</f>
        <v>CHURN</v>
      </c>
      <c r="O38" s="3" t="e">
        <f>(1-N38)*H38</f>
        <v>#VALUE!</v>
      </c>
      <c r="P38" s="3" t="e">
        <f t="shared" si="5"/>
        <v>#VALUE!</v>
      </c>
      <c r="Q38" s="3" t="e">
        <f t="shared" si="4"/>
        <v>#VALUE!</v>
      </c>
      <c r="R38" s="3" t="str">
        <f>IF(S38&lt;&gt;"Churn",VLOOKUP(A38,[3]Export!$B$2:$O$417,8,0),"CHURN")</f>
        <v>CHURN</v>
      </c>
      <c r="S38" s="3" t="s">
        <v>372</v>
      </c>
      <c r="T38" s="3" t="s">
        <v>556</v>
      </c>
      <c r="U38" s="3">
        <v>1427.0505849999997</v>
      </c>
      <c r="V38" s="4" t="str" cm="1">
        <f t="array" ref="V38">IFERROR(
    IF(
        MATCH(2,1/((Y38:BH38&lt;&gt;0)*(Y38:BH38&lt;&gt;"")))-MATCH(1,INDEX((Y38:BH38&lt;&gt;0)*(Y38:BH38&lt;&gt;""),0),0)+1 &lt;= 12,
        "No",
        "Yes"
    ),
    "No"
)</f>
        <v>Yes</v>
      </c>
      <c r="W38" s="4" t="str" cm="1">
        <f t="array" ref="W38">IFERROR(
    IF(
        MATCH(2,1/((Y38:BH38&lt;&gt;0)*(Y38:BH38&lt;&gt;"")))-MATCH(1,INDEX((Y38:BH38&lt;&gt;0)*(Y38:BH38&lt;&gt;""),0),0)+1 &lt;= 24,
        "No",
        "Yes"
    ),
    "No"
)</f>
        <v>Yes</v>
      </c>
      <c r="X38" s="3"/>
      <c r="Y38" s="4">
        <v>673.73162813261331</v>
      </c>
      <c r="Z38" s="4">
        <v>671.3908530203945</v>
      </c>
      <c r="AA38" s="4">
        <v>1023.7</v>
      </c>
      <c r="AB38" s="4">
        <v>1023.7</v>
      </c>
      <c r="AC38" s="4">
        <v>1023.7</v>
      </c>
      <c r="AD38" s="4">
        <v>729</v>
      </c>
      <c r="AE38" s="4">
        <v>729.00054600000021</v>
      </c>
      <c r="AF38" s="4">
        <v>729.00054600000021</v>
      </c>
      <c r="AG38" s="4">
        <v>729.00054600000021</v>
      </c>
      <c r="AH38" s="4">
        <v>767.00054600000021</v>
      </c>
      <c r="AI38" s="4">
        <v>845.00054600000021</v>
      </c>
      <c r="AJ38" s="4">
        <v>845.00054600000021</v>
      </c>
      <c r="AK38" s="4">
        <v>845.00054600000021</v>
      </c>
      <c r="AL38" s="4">
        <v>865.00054600000021</v>
      </c>
      <c r="AM38" s="4">
        <v>865.00054600000021</v>
      </c>
      <c r="AN38" s="4">
        <v>865.00054600000021</v>
      </c>
      <c r="AO38" s="4">
        <v>865.00054600000021</v>
      </c>
      <c r="AP38" s="4">
        <v>865.00054600000021</v>
      </c>
      <c r="AQ38" s="4">
        <v>865.00054600000021</v>
      </c>
      <c r="AR38" s="4">
        <v>1420</v>
      </c>
      <c r="AS38" s="4">
        <v>1556.7115119999999</v>
      </c>
      <c r="AT38" s="4">
        <v>1556.7115119999999</v>
      </c>
      <c r="AU38" s="4">
        <v>1427</v>
      </c>
      <c r="AV38" s="4">
        <v>1427</v>
      </c>
      <c r="AW38" s="4">
        <v>1426.9989976666664</v>
      </c>
      <c r="AX38" s="4">
        <v>1426.9989976666664</v>
      </c>
      <c r="AY38" s="4">
        <v>1426.9989976666664</v>
      </c>
      <c r="AZ38" s="4">
        <v>1426.9989976666664</v>
      </c>
      <c r="BA38" s="4">
        <v>1426.9989976666664</v>
      </c>
      <c r="BB38" s="4">
        <v>1426.9989976666664</v>
      </c>
      <c r="BC38" s="4">
        <v>1426.9989976666664</v>
      </c>
      <c r="BD38" s="4">
        <v>1426.9989976666664</v>
      </c>
      <c r="BE38" s="4">
        <v>1426.9989976666664</v>
      </c>
      <c r="BF38" s="4">
        <v>1427.0505849999997</v>
      </c>
      <c r="BG38" s="4">
        <v>1427.0505849999997</v>
      </c>
      <c r="BH38" s="4">
        <v>0</v>
      </c>
      <c r="BJ38" s="9"/>
    </row>
    <row r="39" spans="1:62" x14ac:dyDescent="0.25">
      <c r="A39" s="6" t="s">
        <v>35</v>
      </c>
      <c r="B39" s="6"/>
      <c r="C39" s="7" t="s">
        <v>526</v>
      </c>
      <c r="D39" s="3"/>
      <c r="E39" s="3">
        <f>VLOOKUP(A39,[2]Sheet1!$A$2:$E$627,5,0)</f>
        <v>448.92</v>
      </c>
      <c r="F39" s="3">
        <f>VLOOKUP(A39,[2]Sheet1!$A$2:$F$627,6,0)</f>
        <v>494.999999</v>
      </c>
      <c r="G39" s="3">
        <f>VLOOKUP(A39,[2]Sheet1!$A$2:$G$627,7,0)</f>
        <v>514.999999</v>
      </c>
      <c r="H39" s="4">
        <f t="shared" si="0"/>
        <v>514.999999</v>
      </c>
      <c r="I39" s="11">
        <f t="shared" si="1"/>
        <v>0.10264634901541474</v>
      </c>
      <c r="J39" s="11">
        <f t="shared" si="2"/>
        <v>0.14719771674240395</v>
      </c>
      <c r="K39" s="11">
        <f t="shared" si="3"/>
        <v>4.0404040485664726E-2</v>
      </c>
      <c r="L39" s="11">
        <f>IF(S39="",((BG39-E39)/E39),((U39-E39)/E39))</f>
        <v>0.14719771674240395</v>
      </c>
      <c r="M39" s="3" t="str">
        <f>IF(S39="Churn","Churn",VLOOKUP(A39,'[1]Revenue_Engine_2025 Dec.25'!$C$14:$E$3993,3,0))</f>
        <v>Churn</v>
      </c>
      <c r="N39" s="3" t="str">
        <f>IF(S39="",VLOOKUP(A39,[3]Export!$B$2:$F$417,5,0),"CHURN")</f>
        <v>CHURN</v>
      </c>
      <c r="O39" s="3" t="e">
        <f>(1-N39)*H39</f>
        <v>#VALUE!</v>
      </c>
      <c r="P39" s="3" t="e">
        <f t="shared" si="5"/>
        <v>#VALUE!</v>
      </c>
      <c r="Q39" s="3" t="e">
        <f t="shared" si="4"/>
        <v>#VALUE!</v>
      </c>
      <c r="R39" s="3" t="str">
        <f>IF(S39&lt;&gt;"Churn",VLOOKUP(A39,[3]Export!$B$2:$O$417,8,0),"CHURN")</f>
        <v>CHURN</v>
      </c>
      <c r="S39" s="3" t="s">
        <v>372</v>
      </c>
      <c r="T39" s="3" t="s">
        <v>556</v>
      </c>
      <c r="U39" s="3">
        <v>514.999999</v>
      </c>
      <c r="V39" s="4" t="str" cm="1">
        <f t="array" ref="V39">IFERROR(
    IF(
        MATCH(2,1/((Y39:BH39&lt;&gt;0)*(Y39:BH39&lt;&gt;"")))-MATCH(1,INDEX((Y39:BH39&lt;&gt;0)*(Y39:BH39&lt;&gt;""),0),0)+1 &lt;= 12,
        "No",
        "Yes"
    ),
    "No"
)</f>
        <v>Yes</v>
      </c>
      <c r="W39" s="4" t="str" cm="1">
        <f t="array" ref="W39">IFERROR(
    IF(
        MATCH(2,1/((Y39:BH39&lt;&gt;0)*(Y39:BH39&lt;&gt;"")))-MATCH(1,INDEX((Y39:BH39&lt;&gt;0)*(Y39:BH39&lt;&gt;""),0),0)+1 &lt;= 24,
        "No",
        "Yes"
    ),
    "No"
)</f>
        <v>Yes</v>
      </c>
      <c r="X39" s="3"/>
      <c r="Y39" s="4">
        <v>292.09096773161752</v>
      </c>
      <c r="Z39" s="4">
        <v>291.0761433724507</v>
      </c>
      <c r="AA39" s="4">
        <v>448.92</v>
      </c>
      <c r="AB39" s="4">
        <v>448.92</v>
      </c>
      <c r="AC39" s="4">
        <v>448.92</v>
      </c>
      <c r="AD39" s="4">
        <v>379</v>
      </c>
      <c r="AE39" s="4">
        <v>378.99999900000006</v>
      </c>
      <c r="AF39" s="4">
        <v>378.99999900000006</v>
      </c>
      <c r="AG39" s="4">
        <v>378.99999900000006</v>
      </c>
      <c r="AH39" s="4">
        <v>416.99999900000006</v>
      </c>
      <c r="AI39" s="4">
        <v>494.999999</v>
      </c>
      <c r="AJ39" s="4">
        <v>494.999999</v>
      </c>
      <c r="AK39" s="4">
        <v>494.999999</v>
      </c>
      <c r="AL39" s="4">
        <v>514.999999</v>
      </c>
      <c r="AM39" s="4">
        <v>514.999999</v>
      </c>
      <c r="AN39" s="4">
        <v>514.999999</v>
      </c>
      <c r="AO39" s="4">
        <v>514.999999</v>
      </c>
      <c r="AP39" s="4">
        <v>514.999999</v>
      </c>
      <c r="AQ39" s="4">
        <v>514.999999</v>
      </c>
      <c r="AR39" s="4">
        <v>514.999999</v>
      </c>
      <c r="AS39" s="4">
        <v>514.999999</v>
      </c>
      <c r="AT39" s="4">
        <v>514.999999</v>
      </c>
      <c r="AU39" s="4">
        <v>514.999999</v>
      </c>
      <c r="AV39" s="4">
        <v>514.999999</v>
      </c>
      <c r="AW39" s="4">
        <v>514.999999</v>
      </c>
      <c r="AX39" s="4">
        <v>514.999999</v>
      </c>
      <c r="AY39" s="4">
        <v>514.999999</v>
      </c>
      <c r="AZ39" s="4">
        <v>514.999999</v>
      </c>
      <c r="BA39" s="4">
        <v>514.999999</v>
      </c>
      <c r="BB39" s="4">
        <v>514.999999</v>
      </c>
      <c r="BC39" s="4">
        <v>514.999999</v>
      </c>
      <c r="BD39" s="4">
        <v>514.999999</v>
      </c>
      <c r="BE39" s="4">
        <v>514.999999</v>
      </c>
      <c r="BF39" s="4">
        <v>514.999999</v>
      </c>
      <c r="BG39" s="4">
        <v>514.999999</v>
      </c>
      <c r="BH39" s="4">
        <v>0</v>
      </c>
      <c r="BJ39" s="9"/>
    </row>
    <row r="40" spans="1:62" x14ac:dyDescent="0.25">
      <c r="A40" s="6" t="s">
        <v>36</v>
      </c>
      <c r="B40" s="6"/>
      <c r="C40" s="7" t="s">
        <v>526</v>
      </c>
      <c r="D40" s="3"/>
      <c r="E40" s="3">
        <f>VLOOKUP(A40,[2]Sheet1!$A$2:$E$627,5,0)</f>
        <v>509.81</v>
      </c>
      <c r="F40" s="3">
        <f>VLOOKUP(A40,[2]Sheet1!$A$2:$F$627,6,0)</f>
        <v>535.00096600000006</v>
      </c>
      <c r="G40" s="3">
        <f>VLOOKUP(A40,[2]Sheet1!$A$2:$G$627,7,0)</f>
        <v>555.00096600000006</v>
      </c>
      <c r="H40" s="4">
        <f t="shared" si="0"/>
        <v>555.00096600000006</v>
      </c>
      <c r="I40" s="11">
        <f t="shared" si="1"/>
        <v>4.9412459543751709E-2</v>
      </c>
      <c r="J40" s="11">
        <f t="shared" si="2"/>
        <v>8.8642761028618622E-2</v>
      </c>
      <c r="K40" s="11">
        <f t="shared" si="3"/>
        <v>3.7383110070870411E-2</v>
      </c>
      <c r="L40" s="11">
        <f>IF(S40="",((BG40-E40)/E40),((U40-E40)/E40))</f>
        <v>8.8642761028618622E-2</v>
      </c>
      <c r="M40" s="3" t="str">
        <f>IF(S40="Churn","Churn",VLOOKUP(A40,'[1]Revenue_Engine_2025 Dec.25'!$C$14:$E$3993,3,0))</f>
        <v>Churn</v>
      </c>
      <c r="N40" s="3" t="str">
        <f>IF(S40="",VLOOKUP(A40,[3]Export!$B$2:$F$417,5,0),"CHURN")</f>
        <v>CHURN</v>
      </c>
      <c r="O40" s="3" t="e">
        <f>(1-N40)*H40</f>
        <v>#VALUE!</v>
      </c>
      <c r="P40" s="3" t="e">
        <f t="shared" si="5"/>
        <v>#VALUE!</v>
      </c>
      <c r="Q40" s="3" t="e">
        <f t="shared" si="4"/>
        <v>#VALUE!</v>
      </c>
      <c r="R40" s="3" t="str">
        <f>IF(S40&lt;&gt;"Churn",VLOOKUP(A40,[3]Export!$B$2:$O$417,8,0),"CHURN")</f>
        <v>CHURN</v>
      </c>
      <c r="S40" s="3" t="s">
        <v>372</v>
      </c>
      <c r="T40" s="3" t="s">
        <v>556</v>
      </c>
      <c r="U40" s="3">
        <v>555.00096600000006</v>
      </c>
      <c r="V40" s="4" t="str" cm="1">
        <f t="array" ref="V40">IFERROR(
    IF(
        MATCH(2,1/((Y40:BH40&lt;&gt;0)*(Y40:BH40&lt;&gt;"")))-MATCH(1,INDEX((Y40:BH40&lt;&gt;0)*(Y40:BH40&lt;&gt;""),0),0)+1 &lt;= 12,
        "No",
        "Yes"
    ),
    "No"
)</f>
        <v>Yes</v>
      </c>
      <c r="W40" s="4" t="str" cm="1">
        <f t="array" ref="W40">IFERROR(
    IF(
        MATCH(2,1/((Y40:BH40&lt;&gt;0)*(Y40:BH40&lt;&gt;"")))-MATCH(1,INDEX((Y40:BH40&lt;&gt;0)*(Y40:BH40&lt;&gt;""),0),0)+1 &lt;= 24,
        "No",
        "Yes"
    ),
    "No"
)</f>
        <v>Yes</v>
      </c>
      <c r="X40" s="3"/>
      <c r="Y40" s="4">
        <v>332.52480235415794</v>
      </c>
      <c r="Z40" s="4">
        <v>331.36949696393378</v>
      </c>
      <c r="AA40" s="4">
        <v>509.81</v>
      </c>
      <c r="AB40" s="4">
        <v>509.81</v>
      </c>
      <c r="AC40" s="4">
        <v>509.81</v>
      </c>
      <c r="AD40" s="4">
        <v>419</v>
      </c>
      <c r="AE40" s="4">
        <v>419.00096500000001</v>
      </c>
      <c r="AF40" s="4">
        <v>419.00096500000001</v>
      </c>
      <c r="AG40" s="4">
        <v>419.00096500000001</v>
      </c>
      <c r="AH40" s="4">
        <v>457.00096600000001</v>
      </c>
      <c r="AI40" s="4">
        <v>535.00096600000006</v>
      </c>
      <c r="AJ40" s="4">
        <v>535.00096600000006</v>
      </c>
      <c r="AK40" s="4">
        <v>535.00096600000006</v>
      </c>
      <c r="AL40" s="4">
        <v>555.00096600000006</v>
      </c>
      <c r="AM40" s="4">
        <v>555.00096600000006</v>
      </c>
      <c r="AN40" s="4">
        <v>555.00096600000006</v>
      </c>
      <c r="AO40" s="4">
        <v>555.00096600000006</v>
      </c>
      <c r="AP40" s="4">
        <v>555.00096600000006</v>
      </c>
      <c r="AQ40" s="4">
        <v>555.00096600000006</v>
      </c>
      <c r="AR40" s="4">
        <v>555.00096600000006</v>
      </c>
      <c r="AS40" s="4">
        <v>555.00096600000006</v>
      </c>
      <c r="AT40" s="4">
        <v>555.00096600000006</v>
      </c>
      <c r="AU40" s="4">
        <v>555.00096600000006</v>
      </c>
      <c r="AV40" s="4">
        <v>555.00096600000006</v>
      </c>
      <c r="AW40" s="4">
        <v>555.00096600000006</v>
      </c>
      <c r="AX40" s="4">
        <v>555.00096600000006</v>
      </c>
      <c r="AY40" s="4">
        <v>555.00096600000006</v>
      </c>
      <c r="AZ40" s="4">
        <v>555.00096600000006</v>
      </c>
      <c r="BA40" s="4">
        <v>555.00096600000006</v>
      </c>
      <c r="BB40" s="4">
        <v>555.00096600000006</v>
      </c>
      <c r="BC40" s="4">
        <v>555.00096600000006</v>
      </c>
      <c r="BD40" s="4">
        <v>555.00096600000006</v>
      </c>
      <c r="BE40" s="4">
        <v>555.00096600000006</v>
      </c>
      <c r="BF40" s="4">
        <v>555.00096600000006</v>
      </c>
      <c r="BG40" s="4">
        <v>555.00096600000006</v>
      </c>
      <c r="BH40" s="4">
        <v>0</v>
      </c>
      <c r="BJ40" s="9"/>
    </row>
    <row r="41" spans="1:62" x14ac:dyDescent="0.25">
      <c r="A41" s="6" t="s">
        <v>37</v>
      </c>
      <c r="B41" s="6"/>
      <c r="C41" s="7" t="s">
        <v>526</v>
      </c>
      <c r="D41" s="3"/>
      <c r="E41" s="3">
        <f>VLOOKUP(A41,[2]Sheet1!$A$2:$E$627,5,0)</f>
        <v>632.16999999999996</v>
      </c>
      <c r="F41" s="3">
        <f>VLOOKUP(A41,[2]Sheet1!$A$2:$F$627,6,0)</f>
        <v>721.00999899999988</v>
      </c>
      <c r="G41" s="3">
        <f>VLOOKUP(A41,[2]Sheet1!$A$2:$G$627,7,0)</f>
        <v>741.00999899999988</v>
      </c>
      <c r="H41" s="4">
        <f t="shared" si="0"/>
        <v>741.00999899999988</v>
      </c>
      <c r="I41" s="11">
        <f t="shared" si="1"/>
        <v>0.14053181739089157</v>
      </c>
      <c r="J41" s="11">
        <f t="shared" si="2"/>
        <v>0.17216887704256756</v>
      </c>
      <c r="K41" s="11">
        <f t="shared" si="3"/>
        <v>2.7738866351006048E-2</v>
      </c>
      <c r="L41" s="11">
        <f>IF(S41="",((BG41-E41)/E41),((U41-E41)/E41))</f>
        <v>0.17216887704256756</v>
      </c>
      <c r="M41" s="3" t="str">
        <f>IF(S41="Churn","Churn",VLOOKUP(A41,'[1]Revenue_Engine_2025 Dec.25'!$C$14:$E$3993,3,0))</f>
        <v>Churn</v>
      </c>
      <c r="N41" s="3" t="str">
        <f>IF(S41="",VLOOKUP(A41,[3]Export!$B$2:$F$417,5,0),"CHURN")</f>
        <v>CHURN</v>
      </c>
      <c r="O41" s="3" t="e">
        <f>(1-N41)*H41</f>
        <v>#VALUE!</v>
      </c>
      <c r="P41" s="3" t="e">
        <f t="shared" si="5"/>
        <v>#VALUE!</v>
      </c>
      <c r="Q41" s="3" t="e">
        <f t="shared" si="4"/>
        <v>#VALUE!</v>
      </c>
      <c r="R41" s="3" t="str">
        <f>IF(S41&lt;&gt;"Churn",VLOOKUP(A41,[3]Export!$B$2:$O$417,8,0),"CHURN")</f>
        <v>CHURN</v>
      </c>
      <c r="S41" s="3" t="s">
        <v>372</v>
      </c>
      <c r="T41" s="3" t="s">
        <v>556</v>
      </c>
      <c r="U41" s="3">
        <v>741.00999899999988</v>
      </c>
      <c r="V41" s="4" t="str" cm="1">
        <f t="array" ref="V41">IFERROR(
    IF(
        MATCH(2,1/((Y41:BH41&lt;&gt;0)*(Y41:BH41&lt;&gt;"")))-MATCH(1,INDEX((Y41:BH41&lt;&gt;0)*(Y41:BH41&lt;&gt;""),0),0)+1 &lt;= 12,
        "No",
        "Yes"
    ),
    "No"
)</f>
        <v>Yes</v>
      </c>
      <c r="W41" s="4" t="str" cm="1">
        <f t="array" ref="W41">IFERROR(
    IF(
        MATCH(2,1/((Y41:BH41&lt;&gt;0)*(Y41:BH41&lt;&gt;"")))-MATCH(1,INDEX((Y41:BH41&lt;&gt;0)*(Y41:BH41&lt;&gt;""),0),0)+1 &lt;= 24,
        "No",
        "Yes"
    ),
    "No"
)</f>
        <v>Yes</v>
      </c>
      <c r="X41" s="3"/>
      <c r="Y41" s="4">
        <v>413.7677721328692</v>
      </c>
      <c r="Z41" s="4">
        <v>412.33020075755564</v>
      </c>
      <c r="AA41" s="4">
        <v>632.16999999999996</v>
      </c>
      <c r="AB41" s="4">
        <v>632.16999999999996</v>
      </c>
      <c r="AC41" s="4">
        <v>632.16999999999996</v>
      </c>
      <c r="AD41" s="4">
        <v>605</v>
      </c>
      <c r="AE41" s="4">
        <v>605.00999899999988</v>
      </c>
      <c r="AF41" s="4">
        <v>605.00999899999988</v>
      </c>
      <c r="AG41" s="4">
        <v>605.00999899999988</v>
      </c>
      <c r="AH41" s="4">
        <v>643.00999899999988</v>
      </c>
      <c r="AI41" s="4">
        <v>721.00999899999988</v>
      </c>
      <c r="AJ41" s="4">
        <v>721.00999899999988</v>
      </c>
      <c r="AK41" s="4">
        <v>721.00999899999988</v>
      </c>
      <c r="AL41" s="4">
        <v>741.00999899999988</v>
      </c>
      <c r="AM41" s="4">
        <v>741.00999899999988</v>
      </c>
      <c r="AN41" s="4">
        <v>741.00999899999988</v>
      </c>
      <c r="AO41" s="4">
        <v>741.00999899999988</v>
      </c>
      <c r="AP41" s="4">
        <v>741.00999899999988</v>
      </c>
      <c r="AQ41" s="4">
        <v>741.00999899999988</v>
      </c>
      <c r="AR41" s="4">
        <v>741.00999899999988</v>
      </c>
      <c r="AS41" s="4">
        <v>741.00999899999988</v>
      </c>
      <c r="AT41" s="4">
        <v>741.00999899999988</v>
      </c>
      <c r="AU41" s="4">
        <v>741.00999899999988</v>
      </c>
      <c r="AV41" s="4">
        <v>741.00999899999988</v>
      </c>
      <c r="AW41" s="4">
        <v>741.00999899999988</v>
      </c>
      <c r="AX41" s="4">
        <v>741.00999899999988</v>
      </c>
      <c r="AY41" s="4">
        <v>741.00999899999988</v>
      </c>
      <c r="AZ41" s="4">
        <v>741.00999899999999</v>
      </c>
      <c r="BA41" s="4">
        <v>741.00999899999988</v>
      </c>
      <c r="BB41" s="4">
        <v>741.00999899999988</v>
      </c>
      <c r="BC41" s="4">
        <v>741.00999899999988</v>
      </c>
      <c r="BD41" s="4">
        <v>741.00999899999988</v>
      </c>
      <c r="BE41" s="4">
        <v>741.00999899999988</v>
      </c>
      <c r="BF41" s="4">
        <v>741.00999899999988</v>
      </c>
      <c r="BG41" s="4">
        <v>741.00999899999988</v>
      </c>
      <c r="BH41" s="4">
        <v>0</v>
      </c>
      <c r="BJ41" s="9"/>
    </row>
    <row r="42" spans="1:62" x14ac:dyDescent="0.25">
      <c r="A42" s="6" t="s">
        <v>38</v>
      </c>
      <c r="B42" s="6"/>
      <c r="C42" s="7" t="s">
        <v>526</v>
      </c>
      <c r="D42" s="3"/>
      <c r="E42" s="3">
        <f>VLOOKUP(A42,[2]Sheet1!$A$2:$E$627,5,0)</f>
        <v>882.15002425592934</v>
      </c>
      <c r="F42" s="3">
        <f>VLOOKUP(A42,[2]Sheet1!$A$2:$F$627,6,0)</f>
        <v>719.37858930546076</v>
      </c>
      <c r="G42" s="3">
        <f>VLOOKUP(A42,[2]Sheet1!$A$2:$G$627,7,0)</f>
        <v>0</v>
      </c>
      <c r="H42" s="4">
        <f t="shared" si="0"/>
        <v>817.74385450742886</v>
      </c>
      <c r="I42" s="11">
        <f t="shared" si="1"/>
        <v>-0.18451672671863503</v>
      </c>
      <c r="J42" s="11">
        <f t="shared" si="2"/>
        <v>-1</v>
      </c>
      <c r="K42" s="11">
        <f t="shared" si="3"/>
        <v>-1</v>
      </c>
      <c r="L42" s="11">
        <f>IF(S42="",((BG42-E42)/E42),((U42-E42)/E42))</f>
        <v>-5.1525226316812757E-2</v>
      </c>
      <c r="M42" s="3" t="str">
        <f>IF(S42="Churn","Churn",VLOOKUP(A42,'[1]Revenue_Engine_2025 Dec.25'!$C$14:$E$3993,3,0))</f>
        <v>Churn</v>
      </c>
      <c r="N42" s="3" t="str">
        <f>IF(S42="",VLOOKUP(A42,[3]Export!$B$2:$F$417,5,0),"CHURN")</f>
        <v>CHURN</v>
      </c>
      <c r="O42" s="3" t="e">
        <f>(1-N42)*H42</f>
        <v>#VALUE!</v>
      </c>
      <c r="P42" s="3" t="e">
        <f t="shared" si="5"/>
        <v>#VALUE!</v>
      </c>
      <c r="Q42" s="3" t="e">
        <f t="shared" si="4"/>
        <v>#VALUE!</v>
      </c>
      <c r="R42" s="3" t="str">
        <f>IF(S42&lt;&gt;"Churn",VLOOKUP(A42,[3]Export!$B$2:$O$417,8,0),"CHURN")</f>
        <v>CHURN</v>
      </c>
      <c r="S42" s="3" t="s">
        <v>372</v>
      </c>
      <c r="T42" s="3" t="s">
        <v>553</v>
      </c>
      <c r="U42" s="3">
        <v>836.69704461076071</v>
      </c>
      <c r="V42" s="4" t="str" cm="1">
        <f t="array" ref="V42">IFERROR(
    IF(
        MATCH(2,1/((Y42:BH42&lt;&gt;0)*(Y42:BH42&lt;&gt;"")))-MATCH(1,INDEX((Y42:BH42&lt;&gt;0)*(Y42:BH42&lt;&gt;""),0),0)+1 &lt;= 12,
        "No",
        "Yes"
    ),
    "No"
)</f>
        <v>Yes</v>
      </c>
      <c r="W42" s="4" t="str" cm="1">
        <f t="array" ref="W42">IFERROR(
    IF(
        MATCH(2,1/((Y42:BH42&lt;&gt;0)*(Y42:BH42&lt;&gt;"")))-MATCH(1,INDEX((Y42:BH42&lt;&gt;0)*(Y42:BH42&lt;&gt;""),0),0)+1 &lt;= 24,
        "No",
        "Yes"
    ),
    "No"
)</f>
        <v>Yes</v>
      </c>
      <c r="X42" s="3"/>
      <c r="Y42" s="4">
        <v>882.15002425592934</v>
      </c>
      <c r="Z42" s="4">
        <v>881.36430138601872</v>
      </c>
      <c r="AA42" s="4">
        <v>879.70762164414043</v>
      </c>
      <c r="AB42" s="4">
        <v>875.73312533874787</v>
      </c>
      <c r="AC42" s="4">
        <v>889.5672372928168</v>
      </c>
      <c r="AD42" s="4">
        <v>855.28400381983522</v>
      </c>
      <c r="AE42" s="4">
        <v>834.65800426881174</v>
      </c>
      <c r="AF42" s="4">
        <v>893.06570716575209</v>
      </c>
      <c r="AG42" s="4">
        <v>874.86241149440411</v>
      </c>
      <c r="AH42" s="4">
        <v>868.11662774372894</v>
      </c>
      <c r="AI42" s="4">
        <v>862.27720100737156</v>
      </c>
      <c r="AJ42" s="4">
        <v>859.06318865089054</v>
      </c>
      <c r="AK42" s="4">
        <v>852.59298607729681</v>
      </c>
      <c r="AL42" s="4">
        <v>848.07591085739614</v>
      </c>
      <c r="AM42" s="4">
        <v>845.72221351168923</v>
      </c>
      <c r="AN42" s="4">
        <v>843.88239974724013</v>
      </c>
      <c r="AO42" s="4">
        <v>844.14826592902068</v>
      </c>
      <c r="AP42" s="4">
        <v>791.6600019256731</v>
      </c>
      <c r="AQ42" s="4">
        <v>835.10940851622161</v>
      </c>
      <c r="AR42" s="4">
        <v>831.27661584839109</v>
      </c>
      <c r="AS42" s="4">
        <v>772.47267148418382</v>
      </c>
      <c r="AT42" s="4">
        <v>768.7014260755559</v>
      </c>
      <c r="AU42" s="4">
        <v>765.36046926522317</v>
      </c>
      <c r="AV42" s="4">
        <v>756.98820954192774</v>
      </c>
      <c r="AW42" s="4">
        <v>757.95976286555469</v>
      </c>
      <c r="AX42" s="4">
        <v>748.65708786928678</v>
      </c>
      <c r="AY42" s="4">
        <v>734.33302469552916</v>
      </c>
      <c r="AZ42" s="4">
        <v>719.37858930546076</v>
      </c>
      <c r="BA42" s="4">
        <v>870.24844212101925</v>
      </c>
      <c r="BB42" s="4">
        <v>859.51800459055789</v>
      </c>
      <c r="BC42" s="4">
        <v>846.26814469737781</v>
      </c>
      <c r="BD42" s="4">
        <v>836.69704461076071</v>
      </c>
      <c r="BE42" s="4">
        <v>826.64541988683118</v>
      </c>
      <c r="BF42" s="4">
        <v>817.74385450742886</v>
      </c>
      <c r="BG42" s="4">
        <v>0</v>
      </c>
      <c r="BH42" s="4">
        <v>0</v>
      </c>
      <c r="BJ42" s="9"/>
    </row>
    <row r="43" spans="1:62" x14ac:dyDescent="0.25">
      <c r="A43" s="6" t="s">
        <v>39</v>
      </c>
      <c r="B43" s="6"/>
      <c r="C43" s="7" t="s">
        <v>526</v>
      </c>
      <c r="D43" s="3"/>
      <c r="E43" s="3">
        <f>VLOOKUP(A43,[2]Sheet1!$A$2:$E$627,5,0)</f>
        <v>1795.6337724317227</v>
      </c>
      <c r="F43" s="3">
        <f>VLOOKUP(A43,[2]Sheet1!$A$2:$F$627,6,0)</f>
        <v>2642.8238572233577</v>
      </c>
      <c r="G43" s="3">
        <f>VLOOKUP(A43,[2]Sheet1!$A$2:$G$627,7,0)</f>
        <v>2895.3063449784122</v>
      </c>
      <c r="H43" s="4">
        <f t="shared" si="0"/>
        <v>0</v>
      </c>
      <c r="I43" s="11">
        <f t="shared" si="1"/>
        <v>0.47180560858149517</v>
      </c>
      <c r="J43" s="11">
        <f t="shared" si="2"/>
        <v>0.61241473034752891</v>
      </c>
      <c r="K43" s="11">
        <f t="shared" si="3"/>
        <v>9.5535117508860914E-2</v>
      </c>
      <c r="L43" s="11">
        <f>IF(S43="",((BG43-E43)/E43),((U43-E43)/E43))</f>
        <v>0.60030371375932501</v>
      </c>
      <c r="M43" s="3" t="str">
        <f>IF(S43="Churn","Churn",VLOOKUP(A43,'[1]Revenue_Engine_2025 Dec.25'!$C$14:$E$3993,3,0))</f>
        <v>Churn</v>
      </c>
      <c r="N43" s="3" t="str">
        <f>IF(S43="",VLOOKUP(A43,[3]Export!$B$2:$F$417,5,0),"CHURN")</f>
        <v>CHURN</v>
      </c>
      <c r="O43" s="3" t="e">
        <f>(1-N43)*H43</f>
        <v>#VALUE!</v>
      </c>
      <c r="P43" s="3" t="e">
        <f t="shared" si="5"/>
        <v>#VALUE!</v>
      </c>
      <c r="Q43" s="3" t="e">
        <f t="shared" si="4"/>
        <v>#VALUE!</v>
      </c>
      <c r="R43" s="3" t="str">
        <f>IF(S43&lt;&gt;"Churn",VLOOKUP(A43,[3]Export!$B$2:$O$417,8,0),"CHURN")</f>
        <v>CHURN</v>
      </c>
      <c r="S43" s="3" t="s">
        <v>372</v>
      </c>
      <c r="T43" s="3" t="s">
        <v>557</v>
      </c>
      <c r="U43" s="3">
        <v>2873.5593945741525</v>
      </c>
      <c r="V43" s="4" t="str" cm="1">
        <f t="array" ref="V43">IFERROR(
    IF(
        MATCH(2,1/((Y43:BH43&lt;&gt;0)*(Y43:BH43&lt;&gt;"")))-MATCH(1,INDEX((Y43:BH43&lt;&gt;0)*(Y43:BH43&lt;&gt;""),0),0)+1 &lt;= 12,
        "No",
        "Yes"
    ),
    "No"
)</f>
        <v>Yes</v>
      </c>
      <c r="W43" s="4" t="str" cm="1">
        <f t="array" ref="W43">IFERROR(
    IF(
        MATCH(2,1/((Y43:BH43&lt;&gt;0)*(Y43:BH43&lt;&gt;"")))-MATCH(1,INDEX((Y43:BH43&lt;&gt;0)*(Y43:BH43&lt;&gt;""),0),0)+1 &lt;= 24,
        "No",
        "Yes"
    ),
    "No"
)</f>
        <v>Yes</v>
      </c>
      <c r="X43" s="3"/>
      <c r="Y43" s="4">
        <v>1778.6965567242235</v>
      </c>
      <c r="Z43" s="4">
        <v>1777.8721069715307</v>
      </c>
      <c r="AA43" s="4">
        <v>1795.6337724317227</v>
      </c>
      <c r="AB43" s="4">
        <v>1848.8545843023708</v>
      </c>
      <c r="AC43" s="4">
        <v>1876.3951725679904</v>
      </c>
      <c r="AD43" s="4">
        <v>1881.4679036614132</v>
      </c>
      <c r="AE43" s="4">
        <v>1889.800004430962</v>
      </c>
      <c r="AF43" s="4">
        <v>1983.7817458823001</v>
      </c>
      <c r="AG43" s="4">
        <v>2243.1235060005265</v>
      </c>
      <c r="AH43" s="4">
        <v>2234.8450328705212</v>
      </c>
      <c r="AI43" s="4">
        <v>2227.6788271169121</v>
      </c>
      <c r="AJ43" s="4">
        <v>2664.8183875902778</v>
      </c>
      <c r="AK43" s="4">
        <v>2642.8238572233577</v>
      </c>
      <c r="AL43" s="4">
        <v>2627.4687045888413</v>
      </c>
      <c r="AM43" s="4">
        <v>2602.4708598166562</v>
      </c>
      <c r="AN43" s="4">
        <v>2596.2166754613154</v>
      </c>
      <c r="AO43" s="4">
        <v>2597.1204496078276</v>
      </c>
      <c r="AP43" s="4">
        <v>2591.8490384385564</v>
      </c>
      <c r="AQ43" s="4">
        <v>2584.6982503478148</v>
      </c>
      <c r="AR43" s="4">
        <v>2571.5627775315302</v>
      </c>
      <c r="AS43" s="4">
        <v>2699.7274156374961</v>
      </c>
      <c r="AT43" s="4">
        <v>2749.4410135818111</v>
      </c>
      <c r="AU43" s="4">
        <v>2745.9137133593904</v>
      </c>
      <c r="AV43" s="4">
        <v>2907.3328754197369</v>
      </c>
      <c r="AW43" s="4">
        <v>2895.3063449784122</v>
      </c>
      <c r="AX43" s="4">
        <v>2925.2045993696097</v>
      </c>
      <c r="AY43" s="4">
        <v>2905.9461757816407</v>
      </c>
      <c r="AZ43" s="4">
        <v>2885.840229042416</v>
      </c>
      <c r="BA43" s="4">
        <v>2873.5593945741525</v>
      </c>
      <c r="BB43" s="4">
        <v>2861.33047657722</v>
      </c>
      <c r="BC43" s="4">
        <v>2847.7110741226579</v>
      </c>
      <c r="BD43" s="4">
        <v>0</v>
      </c>
      <c r="BE43" s="4">
        <v>0</v>
      </c>
      <c r="BF43" s="4">
        <v>0</v>
      </c>
      <c r="BG43" s="4">
        <v>0</v>
      </c>
      <c r="BH43" s="4">
        <v>0</v>
      </c>
      <c r="BJ43" s="9"/>
    </row>
    <row r="44" spans="1:62" x14ac:dyDescent="0.25">
      <c r="A44" s="6" t="s">
        <v>40</v>
      </c>
      <c r="B44" s="6"/>
      <c r="C44" s="7" t="s">
        <v>526</v>
      </c>
      <c r="D44" s="3"/>
      <c r="E44" s="3">
        <f>VLOOKUP(A44,[2]Sheet1!$A$2:$E$627,5,0)</f>
        <v>80</v>
      </c>
      <c r="F44" s="3">
        <f>VLOOKUP(A44,[2]Sheet1!$A$2:$F$627,6,0)</f>
        <v>89.001999999999981</v>
      </c>
      <c r="G44" s="3">
        <f>VLOOKUP(A44,[2]Sheet1!$A$2:$G$627,7,0)</f>
        <v>288.98870299999999</v>
      </c>
      <c r="H44" s="4">
        <f t="shared" si="0"/>
        <v>288.98870299999999</v>
      </c>
      <c r="I44" s="11">
        <f t="shared" si="1"/>
        <v>0.11252499999999976</v>
      </c>
      <c r="J44" s="11">
        <f t="shared" si="2"/>
        <v>2.6123587874999998</v>
      </c>
      <c r="K44" s="11">
        <f t="shared" si="3"/>
        <v>2.246991112559269</v>
      </c>
      <c r="L44" s="11">
        <f>IF(S44="",((BG44-E44)/E44),((U44-E44)/E44))</f>
        <v>2.6123587874999998</v>
      </c>
      <c r="M44" s="3" t="str">
        <f>IF(S44="Churn","Churn",VLOOKUP(A44,'[1]Revenue_Engine_2025 Dec.25'!$C$14:$E$3993,3,0))</f>
        <v>Teknoloji</v>
      </c>
      <c r="N44" s="3">
        <f>IF(S44="",VLOOKUP(A44,[3]Export!$B$2:$F$417,5,0),"CHURN")</f>
        <v>0.1171326063911917</v>
      </c>
      <c r="O44" s="3">
        <f>(1-N44)*H44</f>
        <v>255.13870299999999</v>
      </c>
      <c r="P44" s="3">
        <f t="shared" si="5"/>
        <v>78.576963765971144</v>
      </c>
      <c r="Q44" s="3">
        <f t="shared" si="4"/>
        <v>255.13870299999999</v>
      </c>
      <c r="R44" s="3" t="str">
        <f>IF(S44&lt;&gt;"Churn",VLOOKUP(A44,[3]Export!$B$2:$O$417,8,0),"CHURN")</f>
        <v>NO RISK</v>
      </c>
      <c r="S44" s="3"/>
      <c r="T44" s="3"/>
      <c r="U44" s="3" t="s">
        <v>551</v>
      </c>
      <c r="V44" s="4" t="str" cm="1">
        <f t="array" ref="V44">IFERROR(
    IF(
        MATCH(2,1/((Y44:BH44&lt;&gt;0)*(Y44:BH44&lt;&gt;"")))-MATCH(1,INDEX((Y44:BH44&lt;&gt;0)*(Y44:BH44&lt;&gt;""),0),0)+1 &lt;= 12,
        "No",
        "Yes"
    ),
    "No"
)</f>
        <v>Yes</v>
      </c>
      <c r="W44" s="4" t="str" cm="1">
        <f t="array" ref="W44">IFERROR(
    IF(
        MATCH(2,1/((Y44:BH44&lt;&gt;0)*(Y44:BH44&lt;&gt;"")))-MATCH(1,INDEX((Y44:BH44&lt;&gt;0)*(Y44:BH44&lt;&gt;""),0),0)+1 &lt;= 24,
        "No",
        "Yes"
    ),
    "No"
)</f>
        <v>Yes</v>
      </c>
      <c r="X44" s="3"/>
      <c r="Y44" s="4">
        <v>80</v>
      </c>
      <c r="Z44" s="4">
        <v>80</v>
      </c>
      <c r="AA44" s="4">
        <v>80</v>
      </c>
      <c r="AB44" s="4">
        <v>80</v>
      </c>
      <c r="AC44" s="4">
        <v>89.001999999999981</v>
      </c>
      <c r="AD44" s="4">
        <v>89.001999999999981</v>
      </c>
      <c r="AE44" s="4">
        <v>89.001999999999981</v>
      </c>
      <c r="AF44" s="4">
        <v>89.001999999999981</v>
      </c>
      <c r="AG44" s="4">
        <v>129.00199999999998</v>
      </c>
      <c r="AH44" s="4">
        <v>49.001999999999981</v>
      </c>
      <c r="AI44" s="4">
        <v>89.001999999999981</v>
      </c>
      <c r="AJ44" s="4">
        <v>89.001999999999981</v>
      </c>
      <c r="AK44" s="4">
        <v>89.001999999999981</v>
      </c>
      <c r="AL44" s="4">
        <v>89.001999999999981</v>
      </c>
      <c r="AM44" s="4">
        <v>89.001999999999981</v>
      </c>
      <c r="AN44" s="4">
        <v>89.001999999999981</v>
      </c>
      <c r="AO44" s="4">
        <v>89.001999999999981</v>
      </c>
      <c r="AP44" s="4">
        <v>89.001999999999981</v>
      </c>
      <c r="AQ44" s="4">
        <v>89.001999999999981</v>
      </c>
      <c r="AR44" s="4">
        <v>89.001999999999981</v>
      </c>
      <c r="AS44" s="4">
        <v>89.001999999999981</v>
      </c>
      <c r="AT44" s="4">
        <v>89.001999999999981</v>
      </c>
      <c r="AU44" s="4">
        <v>89.001999999999981</v>
      </c>
      <c r="AV44" s="4">
        <v>288.98870299999999</v>
      </c>
      <c r="AW44" s="4">
        <v>288.98870299999999</v>
      </c>
      <c r="AX44" s="4">
        <v>288.98870299999999</v>
      </c>
      <c r="AY44" s="4">
        <v>288.98870299999999</v>
      </c>
      <c r="AZ44" s="4">
        <v>288.98870299999999</v>
      </c>
      <c r="BA44" s="4">
        <v>288.98870299999999</v>
      </c>
      <c r="BB44" s="4">
        <v>288.98870299999999</v>
      </c>
      <c r="BC44" s="4">
        <v>288.98870299999999</v>
      </c>
      <c r="BD44" s="4">
        <v>288.98870299999999</v>
      </c>
      <c r="BE44" s="4">
        <v>288.98870299999999</v>
      </c>
      <c r="BF44" s="4">
        <v>288.98870299999999</v>
      </c>
      <c r="BG44" s="4">
        <v>288.98870299999999</v>
      </c>
      <c r="BH44" s="4">
        <v>288.98870299999999</v>
      </c>
      <c r="BJ44" s="9"/>
    </row>
    <row r="45" spans="1:62" x14ac:dyDescent="0.25">
      <c r="A45" s="6" t="s">
        <v>41</v>
      </c>
      <c r="B45" s="6"/>
      <c r="C45" s="7" t="s">
        <v>526</v>
      </c>
      <c r="D45" s="3"/>
      <c r="E45" s="3">
        <f>VLOOKUP(A45,[2]Sheet1!$A$2:$E$627,5,0)</f>
        <v>778.65036900998496</v>
      </c>
      <c r="F45" s="3">
        <f>VLOOKUP(A45,[2]Sheet1!$A$2:$F$627,6,0)</f>
        <v>823.42039946208024</v>
      </c>
      <c r="G45" s="3">
        <f>VLOOKUP(A45,[2]Sheet1!$A$2:$G$627,7,0)</f>
        <v>1489.6550512156975</v>
      </c>
      <c r="H45" s="4">
        <f t="shared" si="0"/>
        <v>1538.727297154639</v>
      </c>
      <c r="I45" s="11">
        <f t="shared" si="1"/>
        <v>5.7496961709551542E-2</v>
      </c>
      <c r="J45" s="11">
        <f t="shared" si="2"/>
        <v>0.91312444006122995</v>
      </c>
      <c r="K45" s="11">
        <f t="shared" si="3"/>
        <v>0.80910632307488561</v>
      </c>
      <c r="L45" s="11">
        <f>IF(S45="",((BG45-E45)/E45),((U45-E45)/E45))</f>
        <v>0.97338976341961037</v>
      </c>
      <c r="M45" s="3" t="str">
        <f>IF(S45="Churn","Churn",VLOOKUP(A45,'[1]Revenue_Engine_2025 Dec.25'!$C$14:$E$3993,3,0))</f>
        <v>Genel</v>
      </c>
      <c r="N45" s="3">
        <f>IF(S45="",VLOOKUP(A45,[3]Export!$B$2:$F$417,5,0),"CHURN")</f>
        <v>0.55162156107199523</v>
      </c>
      <c r="O45" s="3">
        <f>(1-N45)*H45</f>
        <v>689.93214343410511</v>
      </c>
      <c r="P45" s="3">
        <f t="shared" si="5"/>
        <v>369.20395329228165</v>
      </c>
      <c r="Q45" s="3">
        <f t="shared" si="4"/>
        <v>667.92920640531145</v>
      </c>
      <c r="R45" s="3" t="str">
        <f>IF(S45&lt;&gt;"Churn",VLOOKUP(A45,[3]Export!$B$2:$O$417,8,0),"CHURN")</f>
        <v>NO RISK</v>
      </c>
      <c r="S45" s="3"/>
      <c r="T45" s="3"/>
      <c r="U45" s="3" t="s">
        <v>551</v>
      </c>
      <c r="V45" s="4" t="str" cm="1">
        <f t="array" ref="V45">IFERROR(
    IF(
        MATCH(2,1/((Y45:BH45&lt;&gt;0)*(Y45:BH45&lt;&gt;"")))-MATCH(1,INDEX((Y45:BH45&lt;&gt;0)*(Y45:BH45&lt;&gt;""),0),0)+1 &lt;= 12,
        "No",
        "Yes"
    ),
    "No"
)</f>
        <v>Yes</v>
      </c>
      <c r="W45" s="4" t="str" cm="1">
        <f t="array" ref="W45">IFERROR(
    IF(
        MATCH(2,1/((Y45:BH45&lt;&gt;0)*(Y45:BH45&lt;&gt;"")))-MATCH(1,INDEX((Y45:BH45&lt;&gt;0)*(Y45:BH45&lt;&gt;""),0),0)+1 &lt;= 24,
        "No",
        "Yes"
    ),
    "No"
)</f>
        <v>Yes</v>
      </c>
      <c r="X45" s="3"/>
      <c r="Y45" s="4">
        <v>778.65036900998496</v>
      </c>
      <c r="Z45" s="4">
        <v>778.22420475251943</v>
      </c>
      <c r="AA45" s="4">
        <v>777.32564659786635</v>
      </c>
      <c r="AB45" s="4">
        <v>775.16994830649378</v>
      </c>
      <c r="AC45" s="4">
        <v>832.67803861823654</v>
      </c>
      <c r="AD45" s="4">
        <v>806.00935108303986</v>
      </c>
      <c r="AE45" s="4">
        <v>829.86391729445074</v>
      </c>
      <c r="AF45" s="4">
        <v>827.49948118242355</v>
      </c>
      <c r="AG45" s="4">
        <v>833.88454731073568</v>
      </c>
      <c r="AH45" s="4">
        <v>830.1089558894746</v>
      </c>
      <c r="AI45" s="4">
        <v>826.8406400368508</v>
      </c>
      <c r="AJ45" s="4">
        <v>825.04176877800819</v>
      </c>
      <c r="AK45" s="4">
        <v>823.42039946208024</v>
      </c>
      <c r="AL45" s="4">
        <v>1226.8922085636464</v>
      </c>
      <c r="AM45" s="4">
        <v>1222.7763703731853</v>
      </c>
      <c r="AN45" s="4">
        <v>1251.7466331676587</v>
      </c>
      <c r="AO45" s="4">
        <v>1328.7223319667366</v>
      </c>
      <c r="AP45" s="4">
        <v>1327.3097038454307</v>
      </c>
      <c r="AQ45" s="4">
        <v>1325.3934419523409</v>
      </c>
      <c r="AR45" s="4">
        <v>1321.8734095186919</v>
      </c>
      <c r="AS45" s="4">
        <v>1320.0416752599222</v>
      </c>
      <c r="AT45" s="4">
        <v>1319.0636705717052</v>
      </c>
      <c r="AU45" s="4">
        <v>1318.197253494694</v>
      </c>
      <c r="AV45" s="4">
        <v>1315.7667264524603</v>
      </c>
      <c r="AW45" s="4">
        <v>1489.6550512156975</v>
      </c>
      <c r="AX45" s="4">
        <v>1516.3954414396628</v>
      </c>
      <c r="AY45" s="4">
        <v>1511.8635255662964</v>
      </c>
      <c r="AZ45" s="4">
        <v>1507.132169504865</v>
      </c>
      <c r="BA45" s="4">
        <v>1554.9485880881962</v>
      </c>
      <c r="BB45" s="4">
        <v>1551.2015757083846</v>
      </c>
      <c r="BC45" s="4">
        <v>1547.028510714762</v>
      </c>
      <c r="BD45" s="4">
        <v>1543.7516174318662</v>
      </c>
      <c r="BE45" s="4">
        <v>1541.2157450869436</v>
      </c>
      <c r="BF45" s="4">
        <v>1538.727297154639</v>
      </c>
      <c r="BG45" s="4">
        <v>1536.5806674872065</v>
      </c>
      <c r="BH45" s="4">
        <v>1534.6084139583838</v>
      </c>
      <c r="BJ45" s="9"/>
    </row>
    <row r="46" spans="1:62" x14ac:dyDescent="0.25">
      <c r="A46" s="6" t="s">
        <v>42</v>
      </c>
      <c r="B46" s="6"/>
      <c r="C46" s="7" t="s">
        <v>526</v>
      </c>
      <c r="D46" s="3"/>
      <c r="E46" s="3">
        <f>VLOOKUP(A46,[2]Sheet1!$A$2:$E$627,5,0)</f>
        <v>156.61996192605639</v>
      </c>
      <c r="F46" s="3">
        <f>VLOOKUP(A46,[2]Sheet1!$A$2:$F$627,6,0)</f>
        <v>156.10471976499539</v>
      </c>
      <c r="G46" s="3">
        <f>VLOOKUP(A46,[2]Sheet1!$A$2:$G$627,7,0)</f>
        <v>204.68478497051109</v>
      </c>
      <c r="H46" s="4">
        <f t="shared" si="0"/>
        <v>0</v>
      </c>
      <c r="I46" s="11">
        <f t="shared" si="1"/>
        <v>-3.2897604796012724E-3</v>
      </c>
      <c r="J46" s="11">
        <f t="shared" si="2"/>
        <v>0.30688823093410739</v>
      </c>
      <c r="K46" s="11">
        <f t="shared" si="3"/>
        <v>0.31120177070013988</v>
      </c>
      <c r="L46" s="11">
        <f>IF(S46="",((BG46-E46)/E46),((U46-E46)/E46))</f>
        <v>0.30688823093410739</v>
      </c>
      <c r="M46" s="3" t="str">
        <f>IF(S46="Churn","Churn",VLOOKUP(A46,'[1]Revenue_Engine_2025 Dec.25'!$C$14:$E$3993,3,0))</f>
        <v>Churn</v>
      </c>
      <c r="N46" s="3" t="str">
        <f>IF(S46="",VLOOKUP(A46,[3]Export!$B$2:$F$417,5,0),"CHURN")</f>
        <v>CHURN</v>
      </c>
      <c r="O46" s="3" t="e">
        <f>(1-N46)*H46</f>
        <v>#VALUE!</v>
      </c>
      <c r="P46" s="3" t="e">
        <f t="shared" si="5"/>
        <v>#VALUE!</v>
      </c>
      <c r="Q46" s="3" t="e">
        <f t="shared" si="4"/>
        <v>#VALUE!</v>
      </c>
      <c r="R46" s="3" t="str">
        <f>IF(S46&lt;&gt;"Churn",VLOOKUP(A46,[3]Export!$B$2:$O$417,8,0),"CHURN")</f>
        <v>CHURN</v>
      </c>
      <c r="S46" s="3" t="s">
        <v>372</v>
      </c>
      <c r="T46" s="3" t="s">
        <v>554</v>
      </c>
      <c r="U46" s="3">
        <v>204.68478497051109</v>
      </c>
      <c r="V46" s="4" t="str" cm="1">
        <f t="array" ref="V46">IFERROR(
    IF(
        MATCH(2,1/((Y46:BH46&lt;&gt;0)*(Y46:BH46&lt;&gt;"")))-MATCH(1,INDEX((Y46:BH46&lt;&gt;0)*(Y46:BH46&lt;&gt;""),0),0)+1 &lt;= 12,
        "No",
        "Yes"
    ),
    "No"
)</f>
        <v>Yes</v>
      </c>
      <c r="W46" s="4" t="str" cm="1">
        <f t="array" ref="W46">IFERROR(
    IF(
        MATCH(2,1/((Y46:BH46&lt;&gt;0)*(Y46:BH46&lt;&gt;"")))-MATCH(1,INDEX((Y46:BH46&lt;&gt;0)*(Y46:BH46&lt;&gt;""),0),0)+1 &lt;= 24,
        "No",
        "Yes"
    ),
    "No"
)</f>
        <v>Yes</v>
      </c>
      <c r="X46" s="3"/>
      <c r="Y46" s="4">
        <v>95.958055900588008</v>
      </c>
      <c r="Z46" s="4">
        <v>95.624664651476607</v>
      </c>
      <c r="AA46" s="4">
        <v>156.61996192605639</v>
      </c>
      <c r="AB46" s="4">
        <v>162.83738818300952</v>
      </c>
      <c r="AC46" s="4">
        <v>159.92026103703401</v>
      </c>
      <c r="AD46" s="4">
        <v>135.91831052784522</v>
      </c>
      <c r="AE46" s="4">
        <v>159.72099480782123</v>
      </c>
      <c r="AF46" s="4">
        <v>156.86945750028798</v>
      </c>
      <c r="AG46" s="4">
        <v>172.76828425385963</v>
      </c>
      <c r="AH46" s="4">
        <v>167.72061369915059</v>
      </c>
      <c r="AI46" s="4">
        <v>163.35113092093528</v>
      </c>
      <c r="AJ46" s="4">
        <v>160.94618068351284</v>
      </c>
      <c r="AK46" s="4">
        <v>156.10471976499539</v>
      </c>
      <c r="AL46" s="4">
        <v>152.72472618760631</v>
      </c>
      <c r="AM46" s="4">
        <v>226.257919462877</v>
      </c>
      <c r="AN46" s="4">
        <v>224.09405368602918</v>
      </c>
      <c r="AO46" s="4">
        <v>224.40674768967926</v>
      </c>
      <c r="AP46" s="4">
        <v>222.58290854826691</v>
      </c>
      <c r="AQ46" s="4">
        <v>220.10882963598891</v>
      </c>
      <c r="AR46" s="4">
        <v>215.56412828486833</v>
      </c>
      <c r="AS46" s="4">
        <v>213.19918270051886</v>
      </c>
      <c r="AT46" s="4">
        <v>211.93648432721605</v>
      </c>
      <c r="AU46" s="4">
        <v>210.81785632172199</v>
      </c>
      <c r="AV46" s="4">
        <v>207.67981150509416</v>
      </c>
      <c r="AW46" s="4">
        <v>204.68478497051109</v>
      </c>
      <c r="AX46" s="4">
        <v>201.2352160486127</v>
      </c>
      <c r="AY46" s="4">
        <v>196.43919528920773</v>
      </c>
      <c r="AZ46" s="4">
        <v>0</v>
      </c>
      <c r="BA46" s="4">
        <v>0</v>
      </c>
      <c r="BB46" s="4">
        <v>0</v>
      </c>
      <c r="BC46" s="4">
        <v>0</v>
      </c>
      <c r="BD46" s="4">
        <v>0</v>
      </c>
      <c r="BE46" s="4">
        <v>0</v>
      </c>
      <c r="BF46" s="4">
        <v>0</v>
      </c>
      <c r="BG46" s="4">
        <v>0</v>
      </c>
      <c r="BH46" s="4">
        <v>0</v>
      </c>
      <c r="BJ46" s="9"/>
    </row>
    <row r="47" spans="1:62" x14ac:dyDescent="0.25">
      <c r="A47" s="6" t="s">
        <v>43</v>
      </c>
      <c r="B47" s="6"/>
      <c r="C47" s="7" t="s">
        <v>525</v>
      </c>
      <c r="D47" s="3"/>
      <c r="E47" s="3">
        <f>VLOOKUP(A47,[2]Sheet1!$A$2:$E$627,5,0)</f>
        <v>4110.6539505179044</v>
      </c>
      <c r="F47" s="3">
        <f>VLOOKUP(A47,[2]Sheet1!$A$2:$F$627,6,0)</f>
        <v>7289.6535521714904</v>
      </c>
      <c r="G47" s="3">
        <f>VLOOKUP(A47,[2]Sheet1!$A$2:$G$627,7,0)</f>
        <v>11701.195286533735</v>
      </c>
      <c r="H47" s="4">
        <f t="shared" si="0"/>
        <v>11447.824239420179</v>
      </c>
      <c r="I47" s="11">
        <f t="shared" si="1"/>
        <v>0.77335617152912162</v>
      </c>
      <c r="J47" s="11">
        <f t="shared" si="2"/>
        <v>1.8465532315264566</v>
      </c>
      <c r="K47" s="11">
        <f t="shared" si="3"/>
        <v>0.60517851812698364</v>
      </c>
      <c r="L47" s="11">
        <f>IF(S47="",((BG47-E47)/E47),((U47-E47)/E47))</f>
        <v>1.77314316526614</v>
      </c>
      <c r="M47" s="3" t="str">
        <f>IF(S47="Churn","Churn",VLOOKUP(A47,'[1]Revenue_Engine_2025 Dec.25'!$C$14:$E$3993,3,0))</f>
        <v>Finans</v>
      </c>
      <c r="N47" s="3">
        <f>IF(S47="",VLOOKUP(A47,[3]Export!$B$2:$F$417,5,0),"CHURN")</f>
        <v>0.22795535570172965</v>
      </c>
      <c r="O47" s="3">
        <f>(1-N47)*H47</f>
        <v>8838.2313929122702</v>
      </c>
      <c r="P47" s="3">
        <f t="shared" si="5"/>
        <v>5627.937983743861</v>
      </c>
      <c r="Q47" s="3">
        <f t="shared" si="4"/>
        <v>9033.8451528565347</v>
      </c>
      <c r="R47" s="3" t="str">
        <f>IF(S47&lt;&gt;"Churn",VLOOKUP(A47,[3]Export!$B$2:$O$417,8,0),"CHURN")</f>
        <v>LOW RISK</v>
      </c>
      <c r="S47" s="3"/>
      <c r="T47" s="3"/>
      <c r="U47" s="3" t="s">
        <v>551</v>
      </c>
      <c r="V47" s="4" t="str" cm="1">
        <f t="array" ref="V47">IFERROR(
    IF(
        MATCH(2,1/((Y47:BH47&lt;&gt;0)*(Y47:BH47&lt;&gt;"")))-MATCH(1,INDEX((Y47:BH47&lt;&gt;0)*(Y47:BH47&lt;&gt;""),0),0)+1 &lt;= 12,
        "No",
        "Yes"
    ),
    "No"
)</f>
        <v>Yes</v>
      </c>
      <c r="W47" s="4" t="str" cm="1">
        <f t="array" ref="W47">IFERROR(
    IF(
        MATCH(2,1/((Y47:BH47&lt;&gt;0)*(Y47:BH47&lt;&gt;"")))-MATCH(1,INDEX((Y47:BH47&lt;&gt;0)*(Y47:BH47&lt;&gt;""),0),0)+1 &lt;= 24,
        "No",
        "Yes"
    ),
    "No"
)</f>
        <v>Yes</v>
      </c>
      <c r="X47" s="3"/>
      <c r="Y47" s="4">
        <v>4110.6539505179044</v>
      </c>
      <c r="Z47" s="4">
        <v>4097.7618640331075</v>
      </c>
      <c r="AA47" s="4">
        <v>4045.38656654239</v>
      </c>
      <c r="AB47" s="4">
        <v>5439.8060716561085</v>
      </c>
      <c r="AC47" s="4">
        <v>6657.6958640595149</v>
      </c>
      <c r="AD47" s="4">
        <v>5885.6050541861823</v>
      </c>
      <c r="AE47" s="4">
        <v>6529.1477950850403</v>
      </c>
      <c r="AF47" s="4">
        <v>6604.3411083327446</v>
      </c>
      <c r="AG47" s="4">
        <v>6662.5765662804897</v>
      </c>
      <c r="AH47" s="4">
        <v>7427.0276692029038</v>
      </c>
      <c r="AI47" s="4">
        <v>7341.0110618383715</v>
      </c>
      <c r="AJ47" s="4">
        <v>7375.5786220545324</v>
      </c>
      <c r="AK47" s="4">
        <v>7289.6535521714904</v>
      </c>
      <c r="AL47" s="4">
        <v>7874.5425866641453</v>
      </c>
      <c r="AM47" s="4">
        <v>7732.9125447036486</v>
      </c>
      <c r="AN47" s="4">
        <v>8929.3796020014888</v>
      </c>
      <c r="AO47" s="4">
        <v>9408.9892305091762</v>
      </c>
      <c r="AP47" s="4">
        <v>9398.021706876847</v>
      </c>
      <c r="AQ47" s="4">
        <v>9383.1440138157996</v>
      </c>
      <c r="AR47" s="4">
        <v>9380.6481170988882</v>
      </c>
      <c r="AS47" s="4">
        <v>9421.4266893443328</v>
      </c>
      <c r="AT47" s="4">
        <v>9413.8335447871996</v>
      </c>
      <c r="AU47" s="4">
        <v>9407.1067568773069</v>
      </c>
      <c r="AV47" s="4">
        <v>11229.106957591939</v>
      </c>
      <c r="AW47" s="4">
        <v>11701.195286533735</v>
      </c>
      <c r="AX47" s="4">
        <v>11669.042503368544</v>
      </c>
      <c r="AY47" s="4">
        <v>11624.339695851355</v>
      </c>
      <c r="AZ47" s="4">
        <v>11577.669610788118</v>
      </c>
      <c r="BA47" s="4">
        <v>11536.746572513332</v>
      </c>
      <c r="BB47" s="4">
        <v>11508.360709835461</v>
      </c>
      <c r="BC47" s="4">
        <v>11476.747243466087</v>
      </c>
      <c r="BD47" s="4">
        <v>11427.089481145147</v>
      </c>
      <c r="BE47" s="4">
        <v>11407.878729523558</v>
      </c>
      <c r="BF47" s="4">
        <v>11399.02724622769</v>
      </c>
      <c r="BG47" s="4">
        <v>11399.431907652985</v>
      </c>
      <c r="BH47" s="4">
        <v>11447.824239420179</v>
      </c>
      <c r="BJ47" s="9"/>
    </row>
    <row r="48" spans="1:62" x14ac:dyDescent="0.25">
      <c r="A48" s="6" t="s">
        <v>44</v>
      </c>
      <c r="B48" s="6"/>
      <c r="C48" s="7" t="s">
        <v>526</v>
      </c>
      <c r="D48" s="3"/>
      <c r="E48" s="3">
        <f>VLOOKUP(A48,[2]Sheet1!$A$2:$E$627,5,0)</f>
        <v>209.68677783857584</v>
      </c>
      <c r="F48" s="3">
        <f>VLOOKUP(A48,[2]Sheet1!$A$2:$F$627,6,0)</f>
        <v>222.42032406496639</v>
      </c>
      <c r="G48" s="3">
        <f>VLOOKUP(A48,[2]Sheet1!$A$2:$G$627,7,0)</f>
        <v>374.25572546773151</v>
      </c>
      <c r="H48" s="4">
        <f t="shared" si="0"/>
        <v>352.01324439645975</v>
      </c>
      <c r="I48" s="11">
        <f t="shared" si="1"/>
        <v>6.0726510072052729E-2</v>
      </c>
      <c r="J48" s="11">
        <f t="shared" si="2"/>
        <v>0.7848322594562761</v>
      </c>
      <c r="K48" s="11">
        <f t="shared" si="3"/>
        <v>0.68265075163911615</v>
      </c>
      <c r="L48" s="11">
        <f>IF(S48="",((BG48-E48)/E48),((U48-E48)/E48))</f>
        <v>0.67248291216585143</v>
      </c>
      <c r="M48" s="3" t="str">
        <f>IF(S48="Churn","Churn",VLOOKUP(A48,'[1]Revenue_Engine_2025 Dec.25'!$C$14:$E$3993,3,0))</f>
        <v>Diğer</v>
      </c>
      <c r="N48" s="3">
        <f>IF(S48="",VLOOKUP(A48,[3]Export!$B$2:$F$417,5,0),"CHURN")</f>
        <v>0.14251940459505205</v>
      </c>
      <c r="O48" s="3">
        <f>(1-N48)*H48</f>
        <v>301.84452639550375</v>
      </c>
      <c r="P48" s="3">
        <f t="shared" si="5"/>
        <v>190.72111190938884</v>
      </c>
      <c r="Q48" s="3">
        <f t="shared" si="4"/>
        <v>320.91702230778117</v>
      </c>
      <c r="R48" s="3" t="str">
        <f>IF(S48&lt;&gt;"Churn",VLOOKUP(A48,[3]Export!$B$2:$O$417,8,0),"CHURN")</f>
        <v>NO RISK</v>
      </c>
      <c r="S48" s="3"/>
      <c r="T48" s="3"/>
      <c r="U48" s="3" t="s">
        <v>551</v>
      </c>
      <c r="V48" s="4" t="str" cm="1">
        <f t="array" ref="V48">IFERROR(
    IF(
        MATCH(2,1/((Y48:BH48&lt;&gt;0)*(Y48:BH48&lt;&gt;"")))-MATCH(1,INDEX((Y48:BH48&lt;&gt;0)*(Y48:BH48&lt;&gt;""),0),0)+1 &lt;= 12,
        "No",
        "Yes"
    ),
    "No"
)</f>
        <v>Yes</v>
      </c>
      <c r="W48" s="4" t="str" cm="1">
        <f t="array" ref="W48">IFERROR(
    IF(
        MATCH(2,1/((Y48:BH48&lt;&gt;0)*(Y48:BH48&lt;&gt;"")))-MATCH(1,INDEX((Y48:BH48&lt;&gt;0)*(Y48:BH48&lt;&gt;""),0),0)+1 &lt;= 24,
        "No",
        "Yes"
    ),
    "No"
)</f>
        <v>Yes</v>
      </c>
      <c r="X48" s="3"/>
      <c r="Y48" s="4">
        <v>193.97168186882607</v>
      </c>
      <c r="Z48" s="4">
        <v>209.68677783857584</v>
      </c>
      <c r="AA48" s="4">
        <v>209.10099087174564</v>
      </c>
      <c r="AB48" s="4">
        <v>207.69565059747956</v>
      </c>
      <c r="AC48" s="4">
        <v>206.22260432334647</v>
      </c>
      <c r="AD48" s="4">
        <v>194.10036729513519</v>
      </c>
      <c r="AE48" s="4">
        <v>216.52165214295724</v>
      </c>
      <c r="AF48" s="4">
        <v>215.08148296630418</v>
      </c>
      <c r="AG48" s="4">
        <v>215.01217763638996</v>
      </c>
      <c r="AH48" s="4">
        <v>212.71247904826697</v>
      </c>
      <c r="AI48" s="4">
        <v>225.72176010831652</v>
      </c>
      <c r="AJ48" s="4">
        <v>224.62607436465271</v>
      </c>
      <c r="AK48" s="4">
        <v>222.42032406496639</v>
      </c>
      <c r="AL48" s="4">
        <v>256.58688134036134</v>
      </c>
      <c r="AM48" s="4">
        <v>252.71290445576506</v>
      </c>
      <c r="AN48" s="4">
        <v>251.74367827465238</v>
      </c>
      <c r="AO48" s="4">
        <v>251.88373835520696</v>
      </c>
      <c r="AP48" s="4">
        <v>251.06681492820491</v>
      </c>
      <c r="AQ48" s="4">
        <v>280.36863988261041</v>
      </c>
      <c r="AR48" s="4">
        <v>278.33300366987783</v>
      </c>
      <c r="AS48" s="4">
        <v>277.27371099018239</v>
      </c>
      <c r="AT48" s="4">
        <v>276.70813047435377</v>
      </c>
      <c r="AU48" s="4">
        <v>276.20708112025284</v>
      </c>
      <c r="AV48" s="4">
        <v>274.80150632614004</v>
      </c>
      <c r="AW48" s="4">
        <v>374.25572546773151</v>
      </c>
      <c r="AX48" s="4">
        <v>371.6543768252622</v>
      </c>
      <c r="AY48" s="4">
        <v>368.03765764260368</v>
      </c>
      <c r="AZ48" s="4">
        <v>364.26177417399566</v>
      </c>
      <c r="BA48" s="4">
        <v>361.95544160230111</v>
      </c>
      <c r="BB48" s="4">
        <v>359.65885890950517</v>
      </c>
      <c r="BC48" s="4">
        <v>357.10114415737291</v>
      </c>
      <c r="BD48" s="4">
        <v>355.09270232777419</v>
      </c>
      <c r="BE48" s="4">
        <v>353.53843990529924</v>
      </c>
      <c r="BF48" s="4">
        <v>352.01324439645975</v>
      </c>
      <c r="BG48" s="4">
        <v>350.69755284213522</v>
      </c>
      <c r="BH48" s="4">
        <v>349.48873822905733</v>
      </c>
      <c r="BJ48" s="9"/>
    </row>
    <row r="49" spans="1:62" x14ac:dyDescent="0.25">
      <c r="A49" s="6" t="s">
        <v>45</v>
      </c>
      <c r="B49" s="6"/>
      <c r="C49" s="7" t="s">
        <v>526</v>
      </c>
      <c r="D49" s="3"/>
      <c r="E49" s="3">
        <f>VLOOKUP(A49,[2]Sheet1!$A$2:$E$627,5,0)</f>
        <v>568.14002334966392</v>
      </c>
      <c r="F49" s="3">
        <f>VLOOKUP(A49,[2]Sheet1!$A$2:$F$627,6,0)</f>
        <v>672.53024711940407</v>
      </c>
      <c r="G49" s="3">
        <f>VLOOKUP(A49,[2]Sheet1!$A$2:$G$627,7,0)</f>
        <v>1050.1545597134634</v>
      </c>
      <c r="H49" s="4">
        <f t="shared" si="0"/>
        <v>2176.7180873139514</v>
      </c>
      <c r="I49" s="11">
        <f t="shared" si="1"/>
        <v>0.18374030957064397</v>
      </c>
      <c r="J49" s="11">
        <f t="shared" si="2"/>
        <v>0.84840799196282257</v>
      </c>
      <c r="K49" s="11">
        <f t="shared" si="3"/>
        <v>0.5614978868407895</v>
      </c>
      <c r="L49" s="11">
        <f>IF(S49="",((BG49-E49)/E49),((U49-E49)/E49))</f>
        <v>2.831305660320083</v>
      </c>
      <c r="M49" s="3" t="str">
        <f>IF(S49="Churn","Churn",VLOOKUP(A49,'[1]Revenue_Engine_2025 Dec.25'!$C$14:$E$3993,3,0))</f>
        <v>Üretim</v>
      </c>
      <c r="N49" s="3">
        <f>IF(S49="",VLOOKUP(A49,[3]Export!$B$2:$F$417,5,0),"CHURN")</f>
        <v>0.25389060042073752</v>
      </c>
      <c r="O49" s="3">
        <f>(1-N49)*H49</f>
        <v>1624.069825179133</v>
      </c>
      <c r="P49" s="3">
        <f t="shared" si="5"/>
        <v>501.78113887715159</v>
      </c>
      <c r="Q49" s="3">
        <f t="shared" si="4"/>
        <v>783.53018801323697</v>
      </c>
      <c r="R49" s="3" t="str">
        <f>IF(S49&lt;&gt;"Churn",VLOOKUP(A49,[3]Export!$B$2:$O$417,8,0),"CHURN")</f>
        <v>NO RISK</v>
      </c>
      <c r="S49" s="3"/>
      <c r="T49" s="3"/>
      <c r="U49" s="3" t="s">
        <v>551</v>
      </c>
      <c r="V49" s="4" t="str" cm="1">
        <f t="array" ref="V49">IFERROR(
    IF(
        MATCH(2,1/((Y49:BH49&lt;&gt;0)*(Y49:BH49&lt;&gt;"")))-MATCH(1,INDEX((Y49:BH49&lt;&gt;0)*(Y49:BH49&lt;&gt;""),0),0)+1 &lt;= 12,
        "No",
        "Yes"
    ),
    "No"
)</f>
        <v>Yes</v>
      </c>
      <c r="W49" s="4" t="str" cm="1">
        <f t="array" ref="W49">IFERROR(
    IF(
        MATCH(2,1/((Y49:BH49&lt;&gt;0)*(Y49:BH49&lt;&gt;"")))-MATCH(1,INDEX((Y49:BH49&lt;&gt;0)*(Y49:BH49&lt;&gt;""),0),0)+1 &lt;= 24,
        "No",
        "Yes"
    ),
    "No"
)</f>
        <v>Yes</v>
      </c>
      <c r="X49" s="3"/>
      <c r="Y49" s="4">
        <v>568.14002334966392</v>
      </c>
      <c r="Z49" s="4">
        <v>566.40931379059384</v>
      </c>
      <c r="AA49" s="4">
        <v>567.68198940749846</v>
      </c>
      <c r="AB49" s="4">
        <v>558.83996940517932</v>
      </c>
      <c r="AC49" s="4">
        <v>549.57200157187958</v>
      </c>
      <c r="AD49" s="4">
        <v>473.30216630770451</v>
      </c>
      <c r="AE49" s="4">
        <v>546.25427411118812</v>
      </c>
      <c r="AF49" s="4">
        <v>537.24387159737876</v>
      </c>
      <c r="AG49" s="4">
        <v>629.4552097988194</v>
      </c>
      <c r="AH49" s="4">
        <v>612.21176147576955</v>
      </c>
      <c r="AI49" s="4">
        <v>597.28499866470281</v>
      </c>
      <c r="AJ49" s="4">
        <v>589.06935310926133</v>
      </c>
      <c r="AK49" s="4">
        <v>672.53024711940407</v>
      </c>
      <c r="AL49" s="4">
        <v>660.98371747425858</v>
      </c>
      <c r="AM49" s="4">
        <v>647.91008901922214</v>
      </c>
      <c r="AN49" s="4">
        <v>643.16999213692611</v>
      </c>
      <c r="AO49" s="4">
        <v>643.8549698687583</v>
      </c>
      <c r="AP49" s="4">
        <v>639.85972472901028</v>
      </c>
      <c r="AQ49" s="4">
        <v>634.4400846274292</v>
      </c>
      <c r="AR49" s="4">
        <v>625.29632575328822</v>
      </c>
      <c r="AS49" s="4">
        <v>620.10645633707702</v>
      </c>
      <c r="AT49" s="4">
        <v>616.53799988001424</v>
      </c>
      <c r="AU49" s="4">
        <v>1168.8873724804835</v>
      </c>
      <c r="AV49" s="4">
        <v>959.30132543711863</v>
      </c>
      <c r="AW49" s="4">
        <v>1050.1545597134634</v>
      </c>
      <c r="AX49" s="4">
        <v>1041.6102783817084</v>
      </c>
      <c r="AY49" s="4">
        <v>1100.2236261391902</v>
      </c>
      <c r="AZ49" s="4">
        <v>1082.9611385044288</v>
      </c>
      <c r="BA49" s="4">
        <v>1070.4254394724835</v>
      </c>
      <c r="BB49" s="4">
        <v>1061.0926480212831</v>
      </c>
      <c r="BC49" s="4">
        <v>1049.3993530218463</v>
      </c>
      <c r="BD49" s="4">
        <v>1040.2172099454431</v>
      </c>
      <c r="BE49" s="4">
        <v>1033.1114726862797</v>
      </c>
      <c r="BF49" s="4">
        <v>1026.1386228007293</v>
      </c>
      <c r="BG49" s="4">
        <v>2176.7180873139514</v>
      </c>
      <c r="BH49" s="4">
        <v>2165.7224101873035</v>
      </c>
      <c r="BJ49" s="9"/>
    </row>
    <row r="50" spans="1:62" x14ac:dyDescent="0.25">
      <c r="A50" s="6" t="s">
        <v>46</v>
      </c>
      <c r="B50" s="6"/>
      <c r="C50" s="7" t="s">
        <v>526</v>
      </c>
      <c r="D50" s="3"/>
      <c r="E50" s="3">
        <f>VLOOKUP(A50,[2]Sheet1!$A$2:$E$627,5,0)</f>
        <v>3107.1450671228295</v>
      </c>
      <c r="F50" s="3">
        <f>VLOOKUP(A50,[2]Sheet1!$A$2:$F$627,6,0)</f>
        <v>3198.667978867059</v>
      </c>
      <c r="G50" s="3">
        <f>VLOOKUP(A50,[2]Sheet1!$A$2:$G$627,7,0)</f>
        <v>229.66166633333336</v>
      </c>
      <c r="H50" s="4">
        <f t="shared" si="0"/>
        <v>0</v>
      </c>
      <c r="I50" s="11">
        <f t="shared" si="1"/>
        <v>2.9455628806214187E-2</v>
      </c>
      <c r="J50" s="11">
        <f t="shared" si="2"/>
        <v>-0.92608595306237285</v>
      </c>
      <c r="K50" s="11">
        <f t="shared" si="3"/>
        <v>-0.92820084239731637</v>
      </c>
      <c r="L50" s="11">
        <f>IF(S50="",((BG50-E50)/E50),((U50-E50)/E50))</f>
        <v>-0.96016756261466163</v>
      </c>
      <c r="M50" s="3" t="str">
        <f>IF(S50="Churn","Churn",VLOOKUP(A50,'[1]Revenue_Engine_2025 Dec.25'!$C$14:$E$3993,3,0))</f>
        <v>Churn</v>
      </c>
      <c r="N50" s="3" t="str">
        <f>IF(S50="",VLOOKUP(A50,[3]Export!$B$2:$F$417,5,0),"CHURN")</f>
        <v>CHURN</v>
      </c>
      <c r="O50" s="3" t="e">
        <f>(1-N50)*H50</f>
        <v>#VALUE!</v>
      </c>
      <c r="P50" s="3" t="e">
        <f t="shared" si="5"/>
        <v>#VALUE!</v>
      </c>
      <c r="Q50" s="3" t="e">
        <f t="shared" si="4"/>
        <v>#VALUE!</v>
      </c>
      <c r="R50" s="3" t="str">
        <f>IF(S50&lt;&gt;"Churn",VLOOKUP(A50,[3]Export!$B$2:$O$417,8,0),"CHURN")</f>
        <v>CHURN</v>
      </c>
      <c r="S50" s="3" t="s">
        <v>372</v>
      </c>
      <c r="T50" s="3" t="s">
        <v>555</v>
      </c>
      <c r="U50" s="3">
        <v>123.76516133333334</v>
      </c>
      <c r="V50" s="4" t="str" cm="1">
        <f t="array" ref="V50">IFERROR(
    IF(
        MATCH(2,1/((Y50:BH50&lt;&gt;0)*(Y50:BH50&lt;&gt;"")))-MATCH(1,INDEX((Y50:BH50&lt;&gt;0)*(Y50:BH50&lt;&gt;""),0),0)+1 &lt;= 12,
        "No",
        "Yes"
    ),
    "No"
)</f>
        <v>Yes</v>
      </c>
      <c r="W50" s="4" t="str" cm="1">
        <f t="array" ref="W50">IFERROR(
    IF(
        MATCH(2,1/((Y50:BH50&lt;&gt;0)*(Y50:BH50&lt;&gt;"")))-MATCH(1,INDEX((Y50:BH50&lt;&gt;0)*(Y50:BH50&lt;&gt;""),0),0)+1 &lt;= 24,
        "No",
        "Yes"
    ),
    "No"
)</f>
        <v>Yes</v>
      </c>
      <c r="X50" s="3"/>
      <c r="Y50" s="4">
        <v>3101.2450328654518</v>
      </c>
      <c r="Z50" s="4">
        <v>3107.1450671228295</v>
      </c>
      <c r="AA50" s="4">
        <v>3100.6088561469378</v>
      </c>
      <c r="AB50" s="4">
        <v>3084.9280693666769</v>
      </c>
      <c r="AC50" s="4">
        <v>3068.4854687834468</v>
      </c>
      <c r="AD50" s="4">
        <v>3047.155566331031</v>
      </c>
      <c r="AE50" s="4">
        <v>3090.2726488920662</v>
      </c>
      <c r="AF50" s="4">
        <v>3080.462356247448</v>
      </c>
      <c r="AG50" s="4">
        <v>3079.7719097554755</v>
      </c>
      <c r="AH50" s="4">
        <v>3056.8614232931991</v>
      </c>
      <c r="AI50" s="4">
        <v>3037.0291115461373</v>
      </c>
      <c r="AJ50" s="4">
        <v>3026.1134665451946</v>
      </c>
      <c r="AK50" s="4">
        <v>3198.667978867059</v>
      </c>
      <c r="AL50" s="4">
        <v>3178.8571318734494</v>
      </c>
      <c r="AM50" s="4">
        <v>3148.5971830896415</v>
      </c>
      <c r="AN50" s="4">
        <v>3140.5281855171283</v>
      </c>
      <c r="AO50" s="4">
        <v>3143.6858797550926</v>
      </c>
      <c r="AP50" s="4">
        <v>243.937524578835</v>
      </c>
      <c r="AQ50" s="4">
        <v>243.77215741495499</v>
      </c>
      <c r="AR50" s="4">
        <v>243.46839007374905</v>
      </c>
      <c r="AS50" s="4">
        <v>243.31031736957073</v>
      </c>
      <c r="AT50" s="4">
        <v>243.2259187484141</v>
      </c>
      <c r="AU50" s="4">
        <v>243.15114977488327</v>
      </c>
      <c r="AV50" s="4">
        <v>242.94140320258165</v>
      </c>
      <c r="AW50" s="4">
        <v>229.66166633333336</v>
      </c>
      <c r="AX50" s="4">
        <v>194.66166633333333</v>
      </c>
      <c r="AY50" s="4">
        <v>123.76516133333334</v>
      </c>
      <c r="AZ50" s="4">
        <v>123.76516133333334</v>
      </c>
      <c r="BA50" s="4">
        <v>119.781828</v>
      </c>
      <c r="BB50" s="4">
        <v>0</v>
      </c>
      <c r="BC50" s="4">
        <v>0</v>
      </c>
      <c r="BD50" s="4">
        <v>0</v>
      </c>
      <c r="BE50" s="4">
        <v>0</v>
      </c>
      <c r="BF50" s="4">
        <v>0</v>
      </c>
      <c r="BG50" s="4">
        <v>0</v>
      </c>
      <c r="BH50" s="4">
        <v>0</v>
      </c>
      <c r="BJ50" s="9"/>
    </row>
    <row r="51" spans="1:62" x14ac:dyDescent="0.25">
      <c r="A51" s="6" t="s">
        <v>47</v>
      </c>
      <c r="B51" s="6"/>
      <c r="C51" s="7" t="s">
        <v>526</v>
      </c>
      <c r="D51" s="3"/>
      <c r="E51" s="3">
        <f>VLOOKUP(A51,[2]Sheet1!$A$2:$E$627,5,0)</f>
        <v>334.5</v>
      </c>
      <c r="F51" s="3">
        <f>VLOOKUP(A51,[2]Sheet1!$A$2:$F$627,6,0)</f>
        <v>364.09866799999998</v>
      </c>
      <c r="G51" s="3">
        <f>VLOOKUP(A51,[2]Sheet1!$A$2:$G$627,7,0)</f>
        <v>468.61120499999998</v>
      </c>
      <c r="H51" s="4">
        <f t="shared" si="0"/>
        <v>468.61120499999998</v>
      </c>
      <c r="I51" s="11">
        <f t="shared" si="1"/>
        <v>8.8486301943198731E-2</v>
      </c>
      <c r="J51" s="11">
        <f t="shared" si="2"/>
        <v>0.40093035874439459</v>
      </c>
      <c r="K51" s="11">
        <f t="shared" si="3"/>
        <v>0.28704454639751664</v>
      </c>
      <c r="L51" s="11">
        <f>IF(S51="",((BG51-E51)/E51),((U51-E51)/E51))</f>
        <v>0.40093035874439459</v>
      </c>
      <c r="M51" s="3" t="str">
        <f>IF(S51="Churn","Churn",VLOOKUP(A51,'[1]Revenue_Engine_2025 Dec.25'!$C$14:$E$3993,3,0))</f>
        <v>Lojistik</v>
      </c>
      <c r="N51" s="3">
        <f>IF(S51="",VLOOKUP(A51,[3]Export!$B$2:$F$417,5,0),"CHURN")</f>
        <v>0.30444390248841785</v>
      </c>
      <c r="O51" s="3">
        <f>(1-N51)*H51</f>
        <v>325.94538100000005</v>
      </c>
      <c r="P51" s="3">
        <f t="shared" si="5"/>
        <v>253.25104862324517</v>
      </c>
      <c r="Q51" s="3">
        <f t="shared" si="4"/>
        <v>325.94538100000005</v>
      </c>
      <c r="R51" s="3" t="str">
        <f>IF(S51&lt;&gt;"Churn",VLOOKUP(A51,[3]Export!$B$2:$O$417,8,0),"CHURN")</f>
        <v>NO RISK</v>
      </c>
      <c r="S51" s="3"/>
      <c r="T51" s="3"/>
      <c r="U51" s="3" t="s">
        <v>551</v>
      </c>
      <c r="V51" s="4" t="str" cm="1">
        <f t="array" ref="V51">IFERROR(
    IF(
        MATCH(2,1/((Y51:BH51&lt;&gt;0)*(Y51:BH51&lt;&gt;"")))-MATCH(1,INDEX((Y51:BH51&lt;&gt;0)*(Y51:BH51&lt;&gt;""),0),0)+1 &lt;= 12,
        "No",
        "Yes"
    ),
    "No"
)</f>
        <v>Yes</v>
      </c>
      <c r="W51" s="4" t="str" cm="1">
        <f t="array" ref="W51">IFERROR(
    IF(
        MATCH(2,1/((Y51:BH51&lt;&gt;0)*(Y51:BH51&lt;&gt;"")))-MATCH(1,INDEX((Y51:BH51&lt;&gt;0)*(Y51:BH51&lt;&gt;""),0),0)+1 &lt;= 24,
        "No",
        "Yes"
    ),
    "No"
)</f>
        <v>Yes</v>
      </c>
      <c r="X51" s="3"/>
      <c r="Y51" s="4">
        <v>334.5</v>
      </c>
      <c r="Z51" s="4">
        <v>334.5</v>
      </c>
      <c r="AA51" s="4">
        <v>334.5</v>
      </c>
      <c r="AB51" s="4">
        <v>343.49286799999999</v>
      </c>
      <c r="AC51" s="4">
        <v>343.49286799999999</v>
      </c>
      <c r="AD51" s="4">
        <v>343.49286799999999</v>
      </c>
      <c r="AE51" s="4">
        <v>364.09866799999998</v>
      </c>
      <c r="AF51" s="4">
        <v>364.09866799999998</v>
      </c>
      <c r="AG51" s="4">
        <v>364.09866799999998</v>
      </c>
      <c r="AH51" s="4">
        <v>364.09866799999998</v>
      </c>
      <c r="AI51" s="4">
        <v>364.09866799999998</v>
      </c>
      <c r="AJ51" s="4">
        <v>364.09866799999998</v>
      </c>
      <c r="AK51" s="4">
        <v>364.09866799999998</v>
      </c>
      <c r="AL51" s="4">
        <v>364.09866799999998</v>
      </c>
      <c r="AM51" s="4">
        <v>384.09866800000009</v>
      </c>
      <c r="AN51" s="4">
        <v>384.09866800000009</v>
      </c>
      <c r="AO51" s="4">
        <v>384.09866800000009</v>
      </c>
      <c r="AP51" s="4">
        <v>384.09866800000009</v>
      </c>
      <c r="AQ51" s="4">
        <v>384.09866800000009</v>
      </c>
      <c r="AR51" s="4">
        <v>384.09866800000009</v>
      </c>
      <c r="AS51" s="4">
        <v>384.09866800000009</v>
      </c>
      <c r="AT51" s="4">
        <v>384.09866800000009</v>
      </c>
      <c r="AU51" s="4">
        <v>384.09866800000009</v>
      </c>
      <c r="AV51" s="4">
        <v>384.09866800000009</v>
      </c>
      <c r="AW51" s="4">
        <v>468.61120499999998</v>
      </c>
      <c r="AX51" s="4">
        <v>468.61120499999998</v>
      </c>
      <c r="AY51" s="4">
        <v>468.61120499999998</v>
      </c>
      <c r="AZ51" s="4">
        <v>468.61120499999981</v>
      </c>
      <c r="BA51" s="4">
        <v>468.61120499999998</v>
      </c>
      <c r="BB51" s="4">
        <v>468.61120499999998</v>
      </c>
      <c r="BC51" s="4">
        <v>468.61120499999998</v>
      </c>
      <c r="BD51" s="4">
        <v>468.61120499999998</v>
      </c>
      <c r="BE51" s="4">
        <v>468.61120499999998</v>
      </c>
      <c r="BF51" s="4">
        <v>468.61120499999998</v>
      </c>
      <c r="BG51" s="4">
        <v>468.61120499999998</v>
      </c>
      <c r="BH51" s="4">
        <v>468.61120499999998</v>
      </c>
      <c r="BJ51" s="9"/>
    </row>
    <row r="52" spans="1:62" x14ac:dyDescent="0.25">
      <c r="A52" s="6" t="s">
        <v>48</v>
      </c>
      <c r="B52" s="6"/>
      <c r="C52" s="7" t="s">
        <v>526</v>
      </c>
      <c r="D52" s="3"/>
      <c r="E52" s="3">
        <f>VLOOKUP(A52,[2]Sheet1!$A$2:$E$627,5,0)</f>
        <v>451.76878084542358</v>
      </c>
      <c r="F52" s="3">
        <f>VLOOKUP(A52,[2]Sheet1!$A$2:$F$627,6,0)</f>
        <v>2267.2344597185979</v>
      </c>
      <c r="G52" s="3">
        <f>VLOOKUP(A52,[2]Sheet1!$A$2:$G$627,7,0)</f>
        <v>3638.3214349137352</v>
      </c>
      <c r="H52" s="4">
        <f t="shared" si="0"/>
        <v>4442.5802783657673</v>
      </c>
      <c r="I52" s="11">
        <f t="shared" si="1"/>
        <v>4.0185726766594589</v>
      </c>
      <c r="J52" s="11">
        <f t="shared" si="2"/>
        <v>7.0535034494971383</v>
      </c>
      <c r="K52" s="11">
        <f t="shared" si="3"/>
        <v>0.60473982711312191</v>
      </c>
      <c r="L52" s="11">
        <f>IF(S52="",((BG52-E52)/E52),((U52-E52)/E52))</f>
        <v>8.8337478522798438</v>
      </c>
      <c r="M52" s="3" t="str">
        <f>IF(S52="Churn","Churn",VLOOKUP(A52,'[1]Revenue_Engine_2025 Dec.25'!$C$14:$E$3993,3,0))</f>
        <v>Finans</v>
      </c>
      <c r="N52" s="3">
        <f>IF(S52="",VLOOKUP(A52,[3]Export!$B$2:$F$417,5,0),"CHURN")</f>
        <v>0.17652104698681295</v>
      </c>
      <c r="O52" s="3">
        <f>(1-N52)*H52</f>
        <v>3658.3713563056754</v>
      </c>
      <c r="P52" s="3">
        <f t="shared" si="5"/>
        <v>1867.0198591244898</v>
      </c>
      <c r="Q52" s="3">
        <f t="shared" si="4"/>
        <v>2996.0811259481993</v>
      </c>
      <c r="R52" s="3" t="str">
        <f>IF(S52&lt;&gt;"Churn",VLOOKUP(A52,[3]Export!$B$2:$O$417,8,0),"CHURN")</f>
        <v>NO RISK</v>
      </c>
      <c r="S52" s="3"/>
      <c r="T52" s="3"/>
      <c r="U52" s="3" t="s">
        <v>551</v>
      </c>
      <c r="V52" s="4" t="str" cm="1">
        <f t="array" ref="V52">IFERROR(
    IF(
        MATCH(2,1/((Y52:BH52&lt;&gt;0)*(Y52:BH52&lt;&gt;"")))-MATCH(1,INDEX((Y52:BH52&lt;&gt;0)*(Y52:BH52&lt;&gt;""),0),0)+1 &lt;= 12,
        "No",
        "Yes"
    ),
    "No"
)</f>
        <v>Yes</v>
      </c>
      <c r="W52" s="4" t="str" cm="1">
        <f t="array" ref="W52">IFERROR(
    IF(
        MATCH(2,1/((Y52:BH52&lt;&gt;0)*(Y52:BH52&lt;&gt;"")))-MATCH(1,INDEX((Y52:BH52&lt;&gt;0)*(Y52:BH52&lt;&gt;""),0),0)+1 &lt;= 24,
        "No",
        "Yes"
    ),
    "No"
)</f>
        <v>Yes</v>
      </c>
      <c r="X52" s="3"/>
      <c r="Y52" s="4">
        <v>420.26729501074198</v>
      </c>
      <c r="Z52" s="4">
        <v>451.76878084542358</v>
      </c>
      <c r="AA52" s="4">
        <v>448.44777488912672</v>
      </c>
      <c r="AB52" s="4">
        <v>606.70876044359034</v>
      </c>
      <c r="AC52" s="4">
        <v>595.20610593926574</v>
      </c>
      <c r="AD52" s="4">
        <v>500.54613517486581</v>
      </c>
      <c r="AE52" s="4">
        <v>594.41774505682611</v>
      </c>
      <c r="AF52" s="4">
        <v>583.17177114024889</v>
      </c>
      <c r="AG52" s="4">
        <v>201.67153563752586</v>
      </c>
      <c r="AH52" s="4">
        <v>380.05031653800921</v>
      </c>
      <c r="AI52" s="4">
        <v>2069.5877605141536</v>
      </c>
      <c r="AJ52" s="4">
        <v>363.82920100705002</v>
      </c>
      <c r="AK52" s="4">
        <v>2267.2344597185979</v>
      </c>
      <c r="AL52" s="4">
        <v>2559.1411136930633</v>
      </c>
      <c r="AM52" s="4">
        <v>2854.9754607668856</v>
      </c>
      <c r="AN52" s="4">
        <v>2851.6790573402773</v>
      </c>
      <c r="AO52" s="4">
        <v>2852.1554110938882</v>
      </c>
      <c r="AP52" s="4">
        <v>2849.3769995770281</v>
      </c>
      <c r="AQ52" s="4">
        <v>2845.6080217174067</v>
      </c>
      <c r="AR52" s="4">
        <v>2838.6846860525816</v>
      </c>
      <c r="AS52" s="4">
        <v>2835.0819604069329</v>
      </c>
      <c r="AT52" s="4">
        <v>2833.1583830348691</v>
      </c>
      <c r="AU52" s="4">
        <v>2996.1222830507713</v>
      </c>
      <c r="AV52" s="4">
        <v>2989.0145882805505</v>
      </c>
      <c r="AW52" s="4">
        <v>3638.3214349137352</v>
      </c>
      <c r="AX52" s="4">
        <v>3628.7893029056336</v>
      </c>
      <c r="AY52" s="4">
        <v>3619.5365446545866</v>
      </c>
      <c r="AZ52" s="4">
        <v>3605.700560087821</v>
      </c>
      <c r="BA52" s="4">
        <v>4367.2494566220794</v>
      </c>
      <c r="BB52" s="4">
        <v>4358.8340796757311</v>
      </c>
      <c r="BC52" s="4">
        <v>4349.4618355027042</v>
      </c>
      <c r="BD52" s="4">
        <v>4342.1022942486888</v>
      </c>
      <c r="BE52" s="4">
        <v>4341.6028037259412</v>
      </c>
      <c r="BF52" s="4">
        <v>4335.9515516850579</v>
      </c>
      <c r="BG52" s="4">
        <v>4442.5802783657673</v>
      </c>
      <c r="BH52" s="4">
        <v>4437.0141721565897</v>
      </c>
      <c r="BJ52" s="9"/>
    </row>
    <row r="53" spans="1:62" x14ac:dyDescent="0.25">
      <c r="A53" s="6" t="s">
        <v>49</v>
      </c>
      <c r="B53" s="6"/>
      <c r="C53" s="7" t="s">
        <v>526</v>
      </c>
      <c r="D53" s="3"/>
      <c r="E53" s="3">
        <f>VLOOKUP(A53,[2]Sheet1!$A$2:$E$627,5,0)</f>
        <v>70.5</v>
      </c>
      <c r="F53" s="3">
        <f>VLOOKUP(A53,[2]Sheet1!$A$2:$F$627,6,0)</f>
        <v>70.5</v>
      </c>
      <c r="G53" s="3">
        <f>VLOOKUP(A53,[2]Sheet1!$A$2:$G$627,7,0)</f>
        <v>72.49166666666666</v>
      </c>
      <c r="H53" s="4">
        <f t="shared" si="0"/>
        <v>73.44</v>
      </c>
      <c r="I53" s="11">
        <f t="shared" si="1"/>
        <v>0</v>
      </c>
      <c r="J53" s="11">
        <f t="shared" si="2"/>
        <v>2.8250591016548369E-2</v>
      </c>
      <c r="K53" s="11">
        <f t="shared" si="3"/>
        <v>2.8250591016548369E-2</v>
      </c>
      <c r="L53" s="11">
        <f>IF(S53="",((BG53-E53)/E53),((U53-E53)/E53))</f>
        <v>4.1702127659574435E-2</v>
      </c>
      <c r="M53" s="3" t="str">
        <f>IF(S53="Churn","Churn",VLOOKUP(A53,'[1]Revenue_Engine_2025 Dec.25'!$C$14:$E$3993,3,0))</f>
        <v>Genel</v>
      </c>
      <c r="N53" s="3">
        <f>IF(S53="",VLOOKUP(A53,[3]Export!$B$2:$F$417,5,0),"CHURN")</f>
        <v>1</v>
      </c>
      <c r="O53" s="3">
        <f>(1-N53)*H53</f>
        <v>0</v>
      </c>
      <c r="P53" s="3">
        <f t="shared" si="5"/>
        <v>0</v>
      </c>
      <c r="Q53" s="3">
        <f t="shared" si="4"/>
        <v>0</v>
      </c>
      <c r="R53" s="3" t="str">
        <f>IF(S53&lt;&gt;"Churn",VLOOKUP(A53,[3]Export!$B$2:$O$417,8,0),"CHURN")</f>
        <v>NO RISK</v>
      </c>
      <c r="S53" s="3"/>
      <c r="T53" s="3"/>
      <c r="U53" s="3" t="s">
        <v>551</v>
      </c>
      <c r="V53" s="4" t="str" cm="1">
        <f t="array" ref="V53">IFERROR(
    IF(
        MATCH(2,1/((Y53:BH53&lt;&gt;0)*(Y53:BH53&lt;&gt;"")))-MATCH(1,INDEX((Y53:BH53&lt;&gt;0)*(Y53:BH53&lt;&gt;""),0),0)+1 &lt;= 12,
        "No",
        "Yes"
    ),
    "No"
)</f>
        <v>Yes</v>
      </c>
      <c r="W53" s="4" t="str" cm="1">
        <f t="array" ref="W53">IFERROR(
    IF(
        MATCH(2,1/((Y53:BH53&lt;&gt;0)*(Y53:BH53&lt;&gt;"")))-MATCH(1,INDEX((Y53:BH53&lt;&gt;0)*(Y53:BH53&lt;&gt;""),0),0)+1 &lt;= 24,
        "No",
        "Yes"
    ),
    "No"
)</f>
        <v>Yes</v>
      </c>
      <c r="X53" s="3"/>
      <c r="Y53" s="4">
        <v>64.5</v>
      </c>
      <c r="Z53" s="4">
        <v>64.5</v>
      </c>
      <c r="AA53" s="4">
        <v>70.5</v>
      </c>
      <c r="AB53" s="4">
        <v>70.5</v>
      </c>
      <c r="AC53" s="4">
        <v>70.5</v>
      </c>
      <c r="AD53" s="4">
        <v>70.5</v>
      </c>
      <c r="AE53" s="4">
        <v>70.5</v>
      </c>
      <c r="AF53" s="4">
        <v>70.5</v>
      </c>
      <c r="AG53" s="4">
        <v>70.5</v>
      </c>
      <c r="AH53" s="4">
        <v>70.5</v>
      </c>
      <c r="AI53" s="4">
        <v>70.5</v>
      </c>
      <c r="AJ53" s="4">
        <v>70.5</v>
      </c>
      <c r="AK53" s="4">
        <v>70.5</v>
      </c>
      <c r="AL53" s="4">
        <v>70.5</v>
      </c>
      <c r="AM53" s="4">
        <v>70.5</v>
      </c>
      <c r="AN53" s="4">
        <v>70.5</v>
      </c>
      <c r="AO53" s="4">
        <v>72.49166666666666</v>
      </c>
      <c r="AP53" s="4">
        <v>72.49166666666666</v>
      </c>
      <c r="AQ53" s="4">
        <v>72.49166666666666</v>
      </c>
      <c r="AR53" s="4">
        <v>72.49166666666666</v>
      </c>
      <c r="AS53" s="4">
        <v>72.49166666666666</v>
      </c>
      <c r="AT53" s="4">
        <v>72.49166666666666</v>
      </c>
      <c r="AU53" s="4">
        <v>72.49166666666666</v>
      </c>
      <c r="AV53" s="4">
        <v>72.49166666666666</v>
      </c>
      <c r="AW53" s="4">
        <v>72.49166666666666</v>
      </c>
      <c r="AX53" s="4">
        <v>72.49166666666666</v>
      </c>
      <c r="AY53" s="4">
        <v>72.49166666666666</v>
      </c>
      <c r="AZ53" s="4">
        <v>72.49166666666666</v>
      </c>
      <c r="BA53" s="4">
        <v>72.5</v>
      </c>
      <c r="BB53" s="4">
        <v>73.44</v>
      </c>
      <c r="BC53" s="4">
        <v>73.44</v>
      </c>
      <c r="BD53" s="4">
        <v>73.44</v>
      </c>
      <c r="BE53" s="4">
        <v>73.44</v>
      </c>
      <c r="BF53" s="4">
        <v>73.44</v>
      </c>
      <c r="BG53" s="4">
        <v>73.44</v>
      </c>
      <c r="BH53" s="4">
        <v>73.44</v>
      </c>
      <c r="BJ53" s="9"/>
    </row>
    <row r="54" spans="1:62" x14ac:dyDescent="0.25">
      <c r="A54" s="6" t="s">
        <v>50</v>
      </c>
      <c r="B54" s="6"/>
      <c r="C54" s="7" t="s">
        <v>525</v>
      </c>
      <c r="D54" s="3"/>
      <c r="E54" s="3">
        <f>VLOOKUP(A54,[2]Sheet1!$A$2:$E$627,5,0)</f>
        <v>5486.0338490161694</v>
      </c>
      <c r="F54" s="3">
        <f>VLOOKUP(A54,[2]Sheet1!$A$2:$F$627,6,0)</f>
        <v>6552.4666655552173</v>
      </c>
      <c r="G54" s="3">
        <f>VLOOKUP(A54,[2]Sheet1!$A$2:$G$627,7,0)</f>
        <v>8070.119719502215</v>
      </c>
      <c r="H54" s="4">
        <f t="shared" si="0"/>
        <v>9158.5516046129887</v>
      </c>
      <c r="I54" s="11">
        <f t="shared" si="1"/>
        <v>0.19439049154432309</v>
      </c>
      <c r="J54" s="11">
        <f t="shared" si="2"/>
        <v>0.47102988089463926</v>
      </c>
      <c r="K54" s="11">
        <f t="shared" si="3"/>
        <v>0.23161553219720207</v>
      </c>
      <c r="L54" s="11">
        <f>IF(S54="",((BG54-E54)/E54),((U54-E54)/E54))</f>
        <v>0.58262624272760788</v>
      </c>
      <c r="M54" s="3" t="str">
        <f>IF(S54="Churn","Churn",VLOOKUP(A54,'[1]Revenue_Engine_2025 Dec.25'!$C$14:$E$3993,3,0))</f>
        <v>Digital</v>
      </c>
      <c r="N54" s="3">
        <v>0</v>
      </c>
      <c r="O54" s="3">
        <f>(1-N54)*H54</f>
        <v>9158.5516046129887</v>
      </c>
      <c r="P54" s="3">
        <f t="shared" si="5"/>
        <v>6552.4666655552173</v>
      </c>
      <c r="Q54" s="3">
        <f t="shared" si="4"/>
        <v>8070.119719502215</v>
      </c>
      <c r="R54" s="3" t="s">
        <v>558</v>
      </c>
      <c r="S54" s="3"/>
      <c r="T54" s="3"/>
      <c r="U54" s="3" t="s">
        <v>551</v>
      </c>
      <c r="V54" s="4" t="str" cm="1">
        <f t="array" ref="V54">IFERROR(
    IF(
        MATCH(2,1/((Y54:BH54&lt;&gt;0)*(Y54:BH54&lt;&gt;"")))-MATCH(1,INDEX((Y54:BH54&lt;&gt;0)*(Y54:BH54&lt;&gt;""),0),0)+1 &lt;= 12,
        "No",
        "Yes"
    ),
    "No"
)</f>
        <v>Yes</v>
      </c>
      <c r="W54" s="4" t="str" cm="1">
        <f t="array" ref="W54">IFERROR(
    IF(
        MATCH(2,1/((Y54:BH54&lt;&gt;0)*(Y54:BH54&lt;&gt;"")))-MATCH(1,INDEX((Y54:BH54&lt;&gt;0)*(Y54:BH54&lt;&gt;""),0),0)+1 &lt;= 24,
        "No",
        "Yes"
    ),
    "No"
)</f>
        <v>Yes</v>
      </c>
      <c r="X54" s="3"/>
      <c r="Y54" s="4">
        <v>5486.0338490161694</v>
      </c>
      <c r="Z54" s="4">
        <v>5184.5081599260511</v>
      </c>
      <c r="AA54" s="4">
        <v>5117.6932437206997</v>
      </c>
      <c r="AB54" s="4">
        <v>5048.8455073784971</v>
      </c>
      <c r="AC54" s="4">
        <v>6100.7857369710155</v>
      </c>
      <c r="AD54" s="4">
        <v>5667.8656285255202</v>
      </c>
      <c r="AE54" s="4">
        <v>5035.7913338711078</v>
      </c>
      <c r="AF54" s="4">
        <v>4942.6460561857448</v>
      </c>
      <c r="AG54" s="4">
        <v>4938.1636215491862</v>
      </c>
      <c r="AH54" s="4">
        <v>4789.4268848824813</v>
      </c>
      <c r="AI54" s="4">
        <v>4660.6739081758678</v>
      </c>
      <c r="AJ54" s="4">
        <v>6714.2933343206369</v>
      </c>
      <c r="AK54" s="4">
        <v>6552.4666655552173</v>
      </c>
      <c r="AL54" s="4">
        <v>6272.0572414826584</v>
      </c>
      <c r="AM54" s="4">
        <v>6165.8528811775095</v>
      </c>
      <c r="AN54" s="4">
        <v>6114.5639660910738</v>
      </c>
      <c r="AO54" s="4">
        <v>5984.984196194765</v>
      </c>
      <c r="AP54" s="4">
        <v>7470.6313936440865</v>
      </c>
      <c r="AQ54" s="4">
        <v>9188.308519661834</v>
      </c>
      <c r="AR54" s="4">
        <v>7723.715488343968</v>
      </c>
      <c r="AS54" s="4">
        <v>8279.8345229892166</v>
      </c>
      <c r="AT54" s="4">
        <v>8065.0804596042817</v>
      </c>
      <c r="AU54" s="4">
        <v>7987.3316379172329</v>
      </c>
      <c r="AV54" s="4">
        <v>7638.2647165843437</v>
      </c>
      <c r="AW54" s="4">
        <v>8070.119719502215</v>
      </c>
      <c r="AX54" s="4">
        <v>7956.7935768679536</v>
      </c>
      <c r="AY54" s="4">
        <v>7905.139919747865</v>
      </c>
      <c r="AZ54" s="4">
        <v>7602.5187575799828</v>
      </c>
      <c r="BA54" s="4">
        <v>7528.2266358246643</v>
      </c>
      <c r="BB54" s="4">
        <v>7522.284855735611</v>
      </c>
      <c r="BC54" s="4">
        <v>8218.2001773636857</v>
      </c>
      <c r="BD54" s="4">
        <v>8056.8890677853733</v>
      </c>
      <c r="BE54" s="4">
        <v>8353.7154723878466</v>
      </c>
      <c r="BF54" s="4">
        <v>8640.0368292899202</v>
      </c>
      <c r="BG54" s="4">
        <v>8682.3411379449371</v>
      </c>
      <c r="BH54" s="4">
        <v>9158.5516046129887</v>
      </c>
      <c r="BJ54" s="9"/>
    </row>
    <row r="55" spans="1:62" x14ac:dyDescent="0.25">
      <c r="A55" s="6" t="s">
        <v>51</v>
      </c>
      <c r="B55" s="6"/>
      <c r="C55" s="7" t="s">
        <v>526</v>
      </c>
      <c r="D55" s="3"/>
      <c r="E55" s="3">
        <f>VLOOKUP(A55,[2]Sheet1!$A$2:$E$627,5,0)</f>
        <v>291.0711525031586</v>
      </c>
      <c r="F55" s="3">
        <f>VLOOKUP(A55,[2]Sheet1!$A$2:$F$627,6,0)</f>
        <v>202.65747276673926</v>
      </c>
      <c r="G55" s="3">
        <f>VLOOKUP(A55,[2]Sheet1!$A$2:$G$627,7,0)</f>
        <v>176.59198013375851</v>
      </c>
      <c r="H55" s="4">
        <f t="shared" si="0"/>
        <v>701.82672000000002</v>
      </c>
      <c r="I55" s="11">
        <f t="shared" si="1"/>
        <v>-0.30375280743583788</v>
      </c>
      <c r="J55" s="11">
        <f t="shared" si="2"/>
        <v>-0.39330305110932556</v>
      </c>
      <c r="K55" s="11">
        <f t="shared" si="3"/>
        <v>-0.12861846285324197</v>
      </c>
      <c r="L55" s="11">
        <f>IF(S55="",((BG55-E55)/E55),((U55-E55)/E55))</f>
        <v>0.91988355834725311</v>
      </c>
      <c r="M55" s="3" t="str">
        <f>IF(S55="Churn","Churn",VLOOKUP(A55,'[1]Revenue_Engine_2025 Dec.25'!$C$14:$E$3993,3,0))</f>
        <v>Diğer</v>
      </c>
      <c r="N55" s="3">
        <f>IF(S55="",VLOOKUP(A55,[3]Export!$B$2:$F$417,5,0),"CHURN")</f>
        <v>0.14997599966048952</v>
      </c>
      <c r="O55" s="3">
        <f>(1-N55)*H55</f>
        <v>596.56955607955763</v>
      </c>
      <c r="P55" s="3">
        <f t="shared" si="5"/>
        <v>172.26371569987913</v>
      </c>
      <c r="Q55" s="3">
        <f t="shared" si="4"/>
        <v>150.10742138117277</v>
      </c>
      <c r="R55" s="3" t="str">
        <f>IF(S55&lt;&gt;"Churn",VLOOKUP(A55,[3]Export!$B$2:$O$417,8,0),"CHURN")</f>
        <v>NO RISK</v>
      </c>
      <c r="S55" s="3"/>
      <c r="T55" s="3"/>
      <c r="U55" s="3" t="s">
        <v>551</v>
      </c>
      <c r="V55" s="4" t="str" cm="1">
        <f t="array" ref="V55">IFERROR(
    IF(
        MATCH(2,1/((Y55:BH55&lt;&gt;0)*(Y55:BH55&lt;&gt;"")))-MATCH(1,INDEX((Y55:BH55&lt;&gt;0)*(Y55:BH55&lt;&gt;""),0),0)+1 &lt;= 12,
        "No",
        "Yes"
    ),
    "No"
)</f>
        <v>Yes</v>
      </c>
      <c r="W55" s="4" t="str" cm="1">
        <f t="array" ref="W55">IFERROR(
    IF(
        MATCH(2,1/((Y55:BH55&lt;&gt;0)*(Y55:BH55&lt;&gt;"")))-MATCH(1,INDEX((Y55:BH55&lt;&gt;0)*(Y55:BH55&lt;&gt;""),0),0)+1 &lt;= 24,
        "No",
        "Yes"
    ),
    "No"
)</f>
        <v>Yes</v>
      </c>
      <c r="X55" s="3"/>
      <c r="Y55" s="4">
        <v>291.0711525031586</v>
      </c>
      <c r="Z55" s="4">
        <v>290.05987133241609</v>
      </c>
      <c r="AA55" s="4">
        <v>287.92760677315414</v>
      </c>
      <c r="AB55" s="4">
        <v>284.36608118677515</v>
      </c>
      <c r="AC55" s="4">
        <v>284.46278303996093</v>
      </c>
      <c r="AD55" s="4">
        <v>239.22259068066049</v>
      </c>
      <c r="AE55" s="4">
        <v>212.00449913084972</v>
      </c>
      <c r="AF55" s="4">
        <v>220.47313138368821</v>
      </c>
      <c r="AG55" s="4">
        <v>225.61388009339515</v>
      </c>
      <c r="AH55" s="4">
        <v>218.66000288530415</v>
      </c>
      <c r="AI55" s="4">
        <v>212.64042486941494</v>
      </c>
      <c r="AJ55" s="4">
        <v>209.32726715411931</v>
      </c>
      <c r="AK55" s="4">
        <v>202.65747276673926</v>
      </c>
      <c r="AL55" s="4">
        <v>198.00105550524168</v>
      </c>
      <c r="AM55" s="4">
        <v>190.42051243491176</v>
      </c>
      <c r="AN55" s="4">
        <v>188.52394437844495</v>
      </c>
      <c r="AO55" s="4">
        <v>188.79801195930727</v>
      </c>
      <c r="AP55" s="4">
        <v>187.20316378890828</v>
      </c>
      <c r="AQ55" s="4">
        <v>200.03465974993833</v>
      </c>
      <c r="AR55" s="4">
        <v>186.40983479592265</v>
      </c>
      <c r="AS55" s="4">
        <v>184.27563502299805</v>
      </c>
      <c r="AT55" s="4">
        <v>183.1361370999131</v>
      </c>
      <c r="AU55" s="4">
        <v>182.12665271637741</v>
      </c>
      <c r="AV55" s="4">
        <v>179.2947843726005</v>
      </c>
      <c r="AW55" s="4">
        <v>176.59198013375851</v>
      </c>
      <c r="AX55" s="4">
        <v>173.47898283753179</v>
      </c>
      <c r="AY55" s="4">
        <v>521.4899999999999</v>
      </c>
      <c r="AZ55" s="4">
        <v>399.98372000000018</v>
      </c>
      <c r="BA55" s="4">
        <v>399.98372000000001</v>
      </c>
      <c r="BB55" s="4">
        <v>403.81872000000004</v>
      </c>
      <c r="BC55" s="4">
        <v>558.82272000000012</v>
      </c>
      <c r="BD55" s="4">
        <v>558.82272000000012</v>
      </c>
      <c r="BE55" s="4">
        <v>558.82272000000012</v>
      </c>
      <c r="BF55" s="4">
        <v>558.82272000000012</v>
      </c>
      <c r="BG55" s="4">
        <v>558.82272000000012</v>
      </c>
      <c r="BH55" s="4">
        <v>701.82672000000002</v>
      </c>
      <c r="BJ55" s="9"/>
    </row>
    <row r="56" spans="1:62" x14ac:dyDescent="0.25">
      <c r="A56" s="6" t="s">
        <v>52</v>
      </c>
      <c r="B56" s="6"/>
      <c r="C56" s="7" t="s">
        <v>525</v>
      </c>
      <c r="D56" s="3"/>
      <c r="E56" s="3">
        <f>VLOOKUP(A56,[2]Sheet1!$A$2:$E$627,5,0)</f>
        <v>1833</v>
      </c>
      <c r="F56" s="3">
        <f>VLOOKUP(A56,[2]Sheet1!$A$2:$F$627,6,0)</f>
        <v>1833.0071989999999</v>
      </c>
      <c r="G56" s="3">
        <f>VLOOKUP(A56,[2]Sheet1!$A$2:$G$627,7,0)</f>
        <v>1833.0071989999999</v>
      </c>
      <c r="H56" s="4">
        <f t="shared" si="0"/>
        <v>1833.0071989999999</v>
      </c>
      <c r="I56" s="11">
        <f t="shared" si="1"/>
        <v>3.9274413529189739E-6</v>
      </c>
      <c r="J56" s="11">
        <f t="shared" si="2"/>
        <v>3.9274413529189739E-6</v>
      </c>
      <c r="K56" s="11">
        <f t="shared" si="3"/>
        <v>0</v>
      </c>
      <c r="L56" s="11">
        <f>IF(S56="",((BG56-E56)/E56),((U56-E56)/E56))</f>
        <v>3.9274413529189739E-6</v>
      </c>
      <c r="M56" s="3" t="str">
        <f>IF(S56="Churn","Churn",VLOOKUP(A56,'[1]Revenue_Engine_2025 Dec.25'!$C$14:$E$3993,3,0))</f>
        <v>Üretim</v>
      </c>
      <c r="N56" s="3">
        <f>IF(S56="",VLOOKUP(A56,[3]Export!$B$2:$F$417,5,0),"CHURN")</f>
        <v>0.15209522644106105</v>
      </c>
      <c r="O56" s="3">
        <f>(1-N56)*H56</f>
        <v>1554.2155539999997</v>
      </c>
      <c r="P56" s="3">
        <f t="shared" si="5"/>
        <v>1554.2155539999997</v>
      </c>
      <c r="Q56" s="3">
        <f t="shared" si="4"/>
        <v>1554.2155539999997</v>
      </c>
      <c r="R56" s="3" t="str">
        <f>IF(S56&lt;&gt;"Churn",VLOOKUP(A56,[3]Export!$B$2:$O$417,8,0),"CHURN")</f>
        <v>NO RISK</v>
      </c>
      <c r="S56" s="3"/>
      <c r="T56" s="3"/>
      <c r="U56" s="3" t="s">
        <v>551</v>
      </c>
      <c r="V56" s="4" t="str" cm="1">
        <f t="array" ref="V56">IFERROR(
    IF(
        MATCH(2,1/((Y56:BH56&lt;&gt;0)*(Y56:BH56&lt;&gt;"")))-MATCH(1,INDEX((Y56:BH56&lt;&gt;0)*(Y56:BH56&lt;&gt;""),0),0)+1 &lt;= 12,
        "No",
        "Yes"
    ),
    "No"
)</f>
        <v>Yes</v>
      </c>
      <c r="W56" s="4" t="str" cm="1">
        <f t="array" ref="W56">IFERROR(
    IF(
        MATCH(2,1/((Y56:BH56&lt;&gt;0)*(Y56:BH56&lt;&gt;"")))-MATCH(1,INDEX((Y56:BH56&lt;&gt;0)*(Y56:BH56&lt;&gt;""),0),0)+1 &lt;= 24,
        "No",
        "Yes"
    ),
    "No"
)</f>
        <v>Yes</v>
      </c>
      <c r="X56" s="3"/>
      <c r="Y56" s="4">
        <v>1833</v>
      </c>
      <c r="Z56" s="4">
        <v>1833</v>
      </c>
      <c r="AA56" s="4">
        <v>1833</v>
      </c>
      <c r="AB56" s="4">
        <v>1833</v>
      </c>
      <c r="AC56" s="4">
        <v>1833.0071989999999</v>
      </c>
      <c r="AD56" s="4">
        <v>1833.0071989999999</v>
      </c>
      <c r="AE56" s="4">
        <v>1833.0071989999999</v>
      </c>
      <c r="AF56" s="4">
        <v>1833.0071989999999</v>
      </c>
      <c r="AG56" s="4">
        <v>1833.0071989999999</v>
      </c>
      <c r="AH56" s="4">
        <v>1833.0071989999999</v>
      </c>
      <c r="AI56" s="4">
        <v>1833.0071989999999</v>
      </c>
      <c r="AJ56" s="4">
        <v>1833.0071989999999</v>
      </c>
      <c r="AK56" s="4">
        <v>1833.0071989999999</v>
      </c>
      <c r="AL56" s="4">
        <v>1833.0071989999999</v>
      </c>
      <c r="AM56" s="4">
        <v>1833.0071989999999</v>
      </c>
      <c r="AN56" s="4">
        <v>1833.0071989999999</v>
      </c>
      <c r="AO56" s="4">
        <v>1833.0071989999999</v>
      </c>
      <c r="AP56" s="4">
        <v>1833.0071989999999</v>
      </c>
      <c r="AQ56" s="4">
        <v>1833.0071989999999</v>
      </c>
      <c r="AR56" s="4">
        <v>1833.0071989999999</v>
      </c>
      <c r="AS56" s="4">
        <v>1833.0071989999999</v>
      </c>
      <c r="AT56" s="4">
        <v>1833.0071989999999</v>
      </c>
      <c r="AU56" s="4">
        <v>1833.0071989999999</v>
      </c>
      <c r="AV56" s="4">
        <v>1833.0071989999999</v>
      </c>
      <c r="AW56" s="4">
        <v>1833.0071989999999</v>
      </c>
      <c r="AX56" s="4">
        <v>1833.0071989999999</v>
      </c>
      <c r="AY56" s="4">
        <v>1833.0071989999999</v>
      </c>
      <c r="AZ56" s="4">
        <v>1833.0071989999999</v>
      </c>
      <c r="BA56" s="4">
        <v>1833.0071989999999</v>
      </c>
      <c r="BB56" s="4">
        <v>1833.0071989999999</v>
      </c>
      <c r="BC56" s="4">
        <v>1833.0071989999999</v>
      </c>
      <c r="BD56" s="4">
        <v>1833.0071989999999</v>
      </c>
      <c r="BE56" s="4">
        <v>1833.0071989999999</v>
      </c>
      <c r="BF56" s="4">
        <v>1833.0071989999999</v>
      </c>
      <c r="BG56" s="4">
        <v>1833.0071989999999</v>
      </c>
      <c r="BH56" s="4">
        <v>1833.0071989999999</v>
      </c>
      <c r="BJ56" s="9"/>
    </row>
    <row r="57" spans="1:62" x14ac:dyDescent="0.25">
      <c r="A57" s="6" t="s">
        <v>53</v>
      </c>
      <c r="B57" s="6"/>
      <c r="C57" s="7" t="s">
        <v>526</v>
      </c>
      <c r="D57" s="3"/>
      <c r="E57" s="3">
        <f>VLOOKUP(A57,[2]Sheet1!$A$2:$E$627,5,0)</f>
        <v>253</v>
      </c>
      <c r="F57" s="3">
        <f>VLOOKUP(A57,[2]Sheet1!$A$2:$F$627,6,0)</f>
        <v>282.02379999999999</v>
      </c>
      <c r="G57" s="3">
        <f>VLOOKUP(A57,[2]Sheet1!$A$2:$G$627,7,0)</f>
        <v>414.22689500000001</v>
      </c>
      <c r="H57" s="4">
        <f t="shared" si="0"/>
        <v>414.22689500000001</v>
      </c>
      <c r="I57" s="11">
        <f t="shared" si="1"/>
        <v>0.11471857707509879</v>
      </c>
      <c r="J57" s="11">
        <f t="shared" si="2"/>
        <v>0.63726045454545455</v>
      </c>
      <c r="K57" s="11">
        <f t="shared" si="3"/>
        <v>0.46876573891990686</v>
      </c>
      <c r="L57" s="11">
        <f>IF(S57="",((BG57-E57)/E57),((U57-E57)/E57))</f>
        <v>0.63726045454545455</v>
      </c>
      <c r="M57" s="3" t="str">
        <f>IF(S57="Churn","Churn",VLOOKUP(A57,'[1]Revenue_Engine_2025 Dec.25'!$C$14:$E$3993,3,0))</f>
        <v>Churn</v>
      </c>
      <c r="N57" s="3" t="str">
        <f>IF(S57="",VLOOKUP(A57,[3]Export!$B$2:$F$417,5,0),"CHURN")</f>
        <v>CHURN</v>
      </c>
      <c r="O57" s="3" t="e">
        <f>(1-N57)*H57</f>
        <v>#VALUE!</v>
      </c>
      <c r="P57" s="3" t="e">
        <f t="shared" si="5"/>
        <v>#VALUE!</v>
      </c>
      <c r="Q57" s="3" t="e">
        <f t="shared" si="4"/>
        <v>#VALUE!</v>
      </c>
      <c r="R57" s="3" t="str">
        <f>IF(S57&lt;&gt;"Churn",VLOOKUP(A57,[3]Export!$B$2:$O$417,8,0),"CHURN")</f>
        <v>CHURN</v>
      </c>
      <c r="S57" s="3" t="s">
        <v>372</v>
      </c>
      <c r="T57" s="3" t="s">
        <v>553</v>
      </c>
      <c r="U57" s="3">
        <v>414.22689500000001</v>
      </c>
      <c r="V57" s="4" t="str" cm="1">
        <f t="array" ref="V57">IFERROR(
    IF(
        MATCH(2,1/((Y57:BH57&lt;&gt;0)*(Y57:BH57&lt;&gt;"")))-MATCH(1,INDEX((Y57:BH57&lt;&gt;0)*(Y57:BH57&lt;&gt;""),0),0)+1 &lt;= 12,
        "No",
        "Yes"
    ),
    "No"
)</f>
        <v>Yes</v>
      </c>
      <c r="W57" s="4" t="str" cm="1">
        <f t="array" ref="W57">IFERROR(
    IF(
        MATCH(2,1/((Y57:BH57&lt;&gt;0)*(Y57:BH57&lt;&gt;"")))-MATCH(1,INDEX((Y57:BH57&lt;&gt;0)*(Y57:BH57&lt;&gt;""),0),0)+1 &lt;= 24,
        "No",
        "Yes"
    ),
    "No"
)</f>
        <v>Yes</v>
      </c>
      <c r="X57" s="3"/>
      <c r="Y57" s="4">
        <v>253</v>
      </c>
      <c r="Z57" s="4">
        <v>253</v>
      </c>
      <c r="AA57" s="4">
        <v>253</v>
      </c>
      <c r="AB57" s="4">
        <v>262</v>
      </c>
      <c r="AC57" s="4">
        <v>262.024</v>
      </c>
      <c r="AD57" s="4">
        <v>262.024</v>
      </c>
      <c r="AE57" s="4">
        <v>262.024</v>
      </c>
      <c r="AF57" s="4">
        <v>262.024</v>
      </c>
      <c r="AG57" s="4">
        <v>282.024</v>
      </c>
      <c r="AH57" s="4">
        <v>282.02379999999999</v>
      </c>
      <c r="AI57" s="4">
        <v>282.02379999999999</v>
      </c>
      <c r="AJ57" s="4">
        <v>282.02379999999999</v>
      </c>
      <c r="AK57" s="4">
        <v>282.02379999999999</v>
      </c>
      <c r="AL57" s="4">
        <v>282.02379999999999</v>
      </c>
      <c r="AM57" s="4">
        <v>307.02379999999999</v>
      </c>
      <c r="AN57" s="4">
        <v>307.02379999999999</v>
      </c>
      <c r="AO57" s="4">
        <v>307.02379999999999</v>
      </c>
      <c r="AP57" s="4">
        <v>307.02379999999999</v>
      </c>
      <c r="AQ57" s="4">
        <v>307.02379999999999</v>
      </c>
      <c r="AR57" s="4">
        <v>307.02379999999999</v>
      </c>
      <c r="AS57" s="4">
        <v>307.02379999999999</v>
      </c>
      <c r="AT57" s="4">
        <v>307.02379999999999</v>
      </c>
      <c r="AU57" s="4">
        <v>332.02379999999999</v>
      </c>
      <c r="AV57" s="4">
        <v>339.52379999999999</v>
      </c>
      <c r="AW57" s="4">
        <v>414.22689500000001</v>
      </c>
      <c r="AX57" s="4">
        <v>414.22689500000001</v>
      </c>
      <c r="AY57" s="4">
        <v>414.22689500000001</v>
      </c>
      <c r="AZ57" s="4">
        <v>414.22689500000007</v>
      </c>
      <c r="BA57" s="4">
        <v>414.22689500000001</v>
      </c>
      <c r="BB57" s="4">
        <v>414.22689500000001</v>
      </c>
      <c r="BC57" s="4">
        <v>414.22689500000001</v>
      </c>
      <c r="BD57" s="4">
        <v>414.22689500000001</v>
      </c>
      <c r="BE57" s="4">
        <v>414.22689500000001</v>
      </c>
      <c r="BF57" s="4">
        <v>414.22689500000001</v>
      </c>
      <c r="BG57" s="4">
        <v>0</v>
      </c>
      <c r="BH57" s="4">
        <v>0</v>
      </c>
      <c r="BJ57" s="9"/>
    </row>
    <row r="58" spans="1:62" x14ac:dyDescent="0.25">
      <c r="A58" s="6" t="s">
        <v>54</v>
      </c>
      <c r="B58" s="6"/>
      <c r="C58" s="7" t="s">
        <v>526</v>
      </c>
      <c r="D58" s="3"/>
      <c r="E58" s="3">
        <f>VLOOKUP(A58,[2]Sheet1!$A$2:$E$627,5,0)</f>
        <v>1241.1300000000001</v>
      </c>
      <c r="F58" s="3">
        <f>VLOOKUP(A58,[2]Sheet1!$A$2:$F$627,6,0)</f>
        <v>4693.1988060000003</v>
      </c>
      <c r="G58" s="3">
        <f>VLOOKUP(A58,[2]Sheet1!$A$2:$G$627,7,0)</f>
        <v>9552.8482029999996</v>
      </c>
      <c r="H58" s="4">
        <f t="shared" si="0"/>
        <v>9682.8485230000006</v>
      </c>
      <c r="I58" s="11">
        <f t="shared" si="1"/>
        <v>2.781391801020038</v>
      </c>
      <c r="J58" s="11">
        <f t="shared" si="2"/>
        <v>6.6968957345322409</v>
      </c>
      <c r="K58" s="11">
        <f t="shared" si="3"/>
        <v>1.0354663413762062</v>
      </c>
      <c r="L58" s="11">
        <f>IF(S58="",((BG58-E58)/E58),((U58-E58)/E58))</f>
        <v>6.6968957345322409</v>
      </c>
      <c r="M58" s="3" t="str">
        <f>IF(S58="Churn","Churn",VLOOKUP(A58,'[1]Revenue_Engine_2025 Dec.25'!$C$14:$E$3993,3,0))</f>
        <v>Genel</v>
      </c>
      <c r="N58" s="3">
        <f>IF(S58="",VLOOKUP(A58,[3]Export!$B$2:$F$417,5,0),"CHURN")</f>
        <v>0.70122960034660442</v>
      </c>
      <c r="O58" s="3">
        <f>(1-N58)*H58</f>
        <v>2892.9485230000014</v>
      </c>
      <c r="P58" s="3">
        <f t="shared" si="5"/>
        <v>1402.188882921459</v>
      </c>
      <c r="Q58" s="3">
        <f t="shared" si="4"/>
        <v>2854.1082754385316</v>
      </c>
      <c r="R58" s="3" t="str">
        <f>IF(S58&lt;&gt;"Churn",VLOOKUP(A58,[3]Export!$B$2:$O$417,8,0),"CHURN")</f>
        <v>NO RISK</v>
      </c>
      <c r="S58" s="3"/>
      <c r="T58" s="3"/>
      <c r="U58" s="3" t="s">
        <v>551</v>
      </c>
      <c r="V58" s="4" t="str" cm="1">
        <f t="array" ref="V58">IFERROR(
    IF(
        MATCH(2,1/((Y58:BH58&lt;&gt;0)*(Y58:BH58&lt;&gt;"")))-MATCH(1,INDEX((Y58:BH58&lt;&gt;0)*(Y58:BH58&lt;&gt;""),0),0)+1 &lt;= 12,
        "No",
        "Yes"
    ),
    "No"
)</f>
        <v>Yes</v>
      </c>
      <c r="W58" s="4" t="str" cm="1">
        <f t="array" ref="W58">IFERROR(
    IF(
        MATCH(2,1/((Y58:BH58&lt;&gt;0)*(Y58:BH58&lt;&gt;"")))-MATCH(1,INDEX((Y58:BH58&lt;&gt;0)*(Y58:BH58&lt;&gt;""),0),0)+1 &lt;= 24,
        "No",
        "Yes"
    ),
    "No"
)</f>
        <v>Yes</v>
      </c>
      <c r="X58" s="3"/>
      <c r="Y58" s="4">
        <v>1241.1300000000001</v>
      </c>
      <c r="Z58" s="4">
        <v>1241.1300000000001</v>
      </c>
      <c r="AA58" s="4">
        <v>1241.1300000000001</v>
      </c>
      <c r="AB58" s="4">
        <v>1241.1300000000001</v>
      </c>
      <c r="AC58" s="4">
        <v>1241.128768</v>
      </c>
      <c r="AD58" s="4">
        <v>1241.128768</v>
      </c>
      <c r="AE58" s="4">
        <v>1241.128768</v>
      </c>
      <c r="AF58" s="4">
        <v>1387.0534480000001</v>
      </c>
      <c r="AG58" s="4">
        <v>1412.3813439999999</v>
      </c>
      <c r="AH58" s="4">
        <v>1312.612576</v>
      </c>
      <c r="AI58" s="4">
        <v>1293.1988080000001</v>
      </c>
      <c r="AJ58" s="4">
        <v>1293.1988080000001</v>
      </c>
      <c r="AK58" s="4">
        <v>4693.1988060000003</v>
      </c>
      <c r="AL58" s="4">
        <v>4813.1988060000003</v>
      </c>
      <c r="AM58" s="4">
        <v>4813.1988060000003</v>
      </c>
      <c r="AN58" s="4">
        <v>4813.1988060000003</v>
      </c>
      <c r="AO58" s="4">
        <v>4905.4487010000003</v>
      </c>
      <c r="AP58" s="4">
        <v>1385.448703</v>
      </c>
      <c r="AQ58" s="4">
        <v>4905.4487010000003</v>
      </c>
      <c r="AR58" s="4">
        <v>4905.4487010000003</v>
      </c>
      <c r="AS58" s="4">
        <v>4905.4487010000003</v>
      </c>
      <c r="AT58" s="4">
        <v>5865.4487010000003</v>
      </c>
      <c r="AU58" s="4">
        <v>5865.4487010000003</v>
      </c>
      <c r="AV58" s="4">
        <v>12065.348700999999</v>
      </c>
      <c r="AW58" s="4">
        <v>9552.8482029999996</v>
      </c>
      <c r="AX58" s="4">
        <v>9552.8482029999996</v>
      </c>
      <c r="AY58" s="4">
        <v>9552.8482029999996</v>
      </c>
      <c r="AZ58" s="4">
        <v>9552.8482029999996</v>
      </c>
      <c r="BA58" s="4">
        <v>9552.8482029999996</v>
      </c>
      <c r="BB58" s="4">
        <v>9552.8482029999996</v>
      </c>
      <c r="BC58" s="4">
        <v>9552.8482029999996</v>
      </c>
      <c r="BD58" s="4">
        <v>9552.8482029999996</v>
      </c>
      <c r="BE58" s="4">
        <v>9552.8482029999996</v>
      </c>
      <c r="BF58" s="4">
        <v>9552.8482029999996</v>
      </c>
      <c r="BG58" s="4">
        <v>9552.8482029999996</v>
      </c>
      <c r="BH58" s="4">
        <v>9682.8485230000006</v>
      </c>
      <c r="BJ58" s="9"/>
    </row>
    <row r="59" spans="1:62" x14ac:dyDescent="0.25">
      <c r="A59" s="6" t="s">
        <v>55</v>
      </c>
      <c r="B59" s="6"/>
      <c r="C59" s="7" t="s">
        <v>525</v>
      </c>
      <c r="D59" s="3"/>
      <c r="E59" s="3">
        <f>VLOOKUP(A59,[2]Sheet1!$A$2:$E$627,5,0)</f>
        <v>1433.4614543961873</v>
      </c>
      <c r="F59" s="3">
        <f>VLOOKUP(A59,[2]Sheet1!$A$2:$F$627,6,0)</f>
        <v>1957.6911573762459</v>
      </c>
      <c r="G59" s="3">
        <f>VLOOKUP(A59,[2]Sheet1!$A$2:$G$627,7,0)</f>
        <v>2630.796108315159</v>
      </c>
      <c r="H59" s="4">
        <f t="shared" si="0"/>
        <v>2396.5695523446843</v>
      </c>
      <c r="I59" s="11">
        <f t="shared" si="1"/>
        <v>0.36570896369228034</v>
      </c>
      <c r="J59" s="11">
        <f t="shared" si="2"/>
        <v>0.83527509599016148</v>
      </c>
      <c r="K59" s="11">
        <f t="shared" si="3"/>
        <v>0.34382591370593296</v>
      </c>
      <c r="L59" s="11">
        <f>IF(S59="",((BG59-E59)/E59),((U59-E59)/E59))</f>
        <v>0.65432408300435929</v>
      </c>
      <c r="M59" s="3" t="str">
        <f>IF(S59="Churn","Churn",VLOOKUP(A59,'[1]Revenue_Engine_2025 Dec.25'!$C$14:$E$3993,3,0))</f>
        <v>Teknoloji</v>
      </c>
      <c r="N59" s="3">
        <f>IF(S59="",VLOOKUP(A59,[3]Export!$B$2:$F$417,5,0),"CHURN")</f>
        <v>0</v>
      </c>
      <c r="O59" s="3">
        <f>(1-N59)*H59</f>
        <v>2396.5695523446843</v>
      </c>
      <c r="P59" s="3">
        <f t="shared" si="5"/>
        <v>1957.6911573762459</v>
      </c>
      <c r="Q59" s="3">
        <f t="shared" si="4"/>
        <v>2630.796108315159</v>
      </c>
      <c r="R59" s="3" t="str">
        <f>IF(S59&lt;&gt;"Churn",VLOOKUP(A59,[3]Export!$B$2:$O$417,8,0),"CHURN")</f>
        <v>NO RISK</v>
      </c>
      <c r="S59" s="3"/>
      <c r="T59" s="3"/>
      <c r="U59" s="3" t="s">
        <v>551</v>
      </c>
      <c r="V59" s="4" t="str" cm="1">
        <f t="array" ref="V59">IFERROR(
    IF(
        MATCH(2,1/((Y59:BH59&lt;&gt;0)*(Y59:BH59&lt;&gt;"")))-MATCH(1,INDEX((Y59:BH59&lt;&gt;0)*(Y59:BH59&lt;&gt;""),0),0)+1 &lt;= 12,
        "No",
        "Yes"
    ),
    "No"
)</f>
        <v>Yes</v>
      </c>
      <c r="W59" s="4" t="str" cm="1">
        <f t="array" ref="W59">IFERROR(
    IF(
        MATCH(2,1/((Y59:BH59&lt;&gt;0)*(Y59:BH59&lt;&gt;"")))-MATCH(1,INDEX((Y59:BH59&lt;&gt;0)*(Y59:BH59&lt;&gt;""),0),0)+1 &lt;= 24,
        "No",
        "Yes"
    ),
    "No"
)</f>
        <v>Yes</v>
      </c>
      <c r="X59" s="3"/>
      <c r="Y59" s="4">
        <v>1433.4614543961873</v>
      </c>
      <c r="Z59" s="4">
        <v>1428.4811168898782</v>
      </c>
      <c r="AA59" s="4">
        <v>1417.9801825650868</v>
      </c>
      <c r="AB59" s="4">
        <v>2179.4344792578509</v>
      </c>
      <c r="AC59" s="4">
        <v>2138.115117840156</v>
      </c>
      <c r="AD59" s="4">
        <v>1798.0750669635229</v>
      </c>
      <c r="AE59" s="4">
        <v>1593.4950076689731</v>
      </c>
      <c r="AF59" s="4">
        <v>1563.3471807552121</v>
      </c>
      <c r="AG59" s="4">
        <v>1561.896375444054</v>
      </c>
      <c r="AH59" s="4">
        <v>1513.7555624670144</v>
      </c>
      <c r="AI59" s="4">
        <v>1472.0827847069404</v>
      </c>
      <c r="AJ59" s="4">
        <v>1449.1462126101678</v>
      </c>
      <c r="AK59" s="4">
        <v>1402.9720688608879</v>
      </c>
      <c r="AL59" s="4">
        <v>1370.7362807122706</v>
      </c>
      <c r="AM59" s="4">
        <v>1318.257139187047</v>
      </c>
      <c r="AN59" s="4">
        <v>1957.6911573762459</v>
      </c>
      <c r="AO59" s="4">
        <v>1960.5371602081229</v>
      </c>
      <c r="AP59" s="4">
        <v>1943.9373811885155</v>
      </c>
      <c r="AQ59" s="4">
        <v>1921.4194067200642</v>
      </c>
      <c r="AR59" s="4">
        <v>1880.0555405622779</v>
      </c>
      <c r="AS59" s="4">
        <v>1858.5308494849733</v>
      </c>
      <c r="AT59" s="4">
        <v>1847.0383261097961</v>
      </c>
      <c r="AU59" s="4">
        <v>1836.857067645321</v>
      </c>
      <c r="AV59" s="4">
        <v>1808.2959685182852</v>
      </c>
      <c r="AW59" s="4">
        <v>2821.9087426136525</v>
      </c>
      <c r="AX59" s="4">
        <v>2772.1635940553715</v>
      </c>
      <c r="AY59" s="4">
        <v>2703.0016869977485</v>
      </c>
      <c r="AZ59" s="4">
        <v>2630.796108315159</v>
      </c>
      <c r="BA59" s="4">
        <v>2586.6925020046874</v>
      </c>
      <c r="BB59" s="4">
        <v>2542.7753409735274</v>
      </c>
      <c r="BC59" s="4">
        <v>2493.8645958941006</v>
      </c>
      <c r="BD59" s="4">
        <v>2455.457503683187</v>
      </c>
      <c r="BE59" s="4">
        <v>2425.7356071860004</v>
      </c>
      <c r="BF59" s="4">
        <v>2396.5695523446843</v>
      </c>
      <c r="BG59" s="4">
        <v>2371.4098060660676</v>
      </c>
      <c r="BH59" s="4">
        <v>2348.2938493944926</v>
      </c>
      <c r="BJ59" s="9"/>
    </row>
    <row r="60" spans="1:62" x14ac:dyDescent="0.25">
      <c r="A60" s="6" t="s">
        <v>56</v>
      </c>
      <c r="B60" s="6"/>
      <c r="C60" s="7" t="s">
        <v>526</v>
      </c>
      <c r="D60" s="3"/>
      <c r="E60" s="3">
        <f>VLOOKUP(A60,[2]Sheet1!$A$2:$E$627,5,0)</f>
        <v>4671.95</v>
      </c>
      <c r="F60" s="3">
        <f>VLOOKUP(A60,[2]Sheet1!$A$2:$F$627,6,0)</f>
        <v>4817.4934000000003</v>
      </c>
      <c r="G60" s="3">
        <f>VLOOKUP(A60,[2]Sheet1!$A$2:$G$627,7,0)</f>
        <v>4594.4082340000004</v>
      </c>
      <c r="H60" s="4">
        <f t="shared" si="0"/>
        <v>0</v>
      </c>
      <c r="I60" s="11">
        <f t="shared" si="1"/>
        <v>3.1152602232472626E-2</v>
      </c>
      <c r="J60" s="11">
        <f t="shared" si="2"/>
        <v>-1.6597302197155231E-2</v>
      </c>
      <c r="K60" s="11">
        <f t="shared" si="3"/>
        <v>-4.630731118386168E-2</v>
      </c>
      <c r="L60" s="11">
        <f>IF(S60="",((BG60-E60)/E60),((U60-E60)/E60))</f>
        <v>-1.6597302197155231E-2</v>
      </c>
      <c r="M60" s="3" t="str">
        <f>IF(S60="Churn","Churn",VLOOKUP(A60,'[1]Revenue_Engine_2025 Dec.25'!$C$14:$E$3993,3,0))</f>
        <v>Churn</v>
      </c>
      <c r="N60" s="3" t="str">
        <f>IF(S60="",VLOOKUP(A60,[3]Export!$B$2:$F$417,5,0),"CHURN")</f>
        <v>CHURN</v>
      </c>
      <c r="O60" s="3" t="e">
        <f>(1-N60)*H60</f>
        <v>#VALUE!</v>
      </c>
      <c r="P60" s="3" t="e">
        <f t="shared" si="5"/>
        <v>#VALUE!</v>
      </c>
      <c r="Q60" s="3" t="e">
        <f t="shared" si="4"/>
        <v>#VALUE!</v>
      </c>
      <c r="R60" s="3" t="str">
        <f>IF(S60&lt;&gt;"Churn",VLOOKUP(A60,[3]Export!$B$2:$O$417,8,0),"CHURN")</f>
        <v>CHURN</v>
      </c>
      <c r="S60" s="3" t="s">
        <v>372</v>
      </c>
      <c r="T60" s="3" t="s">
        <v>557</v>
      </c>
      <c r="U60" s="3">
        <v>4594.4082340000004</v>
      </c>
      <c r="V60" s="4" t="str" cm="1">
        <f t="array" ref="V60">IFERROR(
    IF(
        MATCH(2,1/((Y60:BH60&lt;&gt;0)*(Y60:BH60&lt;&gt;"")))-MATCH(1,INDEX((Y60:BH60&lt;&gt;0)*(Y60:BH60&lt;&gt;""),0),0)+1 &lt;= 12,
        "No",
        "Yes"
    ),
    "No"
)</f>
        <v>Yes</v>
      </c>
      <c r="W60" s="4" t="str" cm="1">
        <f t="array" ref="W60">IFERROR(
    IF(
        MATCH(2,1/((Y60:BH60&lt;&gt;0)*(Y60:BH60&lt;&gt;"")))-MATCH(1,INDEX((Y60:BH60&lt;&gt;0)*(Y60:BH60&lt;&gt;""),0),0)+1 &lt;= 24,
        "No",
        "Yes"
    ),
    "No"
)</f>
        <v>Yes</v>
      </c>
      <c r="X60" s="3"/>
      <c r="Y60" s="4">
        <v>4671.95</v>
      </c>
      <c r="Z60" s="4">
        <v>4671.95</v>
      </c>
      <c r="AA60" s="4">
        <v>4671.95</v>
      </c>
      <c r="AB60" s="4">
        <v>4671.95</v>
      </c>
      <c r="AC60" s="4">
        <v>4671.9333999999999</v>
      </c>
      <c r="AD60" s="4">
        <v>4746.4934000000003</v>
      </c>
      <c r="AE60" s="4">
        <v>4755.4934000000003</v>
      </c>
      <c r="AF60" s="4">
        <v>4755.4934000000003</v>
      </c>
      <c r="AG60" s="4">
        <v>4797.4934000000003</v>
      </c>
      <c r="AH60" s="4">
        <v>4797.4934000000003</v>
      </c>
      <c r="AI60" s="4">
        <v>4797.4934000000003</v>
      </c>
      <c r="AJ60" s="4">
        <v>4797.4934000000003</v>
      </c>
      <c r="AK60" s="4">
        <v>4817.4934000000003</v>
      </c>
      <c r="AL60" s="4">
        <v>4867.4934000000003</v>
      </c>
      <c r="AM60" s="4">
        <v>4930.4934000000003</v>
      </c>
      <c r="AN60" s="4">
        <v>4930.4934000000003</v>
      </c>
      <c r="AO60" s="4">
        <v>4930.4934000000003</v>
      </c>
      <c r="AP60" s="4">
        <v>4513.7934000000005</v>
      </c>
      <c r="AQ60" s="4">
        <v>4513.7934000000005</v>
      </c>
      <c r="AR60" s="4">
        <v>4513.7934000000005</v>
      </c>
      <c r="AS60" s="4">
        <v>4513.7934000000005</v>
      </c>
      <c r="AT60" s="4">
        <v>4513.7934000000005</v>
      </c>
      <c r="AU60" s="4">
        <v>4594.4082340000004</v>
      </c>
      <c r="AV60" s="4">
        <v>4594.4082340000004</v>
      </c>
      <c r="AW60" s="4">
        <v>4594.4082340000004</v>
      </c>
      <c r="AX60" s="4">
        <v>4594.4082340000004</v>
      </c>
      <c r="AY60" s="4">
        <v>4594.4082340000004</v>
      </c>
      <c r="AZ60" s="4">
        <v>4594.4082340000004</v>
      </c>
      <c r="BA60" s="4">
        <v>4594.4082340000004</v>
      </c>
      <c r="BB60" s="4">
        <v>4594.4082340000004</v>
      </c>
      <c r="BC60" s="4">
        <v>1037</v>
      </c>
      <c r="BD60" s="4">
        <v>0</v>
      </c>
      <c r="BE60" s="4">
        <v>0</v>
      </c>
      <c r="BF60" s="4">
        <v>0</v>
      </c>
      <c r="BG60" s="4">
        <v>0</v>
      </c>
      <c r="BH60" s="4">
        <v>0</v>
      </c>
      <c r="BJ60" s="9"/>
    </row>
    <row r="61" spans="1:62" x14ac:dyDescent="0.25">
      <c r="A61" s="6" t="s">
        <v>57</v>
      </c>
      <c r="B61" s="6"/>
      <c r="C61" s="7" t="s">
        <v>526</v>
      </c>
      <c r="D61" s="3"/>
      <c r="E61" s="3">
        <f>VLOOKUP(A61,[2]Sheet1!$A$2:$E$627,5,0)</f>
        <v>35.947499999999998</v>
      </c>
      <c r="F61" s="3">
        <f>VLOOKUP(A61,[2]Sheet1!$A$2:$F$627,6,0)</f>
        <v>20</v>
      </c>
      <c r="G61" s="3">
        <f>VLOOKUP(A61,[2]Sheet1!$A$2:$G$627,7,0)</f>
        <v>20</v>
      </c>
      <c r="H61" s="4">
        <f t="shared" si="0"/>
        <v>0</v>
      </c>
      <c r="I61" s="11">
        <f t="shared" si="1"/>
        <v>-0.44363307601363094</v>
      </c>
      <c r="J61" s="11">
        <f t="shared" si="2"/>
        <v>-0.44363307601363094</v>
      </c>
      <c r="K61" s="11">
        <f t="shared" si="3"/>
        <v>0</v>
      </c>
      <c r="L61" s="11">
        <f>IF(S61="",((BG61-E61)/E61),((U61-E61)/E61))</f>
        <v>-0.44363307601363094</v>
      </c>
      <c r="M61" s="3" t="str">
        <f>IF(S61="Churn","Churn",VLOOKUP(A61,'[1]Revenue_Engine_2025 Dec.25'!$C$14:$E$3993,3,0))</f>
        <v>Churn</v>
      </c>
      <c r="N61" s="3" t="str">
        <f>IF(S61="",VLOOKUP(A61,[3]Export!$B$2:$F$417,5,0),"CHURN")</f>
        <v>CHURN</v>
      </c>
      <c r="O61" s="3" t="e">
        <f>(1-N61)*H61</f>
        <v>#VALUE!</v>
      </c>
      <c r="P61" s="3" t="e">
        <f t="shared" si="5"/>
        <v>#VALUE!</v>
      </c>
      <c r="Q61" s="3" t="e">
        <f t="shared" si="4"/>
        <v>#VALUE!</v>
      </c>
      <c r="R61" s="3" t="str">
        <f>IF(S61&lt;&gt;"Churn",VLOOKUP(A61,[3]Export!$B$2:$O$417,8,0),"CHURN")</f>
        <v>CHURN</v>
      </c>
      <c r="S61" s="3" t="s">
        <v>372</v>
      </c>
      <c r="T61" s="3" t="s">
        <v>552</v>
      </c>
      <c r="U61" s="3">
        <v>20</v>
      </c>
      <c r="V61" s="4" t="str" cm="1">
        <f t="array" ref="V61">IFERROR(
    IF(
        MATCH(2,1/((Y61:BH61&lt;&gt;0)*(Y61:BH61&lt;&gt;"")))-MATCH(1,INDEX((Y61:BH61&lt;&gt;0)*(Y61:BH61&lt;&gt;""),0),0)+1 &lt;= 12,
        "No",
        "Yes"
    ),
    "No"
)</f>
        <v>Yes</v>
      </c>
      <c r="W61" s="4" t="str" cm="1">
        <f t="array" ref="W61">IFERROR(
    IF(
        MATCH(2,1/((Y61:BH61&lt;&gt;0)*(Y61:BH61&lt;&gt;"")))-MATCH(1,INDEX((Y61:BH61&lt;&gt;0)*(Y61:BH61&lt;&gt;""),0),0)+1 &lt;= 24,
        "No",
        "Yes"
    ),
    "No"
)</f>
        <v>Yes</v>
      </c>
      <c r="X61" s="3"/>
      <c r="Y61" s="4">
        <v>35.947499999999998</v>
      </c>
      <c r="Z61" s="4">
        <v>31.953333333333333</v>
      </c>
      <c r="AA61" s="4">
        <v>20</v>
      </c>
      <c r="AB61" s="4">
        <v>20</v>
      </c>
      <c r="AC61" s="4">
        <v>20</v>
      </c>
      <c r="AD61" s="4">
        <v>20</v>
      </c>
      <c r="AE61" s="4">
        <v>20</v>
      </c>
      <c r="AF61" s="4">
        <v>20</v>
      </c>
      <c r="AG61" s="4">
        <v>20</v>
      </c>
      <c r="AH61" s="4">
        <v>20</v>
      </c>
      <c r="AI61" s="4">
        <v>20</v>
      </c>
      <c r="AJ61" s="4">
        <v>20</v>
      </c>
      <c r="AK61" s="4">
        <v>20</v>
      </c>
      <c r="AL61" s="4">
        <v>20</v>
      </c>
      <c r="AM61" s="4">
        <v>20</v>
      </c>
      <c r="AN61" s="4">
        <v>20</v>
      </c>
      <c r="AO61" s="4">
        <v>20</v>
      </c>
      <c r="AP61" s="4">
        <v>20</v>
      </c>
      <c r="AQ61" s="4">
        <v>20</v>
      </c>
      <c r="AR61" s="4">
        <v>20</v>
      </c>
      <c r="AS61" s="4">
        <v>20</v>
      </c>
      <c r="AT61" s="4">
        <v>20</v>
      </c>
      <c r="AU61" s="4">
        <v>20</v>
      </c>
      <c r="AV61" s="4">
        <v>20</v>
      </c>
      <c r="AW61" s="4">
        <v>20</v>
      </c>
      <c r="AX61" s="4">
        <v>20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  <c r="BH61" s="4">
        <v>0</v>
      </c>
      <c r="BJ61" s="9"/>
    </row>
    <row r="62" spans="1:62" x14ac:dyDescent="0.25">
      <c r="A62" s="6" t="s">
        <v>58</v>
      </c>
      <c r="B62" s="6"/>
      <c r="C62" s="7" t="s">
        <v>526</v>
      </c>
      <c r="D62" s="3"/>
      <c r="E62" s="3">
        <f>VLOOKUP(A62,[2]Sheet1!$A$2:$E$627,5,0)</f>
        <v>337.84297484313612</v>
      </c>
      <c r="F62" s="3">
        <f>VLOOKUP(A62,[2]Sheet1!$A$2:$F$627,6,0)</f>
        <v>531.33411664871676</v>
      </c>
      <c r="G62" s="3">
        <f>VLOOKUP(A62,[2]Sheet1!$A$2:$G$627,7,0)</f>
        <v>604.60403674125905</v>
      </c>
      <c r="H62" s="4">
        <f t="shared" si="0"/>
        <v>1012.078665664327</v>
      </c>
      <c r="I62" s="11">
        <f t="shared" si="1"/>
        <v>0.57272507115301274</v>
      </c>
      <c r="J62" s="11">
        <f t="shared" si="2"/>
        <v>0.78960073691626342</v>
      </c>
      <c r="K62" s="11">
        <f t="shared" si="3"/>
        <v>0.13789801519743847</v>
      </c>
      <c r="L62" s="11">
        <f>IF(S62="",((BG62-E62)/E62),((U62-E62)/E62))</f>
        <v>1.9957072990321771</v>
      </c>
      <c r="M62" s="3" t="str">
        <f>IF(S62="Churn","Churn",VLOOKUP(A62,'[1]Revenue_Engine_2025 Dec.25'!$C$14:$E$3993,3,0))</f>
        <v>Genel</v>
      </c>
      <c r="N62" s="3">
        <f>IF(S62="",VLOOKUP(A62,[3]Export!$B$2:$F$417,5,0),"CHURN")</f>
        <v>0.53136271842761584</v>
      </c>
      <c r="O62" s="3">
        <f>(1-N62)*H62</f>
        <v>474.29779461433606</v>
      </c>
      <c r="P62" s="3">
        <f t="shared" si="5"/>
        <v>249.0029760329187</v>
      </c>
      <c r="Q62" s="3">
        <f t="shared" si="4"/>
        <v>283.33999220611349</v>
      </c>
      <c r="R62" s="3" t="str">
        <f>IF(S62&lt;&gt;"Churn",VLOOKUP(A62,[3]Export!$B$2:$O$417,8,0),"CHURN")</f>
        <v>NO RISK</v>
      </c>
      <c r="S62" s="3"/>
      <c r="T62" s="3"/>
      <c r="U62" s="3" t="s">
        <v>551</v>
      </c>
      <c r="V62" s="4" t="str" cm="1">
        <f t="array" ref="V62">IFERROR(
    IF(
        MATCH(2,1/((Y62:BH62&lt;&gt;0)*(Y62:BH62&lt;&gt;"")))-MATCH(1,INDEX((Y62:BH62&lt;&gt;0)*(Y62:BH62&lt;&gt;""),0),0)+1 &lt;= 12,
        "No",
        "Yes"
    ),
    "No"
)</f>
        <v>Yes</v>
      </c>
      <c r="W62" s="4" t="str" cm="1">
        <f t="array" ref="W62">IFERROR(
    IF(
        MATCH(2,1/((Y62:BH62&lt;&gt;0)*(Y62:BH62&lt;&gt;"")))-MATCH(1,INDEX((Y62:BH62&lt;&gt;0)*(Y62:BH62&lt;&gt;""),0),0)+1 &lt;= 24,
        "No",
        "Yes"
    ),
    "No"
)</f>
        <v>Yes</v>
      </c>
      <c r="X62" s="3"/>
      <c r="Y62" s="4">
        <v>337.84297484313612</v>
      </c>
      <c r="Z62" s="4">
        <v>336.81250896476251</v>
      </c>
      <c r="AA62" s="4">
        <v>334.63979386281778</v>
      </c>
      <c r="AB62" s="4">
        <v>329.42731183408353</v>
      </c>
      <c r="AC62" s="4">
        <v>323.96340298386116</v>
      </c>
      <c r="AD62" s="4">
        <v>292.00142730163077</v>
      </c>
      <c r="AE62" s="4">
        <v>336.58939417006565</v>
      </c>
      <c r="AF62" s="4">
        <v>331.24772749059053</v>
      </c>
      <c r="AG62" s="4">
        <v>342.31241947637841</v>
      </c>
      <c r="AH62" s="4">
        <v>333.43375167245114</v>
      </c>
      <c r="AI62" s="4">
        <v>550.50048661962217</v>
      </c>
      <c r="AJ62" s="4">
        <v>544.13952185787639</v>
      </c>
      <c r="AK62" s="4">
        <v>531.33411664871676</v>
      </c>
      <c r="AL62" s="4">
        <v>522.39421439787327</v>
      </c>
      <c r="AM62" s="4">
        <v>507.84025364838868</v>
      </c>
      <c r="AN62" s="4">
        <v>504.19901359520827</v>
      </c>
      <c r="AO62" s="4">
        <v>504.72519869534824</v>
      </c>
      <c r="AP62" s="4">
        <v>501.65613766424167</v>
      </c>
      <c r="AQ62" s="4">
        <v>497.49288718609097</v>
      </c>
      <c r="AR62" s="4">
        <v>489.84530166276443</v>
      </c>
      <c r="AS62" s="4">
        <v>485.86569503583684</v>
      </c>
      <c r="AT62" s="4">
        <v>483.7408923141756</v>
      </c>
      <c r="AU62" s="4">
        <v>619.09494515440861</v>
      </c>
      <c r="AV62" s="4">
        <v>611.68053279393052</v>
      </c>
      <c r="AW62" s="4">
        <v>604.60403674125905</v>
      </c>
      <c r="AX62" s="4">
        <v>1005.2033841109449</v>
      </c>
      <c r="AY62" s="4">
        <v>993.87159867592618</v>
      </c>
      <c r="AZ62" s="4">
        <v>982.04112494187007</v>
      </c>
      <c r="BA62" s="4">
        <v>974.81499968184198</v>
      </c>
      <c r="BB62" s="4">
        <v>967.61942242128953</v>
      </c>
      <c r="BC62" s="4">
        <v>915.83521279219121</v>
      </c>
      <c r="BD62" s="4">
        <v>909.54242899497126</v>
      </c>
      <c r="BE62" s="4">
        <v>904.67266515882739</v>
      </c>
      <c r="BF62" s="4">
        <v>899.8939728192363</v>
      </c>
      <c r="BG62" s="4">
        <v>1012.078665664327</v>
      </c>
      <c r="BH62" s="4">
        <v>1007.1575139272898</v>
      </c>
      <c r="BJ62" s="9"/>
    </row>
    <row r="63" spans="1:62" x14ac:dyDescent="0.25">
      <c r="A63" s="6" t="s">
        <v>59</v>
      </c>
      <c r="B63" s="6"/>
      <c r="C63" s="7" t="s">
        <v>525</v>
      </c>
      <c r="D63" s="3"/>
      <c r="E63" s="3">
        <f>VLOOKUP(A63,[2]Sheet1!$A$2:$E$627,5,0)</f>
        <v>3569.2072400750121</v>
      </c>
      <c r="F63" s="3">
        <f>VLOOKUP(A63,[2]Sheet1!$A$2:$F$627,6,0)</f>
        <v>5714.4161934929598</v>
      </c>
      <c r="G63" s="3">
        <f>VLOOKUP(A63,[2]Sheet1!$A$2:$G$627,7,0)</f>
        <v>7565.8873644774303</v>
      </c>
      <c r="H63" s="4">
        <f t="shared" si="0"/>
        <v>10457.353256263636</v>
      </c>
      <c r="I63" s="11">
        <f t="shared" si="1"/>
        <v>0.60103233270726608</v>
      </c>
      <c r="J63" s="11">
        <f t="shared" si="2"/>
        <v>1.1197668993629022</v>
      </c>
      <c r="K63" s="11">
        <f t="shared" si="3"/>
        <v>0.32400005674993571</v>
      </c>
      <c r="L63" s="11">
        <f>IF(S63="",((BG63-E63)/E63),((U63-E63)/E63))</f>
        <v>1.8832167964629607</v>
      </c>
      <c r="M63" s="3" t="str">
        <f>IF(S63="Churn","Churn",VLOOKUP(A63,'[1]Revenue_Engine_2025 Dec.25'!$C$14:$E$3993,3,0))</f>
        <v>Perakende</v>
      </c>
      <c r="N63" s="3">
        <f>IF(S63="",VLOOKUP(A63,[3]Export!$B$2:$F$417,5,0),"CHURN")</f>
        <v>0.33254149998167287</v>
      </c>
      <c r="O63" s="3">
        <f>(1-N63)*H63</f>
        <v>6979.8493185874941</v>
      </c>
      <c r="P63" s="3">
        <f t="shared" si="5"/>
        <v>3814.1356609892491</v>
      </c>
      <c r="Q63" s="3">
        <f t="shared" si="4"/>
        <v>5049.9158316017192</v>
      </c>
      <c r="R63" s="3" t="str">
        <f>IF(S63&lt;&gt;"Churn",VLOOKUP(A63,[3]Export!$B$2:$O$417,8,0),"CHURN")</f>
        <v>NO RISK</v>
      </c>
      <c r="S63" s="3"/>
      <c r="T63" s="3"/>
      <c r="U63" s="3" t="s">
        <v>551</v>
      </c>
      <c r="V63" s="4" t="str" cm="1">
        <f t="array" ref="V63">IFERROR(
    IF(
        MATCH(2,1/((Y63:BH63&lt;&gt;0)*(Y63:BH63&lt;&gt;"")))-MATCH(1,INDEX((Y63:BH63&lt;&gt;0)*(Y63:BH63&lt;&gt;""),0),0)+1 &lt;= 12,
        "No",
        "Yes"
    ),
    "No"
)</f>
        <v>Yes</v>
      </c>
      <c r="W63" s="4" t="str" cm="1">
        <f t="array" ref="W63">IFERROR(
    IF(
        MATCH(2,1/((Y63:BH63&lt;&gt;0)*(Y63:BH63&lt;&gt;"")))-MATCH(1,INDEX((Y63:BH63&lt;&gt;0)*(Y63:BH63&lt;&gt;""),0),0)+1 &lt;= 24,
        "No",
        "Yes"
    ),
    "No"
)</f>
        <v>Yes</v>
      </c>
      <c r="X63" s="3"/>
      <c r="Y63" s="4">
        <v>3396.4921381468471</v>
      </c>
      <c r="Z63" s="4">
        <v>3569.2072400750121</v>
      </c>
      <c r="AA63" s="4">
        <v>3550.9993606003236</v>
      </c>
      <c r="AB63" s="4">
        <v>3529.816222592859</v>
      </c>
      <c r="AC63" s="4">
        <v>4485.0489101182975</v>
      </c>
      <c r="AD63" s="4">
        <v>3949.0456784383446</v>
      </c>
      <c r="AE63" s="4">
        <v>2119.4769774399642</v>
      </c>
      <c r="AF63" s="4">
        <v>3597.0454233251471</v>
      </c>
      <c r="AG63" s="4">
        <v>6564.5038336185426</v>
      </c>
      <c r="AH63" s="4">
        <v>5737.1205614887303</v>
      </c>
      <c r="AI63" s="4">
        <v>5769.7546959744459</v>
      </c>
      <c r="AJ63" s="4">
        <v>5639.6852902527617</v>
      </c>
      <c r="AK63" s="4">
        <v>5714.4161934929598</v>
      </c>
      <c r="AL63" s="4">
        <v>5650.9618662213561</v>
      </c>
      <c r="AM63" s="4">
        <v>5544.2057649285989</v>
      </c>
      <c r="AN63" s="4">
        <v>5516.1205296255193</v>
      </c>
      <c r="AO63" s="4">
        <v>6889.0884930993234</v>
      </c>
      <c r="AP63" s="4">
        <v>6659.3446190581326</v>
      </c>
      <c r="AQ63" s="4">
        <v>6366.0298563947154</v>
      </c>
      <c r="AR63" s="4">
        <v>6391.7198433495969</v>
      </c>
      <c r="AS63" s="4">
        <v>6712.930922349864</v>
      </c>
      <c r="AT63" s="4">
        <v>6688.2591227409448</v>
      </c>
      <c r="AU63" s="4">
        <v>7398.00812232316</v>
      </c>
      <c r="AV63" s="4">
        <v>7634.0877274299301</v>
      </c>
      <c r="AW63" s="4">
        <v>7565.8873644774303</v>
      </c>
      <c r="AX63" s="4">
        <v>8046.8605865745212</v>
      </c>
      <c r="AY63" s="4">
        <v>8269.1737713863804</v>
      </c>
      <c r="AZ63" s="4">
        <v>8117.4035603274751</v>
      </c>
      <c r="BA63" s="4">
        <v>18345.217789914797</v>
      </c>
      <c r="BB63" s="4">
        <v>11217.379346739695</v>
      </c>
      <c r="BC63" s="4">
        <v>11070.647079625785</v>
      </c>
      <c r="BD63" s="4">
        <v>10955.425777962753</v>
      </c>
      <c r="BE63" s="4">
        <v>10881.260069101134</v>
      </c>
      <c r="BF63" s="4">
        <v>10457.353256263636</v>
      </c>
      <c r="BG63" s="4">
        <v>10290.798264641482</v>
      </c>
      <c r="BH63" s="4">
        <v>9074.7603943960294</v>
      </c>
      <c r="BJ63" s="9"/>
    </row>
    <row r="64" spans="1:62" x14ac:dyDescent="0.25">
      <c r="A64" s="6" t="s">
        <v>60</v>
      </c>
      <c r="B64" s="6"/>
      <c r="C64" s="7" t="s">
        <v>526</v>
      </c>
      <c r="D64" s="3"/>
      <c r="E64" s="3">
        <f>VLOOKUP(A64,[2]Sheet1!$A$2:$E$627,5,0)</f>
        <v>795.61452241897859</v>
      </c>
      <c r="F64" s="3">
        <f>VLOOKUP(A64,[2]Sheet1!$A$2:$F$627,6,0)</f>
        <v>759.7996755015688</v>
      </c>
      <c r="G64" s="3">
        <f>VLOOKUP(A64,[2]Sheet1!$A$2:$G$627,7,0)</f>
        <v>619.25372664164581</v>
      </c>
      <c r="H64" s="4">
        <f t="shared" si="0"/>
        <v>603.30449940045798</v>
      </c>
      <c r="I64" s="11">
        <f t="shared" si="1"/>
        <v>-4.5015325774243893E-2</v>
      </c>
      <c r="J64" s="11">
        <f t="shared" si="2"/>
        <v>-0.22166613455109788</v>
      </c>
      <c r="K64" s="11">
        <f t="shared" si="3"/>
        <v>-0.18497763738467507</v>
      </c>
      <c r="L64" s="11">
        <f>IF(S64="",((BG64-E64)/E64),((U64-E64)/E64))</f>
        <v>-0.24636566042155858</v>
      </c>
      <c r="M64" s="3" t="str">
        <f>IF(S64="Churn","Churn",VLOOKUP(A64,'[1]Revenue_Engine_2025 Dec.25'!$C$14:$E$3993,3,0))</f>
        <v>Diğer</v>
      </c>
      <c r="N64" s="3">
        <f>IF(S64="",VLOOKUP(A64,[3]Export!$B$2:$F$417,5,0),"CHURN")</f>
        <v>0.53348462777719952</v>
      </c>
      <c r="O64" s="3">
        <f>(1-N64)*H64</f>
        <v>281.45082310149496</v>
      </c>
      <c r="P64" s="3">
        <f t="shared" si="5"/>
        <v>354.45822843137739</v>
      </c>
      <c r="Q64" s="3">
        <f t="shared" si="4"/>
        <v>288.89138278458375</v>
      </c>
      <c r="R64" s="3" t="str">
        <f>IF(S64&lt;&gt;"Churn",VLOOKUP(A64,[3]Export!$B$2:$O$417,8,0),"CHURN")</f>
        <v>NO RISK</v>
      </c>
      <c r="S64" s="3"/>
      <c r="T64" s="3"/>
      <c r="U64" s="3" t="s">
        <v>551</v>
      </c>
      <c r="V64" s="4" t="str" cm="1">
        <f t="array" ref="V64">IFERROR(
    IF(
        MATCH(2,1/((Y64:BH64&lt;&gt;0)*(Y64:BH64&lt;&gt;"")))-MATCH(1,INDEX((Y64:BH64&lt;&gt;0)*(Y64:BH64&lt;&gt;""),0),0)+1 &lt;= 12,
        "No",
        "Yes"
    ),
    "No"
)</f>
        <v>Yes</v>
      </c>
      <c r="W64" s="4" t="str" cm="1">
        <f t="array" ref="W64">IFERROR(
    IF(
        MATCH(2,1/((Y64:BH64&lt;&gt;0)*(Y64:BH64&lt;&gt;"")))-MATCH(1,INDEX((Y64:BH64&lt;&gt;0)*(Y64:BH64&lt;&gt;""),0),0)+1 &lt;= 24,
        "No",
        "Yes"
    ),
    "No"
)</f>
        <v>Yes</v>
      </c>
      <c r="X64" s="3"/>
      <c r="Y64" s="4">
        <v>681.98689643606656</v>
      </c>
      <c r="Z64" s="4">
        <v>681.41967142042563</v>
      </c>
      <c r="AA64" s="4">
        <v>795.61452241897859</v>
      </c>
      <c r="AB64" s="4">
        <v>790.68927002346402</v>
      </c>
      <c r="AC64" s="4">
        <v>785.86651745667166</v>
      </c>
      <c r="AD64" s="4">
        <v>744.81252058334178</v>
      </c>
      <c r="AE64" s="4">
        <v>785.52487090562045</v>
      </c>
      <c r="AF64" s="4">
        <v>780.48165752035152</v>
      </c>
      <c r="AG64" s="4">
        <v>790.56017016032342</v>
      </c>
      <c r="AH64" s="4">
        <v>782.45397169307989</v>
      </c>
      <c r="AI64" s="4">
        <v>775.4368943669117</v>
      </c>
      <c r="AJ64" s="4">
        <v>771.57471601808834</v>
      </c>
      <c r="AK64" s="4">
        <v>759.7996755015688</v>
      </c>
      <c r="AL64" s="4">
        <v>754.37164717456881</v>
      </c>
      <c r="AM64" s="4">
        <v>872.45841253579465</v>
      </c>
      <c r="AN64" s="4">
        <v>873.98342144525475</v>
      </c>
      <c r="AO64" s="4">
        <v>886.98558238720193</v>
      </c>
      <c r="AP64" s="4">
        <v>884.05664620511652</v>
      </c>
      <c r="AQ64" s="4">
        <v>881.08347824366251</v>
      </c>
      <c r="AR64" s="4">
        <v>877.78506035042574</v>
      </c>
      <c r="AS64" s="4">
        <v>873.98715156922685</v>
      </c>
      <c r="AT64" s="4">
        <v>871.95936147049963</v>
      </c>
      <c r="AU64" s="4">
        <v>870.16293657468987</v>
      </c>
      <c r="AV64" s="4">
        <v>624.06349378846403</v>
      </c>
      <c r="AW64" s="4">
        <v>619.25372664164581</v>
      </c>
      <c r="AX64" s="4">
        <v>613.71400167438719</v>
      </c>
      <c r="AY64" s="4">
        <v>702.72709948940292</v>
      </c>
      <c r="AZ64" s="4">
        <v>688.10257212986664</v>
      </c>
      <c r="BA64" s="4">
        <v>630.11304624489776</v>
      </c>
      <c r="BB64" s="4">
        <v>624.81762109758063</v>
      </c>
      <c r="BC64" s="4">
        <v>617.62075959805543</v>
      </c>
      <c r="BD64" s="4">
        <v>611.9694344589152</v>
      </c>
      <c r="BE64" s="4">
        <v>607.59607289498661</v>
      </c>
      <c r="BF64" s="4">
        <v>603.30449940045798</v>
      </c>
      <c r="BG64" s="4">
        <v>599.602425162244</v>
      </c>
      <c r="BH64" s="4">
        <v>599.01903292543454</v>
      </c>
      <c r="BJ64" s="9"/>
    </row>
    <row r="65" spans="1:62" x14ac:dyDescent="0.25">
      <c r="A65" s="6" t="s">
        <v>61</v>
      </c>
      <c r="B65" s="6"/>
      <c r="C65" s="7" t="s">
        <v>526</v>
      </c>
      <c r="D65" s="3"/>
      <c r="E65" s="3">
        <f>VLOOKUP(A65,[2]Sheet1!$A$2:$E$627,5,0)</f>
        <v>300</v>
      </c>
      <c r="F65" s="3">
        <f>VLOOKUP(A65,[2]Sheet1!$A$2:$F$627,6,0)</f>
        <v>318</v>
      </c>
      <c r="G65" s="3">
        <f>VLOOKUP(A65,[2]Sheet1!$A$2:$G$627,7,0)</f>
        <v>365.7</v>
      </c>
      <c r="H65" s="4">
        <f t="shared" si="0"/>
        <v>365.7</v>
      </c>
      <c r="I65" s="11">
        <f t="shared" si="1"/>
        <v>0.06</v>
      </c>
      <c r="J65" s="11">
        <f t="shared" si="2"/>
        <v>0.21899999999999997</v>
      </c>
      <c r="K65" s="11">
        <f t="shared" si="3"/>
        <v>0.14999999999999997</v>
      </c>
      <c r="L65" s="11">
        <f>IF(S65="",((BG65-E65)/E65),((U65-E65)/E65))</f>
        <v>0.21899999999999997</v>
      </c>
      <c r="M65" s="3" t="str">
        <f>IF(S65="Churn","Churn",VLOOKUP(A65,'[1]Revenue_Engine_2025 Dec.25'!$C$14:$E$3993,3,0))</f>
        <v>Üretim</v>
      </c>
      <c r="N65" s="3">
        <f>IF(S65="",VLOOKUP(A65,[3]Export!$B$2:$F$417,5,0),"CHURN")</f>
        <v>0</v>
      </c>
      <c r="O65" s="3">
        <f>(1-N65)*H65</f>
        <v>365.7</v>
      </c>
      <c r="P65" s="3">
        <f t="shared" si="5"/>
        <v>318</v>
      </c>
      <c r="Q65" s="3">
        <f t="shared" si="4"/>
        <v>365.7</v>
      </c>
      <c r="R65" s="3" t="str">
        <f>IF(S65&lt;&gt;"Churn",VLOOKUP(A65,[3]Export!$B$2:$O$417,8,0),"CHURN")</f>
        <v>NO RISK</v>
      </c>
      <c r="S65" s="3"/>
      <c r="T65" s="3"/>
      <c r="U65" s="3" t="s">
        <v>551</v>
      </c>
      <c r="V65" s="4" t="str" cm="1">
        <f t="array" ref="V65">IFERROR(
    IF(
        MATCH(2,1/((Y65:BH65&lt;&gt;0)*(Y65:BH65&lt;&gt;"")))-MATCH(1,INDEX((Y65:BH65&lt;&gt;0)*(Y65:BH65&lt;&gt;""),0),0)+1 &lt;= 12,
        "No",
        "Yes"
    ),
    "No"
)</f>
        <v>Yes</v>
      </c>
      <c r="W65" s="4" t="str" cm="1">
        <f t="array" ref="W65">IFERROR(
    IF(
        MATCH(2,1/((Y65:BH65&lt;&gt;0)*(Y65:BH65&lt;&gt;"")))-MATCH(1,INDEX((Y65:BH65&lt;&gt;0)*(Y65:BH65&lt;&gt;""),0),0)+1 &lt;= 24,
        "No",
        "Yes"
    ),
    "No"
)</f>
        <v>Yes</v>
      </c>
      <c r="X65" s="3"/>
      <c r="Y65" s="4">
        <v>300</v>
      </c>
      <c r="Z65" s="4">
        <v>300</v>
      </c>
      <c r="AA65" s="4">
        <v>300</v>
      </c>
      <c r="AB65" s="4">
        <v>300</v>
      </c>
      <c r="AC65" s="4">
        <v>300</v>
      </c>
      <c r="AD65" s="4">
        <v>300</v>
      </c>
      <c r="AE65" s="4">
        <v>300</v>
      </c>
      <c r="AF65" s="4">
        <v>318</v>
      </c>
      <c r="AG65" s="4">
        <v>318</v>
      </c>
      <c r="AH65" s="4">
        <v>318</v>
      </c>
      <c r="AI65" s="4">
        <v>318</v>
      </c>
      <c r="AJ65" s="4">
        <v>318</v>
      </c>
      <c r="AK65" s="4">
        <v>318</v>
      </c>
      <c r="AL65" s="4">
        <v>318</v>
      </c>
      <c r="AM65" s="4">
        <v>318</v>
      </c>
      <c r="AN65" s="4">
        <v>318</v>
      </c>
      <c r="AO65" s="4">
        <v>318</v>
      </c>
      <c r="AP65" s="4">
        <v>318</v>
      </c>
      <c r="AQ65" s="4">
        <v>318</v>
      </c>
      <c r="AR65" s="4">
        <v>318</v>
      </c>
      <c r="AS65" s="4">
        <v>318</v>
      </c>
      <c r="AT65" s="4">
        <v>318</v>
      </c>
      <c r="AU65" s="4">
        <v>318</v>
      </c>
      <c r="AV65" s="4">
        <v>318</v>
      </c>
      <c r="AW65" s="4">
        <v>365.7</v>
      </c>
      <c r="AX65" s="4">
        <v>365.7</v>
      </c>
      <c r="AY65" s="4">
        <v>365.7</v>
      </c>
      <c r="AZ65" s="4">
        <v>365.7</v>
      </c>
      <c r="BA65" s="4">
        <v>365.7</v>
      </c>
      <c r="BB65" s="4">
        <v>365.7</v>
      </c>
      <c r="BC65" s="4">
        <v>365.7</v>
      </c>
      <c r="BD65" s="4">
        <v>365.7</v>
      </c>
      <c r="BE65" s="4">
        <v>365.7</v>
      </c>
      <c r="BF65" s="4">
        <v>365.7</v>
      </c>
      <c r="BG65" s="4">
        <v>365.7</v>
      </c>
      <c r="BH65" s="4">
        <v>365.7</v>
      </c>
      <c r="BJ65" s="9"/>
    </row>
    <row r="66" spans="1:62" x14ac:dyDescent="0.25">
      <c r="A66" s="6" t="s">
        <v>62</v>
      </c>
      <c r="B66" s="6"/>
      <c r="C66" s="7" t="s">
        <v>526</v>
      </c>
      <c r="D66" s="3"/>
      <c r="E66" s="3">
        <f>VLOOKUP(A66,[2]Sheet1!$A$2:$E$627,5,0)</f>
        <v>2003.3602248577499</v>
      </c>
      <c r="F66" s="3">
        <f>VLOOKUP(A66,[2]Sheet1!$A$2:$F$627,6,0)</f>
        <v>2167.9882558289628</v>
      </c>
      <c r="G66" s="3">
        <f>VLOOKUP(A66,[2]Sheet1!$A$2:$G$627,7,0)</f>
        <v>2329.4530413000721</v>
      </c>
      <c r="H66" s="4">
        <f t="shared" si="0"/>
        <v>2322.8380809445116</v>
      </c>
      <c r="I66" s="11">
        <f t="shared" si="1"/>
        <v>8.2175950649565482E-2</v>
      </c>
      <c r="J66" s="11">
        <f t="shared" si="2"/>
        <v>0.16277293139603818</v>
      </c>
      <c r="K66" s="11">
        <f t="shared" si="3"/>
        <v>7.4476780506991636E-2</v>
      </c>
      <c r="L66" s="11">
        <f>IF(S66="",((BG66-E66)/E66),((U66-E66)/E66))</f>
        <v>0.15865856161074135</v>
      </c>
      <c r="M66" s="3" t="str">
        <f>IF(S66="Churn","Churn",VLOOKUP(A66,'[1]Revenue_Engine_2025 Dec.25'!$C$14:$E$3993,3,0))</f>
        <v>Perakende</v>
      </c>
      <c r="N66" s="3">
        <f>IF(S66="",VLOOKUP(A66,[3]Export!$B$2:$F$417,5,0),"CHURN")</f>
        <v>0.18616710070840364</v>
      </c>
      <c r="O66" s="3">
        <f>(1-N66)*H66</f>
        <v>1890.4020499999997</v>
      </c>
      <c r="P66" s="3">
        <f t="shared" si="5"/>
        <v>1764.380167871416</v>
      </c>
      <c r="Q66" s="3">
        <f t="shared" si="4"/>
        <v>1895.7855223648646</v>
      </c>
      <c r="R66" s="3" t="str">
        <f>IF(S66&lt;&gt;"Churn",VLOOKUP(A66,[3]Export!$B$2:$O$417,8,0),"CHURN")</f>
        <v>NO RISK</v>
      </c>
      <c r="S66" s="3"/>
      <c r="T66" s="3"/>
      <c r="U66" s="3" t="s">
        <v>551</v>
      </c>
      <c r="V66" s="4" t="str" cm="1">
        <f t="array" ref="V66">IFERROR(
    IF(
        MATCH(2,1/((Y66:BH66&lt;&gt;0)*(Y66:BH66&lt;&gt;"")))-MATCH(1,INDEX((Y66:BH66&lt;&gt;0)*(Y66:BH66&lt;&gt;""),0),0)+1 &lt;= 12,
        "No",
        "Yes"
    ),
    "No"
)</f>
        <v>Yes</v>
      </c>
      <c r="W66" s="4" t="str" cm="1">
        <f t="array" ref="W66">IFERROR(
    IF(
        MATCH(2,1/((Y66:BH66&lt;&gt;0)*(Y66:BH66&lt;&gt;"")))-MATCH(1,INDEX((Y66:BH66&lt;&gt;0)*(Y66:BH66&lt;&gt;""),0),0)+1 &lt;= 24,
        "No",
        "Yes"
    ),
    "No"
)</f>
        <v>Yes</v>
      </c>
      <c r="X66" s="3"/>
      <c r="Y66" s="4">
        <v>1985.977302847273</v>
      </c>
      <c r="Z66" s="4">
        <v>1985.882879561404</v>
      </c>
      <c r="AA66" s="4">
        <v>2003.3602248577499</v>
      </c>
      <c r="AB66" s="4">
        <v>2022.9685498365802</v>
      </c>
      <c r="AC66" s="4">
        <v>2022.1349154538802</v>
      </c>
      <c r="AD66" s="4">
        <v>2015.3060263666198</v>
      </c>
      <c r="AE66" s="4">
        <v>2022.0780002575259</v>
      </c>
      <c r="AF66" s="4">
        <v>2024.4667468892001</v>
      </c>
      <c r="AG66" s="4">
        <v>2031.8277047213548</v>
      </c>
      <c r="AH66" s="4">
        <v>2055.3322023641504</v>
      </c>
      <c r="AI66" s="4">
        <v>2054.2107592791494</v>
      </c>
      <c r="AJ66" s="4">
        <v>2053.5935203631443</v>
      </c>
      <c r="AK66" s="4">
        <v>2052.3509423325077</v>
      </c>
      <c r="AL66" s="4">
        <v>2051.4834551247386</v>
      </c>
      <c r="AM66" s="4">
        <v>2167.9882558289628</v>
      </c>
      <c r="AN66" s="4">
        <v>2206.4604105175981</v>
      </c>
      <c r="AO66" s="4">
        <v>2216.6728507934045</v>
      </c>
      <c r="AP66" s="4">
        <v>2215.3851524524089</v>
      </c>
      <c r="AQ66" s="4">
        <v>2213.6383606227491</v>
      </c>
      <c r="AR66" s="4">
        <v>2210.4296322556047</v>
      </c>
      <c r="AS66" s="4">
        <v>2301.4164105902933</v>
      </c>
      <c r="AT66" s="4">
        <v>2297.8743805531249</v>
      </c>
      <c r="AU66" s="4">
        <v>2297.0845875312743</v>
      </c>
      <c r="AV66" s="4">
        <v>2294.8690110516445</v>
      </c>
      <c r="AW66" s="4">
        <v>2292.7544108041502</v>
      </c>
      <c r="AX66" s="4">
        <v>2290.3188867071958</v>
      </c>
      <c r="AY66" s="4">
        <v>2329.4530413000721</v>
      </c>
      <c r="AZ66" s="4">
        <v>2324.7820037664242</v>
      </c>
      <c r="BA66" s="4">
        <v>2321.9372389845676</v>
      </c>
      <c r="BB66" s="4">
        <v>2322.2962021659359</v>
      </c>
      <c r="BC66" s="4">
        <v>2319.1321263392051</v>
      </c>
      <c r="BD66" s="4">
        <v>2316.6475403480854</v>
      </c>
      <c r="BE66" s="4">
        <v>2314.7248067221994</v>
      </c>
      <c r="BF66" s="4">
        <v>2322.8380809445116</v>
      </c>
      <c r="BG66" s="4">
        <v>2321.2104765218519</v>
      </c>
      <c r="BH66" s="4">
        <v>2319.7150865089311</v>
      </c>
      <c r="BJ66" s="9"/>
    </row>
    <row r="67" spans="1:62" x14ac:dyDescent="0.25">
      <c r="A67" s="6" t="s">
        <v>63</v>
      </c>
      <c r="B67" s="6"/>
      <c r="C67" s="7" t="s">
        <v>526</v>
      </c>
      <c r="D67" s="3"/>
      <c r="E67" s="3">
        <f>VLOOKUP(A67,[2]Sheet1!$A$2:$E$627,5,0)</f>
        <v>568.08804362155979</v>
      </c>
      <c r="F67" s="3">
        <f>VLOOKUP(A67,[2]Sheet1!$A$2:$F$627,6,0)</f>
        <v>894.72602966233103</v>
      </c>
      <c r="G67" s="3">
        <f>VLOOKUP(A67,[2]Sheet1!$A$2:$G$627,7,0)</f>
        <v>1676.6959130005364</v>
      </c>
      <c r="H67" s="4">
        <f t="shared" ref="H67:H130" si="6">MAX(BF67:BH67)</f>
        <v>2741.6513015564365</v>
      </c>
      <c r="I67" s="11">
        <f t="shared" ref="I67:I130" si="7">(F67-E67)/E67</f>
        <v>0.57497775161479359</v>
      </c>
      <c r="J67" s="11">
        <f t="shared" ref="J67:J130" si="8">(G67-E67)/E67</f>
        <v>1.9514719273294405</v>
      </c>
      <c r="K67" s="11">
        <f t="shared" ref="K67:K130" si="9">(G67-F67)/F67</f>
        <v>0.87397690177105969</v>
      </c>
      <c r="L67" s="11">
        <f>IF(S67="",((BG67-E67)/E67),((U67-E67)/E67))</f>
        <v>3.8261028063157543</v>
      </c>
      <c r="M67" s="3" t="str">
        <f>IF(S67="Churn","Churn",VLOOKUP(A67,'[1]Revenue_Engine_2025 Dec.25'!$C$14:$E$3993,3,0))</f>
        <v>Üretim</v>
      </c>
      <c r="N67" s="3">
        <f>IF(S67="",VLOOKUP(A67,[3]Export!$B$2:$F$417,5,0),"CHURN")</f>
        <v>0.54238122582447679</v>
      </c>
      <c r="O67" s="3">
        <f>(1-N67)*H67</f>
        <v>1254.6311078349843</v>
      </c>
      <c r="P67" s="3">
        <f t="shared" si="5"/>
        <v>409.44342891700876</v>
      </c>
      <c r="Q67" s="3">
        <f t="shared" ref="Q67:Q130" si="10">(1-N67)*G67</f>
        <v>767.28752837241518</v>
      </c>
      <c r="R67" s="3" t="str">
        <f>IF(S67&lt;&gt;"Churn",VLOOKUP(A67,[3]Export!$B$2:$O$417,8,0),"CHURN")</f>
        <v>NO RISK</v>
      </c>
      <c r="S67" s="3"/>
      <c r="T67" s="3"/>
      <c r="U67" s="3" t="s">
        <v>551</v>
      </c>
      <c r="V67" s="4" t="str" cm="1">
        <f t="array" ref="V67">IFERROR(
    IF(
        MATCH(2,1/((Y67:BH67&lt;&gt;0)*(Y67:BH67&lt;&gt;"")))-MATCH(1,INDEX((Y67:BH67&lt;&gt;0)*(Y67:BH67&lt;&gt;""),0),0)+1 &lt;= 12,
        "No",
        "Yes"
    ),
    "No"
)</f>
        <v>Yes</v>
      </c>
      <c r="W67" s="4" t="str" cm="1">
        <f t="array" ref="W67">IFERROR(
    IF(
        MATCH(2,1/((Y67:BH67&lt;&gt;0)*(Y67:BH67&lt;&gt;"")))-MATCH(1,INDEX((Y67:BH67&lt;&gt;0)*(Y67:BH67&lt;&gt;""),0),0)+1 &lt;= 24,
        "No",
        "Yes"
    ),
    "No"
)</f>
        <v>Yes</v>
      </c>
      <c r="X67" s="3"/>
      <c r="Y67" s="4">
        <v>567.54222610790953</v>
      </c>
      <c r="Z67" s="4">
        <v>566.02135924393178</v>
      </c>
      <c r="AA67" s="4">
        <v>568.08804362155979</v>
      </c>
      <c r="AB67" s="4">
        <v>569.30124054055455</v>
      </c>
      <c r="AC67" s="4">
        <v>998.57622363713961</v>
      </c>
      <c r="AD67" s="4">
        <v>901.60242457522827</v>
      </c>
      <c r="AE67" s="4">
        <v>843.25716838792505</v>
      </c>
      <c r="AF67" s="4">
        <v>834.6596359556072</v>
      </c>
      <c r="AG67" s="4">
        <v>1076.1492549175368</v>
      </c>
      <c r="AH67" s="4">
        <v>653.1117222495443</v>
      </c>
      <c r="AI67" s="4">
        <v>778.37519506418175</v>
      </c>
      <c r="AJ67" s="4">
        <v>909.72473103429274</v>
      </c>
      <c r="AK67" s="4">
        <v>894.72602966233103</v>
      </c>
      <c r="AL67" s="4">
        <v>888.25491047751848</v>
      </c>
      <c r="AM67" s="4">
        <v>1121.8488631251137</v>
      </c>
      <c r="AN67" s="4">
        <v>1115.0876006302867</v>
      </c>
      <c r="AO67" s="4">
        <v>1116.0646511765162</v>
      </c>
      <c r="AP67" s="4">
        <v>1447.2325684840796</v>
      </c>
      <c r="AQ67" s="4">
        <v>1435.5998463828737</v>
      </c>
      <c r="AR67" s="4">
        <v>1415.2313897874928</v>
      </c>
      <c r="AS67" s="4">
        <v>1408.911795084719</v>
      </c>
      <c r="AT67" s="4">
        <v>1402.9747899223605</v>
      </c>
      <c r="AU67" s="4">
        <v>1403.7151805146086</v>
      </c>
      <c r="AV67" s="4">
        <v>1388.9605972586728</v>
      </c>
      <c r="AW67" s="4">
        <v>1676.6959130005364</v>
      </c>
      <c r="AX67" s="4">
        <v>1755.8894597508934</v>
      </c>
      <c r="AY67" s="4">
        <v>1629.3783085803564</v>
      </c>
      <c r="AZ67" s="4">
        <v>1600.6564488890413</v>
      </c>
      <c r="BA67" s="4">
        <v>1605.3329624238349</v>
      </c>
      <c r="BB67" s="4">
        <v>1677.8332886318085</v>
      </c>
      <c r="BC67" s="4">
        <v>1667.0740772086003</v>
      </c>
      <c r="BD67" s="4">
        <v>1650.6054166095037</v>
      </c>
      <c r="BE67" s="4">
        <v>1926.2757799695651</v>
      </c>
      <c r="BF67" s="4">
        <v>2531.4396038821246</v>
      </c>
      <c r="BG67" s="4">
        <v>2741.6513015564365</v>
      </c>
      <c r="BH67" s="4">
        <v>2731.7393602213037</v>
      </c>
      <c r="BJ67" s="9"/>
    </row>
    <row r="68" spans="1:62" x14ac:dyDescent="0.25">
      <c r="A68" s="6" t="s">
        <v>64</v>
      </c>
      <c r="B68" s="6"/>
      <c r="C68" s="7" t="s">
        <v>526</v>
      </c>
      <c r="D68" s="3"/>
      <c r="E68" s="3">
        <f>VLOOKUP(A68,[2]Sheet1!$A$2:$E$627,5,0)</f>
        <v>900</v>
      </c>
      <c r="F68" s="3">
        <f>VLOOKUP(A68,[2]Sheet1!$A$2:$F$627,6,0)</f>
        <v>971.99679999999989</v>
      </c>
      <c r="G68" s="3">
        <f>VLOOKUP(A68,[2]Sheet1!$A$2:$G$627,7,0)</f>
        <v>1250.1624666666667</v>
      </c>
      <c r="H68" s="4">
        <f t="shared" si="6"/>
        <v>1248.1708000000001</v>
      </c>
      <c r="I68" s="11">
        <f t="shared" si="7"/>
        <v>7.9996444444444328E-2</v>
      </c>
      <c r="J68" s="11">
        <f t="shared" si="8"/>
        <v>0.38906940740740742</v>
      </c>
      <c r="K68" s="11">
        <f t="shared" si="9"/>
        <v>0.28617961156525085</v>
      </c>
      <c r="L68" s="11">
        <f>IF(S68="",((BG68-E68)/E68),((U68-E68)/E68))</f>
        <v>0.38685644444444456</v>
      </c>
      <c r="M68" s="3" t="str">
        <f>IF(S68="Churn","Churn",VLOOKUP(A68,'[1]Revenue_Engine_2025 Dec.25'!$C$14:$E$3993,3,0))</f>
        <v>Diğer</v>
      </c>
      <c r="N68" s="3">
        <f>IF(S68="",VLOOKUP(A68,[3]Export!$B$2:$F$417,5,0),"CHURN")</f>
        <v>0.39491266740096775</v>
      </c>
      <c r="O68" s="3">
        <f>(1-N68)*H68</f>
        <v>755.25234000000023</v>
      </c>
      <c r="P68" s="3">
        <f t="shared" si="5"/>
        <v>588.14295100679499</v>
      </c>
      <c r="Q68" s="3">
        <f t="shared" si="10"/>
        <v>756.45747227075992</v>
      </c>
      <c r="R68" s="3" t="str">
        <f>IF(S68&lt;&gt;"Churn",VLOOKUP(A68,[3]Export!$B$2:$O$417,8,0),"CHURN")</f>
        <v>BOOKED CHURN</v>
      </c>
      <c r="S68" s="3"/>
      <c r="T68" s="3"/>
      <c r="U68" s="3" t="s">
        <v>551</v>
      </c>
      <c r="V68" s="4" t="str" cm="1">
        <f t="array" ref="V68">IFERROR(
    IF(
        MATCH(2,1/((Y68:BH68&lt;&gt;0)*(Y68:BH68&lt;&gt;"")))-MATCH(1,INDEX((Y68:BH68&lt;&gt;0)*(Y68:BH68&lt;&gt;""),0),0)+1 &lt;= 12,
        "No",
        "Yes"
    ),
    "No"
)</f>
        <v>Yes</v>
      </c>
      <c r="W68" s="4" t="str" cm="1">
        <f t="array" ref="W68">IFERROR(
    IF(
        MATCH(2,1/((Y68:BH68&lt;&gt;0)*(Y68:BH68&lt;&gt;"")))-MATCH(1,INDEX((Y68:BH68&lt;&gt;0)*(Y68:BH68&lt;&gt;""),0),0)+1 &lt;= 24,
        "No",
        "Yes"
    ),
    "No"
)</f>
        <v>Yes</v>
      </c>
      <c r="X68" s="3"/>
      <c r="Y68" s="4">
        <v>455.2</v>
      </c>
      <c r="Z68" s="4">
        <v>700</v>
      </c>
      <c r="AA68" s="4">
        <v>900</v>
      </c>
      <c r="AB68" s="4">
        <v>902</v>
      </c>
      <c r="AC68" s="4">
        <v>910.99679999999989</v>
      </c>
      <c r="AD68" s="4">
        <v>961.99679999999989</v>
      </c>
      <c r="AE68" s="4">
        <v>961.99679999999989</v>
      </c>
      <c r="AF68" s="4">
        <v>971.99679999999989</v>
      </c>
      <c r="AG68" s="4">
        <v>971.99679999999989</v>
      </c>
      <c r="AH68" s="4">
        <v>971.99679999999989</v>
      </c>
      <c r="AI68" s="4">
        <v>971.99679999999989</v>
      </c>
      <c r="AJ68" s="4">
        <v>971.99679999999989</v>
      </c>
      <c r="AK68" s="4">
        <v>971.99679999999989</v>
      </c>
      <c r="AL68" s="4">
        <v>971.99679999999989</v>
      </c>
      <c r="AM68" s="4">
        <v>971.99679999999989</v>
      </c>
      <c r="AN68" s="4">
        <v>971.99679999999989</v>
      </c>
      <c r="AO68" s="4">
        <v>973.98846666666657</v>
      </c>
      <c r="AP68" s="4">
        <v>1034.9884666666665</v>
      </c>
      <c r="AQ68" s="4">
        <v>1026.9884666666665</v>
      </c>
      <c r="AR68" s="4">
        <v>1026.9884666666665</v>
      </c>
      <c r="AS68" s="4">
        <v>1026.9884666666665</v>
      </c>
      <c r="AT68" s="4">
        <v>1026.9884666666665</v>
      </c>
      <c r="AU68" s="4">
        <v>1080.9884666666665</v>
      </c>
      <c r="AV68" s="4">
        <v>1113.9884666666665</v>
      </c>
      <c r="AW68" s="4">
        <v>1250.1624666666667</v>
      </c>
      <c r="AX68" s="4">
        <v>1250.1624666666667</v>
      </c>
      <c r="AY68" s="4">
        <v>1250.1624666666667</v>
      </c>
      <c r="AZ68" s="4">
        <v>1252.1624666666667</v>
      </c>
      <c r="BA68" s="4">
        <v>1248.1708000000001</v>
      </c>
      <c r="BB68" s="4">
        <v>1248.1708000000001</v>
      </c>
      <c r="BC68" s="4">
        <v>1248.1708000000001</v>
      </c>
      <c r="BD68" s="4">
        <v>1248.1708000000001</v>
      </c>
      <c r="BE68" s="4">
        <v>1248.1708000000001</v>
      </c>
      <c r="BF68" s="4">
        <v>1248.1708000000001</v>
      </c>
      <c r="BG68" s="4">
        <v>1248.1708000000001</v>
      </c>
      <c r="BH68" s="4">
        <v>1248.1708000000001</v>
      </c>
      <c r="BJ68" s="9"/>
    </row>
    <row r="69" spans="1:62" x14ac:dyDescent="0.25">
      <c r="A69" s="6" t="s">
        <v>65</v>
      </c>
      <c r="B69" s="6"/>
      <c r="C69" s="7" t="s">
        <v>526</v>
      </c>
      <c r="D69" s="3"/>
      <c r="E69" s="3">
        <f>VLOOKUP(A69,[2]Sheet1!$A$2:$E$627,5,0)</f>
        <v>341.55771713318853</v>
      </c>
      <c r="F69" s="3">
        <f>VLOOKUP(A69,[2]Sheet1!$A$2:$F$627,6,0)</f>
        <v>352.63105908792335</v>
      </c>
      <c r="G69" s="3">
        <f>VLOOKUP(A69,[2]Sheet1!$A$2:$G$627,7,0)</f>
        <v>828.25418271862748</v>
      </c>
      <c r="H69" s="4">
        <f t="shared" si="6"/>
        <v>737.58390326964059</v>
      </c>
      <c r="I69" s="11">
        <f t="shared" si="7"/>
        <v>3.2420119351063661E-2</v>
      </c>
      <c r="J69" s="11">
        <f t="shared" si="8"/>
        <v>1.4249318377884999</v>
      </c>
      <c r="K69" s="11">
        <f t="shared" si="9"/>
        <v>1.3487839808010631</v>
      </c>
      <c r="L69" s="11">
        <f>IF(S69="",((BG69-E69)/E69),((U69-E69)/E69))</f>
        <v>1.1955548623841785</v>
      </c>
      <c r="M69" s="3" t="str">
        <f>IF(S69="Churn","Churn",VLOOKUP(A69,'[1]Revenue_Engine_2025 Dec.25'!$C$14:$E$3993,3,0))</f>
        <v>Churn</v>
      </c>
      <c r="N69" s="3" t="str">
        <f>IF(S69="",VLOOKUP(A69,[3]Export!$B$2:$F$417,5,0),"CHURN")</f>
        <v>CHURN</v>
      </c>
      <c r="O69" s="3" t="e">
        <f>(1-N69)*H69</f>
        <v>#VALUE!</v>
      </c>
      <c r="P69" s="3" t="e">
        <f t="shared" si="5"/>
        <v>#VALUE!</v>
      </c>
      <c r="Q69" s="3" t="e">
        <f t="shared" si="10"/>
        <v>#VALUE!</v>
      </c>
      <c r="R69" s="3" t="str">
        <f>IF(S69&lt;&gt;"Churn",VLOOKUP(A69,[3]Export!$B$2:$O$417,8,0),"CHURN")</f>
        <v>CHURN</v>
      </c>
      <c r="S69" s="3" t="s">
        <v>372</v>
      </c>
      <c r="T69" s="3" t="s">
        <v>553</v>
      </c>
      <c r="U69" s="3">
        <v>749.9087066366119</v>
      </c>
      <c r="V69" s="4" t="str" cm="1">
        <f t="array" ref="V69">IFERROR(
    IF(
        MATCH(2,1/((Y69:BH69&lt;&gt;0)*(Y69:BH69&lt;&gt;"")))-MATCH(1,INDEX((Y69:BH69&lt;&gt;0)*(Y69:BH69&lt;&gt;""),0),0)+1 &lt;= 12,
        "No",
        "Yes"
    ),
    "No"
)</f>
        <v>Yes</v>
      </c>
      <c r="W69" s="4" t="str" cm="1">
        <f t="array" ref="W69">IFERROR(
    IF(
        MATCH(2,1/((Y69:BH69&lt;&gt;0)*(Y69:BH69&lt;&gt;"")))-MATCH(1,INDEX((Y69:BH69&lt;&gt;0)*(Y69:BH69&lt;&gt;""),0),0)+1 &lt;= 24,
        "No",
        "Yes"
    ),
    "No"
)</f>
        <v>Yes</v>
      </c>
      <c r="X69" s="3"/>
      <c r="Y69" s="4">
        <v>335.28518042679775</v>
      </c>
      <c r="Z69" s="4">
        <v>341.55771713318853</v>
      </c>
      <c r="AA69" s="4">
        <v>339.04688579398936</v>
      </c>
      <c r="AB69" s="4">
        <v>342.02324135894872</v>
      </c>
      <c r="AC69" s="4">
        <v>335.70875238830843</v>
      </c>
      <c r="AD69" s="4">
        <v>283.74987521794122</v>
      </c>
      <c r="AE69" s="4">
        <v>252.48958648139941</v>
      </c>
      <c r="AF69" s="4">
        <v>247.88293137848652</v>
      </c>
      <c r="AG69" s="4">
        <v>385.98846046482277</v>
      </c>
      <c r="AH69" s="4">
        <v>374.3689117834453</v>
      </c>
      <c r="AI69" s="4">
        <v>364.3105259788195</v>
      </c>
      <c r="AJ69" s="4">
        <v>363.94054592168845</v>
      </c>
      <c r="AK69" s="4">
        <v>352.63105908792335</v>
      </c>
      <c r="AL69" s="4">
        <v>629.96748880968971</v>
      </c>
      <c r="AM69" s="4">
        <v>701.00016698936656</v>
      </c>
      <c r="AN69" s="4">
        <v>696.34889498221116</v>
      </c>
      <c r="AO69" s="4">
        <v>698.67103688747375</v>
      </c>
      <c r="AP69" s="4">
        <v>694.75065881468799</v>
      </c>
      <c r="AQ69" s="4">
        <v>689.43257757725758</v>
      </c>
      <c r="AR69" s="4">
        <v>679.66365271993948</v>
      </c>
      <c r="AS69" s="4">
        <v>674.58015571535418</v>
      </c>
      <c r="AT69" s="4">
        <v>671.86596074999932</v>
      </c>
      <c r="AU69" s="4">
        <v>846.76493272720381</v>
      </c>
      <c r="AV69" s="4">
        <v>837.29386811373297</v>
      </c>
      <c r="AW69" s="4">
        <v>828.25418271862748</v>
      </c>
      <c r="AX69" s="4">
        <v>817.84289890749017</v>
      </c>
      <c r="AY69" s="4">
        <v>803.36783421946768</v>
      </c>
      <c r="AZ69" s="4">
        <v>788.25575205267921</v>
      </c>
      <c r="BA69" s="4">
        <v>777.37520041697496</v>
      </c>
      <c r="BB69" s="4">
        <v>768.18367036979589</v>
      </c>
      <c r="BC69" s="4">
        <v>757.94702090357737</v>
      </c>
      <c r="BD69" s="4">
        <v>749.9087066366119</v>
      </c>
      <c r="BE69" s="4">
        <v>743.68813822329389</v>
      </c>
      <c r="BF69" s="4">
        <v>737.58390326964059</v>
      </c>
      <c r="BG69" s="4">
        <v>0</v>
      </c>
      <c r="BH69" s="4">
        <v>0</v>
      </c>
      <c r="BJ69" s="9"/>
    </row>
    <row r="70" spans="1:62" x14ac:dyDescent="0.25">
      <c r="A70" s="6" t="s">
        <v>66</v>
      </c>
      <c r="B70" s="6"/>
      <c r="C70" s="7" t="s">
        <v>526</v>
      </c>
      <c r="D70" s="3"/>
      <c r="E70" s="3">
        <f>VLOOKUP(A70,[2]Sheet1!$A$2:$E$627,5,0)</f>
        <v>1316.5843980678264</v>
      </c>
      <c r="F70" s="3">
        <f>VLOOKUP(A70,[2]Sheet1!$A$2:$F$627,6,0)</f>
        <v>1101.4072678885582</v>
      </c>
      <c r="G70" s="3">
        <f>VLOOKUP(A70,[2]Sheet1!$A$2:$G$627,7,0)</f>
        <v>345.77333124999996</v>
      </c>
      <c r="H70" s="4">
        <f t="shared" si="6"/>
        <v>9.9999979166666666</v>
      </c>
      <c r="I70" s="11">
        <f t="shared" si="7"/>
        <v>-0.16343588036973153</v>
      </c>
      <c r="J70" s="11">
        <f t="shared" si="8"/>
        <v>-0.73737093363900952</v>
      </c>
      <c r="K70" s="11">
        <f t="shared" si="9"/>
        <v>-0.68606223934506871</v>
      </c>
      <c r="L70" s="11">
        <f>IF(S70="",((BG70-E70)/E70),((U70-E70)/E70))</f>
        <v>-0.99240459029338168</v>
      </c>
      <c r="M70" s="3" t="str">
        <f>IF(S70="Churn","Churn",VLOOKUP(A70,'[1]Revenue_Engine_2025 Dec.25'!$C$14:$E$3993,3,0))</f>
        <v>Diğer</v>
      </c>
      <c r="N70" s="3">
        <f>IF(S70="",VLOOKUP(A70,[3]Export!$B$2:$F$417,5,0),"CHURN")</f>
        <v>0</v>
      </c>
      <c r="O70" s="3">
        <f>(1-N70)*H70</f>
        <v>9.9999979166666666</v>
      </c>
      <c r="P70" s="3">
        <f t="shared" ref="P70:P133" si="11">(1-N70)*F70</f>
        <v>1101.4072678885582</v>
      </c>
      <c r="Q70" s="3">
        <f t="shared" si="10"/>
        <v>345.77333124999996</v>
      </c>
      <c r="R70" s="3" t="str">
        <f>IF(S70&lt;&gt;"Churn",VLOOKUP(A70,[3]Export!$B$2:$O$417,8,0),"CHURN")</f>
        <v>NO RISK</v>
      </c>
      <c r="S70" s="3"/>
      <c r="T70" s="3"/>
      <c r="U70" s="3" t="s">
        <v>551</v>
      </c>
      <c r="V70" s="4" t="str" cm="1">
        <f t="array" ref="V70">IFERROR(
    IF(
        MATCH(2,1/((Y70:BH70&lt;&gt;0)*(Y70:BH70&lt;&gt;"")))-MATCH(1,INDEX((Y70:BH70&lt;&gt;0)*(Y70:BH70&lt;&gt;""),0),0)+1 &lt;= 12,
        "No",
        "Yes"
    ),
    "No"
)</f>
        <v>Yes</v>
      </c>
      <c r="W70" s="4" t="str" cm="1">
        <f t="array" ref="W70">IFERROR(
    IF(
        MATCH(2,1/((Y70:BH70&lt;&gt;0)*(Y70:BH70&lt;&gt;"")))-MATCH(1,INDEX((Y70:BH70&lt;&gt;0)*(Y70:BH70&lt;&gt;""),0),0)+1 &lt;= 24,
        "No",
        "Yes"
    ),
    "No"
)</f>
        <v>Yes</v>
      </c>
      <c r="X70" s="3"/>
      <c r="Y70" s="4">
        <v>832.17834821563429</v>
      </c>
      <c r="Z70" s="4">
        <v>937.77922103518449</v>
      </c>
      <c r="AA70" s="4">
        <v>1316.5843980678264</v>
      </c>
      <c r="AB70" s="4">
        <v>1234.8914316718549</v>
      </c>
      <c r="AC70" s="4">
        <v>1218.4424424265212</v>
      </c>
      <c r="AD70" s="4">
        <v>1083.0774579074218</v>
      </c>
      <c r="AE70" s="4">
        <v>1160.204972675733</v>
      </c>
      <c r="AF70" s="4">
        <v>1153.2036530394623</v>
      </c>
      <c r="AG70" s="4">
        <v>1172.5268039258631</v>
      </c>
      <c r="AH70" s="4">
        <v>1147.9543492613875</v>
      </c>
      <c r="AI70" s="4">
        <v>1136.6833656836779</v>
      </c>
      <c r="AJ70" s="4">
        <v>1124.9758779316828</v>
      </c>
      <c r="AK70" s="4">
        <v>1101.4072678885582</v>
      </c>
      <c r="AL70" s="4">
        <v>1032.4531950550745</v>
      </c>
      <c r="AM70" s="4">
        <v>1359.8526536741967</v>
      </c>
      <c r="AN70" s="4">
        <v>1337.3672362251905</v>
      </c>
      <c r="AO70" s="4">
        <v>1339.7935334399508</v>
      </c>
      <c r="AP70" s="4">
        <v>1331.3772095710235</v>
      </c>
      <c r="AQ70" s="4">
        <v>1319.9602765037298</v>
      </c>
      <c r="AR70" s="4">
        <v>1298.9882085235665</v>
      </c>
      <c r="AS70" s="4">
        <v>1174.0890624172173</v>
      </c>
      <c r="AT70" s="4">
        <v>1168.9670393390938</v>
      </c>
      <c r="AU70" s="4">
        <v>1164.4294248294714</v>
      </c>
      <c r="AV70" s="4">
        <v>345.77333124999996</v>
      </c>
      <c r="AW70" s="4">
        <v>345.77333124999996</v>
      </c>
      <c r="AX70" s="4">
        <v>97.983331250000006</v>
      </c>
      <c r="AY70" s="4">
        <v>10.983331249999999</v>
      </c>
      <c r="AZ70" s="4">
        <v>10.983331249999999</v>
      </c>
      <c r="BA70" s="4">
        <v>9.9999979166666666</v>
      </c>
      <c r="BB70" s="4">
        <v>9.9999979166666666</v>
      </c>
      <c r="BC70" s="4">
        <v>9.9999979166666666</v>
      </c>
      <c r="BD70" s="4">
        <v>9.9999979166666666</v>
      </c>
      <c r="BE70" s="4">
        <v>9.9999979166666666</v>
      </c>
      <c r="BF70" s="4">
        <v>9.9999979166666666</v>
      </c>
      <c r="BG70" s="4">
        <v>9.9999979166666666</v>
      </c>
      <c r="BH70" s="4">
        <v>9.9999979166666666</v>
      </c>
      <c r="BJ70" s="9"/>
    </row>
    <row r="71" spans="1:62" x14ac:dyDescent="0.25">
      <c r="A71" s="6" t="s">
        <v>67</v>
      </c>
      <c r="B71" s="6"/>
      <c r="C71" s="7" t="s">
        <v>526</v>
      </c>
      <c r="D71" s="3"/>
      <c r="E71" s="3">
        <f>VLOOKUP(A71,[2]Sheet1!$A$2:$E$627,5,0)</f>
        <v>1138.0001160147865</v>
      </c>
      <c r="F71" s="3">
        <f>VLOOKUP(A71,[2]Sheet1!$A$2:$F$627,6,0)</f>
        <v>2467.5270802143314</v>
      </c>
      <c r="G71" s="3">
        <f>VLOOKUP(A71,[2]Sheet1!$A$2:$G$627,7,0)</f>
        <v>2.165</v>
      </c>
      <c r="H71" s="4">
        <f t="shared" si="6"/>
        <v>3388.9051615352523</v>
      </c>
      <c r="I71" s="11">
        <f t="shared" si="7"/>
        <v>1.1683012554124115</v>
      </c>
      <c r="J71" s="11">
        <f t="shared" si="8"/>
        <v>-0.99809753973700666</v>
      </c>
      <c r="K71" s="11">
        <f t="shared" si="9"/>
        <v>-0.99912260334755398</v>
      </c>
      <c r="L71" s="11">
        <f>IF(S71="",((BG71-E71)/E71),((U71-E71)/E71))</f>
        <v>1.3601125023526763</v>
      </c>
      <c r="M71" s="3" t="str">
        <f>IF(S71="Churn","Churn",VLOOKUP(A71,'[1]Revenue_Engine_2025 Dec.25'!$C$14:$E$3993,3,0))</f>
        <v>Eğitim</v>
      </c>
      <c r="N71" s="3">
        <f>IF(S71="",VLOOKUP(A71,[3]Export!$B$2:$F$417,5,0),"CHURN")</f>
        <v>0.3471954408183161</v>
      </c>
      <c r="O71" s="3">
        <f>(1-N71)*H71</f>
        <v>2212.2927400845538</v>
      </c>
      <c r="P71" s="3">
        <f t="shared" si="11"/>
        <v>1610.812927868184</v>
      </c>
      <c r="Q71" s="3">
        <f t="shared" si="10"/>
        <v>1.4133218706283457</v>
      </c>
      <c r="R71" s="3" t="str">
        <f>IF(S71&lt;&gt;"Churn",VLOOKUP(A71,[3]Export!$B$2:$O$417,8,0),"CHURN")</f>
        <v>NO RISK</v>
      </c>
      <c r="S71" s="3"/>
      <c r="T71" s="3"/>
      <c r="U71" s="3" t="s">
        <v>551</v>
      </c>
      <c r="V71" s="4" t="str" cm="1">
        <f t="array" ref="V71">IFERROR(
    IF(
        MATCH(2,1/((Y71:BH71&lt;&gt;0)*(Y71:BH71&lt;&gt;"")))-MATCH(1,INDEX((Y71:BH71&lt;&gt;0)*(Y71:BH71&lt;&gt;""),0),0)+1 &lt;= 12,
        "No",
        "Yes"
    ),
    "No"
)</f>
        <v>Yes</v>
      </c>
      <c r="W71" s="4" t="str" cm="1">
        <f t="array" ref="W71">IFERROR(
    IF(
        MATCH(2,1/((Y71:BH71&lt;&gt;0)*(Y71:BH71&lt;&gt;"")))-MATCH(1,INDEX((Y71:BH71&lt;&gt;0)*(Y71:BH71&lt;&gt;""),0),0)+1 &lt;= 24,
        "No",
        "Yes"
    ),
    "No"
)</f>
        <v>Yes</v>
      </c>
      <c r="X71" s="3"/>
      <c r="Y71" s="4">
        <v>1093.8613840273374</v>
      </c>
      <c r="Z71" s="4">
        <v>1090.0609338227873</v>
      </c>
      <c r="AA71" s="4">
        <v>1138.0001160147865</v>
      </c>
      <c r="AB71" s="4">
        <v>1117.7819445667431</v>
      </c>
      <c r="AC71" s="4">
        <v>1148.9694703036707</v>
      </c>
      <c r="AD71" s="4">
        <v>1137.1747974428224</v>
      </c>
      <c r="AE71" s="4">
        <v>1385.8637157215842</v>
      </c>
      <c r="AF71" s="4">
        <v>1359.6467305484443</v>
      </c>
      <c r="AG71" s="4">
        <v>1389.2692089252505</v>
      </c>
      <c r="AH71" s="4">
        <v>1346.4491152153744</v>
      </c>
      <c r="AI71" s="4">
        <v>1309.3821830535041</v>
      </c>
      <c r="AJ71" s="4">
        <v>2548.7379155717349</v>
      </c>
      <c r="AK71" s="4">
        <v>2467.5270802143314</v>
      </c>
      <c r="AL71" s="4">
        <v>2410.8312400231948</v>
      </c>
      <c r="AM71" s="4">
        <v>2414.6869439066113</v>
      </c>
      <c r="AN71" s="4">
        <v>2390.6584818684023</v>
      </c>
      <c r="AO71" s="4">
        <v>2394.1307656286399</v>
      </c>
      <c r="AP71" s="4">
        <v>2373.8781002174487</v>
      </c>
      <c r="AQ71" s="4">
        <v>2346.404903007498</v>
      </c>
      <c r="AR71" s="4">
        <v>2295.9386564136475</v>
      </c>
      <c r="AS71" s="4">
        <v>2390.7173208890613</v>
      </c>
      <c r="AT71" s="4">
        <v>2376.6957950378537</v>
      </c>
      <c r="AU71" s="4">
        <v>2364.2740862366518</v>
      </c>
      <c r="AV71" s="4">
        <v>3173.970482597384</v>
      </c>
      <c r="AW71" s="4">
        <v>2907.9085621863323</v>
      </c>
      <c r="AX71" s="4">
        <v>2907.9085621863323</v>
      </c>
      <c r="AY71" s="4">
        <v>2907.9085621863323</v>
      </c>
      <c r="AZ71" s="4">
        <v>2907.9085621863323</v>
      </c>
      <c r="BA71" s="4">
        <v>2857.0306384820592</v>
      </c>
      <c r="BB71" s="4">
        <v>2848.5236456624907</v>
      </c>
      <c r="BC71" s="4">
        <v>2794.5011837213788</v>
      </c>
      <c r="BD71" s="4">
        <v>2752.080123198512</v>
      </c>
      <c r="BE71" s="4">
        <v>2719.25195794097</v>
      </c>
      <c r="BF71" s="4">
        <v>2713.8793102990999</v>
      </c>
      <c r="BG71" s="4">
        <v>2685.8083014852937</v>
      </c>
      <c r="BH71" s="4">
        <v>3388.9051615352523</v>
      </c>
      <c r="BJ71" s="9"/>
    </row>
    <row r="72" spans="1:62" x14ac:dyDescent="0.25">
      <c r="A72" s="6" t="s">
        <v>68</v>
      </c>
      <c r="B72" s="6"/>
      <c r="C72" s="7" t="s">
        <v>526</v>
      </c>
      <c r="D72" s="3"/>
      <c r="E72" s="3">
        <f>VLOOKUP(A72,[2]Sheet1!$A$2:$E$627,5,0)</f>
        <v>1367.4327204490812</v>
      </c>
      <c r="F72" s="3">
        <f>VLOOKUP(A72,[2]Sheet1!$A$2:$F$627,6,0)</f>
        <v>3661.333041255848</v>
      </c>
      <c r="G72" s="3">
        <f>VLOOKUP(A72,[2]Sheet1!$A$2:$G$627,7,0)</f>
        <v>5618.2668952225076</v>
      </c>
      <c r="H72" s="4">
        <f t="shared" si="6"/>
        <v>6198.867401941101</v>
      </c>
      <c r="I72" s="11">
        <f t="shared" si="7"/>
        <v>1.6775233519740722</v>
      </c>
      <c r="J72" s="11">
        <f t="shared" si="8"/>
        <v>3.1086240011701651</v>
      </c>
      <c r="K72" s="11">
        <f t="shared" si="9"/>
        <v>0.53448671069142228</v>
      </c>
      <c r="L72" s="11">
        <f>IF(S72="",((BG72-E72)/E72),((U72-E72)/E72))</f>
        <v>3.2302082213004559</v>
      </c>
      <c r="M72" s="3" t="str">
        <f>IF(S72="Churn","Churn",VLOOKUP(A72,'[1]Revenue_Engine_2025 Dec.25'!$C$14:$E$3993,3,0))</f>
        <v>Perakende</v>
      </c>
      <c r="N72" s="3">
        <f>IF(S72="",VLOOKUP(A72,[3]Export!$B$2:$F$417,5,0),"CHURN")</f>
        <v>0.4028427482678209</v>
      </c>
      <c r="O72" s="3">
        <f>(1-N72)*H72</f>
        <v>3701.6986215953407</v>
      </c>
      <c r="P72" s="3">
        <f t="shared" si="11"/>
        <v>2186.3915765925631</v>
      </c>
      <c r="Q72" s="3">
        <f t="shared" si="10"/>
        <v>3354.9888186489547</v>
      </c>
      <c r="R72" s="3" t="str">
        <f>IF(S72&lt;&gt;"Churn",VLOOKUP(A72,[3]Export!$B$2:$O$417,8,0),"CHURN")</f>
        <v>MEDIUM RISK</v>
      </c>
      <c r="S72" s="3"/>
      <c r="T72" s="3"/>
      <c r="U72" s="3" t="s">
        <v>551</v>
      </c>
      <c r="V72" s="4" t="str" cm="1">
        <f t="array" ref="V72">IFERROR(
    IF(
        MATCH(2,1/((Y72:BH72&lt;&gt;0)*(Y72:BH72&lt;&gt;"")))-MATCH(1,INDEX((Y72:BH72&lt;&gt;0)*(Y72:BH72&lt;&gt;""),0),0)+1 &lt;= 12,
        "No",
        "Yes"
    ),
    "No"
)</f>
        <v>Yes</v>
      </c>
      <c r="W72" s="4" t="str" cm="1">
        <f t="array" ref="W72">IFERROR(
    IF(
        MATCH(2,1/((Y72:BH72&lt;&gt;0)*(Y72:BH72&lt;&gt;"")))-MATCH(1,INDEX((Y72:BH72&lt;&gt;0)*(Y72:BH72&lt;&gt;""),0),0)+1 &lt;= 24,
        "No",
        "Yes"
    ),
    "No"
)</f>
        <v>Yes</v>
      </c>
      <c r="X72" s="3"/>
      <c r="Y72" s="4">
        <v>1367.4327204490812</v>
      </c>
      <c r="Z72" s="4">
        <v>1363.3905555230906</v>
      </c>
      <c r="AA72" s="4">
        <v>1354.867737869863</v>
      </c>
      <c r="AB72" s="4">
        <v>3625.1292182263637</v>
      </c>
      <c r="AC72" s="4">
        <v>3596.7202890869548</v>
      </c>
      <c r="AD72" s="4">
        <v>3288.8685648781238</v>
      </c>
      <c r="AE72" s="4">
        <v>3103.6541354889778</v>
      </c>
      <c r="AF72" s="4">
        <v>3176.0201138799821</v>
      </c>
      <c r="AG72" s="4">
        <v>3776.5438393350978</v>
      </c>
      <c r="AH72" s="4">
        <v>3726.140437062415</v>
      </c>
      <c r="AI72" s="4">
        <v>3719.6553123370968</v>
      </c>
      <c r="AJ72" s="4">
        <v>3716.7784321498316</v>
      </c>
      <c r="AK72" s="4">
        <v>3661.333041255848</v>
      </c>
      <c r="AL72" s="4">
        <v>3622.6246703174984</v>
      </c>
      <c r="AM72" s="4">
        <v>3898.5098940103139</v>
      </c>
      <c r="AN72" s="4">
        <v>3879.368473415986</v>
      </c>
      <c r="AO72" s="4">
        <v>4773.930482255184</v>
      </c>
      <c r="AP72" s="4">
        <v>0</v>
      </c>
      <c r="AQ72" s="4">
        <v>493.66215191838745</v>
      </c>
      <c r="AR72" s="4">
        <v>358.44699230874636</v>
      </c>
      <c r="AS72" s="4">
        <v>358.3617319505056</v>
      </c>
      <c r="AT72" s="4">
        <v>4970.3077229322207</v>
      </c>
      <c r="AU72" s="4">
        <v>4955.7409004048304</v>
      </c>
      <c r="AV72" s="4">
        <v>4916.8771443551814</v>
      </c>
      <c r="AW72" s="4">
        <v>5618.2668952225076</v>
      </c>
      <c r="AX72" s="4">
        <v>5560.2947021171021</v>
      </c>
      <c r="AY72" s="4">
        <v>5479.6945320967998</v>
      </c>
      <c r="AZ72" s="4">
        <v>6125.2126526585516</v>
      </c>
      <c r="BA72" s="4">
        <v>6061.5826513086076</v>
      </c>
      <c r="BB72" s="4">
        <v>6988.2063948524046</v>
      </c>
      <c r="BC72" s="4">
        <v>5927.6556787552618</v>
      </c>
      <c r="BD72" s="4">
        <v>5872.2442694766924</v>
      </c>
      <c r="BE72" s="4">
        <v>5861.625620648837</v>
      </c>
      <c r="BF72" s="4">
        <v>5819.1587076496126</v>
      </c>
      <c r="BG72" s="4">
        <v>5784.5251361189512</v>
      </c>
      <c r="BH72" s="4">
        <v>6198.867401941101</v>
      </c>
      <c r="BJ72" s="9"/>
    </row>
    <row r="73" spans="1:62" x14ac:dyDescent="0.25">
      <c r="A73" s="6" t="s">
        <v>69</v>
      </c>
      <c r="B73" s="6"/>
      <c r="C73" s="7" t="s">
        <v>525</v>
      </c>
      <c r="D73" s="3"/>
      <c r="E73" s="3">
        <f>VLOOKUP(A73,[2]Sheet1!$A$2:$E$627,5,0)</f>
        <v>17780.82</v>
      </c>
      <c r="F73" s="3">
        <f>VLOOKUP(A73,[2]Sheet1!$A$2:$F$627,6,0)</f>
        <v>16665.72</v>
      </c>
      <c r="G73" s="3">
        <f>VLOOKUP(A73,[2]Sheet1!$A$2:$G$627,7,0)</f>
        <v>22296</v>
      </c>
      <c r="H73" s="4">
        <f t="shared" si="6"/>
        <v>0</v>
      </c>
      <c r="I73" s="11">
        <f t="shared" si="7"/>
        <v>-6.2713643127819671E-2</v>
      </c>
      <c r="J73" s="11">
        <f t="shared" si="8"/>
        <v>0.25393542030120098</v>
      </c>
      <c r="K73" s="11">
        <f t="shared" si="9"/>
        <v>0.33783598908417989</v>
      </c>
      <c r="L73" s="11">
        <f>IF(S73="",((BG73-E73)/E73),((U73-E73)/E73))</f>
        <v>0.25393542030120098</v>
      </c>
      <c r="M73" s="3" t="str">
        <f>IF(S73="Churn","Churn",VLOOKUP(A73,'[1]Revenue_Engine_2025 Dec.25'!$C$14:$E$3993,3,0))</f>
        <v>Churn</v>
      </c>
      <c r="N73" s="3" t="str">
        <f>IF(S73="",VLOOKUP(A73,[3]Export!$B$2:$F$417,5,0),"CHURN")</f>
        <v>CHURN</v>
      </c>
      <c r="O73" s="3" t="e">
        <f>(1-N73)*H73</f>
        <v>#VALUE!</v>
      </c>
      <c r="P73" s="3" t="e">
        <f t="shared" si="11"/>
        <v>#VALUE!</v>
      </c>
      <c r="Q73" s="3" t="e">
        <f t="shared" si="10"/>
        <v>#VALUE!</v>
      </c>
      <c r="R73" s="3" t="str">
        <f>IF(S73&lt;&gt;"Churn",VLOOKUP(A73,[3]Export!$B$2:$O$417,8,0),"CHURN")</f>
        <v>CHURN</v>
      </c>
      <c r="S73" s="3" t="s">
        <v>372</v>
      </c>
      <c r="T73" s="3" t="s">
        <v>554</v>
      </c>
      <c r="U73" s="3">
        <v>22296</v>
      </c>
      <c r="V73" s="4" t="str" cm="1">
        <f t="array" ref="V73">IFERROR(
    IF(
        MATCH(2,1/((Y73:BH73&lt;&gt;0)*(Y73:BH73&lt;&gt;"")))-MATCH(1,INDEX((Y73:BH73&lt;&gt;0)*(Y73:BH73&lt;&gt;""),0),0)+1 &lt;= 12,
        "No",
        "Yes"
    ),
    "No"
)</f>
        <v>Yes</v>
      </c>
      <c r="W73" s="4" t="str" cm="1">
        <f t="array" ref="W73">IFERROR(
    IF(
        MATCH(2,1/((Y73:BH73&lt;&gt;0)*(Y73:BH73&lt;&gt;"")))-MATCH(1,INDEX((Y73:BH73&lt;&gt;0)*(Y73:BH73&lt;&gt;""),0),0)+1 &lt;= 24,
        "No",
        "Yes"
    ),
    "No"
)</f>
        <v>Yes</v>
      </c>
      <c r="X73" s="3"/>
      <c r="Y73" s="4">
        <v>16822.5292984972</v>
      </c>
      <c r="Z73" s="4">
        <v>16775.928869457122</v>
      </c>
      <c r="AA73" s="4">
        <v>17780.82</v>
      </c>
      <c r="AB73" s="4">
        <v>18545.72</v>
      </c>
      <c r="AC73" s="4">
        <v>18545.72</v>
      </c>
      <c r="AD73" s="4">
        <v>16665.72</v>
      </c>
      <c r="AE73" s="4">
        <v>16665.72</v>
      </c>
      <c r="AF73" s="4">
        <v>16665.72</v>
      </c>
      <c r="AG73" s="4">
        <v>16665.72</v>
      </c>
      <c r="AH73" s="4">
        <v>16665.72</v>
      </c>
      <c r="AI73" s="4">
        <v>16665.72</v>
      </c>
      <c r="AJ73" s="4">
        <v>16665.72</v>
      </c>
      <c r="AK73" s="4">
        <v>16665.72</v>
      </c>
      <c r="AL73" s="4">
        <v>16665.72</v>
      </c>
      <c r="AM73" s="4">
        <v>19500</v>
      </c>
      <c r="AN73" s="4">
        <v>22296</v>
      </c>
      <c r="AO73" s="4">
        <v>22296</v>
      </c>
      <c r="AP73" s="4">
        <v>22296</v>
      </c>
      <c r="AQ73" s="4">
        <v>22296</v>
      </c>
      <c r="AR73" s="4">
        <v>22296</v>
      </c>
      <c r="AS73" s="4">
        <v>22296</v>
      </c>
      <c r="AT73" s="4">
        <v>22296</v>
      </c>
      <c r="AU73" s="4">
        <v>22296</v>
      </c>
      <c r="AV73" s="4">
        <v>22296</v>
      </c>
      <c r="AW73" s="4">
        <v>22296</v>
      </c>
      <c r="AX73" s="4">
        <v>22296</v>
      </c>
      <c r="AY73" s="4">
        <v>22296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  <c r="BH73" s="4">
        <v>0</v>
      </c>
      <c r="BJ73" s="9"/>
    </row>
    <row r="74" spans="1:62" x14ac:dyDescent="0.25">
      <c r="A74" s="6" t="s">
        <v>70</v>
      </c>
      <c r="B74" s="6"/>
      <c r="C74" s="7" t="s">
        <v>526</v>
      </c>
      <c r="D74" s="3"/>
      <c r="E74" s="3">
        <f>VLOOKUP(A74,[2]Sheet1!$A$2:$E$627,5,0)</f>
        <v>802.1</v>
      </c>
      <c r="F74" s="3">
        <f>VLOOKUP(A74,[2]Sheet1!$A$2:$F$627,6,0)</f>
        <v>1085.6087526666668</v>
      </c>
      <c r="G74" s="3">
        <f>VLOOKUP(A74,[2]Sheet1!$A$2:$G$627,7,0)</f>
        <v>1327.983561</v>
      </c>
      <c r="H74" s="4">
        <f t="shared" si="6"/>
        <v>0</v>
      </c>
      <c r="I74" s="11">
        <f t="shared" si="7"/>
        <v>0.35345811328595778</v>
      </c>
      <c r="J74" s="11">
        <f t="shared" si="8"/>
        <v>0.65563341353945892</v>
      </c>
      <c r="K74" s="11">
        <f t="shared" si="9"/>
        <v>0.22326165640979664</v>
      </c>
      <c r="L74" s="11">
        <f>IF(S74="",((BG74-E74)/E74),((U74-E74)/E74))</f>
        <v>0.65563341353945892</v>
      </c>
      <c r="M74" s="3" t="str">
        <f>IF(S74="Churn","Churn",VLOOKUP(A74,'[1]Revenue_Engine_2025 Dec.25'!$C$14:$E$3993,3,0))</f>
        <v>Churn</v>
      </c>
      <c r="N74" s="3" t="str">
        <f>IF(S74="",VLOOKUP(A74,[3]Export!$B$2:$F$417,5,0),"CHURN")</f>
        <v>CHURN</v>
      </c>
      <c r="O74" s="3" t="e">
        <f>(1-N74)*H74</f>
        <v>#VALUE!</v>
      </c>
      <c r="P74" s="3" t="e">
        <f t="shared" si="11"/>
        <v>#VALUE!</v>
      </c>
      <c r="Q74" s="3" t="e">
        <f t="shared" si="10"/>
        <v>#VALUE!</v>
      </c>
      <c r="R74" s="3" t="str">
        <f>IF(S74&lt;&gt;"Churn",VLOOKUP(A74,[3]Export!$B$2:$O$417,8,0),"CHURN")</f>
        <v>CHURN</v>
      </c>
      <c r="S74" s="3" t="s">
        <v>372</v>
      </c>
      <c r="T74" s="3" t="s">
        <v>557</v>
      </c>
      <c r="U74" s="3">
        <v>1327.983561</v>
      </c>
      <c r="V74" s="4" t="str" cm="1">
        <f t="array" ref="V74">IFERROR(
    IF(
        MATCH(2,1/((Y74:BH74&lt;&gt;0)*(Y74:BH74&lt;&gt;"")))-MATCH(1,INDEX((Y74:BH74&lt;&gt;0)*(Y74:BH74&lt;&gt;""),0),0)+1 &lt;= 12,
        "No",
        "Yes"
    ),
    "No"
)</f>
        <v>Yes</v>
      </c>
      <c r="W74" s="4" t="str" cm="1">
        <f t="array" ref="W74">IFERROR(
    IF(
        MATCH(2,1/((Y74:BH74&lt;&gt;0)*(Y74:BH74&lt;&gt;"")))-MATCH(1,INDEX((Y74:BH74&lt;&gt;0)*(Y74:BH74&lt;&gt;""),0),0)+1 &lt;= 24,
        "No",
        "Yes"
    ),
    "No"
)</f>
        <v>Yes</v>
      </c>
      <c r="X74" s="3"/>
      <c r="Y74" s="4">
        <v>802.1</v>
      </c>
      <c r="Z74" s="4">
        <v>802.1</v>
      </c>
      <c r="AA74" s="4">
        <v>802.1</v>
      </c>
      <c r="AB74" s="4">
        <v>802.1</v>
      </c>
      <c r="AC74" s="4">
        <v>811.09800000000007</v>
      </c>
      <c r="AD74" s="4">
        <v>871.52578000000017</v>
      </c>
      <c r="AE74" s="4">
        <v>871.52578000000017</v>
      </c>
      <c r="AF74" s="4">
        <v>923.81684200000007</v>
      </c>
      <c r="AG74" s="4">
        <v>930.81684200000007</v>
      </c>
      <c r="AH74" s="4">
        <v>933.61708600000009</v>
      </c>
      <c r="AI74" s="4">
        <v>933.61708600000009</v>
      </c>
      <c r="AJ74" s="4">
        <v>933.61708600000009</v>
      </c>
      <c r="AK74" s="4">
        <v>933.61708600000009</v>
      </c>
      <c r="AL74" s="4">
        <v>933.61708600000009</v>
      </c>
      <c r="AM74" s="4">
        <v>1085.6087526666668</v>
      </c>
      <c r="AN74" s="4">
        <v>1085.6087526666668</v>
      </c>
      <c r="AO74" s="4">
        <v>1085.6087526666668</v>
      </c>
      <c r="AP74" s="4">
        <v>1085.6087526666668</v>
      </c>
      <c r="AQ74" s="4">
        <v>1085.6087526666668</v>
      </c>
      <c r="AR74" s="4">
        <v>1085.6087526666668</v>
      </c>
      <c r="AS74" s="4">
        <v>1165.6087526666663</v>
      </c>
      <c r="AT74" s="4">
        <v>1169.6087526666663</v>
      </c>
      <c r="AU74" s="4">
        <v>1089.6087526666665</v>
      </c>
      <c r="AV74" s="4">
        <v>1089.6087526666665</v>
      </c>
      <c r="AW74" s="4">
        <v>1327.9752276666666</v>
      </c>
      <c r="AX74" s="4">
        <v>1327.9752276666666</v>
      </c>
      <c r="AY74" s="4">
        <v>1327.9752276666666</v>
      </c>
      <c r="AZ74" s="4">
        <v>1327.9752276666666</v>
      </c>
      <c r="BA74" s="4">
        <v>1327.983561</v>
      </c>
      <c r="BB74" s="4">
        <v>1327.983561</v>
      </c>
      <c r="BC74" s="4">
        <v>1327.983561</v>
      </c>
      <c r="BD74" s="4">
        <v>0</v>
      </c>
      <c r="BE74" s="4">
        <v>0</v>
      </c>
      <c r="BF74" s="4">
        <v>0</v>
      </c>
      <c r="BG74" s="4">
        <v>0</v>
      </c>
      <c r="BH74" s="4">
        <v>0</v>
      </c>
      <c r="BJ74" s="9"/>
    </row>
    <row r="75" spans="1:62" x14ac:dyDescent="0.25">
      <c r="A75" s="6" t="s">
        <v>71</v>
      </c>
      <c r="B75" s="6"/>
      <c r="C75" s="7" t="s">
        <v>526</v>
      </c>
      <c r="D75" s="3"/>
      <c r="E75" s="3">
        <f>VLOOKUP(A75,[2]Sheet1!$A$2:$E$627,5,0)</f>
        <v>661.40185523463981</v>
      </c>
      <c r="F75" s="3">
        <f>VLOOKUP(A75,[2]Sheet1!$A$2:$F$627,6,0)</f>
        <v>709.9458044606863</v>
      </c>
      <c r="G75" s="3">
        <f>VLOOKUP(A75,[2]Sheet1!$A$2:$G$627,7,0)</f>
        <v>993.26980142224238</v>
      </c>
      <c r="H75" s="4">
        <f t="shared" si="6"/>
        <v>1044.4400769778294</v>
      </c>
      <c r="I75" s="11">
        <f t="shared" si="7"/>
        <v>7.3395544390822701E-2</v>
      </c>
      <c r="J75" s="11">
        <f t="shared" si="8"/>
        <v>0.50176446219653958</v>
      </c>
      <c r="K75" s="11">
        <f t="shared" si="9"/>
        <v>0.39907834539114501</v>
      </c>
      <c r="L75" s="11">
        <f>IF(S75="",((BG75-E75)/E75),((U75-E75)/E75))</f>
        <v>0.56748187890025903</v>
      </c>
      <c r="M75" s="3" t="str">
        <f>IF(S75="Churn","Churn",VLOOKUP(A75,'[1]Revenue_Engine_2025 Dec.25'!$C$14:$E$3993,3,0))</f>
        <v>Digital</v>
      </c>
      <c r="N75" s="3">
        <f>IF(S75="",VLOOKUP(A75,[3]Export!$B$2:$F$417,5,0),"CHURN")</f>
        <v>0.61865410960538225</v>
      </c>
      <c r="O75" s="3">
        <f>(1-N75)*H75</f>
        <v>398.2929311189335</v>
      </c>
      <c r="P75" s="3">
        <f t="shared" si="11"/>
        <v>270.73491493398359</v>
      </c>
      <c r="Q75" s="3">
        <f t="shared" si="10"/>
        <v>378.77935682545018</v>
      </c>
      <c r="R75" s="3" t="str">
        <f>IF(S75&lt;&gt;"Churn",VLOOKUP(A75,[3]Export!$B$2:$O$417,8,0),"CHURN")</f>
        <v>NO RISK</v>
      </c>
      <c r="S75" s="3"/>
      <c r="T75" s="3"/>
      <c r="U75" s="3" t="s">
        <v>551</v>
      </c>
      <c r="V75" s="4" t="str" cm="1">
        <f t="array" ref="V75">IFERROR(
    IF(
        MATCH(2,1/((Y75:BH75&lt;&gt;0)*(Y75:BH75&lt;&gt;"")))-MATCH(1,INDEX((Y75:BH75&lt;&gt;0)*(Y75:BH75&lt;&gt;""),0),0)+1 &lt;= 12,
        "No",
        "Yes"
    ),
    "No"
)</f>
        <v>Yes</v>
      </c>
      <c r="W75" s="4" t="str" cm="1">
        <f t="array" ref="W75">IFERROR(
    IF(
        MATCH(2,1/((Y75:BH75&lt;&gt;0)*(Y75:BH75&lt;&gt;"")))-MATCH(1,INDEX((Y75:BH75&lt;&gt;0)*(Y75:BH75&lt;&gt;""),0),0)+1 &lt;= 24,
        "No",
        "Yes"
    ),
    "No"
)</f>
        <v>Yes</v>
      </c>
      <c r="X75" s="3"/>
      <c r="Y75" s="4">
        <v>556.72382907832809</v>
      </c>
      <c r="Z75" s="4">
        <v>555.48239809389236</v>
      </c>
      <c r="AA75" s="4">
        <v>661.40185523463981</v>
      </c>
      <c r="AB75" s="4">
        <v>653.23833663971482</v>
      </c>
      <c r="AC75" s="4">
        <v>663.93893395056705</v>
      </c>
      <c r="AD75" s="4">
        <v>618.32177211890189</v>
      </c>
      <c r="AE75" s="4">
        <v>598.83600281763745</v>
      </c>
      <c r="AF75" s="4">
        <v>716.89634398814007</v>
      </c>
      <c r="AG75" s="4">
        <v>681.46774493026919</v>
      </c>
      <c r="AH75" s="4">
        <v>691.71762497378222</v>
      </c>
      <c r="AI75" s="4">
        <v>678.94928075877533</v>
      </c>
      <c r="AJ75" s="4">
        <v>689.14204024067249</v>
      </c>
      <c r="AK75" s="4">
        <v>709.9458044606863</v>
      </c>
      <c r="AL75" s="4">
        <v>699.68584710811103</v>
      </c>
      <c r="AM75" s="4">
        <v>682.98286620172814</v>
      </c>
      <c r="AN75" s="4">
        <v>678.80396506747968</v>
      </c>
      <c r="AO75" s="4">
        <v>699.40784602003555</v>
      </c>
      <c r="AP75" s="4">
        <v>720.88561116689357</v>
      </c>
      <c r="AQ75" s="4">
        <v>693.10762018272089</v>
      </c>
      <c r="AR75" s="4">
        <v>890.09367240978713</v>
      </c>
      <c r="AS75" s="4">
        <v>892.17066988816043</v>
      </c>
      <c r="AT75" s="4">
        <v>875.97432098259617</v>
      </c>
      <c r="AU75" s="4">
        <v>885.19971519291255</v>
      </c>
      <c r="AV75" s="4">
        <v>876.01358747722236</v>
      </c>
      <c r="AW75" s="4">
        <v>993.26980142224238</v>
      </c>
      <c r="AX75" s="4">
        <v>980.95016680111667</v>
      </c>
      <c r="AY75" s="4">
        <v>963.82187491046307</v>
      </c>
      <c r="AZ75" s="4">
        <v>945.93980253240488</v>
      </c>
      <c r="BA75" s="4">
        <v>935.01732404020765</v>
      </c>
      <c r="BB75" s="4">
        <v>924.14101965311454</v>
      </c>
      <c r="BC75" s="4">
        <v>912.02802922311116</v>
      </c>
      <c r="BD75" s="4">
        <v>1071.4624955065119</v>
      </c>
      <c r="BE75" s="4">
        <v>1053.3715807066656</v>
      </c>
      <c r="BF75" s="4">
        <v>1044.4400769778294</v>
      </c>
      <c r="BG75" s="4">
        <v>1036.7354227513104</v>
      </c>
      <c r="BH75" s="4">
        <v>1029.6566370077094</v>
      </c>
      <c r="BJ75" s="9"/>
    </row>
    <row r="76" spans="1:62" x14ac:dyDescent="0.25">
      <c r="A76" s="6" t="s">
        <v>72</v>
      </c>
      <c r="B76" s="6"/>
      <c r="C76" s="7" t="s">
        <v>526</v>
      </c>
      <c r="D76" s="3"/>
      <c r="E76" s="3">
        <f>VLOOKUP(A76,[2]Sheet1!$A$2:$E$627,5,0)</f>
        <v>435.05544979460109</v>
      </c>
      <c r="F76" s="3">
        <f>VLOOKUP(A76,[2]Sheet1!$A$2:$F$627,6,0)</f>
        <v>1225.0886969007331</v>
      </c>
      <c r="G76" s="3">
        <f>VLOOKUP(A76,[2]Sheet1!$A$2:$G$627,7,0)</f>
        <v>1311.0323825319863</v>
      </c>
      <c r="H76" s="4">
        <f t="shared" si="6"/>
        <v>1321.6156622030085</v>
      </c>
      <c r="I76" s="11">
        <f t="shared" si="7"/>
        <v>1.8159369052361565</v>
      </c>
      <c r="J76" s="11">
        <f t="shared" si="8"/>
        <v>2.0134834149324008</v>
      </c>
      <c r="K76" s="11">
        <f t="shared" si="9"/>
        <v>7.0153031244738553E-2</v>
      </c>
      <c r="L76" s="11">
        <f>IF(S76="",((BG76-E76)/E76),((U76-E76)/E76))</f>
        <v>2.0304109382614648</v>
      </c>
      <c r="M76" s="3" t="str">
        <f>IF(S76="Churn","Churn",VLOOKUP(A76,'[1]Revenue_Engine_2025 Dec.25'!$C$14:$E$3993,3,0))</f>
        <v>Genel</v>
      </c>
      <c r="N76" s="3">
        <f>IF(S76="",VLOOKUP(A76,[3]Export!$B$2:$F$417,5,0),"CHURN")</f>
        <v>1.7010440672535876E-2</v>
      </c>
      <c r="O76" s="3">
        <f>(1-N76)*H76</f>
        <v>1299.1343973892099</v>
      </c>
      <c r="P76" s="3">
        <f t="shared" si="11"/>
        <v>1204.249398303509</v>
      </c>
      <c r="Q76" s="3">
        <f t="shared" si="10"/>
        <v>1288.7311439691525</v>
      </c>
      <c r="R76" s="3" t="str">
        <f>IF(S76&lt;&gt;"Churn",VLOOKUP(A76,[3]Export!$B$2:$O$417,8,0),"CHURN")</f>
        <v>NO RISK</v>
      </c>
      <c r="S76" s="3"/>
      <c r="T76" s="3"/>
      <c r="U76" s="3" t="s">
        <v>551</v>
      </c>
      <c r="V76" s="4" t="str" cm="1">
        <f t="array" ref="V76">IFERROR(
    IF(
        MATCH(2,1/((Y76:BH76&lt;&gt;0)*(Y76:BH76&lt;&gt;"")))-MATCH(1,INDEX((Y76:BH76&lt;&gt;0)*(Y76:BH76&lt;&gt;""),0),0)+1 &lt;= 12,
        "No",
        "Yes"
    ),
    "No"
)</f>
        <v>Yes</v>
      </c>
      <c r="W76" s="4" t="str" cm="1">
        <f t="array" ref="W76">IFERROR(
    IF(
        MATCH(2,1/((Y76:BH76&lt;&gt;0)*(Y76:BH76&lt;&gt;"")))-MATCH(1,INDEX((Y76:BH76&lt;&gt;0)*(Y76:BH76&lt;&gt;""),0),0)+1 &lt;= 24,
        "No",
        "Yes"
    ),
    "No"
)</f>
        <v>Yes</v>
      </c>
      <c r="X76" s="3"/>
      <c r="Y76" s="4">
        <v>293.20354189878617</v>
      </c>
      <c r="Z76" s="4">
        <v>292.18485207477806</v>
      </c>
      <c r="AA76" s="4">
        <v>435.05544979460109</v>
      </c>
      <c r="AB76" s="4">
        <v>427.32607828613754</v>
      </c>
      <c r="AC76" s="4">
        <v>419.22447594414399</v>
      </c>
      <c r="AD76" s="4">
        <v>352.5521480889542</v>
      </c>
      <c r="AE76" s="4">
        <v>312.43972971130569</v>
      </c>
      <c r="AF76" s="4">
        <v>306.52858543599496</v>
      </c>
      <c r="AG76" s="4">
        <v>1256.2493011583597</v>
      </c>
      <c r="AH76" s="4">
        <v>1246.8102363842368</v>
      </c>
      <c r="AI76" s="4">
        <v>1238.6393721160623</v>
      </c>
      <c r="AJ76" s="4">
        <v>1234.1421528891865</v>
      </c>
      <c r="AK76" s="4">
        <v>1225.0886969007331</v>
      </c>
      <c r="AL76" s="4">
        <v>1218.7681619198336</v>
      </c>
      <c r="AM76" s="4">
        <v>1208.4784724526946</v>
      </c>
      <c r="AN76" s="4">
        <v>1205.9041059233728</v>
      </c>
      <c r="AO76" s="4">
        <v>1206.2761202070355</v>
      </c>
      <c r="AP76" s="4">
        <v>1204.1062857881197</v>
      </c>
      <c r="AQ76" s="4">
        <v>1201.1628564817292</v>
      </c>
      <c r="AR76" s="4">
        <v>1195.7559929094741</v>
      </c>
      <c r="AS76" s="4">
        <v>1192.9424003007473</v>
      </c>
      <c r="AT76" s="4">
        <v>1191.4401590510172</v>
      </c>
      <c r="AU76" s="4">
        <v>1190.1093193441752</v>
      </c>
      <c r="AV76" s="4">
        <v>1186.3759650715242</v>
      </c>
      <c r="AW76" s="4">
        <v>1311.0323825319863</v>
      </c>
      <c r="AX76" s="4">
        <v>1304.6681257253006</v>
      </c>
      <c r="AY76" s="4">
        <v>1295.8197425057965</v>
      </c>
      <c r="AZ76" s="4">
        <v>1286.5819603515638</v>
      </c>
      <c r="BA76" s="4">
        <v>1280.9394668663558</v>
      </c>
      <c r="BB76" s="4">
        <v>1340.3208266748322</v>
      </c>
      <c r="BC76" s="4">
        <v>1334.0633211428685</v>
      </c>
      <c r="BD76" s="4">
        <v>1329.1496239259041</v>
      </c>
      <c r="BE76" s="4">
        <v>1325.3470866419273</v>
      </c>
      <c r="BF76" s="4">
        <v>1321.6156622030085</v>
      </c>
      <c r="BG76" s="4">
        <v>1318.3967938078208</v>
      </c>
      <c r="BH76" s="4">
        <v>1315.4394022057481</v>
      </c>
      <c r="BJ76" s="9"/>
    </row>
    <row r="77" spans="1:62" x14ac:dyDescent="0.25">
      <c r="A77" s="6" t="s">
        <v>73</v>
      </c>
      <c r="B77" s="6"/>
      <c r="C77" s="7" t="s">
        <v>526</v>
      </c>
      <c r="D77" s="3"/>
      <c r="E77" s="3">
        <f>VLOOKUP(A77,[2]Sheet1!$A$2:$E$627,5,0)</f>
        <v>329.67736287843229</v>
      </c>
      <c r="F77" s="3">
        <f>VLOOKUP(A77,[2]Sheet1!$A$2:$F$627,6,0)</f>
        <v>574.13846686828344</v>
      </c>
      <c r="G77" s="3">
        <f>VLOOKUP(A77,[2]Sheet1!$A$2:$G$627,7,0)</f>
        <v>959.79531910150399</v>
      </c>
      <c r="H77" s="4">
        <f t="shared" si="6"/>
        <v>962.98591693967592</v>
      </c>
      <c r="I77" s="11">
        <f t="shared" si="7"/>
        <v>0.74151619588147333</v>
      </c>
      <c r="J77" s="11">
        <f t="shared" si="8"/>
        <v>1.9113170243824904</v>
      </c>
      <c r="K77" s="11">
        <f t="shared" si="9"/>
        <v>0.67171401062332303</v>
      </c>
      <c r="L77" s="11">
        <f>IF(S77="",((BG77-E77)/E77),((U77-E77)/E77))</f>
        <v>1.9183144700178578</v>
      </c>
      <c r="M77" s="3" t="str">
        <f>IF(S77="Churn","Churn",VLOOKUP(A77,'[1]Revenue_Engine_2025 Dec.25'!$C$14:$E$3993,3,0))</f>
        <v>Sağlık</v>
      </c>
      <c r="N77" s="3">
        <f>IF(S77="",VLOOKUP(A77,[3]Export!$B$2:$F$417,5,0),"CHURN")</f>
        <v>0.45412615001847834</v>
      </c>
      <c r="O77" s="3">
        <f>(1-N77)*H77</f>
        <v>525.6688299578467</v>
      </c>
      <c r="P77" s="3">
        <f t="shared" si="11"/>
        <v>313.40717533187819</v>
      </c>
      <c r="Q77" s="3">
        <f t="shared" si="10"/>
        <v>523.92716603218105</v>
      </c>
      <c r="R77" s="3" t="str">
        <f>IF(S77&lt;&gt;"Churn",VLOOKUP(A77,[3]Export!$B$2:$O$417,8,0),"CHURN")</f>
        <v>NO RISK</v>
      </c>
      <c r="S77" s="3"/>
      <c r="T77" s="3"/>
      <c r="U77" s="3" t="s">
        <v>551</v>
      </c>
      <c r="V77" s="4" t="str" cm="1">
        <f t="array" ref="V77">IFERROR(
    IF(
        MATCH(2,1/((Y77:BH77&lt;&gt;0)*(Y77:BH77&lt;&gt;"")))-MATCH(1,INDEX((Y77:BH77&lt;&gt;0)*(Y77:BH77&lt;&gt;""),0),0)+1 &lt;= 12,
        "No",
        "Yes"
    ),
    "No"
)</f>
        <v>Yes</v>
      </c>
      <c r="W77" s="4" t="str" cm="1">
        <f t="array" ref="W77">IFERROR(
    IF(
        MATCH(2,1/((Y77:BH77&lt;&gt;0)*(Y77:BH77&lt;&gt;"")))-MATCH(1,INDEX((Y77:BH77&lt;&gt;0)*(Y77:BH77&lt;&gt;""),0),0)+1 &lt;= 24,
        "No",
        "Yes"
    ),
    "No"
)</f>
        <v>Yes</v>
      </c>
      <c r="X77" s="3"/>
      <c r="Y77" s="4">
        <v>305.89799715326018</v>
      </c>
      <c r="Z77" s="4">
        <v>304.8629971790881</v>
      </c>
      <c r="AA77" s="4">
        <v>329.67736287843229</v>
      </c>
      <c r="AB77" s="4">
        <v>475.33623051781558</v>
      </c>
      <c r="AC77" s="4">
        <v>483.05906642546444</v>
      </c>
      <c r="AD77" s="4">
        <v>552.55321100133324</v>
      </c>
      <c r="AE77" s="4">
        <v>551.03251871797488</v>
      </c>
      <c r="AF77" s="4">
        <v>550.1010734070735</v>
      </c>
      <c r="AG77" s="4">
        <v>550.05624941999235</v>
      </c>
      <c r="AH77" s="4">
        <v>548.56889397514681</v>
      </c>
      <c r="AI77" s="4">
        <v>547.28137452812689</v>
      </c>
      <c r="AJ77" s="4">
        <v>569.90861144882263</v>
      </c>
      <c r="AK77" s="4">
        <v>574.13846686828344</v>
      </c>
      <c r="AL77" s="4">
        <v>690.13681843355198</v>
      </c>
      <c r="AM77" s="4">
        <v>786.04270309729247</v>
      </c>
      <c r="AN77" s="4">
        <v>648.10276724370567</v>
      </c>
      <c r="AO77" s="4">
        <v>722.41432638036804</v>
      </c>
      <c r="AP77" s="4">
        <v>797.34292385592926</v>
      </c>
      <c r="AQ77" s="4">
        <v>796.59991189695529</v>
      </c>
      <c r="AR77" s="4">
        <v>795.23505346940476</v>
      </c>
      <c r="AS77" s="4">
        <v>807.02481628061742</v>
      </c>
      <c r="AT77" s="4">
        <v>819.14560445059658</v>
      </c>
      <c r="AU77" s="4">
        <v>818.80965963428503</v>
      </c>
      <c r="AV77" s="4">
        <v>853.18573853673638</v>
      </c>
      <c r="AW77" s="4">
        <v>959.79531910150399</v>
      </c>
      <c r="AX77" s="4">
        <v>958.04809524601569</v>
      </c>
      <c r="AY77" s="4">
        <v>955.61888682259382</v>
      </c>
      <c r="AZ77" s="4">
        <v>953.08277399089229</v>
      </c>
      <c r="BA77" s="4">
        <v>951.53370085929942</v>
      </c>
      <c r="BB77" s="4">
        <v>949.9911763389623</v>
      </c>
      <c r="BC77" s="4">
        <v>948.27325965624573</v>
      </c>
      <c r="BD77" s="4">
        <v>946.92426805252717</v>
      </c>
      <c r="BE77" s="4">
        <v>945.88033094317461</v>
      </c>
      <c r="BF77" s="4">
        <v>962.98591693967592</v>
      </c>
      <c r="BG77" s="4">
        <v>962.10221852545715</v>
      </c>
      <c r="BH77" s="4">
        <v>961.2903051608464</v>
      </c>
      <c r="BJ77" s="9"/>
    </row>
    <row r="78" spans="1:62" x14ac:dyDescent="0.25">
      <c r="A78" s="6" t="s">
        <v>74</v>
      </c>
      <c r="B78" s="6"/>
      <c r="C78" s="7" t="s">
        <v>526</v>
      </c>
      <c r="D78" s="3"/>
      <c r="E78" s="3">
        <f>VLOOKUP(A78,[2]Sheet1!$A$2:$E$627,5,0)</f>
        <v>648.04999999999995</v>
      </c>
      <c r="F78" s="3">
        <f>VLOOKUP(A78,[2]Sheet1!$A$2:$F$627,6,0)</f>
        <v>682.34156200000007</v>
      </c>
      <c r="G78" s="3">
        <f>VLOOKUP(A78,[2]Sheet1!$A$2:$G$627,7,0)</f>
        <v>804.69005233333326</v>
      </c>
      <c r="H78" s="4">
        <f t="shared" si="6"/>
        <v>804.70671899999991</v>
      </c>
      <c r="I78" s="11">
        <f t="shared" si="7"/>
        <v>5.2914994213409637E-2</v>
      </c>
      <c r="J78" s="11">
        <f t="shared" si="8"/>
        <v>0.24170982537355654</v>
      </c>
      <c r="K78" s="11">
        <f t="shared" si="9"/>
        <v>0.17930681222864331</v>
      </c>
      <c r="L78" s="11">
        <f>IF(S78="",((BG78-E78)/E78),((U78-E78)/E78))</f>
        <v>0.24173554355373808</v>
      </c>
      <c r="M78" s="3" t="str">
        <f>IF(S78="Churn","Churn",VLOOKUP(A78,'[1]Revenue_Engine_2025 Dec.25'!$C$14:$E$3993,3,0))</f>
        <v>Teknoloji</v>
      </c>
      <c r="N78" s="3">
        <f>IF(S78="",VLOOKUP(A78,[3]Export!$B$2:$F$417,5,0),"CHURN")</f>
        <v>0.16985832573867202</v>
      </c>
      <c r="O78" s="3">
        <f>(1-N78)*H78</f>
        <v>668.02058299999999</v>
      </c>
      <c r="P78" s="3">
        <f t="shared" si="11"/>
        <v>566.44016669676978</v>
      </c>
      <c r="Q78" s="3">
        <f t="shared" si="10"/>
        <v>668.00674730542892</v>
      </c>
      <c r="R78" s="3" t="str">
        <f>IF(S78&lt;&gt;"Churn",VLOOKUP(A78,[3]Export!$B$2:$O$417,8,0),"CHURN")</f>
        <v>NO RISK</v>
      </c>
      <c r="S78" s="3"/>
      <c r="T78" s="3"/>
      <c r="U78" s="3" t="s">
        <v>551</v>
      </c>
      <c r="V78" s="4" t="str" cm="1">
        <f t="array" ref="V78">IFERROR(
    IF(
        MATCH(2,1/((Y78:BH78&lt;&gt;0)*(Y78:BH78&lt;&gt;"")))-MATCH(1,INDEX((Y78:BH78&lt;&gt;0)*(Y78:BH78&lt;&gt;""),0),0)+1 &lt;= 12,
        "No",
        "Yes"
    ),
    "No"
)</f>
        <v>Yes</v>
      </c>
      <c r="W78" s="4" t="str" cm="1">
        <f t="array" ref="W78">IFERROR(
    IF(
        MATCH(2,1/((Y78:BH78&lt;&gt;0)*(Y78:BH78&lt;&gt;"")))-MATCH(1,INDEX((Y78:BH78&lt;&gt;0)*(Y78:BH78&lt;&gt;""),0),0)+1 &lt;= 24,
        "No",
        "Yes"
    ),
    "No"
)</f>
        <v>Yes</v>
      </c>
      <c r="X78" s="3"/>
      <c r="Y78" s="4">
        <v>648.04999999999995</v>
      </c>
      <c r="Z78" s="4">
        <v>648.04999999999995</v>
      </c>
      <c r="AA78" s="4">
        <v>648.04999999999995</v>
      </c>
      <c r="AB78" s="4">
        <v>648.04999999999995</v>
      </c>
      <c r="AC78" s="4">
        <v>657.05335999999988</v>
      </c>
      <c r="AD78" s="4">
        <v>657.05335999999988</v>
      </c>
      <c r="AE78" s="4">
        <v>657.30335999999988</v>
      </c>
      <c r="AF78" s="4">
        <v>682.34156200000007</v>
      </c>
      <c r="AG78" s="4">
        <v>682.34156200000007</v>
      </c>
      <c r="AH78" s="4">
        <v>682.34156200000007</v>
      </c>
      <c r="AI78" s="4">
        <v>682.34156200000007</v>
      </c>
      <c r="AJ78" s="4">
        <v>682.34156200000007</v>
      </c>
      <c r="AK78" s="4">
        <v>682.34156200000007</v>
      </c>
      <c r="AL78" s="4">
        <v>682.34156200000007</v>
      </c>
      <c r="AM78" s="4">
        <v>682.34156200000007</v>
      </c>
      <c r="AN78" s="4">
        <v>682.34156200000007</v>
      </c>
      <c r="AO78" s="4">
        <v>686.32489533333342</v>
      </c>
      <c r="AP78" s="4">
        <v>727.32489533333342</v>
      </c>
      <c r="AQ78" s="4">
        <v>727.32489533333342</v>
      </c>
      <c r="AR78" s="4">
        <v>727.32489533333342</v>
      </c>
      <c r="AS78" s="4">
        <v>727.32489533333342</v>
      </c>
      <c r="AT78" s="4">
        <v>727.32489533333342</v>
      </c>
      <c r="AU78" s="4">
        <v>727.32489533333342</v>
      </c>
      <c r="AV78" s="4">
        <v>727.32489533333342</v>
      </c>
      <c r="AW78" s="4">
        <v>804.69005233333326</v>
      </c>
      <c r="AX78" s="4">
        <v>804.69005233333326</v>
      </c>
      <c r="AY78" s="4">
        <v>804.69005233333326</v>
      </c>
      <c r="AZ78" s="4">
        <v>804.69005233333326</v>
      </c>
      <c r="BA78" s="4">
        <v>804.70671899999991</v>
      </c>
      <c r="BB78" s="4">
        <v>804.70671899999991</v>
      </c>
      <c r="BC78" s="4">
        <v>804.70671899999991</v>
      </c>
      <c r="BD78" s="4">
        <v>804.70671899999991</v>
      </c>
      <c r="BE78" s="4">
        <v>804.70671899999991</v>
      </c>
      <c r="BF78" s="4">
        <v>804.70671899999991</v>
      </c>
      <c r="BG78" s="4">
        <v>804.70671899999991</v>
      </c>
      <c r="BH78" s="4">
        <v>804.70671899999991</v>
      </c>
      <c r="BJ78" s="9"/>
    </row>
    <row r="79" spans="1:62" x14ac:dyDescent="0.25">
      <c r="A79" s="6" t="s">
        <v>75</v>
      </c>
      <c r="B79" s="6"/>
      <c r="C79" s="7" t="s">
        <v>526</v>
      </c>
      <c r="D79" s="3"/>
      <c r="E79" s="3">
        <f>VLOOKUP(A79,[2]Sheet1!$A$2:$E$627,5,0)</f>
        <v>189.75</v>
      </c>
      <c r="F79" s="3">
        <f>VLOOKUP(A79,[2]Sheet1!$A$2:$F$627,6,0)</f>
        <v>148.5</v>
      </c>
      <c r="G79" s="3">
        <f>VLOOKUP(A79,[2]Sheet1!$A$2:$G$627,7,0)</f>
        <v>206.25</v>
      </c>
      <c r="H79" s="4">
        <f t="shared" si="6"/>
        <v>0</v>
      </c>
      <c r="I79" s="11">
        <f t="shared" si="7"/>
        <v>-0.21739130434782608</v>
      </c>
      <c r="J79" s="11">
        <f t="shared" si="8"/>
        <v>8.6956521739130432E-2</v>
      </c>
      <c r="K79" s="11">
        <f t="shared" si="9"/>
        <v>0.3888888888888889</v>
      </c>
      <c r="L79" s="11">
        <f>IF(S79="",((BG79-E79)/E79),((U79-E79)/E79))</f>
        <v>8.6956521739130432E-2</v>
      </c>
      <c r="M79" s="3" t="str">
        <f>IF(S79="Churn","Churn",VLOOKUP(A79,'[1]Revenue_Engine_2025 Dec.25'!$C$14:$E$3993,3,0))</f>
        <v>Churn</v>
      </c>
      <c r="N79" s="3" t="str">
        <f>IF(S79="",VLOOKUP(A79,[3]Export!$B$2:$F$417,5,0),"CHURN")</f>
        <v>CHURN</v>
      </c>
      <c r="O79" s="3" t="e">
        <f>(1-N79)*H79</f>
        <v>#VALUE!</v>
      </c>
      <c r="P79" s="3" t="e">
        <f t="shared" si="11"/>
        <v>#VALUE!</v>
      </c>
      <c r="Q79" s="3" t="e">
        <f t="shared" si="10"/>
        <v>#VALUE!</v>
      </c>
      <c r="R79" s="3" t="str">
        <f>IF(S79&lt;&gt;"Churn",VLOOKUP(A79,[3]Export!$B$2:$O$417,8,0),"CHURN")</f>
        <v>CHURN</v>
      </c>
      <c r="S79" s="3" t="s">
        <v>372</v>
      </c>
      <c r="T79" s="3" t="s">
        <v>559</v>
      </c>
      <c r="U79" s="3">
        <v>206.25</v>
      </c>
      <c r="V79" s="4" t="str" cm="1">
        <f t="array" ref="V79">IFERROR(
    IF(
        MATCH(2,1/((Y79:BH79&lt;&gt;0)*(Y79:BH79&lt;&gt;"")))-MATCH(1,INDEX((Y79:BH79&lt;&gt;0)*(Y79:BH79&lt;&gt;""),0),0)+1 &lt;= 12,
        "No",
        "Yes"
    ),
    "No"
)</f>
        <v>Yes</v>
      </c>
      <c r="W79" s="4" t="str" cm="1">
        <f t="array" ref="W79">IFERROR(
    IF(
        MATCH(2,1/((Y79:BH79&lt;&gt;0)*(Y79:BH79&lt;&gt;"")))-MATCH(1,INDEX((Y79:BH79&lt;&gt;0)*(Y79:BH79&lt;&gt;""),0),0)+1 &lt;= 24,
        "No",
        "Yes"
    ),
    "No"
)</f>
        <v>Yes</v>
      </c>
      <c r="X79" s="3"/>
      <c r="Y79" s="4">
        <v>189.75</v>
      </c>
      <c r="Z79" s="4">
        <v>189.75</v>
      </c>
      <c r="AA79" s="4">
        <v>189.75</v>
      </c>
      <c r="AB79" s="4">
        <v>189.75</v>
      </c>
      <c r="AC79" s="4">
        <v>173.25</v>
      </c>
      <c r="AD79" s="4">
        <v>189.75</v>
      </c>
      <c r="AE79" s="4">
        <v>189.75</v>
      </c>
      <c r="AF79" s="4">
        <v>115.5</v>
      </c>
      <c r="AG79" s="4">
        <v>148.5</v>
      </c>
      <c r="AH79" s="4">
        <v>189.75</v>
      </c>
      <c r="AI79" s="4">
        <v>107.25</v>
      </c>
      <c r="AJ79" s="4">
        <v>148.5</v>
      </c>
      <c r="AK79" s="4">
        <v>148.5</v>
      </c>
      <c r="AL79" s="4">
        <v>148.5</v>
      </c>
      <c r="AM79" s="4">
        <v>148.5</v>
      </c>
      <c r="AN79" s="4">
        <v>148.5</v>
      </c>
      <c r="AO79" s="4">
        <v>189.75</v>
      </c>
      <c r="AP79" s="4">
        <v>189.75</v>
      </c>
      <c r="AQ79" s="4">
        <v>189.75</v>
      </c>
      <c r="AR79" s="4">
        <v>189.75</v>
      </c>
      <c r="AS79" s="4">
        <v>206.25</v>
      </c>
      <c r="AT79" s="4">
        <v>206.25</v>
      </c>
      <c r="AU79" s="4">
        <v>206.25</v>
      </c>
      <c r="AV79" s="4">
        <v>206.25</v>
      </c>
      <c r="AW79" s="4">
        <v>206.25</v>
      </c>
      <c r="AX79" s="4">
        <v>206.25</v>
      </c>
      <c r="AY79" s="4">
        <v>206.25</v>
      </c>
      <c r="AZ79" s="4">
        <v>206.25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  <c r="BH79" s="4">
        <v>0</v>
      </c>
      <c r="BJ79" s="9"/>
    </row>
    <row r="80" spans="1:62" x14ac:dyDescent="0.25">
      <c r="A80" s="6" t="s">
        <v>76</v>
      </c>
      <c r="B80" s="6"/>
      <c r="C80" s="7" t="s">
        <v>526</v>
      </c>
      <c r="D80" s="3"/>
      <c r="E80" s="3">
        <f>VLOOKUP(A80,[2]Sheet1!$A$2:$E$627,5,0)</f>
        <v>3394.2493481199454</v>
      </c>
      <c r="F80" s="3">
        <f>VLOOKUP(A80,[2]Sheet1!$A$2:$F$627,6,0)</f>
        <v>4211.6578504962963</v>
      </c>
      <c r="G80" s="3">
        <f>VLOOKUP(A80,[2]Sheet1!$A$2:$G$627,7,0)</f>
        <v>4857.7466356154473</v>
      </c>
      <c r="H80" s="4">
        <f t="shared" si="6"/>
        <v>0</v>
      </c>
      <c r="I80" s="11">
        <f t="shared" si="7"/>
        <v>0.24082158337280338</v>
      </c>
      <c r="J80" s="11">
        <f t="shared" si="8"/>
        <v>0.43116964530202367</v>
      </c>
      <c r="K80" s="11">
        <f t="shared" si="9"/>
        <v>0.153404860521378</v>
      </c>
      <c r="L80" s="11">
        <f>IF(S80="",((BG80-E80)/E80),((U80-E80)/E80))</f>
        <v>0.42359092044065322</v>
      </c>
      <c r="M80" s="3" t="str">
        <f>IF(S80="Churn","Churn",VLOOKUP(A80,'[1]Revenue_Engine_2025 Dec.25'!$C$14:$E$3993,3,0))</f>
        <v>Churn</v>
      </c>
      <c r="N80" s="3" t="str">
        <f>IF(S80="",VLOOKUP(A80,[3]Export!$B$2:$F$417,5,0),"CHURN")</f>
        <v>CHURN</v>
      </c>
      <c r="O80" s="3" t="e">
        <f>(1-N80)*H80</f>
        <v>#VALUE!</v>
      </c>
      <c r="P80" s="3" t="e">
        <f t="shared" si="11"/>
        <v>#VALUE!</v>
      </c>
      <c r="Q80" s="3" t="e">
        <f t="shared" si="10"/>
        <v>#VALUE!</v>
      </c>
      <c r="R80" s="3" t="str">
        <f>IF(S80&lt;&gt;"Churn",VLOOKUP(A80,[3]Export!$B$2:$O$417,8,0),"CHURN")</f>
        <v>CHURN</v>
      </c>
      <c r="S80" s="3" t="s">
        <v>372</v>
      </c>
      <c r="T80" s="3" t="s">
        <v>550</v>
      </c>
      <c r="U80" s="3">
        <v>4832.0225536951602</v>
      </c>
      <c r="V80" s="4" t="str" cm="1">
        <f t="array" ref="V80">IFERROR(
    IF(
        MATCH(2,1/((Y80:BH80&lt;&gt;0)*(Y80:BH80&lt;&gt;"")))-MATCH(1,INDEX((Y80:BH80&lt;&gt;0)*(Y80:BH80&lt;&gt;""),0),0)+1 &lt;= 12,
        "No",
        "Yes"
    ),
    "No"
)</f>
        <v>Yes</v>
      </c>
      <c r="W80" s="4" t="str" cm="1">
        <f t="array" ref="W80">IFERROR(
    IF(
        MATCH(2,1/((Y80:BH80&lt;&gt;0)*(Y80:BH80&lt;&gt;"")))-MATCH(1,INDEX((Y80:BH80&lt;&gt;0)*(Y80:BH80&lt;&gt;""),0),0)+1 &lt;= 24,
        "No",
        "Yes"
    ),
    "No"
)</f>
        <v>Yes</v>
      </c>
      <c r="X80" s="3"/>
      <c r="Y80" s="4">
        <v>3366.2260425162908</v>
      </c>
      <c r="Z80" s="4">
        <v>3365.8597562292925</v>
      </c>
      <c r="AA80" s="4">
        <v>3394.2493481199454</v>
      </c>
      <c r="AB80" s="4">
        <v>3680.8026589178207</v>
      </c>
      <c r="AC80" s="4">
        <v>3712.9226498096118</v>
      </c>
      <c r="AD80" s="4">
        <v>3681.1143941745572</v>
      </c>
      <c r="AE80" s="4">
        <v>3639.4752844867085</v>
      </c>
      <c r="AF80" s="4">
        <v>3666.1711601936508</v>
      </c>
      <c r="AG80" s="4">
        <v>4186.2138711919006</v>
      </c>
      <c r="AH80" s="4">
        <v>4199.2261186317965</v>
      </c>
      <c r="AI80" s="4">
        <v>4210.7242686893696</v>
      </c>
      <c r="AJ80" s="4">
        <v>4221.0558838785819</v>
      </c>
      <c r="AK80" s="4">
        <v>4211.6578504962963</v>
      </c>
      <c r="AL80" s="4">
        <v>4205.0967539581179</v>
      </c>
      <c r="AM80" s="4">
        <v>4220.6700082868447</v>
      </c>
      <c r="AN80" s="4">
        <v>4324.6527075539416</v>
      </c>
      <c r="AO80" s="4">
        <v>4751.4804687723845</v>
      </c>
      <c r="AP80" s="4">
        <v>4744.9393538384675</v>
      </c>
      <c r="AQ80" s="4">
        <v>4740.1370466354938</v>
      </c>
      <c r="AR80" s="4">
        <v>4731.3155608188781</v>
      </c>
      <c r="AS80" s="4">
        <v>4726.7250867002076</v>
      </c>
      <c r="AT80" s="4">
        <v>4724.2741278956191</v>
      </c>
      <c r="AU80" s="4">
        <v>4722.102816664772</v>
      </c>
      <c r="AV80" s="4">
        <v>4716.0117194279956</v>
      </c>
      <c r="AW80" s="4">
        <v>4857.7466356154473</v>
      </c>
      <c r="AX80" s="4">
        <v>4851.0508549762062</v>
      </c>
      <c r="AY80" s="4">
        <v>4841.7415459949125</v>
      </c>
      <c r="AZ80" s="4">
        <v>4832.0225536951602</v>
      </c>
      <c r="BA80" s="4">
        <v>4180.0961341283692</v>
      </c>
      <c r="BB80" s="4">
        <v>3877.1738477994909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  <c r="BH80" s="4">
        <v>0</v>
      </c>
      <c r="BJ80" s="9"/>
    </row>
    <row r="81" spans="1:62" x14ac:dyDescent="0.25">
      <c r="A81" s="6" t="s">
        <v>77</v>
      </c>
      <c r="B81" s="6"/>
      <c r="C81" s="7" t="s">
        <v>526</v>
      </c>
      <c r="D81" s="3"/>
      <c r="E81" s="3">
        <f>VLOOKUP(A81,[2]Sheet1!$A$2:$E$627,5,0)</f>
        <v>2038.2065538988077</v>
      </c>
      <c r="F81" s="3">
        <f>VLOOKUP(A81,[2]Sheet1!$A$2:$F$627,6,0)</f>
        <v>2751.7942343066293</v>
      </c>
      <c r="G81" s="3">
        <f>VLOOKUP(A81,[2]Sheet1!$A$2:$G$627,7,0)</f>
        <v>3539.3908984018594</v>
      </c>
      <c r="H81" s="4">
        <f t="shared" si="6"/>
        <v>3292.2339078976838</v>
      </c>
      <c r="I81" s="11">
        <f t="shared" si="7"/>
        <v>0.35010567454158509</v>
      </c>
      <c r="J81" s="11">
        <f t="shared" si="8"/>
        <v>0.73652218497261401</v>
      </c>
      <c r="K81" s="11">
        <f t="shared" si="9"/>
        <v>0.28621204822521229</v>
      </c>
      <c r="L81" s="11">
        <f>IF(S81="",((BG81-E81)/E81),((U81-E81)/E81))</f>
        <v>0.60148406982573566</v>
      </c>
      <c r="M81" s="3" t="str">
        <f>IF(S81="Churn","Churn",VLOOKUP(A81,'[1]Revenue_Engine_2025 Dec.25'!$C$14:$E$3993,3,0))</f>
        <v>Genel</v>
      </c>
      <c r="N81" s="3">
        <v>0</v>
      </c>
      <c r="O81" s="3">
        <f>(1-N81)*H81</f>
        <v>3292.2339078976838</v>
      </c>
      <c r="P81" s="3">
        <f t="shared" si="11"/>
        <v>2751.7942343066293</v>
      </c>
      <c r="Q81" s="3">
        <f t="shared" si="10"/>
        <v>3539.3908984018594</v>
      </c>
      <c r="R81" s="3" t="e">
        <f>IF(S81&lt;&gt;"Churn",VLOOKUP(A81,[3]Export!$B$2:$O$417,8,0),"CHURN")</f>
        <v>#N/A</v>
      </c>
      <c r="S81" s="3"/>
      <c r="T81" s="3"/>
      <c r="U81" s="3" t="s">
        <v>551</v>
      </c>
      <c r="V81" s="4" t="str" cm="1">
        <f t="array" ref="V81">IFERROR(
    IF(
        MATCH(2,1/((Y81:BH81&lt;&gt;0)*(Y81:BH81&lt;&gt;"")))-MATCH(1,INDEX((Y81:BH81&lt;&gt;0)*(Y81:BH81&lt;&gt;""),0),0)+1 &lt;= 12,
        "No",
        "Yes"
    ),
    "No"
)</f>
        <v>Yes</v>
      </c>
      <c r="W81" s="4" t="str" cm="1">
        <f t="array" ref="W81">IFERROR(
    IF(
        MATCH(2,1/((Y81:BH81&lt;&gt;0)*(Y81:BH81&lt;&gt;"")))-MATCH(1,INDEX((Y81:BH81&lt;&gt;0)*(Y81:BH81&lt;&gt;""),0),0)+1 &lt;= 24,
        "No",
        "Yes"
    ),
    "No"
)</f>
        <v>Yes</v>
      </c>
      <c r="X81" s="3"/>
      <c r="Y81" s="4">
        <v>2038.2065538988077</v>
      </c>
      <c r="Z81" s="4">
        <v>2032.5148615840671</v>
      </c>
      <c r="AA81" s="4">
        <v>2020.5140509726784</v>
      </c>
      <c r="AB81" s="4">
        <v>1991.7233413273525</v>
      </c>
      <c r="AC81" s="4">
        <v>2208.4386052278546</v>
      </c>
      <c r="AD81" s="4">
        <v>1920.8294160883388</v>
      </c>
      <c r="AE81" s="4">
        <v>1748.3143407902262</v>
      </c>
      <c r="AF81" s="4">
        <v>1722.8051630545842</v>
      </c>
      <c r="AG81" s="4">
        <v>1721.5775836788632</v>
      </c>
      <c r="AH81" s="4">
        <v>1700.6308814604101</v>
      </c>
      <c r="AI81" s="4">
        <v>1664.8252976429965</v>
      </c>
      <c r="AJ81" s="4">
        <v>2829.1956925420673</v>
      </c>
      <c r="AK81" s="4">
        <v>2751.7942343066293</v>
      </c>
      <c r="AL81" s="4">
        <v>3044.6358309389007</v>
      </c>
      <c r="AM81" s="4">
        <v>3392.9649777138648</v>
      </c>
      <c r="AN81" s="4">
        <v>3054.6021481752609</v>
      </c>
      <c r="AO81" s="4">
        <v>3058.2798600812821</v>
      </c>
      <c r="AP81" s="4">
        <v>3036.8290012648595</v>
      </c>
      <c r="AQ81" s="4">
        <v>3176.9954339749779</v>
      </c>
      <c r="AR81" s="4">
        <v>3119.8995155185398</v>
      </c>
      <c r="AS81" s="4">
        <v>3170.1883106199371</v>
      </c>
      <c r="AT81" s="4">
        <v>3227.9381533204382</v>
      </c>
      <c r="AU81" s="4">
        <v>3214.4236360099849</v>
      </c>
      <c r="AV81" s="4">
        <v>3584.1069380011545</v>
      </c>
      <c r="AW81" s="4">
        <v>3539.3908984018594</v>
      </c>
      <c r="AX81" s="4">
        <v>3487.8883537688034</v>
      </c>
      <c r="AY81" s="4">
        <v>3431.9877931518536</v>
      </c>
      <c r="AZ81" s="4">
        <v>3495.6596878939804</v>
      </c>
      <c r="BA81" s="4">
        <v>3447.4142194251449</v>
      </c>
      <c r="BB81" s="4">
        <v>3399.3727057027963</v>
      </c>
      <c r="BC81" s="4">
        <v>3347.8686499821551</v>
      </c>
      <c r="BD81" s="4">
        <v>3323.0428731423094</v>
      </c>
      <c r="BE81" s="4">
        <v>3298.8117540120325</v>
      </c>
      <c r="BF81" s="4">
        <v>3292.2339078976838</v>
      </c>
      <c r="BG81" s="4">
        <v>3264.1553270833501</v>
      </c>
      <c r="BH81" s="4">
        <v>3225.8549298394892</v>
      </c>
      <c r="BJ81" s="9"/>
    </row>
    <row r="82" spans="1:62" x14ac:dyDescent="0.25">
      <c r="A82" s="6" t="s">
        <v>78</v>
      </c>
      <c r="B82" s="6"/>
      <c r="C82" s="7" t="s">
        <v>526</v>
      </c>
      <c r="D82" s="3"/>
      <c r="E82" s="3">
        <f>VLOOKUP(A82,[2]Sheet1!$A$2:$E$627,5,0)</f>
        <v>134.44</v>
      </c>
      <c r="F82" s="3">
        <f>VLOOKUP(A82,[2]Sheet1!$A$2:$F$627,6,0)</f>
        <v>131.4478</v>
      </c>
      <c r="G82" s="3">
        <f>VLOOKUP(A82,[2]Sheet1!$A$2:$G$627,7,0)</f>
        <v>157.131608</v>
      </c>
      <c r="H82" s="4">
        <f t="shared" si="6"/>
        <v>70</v>
      </c>
      <c r="I82" s="11">
        <f t="shared" si="7"/>
        <v>-2.2256768818803903E-2</v>
      </c>
      <c r="J82" s="11">
        <f t="shared" si="8"/>
        <v>0.1687861350788456</v>
      </c>
      <c r="K82" s="11">
        <f t="shared" si="9"/>
        <v>0.19539169160685838</v>
      </c>
      <c r="L82" s="11">
        <f>IF(S82="",((BG82-E82)/E82),((U82-E82)/E82))</f>
        <v>-0.542546861053258</v>
      </c>
      <c r="M82" s="3" t="str">
        <f>IF(S82="Churn","Churn",VLOOKUP(A82,'[1]Revenue_Engine_2025 Dec.25'!$C$14:$E$3993,3,0))</f>
        <v>Diğer</v>
      </c>
      <c r="N82" s="3">
        <f>IF(S82="",VLOOKUP(A82,[3]Export!$B$2:$F$417,5,0),"CHURN")</f>
        <v>1</v>
      </c>
      <c r="O82" s="3">
        <f>(1-N82)*H82</f>
        <v>0</v>
      </c>
      <c r="P82" s="3">
        <f t="shared" si="11"/>
        <v>0</v>
      </c>
      <c r="Q82" s="3">
        <f t="shared" si="10"/>
        <v>0</v>
      </c>
      <c r="R82" s="3" t="str">
        <f>IF(S82&lt;&gt;"Churn",VLOOKUP(A82,[3]Export!$B$2:$O$417,8,0),"CHURN")</f>
        <v>CHURN-KAPSAM DARALMASI</v>
      </c>
      <c r="S82" s="3"/>
      <c r="T82" s="3"/>
      <c r="U82" s="3" t="s">
        <v>551</v>
      </c>
      <c r="V82" s="4" t="str" cm="1">
        <f t="array" ref="V82">IFERROR(
    IF(
        MATCH(2,1/((Y82:BH82&lt;&gt;0)*(Y82:BH82&lt;&gt;"")))-MATCH(1,INDEX((Y82:BH82&lt;&gt;0)*(Y82:BH82&lt;&gt;""),0),0)+1 &lt;= 12,
        "No",
        "Yes"
    ),
    "No"
)</f>
        <v>Yes</v>
      </c>
      <c r="W82" s="4" t="str" cm="1">
        <f t="array" ref="W82">IFERROR(
    IF(
        MATCH(2,1/((Y82:BH82&lt;&gt;0)*(Y82:BH82&lt;&gt;"")))-MATCH(1,INDEX((Y82:BH82&lt;&gt;0)*(Y82:BH82&lt;&gt;""),0),0)+1 &lt;= 24,
        "No",
        "Yes"
    ),
    "No"
)</f>
        <v>Yes</v>
      </c>
      <c r="X82" s="3"/>
      <c r="Y82" s="4">
        <v>134.44</v>
      </c>
      <c r="Z82" s="4">
        <v>134.44</v>
      </c>
      <c r="AA82" s="4">
        <v>134.44</v>
      </c>
      <c r="AB82" s="4">
        <v>144.44</v>
      </c>
      <c r="AC82" s="4">
        <v>144.4478</v>
      </c>
      <c r="AD82" s="4">
        <v>169.4478</v>
      </c>
      <c r="AE82" s="4">
        <v>169.4478</v>
      </c>
      <c r="AF82" s="4">
        <v>169.4478</v>
      </c>
      <c r="AG82" s="4">
        <v>143.9478</v>
      </c>
      <c r="AH82" s="4">
        <v>131.4478</v>
      </c>
      <c r="AI82" s="4">
        <v>131.4478</v>
      </c>
      <c r="AJ82" s="4">
        <v>131.4478</v>
      </c>
      <c r="AK82" s="4">
        <v>131.4478</v>
      </c>
      <c r="AL82" s="4">
        <v>131.4478</v>
      </c>
      <c r="AM82" s="4">
        <v>131.4478</v>
      </c>
      <c r="AN82" s="4">
        <v>131.4478</v>
      </c>
      <c r="AO82" s="4">
        <v>135.4478</v>
      </c>
      <c r="AP82" s="4">
        <v>135.4478</v>
      </c>
      <c r="AQ82" s="4">
        <v>135.4478</v>
      </c>
      <c r="AR82" s="4">
        <v>135.4478</v>
      </c>
      <c r="AS82" s="4">
        <v>135.4478</v>
      </c>
      <c r="AT82" s="4">
        <v>172.9478</v>
      </c>
      <c r="AU82" s="4">
        <v>135.4478</v>
      </c>
      <c r="AV82" s="4">
        <v>135.4478</v>
      </c>
      <c r="AW82" s="4">
        <v>157.131608</v>
      </c>
      <c r="AX82" s="4">
        <v>165.131608</v>
      </c>
      <c r="AY82" s="4">
        <v>165.131608</v>
      </c>
      <c r="AZ82" s="4">
        <v>165.13160799999997</v>
      </c>
      <c r="BA82" s="4">
        <v>156.72</v>
      </c>
      <c r="BB82" s="4">
        <v>156.73160799999999</v>
      </c>
      <c r="BC82" s="4">
        <v>156.73160799999999</v>
      </c>
      <c r="BD82" s="4">
        <v>156.73160799999999</v>
      </c>
      <c r="BE82" s="4">
        <v>156.73160799999999</v>
      </c>
      <c r="BF82" s="4">
        <v>28.8</v>
      </c>
      <c r="BG82" s="4">
        <v>61.5</v>
      </c>
      <c r="BH82" s="4">
        <v>70</v>
      </c>
      <c r="BJ82" s="9"/>
    </row>
    <row r="83" spans="1:62" x14ac:dyDescent="0.25">
      <c r="A83" s="6" t="s">
        <v>79</v>
      </c>
      <c r="B83" s="6"/>
      <c r="C83" s="7" t="s">
        <v>526</v>
      </c>
      <c r="D83" s="3"/>
      <c r="E83" s="3">
        <f>VLOOKUP(A83,[2]Sheet1!$A$2:$E$627,5,0)</f>
        <v>1936.3895235708997</v>
      </c>
      <c r="F83" s="3">
        <f>VLOOKUP(A83,[2]Sheet1!$A$2:$F$627,6,0)</f>
        <v>2035.3170169368041</v>
      </c>
      <c r="G83" s="3">
        <f>VLOOKUP(A83,[2]Sheet1!$A$2:$G$627,7,0)</f>
        <v>3516.538608135565</v>
      </c>
      <c r="H83" s="4">
        <f t="shared" si="6"/>
        <v>3803.3503884520478</v>
      </c>
      <c r="I83" s="11">
        <f t="shared" si="7"/>
        <v>5.1088632819843001E-2</v>
      </c>
      <c r="J83" s="11">
        <f t="shared" si="8"/>
        <v>0.81602852387401348</v>
      </c>
      <c r="K83" s="11">
        <f t="shared" si="9"/>
        <v>0.72775964573225616</v>
      </c>
      <c r="L83" s="11">
        <f>IF(S83="",((BG83-E83)/E83),((U83-E83)/E83))</f>
        <v>0.95896371417716675</v>
      </c>
      <c r="M83" s="3" t="str">
        <f>IF(S83="Churn","Churn",VLOOKUP(A83,'[1]Revenue_Engine_2025 Dec.25'!$C$14:$E$3993,3,0))</f>
        <v>Finans</v>
      </c>
      <c r="N83" s="3">
        <f>IF(S83="",VLOOKUP(A83,[3]Export!$B$2:$F$417,5,0),"CHURN")</f>
        <v>0.23305933697095738</v>
      </c>
      <c r="O83" s="3">
        <f>(1-N83)*H83</f>
        <v>2916.9440686511803</v>
      </c>
      <c r="P83" s="3">
        <f t="shared" si="11"/>
        <v>1560.9673824438057</v>
      </c>
      <c r="Q83" s="3">
        <f t="shared" si="10"/>
        <v>2696.9764516907171</v>
      </c>
      <c r="R83" s="3" t="str">
        <f>IF(S83&lt;&gt;"Churn",VLOOKUP(A83,[3]Export!$B$2:$O$417,8,0),"CHURN")</f>
        <v>NO RISK</v>
      </c>
      <c r="S83" s="3"/>
      <c r="T83" s="3"/>
      <c r="U83" s="3" t="s">
        <v>551</v>
      </c>
      <c r="V83" s="4" t="str" cm="1">
        <f t="array" ref="V83">IFERROR(
    IF(
        MATCH(2,1/((Y83:BH83&lt;&gt;0)*(Y83:BH83&lt;&gt;"")))-MATCH(1,INDEX((Y83:BH83&lt;&gt;0)*(Y83:BH83&lt;&gt;""),0),0)+1 &lt;= 12,
        "No",
        "Yes"
    ),
    "No"
)</f>
        <v>Yes</v>
      </c>
      <c r="W83" s="4" t="str" cm="1">
        <f t="array" ref="W83">IFERROR(
    IF(
        MATCH(2,1/((Y83:BH83&lt;&gt;0)*(Y83:BH83&lt;&gt;"")))-MATCH(1,INDEX((Y83:BH83&lt;&gt;0)*(Y83:BH83&lt;&gt;""),0),0)+1 &lt;= 24,
        "No",
        "Yes"
    ),
    "No"
)</f>
        <v>Yes</v>
      </c>
      <c r="X83" s="3"/>
      <c r="Y83" s="4">
        <v>1936.3895235708997</v>
      </c>
      <c r="Z83" s="4">
        <v>1930.467888884757</v>
      </c>
      <c r="AA83" s="4">
        <v>1917.9822497376481</v>
      </c>
      <c r="AB83" s="4">
        <v>1888.0284055298582</v>
      </c>
      <c r="AC83" s="4">
        <v>1856.6315907150695</v>
      </c>
      <c r="AD83" s="4">
        <v>1598.2118389114903</v>
      </c>
      <c r="AE83" s="4">
        <v>1442.7686507530741</v>
      </c>
      <c r="AF83" s="4">
        <v>1419.8617426423871</v>
      </c>
      <c r="AG83" s="4">
        <v>1418.7593924118294</v>
      </c>
      <c r="AH83" s="4">
        <v>1418.7765584959434</v>
      </c>
      <c r="AI83" s="4">
        <v>1386.1053155295649</v>
      </c>
      <c r="AJ83" s="4">
        <v>1372.7152722117557</v>
      </c>
      <c r="AK83" s="4">
        <v>2035.3170169368041</v>
      </c>
      <c r="AL83" s="4">
        <v>1994.1583102550153</v>
      </c>
      <c r="AM83" s="4">
        <v>1927.1528570925052</v>
      </c>
      <c r="AN83" s="4">
        <v>1910.3886391531453</v>
      </c>
      <c r="AO83" s="4">
        <v>1912.8111595635626</v>
      </c>
      <c r="AP83" s="4">
        <v>2016.9605683264856</v>
      </c>
      <c r="AQ83" s="4">
        <v>1996.4351162935832</v>
      </c>
      <c r="AR83" s="4">
        <v>1958.7313675880087</v>
      </c>
      <c r="AS83" s="4">
        <v>1939.1113074067855</v>
      </c>
      <c r="AT83" s="4">
        <v>1940.9513431755863</v>
      </c>
      <c r="AU83" s="4">
        <v>1820.8164567162682</v>
      </c>
      <c r="AV83" s="4">
        <v>1852.9681165025918</v>
      </c>
      <c r="AW83" s="4">
        <v>3516.538608135565</v>
      </c>
      <c r="AX83" s="4">
        <v>3462.5651197921434</v>
      </c>
      <c r="AY83" s="4">
        <v>3401.274447634738</v>
      </c>
      <c r="AZ83" s="4">
        <v>3322.9313916322253</v>
      </c>
      <c r="BA83" s="4">
        <v>3275.078976872378</v>
      </c>
      <c r="BB83" s="4">
        <v>3506.1000317168905</v>
      </c>
      <c r="BC83" s="4">
        <v>3930.1417239923121</v>
      </c>
      <c r="BD83" s="4">
        <v>3876.8145945547758</v>
      </c>
      <c r="BE83" s="4">
        <v>3843.8466065245834</v>
      </c>
      <c r="BF83" s="4">
        <v>3803.3503884520478</v>
      </c>
      <c r="BG83" s="4">
        <v>3793.3168131882039</v>
      </c>
      <c r="BH83" s="4">
        <v>3761.2209802954631</v>
      </c>
      <c r="BJ83" s="9"/>
    </row>
    <row r="84" spans="1:62" x14ac:dyDescent="0.25">
      <c r="A84" s="6" t="s">
        <v>80</v>
      </c>
      <c r="B84" s="6"/>
      <c r="C84" s="7" t="s">
        <v>525</v>
      </c>
      <c r="D84" s="3"/>
      <c r="E84" s="3">
        <f>VLOOKUP(A84,[2]Sheet1!$A$2:$E$627,5,0)</f>
        <v>14477.792941876465</v>
      </c>
      <c r="F84" s="3">
        <f>VLOOKUP(A84,[2]Sheet1!$A$2:$F$627,6,0)</f>
        <v>10322.924925994219</v>
      </c>
      <c r="G84" s="3">
        <f>VLOOKUP(A84,[2]Sheet1!$A$2:$G$627,7,0)</f>
        <v>12099.43624522392</v>
      </c>
      <c r="H84" s="4">
        <f t="shared" si="6"/>
        <v>11495.940136694215</v>
      </c>
      <c r="I84" s="11">
        <f t="shared" si="7"/>
        <v>-0.28698214103231501</v>
      </c>
      <c r="J84" s="11">
        <f t="shared" si="8"/>
        <v>-0.16427619224842196</v>
      </c>
      <c r="K84" s="11">
        <f t="shared" si="9"/>
        <v>0.17209379434275043</v>
      </c>
      <c r="L84" s="11">
        <f>IF(S84="",((BG84-E84)/E84),((U84-E84)/E84))</f>
        <v>-0.34039994355629666</v>
      </c>
      <c r="M84" s="3" t="str">
        <f>IF(S84="Churn","Churn",VLOOKUP(A84,'[1]Revenue_Engine_2025 Dec.25'!$C$14:$E$3993,3,0))</f>
        <v>Digital</v>
      </c>
      <c r="N84" s="3">
        <f>IF(S84="",VLOOKUP(A84,[3]Export!$B$2:$F$417,5,0),"CHURN")</f>
        <v>3.2400099902558099E-2</v>
      </c>
      <c r="O84" s="3">
        <f>(1-N84)*H84</f>
        <v>11123.470527791495</v>
      </c>
      <c r="P84" s="3">
        <f t="shared" si="11"/>
        <v>9988.4611271053982</v>
      </c>
      <c r="Q84" s="3">
        <f t="shared" si="10"/>
        <v>11707.413302114033</v>
      </c>
      <c r="R84" s="3" t="str">
        <f>IF(S84&lt;&gt;"Churn",VLOOKUP(A84,[3]Export!$B$2:$O$417,8,0),"CHURN")</f>
        <v>NO RISK</v>
      </c>
      <c r="S84" s="3"/>
      <c r="T84" s="3"/>
      <c r="U84" s="3" t="s">
        <v>551</v>
      </c>
      <c r="V84" s="4" t="str" cm="1">
        <f t="array" ref="V84">IFERROR(
    IF(
        MATCH(2,1/((Y84:BH84&lt;&gt;0)*(Y84:BH84&lt;&gt;"")))-MATCH(1,INDEX((Y84:BH84&lt;&gt;0)*(Y84:BH84&lt;&gt;""),0),0)+1 &lt;= 12,
        "No",
        "Yes"
    ),
    "No"
)</f>
        <v>Yes</v>
      </c>
      <c r="W84" s="4" t="str" cm="1">
        <f t="array" ref="W84">IFERROR(
    IF(
        MATCH(2,1/((Y84:BH84&lt;&gt;0)*(Y84:BH84&lt;&gt;"")))-MATCH(1,INDEX((Y84:BH84&lt;&gt;0)*(Y84:BH84&lt;&gt;""),0),0)+1 &lt;= 24,
        "No",
        "Yes"
    ),
    "No"
)</f>
        <v>Yes</v>
      </c>
      <c r="X84" s="3"/>
      <c r="Y84" s="4">
        <v>13457.065352404004</v>
      </c>
      <c r="Z84" s="4">
        <v>14477.792941876465</v>
      </c>
      <c r="AA84" s="4">
        <v>12506.760128881881</v>
      </c>
      <c r="AB84" s="4">
        <v>13340.709050507352</v>
      </c>
      <c r="AC84" s="4">
        <v>13052.300522328143</v>
      </c>
      <c r="AD84" s="4">
        <v>12041.095567972035</v>
      </c>
      <c r="AE84" s="4">
        <v>10861.278584402256</v>
      </c>
      <c r="AF84" s="4">
        <v>10252.100140371476</v>
      </c>
      <c r="AG84" s="4">
        <v>10405.666857453611</v>
      </c>
      <c r="AH84" s="4">
        <v>10166.478520853518</v>
      </c>
      <c r="AI84" s="4">
        <v>9991.5997871104755</v>
      </c>
      <c r="AJ84" s="4">
        <v>12617.716790079663</v>
      </c>
      <c r="AK84" s="4">
        <v>10322.924925994219</v>
      </c>
      <c r="AL84" s="4">
        <v>12892.189976446596</v>
      </c>
      <c r="AM84" s="4">
        <v>11891.770420731746</v>
      </c>
      <c r="AN84" s="4">
        <v>13137.727509747419</v>
      </c>
      <c r="AO84" s="4">
        <v>11971.43425518366</v>
      </c>
      <c r="AP84" s="4">
        <v>12227.102088494923</v>
      </c>
      <c r="AQ84" s="4">
        <v>11919.578982339815</v>
      </c>
      <c r="AR84" s="4">
        <v>11807.155659595002</v>
      </c>
      <c r="AS84" s="4">
        <v>12329.849976471904</v>
      </c>
      <c r="AT84" s="4">
        <v>11466.99737620242</v>
      </c>
      <c r="AU84" s="4">
        <v>11948.868086385079</v>
      </c>
      <c r="AV84" s="4">
        <v>14411.490241843063</v>
      </c>
      <c r="AW84" s="4">
        <v>12099.43624522392</v>
      </c>
      <c r="AX84" s="4">
        <v>15436.863011041532</v>
      </c>
      <c r="AY84" s="4">
        <v>13980.564479820738</v>
      </c>
      <c r="AZ84" s="4">
        <v>14472.21705019297</v>
      </c>
      <c r="BA84" s="4">
        <v>12778.157055619075</v>
      </c>
      <c r="BB84" s="4">
        <v>12551.444249512424</v>
      </c>
      <c r="BC84" s="4">
        <v>11196.006454197675</v>
      </c>
      <c r="BD84" s="4">
        <v>10832.351904428666</v>
      </c>
      <c r="BE84" s="4">
        <v>9884.300611406783</v>
      </c>
      <c r="BF84" s="4">
        <v>9556.7671850607421</v>
      </c>
      <c r="BG84" s="4">
        <v>9549.553041641966</v>
      </c>
      <c r="BH84" s="4">
        <v>11495.940136694215</v>
      </c>
      <c r="BJ84" s="9"/>
    </row>
    <row r="85" spans="1:62" x14ac:dyDescent="0.25">
      <c r="A85" s="6" t="s">
        <v>81</v>
      </c>
      <c r="B85" s="6"/>
      <c r="C85" s="7" t="s">
        <v>526</v>
      </c>
      <c r="D85" s="3"/>
      <c r="E85" s="3">
        <f>VLOOKUP(A85,[2]Sheet1!$A$2:$E$627,5,0)</f>
        <v>1158.3800000000001</v>
      </c>
      <c r="F85" s="3">
        <f>VLOOKUP(A85,[2]Sheet1!$A$2:$F$627,6,0)</f>
        <v>1854.430895</v>
      </c>
      <c r="G85" s="3">
        <f>VLOOKUP(A85,[2]Sheet1!$A$2:$G$627,7,0)</f>
        <v>2266.4336920000001</v>
      </c>
      <c r="H85" s="4">
        <f t="shared" si="6"/>
        <v>2268.6920253333333</v>
      </c>
      <c r="I85" s="11">
        <f t="shared" si="7"/>
        <v>0.60088303924446196</v>
      </c>
      <c r="J85" s="11">
        <f t="shared" si="8"/>
        <v>0.95655457794506105</v>
      </c>
      <c r="K85" s="11">
        <f t="shared" si="9"/>
        <v>0.22217209501354868</v>
      </c>
      <c r="L85" s="11">
        <f>IF(S85="",((BG85-E85)/E85),((U85-E85)/E85))</f>
        <v>0.95850413968933601</v>
      </c>
      <c r="M85" s="3" t="str">
        <f>IF(S85="Churn","Churn",VLOOKUP(A85,'[1]Revenue_Engine_2025 Dec.25'!$C$14:$E$3993,3,0))</f>
        <v>Diğer</v>
      </c>
      <c r="N85" s="3">
        <f>IF(S85="",VLOOKUP(A85,[3]Export!$B$2:$F$417,5,0),"CHURN")</f>
        <v>0.2726080473114042</v>
      </c>
      <c r="O85" s="3">
        <f>(1-N85)*H85</f>
        <v>1650.2283223562586</v>
      </c>
      <c r="P85" s="3">
        <f t="shared" si="11"/>
        <v>1348.8981098401102</v>
      </c>
      <c r="Q85" s="3">
        <f t="shared" si="10"/>
        <v>1648.5856288631035</v>
      </c>
      <c r="R85" s="3" t="str">
        <f>IF(S85&lt;&gt;"Churn",VLOOKUP(A85,[3]Export!$B$2:$O$417,8,0),"CHURN")</f>
        <v>BOOKED CHURN</v>
      </c>
      <c r="S85" s="3"/>
      <c r="T85" s="3"/>
      <c r="U85" s="3" t="s">
        <v>551</v>
      </c>
      <c r="V85" s="4" t="str" cm="1">
        <f t="array" ref="V85">IFERROR(
    IF(
        MATCH(2,1/((Y85:BH85&lt;&gt;0)*(Y85:BH85&lt;&gt;"")))-MATCH(1,INDEX((Y85:BH85&lt;&gt;0)*(Y85:BH85&lt;&gt;""),0),0)+1 &lt;= 12,
        "No",
        "Yes"
    ),
    "No"
)</f>
        <v>Yes</v>
      </c>
      <c r="W85" s="4" t="str" cm="1">
        <f t="array" ref="W85">IFERROR(
    IF(
        MATCH(2,1/((Y85:BH85&lt;&gt;0)*(Y85:BH85&lt;&gt;"")))-MATCH(1,INDEX((Y85:BH85&lt;&gt;0)*(Y85:BH85&lt;&gt;""),0),0)+1 &lt;= 24,
        "No",
        "Yes"
    ),
    "No"
)</f>
        <v>Yes</v>
      </c>
      <c r="X85" s="3"/>
      <c r="Y85" s="4">
        <v>1158.3800000000001</v>
      </c>
      <c r="Z85" s="4">
        <v>1158.3800000000001</v>
      </c>
      <c r="AA85" s="4">
        <v>1158.3800000000001</v>
      </c>
      <c r="AB85" s="4">
        <v>1238.3800000000001</v>
      </c>
      <c r="AC85" s="4">
        <v>1247.3751999999999</v>
      </c>
      <c r="AD85" s="4">
        <v>1247.3751999999999</v>
      </c>
      <c r="AE85" s="4">
        <v>1247.3751999999999</v>
      </c>
      <c r="AF85" s="4">
        <v>1257.43</v>
      </c>
      <c r="AG85" s="4">
        <v>1854.4356950000001</v>
      </c>
      <c r="AH85" s="4">
        <v>1854.4356950000001</v>
      </c>
      <c r="AI85" s="4">
        <v>1854.4356950000001</v>
      </c>
      <c r="AJ85" s="4">
        <v>1854.4356950000001</v>
      </c>
      <c r="AK85" s="4">
        <v>1854.430895</v>
      </c>
      <c r="AL85" s="4">
        <v>1854.430895</v>
      </c>
      <c r="AM85" s="4">
        <v>1904.430895</v>
      </c>
      <c r="AN85" s="4">
        <v>1904.430895</v>
      </c>
      <c r="AO85" s="4">
        <v>1907.5017283333332</v>
      </c>
      <c r="AP85" s="4">
        <v>1907.5017283333332</v>
      </c>
      <c r="AQ85" s="4">
        <v>1907.5017283333332</v>
      </c>
      <c r="AR85" s="4">
        <v>1907.5017283333332</v>
      </c>
      <c r="AS85" s="4">
        <v>1907.5017283333332</v>
      </c>
      <c r="AT85" s="4">
        <v>1967.9183949999999</v>
      </c>
      <c r="AU85" s="4">
        <v>1967.9183949999999</v>
      </c>
      <c r="AV85" s="4">
        <v>1967.9183949999999</v>
      </c>
      <c r="AW85" s="4">
        <v>2266.4336920000001</v>
      </c>
      <c r="AX85" s="4">
        <v>2266.4336920000001</v>
      </c>
      <c r="AY85" s="4">
        <v>2266.4336920000001</v>
      </c>
      <c r="AZ85" s="4">
        <v>2266.4336920000005</v>
      </c>
      <c r="BA85" s="4">
        <v>2266.4420253333333</v>
      </c>
      <c r="BB85" s="4">
        <v>2266.4420253333333</v>
      </c>
      <c r="BC85" s="4">
        <v>2266.4420253333333</v>
      </c>
      <c r="BD85" s="4">
        <v>2268.6920253333333</v>
      </c>
      <c r="BE85" s="4">
        <v>2268.6920253333333</v>
      </c>
      <c r="BF85" s="4">
        <v>2268.6920253333333</v>
      </c>
      <c r="BG85" s="4">
        <v>2268.6920253333333</v>
      </c>
      <c r="BH85" s="4">
        <v>2268.6920253333333</v>
      </c>
      <c r="BJ85" s="9"/>
    </row>
    <row r="86" spans="1:62" x14ac:dyDescent="0.25">
      <c r="A86" s="6" t="s">
        <v>82</v>
      </c>
      <c r="B86" s="6"/>
      <c r="C86" s="7" t="s">
        <v>525</v>
      </c>
      <c r="D86" s="3"/>
      <c r="E86" s="3">
        <f>VLOOKUP(A86,[2]Sheet1!$A$2:$E$627,5,0)</f>
        <v>14466.911528178409</v>
      </c>
      <c r="F86" s="3">
        <f>VLOOKUP(A86,[2]Sheet1!$A$2:$F$627,6,0)</f>
        <v>16588.273765875652</v>
      </c>
      <c r="G86" s="3">
        <f>VLOOKUP(A86,[2]Sheet1!$A$2:$G$627,7,0)</f>
        <v>19809.566563055563</v>
      </c>
      <c r="H86" s="4">
        <f t="shared" si="6"/>
        <v>22398.667332471719</v>
      </c>
      <c r="I86" s="11">
        <f t="shared" si="7"/>
        <v>0.14663546075921524</v>
      </c>
      <c r="J86" s="11">
        <f t="shared" si="8"/>
        <v>0.369301700951915</v>
      </c>
      <c r="K86" s="11">
        <f t="shared" si="9"/>
        <v>0.19419095938762179</v>
      </c>
      <c r="L86" s="11">
        <f>IF(S86="",((BG86-E86)/E86),((U86-E86)/E86))</f>
        <v>0.54826877103962157</v>
      </c>
      <c r="M86" s="3" t="str">
        <f>IF(S86="Churn","Churn",VLOOKUP(A86,'[1]Revenue_Engine_2025 Dec.25'!$C$14:$E$3993,3,0))</f>
        <v>Eğitim</v>
      </c>
      <c r="N86" s="3">
        <f>IF(S86="",VLOOKUP(A86,[3]Export!$B$2:$F$417,5,0),"CHURN")</f>
        <v>9.4282877462809975E-3</v>
      </c>
      <c r="O86" s="3">
        <f>(1-N86)*H86</f>
        <v>22187.486251727951</v>
      </c>
      <c r="P86" s="3">
        <f t="shared" si="11"/>
        <v>16431.874747596892</v>
      </c>
      <c r="Q86" s="3">
        <f t="shared" si="10"/>
        <v>19622.796269369966</v>
      </c>
      <c r="R86" s="3" t="str">
        <f>IF(S86&lt;&gt;"Churn",VLOOKUP(A86,[3]Export!$B$2:$O$417,8,0),"CHURN")</f>
        <v>NO RISK</v>
      </c>
      <c r="S86" s="3"/>
      <c r="T86" s="3"/>
      <c r="U86" s="3" t="s">
        <v>551</v>
      </c>
      <c r="V86" s="4" t="str" cm="1">
        <f t="array" ref="V86">IFERROR(
    IF(
        MATCH(2,1/((Y86:BH86&lt;&gt;0)*(Y86:BH86&lt;&gt;"")))-MATCH(1,INDEX((Y86:BH86&lt;&gt;0)*(Y86:BH86&lt;&gt;""),0),0)+1 &lt;= 12,
        "No",
        "Yes"
    ),
    "No"
)</f>
        <v>Yes</v>
      </c>
      <c r="W86" s="4" t="str" cm="1">
        <f t="array" ref="W86">IFERROR(
    IF(
        MATCH(2,1/((Y86:BH86&lt;&gt;0)*(Y86:BH86&lt;&gt;"")))-MATCH(1,INDEX((Y86:BH86&lt;&gt;0)*(Y86:BH86&lt;&gt;""),0),0)+1 &lt;= 24,
        "No",
        "Yes"
    ),
    "No"
)</f>
        <v>Yes</v>
      </c>
      <c r="X86" s="3"/>
      <c r="Y86" s="4">
        <v>13472.366898919414</v>
      </c>
      <c r="Z86" s="4">
        <v>13590.458836466796</v>
      </c>
      <c r="AA86" s="4">
        <v>14466.911528178409</v>
      </c>
      <c r="AB86" s="4">
        <v>13053.80889977779</v>
      </c>
      <c r="AC86" s="4">
        <v>13082.261487052319</v>
      </c>
      <c r="AD86" s="4">
        <v>10578.707992889133</v>
      </c>
      <c r="AE86" s="4">
        <v>9417.9400949059072</v>
      </c>
      <c r="AF86" s="4">
        <v>10203.843157763717</v>
      </c>
      <c r="AG86" s="4">
        <v>11640.594093573329</v>
      </c>
      <c r="AH86" s="4">
        <v>17398.641766468088</v>
      </c>
      <c r="AI86" s="4">
        <v>17060.872374741542</v>
      </c>
      <c r="AJ86" s="4">
        <v>17182.617469080738</v>
      </c>
      <c r="AK86" s="4">
        <v>16588.273765875652</v>
      </c>
      <c r="AL86" s="4">
        <v>16404.288489454721</v>
      </c>
      <c r="AM86" s="4">
        <v>16108.42722528213</v>
      </c>
      <c r="AN86" s="4">
        <v>16209.83545083175</v>
      </c>
      <c r="AO86" s="4">
        <v>16206.57012916052</v>
      </c>
      <c r="AP86" s="4">
        <v>16227.620509588081</v>
      </c>
      <c r="AQ86" s="4">
        <v>16227.615330295088</v>
      </c>
      <c r="AR86" s="4">
        <v>16059.337884309489</v>
      </c>
      <c r="AS86" s="4">
        <v>16113.520240610849</v>
      </c>
      <c r="AT86" s="4">
        <v>21601.636019572325</v>
      </c>
      <c r="AU86" s="4">
        <v>21628.155956327249</v>
      </c>
      <c r="AV86" s="4">
        <v>21022.167526817335</v>
      </c>
      <c r="AW86" s="4">
        <v>19809.566563055563</v>
      </c>
      <c r="AX86" s="4">
        <v>19577.609237848916</v>
      </c>
      <c r="AY86" s="4">
        <v>19740.732493438467</v>
      </c>
      <c r="AZ86" s="4">
        <v>18657.442471054663</v>
      </c>
      <c r="BA86" s="4">
        <v>18442.569647485481</v>
      </c>
      <c r="BB86" s="4">
        <v>18241.033562098401</v>
      </c>
      <c r="BC86" s="4">
        <v>17932.673936092218</v>
      </c>
      <c r="BD86" s="4">
        <v>17832.087380664743</v>
      </c>
      <c r="BE86" s="4">
        <v>17807.059566181357</v>
      </c>
      <c r="BF86" s="4">
        <v>22226.97373287351</v>
      </c>
      <c r="BG86" s="4">
        <v>22398.667332471719</v>
      </c>
      <c r="BH86" s="4">
        <v>20804.593139105909</v>
      </c>
      <c r="BJ86" s="9"/>
    </row>
    <row r="87" spans="1:62" x14ac:dyDescent="0.25">
      <c r="A87" s="6" t="s">
        <v>83</v>
      </c>
      <c r="B87" s="6"/>
      <c r="C87" s="7" t="s">
        <v>526</v>
      </c>
      <c r="D87" s="3"/>
      <c r="E87" s="3">
        <f>VLOOKUP(A87,[2]Sheet1!$A$2:$E$627,5,0)</f>
        <v>356.19989693843399</v>
      </c>
      <c r="F87" s="3">
        <f>VLOOKUP(A87,[2]Sheet1!$A$2:$F$627,6,0)</f>
        <v>288.45955606533983</v>
      </c>
      <c r="G87" s="3">
        <f>VLOOKUP(A87,[2]Sheet1!$A$2:$G$627,7,0)</f>
        <v>403.37440350481137</v>
      </c>
      <c r="H87" s="4">
        <f t="shared" si="6"/>
        <v>460.01908623577935</v>
      </c>
      <c r="I87" s="11">
        <f t="shared" si="7"/>
        <v>-0.19017507151273119</v>
      </c>
      <c r="J87" s="11">
        <f t="shared" si="8"/>
        <v>0.13243829369925694</v>
      </c>
      <c r="K87" s="11">
        <f t="shared" si="9"/>
        <v>0.39837420887329467</v>
      </c>
      <c r="L87" s="11">
        <f>IF(S87="",((BG87-E87)/E87),((U87-E87)/E87))</f>
        <v>0.27817045024218923</v>
      </c>
      <c r="M87" s="3" t="str">
        <f>IF(S87="Churn","Churn",VLOOKUP(A87,'[1]Revenue_Engine_2025 Dec.25'!$C$14:$E$3993,3,0))</f>
        <v>Genel</v>
      </c>
      <c r="N87" s="3">
        <f>IF(S87="",VLOOKUP(A87,[3]Export!$B$2:$F$417,5,0),"CHURN")</f>
        <v>0.32258143074989576</v>
      </c>
      <c r="O87" s="3">
        <f>(1-N87)*H87</f>
        <v>311.62547122558198</v>
      </c>
      <c r="P87" s="3">
        <f t="shared" si="11"/>
        <v>195.40785975630274</v>
      </c>
      <c r="Q87" s="3">
        <f t="shared" si="10"/>
        <v>273.25331129434358</v>
      </c>
      <c r="R87" s="3" t="str">
        <f>IF(S87&lt;&gt;"Churn",VLOOKUP(A87,[3]Export!$B$2:$O$417,8,0),"CHURN")</f>
        <v>NO RISK</v>
      </c>
      <c r="S87" s="3"/>
      <c r="T87" s="3"/>
      <c r="U87" s="3" t="s">
        <v>551</v>
      </c>
      <c r="V87" s="4" t="str" cm="1">
        <f t="array" ref="V87">IFERROR(
    IF(
        MATCH(2,1/((Y87:BH87&lt;&gt;0)*(Y87:BH87&lt;&gt;"")))-MATCH(1,INDEX((Y87:BH87&lt;&gt;0)*(Y87:BH87&lt;&gt;""),0),0)+1 &lt;= 12,
        "No",
        "Yes"
    ),
    "No"
)</f>
        <v>Yes</v>
      </c>
      <c r="W87" s="4" t="str" cm="1">
        <f t="array" ref="W87">IFERROR(
    IF(
        MATCH(2,1/((Y87:BH87&lt;&gt;0)*(Y87:BH87&lt;&gt;"")))-MATCH(1,INDEX((Y87:BH87&lt;&gt;0)*(Y87:BH87&lt;&gt;""),0),0)+1 &lt;= 24,
        "No",
        "Yes"
    ),
    "No"
)</f>
        <v>Yes</v>
      </c>
      <c r="X87" s="3"/>
      <c r="Y87" s="4">
        <v>207.82267049785963</v>
      </c>
      <c r="Z87" s="4">
        <v>356.19989693843399</v>
      </c>
      <c r="AA87" s="4">
        <v>353.58142919670308</v>
      </c>
      <c r="AB87" s="4">
        <v>347.29955817073358</v>
      </c>
      <c r="AC87" s="4">
        <v>349.71480954510338</v>
      </c>
      <c r="AD87" s="4">
        <v>295.52844689070457</v>
      </c>
      <c r="AE87" s="4">
        <v>326.41003063802066</v>
      </c>
      <c r="AF87" s="4">
        <v>320.40485169593859</v>
      </c>
      <c r="AG87" s="4">
        <v>320.11586418355341</v>
      </c>
      <c r="AH87" s="4">
        <v>310.52664247376333</v>
      </c>
      <c r="AI87" s="4">
        <v>302.22579584296903</v>
      </c>
      <c r="AJ87" s="4">
        <v>297.6570347129184</v>
      </c>
      <c r="AK87" s="4">
        <v>288.45955606533983</v>
      </c>
      <c r="AL87" s="4">
        <v>430.92667942611786</v>
      </c>
      <c r="AM87" s="4">
        <v>446.85193829852557</v>
      </c>
      <c r="AN87" s="4">
        <v>442.49097954980414</v>
      </c>
      <c r="AO87" s="4">
        <v>443.12116912324296</v>
      </c>
      <c r="AP87" s="4">
        <v>439.44548491717848</v>
      </c>
      <c r="AQ87" s="4">
        <v>434.45933642637732</v>
      </c>
      <c r="AR87" s="4">
        <v>425.30014765896351</v>
      </c>
      <c r="AS87" s="4">
        <v>420.53394161852088</v>
      </c>
      <c r="AT87" s="4">
        <v>417.98915553383461</v>
      </c>
      <c r="AU87" s="4">
        <v>415.73472245424193</v>
      </c>
      <c r="AV87" s="4">
        <v>409.41044664038418</v>
      </c>
      <c r="AW87" s="4">
        <v>403.37440350481137</v>
      </c>
      <c r="AX87" s="4">
        <v>530.70348649540244</v>
      </c>
      <c r="AY87" s="4">
        <v>517.68765722688192</v>
      </c>
      <c r="AZ87" s="4">
        <v>504.09902839418805</v>
      </c>
      <c r="BA87" s="4">
        <v>495.7990113141953</v>
      </c>
      <c r="BB87" s="4">
        <v>487.53408204520542</v>
      </c>
      <c r="BC87" s="4">
        <v>478.32939214532252</v>
      </c>
      <c r="BD87" s="4">
        <v>471.1014226432514</v>
      </c>
      <c r="BE87" s="4">
        <v>465.507951514387</v>
      </c>
      <c r="BF87" s="4">
        <v>460.01908623577935</v>
      </c>
      <c r="BG87" s="4">
        <v>455.28418264601959</v>
      </c>
      <c r="BH87" s="4">
        <v>450.93390720949839</v>
      </c>
      <c r="BJ87" s="9"/>
    </row>
    <row r="88" spans="1:62" x14ac:dyDescent="0.25">
      <c r="A88" s="6" t="s">
        <v>84</v>
      </c>
      <c r="B88" s="6"/>
      <c r="C88" s="7" t="s">
        <v>526</v>
      </c>
      <c r="D88" s="3"/>
      <c r="E88" s="3">
        <f>VLOOKUP(A88,[2]Sheet1!$A$2:$E$627,5,0)</f>
        <v>3251.8938283319922</v>
      </c>
      <c r="F88" s="3">
        <f>VLOOKUP(A88,[2]Sheet1!$A$2:$F$627,6,0)</f>
        <v>2967.5677205418974</v>
      </c>
      <c r="G88" s="3">
        <f>VLOOKUP(A88,[2]Sheet1!$A$2:$G$627,7,0)</f>
        <v>5431.2021834052939</v>
      </c>
      <c r="H88" s="4">
        <f t="shared" si="6"/>
        <v>5943.5172373299329</v>
      </c>
      <c r="I88" s="11">
        <f t="shared" si="7"/>
        <v>-8.7434007012441528E-2</v>
      </c>
      <c r="J88" s="11">
        <f t="shared" si="8"/>
        <v>0.67016590027822154</v>
      </c>
      <c r="K88" s="11">
        <f t="shared" si="9"/>
        <v>0.83018643376182855</v>
      </c>
      <c r="L88" s="11">
        <f>IF(S88="",((BG88-E88)/E88),((U88-E88)/E88))</f>
        <v>0.80852177752998933</v>
      </c>
      <c r="M88" s="3" t="str">
        <f>IF(S88="Churn","Churn",VLOOKUP(A88,'[1]Revenue_Engine_2025 Dec.25'!$C$14:$E$3993,3,0))</f>
        <v>Genel</v>
      </c>
      <c r="N88" s="3">
        <f>IF(S88="",VLOOKUP(A88,[3]Export!$B$2:$F$417,5,0),"CHURN")</f>
        <v>0.39611644097931559</v>
      </c>
      <c r="O88" s="3">
        <f>(1-N88)*H88</f>
        <v>3589.1923423795852</v>
      </c>
      <c r="P88" s="3">
        <f t="shared" si="11"/>
        <v>1792.0653567157406</v>
      </c>
      <c r="Q88" s="3">
        <f t="shared" si="10"/>
        <v>3279.8137042757007</v>
      </c>
      <c r="R88" s="3" t="str">
        <f>IF(S88&lt;&gt;"Churn",VLOOKUP(A88,[3]Export!$B$2:$O$417,8,0),"CHURN")</f>
        <v>NO RISK</v>
      </c>
      <c r="S88" s="3"/>
      <c r="T88" s="3"/>
      <c r="U88" s="3" t="s">
        <v>551</v>
      </c>
      <c r="V88" s="4" t="str" cm="1">
        <f t="array" ref="V88">IFERROR(
    IF(
        MATCH(2,1/((Y88:BH88&lt;&gt;0)*(Y88:BH88&lt;&gt;"")))-MATCH(1,INDEX((Y88:BH88&lt;&gt;0)*(Y88:BH88&lt;&gt;""),0),0)+1 &lt;= 12,
        "No",
        "Yes"
    ),
    "No"
)</f>
        <v>Yes</v>
      </c>
      <c r="W88" s="4" t="str" cm="1">
        <f t="array" ref="W88">IFERROR(
    IF(
        MATCH(2,1/((Y88:BH88&lt;&gt;0)*(Y88:BH88&lt;&gt;"")))-MATCH(1,INDEX((Y88:BH88&lt;&gt;0)*(Y88:BH88&lt;&gt;""),0),0)+1 &lt;= 24,
        "No",
        "Yes"
    ),
    "No"
)</f>
        <v>Yes</v>
      </c>
      <c r="X88" s="3"/>
      <c r="Y88" s="4">
        <v>3251.8938283319922</v>
      </c>
      <c r="Z88" s="4">
        <v>3240.5956321020844</v>
      </c>
      <c r="AA88" s="4">
        <v>3216.7736287843231</v>
      </c>
      <c r="AB88" s="4">
        <v>3159.6231242975018</v>
      </c>
      <c r="AC88" s="4">
        <v>3099.7186529432092</v>
      </c>
      <c r="AD88" s="4">
        <v>2606.7477742213941</v>
      </c>
      <c r="AE88" s="4">
        <v>2310.1591478540131</v>
      </c>
      <c r="AF88" s="4">
        <v>3306.793293899525</v>
      </c>
      <c r="AG88" s="4">
        <v>3386.3993032484136</v>
      </c>
      <c r="AH88" s="4">
        <v>3282.0236109257326</v>
      </c>
      <c r="AI88" s="4">
        <v>3191.6714801507192</v>
      </c>
      <c r="AJ88" s="4">
        <v>3073.1704769711346</v>
      </c>
      <c r="AK88" s="4">
        <v>2967.5677205418974</v>
      </c>
      <c r="AL88" s="4">
        <v>2899.3825538666019</v>
      </c>
      <c r="AM88" s="4">
        <v>2788.3786288073888</v>
      </c>
      <c r="AN88" s="4">
        <v>2760.6066741523541</v>
      </c>
      <c r="AO88" s="4">
        <v>2764.6199192358463</v>
      </c>
      <c r="AP88" s="4">
        <v>2741.2120080449927</v>
      </c>
      <c r="AQ88" s="4">
        <v>2709.4586488025107</v>
      </c>
      <c r="AR88" s="4">
        <v>5733.2162666142403</v>
      </c>
      <c r="AS88" s="4">
        <v>5667.5768140485416</v>
      </c>
      <c r="AT88" s="4">
        <v>5632.5304322806787</v>
      </c>
      <c r="AU88" s="4">
        <v>5601.4827559388168</v>
      </c>
      <c r="AV88" s="4">
        <v>5514.3858842939071</v>
      </c>
      <c r="AW88" s="4">
        <v>5431.2021834052939</v>
      </c>
      <c r="AX88" s="4">
        <v>5335.4599096089696</v>
      </c>
      <c r="AY88" s="4">
        <v>5202.3470647648364</v>
      </c>
      <c r="AZ88" s="4">
        <v>5063.376200585968</v>
      </c>
      <c r="BA88" s="4">
        <v>4978.4919521082429</v>
      </c>
      <c r="BB88" s="4">
        <v>4893.9665465628887</v>
      </c>
      <c r="BC88" s="4">
        <v>4799.830212011786</v>
      </c>
      <c r="BD88" s="4">
        <v>6089.560668596655</v>
      </c>
      <c r="BE88" s="4">
        <v>6015.8493545116262</v>
      </c>
      <c r="BF88" s="4">
        <v>5943.5172373299329</v>
      </c>
      <c r="BG88" s="4">
        <v>5881.1208067537764</v>
      </c>
      <c r="BH88" s="4">
        <v>5823.7929955077125</v>
      </c>
      <c r="BJ88" s="9"/>
    </row>
    <row r="89" spans="1:62" x14ac:dyDescent="0.25">
      <c r="A89" s="6" t="s">
        <v>85</v>
      </c>
      <c r="B89" s="6"/>
      <c r="C89" s="7" t="s">
        <v>526</v>
      </c>
      <c r="D89" s="3"/>
      <c r="E89" s="3">
        <f>VLOOKUP(A89,[2]Sheet1!$A$2:$E$627,5,0)</f>
        <v>452</v>
      </c>
      <c r="F89" s="3">
        <f>VLOOKUP(A89,[2]Sheet1!$A$2:$F$627,6,0)</f>
        <v>548.5</v>
      </c>
      <c r="G89" s="3">
        <f>VLOOKUP(A89,[2]Sheet1!$A$2:$G$627,7,0)</f>
        <v>623.99</v>
      </c>
      <c r="H89" s="4">
        <f t="shared" si="6"/>
        <v>634.35</v>
      </c>
      <c r="I89" s="11">
        <f t="shared" si="7"/>
        <v>0.21349557522123894</v>
      </c>
      <c r="J89" s="11">
        <f t="shared" si="8"/>
        <v>0.38050884955752212</v>
      </c>
      <c r="K89" s="11">
        <f t="shared" si="9"/>
        <v>0.13762989972652692</v>
      </c>
      <c r="L89" s="11">
        <f>IF(S89="",((BG89-E89)/E89),((U89-E89)/E89))</f>
        <v>0.40342920353982303</v>
      </c>
      <c r="M89" s="3" t="str">
        <f>IF(S89="Churn","Churn",VLOOKUP(A89,'[1]Revenue_Engine_2025 Dec.25'!$C$14:$E$3993,3,0))</f>
        <v>Churn</v>
      </c>
      <c r="N89" s="3" t="str">
        <f>IF(S89="",VLOOKUP(A89,[3]Export!$B$2:$F$417,5,0),"CHURN")</f>
        <v>CHURN</v>
      </c>
      <c r="O89" s="3" t="e">
        <f>(1-N89)*H89</f>
        <v>#VALUE!</v>
      </c>
      <c r="P89" s="3" t="e">
        <f t="shared" si="11"/>
        <v>#VALUE!</v>
      </c>
      <c r="Q89" s="3" t="e">
        <f t="shared" si="10"/>
        <v>#VALUE!</v>
      </c>
      <c r="R89" s="3" t="str">
        <f>IF(S89&lt;&gt;"Churn",VLOOKUP(A89,[3]Export!$B$2:$O$417,8,0),"CHURN")</f>
        <v>CHURN</v>
      </c>
      <c r="S89" s="3" t="s">
        <v>372</v>
      </c>
      <c r="T89" s="3" t="s">
        <v>556</v>
      </c>
      <c r="U89" s="3">
        <v>634.35</v>
      </c>
      <c r="V89" s="4" t="str" cm="1">
        <f t="array" ref="V89">IFERROR(
    IF(
        MATCH(2,1/((Y89:BH89&lt;&gt;0)*(Y89:BH89&lt;&gt;"")))-MATCH(1,INDEX((Y89:BH89&lt;&gt;0)*(Y89:BH89&lt;&gt;""),0),0)+1 &lt;= 12,
        "No",
        "Yes"
    ),
    "No"
)</f>
        <v>Yes</v>
      </c>
      <c r="W89" s="4" t="str" cm="1">
        <f t="array" ref="W89">IFERROR(
    IF(
        MATCH(2,1/((Y89:BH89&lt;&gt;0)*(Y89:BH89&lt;&gt;"")))-MATCH(1,INDEX((Y89:BH89&lt;&gt;0)*(Y89:BH89&lt;&gt;""),0),0)+1 &lt;= 24,
        "No",
        "Yes"
    ),
    "No"
)</f>
        <v>Yes</v>
      </c>
      <c r="X89" s="3"/>
      <c r="Y89" s="4">
        <v>452</v>
      </c>
      <c r="Z89" s="4">
        <v>452</v>
      </c>
      <c r="AA89" s="4">
        <v>452</v>
      </c>
      <c r="AB89" s="4">
        <v>512</v>
      </c>
      <c r="AC89" s="4">
        <v>512</v>
      </c>
      <c r="AD89" s="4">
        <v>512</v>
      </c>
      <c r="AE89" s="4">
        <v>528</v>
      </c>
      <c r="AF89" s="4">
        <v>528</v>
      </c>
      <c r="AG89" s="4">
        <v>528</v>
      </c>
      <c r="AH89" s="4">
        <v>548.5</v>
      </c>
      <c r="AI89" s="4">
        <v>548.5</v>
      </c>
      <c r="AJ89" s="4">
        <v>548.5</v>
      </c>
      <c r="AK89" s="4">
        <v>548.5</v>
      </c>
      <c r="AL89" s="4">
        <v>588.5</v>
      </c>
      <c r="AM89" s="4">
        <v>588.5</v>
      </c>
      <c r="AN89" s="4">
        <v>594.5</v>
      </c>
      <c r="AO89" s="4">
        <v>594.5</v>
      </c>
      <c r="AP89" s="4">
        <v>622.99</v>
      </c>
      <c r="AQ89" s="4">
        <v>622.99</v>
      </c>
      <c r="AR89" s="4">
        <v>622.99</v>
      </c>
      <c r="AS89" s="4">
        <v>623.99</v>
      </c>
      <c r="AT89" s="4">
        <v>623.99</v>
      </c>
      <c r="AU89" s="4">
        <v>623.99</v>
      </c>
      <c r="AV89" s="4">
        <v>623.99</v>
      </c>
      <c r="AW89" s="4">
        <v>623.99</v>
      </c>
      <c r="AX89" s="4">
        <v>623.99</v>
      </c>
      <c r="AY89" s="4">
        <v>623.99</v>
      </c>
      <c r="AZ89" s="4">
        <v>623.99</v>
      </c>
      <c r="BA89" s="4">
        <v>633.35</v>
      </c>
      <c r="BB89" s="4">
        <v>633.35</v>
      </c>
      <c r="BC89" s="4">
        <v>633.35</v>
      </c>
      <c r="BD89" s="4">
        <v>635.35</v>
      </c>
      <c r="BE89" s="4">
        <v>634.35</v>
      </c>
      <c r="BF89" s="4">
        <v>634.35</v>
      </c>
      <c r="BG89" s="4">
        <v>634.35</v>
      </c>
      <c r="BH89" s="4">
        <v>0</v>
      </c>
      <c r="BJ89" s="9"/>
    </row>
    <row r="90" spans="1:62" x14ac:dyDescent="0.25">
      <c r="A90" s="6" t="s">
        <v>86</v>
      </c>
      <c r="B90" s="6"/>
      <c r="C90" s="7" t="s">
        <v>526</v>
      </c>
      <c r="D90" s="3"/>
      <c r="E90" s="3">
        <f>VLOOKUP(A90,[2]Sheet1!$A$2:$E$627,5,0)</f>
        <v>248.88366353602524</v>
      </c>
      <c r="F90" s="3">
        <f>VLOOKUP(A90,[2]Sheet1!$A$2:$F$627,6,0)</f>
        <v>271.89451800379447</v>
      </c>
      <c r="G90" s="3">
        <f>VLOOKUP(A90,[2]Sheet1!$A$2:$G$627,7,0)</f>
        <v>483.72888747670515</v>
      </c>
      <c r="H90" s="4">
        <f t="shared" si="6"/>
        <v>524.71948827403344</v>
      </c>
      <c r="I90" s="11">
        <f t="shared" si="7"/>
        <v>9.2456267080135116E-2</v>
      </c>
      <c r="J90" s="11">
        <f t="shared" si="8"/>
        <v>0.94359437097681065</v>
      </c>
      <c r="K90" s="11">
        <f t="shared" si="9"/>
        <v>0.77910496698559539</v>
      </c>
      <c r="L90" s="11">
        <f>IF(S90="",((BG90-E90)/E90),((U90-E90)/E90))</f>
        <v>1.1012960392378894</v>
      </c>
      <c r="M90" s="3" t="str">
        <f>IF(S90="Churn","Churn",VLOOKUP(A90,'[1]Revenue_Engine_2025 Dec.25'!$C$14:$E$3993,3,0))</f>
        <v>Genel</v>
      </c>
      <c r="N90" s="3">
        <f>IF(S90="",VLOOKUP(A90,[3]Export!$B$2:$F$417,5,0),"CHURN")</f>
        <v>0.39804124807143321</v>
      </c>
      <c r="O90" s="3">
        <f>(1-N90)*H90</f>
        <v>315.85948827403337</v>
      </c>
      <c r="P90" s="3">
        <f t="shared" si="11"/>
        <v>163.66928471378333</v>
      </c>
      <c r="Q90" s="3">
        <f t="shared" si="10"/>
        <v>291.18483737727155</v>
      </c>
      <c r="R90" s="3" t="str">
        <f>IF(S90&lt;&gt;"Churn",VLOOKUP(A90,[3]Export!$B$2:$O$417,8,0),"CHURN")</f>
        <v>LOW RISK</v>
      </c>
      <c r="S90" s="3"/>
      <c r="T90" s="3"/>
      <c r="U90" s="3" t="s">
        <v>551</v>
      </c>
      <c r="V90" s="4" t="str" cm="1">
        <f t="array" ref="V90">IFERROR(
    IF(
        MATCH(2,1/((Y90:BH90&lt;&gt;0)*(Y90:BH90&lt;&gt;"")))-MATCH(1,INDEX((Y90:BH90&lt;&gt;0)*(Y90:BH90&lt;&gt;""),0),0)+1 &lt;= 12,
        "No",
        "Yes"
    ),
    "No"
)</f>
        <v>Yes</v>
      </c>
      <c r="W90" s="4" t="str" cm="1">
        <f t="array" ref="W90">IFERROR(
    IF(
        MATCH(2,1/((Y90:BH90&lt;&gt;0)*(Y90:BH90&lt;&gt;"")))-MATCH(1,INDEX((Y90:BH90&lt;&gt;0)*(Y90:BH90&lt;&gt;""),0),0)+1 &lt;= 24,
        "No",
        "Yes"
    ),
    "No"
)</f>
        <v>Yes</v>
      </c>
      <c r="X90" s="3"/>
      <c r="Y90" s="4">
        <v>200.92594744726335</v>
      </c>
      <c r="Z90" s="4">
        <v>200.65868028070997</v>
      </c>
      <c r="AA90" s="4">
        <v>248.88366353602524</v>
      </c>
      <c r="AB90" s="4">
        <v>246.55833130461357</v>
      </c>
      <c r="AC90" s="4">
        <v>244.12098052766373</v>
      </c>
      <c r="AD90" s="4">
        <v>224.06304057980924</v>
      </c>
      <c r="AE90" s="4">
        <v>243.95394071599804</v>
      </c>
      <c r="AF90" s="4">
        <v>241.57097899629565</v>
      </c>
      <c r="AG90" s="4">
        <v>284.4563036159069</v>
      </c>
      <c r="AH90" s="4">
        <v>280.65113003547629</v>
      </c>
      <c r="AI90" s="4">
        <v>277.35720658155753</v>
      </c>
      <c r="AJ90" s="4">
        <v>275.54424097563998</v>
      </c>
      <c r="AK90" s="4">
        <v>271.89451800379447</v>
      </c>
      <c r="AL90" s="4">
        <v>328.42754920804532</v>
      </c>
      <c r="AM90" s="4">
        <v>324.01752404584221</v>
      </c>
      <c r="AN90" s="4">
        <v>322.41380662731513</v>
      </c>
      <c r="AO90" s="4">
        <v>306.64555520695814</v>
      </c>
      <c r="AP90" s="4">
        <v>305.29384354768172</v>
      </c>
      <c r="AQ90" s="4">
        <v>463.46021620864656</v>
      </c>
      <c r="AR90" s="4">
        <v>460.09195338497386</v>
      </c>
      <c r="AS90" s="4">
        <v>477.53920861306148</v>
      </c>
      <c r="AT90" s="4">
        <v>476.60337821300709</v>
      </c>
      <c r="AU90" s="4">
        <v>488.27432345533339</v>
      </c>
      <c r="AV90" s="4">
        <v>485.94860751380406</v>
      </c>
      <c r="AW90" s="4">
        <v>483.72888747670515</v>
      </c>
      <c r="AX90" s="4">
        <v>536.55324443697066</v>
      </c>
      <c r="AY90" s="4">
        <v>531.76675277796733</v>
      </c>
      <c r="AZ90" s="4">
        <v>526.76961758026687</v>
      </c>
      <c r="BA90" s="4">
        <v>525.87733702991773</v>
      </c>
      <c r="BB90" s="4">
        <v>522.8379598076034</v>
      </c>
      <c r="BC90" s="4">
        <v>531.45299135722121</v>
      </c>
      <c r="BD90" s="4">
        <v>528.79494975115404</v>
      </c>
      <c r="BE90" s="4">
        <v>526.73798493156028</v>
      </c>
      <c r="BF90" s="4">
        <v>524.71948827403344</v>
      </c>
      <c r="BG90" s="4">
        <v>522.97825641926534</v>
      </c>
      <c r="BH90" s="4">
        <v>521.37846921695188</v>
      </c>
      <c r="BJ90" s="9"/>
    </row>
    <row r="91" spans="1:62" x14ac:dyDescent="0.25">
      <c r="A91" s="6" t="s">
        <v>87</v>
      </c>
      <c r="B91" s="6"/>
      <c r="C91" s="7" t="s">
        <v>525</v>
      </c>
      <c r="D91" s="3"/>
      <c r="E91" s="3">
        <f>VLOOKUP(A91,[2]Sheet1!$A$2:$E$627,5,0)</f>
        <v>3250</v>
      </c>
      <c r="F91" s="3">
        <f>VLOOKUP(A91,[2]Sheet1!$A$2:$F$627,6,0)</f>
        <v>3250</v>
      </c>
      <c r="G91" s="3">
        <f>VLOOKUP(A91,[2]Sheet1!$A$2:$G$627,7,0)</f>
        <v>3250</v>
      </c>
      <c r="H91" s="4">
        <f t="shared" si="6"/>
        <v>0</v>
      </c>
      <c r="I91" s="11">
        <f t="shared" si="7"/>
        <v>0</v>
      </c>
      <c r="J91" s="11">
        <f t="shared" si="8"/>
        <v>0</v>
      </c>
      <c r="K91" s="11">
        <f t="shared" si="9"/>
        <v>0</v>
      </c>
      <c r="L91" s="11">
        <f>IF(S91="",((BG91-E91)/E91),((U91-E91)/E91))</f>
        <v>0</v>
      </c>
      <c r="M91" s="3" t="str">
        <f>IF(S91="Churn","Churn",VLOOKUP(A91,'[1]Revenue_Engine_2025 Dec.25'!$C$14:$E$3993,3,0))</f>
        <v>Churn</v>
      </c>
      <c r="N91" s="3" t="str">
        <f>IF(S91="",VLOOKUP(A91,[3]Export!$B$2:$F$417,5,0),"CHURN")</f>
        <v>CHURN</v>
      </c>
      <c r="O91" s="3" t="e">
        <f>(1-N91)*H91</f>
        <v>#VALUE!</v>
      </c>
      <c r="P91" s="3" t="e">
        <f t="shared" si="11"/>
        <v>#VALUE!</v>
      </c>
      <c r="Q91" s="3" t="e">
        <f t="shared" si="10"/>
        <v>#VALUE!</v>
      </c>
      <c r="R91" s="3" t="str">
        <f>IF(S91&lt;&gt;"Churn",VLOOKUP(A91,[3]Export!$B$2:$O$417,8,0),"CHURN")</f>
        <v>CHURN</v>
      </c>
      <c r="S91" s="3" t="s">
        <v>372</v>
      </c>
      <c r="T91" s="3" t="s">
        <v>552</v>
      </c>
      <c r="U91" s="3">
        <v>3250</v>
      </c>
      <c r="V91" s="4" t="str" cm="1">
        <f t="array" ref="V91">IFERROR(
    IF(
        MATCH(2,1/((Y91:BH91&lt;&gt;0)*(Y91:BH91&lt;&gt;"")))-MATCH(1,INDEX((Y91:BH91&lt;&gt;0)*(Y91:BH91&lt;&gt;""),0),0)+1 &lt;= 12,
        "No",
        "Yes"
    ),
    "No"
)</f>
        <v>Yes</v>
      </c>
      <c r="W91" s="4" t="str" cm="1">
        <f t="array" ref="W91">IFERROR(
    IF(
        MATCH(2,1/((Y91:BH91&lt;&gt;0)*(Y91:BH91&lt;&gt;"")))-MATCH(1,INDEX((Y91:BH91&lt;&gt;0)*(Y91:BH91&lt;&gt;""),0),0)+1 &lt;= 24,
        "No",
        "Yes"
    ),
    "No"
)</f>
        <v>Yes</v>
      </c>
      <c r="X91" s="3"/>
      <c r="Y91" s="4">
        <v>3250</v>
      </c>
      <c r="Z91" s="4">
        <v>3250</v>
      </c>
      <c r="AA91" s="4">
        <v>3250</v>
      </c>
      <c r="AB91" s="4">
        <v>3250</v>
      </c>
      <c r="AC91" s="4">
        <v>3250</v>
      </c>
      <c r="AD91" s="4">
        <v>3250</v>
      </c>
      <c r="AE91" s="4">
        <v>3250</v>
      </c>
      <c r="AF91" s="4">
        <v>3250</v>
      </c>
      <c r="AG91" s="4">
        <v>3250</v>
      </c>
      <c r="AH91" s="4">
        <v>3250</v>
      </c>
      <c r="AI91" s="4">
        <v>3250</v>
      </c>
      <c r="AJ91" s="4">
        <v>3250</v>
      </c>
      <c r="AK91" s="4">
        <v>3250</v>
      </c>
      <c r="AL91" s="4">
        <v>3250</v>
      </c>
      <c r="AM91" s="4">
        <v>3250</v>
      </c>
      <c r="AN91" s="4">
        <v>3250</v>
      </c>
      <c r="AO91" s="4">
        <v>3250</v>
      </c>
      <c r="AP91" s="4">
        <v>3250</v>
      </c>
      <c r="AQ91" s="4">
        <v>3250</v>
      </c>
      <c r="AR91" s="4">
        <v>3250</v>
      </c>
      <c r="AS91" s="4">
        <v>3250</v>
      </c>
      <c r="AT91" s="4">
        <v>3250</v>
      </c>
      <c r="AU91" s="4">
        <v>3250</v>
      </c>
      <c r="AV91" s="4">
        <v>3250</v>
      </c>
      <c r="AW91" s="4">
        <v>3250</v>
      </c>
      <c r="AX91" s="4">
        <v>3250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  <c r="BH91" s="4">
        <v>0</v>
      </c>
      <c r="BJ91" s="9"/>
    </row>
    <row r="92" spans="1:62" x14ac:dyDescent="0.25">
      <c r="A92" s="6" t="s">
        <v>88</v>
      </c>
      <c r="B92" s="6"/>
      <c r="C92" s="7" t="s">
        <v>526</v>
      </c>
      <c r="D92" s="3"/>
      <c r="E92" s="3">
        <f>VLOOKUP(A92,[2]Sheet1!$A$2:$E$627,5,0)</f>
        <v>557.64</v>
      </c>
      <c r="F92" s="3">
        <f>VLOOKUP(A92,[2]Sheet1!$A$2:$F$627,6,0)</f>
        <v>557.64</v>
      </c>
      <c r="G92" s="3">
        <f>VLOOKUP(A92,[2]Sheet1!$A$2:$G$627,7,0)</f>
        <v>680.32079999999996</v>
      </c>
      <c r="H92" s="4">
        <f t="shared" si="6"/>
        <v>680.32079999999996</v>
      </c>
      <c r="I92" s="11">
        <f t="shared" si="7"/>
        <v>0</v>
      </c>
      <c r="J92" s="11">
        <f t="shared" si="8"/>
        <v>0.21999999999999997</v>
      </c>
      <c r="K92" s="11">
        <f t="shared" si="9"/>
        <v>0.21999999999999997</v>
      </c>
      <c r="L92" s="11">
        <f>IF(S92="",((BG92-E92)/E92),((U92-E92)/E92))</f>
        <v>0.21999999999999997</v>
      </c>
      <c r="M92" s="3" t="str">
        <f>IF(S92="Churn","Churn",VLOOKUP(A92,'[1]Revenue_Engine_2025 Dec.25'!$C$14:$E$3993,3,0))</f>
        <v>Genel</v>
      </c>
      <c r="N92" s="3">
        <v>0</v>
      </c>
      <c r="O92" s="3">
        <f>(1-N92)*H92</f>
        <v>680.32079999999996</v>
      </c>
      <c r="P92" s="3">
        <f t="shared" si="11"/>
        <v>557.64</v>
      </c>
      <c r="Q92" s="3">
        <f t="shared" si="10"/>
        <v>680.32079999999996</v>
      </c>
      <c r="R92" s="3" t="e">
        <f>IF(S92&lt;&gt;"Churn",VLOOKUP(A92,[3]Export!$B$2:$O$417,8,0),"CHURN")</f>
        <v>#N/A</v>
      </c>
      <c r="S92" s="3"/>
      <c r="T92" s="3"/>
      <c r="U92" s="3" t="s">
        <v>551</v>
      </c>
      <c r="V92" s="4" t="str" cm="1">
        <f t="array" ref="V92">IFERROR(
    IF(
        MATCH(2,1/((Y92:BH92&lt;&gt;0)*(Y92:BH92&lt;&gt;"")))-MATCH(1,INDEX((Y92:BH92&lt;&gt;0)*(Y92:BH92&lt;&gt;""),0),0)+1 &lt;= 12,
        "No",
        "Yes"
    ),
    "No"
)</f>
        <v>Yes</v>
      </c>
      <c r="W92" s="4" t="str" cm="1">
        <f t="array" ref="W92">IFERROR(
    IF(
        MATCH(2,1/((Y92:BH92&lt;&gt;0)*(Y92:BH92&lt;&gt;"")))-MATCH(1,INDEX((Y92:BH92&lt;&gt;0)*(Y92:BH92&lt;&gt;""),0),0)+1 &lt;= 24,
        "No",
        "Yes"
    ),
    "No"
)</f>
        <v>Yes</v>
      </c>
      <c r="X92" s="3"/>
      <c r="Y92" s="4">
        <v>557.64</v>
      </c>
      <c r="Z92" s="4">
        <v>557.64</v>
      </c>
      <c r="AA92" s="4">
        <v>557.64</v>
      </c>
      <c r="AB92" s="4">
        <v>557.64</v>
      </c>
      <c r="AC92" s="4">
        <v>557.64</v>
      </c>
      <c r="AD92" s="4">
        <v>557.64</v>
      </c>
      <c r="AE92" s="4">
        <v>557.64</v>
      </c>
      <c r="AF92" s="4">
        <v>557.64</v>
      </c>
      <c r="AG92" s="4">
        <v>557.64</v>
      </c>
      <c r="AH92" s="4">
        <v>557.64</v>
      </c>
      <c r="AI92" s="4">
        <v>557.64</v>
      </c>
      <c r="AJ92" s="4">
        <v>557.64</v>
      </c>
      <c r="AK92" s="4">
        <v>557.64</v>
      </c>
      <c r="AL92" s="4">
        <v>557.64</v>
      </c>
      <c r="AM92" s="4">
        <v>557.64</v>
      </c>
      <c r="AN92" s="4">
        <v>557.64</v>
      </c>
      <c r="AO92" s="4">
        <v>557.64</v>
      </c>
      <c r="AP92" s="4">
        <v>557.64</v>
      </c>
      <c r="AQ92" s="4">
        <v>557.64</v>
      </c>
      <c r="AR92" s="4">
        <v>557.64</v>
      </c>
      <c r="AS92" s="4">
        <v>557.64</v>
      </c>
      <c r="AT92" s="4">
        <v>557.64</v>
      </c>
      <c r="AU92" s="4">
        <v>557.64</v>
      </c>
      <c r="AV92" s="4">
        <v>557.64</v>
      </c>
      <c r="AW92" s="4">
        <v>680.32079999999996</v>
      </c>
      <c r="AX92" s="4">
        <v>680.32079999999996</v>
      </c>
      <c r="AY92" s="4">
        <v>680.32079999999996</v>
      </c>
      <c r="AZ92" s="4">
        <v>680.32079999999996</v>
      </c>
      <c r="BA92" s="4">
        <v>680.32079999999996</v>
      </c>
      <c r="BB92" s="4">
        <v>680.32079999999996</v>
      </c>
      <c r="BC92" s="4">
        <v>680.32079999999996</v>
      </c>
      <c r="BD92" s="4">
        <v>680.32079999999996</v>
      </c>
      <c r="BE92" s="4">
        <v>680.32079999999996</v>
      </c>
      <c r="BF92" s="4">
        <v>680.32079999999996</v>
      </c>
      <c r="BG92" s="4">
        <v>680.32079999999996</v>
      </c>
      <c r="BH92" s="4">
        <v>680.32079999999996</v>
      </c>
      <c r="BJ92" s="9"/>
    </row>
    <row r="93" spans="1:62" x14ac:dyDescent="0.25">
      <c r="A93" s="6" t="s">
        <v>89</v>
      </c>
      <c r="B93" s="6"/>
      <c r="C93" s="7" t="s">
        <v>526</v>
      </c>
      <c r="D93" s="3"/>
      <c r="E93" s="3">
        <f>VLOOKUP(A93,[2]Sheet1!$A$2:$E$627,5,0)</f>
        <v>1346.8979687214019</v>
      </c>
      <c r="F93" s="3">
        <f>VLOOKUP(A93,[2]Sheet1!$A$2:$F$627,6,0)</f>
        <v>1353.2528858642675</v>
      </c>
      <c r="G93" s="3">
        <f>VLOOKUP(A93,[2]Sheet1!$A$2:$G$627,7,0)</f>
        <v>715.03937692242573</v>
      </c>
      <c r="H93" s="4">
        <f t="shared" si="6"/>
        <v>750.48330269717985</v>
      </c>
      <c r="I93" s="11">
        <f t="shared" si="7"/>
        <v>4.7181874874295442E-3</v>
      </c>
      <c r="J93" s="11">
        <f t="shared" si="8"/>
        <v>-0.46912134881218492</v>
      </c>
      <c r="K93" s="11">
        <f t="shared" si="9"/>
        <v>-0.47161437127417671</v>
      </c>
      <c r="L93" s="11">
        <f>IF(S93="",((BG93-E93)/E93),((U93-E93)/E93))</f>
        <v>-0.44356074738435003</v>
      </c>
      <c r="M93" s="3" t="str">
        <f>IF(S93="Churn","Churn",VLOOKUP(A93,'[1]Revenue_Engine_2025 Dec.25'!$C$14:$E$3993,3,0))</f>
        <v>Üretim</v>
      </c>
      <c r="N93" s="3">
        <f>IF(S93="",VLOOKUP(A93,[3]Export!$B$2:$F$417,5,0),"CHURN")</f>
        <v>1.0300297554900435</v>
      </c>
      <c r="O93" s="3">
        <f>(1-N93)*H93</f>
        <v>-22.536830079356612</v>
      </c>
      <c r="P93" s="3">
        <f t="shared" si="11"/>
        <v>-40.637853278699694</v>
      </c>
      <c r="Q93" s="3">
        <f t="shared" si="10"/>
        <v>-21.472457654733496</v>
      </c>
      <c r="R93" s="3" t="str">
        <f>IF(S93&lt;&gt;"Churn",VLOOKUP(A93,[3]Export!$B$2:$O$417,8,0),"CHURN")</f>
        <v>HIGH RISK</v>
      </c>
      <c r="S93" s="3"/>
      <c r="T93" s="3"/>
      <c r="U93" s="3" t="s">
        <v>551</v>
      </c>
      <c r="V93" s="4" t="str" cm="1">
        <f t="array" ref="V93">IFERROR(
    IF(
        MATCH(2,1/((Y93:BH93&lt;&gt;0)*(Y93:BH93&lt;&gt;"")))-MATCH(1,INDEX((Y93:BH93&lt;&gt;0)*(Y93:BH93&lt;&gt;""),0),0)+1 &lt;= 12,
        "No",
        "Yes"
    ),
    "No"
)</f>
        <v>Yes</v>
      </c>
      <c r="W93" s="4" t="str" cm="1">
        <f t="array" ref="W93">IFERROR(
    IF(
        MATCH(2,1/((Y93:BH93&lt;&gt;0)*(Y93:BH93&lt;&gt;"")))-MATCH(1,INDEX((Y93:BH93&lt;&gt;0)*(Y93:BH93&lt;&gt;""),0),0)+1 &lt;= 24,
        "No",
        "Yes"
    ),
    "No"
)</f>
        <v>Yes</v>
      </c>
      <c r="X93" s="3"/>
      <c r="Y93" s="4">
        <v>1346.8979687214019</v>
      </c>
      <c r="Z93" s="4">
        <v>1342.4442148284697</v>
      </c>
      <c r="AA93" s="4">
        <v>1333.0535707066178</v>
      </c>
      <c r="AB93" s="4">
        <v>1310.5248168540857</v>
      </c>
      <c r="AC93" s="4">
        <v>1286.9107822811225</v>
      </c>
      <c r="AD93" s="4">
        <v>1092.5813932287215</v>
      </c>
      <c r="AE93" s="4">
        <v>975.66599507923343</v>
      </c>
      <c r="AF93" s="4">
        <v>958.43682230883462</v>
      </c>
      <c r="AG93" s="4">
        <v>957.60770200660988</v>
      </c>
      <c r="AH93" s="4">
        <v>930.09572290239544</v>
      </c>
      <c r="AI93" s="4">
        <v>1256.1396907474982</v>
      </c>
      <c r="AJ93" s="4">
        <v>1395.6515402515788</v>
      </c>
      <c r="AK93" s="4">
        <v>1353.2528858642675</v>
      </c>
      <c r="AL93" s="4">
        <v>758.78040495783398</v>
      </c>
      <c r="AM93" s="4">
        <v>785.59227650682055</v>
      </c>
      <c r="AN93" s="4">
        <v>778.41525405328275</v>
      </c>
      <c r="AO93" s="4">
        <v>779.45238487225276</v>
      </c>
      <c r="AP93" s="4">
        <v>773.40314900484793</v>
      </c>
      <c r="AQ93" s="4">
        <v>766.19722417567016</v>
      </c>
      <c r="AR93" s="4">
        <v>751.1235426236052</v>
      </c>
      <c r="AS93" s="4">
        <v>743.27958680070901</v>
      </c>
      <c r="AT93" s="4">
        <v>739.09151992789145</v>
      </c>
      <c r="AU93" s="4">
        <v>735.38129982159535</v>
      </c>
      <c r="AV93" s="4">
        <v>724.97315974649598</v>
      </c>
      <c r="AW93" s="4">
        <v>715.03937692242573</v>
      </c>
      <c r="AX93" s="4">
        <v>929.31973586820027</v>
      </c>
      <c r="AY93" s="4">
        <v>922.37601734246221</v>
      </c>
      <c r="AZ93" s="4">
        <v>915.12672021214757</v>
      </c>
      <c r="BA93" s="4">
        <v>910.69880546516504</v>
      </c>
      <c r="BB93" s="4">
        <v>906.28960945505776</v>
      </c>
      <c r="BC93" s="4">
        <v>904.04573416063158</v>
      </c>
      <c r="BD93" s="4">
        <v>900.18973814995979</v>
      </c>
      <c r="BE93" s="4">
        <v>897.20571859197344</v>
      </c>
      <c r="BF93" s="4">
        <v>750.48330269717985</v>
      </c>
      <c r="BG93" s="4">
        <v>749.46689906487393</v>
      </c>
      <c r="BH93" s="4">
        <v>748.53306046153386</v>
      </c>
      <c r="BJ93" s="9"/>
    </row>
    <row r="94" spans="1:62" x14ac:dyDescent="0.25">
      <c r="A94" s="6" t="s">
        <v>90</v>
      </c>
      <c r="B94" s="6"/>
      <c r="C94" s="7" t="s">
        <v>526</v>
      </c>
      <c r="D94" s="3"/>
      <c r="E94" s="3">
        <f>VLOOKUP(A94,[2]Sheet1!$A$2:$E$627,5,0)</f>
        <v>71.5</v>
      </c>
      <c r="F94" s="3">
        <f>VLOOKUP(A94,[2]Sheet1!$A$2:$F$627,6,0)</f>
        <v>80.5</v>
      </c>
      <c r="G94" s="3">
        <f>VLOOKUP(A94,[2]Sheet1!$A$2:$G$627,7,0)</f>
        <v>96.23</v>
      </c>
      <c r="H94" s="4">
        <f t="shared" si="6"/>
        <v>96.23</v>
      </c>
      <c r="I94" s="11">
        <f t="shared" si="7"/>
        <v>0.12587412587412589</v>
      </c>
      <c r="J94" s="11">
        <f t="shared" si="8"/>
        <v>0.34587412587412592</v>
      </c>
      <c r="K94" s="11">
        <f t="shared" si="9"/>
        <v>0.19540372670807457</v>
      </c>
      <c r="L94" s="11">
        <f>IF(S94="",((BG94-E94)/E94),((U94-E94)/E94))</f>
        <v>0.34587412587412592</v>
      </c>
      <c r="M94" s="3" t="str">
        <f>IF(S94="Churn","Churn",VLOOKUP(A94,'[1]Revenue_Engine_2025 Dec.25'!$C$14:$E$3993,3,0))</f>
        <v>Diğer</v>
      </c>
      <c r="N94" s="3">
        <f>IF(S94="",VLOOKUP(A94,[3]Export!$B$2:$F$417,5,0),"CHURN")</f>
        <v>0.29793203782604183</v>
      </c>
      <c r="O94" s="3">
        <f>(1-N94)*H94</f>
        <v>67.56</v>
      </c>
      <c r="P94" s="3">
        <f t="shared" si="11"/>
        <v>56.516470955003633</v>
      </c>
      <c r="Q94" s="3">
        <f t="shared" si="10"/>
        <v>67.56</v>
      </c>
      <c r="R94" s="3" t="str">
        <f>IF(S94&lt;&gt;"Churn",VLOOKUP(A94,[3]Export!$B$2:$O$417,8,0),"CHURN")</f>
        <v>NO RISK</v>
      </c>
      <c r="S94" s="3"/>
      <c r="T94" s="3"/>
      <c r="U94" s="3" t="s">
        <v>551</v>
      </c>
      <c r="V94" s="4" t="str" cm="1">
        <f t="array" ref="V94">IFERROR(
    IF(
        MATCH(2,1/((Y94:BH94&lt;&gt;0)*(Y94:BH94&lt;&gt;"")))-MATCH(1,INDEX((Y94:BH94&lt;&gt;0)*(Y94:BH94&lt;&gt;""),0),0)+1 &lt;= 12,
        "No",
        "Yes"
    ),
    "No"
)</f>
        <v>Yes</v>
      </c>
      <c r="W94" s="4" t="str" cm="1">
        <f t="array" ref="W94">IFERROR(
    IF(
        MATCH(2,1/((Y94:BH94&lt;&gt;0)*(Y94:BH94&lt;&gt;"")))-MATCH(1,INDEX((Y94:BH94&lt;&gt;0)*(Y94:BH94&lt;&gt;""),0),0)+1 &lt;= 24,
        "No",
        "Yes"
    ),
    "No"
)</f>
        <v>Yes</v>
      </c>
      <c r="X94" s="3"/>
      <c r="Y94" s="4">
        <v>71.5</v>
      </c>
      <c r="Z94" s="4">
        <v>71.5</v>
      </c>
      <c r="AA94" s="4">
        <v>71.5</v>
      </c>
      <c r="AB94" s="4">
        <v>80.5</v>
      </c>
      <c r="AC94" s="4">
        <v>80.5</v>
      </c>
      <c r="AD94" s="4">
        <v>80.5</v>
      </c>
      <c r="AE94" s="4">
        <v>80.5</v>
      </c>
      <c r="AF94" s="4">
        <v>80.5</v>
      </c>
      <c r="AG94" s="4">
        <v>80.5</v>
      </c>
      <c r="AH94" s="4">
        <v>80.5</v>
      </c>
      <c r="AI94" s="4">
        <v>80.5</v>
      </c>
      <c r="AJ94" s="4">
        <v>80.5</v>
      </c>
      <c r="AK94" s="4">
        <v>80.5</v>
      </c>
      <c r="AL94" s="4">
        <v>80.5</v>
      </c>
      <c r="AM94" s="4">
        <v>80.5</v>
      </c>
      <c r="AN94" s="4">
        <v>80.5</v>
      </c>
      <c r="AO94" s="4">
        <v>80.5</v>
      </c>
      <c r="AP94" s="4">
        <v>80.5</v>
      </c>
      <c r="AQ94" s="4">
        <v>80.5</v>
      </c>
      <c r="AR94" s="4">
        <v>80.5</v>
      </c>
      <c r="AS94" s="4">
        <v>80.5</v>
      </c>
      <c r="AT94" s="4">
        <v>80.5</v>
      </c>
      <c r="AU94" s="4">
        <v>80.5</v>
      </c>
      <c r="AV94" s="4">
        <v>80.5</v>
      </c>
      <c r="AW94" s="4">
        <v>96.23</v>
      </c>
      <c r="AX94" s="4">
        <v>96.23</v>
      </c>
      <c r="AY94" s="4">
        <v>96.23</v>
      </c>
      <c r="AZ94" s="4">
        <v>96.23</v>
      </c>
      <c r="BA94" s="4">
        <v>96.23</v>
      </c>
      <c r="BB94" s="4">
        <v>96.23</v>
      </c>
      <c r="BC94" s="4">
        <v>96.23</v>
      </c>
      <c r="BD94" s="4">
        <v>96.23</v>
      </c>
      <c r="BE94" s="4">
        <v>96.23</v>
      </c>
      <c r="BF94" s="4">
        <v>96.23</v>
      </c>
      <c r="BG94" s="4">
        <v>96.23</v>
      </c>
      <c r="BH94" s="4">
        <v>96.23</v>
      </c>
      <c r="BJ94" s="9"/>
    </row>
    <row r="95" spans="1:62" x14ac:dyDescent="0.25">
      <c r="A95" s="6" t="s">
        <v>91</v>
      </c>
      <c r="B95" s="6"/>
      <c r="C95" s="7" t="s">
        <v>525</v>
      </c>
      <c r="D95" s="3"/>
      <c r="E95" s="3">
        <f>VLOOKUP(A95,[2]Sheet1!$A$2:$E$627,5,0)</f>
        <v>15135.389699493026</v>
      </c>
      <c r="F95" s="3">
        <f>VLOOKUP(A95,[2]Sheet1!$A$2:$F$627,6,0)</f>
        <v>14293.421281855495</v>
      </c>
      <c r="G95" s="3">
        <f>VLOOKUP(A95,[2]Sheet1!$A$2:$G$627,7,0)</f>
        <v>13398.991687548798</v>
      </c>
      <c r="H95" s="4">
        <f t="shared" si="6"/>
        <v>8475.4161963397983</v>
      </c>
      <c r="I95" s="11">
        <f t="shared" si="7"/>
        <v>-5.5629120515194461E-2</v>
      </c>
      <c r="J95" s="11">
        <f t="shared" si="8"/>
        <v>-0.1147243676191826</v>
      </c>
      <c r="K95" s="11">
        <f t="shared" si="9"/>
        <v>-6.2576312323636155E-2</v>
      </c>
      <c r="L95" s="11">
        <f>IF(S95="",((BG95-E95)/E95),((U95-E95)/E95))</f>
        <v>-0.45964010558263552</v>
      </c>
      <c r="M95" s="3" t="str">
        <f>IF(S95="Churn","Churn",VLOOKUP(A95,'[1]Revenue_Engine_2025 Dec.25'!$C$14:$E$3993,3,0))</f>
        <v>Digital</v>
      </c>
      <c r="N95" s="3">
        <f>IF(S95="",VLOOKUP(A95,[3]Export!$B$2:$F$417,5,0),"CHURN")</f>
        <v>0.37865588478392498</v>
      </c>
      <c r="O95" s="3">
        <f>(1-N95)*H95</f>
        <v>5266.149977602744</v>
      </c>
      <c r="P95" s="3">
        <f t="shared" si="11"/>
        <v>8881.1331997851194</v>
      </c>
      <c r="Q95" s="3">
        <f t="shared" si="10"/>
        <v>8325.3846348875522</v>
      </c>
      <c r="R95" s="3" t="str">
        <f>IF(S95&lt;&gt;"Churn",VLOOKUP(A95,[3]Export!$B$2:$O$417,8,0),"CHURN")</f>
        <v>MEDIUM RISK</v>
      </c>
      <c r="S95" s="3"/>
      <c r="T95" s="3"/>
      <c r="U95" s="3" t="s">
        <v>551</v>
      </c>
      <c r="V95" s="4" t="str" cm="1">
        <f t="array" ref="V95">IFERROR(
    IF(
        MATCH(2,1/((Y95:BH95&lt;&gt;0)*(Y95:BH95&lt;&gt;"")))-MATCH(1,INDEX((Y95:BH95&lt;&gt;0)*(Y95:BH95&lt;&gt;""),0),0)+1 &lt;= 12,
        "No",
        "Yes"
    ),
    "No"
)</f>
        <v>Yes</v>
      </c>
      <c r="W95" s="4" t="str" cm="1">
        <f t="array" ref="W95">IFERROR(
    IF(
        MATCH(2,1/((Y95:BH95&lt;&gt;0)*(Y95:BH95&lt;&gt;"")))-MATCH(1,INDEX((Y95:BH95&lt;&gt;0)*(Y95:BH95&lt;&gt;""),0),0)+1 &lt;= 24,
        "No",
        "Yes"
    ),
    "No"
)</f>
        <v>Yes</v>
      </c>
      <c r="X95" s="3"/>
      <c r="Y95" s="4">
        <v>15135.389699493026</v>
      </c>
      <c r="Z95" s="4">
        <v>15094.901820577252</v>
      </c>
      <c r="AA95" s="4">
        <v>15009.534000242576</v>
      </c>
      <c r="AB95" s="4">
        <v>19646.405067413925</v>
      </c>
      <c r="AC95" s="4">
        <v>17740.603866010813</v>
      </c>
      <c r="AD95" s="4">
        <v>14809.757615808008</v>
      </c>
      <c r="AE95" s="4">
        <v>16152.899074496972</v>
      </c>
      <c r="AF95" s="4">
        <v>16199.243619042667</v>
      </c>
      <c r="AG95" s="4">
        <v>14592.041386969966</v>
      </c>
      <c r="AH95" s="4">
        <v>14524.512199965247</v>
      </c>
      <c r="AI95" s="4">
        <v>14253.984879350941</v>
      </c>
      <c r="AJ95" s="4">
        <v>14112.145273994069</v>
      </c>
      <c r="AK95" s="4">
        <v>14293.421281855495</v>
      </c>
      <c r="AL95" s="4">
        <v>14386.63673666447</v>
      </c>
      <c r="AM95" s="4">
        <v>14391.139705747817</v>
      </c>
      <c r="AN95" s="4">
        <v>14341.804753639193</v>
      </c>
      <c r="AO95" s="4">
        <v>15589.636730993243</v>
      </c>
      <c r="AP95" s="4">
        <v>14426.267773120117</v>
      </c>
      <c r="AQ95" s="4">
        <v>15003.88892134657</v>
      </c>
      <c r="AR95" s="4">
        <v>15078.782002496231</v>
      </c>
      <c r="AS95" s="4">
        <v>15014.373061862105</v>
      </c>
      <c r="AT95" s="4">
        <v>14989.342115716099</v>
      </c>
      <c r="AU95" s="4">
        <v>15048.742475734936</v>
      </c>
      <c r="AV95" s="4">
        <v>15095.264266305283</v>
      </c>
      <c r="AW95" s="4">
        <v>13398.991687548798</v>
      </c>
      <c r="AX95" s="4">
        <v>9162.5205275382177</v>
      </c>
      <c r="AY95" s="4">
        <v>8986.7589693137179</v>
      </c>
      <c r="AZ95" s="4">
        <v>9362.5086180644557</v>
      </c>
      <c r="BA95" s="4">
        <v>8997.759986790621</v>
      </c>
      <c r="BB95" s="4">
        <v>8642.2898206410664</v>
      </c>
      <c r="BC95" s="4">
        <v>8609.932658593194</v>
      </c>
      <c r="BD95" s="4">
        <v>8741.2999486645585</v>
      </c>
      <c r="BE95" s="4">
        <v>8714.0470108947884</v>
      </c>
      <c r="BF95" s="4">
        <v>8475.4161963397983</v>
      </c>
      <c r="BG95" s="4">
        <v>8178.557579983717</v>
      </c>
      <c r="BH95" s="4">
        <v>8119.8128643867867</v>
      </c>
      <c r="BJ95" s="9"/>
    </row>
    <row r="96" spans="1:62" x14ac:dyDescent="0.25">
      <c r="A96" s="6" t="s">
        <v>92</v>
      </c>
      <c r="B96" s="6"/>
      <c r="C96" s="7" t="s">
        <v>526</v>
      </c>
      <c r="D96" s="3"/>
      <c r="E96" s="3">
        <f>VLOOKUP(A96,[2]Sheet1!$A$2:$E$627,5,0)</f>
        <v>1572.89</v>
      </c>
      <c r="F96" s="3">
        <f>VLOOKUP(A96,[2]Sheet1!$A$2:$F$627,6,0)</f>
        <v>2202.057217</v>
      </c>
      <c r="G96" s="3">
        <f>VLOOKUP(A96,[2]Sheet1!$A$2:$G$627,7,0)</f>
        <v>2733.1818466666664</v>
      </c>
      <c r="H96" s="4">
        <f t="shared" si="6"/>
        <v>0</v>
      </c>
      <c r="I96" s="11">
        <f t="shared" si="7"/>
        <v>0.40000713145865247</v>
      </c>
      <c r="J96" s="11">
        <f t="shared" si="8"/>
        <v>0.73768149499753077</v>
      </c>
      <c r="K96" s="11">
        <f t="shared" si="9"/>
        <v>0.24119474533466054</v>
      </c>
      <c r="L96" s="11">
        <f>IF(S96="",((BG96-E96)/E96),((U96-E96)/E96))</f>
        <v>0.55778228611028113</v>
      </c>
      <c r="M96" s="3" t="str">
        <f>IF(S96="Churn","Churn",VLOOKUP(A96,'[1]Revenue_Engine_2025 Dec.25'!$C$14:$E$3993,3,0))</f>
        <v>Churn</v>
      </c>
      <c r="N96" s="3" t="str">
        <f>IF(S96="",VLOOKUP(A96,[3]Export!$B$2:$F$417,5,0),"CHURN")</f>
        <v>CHURN</v>
      </c>
      <c r="O96" s="3" t="e">
        <f>(1-N96)*H96</f>
        <v>#VALUE!</v>
      </c>
      <c r="P96" s="3" t="e">
        <f t="shared" si="11"/>
        <v>#VALUE!</v>
      </c>
      <c r="Q96" s="3" t="e">
        <f t="shared" si="10"/>
        <v>#VALUE!</v>
      </c>
      <c r="R96" s="3" t="str">
        <f>IF(S96&lt;&gt;"Churn",VLOOKUP(A96,[3]Export!$B$2:$O$417,8,0),"CHURN")</f>
        <v>CHURN</v>
      </c>
      <c r="S96" s="3" t="s">
        <v>372</v>
      </c>
      <c r="T96" s="3" t="s">
        <v>557</v>
      </c>
      <c r="U96" s="3">
        <v>2450.2201800000003</v>
      </c>
      <c r="V96" s="4" t="str" cm="1">
        <f t="array" ref="V96">IFERROR(
    IF(
        MATCH(2,1/((Y96:BH96&lt;&gt;0)*(Y96:BH96&lt;&gt;"")))-MATCH(1,INDEX((Y96:BH96&lt;&gt;0)*(Y96:BH96&lt;&gt;""),0),0)+1 &lt;= 12,
        "No",
        "Yes"
    ),
    "No"
)</f>
        <v>Yes</v>
      </c>
      <c r="W96" s="4" t="str" cm="1">
        <f t="array" ref="W96">IFERROR(
    IF(
        MATCH(2,1/((Y96:BH96&lt;&gt;0)*(Y96:BH96&lt;&gt;"")))-MATCH(1,INDEX((Y96:BH96&lt;&gt;0)*(Y96:BH96&lt;&gt;""),0),0)+1 &lt;= 24,
        "No",
        "Yes"
    ),
    "No"
)</f>
        <v>Yes</v>
      </c>
      <c r="X96" s="3"/>
      <c r="Y96" s="4">
        <v>1560.39</v>
      </c>
      <c r="Z96" s="4">
        <v>1572.89</v>
      </c>
      <c r="AA96" s="4">
        <v>1572.89</v>
      </c>
      <c r="AB96" s="4">
        <v>1732.19</v>
      </c>
      <c r="AC96" s="4">
        <v>1806.4899999999998</v>
      </c>
      <c r="AD96" s="4">
        <v>1851.7899999999997</v>
      </c>
      <c r="AE96" s="4">
        <v>1962.6572170000002</v>
      </c>
      <c r="AF96" s="4">
        <v>1975.4572170000001</v>
      </c>
      <c r="AG96" s="4">
        <v>1980.4572170000001</v>
      </c>
      <c r="AH96" s="4">
        <v>1993.2572170000001</v>
      </c>
      <c r="AI96" s="4">
        <v>1993.2572170000001</v>
      </c>
      <c r="AJ96" s="4">
        <v>2202.057217</v>
      </c>
      <c r="AK96" s="4">
        <v>2202.057217</v>
      </c>
      <c r="AL96" s="4">
        <v>2402.057217</v>
      </c>
      <c r="AM96" s="4">
        <v>2402.057217</v>
      </c>
      <c r="AN96" s="4">
        <v>2402.057217</v>
      </c>
      <c r="AO96" s="4">
        <v>2407.5488836666668</v>
      </c>
      <c r="AP96" s="4">
        <v>2407.5488836666668</v>
      </c>
      <c r="AQ96" s="4">
        <v>2407.5488836666668</v>
      </c>
      <c r="AR96" s="4">
        <v>2407.5488836666668</v>
      </c>
      <c r="AS96" s="4">
        <v>2407.5488836666668</v>
      </c>
      <c r="AT96" s="4">
        <v>2407.5488836666668</v>
      </c>
      <c r="AU96" s="4">
        <v>2407.5488836666668</v>
      </c>
      <c r="AV96" s="4">
        <v>2407.5488836666668</v>
      </c>
      <c r="AW96" s="4">
        <v>2733.1818466666664</v>
      </c>
      <c r="AX96" s="4">
        <v>2538.311846666667</v>
      </c>
      <c r="AY96" s="4">
        <v>2538.311846666667</v>
      </c>
      <c r="AZ96" s="4">
        <v>2538.311846666667</v>
      </c>
      <c r="BA96" s="4">
        <v>2450.2201800000003</v>
      </c>
      <c r="BB96" s="4">
        <v>2450.2201800000003</v>
      </c>
      <c r="BC96" s="4">
        <v>2450.2201800000003</v>
      </c>
      <c r="BD96" s="4">
        <v>0</v>
      </c>
      <c r="BE96" s="4">
        <v>0</v>
      </c>
      <c r="BF96" s="4">
        <v>0</v>
      </c>
      <c r="BG96" s="4">
        <v>0</v>
      </c>
      <c r="BH96" s="4">
        <v>0</v>
      </c>
      <c r="BJ96" s="9"/>
    </row>
    <row r="97" spans="1:62" x14ac:dyDescent="0.25">
      <c r="A97" s="6" t="s">
        <v>541</v>
      </c>
      <c r="B97" s="6"/>
      <c r="C97" s="7" t="s">
        <v>526</v>
      </c>
      <c r="D97" s="3"/>
      <c r="E97" s="3">
        <f>VLOOKUP(A97,[2]Sheet1!$A$2:$E$627,5,0)</f>
        <v>206.57522270141752</v>
      </c>
      <c r="F97" s="3">
        <f>VLOOKUP(A97,[2]Sheet1!$A$2:$F$627,6,0)</f>
        <v>425.12895578325424</v>
      </c>
      <c r="G97" s="3">
        <f>VLOOKUP(A97,[2]Sheet1!$A$2:$G$627,7,0)</f>
        <v>585.48974235968058</v>
      </c>
      <c r="H97" s="4">
        <f t="shared" si="6"/>
        <v>650.39034757455124</v>
      </c>
      <c r="I97" s="11">
        <f t="shared" si="7"/>
        <v>1.0579861912952304</v>
      </c>
      <c r="J97" s="11">
        <f t="shared" si="8"/>
        <v>1.8342689636401539</v>
      </c>
      <c r="K97" s="11">
        <f t="shared" si="9"/>
        <v>0.37720504424587803</v>
      </c>
      <c r="L97" s="11">
        <f>IF(S97="",((BG97-E97)/E97),((U97-E97)/E97))</f>
        <v>2.1153900722172949</v>
      </c>
      <c r="M97" s="3" t="str">
        <f>IF(S97="Churn","Churn",VLOOKUP(A97,'[1]Revenue_Engine_2025 Dec.25'!$C$14:$E$3993,3,0))</f>
        <v>Diğer</v>
      </c>
      <c r="N97" s="3">
        <f>IF(S97="",VLOOKUP(A97,[3]Export!$B$2:$F$417,5,0),"CHURN")</f>
        <v>0</v>
      </c>
      <c r="O97" s="3">
        <f>(1-N97)*H97</f>
        <v>650.39034757455124</v>
      </c>
      <c r="P97" s="3">
        <f t="shared" si="11"/>
        <v>425.12895578325424</v>
      </c>
      <c r="Q97" s="3">
        <f t="shared" si="10"/>
        <v>585.48974235968058</v>
      </c>
      <c r="R97" s="3" t="str">
        <f>IF(S97&lt;&gt;"Churn",VLOOKUP(A97,[3]Export!$B$2:$O$417,8,0),"CHURN")</f>
        <v>NO RISK</v>
      </c>
      <c r="S97" s="3"/>
      <c r="T97" s="3"/>
      <c r="U97" s="3" t="s">
        <v>551</v>
      </c>
      <c r="V97" s="4" t="str" cm="1">
        <f t="array" ref="V97">IFERROR(
    IF(
        MATCH(2,1/((Y97:BH97&lt;&gt;0)*(Y97:BH97&lt;&gt;"")))-MATCH(1,INDEX((Y97:BH97&lt;&gt;0)*(Y97:BH97&lt;&gt;""),0),0)+1 &lt;= 12,
        "No",
        "Yes"
    ),
    "No"
)</f>
        <v>Yes</v>
      </c>
      <c r="W97" s="4" t="str" cm="1">
        <f t="array" ref="W97">IFERROR(
    IF(
        MATCH(2,1/((Y97:BH97&lt;&gt;0)*(Y97:BH97&lt;&gt;"")))-MATCH(1,INDEX((Y97:BH97&lt;&gt;0)*(Y97:BH97&lt;&gt;""),0),0)+1 &lt;= 24,
        "No",
        "Yes"
    ),
    "No"
)</f>
        <v>Yes</v>
      </c>
      <c r="X97" s="3"/>
      <c r="Y97" s="4">
        <v>206.57522270141752</v>
      </c>
      <c r="Z97" s="4">
        <v>205.85750941632094</v>
      </c>
      <c r="AA97" s="4">
        <v>204.34422641867627</v>
      </c>
      <c r="AB97" s="4">
        <v>313.63144291182579</v>
      </c>
      <c r="AC97" s="4">
        <v>307.68529111955769</v>
      </c>
      <c r="AD97" s="4">
        <v>258.75185382551024</v>
      </c>
      <c r="AE97" s="4">
        <v>229.31177617202735</v>
      </c>
      <c r="AF97" s="4">
        <v>224.97335546531025</v>
      </c>
      <c r="AG97" s="4">
        <v>224.76457743890896</v>
      </c>
      <c r="AH97" s="4">
        <v>217.83687746055821</v>
      </c>
      <c r="AI97" s="4">
        <v>446.07090253263317</v>
      </c>
      <c r="AJ97" s="4">
        <v>439.12065658009391</v>
      </c>
      <c r="AK97" s="4">
        <v>425.12895578325424</v>
      </c>
      <c r="AL97" s="4">
        <v>415.36085899883369</v>
      </c>
      <c r="AM97" s="4">
        <v>399.45861608737334</v>
      </c>
      <c r="AN97" s="4">
        <v>395.48005074551867</v>
      </c>
      <c r="AO97" s="4">
        <v>644.49794206725164</v>
      </c>
      <c r="AP97" s="4">
        <v>639.04100728730975</v>
      </c>
      <c r="AQ97" s="4">
        <v>631.63855223621601</v>
      </c>
      <c r="AR97" s="4">
        <v>618.04078568747661</v>
      </c>
      <c r="AS97" s="4">
        <v>610.96485803636108</v>
      </c>
      <c r="AT97" s="4">
        <v>607.18685891714256</v>
      </c>
      <c r="AU97" s="4">
        <v>603.83991897578869</v>
      </c>
      <c r="AV97" s="4">
        <v>594.45087500143256</v>
      </c>
      <c r="AW97" s="4">
        <v>585.48974235968058</v>
      </c>
      <c r="AX97" s="4">
        <v>575.16861688414303</v>
      </c>
      <c r="AY97" s="4">
        <v>560.81890155395604</v>
      </c>
      <c r="AZ97" s="4">
        <v>713.95565950125365</v>
      </c>
      <c r="BA97" s="4">
        <v>701.98665162935799</v>
      </c>
      <c r="BB97" s="4">
        <v>690.06824200106291</v>
      </c>
      <c r="BC97" s="4">
        <v>676.79465415078914</v>
      </c>
      <c r="BD97" s="4">
        <v>666.37158838666585</v>
      </c>
      <c r="BE97" s="4">
        <v>658.30554474755365</v>
      </c>
      <c r="BF97" s="4">
        <v>650.39034757455124</v>
      </c>
      <c r="BG97" s="4">
        <v>643.56239797007288</v>
      </c>
      <c r="BH97" s="4">
        <v>637.28909992227148</v>
      </c>
      <c r="BJ97" s="9"/>
    </row>
    <row r="98" spans="1:62" x14ac:dyDescent="0.25">
      <c r="A98" s="6" t="s">
        <v>93</v>
      </c>
      <c r="B98" s="6"/>
      <c r="C98" s="7" t="s">
        <v>526</v>
      </c>
      <c r="D98" s="3"/>
      <c r="E98" s="3">
        <f>VLOOKUP(A98,[2]Sheet1!$A$2:$E$627,5,0)</f>
        <v>4201.0945180903964</v>
      </c>
      <c r="F98" s="3">
        <f>VLOOKUP(A98,[2]Sheet1!$A$2:$F$627,6,0)</f>
        <v>6106.9230164301507</v>
      </c>
      <c r="G98" s="3">
        <f>VLOOKUP(A98,[2]Sheet1!$A$2:$G$627,7,0)</f>
        <v>6781.5634042775428</v>
      </c>
      <c r="H98" s="4">
        <f t="shared" si="6"/>
        <v>6290.876101505004</v>
      </c>
      <c r="I98" s="11">
        <f t="shared" si="7"/>
        <v>0.45365046897493916</v>
      </c>
      <c r="J98" s="11">
        <f t="shared" si="8"/>
        <v>0.61423728389717258</v>
      </c>
      <c r="K98" s="11">
        <f t="shared" si="9"/>
        <v>0.11047140860173449</v>
      </c>
      <c r="L98" s="11">
        <f>IF(S98="",((BG98-E98)/E98),((U98-E98)/E98))</f>
        <v>0.48981270020400575</v>
      </c>
      <c r="M98" s="3" t="str">
        <f>IF(S98="Churn","Churn",VLOOKUP(A98,'[1]Revenue_Engine_2025 Dec.25'!$C$14:$E$3993,3,0))</f>
        <v>Genel</v>
      </c>
      <c r="N98" s="3">
        <f>IF(S98="",VLOOKUP(A98,[3]Export!$B$2:$F$417,5,0),"CHURN")</f>
        <v>0.46567837652366995</v>
      </c>
      <c r="O98" s="3">
        <f>(1-N98)*H98</f>
        <v>3361.3511316445997</v>
      </c>
      <c r="P98" s="3">
        <f t="shared" si="11"/>
        <v>3263.0610205839248</v>
      </c>
      <c r="Q98" s="3">
        <f t="shared" si="10"/>
        <v>3623.5359678812442</v>
      </c>
      <c r="R98" s="3" t="str">
        <f>IF(S98&lt;&gt;"Churn",VLOOKUP(A98,[3]Export!$B$2:$O$417,8,0),"CHURN")</f>
        <v>NO RISK</v>
      </c>
      <c r="S98" s="3"/>
      <c r="T98" s="3"/>
      <c r="U98" s="3" t="s">
        <v>551</v>
      </c>
      <c r="V98" s="4" t="str" cm="1">
        <f t="array" ref="V98">IFERROR(
    IF(
        MATCH(2,1/((Y98:BH98&lt;&gt;0)*(Y98:BH98&lt;&gt;"")))-MATCH(1,INDEX((Y98:BH98&lt;&gt;0)*(Y98:BH98&lt;&gt;""),0),0)+1 &lt;= 12,
        "No",
        "Yes"
    ),
    "No"
)</f>
        <v>Yes</v>
      </c>
      <c r="W98" s="4" t="str" cm="1">
        <f t="array" ref="W98">IFERROR(
    IF(
        MATCH(2,1/((Y98:BH98&lt;&gt;0)*(Y98:BH98&lt;&gt;"")))-MATCH(1,INDEX((Y98:BH98&lt;&gt;0)*(Y98:BH98&lt;&gt;""),0),0)+1 &lt;= 24,
        "No",
        "Yes"
    ),
    "No"
)</f>
        <v>Yes</v>
      </c>
      <c r="X98" s="3"/>
      <c r="Y98" s="4">
        <v>4070.1808270472275</v>
      </c>
      <c r="Z98" s="4">
        <v>4197.7714536462017</v>
      </c>
      <c r="AA98" s="4">
        <v>4201.0945180903964</v>
      </c>
      <c r="AB98" s="4">
        <v>4488.1827057769306</v>
      </c>
      <c r="AC98" s="4">
        <v>4443.2028295357541</v>
      </c>
      <c r="AD98" s="4">
        <v>4254.2933377918707</v>
      </c>
      <c r="AE98" s="4">
        <v>4648.78675346808</v>
      </c>
      <c r="AF98" s="4">
        <v>4685.0863248161759</v>
      </c>
      <c r="AG98" s="4">
        <v>4682.8119836818332</v>
      </c>
      <c r="AH98" s="4">
        <v>4611.5444965198276</v>
      </c>
      <c r="AI98" s="4">
        <v>4567.0498631898799</v>
      </c>
      <c r="AJ98" s="4">
        <v>6196.0071509243917</v>
      </c>
      <c r="AK98" s="4">
        <v>6106.9230164301507</v>
      </c>
      <c r="AL98" s="4">
        <v>6277.4971135318592</v>
      </c>
      <c r="AM98" s="4">
        <v>6156.2493804797887</v>
      </c>
      <c r="AN98" s="4">
        <v>6100.7145383329762</v>
      </c>
      <c r="AO98" s="4">
        <v>6105.0981388975169</v>
      </c>
      <c r="AP98" s="4">
        <v>6079.5300685264801</v>
      </c>
      <c r="AQ98" s="4">
        <v>6044.8464046570698</v>
      </c>
      <c r="AR98" s="4">
        <v>6006.135060096929</v>
      </c>
      <c r="AS98" s="4">
        <v>6005.9813165724354</v>
      </c>
      <c r="AT98" s="4">
        <v>6005.2797769284307</v>
      </c>
      <c r="AU98" s="4">
        <v>6010.0979336594373</v>
      </c>
      <c r="AV98" s="4">
        <v>5966.1064670538372</v>
      </c>
      <c r="AW98" s="4">
        <v>6781.5634042775428</v>
      </c>
      <c r="AX98" s="4">
        <v>6730.7303630089327</v>
      </c>
      <c r="AY98" s="4">
        <v>6642.6768735563028</v>
      </c>
      <c r="AZ98" s="4">
        <v>6550.7483332450693</v>
      </c>
      <c r="BA98" s="4">
        <v>6514.597822099583</v>
      </c>
      <c r="BB98" s="4">
        <v>6471.1846837816229</v>
      </c>
      <c r="BC98" s="4">
        <v>6408.9139633923869</v>
      </c>
      <c r="BD98" s="4">
        <v>6360.0159697890258</v>
      </c>
      <c r="BE98" s="4">
        <v>6326.1755340481959</v>
      </c>
      <c r="BF98" s="4">
        <v>6290.876101505004</v>
      </c>
      <c r="BG98" s="4">
        <v>6258.8439678084997</v>
      </c>
      <c r="BH98" s="4">
        <v>6208.5805517379713</v>
      </c>
      <c r="BJ98" s="9"/>
    </row>
    <row r="99" spans="1:62" x14ac:dyDescent="0.25">
      <c r="A99" s="6" t="s">
        <v>94</v>
      </c>
      <c r="B99" s="6"/>
      <c r="C99" s="7" t="s">
        <v>526</v>
      </c>
      <c r="D99" s="3"/>
      <c r="E99" s="3">
        <f>VLOOKUP(A99,[2]Sheet1!$A$2:$E$627,5,0)</f>
        <v>197.81638722044391</v>
      </c>
      <c r="F99" s="3">
        <f>VLOOKUP(A99,[2]Sheet1!$A$2:$F$627,6,0)</f>
        <v>185.95591994571686</v>
      </c>
      <c r="G99" s="3">
        <f>VLOOKUP(A99,[2]Sheet1!$A$2:$G$627,7,0)</f>
        <v>249.00013579027569</v>
      </c>
      <c r="H99" s="4">
        <f t="shared" si="6"/>
        <v>276.39663005107087</v>
      </c>
      <c r="I99" s="11">
        <f t="shared" si="7"/>
        <v>-5.9956950186891809E-2</v>
      </c>
      <c r="J99" s="11">
        <f t="shared" si="8"/>
        <v>0.25874372335388623</v>
      </c>
      <c r="K99" s="11">
        <f t="shared" si="9"/>
        <v>0.33902774304234212</v>
      </c>
      <c r="L99" s="11">
        <f>IF(S99="",((BG99-E99)/E99),((U99-E99)/E99))</f>
        <v>0.38837434993037018</v>
      </c>
      <c r="M99" s="3" t="str">
        <f>IF(S99="Churn","Churn",VLOOKUP(A99,'[1]Revenue_Engine_2025 Dec.25'!$C$14:$E$3993,3,0))</f>
        <v>Diğer</v>
      </c>
      <c r="N99" s="3">
        <f>IF(S99="",VLOOKUP(A99,[3]Export!$B$2:$F$417,5,0),"CHURN")</f>
        <v>0.33505767000336162</v>
      </c>
      <c r="O99" s="3">
        <f>(1-N99)*H99</f>
        <v>183.78781918937796</v>
      </c>
      <c r="P99" s="3">
        <f t="shared" si="11"/>
        <v>123.64996268537332</v>
      </c>
      <c r="Q99" s="3">
        <f t="shared" si="10"/>
        <v>165.57073046186525</v>
      </c>
      <c r="R99" s="3" t="str">
        <f>IF(S99&lt;&gt;"Churn",VLOOKUP(A99,[3]Export!$B$2:$O$417,8,0),"CHURN")</f>
        <v>NO RISK</v>
      </c>
      <c r="S99" s="3"/>
      <c r="T99" s="3"/>
      <c r="U99" s="3" t="s">
        <v>551</v>
      </c>
      <c r="V99" s="4" t="str" cm="1">
        <f t="array" ref="V99">IFERROR(
    IF(
        MATCH(2,1/((Y99:BH99&lt;&gt;0)*(Y99:BH99&lt;&gt;"")))-MATCH(1,INDEX((Y99:BH99&lt;&gt;0)*(Y99:BH99&lt;&gt;""),0),0)+1 &lt;= 12,
        "No",
        "Yes"
    ),
    "No"
)</f>
        <v>Yes</v>
      </c>
      <c r="W99" s="4" t="str" cm="1">
        <f t="array" ref="W99">IFERROR(
    IF(
        MATCH(2,1/((Y99:BH99&lt;&gt;0)*(Y99:BH99&lt;&gt;"")))-MATCH(1,INDEX((Y99:BH99&lt;&gt;0)*(Y99:BH99&lt;&gt;""),0),0)+1 &lt;= 24,
        "No",
        "Yes"
    ),
    "No"
)</f>
        <v>Yes</v>
      </c>
      <c r="X99" s="3"/>
      <c r="Y99" s="4">
        <v>193.61946978137678</v>
      </c>
      <c r="Z99" s="4">
        <v>183.56148897400618</v>
      </c>
      <c r="AA99" s="4">
        <v>197.81638722044391</v>
      </c>
      <c r="AB99" s="4">
        <v>195.84891083647136</v>
      </c>
      <c r="AC99" s="4">
        <v>244.90078529615022</v>
      </c>
      <c r="AD99" s="4">
        <v>219.80059886841477</v>
      </c>
      <c r="AE99" s="4">
        <v>204.69944353552913</v>
      </c>
      <c r="AF99" s="4">
        <v>202.47407015972922</v>
      </c>
      <c r="AG99" s="4">
        <v>202.36697841072339</v>
      </c>
      <c r="AH99" s="4">
        <v>198.81344588597727</v>
      </c>
      <c r="AI99" s="4">
        <v>191.05735385492727</v>
      </c>
      <c r="AJ99" s="4">
        <v>189.36428201189588</v>
      </c>
      <c r="AK99" s="4">
        <v>185.95591994571686</v>
      </c>
      <c r="AL99" s="4">
        <v>183.57642291228231</v>
      </c>
      <c r="AM99" s="4">
        <v>179.70265500560811</v>
      </c>
      <c r="AN99" s="4">
        <v>178.73348110846081</v>
      </c>
      <c r="AO99" s="4">
        <v>239.3945165644171</v>
      </c>
      <c r="AP99" s="4">
        <v>238.06520879405184</v>
      </c>
      <c r="AQ99" s="4">
        <v>254.44197283540194</v>
      </c>
      <c r="AR99" s="4">
        <v>254.9295607466056</v>
      </c>
      <c r="AS99" s="4">
        <v>255.2058667703198</v>
      </c>
      <c r="AT99" s="4">
        <v>254.28554725247068</v>
      </c>
      <c r="AU99" s="4">
        <v>253.47023362854003</v>
      </c>
      <c r="AV99" s="4">
        <v>251.18306516955658</v>
      </c>
      <c r="AW99" s="4">
        <v>249.00013579027569</v>
      </c>
      <c r="AX99" s="4">
        <v>246.48591254099335</v>
      </c>
      <c r="AY99" s="4">
        <v>242.99032594152322</v>
      </c>
      <c r="AZ99" s="4">
        <v>239.34090584905013</v>
      </c>
      <c r="BA99" s="4">
        <v>276.55856834301613</v>
      </c>
      <c r="BB99" s="4">
        <v>285.58599806494755</v>
      </c>
      <c r="BC99" s="4">
        <v>283.51064569492382</v>
      </c>
      <c r="BD99" s="4">
        <v>280.50064681674428</v>
      </c>
      <c r="BE99" s="4">
        <v>278.42926958660604</v>
      </c>
      <c r="BF99" s="4">
        <v>276.39663005107087</v>
      </c>
      <c r="BG99" s="4">
        <v>274.64319801275821</v>
      </c>
      <c r="BH99" s="4">
        <v>273.0322016785608</v>
      </c>
      <c r="BJ99" s="9"/>
    </row>
    <row r="100" spans="1:62" x14ac:dyDescent="0.25">
      <c r="A100" s="6" t="s">
        <v>95</v>
      </c>
      <c r="B100" s="6"/>
      <c r="C100" s="7" t="s">
        <v>526</v>
      </c>
      <c r="D100" s="3"/>
      <c r="E100" s="3">
        <f>VLOOKUP(A100,[2]Sheet1!$A$2:$E$627,5,0)</f>
        <v>583.88790598583569</v>
      </c>
      <c r="F100" s="3">
        <f>VLOOKUP(A100,[2]Sheet1!$A$2:$F$627,6,0)</f>
        <v>695.0663491246878</v>
      </c>
      <c r="G100" s="3">
        <f>VLOOKUP(A100,[2]Sheet1!$A$2:$G$627,7,0)</f>
        <v>1089.8995701526371</v>
      </c>
      <c r="H100" s="4">
        <f t="shared" si="6"/>
        <v>1203.3154343333333</v>
      </c>
      <c r="I100" s="11">
        <f t="shared" si="7"/>
        <v>0.19041059422379808</v>
      </c>
      <c r="J100" s="11">
        <f t="shared" si="8"/>
        <v>0.86662467055633208</v>
      </c>
      <c r="K100" s="11">
        <f t="shared" si="9"/>
        <v>0.56805112422025805</v>
      </c>
      <c r="L100" s="11">
        <f>IF(S100="",((BG100-E100)/E100),((U100-E100)/E100))</f>
        <v>1.0608672007029447</v>
      </c>
      <c r="M100" s="3" t="str">
        <f>IF(S100="Churn","Churn",VLOOKUP(A100,'[1]Revenue_Engine_2025 Dec.25'!$C$14:$E$3993,3,0))</f>
        <v>Teknoloji</v>
      </c>
      <c r="N100" s="3">
        <f>IF(S100="",VLOOKUP(A100,[3]Export!$B$2:$F$417,5,0),"CHURN")</f>
        <v>0.23476803527401383</v>
      </c>
      <c r="O100" s="3">
        <f>(1-N100)*H100</f>
        <v>920.8154340000001</v>
      </c>
      <c r="P100" s="3">
        <f t="shared" si="11"/>
        <v>531.8869879556031</v>
      </c>
      <c r="Q100" s="3">
        <f t="shared" si="10"/>
        <v>834.02598942191037</v>
      </c>
      <c r="R100" s="3" t="str">
        <f>IF(S100&lt;&gt;"Churn",VLOOKUP(A100,[3]Export!$B$2:$O$417,8,0),"CHURN")</f>
        <v>NO RISK</v>
      </c>
      <c r="S100" s="3"/>
      <c r="T100" s="3"/>
      <c r="U100" s="3" t="s">
        <v>551</v>
      </c>
      <c r="V100" s="4" t="str" cm="1">
        <f t="array" ref="V100">IFERROR(
    IF(
        MATCH(2,1/((Y100:BH100&lt;&gt;0)*(Y100:BH100&lt;&gt;"")))-MATCH(1,INDEX((Y100:BH100&lt;&gt;0)*(Y100:BH100&lt;&gt;""),0),0)+1 &lt;= 12,
        "No",
        "Yes"
    ),
    "No"
)</f>
        <v>Yes</v>
      </c>
      <c r="W100" s="4" t="str" cm="1">
        <f t="array" ref="W100">IFERROR(
    IF(
        MATCH(2,1/((Y100:BH100&lt;&gt;0)*(Y100:BH100&lt;&gt;"")))-MATCH(1,INDEX((Y100:BH100&lt;&gt;0)*(Y100:BH100&lt;&gt;""),0),0)+1 &lt;= 24,
        "No",
        "Yes"
    ),
    "No"
)</f>
        <v>Yes</v>
      </c>
      <c r="X100" s="3"/>
      <c r="Y100" s="4">
        <v>537.61474920435228</v>
      </c>
      <c r="Z100" s="4">
        <v>535.79032018147336</v>
      </c>
      <c r="AA100" s="4">
        <v>583.88790598583569</v>
      </c>
      <c r="AB100" s="4">
        <v>573.73639678650784</v>
      </c>
      <c r="AC100" s="4">
        <v>563.09585755518515</v>
      </c>
      <c r="AD100" s="4">
        <v>598.8730299818809</v>
      </c>
      <c r="AE100" s="4">
        <v>532.15711169433177</v>
      </c>
      <c r="AF100" s="4">
        <v>445.72694627019837</v>
      </c>
      <c r="AG100" s="4">
        <v>699.97327510365903</v>
      </c>
      <c r="AH100" s="4">
        <v>741.85925062622687</v>
      </c>
      <c r="AI100" s="4">
        <v>736.75807613403822</v>
      </c>
      <c r="AJ100" s="4">
        <v>714.56869280293984</v>
      </c>
      <c r="AK100" s="4">
        <v>695.0663491246878</v>
      </c>
      <c r="AL100" s="4">
        <v>616.45295937740821</v>
      </c>
      <c r="AM100" s="4">
        <v>909.28412099930438</v>
      </c>
      <c r="AN100" s="4">
        <v>883.73132142109466</v>
      </c>
      <c r="AO100" s="4">
        <v>884.53268947573179</v>
      </c>
      <c r="AP100" s="4">
        <v>1110.3729407578001</v>
      </c>
      <c r="AQ100" s="4">
        <v>1101.3621963834307</v>
      </c>
      <c r="AR100" s="4">
        <v>1084.8101204049435</v>
      </c>
      <c r="AS100" s="4">
        <v>1106.9367885841268</v>
      </c>
      <c r="AT100" s="4">
        <v>1112.0754287555976</v>
      </c>
      <c r="AU100" s="4">
        <v>1108.6546393297078</v>
      </c>
      <c r="AV100" s="4">
        <v>1099.0584281907354</v>
      </c>
      <c r="AW100" s="4">
        <v>1089.8995701526371</v>
      </c>
      <c r="AX100" s="4">
        <v>1079.3507113417081</v>
      </c>
      <c r="AY100" s="4">
        <v>1217.9393977210962</v>
      </c>
      <c r="AZ100" s="4">
        <v>1200.861825575271</v>
      </c>
      <c r="BA100" s="4">
        <v>1200.834110892135</v>
      </c>
      <c r="BB100" s="4">
        <v>1201.4821010000001</v>
      </c>
      <c r="BC100" s="4">
        <v>1201.4821010000001</v>
      </c>
      <c r="BD100" s="4">
        <v>1201.4821010000001</v>
      </c>
      <c r="BE100" s="4">
        <v>1201.4821010000001</v>
      </c>
      <c r="BF100" s="4">
        <v>1203.3154343333333</v>
      </c>
      <c r="BG100" s="4">
        <v>1203.3154343333333</v>
      </c>
      <c r="BH100" s="4">
        <v>1203.3154343333333</v>
      </c>
      <c r="BJ100" s="9"/>
    </row>
    <row r="101" spans="1:62" x14ac:dyDescent="0.25">
      <c r="A101" s="6" t="s">
        <v>96</v>
      </c>
      <c r="B101" s="6"/>
      <c r="C101" s="7" t="s">
        <v>525</v>
      </c>
      <c r="D101" s="3"/>
      <c r="E101" s="3">
        <f>VLOOKUP(A101,[2]Sheet1!$A$2:$E$627,5,0)</f>
        <v>21218.719513159769</v>
      </c>
      <c r="F101" s="3">
        <f>VLOOKUP(A101,[2]Sheet1!$A$2:$F$627,6,0)</f>
        <v>29462.92049190135</v>
      </c>
      <c r="G101" s="3">
        <f>VLOOKUP(A101,[2]Sheet1!$A$2:$G$627,7,0)</f>
        <v>28683.128422000005</v>
      </c>
      <c r="H101" s="4">
        <f t="shared" si="6"/>
        <v>31113.987826000004</v>
      </c>
      <c r="I101" s="11">
        <f t="shared" si="7"/>
        <v>0.38853433043537611</v>
      </c>
      <c r="J101" s="11">
        <f t="shared" si="8"/>
        <v>0.35178413589994617</v>
      </c>
      <c r="K101" s="11">
        <f t="shared" si="9"/>
        <v>-2.6466896590095029E-2</v>
      </c>
      <c r="L101" s="11">
        <f>IF(S101="",((BG101-E101)/E101),((U101-E101)/E101))</f>
        <v>0.44554340241770879</v>
      </c>
      <c r="M101" s="3" t="str">
        <f>IF(S101="Churn","Churn",VLOOKUP(A101,'[1]Revenue_Engine_2025 Dec.25'!$C$14:$E$3993,3,0))</f>
        <v>Teknoloji</v>
      </c>
      <c r="N101" s="3">
        <f>IF(S101="",VLOOKUP(A101,[3]Export!$B$2:$F$417,5,0),"CHURN")</f>
        <v>0</v>
      </c>
      <c r="O101" s="3">
        <f>(1-N101)*H101</f>
        <v>31113.987826000004</v>
      </c>
      <c r="P101" s="3">
        <f t="shared" si="11"/>
        <v>29462.92049190135</v>
      </c>
      <c r="Q101" s="3">
        <f t="shared" si="10"/>
        <v>28683.128422000005</v>
      </c>
      <c r="R101" s="3" t="str">
        <f>IF(S101&lt;&gt;"Churn",VLOOKUP(A101,[3]Export!$B$2:$O$417,8,0),"CHURN")</f>
        <v>NO RISK</v>
      </c>
      <c r="S101" s="3"/>
      <c r="T101" s="3"/>
      <c r="U101" s="3" t="s">
        <v>551</v>
      </c>
      <c r="V101" s="4" t="str" cm="1">
        <f t="array" ref="V101">IFERROR(
    IF(
        MATCH(2,1/((Y101:BH101&lt;&gt;0)*(Y101:BH101&lt;&gt;"")))-MATCH(1,INDEX((Y101:BH101&lt;&gt;0)*(Y101:BH101&lt;&gt;""),0),0)+1 &lt;= 12,
        "No",
        "Yes"
    ),
    "No"
)</f>
        <v>Yes</v>
      </c>
      <c r="W101" s="4" t="str" cm="1">
        <f t="array" ref="W101">IFERROR(
    IF(
        MATCH(2,1/((Y101:BH101&lt;&gt;0)*(Y101:BH101&lt;&gt;"")))-MATCH(1,INDEX((Y101:BH101&lt;&gt;0)*(Y101:BH101&lt;&gt;""),0),0)+1 &lt;= 24,
        "No",
        "Yes"
    ),
    "No"
)</f>
        <v>Yes</v>
      </c>
      <c r="X101" s="3"/>
      <c r="Y101" s="4">
        <v>11101.411108682558</v>
      </c>
      <c r="Z101" s="4">
        <v>11062.840993003501</v>
      </c>
      <c r="AA101" s="4">
        <v>21218.719513159769</v>
      </c>
      <c r="AB101" s="4">
        <v>28283.246585638735</v>
      </c>
      <c r="AC101" s="4">
        <v>28261.090863449732</v>
      </c>
      <c r="AD101" s="4">
        <v>26523.56998294605</v>
      </c>
      <c r="AE101" s="4">
        <v>27494.598855809243</v>
      </c>
      <c r="AF101" s="4">
        <v>27286.52658337761</v>
      </c>
      <c r="AG101" s="4">
        <v>30868.018852754154</v>
      </c>
      <c r="AH101" s="4">
        <v>32054.600848638907</v>
      </c>
      <c r="AI101" s="4">
        <v>31268.98812321353</v>
      </c>
      <c r="AJ101" s="4">
        <v>30792.803793096253</v>
      </c>
      <c r="AK101" s="4">
        <v>29462.92049190135</v>
      </c>
      <c r="AL101" s="4">
        <v>27544.758813386801</v>
      </c>
      <c r="AM101" s="4">
        <v>27479.497528876382</v>
      </c>
      <c r="AN101" s="4">
        <v>27587.992398548748</v>
      </c>
      <c r="AO101" s="4">
        <v>28295.133554399315</v>
      </c>
      <c r="AP101" s="4">
        <v>28389.160046475736</v>
      </c>
      <c r="AQ101" s="4">
        <v>6349.7209867297452</v>
      </c>
      <c r="AR101" s="4">
        <v>22142.023070999996</v>
      </c>
      <c r="AS101" s="4">
        <v>22348.273855999996</v>
      </c>
      <c r="AT101" s="4">
        <v>23996.022813</v>
      </c>
      <c r="AU101" s="4">
        <v>24346.28</v>
      </c>
      <c r="AV101" s="4">
        <v>26075.58</v>
      </c>
      <c r="AW101" s="4">
        <v>28683.128422000005</v>
      </c>
      <c r="AX101" s="4">
        <v>30203.06</v>
      </c>
      <c r="AY101" s="4">
        <v>30957.19</v>
      </c>
      <c r="AZ101" s="4">
        <v>27824.37</v>
      </c>
      <c r="BA101" s="4">
        <v>28410.880000000001</v>
      </c>
      <c r="BB101" s="4">
        <v>28998.59</v>
      </c>
      <c r="BC101" s="4">
        <v>29564.011117999999</v>
      </c>
      <c r="BD101" s="4">
        <v>29951.460000000003</v>
      </c>
      <c r="BE101" s="4">
        <v>30462.07</v>
      </c>
      <c r="BF101" s="4">
        <v>28399.27</v>
      </c>
      <c r="BG101" s="4">
        <v>30672.58</v>
      </c>
      <c r="BH101" s="4">
        <v>31113.987826000004</v>
      </c>
      <c r="BJ101" s="9"/>
    </row>
    <row r="102" spans="1:62" x14ac:dyDescent="0.25">
      <c r="A102" s="6" t="s">
        <v>97</v>
      </c>
      <c r="B102" s="6"/>
      <c r="C102" s="7" t="s">
        <v>526</v>
      </c>
      <c r="D102" s="3"/>
      <c r="E102" s="3">
        <f>VLOOKUP(A102,[2]Sheet1!$A$2:$E$627,5,0)</f>
        <v>650</v>
      </c>
      <c r="F102" s="3">
        <f>VLOOKUP(A102,[2]Sheet1!$A$2:$F$627,6,0)</f>
        <v>659.00061599999992</v>
      </c>
      <c r="G102" s="3">
        <f>VLOOKUP(A102,[2]Sheet1!$A$2:$G$627,7,0)</f>
        <v>659.00061599999992</v>
      </c>
      <c r="H102" s="4">
        <f t="shared" si="6"/>
        <v>0</v>
      </c>
      <c r="I102" s="11">
        <f t="shared" si="7"/>
        <v>1.384710153846142E-2</v>
      </c>
      <c r="J102" s="11">
        <f t="shared" si="8"/>
        <v>1.384710153846142E-2</v>
      </c>
      <c r="K102" s="11">
        <f t="shared" si="9"/>
        <v>0</v>
      </c>
      <c r="L102" s="11">
        <f>IF(S102="",((BG102-E102)/E102),((U102-E102)/E102))</f>
        <v>1.384710153846142E-2</v>
      </c>
      <c r="M102" s="3" t="str">
        <f>IF(S102="Churn","Churn",VLOOKUP(A102,'[1]Revenue_Engine_2025 Dec.25'!$C$14:$E$3993,3,0))</f>
        <v>Churn</v>
      </c>
      <c r="N102" s="3" t="str">
        <f>IF(S102="",VLOOKUP(A102,[3]Export!$B$2:$F$417,5,0),"CHURN")</f>
        <v>CHURN</v>
      </c>
      <c r="O102" s="3" t="e">
        <f>(1-N102)*H102</f>
        <v>#VALUE!</v>
      </c>
      <c r="P102" s="3" t="e">
        <f t="shared" si="11"/>
        <v>#VALUE!</v>
      </c>
      <c r="Q102" s="3" t="e">
        <f t="shared" si="10"/>
        <v>#VALUE!</v>
      </c>
      <c r="R102" s="3" t="str">
        <f>IF(S102&lt;&gt;"Churn",VLOOKUP(A102,[3]Export!$B$2:$O$417,8,0),"CHURN")</f>
        <v>CHURN</v>
      </c>
      <c r="S102" s="3" t="s">
        <v>372</v>
      </c>
      <c r="T102" s="3" t="s">
        <v>554</v>
      </c>
      <c r="U102" s="3">
        <v>659.00061599999992</v>
      </c>
      <c r="V102" s="4" t="str" cm="1">
        <f t="array" ref="V102">IFERROR(
    IF(
        MATCH(2,1/((Y102:BH102&lt;&gt;0)*(Y102:BH102&lt;&gt;"")))-MATCH(1,INDEX((Y102:BH102&lt;&gt;0)*(Y102:BH102&lt;&gt;""),0),0)+1 &lt;= 12,
        "No",
        "Yes"
    ),
    "No"
)</f>
        <v>Yes</v>
      </c>
      <c r="W102" s="4" t="str" cm="1">
        <f t="array" ref="W102">IFERROR(
    IF(
        MATCH(2,1/((Y102:BH102&lt;&gt;0)*(Y102:BH102&lt;&gt;"")))-MATCH(1,INDEX((Y102:BH102&lt;&gt;0)*(Y102:BH102&lt;&gt;""),0),0)+1 &lt;= 24,
        "No",
        "Yes"
    ),
    "No"
)</f>
        <v>Yes</v>
      </c>
      <c r="X102" s="3"/>
      <c r="Y102" s="4">
        <v>650</v>
      </c>
      <c r="Z102" s="4">
        <v>650</v>
      </c>
      <c r="AA102" s="4">
        <v>650</v>
      </c>
      <c r="AB102" s="4">
        <v>659</v>
      </c>
      <c r="AC102" s="4">
        <v>659.00061599999992</v>
      </c>
      <c r="AD102" s="4">
        <v>659.00061599999992</v>
      </c>
      <c r="AE102" s="4">
        <v>659.00061599999992</v>
      </c>
      <c r="AF102" s="4">
        <v>659.00061599999992</v>
      </c>
      <c r="AG102" s="4">
        <v>659.00061599999992</v>
      </c>
      <c r="AH102" s="4">
        <v>659.00061599999992</v>
      </c>
      <c r="AI102" s="4">
        <v>659.00061599999992</v>
      </c>
      <c r="AJ102" s="4">
        <v>659.00061599999992</v>
      </c>
      <c r="AK102" s="4">
        <v>659.00061599999992</v>
      </c>
      <c r="AL102" s="4">
        <v>659.00061599999992</v>
      </c>
      <c r="AM102" s="4">
        <v>659.00061599999992</v>
      </c>
      <c r="AN102" s="4">
        <v>659.00061599999992</v>
      </c>
      <c r="AO102" s="4">
        <v>659.00061599999992</v>
      </c>
      <c r="AP102" s="4">
        <v>659.00061599999992</v>
      </c>
      <c r="AQ102" s="4">
        <v>659.00061599999992</v>
      </c>
      <c r="AR102" s="4">
        <v>659.00061599999992</v>
      </c>
      <c r="AS102" s="4">
        <v>659.00061599999992</v>
      </c>
      <c r="AT102" s="4">
        <v>659.00061599999992</v>
      </c>
      <c r="AU102" s="4">
        <v>659.00061599999992</v>
      </c>
      <c r="AV102" s="4">
        <v>659.00061599999992</v>
      </c>
      <c r="AW102" s="4">
        <v>659.00061599999992</v>
      </c>
      <c r="AX102" s="4">
        <v>659.00061599999992</v>
      </c>
      <c r="AY102" s="4">
        <v>659.00061599999992</v>
      </c>
      <c r="AZ102" s="4">
        <v>0</v>
      </c>
      <c r="BA102" s="4">
        <v>0</v>
      </c>
      <c r="BB102" s="4">
        <v>0</v>
      </c>
      <c r="BC102" s="4">
        <v>0</v>
      </c>
      <c r="BD102" s="4">
        <v>0</v>
      </c>
      <c r="BE102" s="4">
        <v>0</v>
      </c>
      <c r="BF102" s="4">
        <v>0</v>
      </c>
      <c r="BG102" s="4">
        <v>0</v>
      </c>
      <c r="BH102" s="4">
        <v>0</v>
      </c>
      <c r="BJ102" s="9"/>
    </row>
    <row r="103" spans="1:62" x14ac:dyDescent="0.25">
      <c r="A103" s="6" t="s">
        <v>98</v>
      </c>
      <c r="B103" s="6"/>
      <c r="C103" s="7" t="s">
        <v>526</v>
      </c>
      <c r="D103" s="3"/>
      <c r="E103" s="3">
        <f>VLOOKUP(A103,[2]Sheet1!$A$2:$E$627,5,0)</f>
        <v>1123.9071723505124</v>
      </c>
      <c r="F103" s="3">
        <f>VLOOKUP(A103,[2]Sheet1!$A$2:$F$627,6,0)</f>
        <v>1462.8439838417653</v>
      </c>
      <c r="G103" s="3">
        <f>VLOOKUP(A103,[2]Sheet1!$A$2:$G$627,7,0)</f>
        <v>2333.5484682017855</v>
      </c>
      <c r="H103" s="4">
        <f t="shared" si="6"/>
        <v>2860.7280501599894</v>
      </c>
      <c r="I103" s="11">
        <f t="shared" si="7"/>
        <v>0.30157011168672287</v>
      </c>
      <c r="J103" s="11">
        <f t="shared" si="8"/>
        <v>1.0762822104973833</v>
      </c>
      <c r="K103" s="11">
        <f t="shared" si="9"/>
        <v>0.59521349780128263</v>
      </c>
      <c r="L103" s="11">
        <f>IF(S103="",((BG103-E103)/E103),((U103-E103)/E103))</f>
        <v>1.2045236282617802</v>
      </c>
      <c r="M103" s="3" t="str">
        <f>IF(S103="Churn","Churn",VLOOKUP(A103,'[1]Revenue_Engine_2025 Dec.25'!$C$14:$E$3993,3,0))</f>
        <v>Lojistik</v>
      </c>
      <c r="N103" s="3">
        <f>IF(S103="",VLOOKUP(A103,[3]Export!$B$2:$F$417,5,0),"CHURN")</f>
        <v>0.53705943366037423</v>
      </c>
      <c r="O103" s="3">
        <f>(1-N103)*H103</f>
        <v>1324.3470636847189</v>
      </c>
      <c r="P103" s="3">
        <f t="shared" si="11"/>
        <v>677.20982234622124</v>
      </c>
      <c r="Q103" s="3">
        <f t="shared" si="10"/>
        <v>1080.2942494503009</v>
      </c>
      <c r="R103" s="3" t="str">
        <f>IF(S103&lt;&gt;"Churn",VLOOKUP(A103,[3]Export!$B$2:$O$417,8,0),"CHURN")</f>
        <v>NO RISK</v>
      </c>
      <c r="S103" s="3"/>
      <c r="T103" s="3"/>
      <c r="U103" s="3" t="s">
        <v>551</v>
      </c>
      <c r="V103" s="4" t="str" cm="1">
        <f t="array" ref="V103">IFERROR(
    IF(
        MATCH(2,1/((Y103:BH103&lt;&gt;0)*(Y103:BH103&lt;&gt;"")))-MATCH(1,INDEX((Y103:BH103&lt;&gt;0)*(Y103:BH103&lt;&gt;""),0),0)+1 &lt;= 12,
        "No",
        "Yes"
    ),
    "No"
)</f>
        <v>Yes</v>
      </c>
      <c r="W103" s="4" t="str" cm="1">
        <f t="array" ref="W103">IFERROR(
    IF(
        MATCH(2,1/((Y103:BH103&lt;&gt;0)*(Y103:BH103&lt;&gt;"")))-MATCH(1,INDEX((Y103:BH103&lt;&gt;0)*(Y103:BH103&lt;&gt;""),0),0)+1 &lt;= 24,
        "No",
        "Yes"
    ),
    "No"
)</f>
        <v>Yes</v>
      </c>
      <c r="X103" s="3"/>
      <c r="Y103" s="4">
        <v>1040.9152241940901</v>
      </c>
      <c r="Z103" s="4">
        <v>1089.4649803173659</v>
      </c>
      <c r="AA103" s="4">
        <v>1123.9071723505124</v>
      </c>
      <c r="AB103" s="4">
        <v>1141.5712961188433</v>
      </c>
      <c r="AC103" s="4">
        <v>1179.8819870726452</v>
      </c>
      <c r="AD103" s="4">
        <v>1190.1039109774024</v>
      </c>
      <c r="AE103" s="4">
        <v>1275.165601910237</v>
      </c>
      <c r="AF103" s="4">
        <v>1298.1068125494626</v>
      </c>
      <c r="AG103" s="4">
        <v>1404.2290124465001</v>
      </c>
      <c r="AH103" s="4">
        <v>1391.6927996552026</v>
      </c>
      <c r="AI103" s="4">
        <v>1434.8409095997956</v>
      </c>
      <c r="AJ103" s="4">
        <v>1451.8680618075239</v>
      </c>
      <c r="AK103" s="4">
        <v>1462.8439838417653</v>
      </c>
      <c r="AL103" s="4">
        <v>1500.4495535277981</v>
      </c>
      <c r="AM103" s="4">
        <v>1682.3087819175269</v>
      </c>
      <c r="AN103" s="4">
        <v>1677.2274720966855</v>
      </c>
      <c r="AO103" s="4">
        <v>1686.4617575263392</v>
      </c>
      <c r="AP103" s="4">
        <v>1682.1789171394489</v>
      </c>
      <c r="AQ103" s="4">
        <v>1956.9371494524764</v>
      </c>
      <c r="AR103" s="4">
        <v>1940.2250271666283</v>
      </c>
      <c r="AS103" s="4">
        <v>1967.0284689658829</v>
      </c>
      <c r="AT103" s="4">
        <v>2060.3851782423735</v>
      </c>
      <c r="AU103" s="4">
        <v>2097.7716740589622</v>
      </c>
      <c r="AV103" s="4">
        <v>2138.2322164219877</v>
      </c>
      <c r="AW103" s="4">
        <v>2333.5484682017855</v>
      </c>
      <c r="AX103" s="4">
        <v>2372.7069973442667</v>
      </c>
      <c r="AY103" s="4">
        <v>2519.409962261584</v>
      </c>
      <c r="AZ103" s="4">
        <v>2497.9312303753532</v>
      </c>
      <c r="BA103" s="4">
        <v>2482.2465048690187</v>
      </c>
      <c r="BB103" s="4">
        <v>2466.6280855737309</v>
      </c>
      <c r="BC103" s="4">
        <v>2697.5229884151654</v>
      </c>
      <c r="BD103" s="4">
        <v>2695.8011719900992</v>
      </c>
      <c r="BE103" s="4">
        <v>2679.0811775412417</v>
      </c>
      <c r="BF103" s="4">
        <v>2665.6177664646361</v>
      </c>
      <c r="BG103" s="4">
        <v>2477.6799174195894</v>
      </c>
      <c r="BH103" s="4">
        <v>2860.7280501599894</v>
      </c>
      <c r="BJ103" s="9"/>
    </row>
    <row r="104" spans="1:62" x14ac:dyDescent="0.25">
      <c r="A104" s="6" t="s">
        <v>99</v>
      </c>
      <c r="B104" s="6"/>
      <c r="C104" s="7" t="s">
        <v>525</v>
      </c>
      <c r="D104" s="3"/>
      <c r="E104" s="3">
        <f>VLOOKUP(A104,[2]Sheet1!$A$2:$E$627,5,0)</f>
        <v>9950</v>
      </c>
      <c r="F104" s="3">
        <f>VLOOKUP(A104,[2]Sheet1!$A$2:$F$627,6,0)</f>
        <v>9949.9858319999985</v>
      </c>
      <c r="G104" s="3">
        <f>VLOOKUP(A104,[2]Sheet1!$A$2:$G$627,7,0)</f>
        <v>9949.9858319999985</v>
      </c>
      <c r="H104" s="4">
        <f t="shared" si="6"/>
        <v>9949.9858319999985</v>
      </c>
      <c r="I104" s="11">
        <f t="shared" si="7"/>
        <v>-1.4239195981425649E-6</v>
      </c>
      <c r="J104" s="11">
        <f t="shared" si="8"/>
        <v>-1.4239195981425649E-6</v>
      </c>
      <c r="K104" s="11">
        <f t="shared" si="9"/>
        <v>0</v>
      </c>
      <c r="L104" s="11">
        <f>IF(S104="",((BG104-E104)/E104),((U104-E104)/E104))</f>
        <v>-1.4239195981425649E-6</v>
      </c>
      <c r="M104" s="3" t="str">
        <f>IF(S104="Churn","Churn",VLOOKUP(A104,'[1]Revenue_Engine_2025 Dec.25'!$C$14:$E$3993,3,0))</f>
        <v>Lojistik</v>
      </c>
      <c r="N104" s="3">
        <f>IF(S104="",VLOOKUP(A104,[3]Export!$B$2:$F$417,5,0),"CHURN")</f>
        <v>0.16775959887618061</v>
      </c>
      <c r="O104" s="3">
        <f>(1-N104)*H104</f>
        <v>8280.7801999999974</v>
      </c>
      <c r="P104" s="3">
        <f t="shared" si="11"/>
        <v>8280.7801999999974</v>
      </c>
      <c r="Q104" s="3">
        <f t="shared" si="10"/>
        <v>8280.7801999999974</v>
      </c>
      <c r="R104" s="3" t="str">
        <f>IF(S104&lt;&gt;"Churn",VLOOKUP(A104,[3]Export!$B$2:$O$417,8,0),"CHURN")</f>
        <v>NO RISK</v>
      </c>
      <c r="S104" s="3"/>
      <c r="T104" s="3"/>
      <c r="U104" s="3" t="s">
        <v>551</v>
      </c>
      <c r="V104" s="4" t="str" cm="1">
        <f t="array" ref="V104">IFERROR(
    IF(
        MATCH(2,1/((Y104:BH104&lt;&gt;0)*(Y104:BH104&lt;&gt;"")))-MATCH(1,INDEX((Y104:BH104&lt;&gt;0)*(Y104:BH104&lt;&gt;""),0),0)+1 &lt;= 12,
        "No",
        "Yes"
    ),
    "No"
)</f>
        <v>Yes</v>
      </c>
      <c r="W104" s="4" t="str" cm="1">
        <f t="array" ref="W104">IFERROR(
    IF(
        MATCH(2,1/((Y104:BH104&lt;&gt;0)*(Y104:BH104&lt;&gt;"")))-MATCH(1,INDEX((Y104:BH104&lt;&gt;0)*(Y104:BH104&lt;&gt;""),0),0)+1 &lt;= 24,
        "No",
        "Yes"
    ),
    "No"
)</f>
        <v>Yes</v>
      </c>
      <c r="X104" s="3"/>
      <c r="Y104" s="4">
        <v>9950</v>
      </c>
      <c r="Z104" s="4">
        <v>9950</v>
      </c>
      <c r="AA104" s="4">
        <v>9950</v>
      </c>
      <c r="AB104" s="4">
        <v>9950</v>
      </c>
      <c r="AC104" s="4">
        <v>9949.9858319999985</v>
      </c>
      <c r="AD104" s="4">
        <v>9949.9858319999985</v>
      </c>
      <c r="AE104" s="4">
        <v>9949.9858319999985</v>
      </c>
      <c r="AF104" s="4">
        <v>9949.9858319999985</v>
      </c>
      <c r="AG104" s="4">
        <v>9949.9858319999985</v>
      </c>
      <c r="AH104" s="4">
        <v>9949.9858319999985</v>
      </c>
      <c r="AI104" s="4">
        <v>9949.9858319999985</v>
      </c>
      <c r="AJ104" s="4">
        <v>9949.9858319999985</v>
      </c>
      <c r="AK104" s="4">
        <v>9949.9858319999985</v>
      </c>
      <c r="AL104" s="4">
        <v>9949.9858319999985</v>
      </c>
      <c r="AM104" s="4">
        <v>9949.9858319999985</v>
      </c>
      <c r="AN104" s="4">
        <v>9949.9858319999985</v>
      </c>
      <c r="AO104" s="4">
        <v>9949.9858319999985</v>
      </c>
      <c r="AP104" s="4">
        <v>9949.9858319999985</v>
      </c>
      <c r="AQ104" s="4">
        <v>9949.9858319999985</v>
      </c>
      <c r="AR104" s="4">
        <v>9949.9858319999985</v>
      </c>
      <c r="AS104" s="4">
        <v>9949.9858319999985</v>
      </c>
      <c r="AT104" s="4">
        <v>9949.9858319999985</v>
      </c>
      <c r="AU104" s="4">
        <v>9949.9858319999985</v>
      </c>
      <c r="AV104" s="4">
        <v>9949.9858319999985</v>
      </c>
      <c r="AW104" s="4">
        <v>9949.9858319999985</v>
      </c>
      <c r="AX104" s="4">
        <v>9949.9858320000003</v>
      </c>
      <c r="AY104" s="4">
        <v>9949.9858319999985</v>
      </c>
      <c r="AZ104" s="4">
        <v>9949.9858319999985</v>
      </c>
      <c r="BA104" s="4">
        <v>9949.9858319999985</v>
      </c>
      <c r="BB104" s="4">
        <v>9949.9858319999985</v>
      </c>
      <c r="BC104" s="4">
        <v>9949.9858319999985</v>
      </c>
      <c r="BD104" s="4">
        <v>9949.9858319999985</v>
      </c>
      <c r="BE104" s="4">
        <v>9949.9858319999985</v>
      </c>
      <c r="BF104" s="4">
        <v>9949.9858319999985</v>
      </c>
      <c r="BG104" s="4">
        <v>9949.9858319999985</v>
      </c>
      <c r="BH104" s="4">
        <v>9949.9858319999985</v>
      </c>
      <c r="BJ104" s="9"/>
    </row>
    <row r="105" spans="1:62" x14ac:dyDescent="0.25">
      <c r="A105" s="6" t="s">
        <v>100</v>
      </c>
      <c r="B105" s="6"/>
      <c r="C105" s="7" t="s">
        <v>525</v>
      </c>
      <c r="D105" s="3"/>
      <c r="E105" s="3">
        <f>VLOOKUP(A105,[2]Sheet1!$A$2:$E$627,5,0)</f>
        <v>4562.6263699485226</v>
      </c>
      <c r="F105" s="3">
        <f>VLOOKUP(A105,[2]Sheet1!$A$2:$F$627,6,0)</f>
        <v>3715.4460186256501</v>
      </c>
      <c r="G105" s="3">
        <f>VLOOKUP(A105,[2]Sheet1!$A$2:$G$627,7,0)</f>
        <v>7485.3921280911682</v>
      </c>
      <c r="H105" s="4">
        <f t="shared" si="6"/>
        <v>7236.1204237602769</v>
      </c>
      <c r="I105" s="11">
        <f t="shared" si="7"/>
        <v>-0.1856782218466928</v>
      </c>
      <c r="J105" s="11">
        <f t="shared" si="8"/>
        <v>0.64058845085218352</v>
      </c>
      <c r="K105" s="11">
        <f t="shared" si="9"/>
        <v>1.0146685190867146</v>
      </c>
      <c r="L105" s="11">
        <f>IF(S105="",((BG105-E105)/E105),((U105-E105)/E105))</f>
        <v>0.54712682847171401</v>
      </c>
      <c r="M105" s="3" t="str">
        <f>IF(S105="Churn","Churn",VLOOKUP(A105,'[1]Revenue_Engine_2025 Dec.25'!$C$14:$E$3993,3,0))</f>
        <v>Lojistik</v>
      </c>
      <c r="N105" s="3">
        <f>IF(S105="",VLOOKUP(A105,[3]Export!$B$2:$F$417,5,0),"CHURN")</f>
        <v>0.15308149135871177</v>
      </c>
      <c r="O105" s="3">
        <f>(1-N105)*H105</f>
        <v>6128.4043176398209</v>
      </c>
      <c r="P105" s="3">
        <f t="shared" si="11"/>
        <v>3146.6800010316479</v>
      </c>
      <c r="Q105" s="3">
        <f t="shared" si="10"/>
        <v>6339.5171377182114</v>
      </c>
      <c r="R105" s="3" t="str">
        <f>IF(S105&lt;&gt;"Churn",VLOOKUP(A105,[3]Export!$B$2:$O$417,8,0),"CHURN")</f>
        <v>NO RISK</v>
      </c>
      <c r="S105" s="3"/>
      <c r="T105" s="3"/>
      <c r="U105" s="3" t="s">
        <v>551</v>
      </c>
      <c r="V105" s="4" t="str" cm="1">
        <f t="array" ref="V105">IFERROR(
    IF(
        MATCH(2,1/((Y105:BH105&lt;&gt;0)*(Y105:BH105&lt;&gt;"")))-MATCH(1,INDEX((Y105:BH105&lt;&gt;0)*(Y105:BH105&lt;&gt;""),0),0)+1 &lt;= 12,
        "No",
        "Yes"
    ),
    "No"
)</f>
        <v>Yes</v>
      </c>
      <c r="W105" s="4" t="str" cm="1">
        <f t="array" ref="W105">IFERROR(
    IF(
        MATCH(2,1/((Y105:BH105&lt;&gt;0)*(Y105:BH105&lt;&gt;"")))-MATCH(1,INDEX((Y105:BH105&lt;&gt;0)*(Y105:BH105&lt;&gt;""),0),0)+1 &lt;= 24,
        "No",
        "Yes"
    ),
    "No"
)</f>
        <v>Yes</v>
      </c>
      <c r="X105" s="3"/>
      <c r="Y105" s="4">
        <v>4351.4406955854211</v>
      </c>
      <c r="Z105" s="4">
        <v>4562.6263699485226</v>
      </c>
      <c r="AA105" s="4">
        <v>4330.5820250908337</v>
      </c>
      <c r="AB105" s="4">
        <v>5353.165584970553</v>
      </c>
      <c r="AC105" s="4">
        <v>5152.1567684153824</v>
      </c>
      <c r="AD105" s="4">
        <v>4332.7716777631531</v>
      </c>
      <c r="AE105" s="4">
        <v>4121.0080628363457</v>
      </c>
      <c r="AF105" s="4">
        <v>4258.1192897456003</v>
      </c>
      <c r="AG105" s="4">
        <v>4199.262044670797</v>
      </c>
      <c r="AH105" s="4">
        <v>4624.7813086976812</v>
      </c>
      <c r="AI105" s="4">
        <v>3747.0676523375864</v>
      </c>
      <c r="AJ105" s="4">
        <v>3729.6136082630451</v>
      </c>
      <c r="AK105" s="4">
        <v>3715.4460186256501</v>
      </c>
      <c r="AL105" s="4">
        <v>3544.8149933868035</v>
      </c>
      <c r="AM105" s="4">
        <v>3712.3631658426852</v>
      </c>
      <c r="AN105" s="4">
        <v>5300.1212805488958</v>
      </c>
      <c r="AO105" s="4">
        <v>5523.6768286997485</v>
      </c>
      <c r="AP105" s="4">
        <v>5007.9841442072156</v>
      </c>
      <c r="AQ105" s="4">
        <v>5330.375284159717</v>
      </c>
      <c r="AR105" s="4">
        <v>5639.9690525847018</v>
      </c>
      <c r="AS105" s="4">
        <v>4518.3113962054695</v>
      </c>
      <c r="AT105" s="4">
        <v>4494.1358188394343</v>
      </c>
      <c r="AU105" s="4">
        <v>4244.1256409842617</v>
      </c>
      <c r="AV105" s="4">
        <v>4349.2911319416589</v>
      </c>
      <c r="AW105" s="4">
        <v>7485.3921280911682</v>
      </c>
      <c r="AX105" s="4">
        <v>6855.1387949139107</v>
      </c>
      <c r="AY105" s="4">
        <v>7252.0457080888236</v>
      </c>
      <c r="AZ105" s="4">
        <v>7067.0381411979242</v>
      </c>
      <c r="BA105" s="4">
        <v>6973.8820131792027</v>
      </c>
      <c r="BB105" s="4">
        <v>7238.6832550569452</v>
      </c>
      <c r="BC105" s="4">
        <v>6988.662450267343</v>
      </c>
      <c r="BD105" s="4">
        <v>6868.9346974188229</v>
      </c>
      <c r="BE105" s="4">
        <v>6785.8032888057132</v>
      </c>
      <c r="BF105" s="4">
        <v>7073.1058625698897</v>
      </c>
      <c r="BG105" s="4">
        <v>7058.9616652398672</v>
      </c>
      <c r="BH105" s="4">
        <v>7236.1204237602769</v>
      </c>
      <c r="BJ105" s="9"/>
    </row>
    <row r="106" spans="1:62" x14ac:dyDescent="0.25">
      <c r="A106" s="6" t="s">
        <v>101</v>
      </c>
      <c r="B106" s="6"/>
      <c r="C106" s="7" t="s">
        <v>526</v>
      </c>
      <c r="D106" s="3"/>
      <c r="E106" s="3">
        <f>VLOOKUP(A106,[2]Sheet1!$A$2:$E$627,5,0)</f>
        <v>2224.04</v>
      </c>
      <c r="F106" s="3">
        <f>VLOOKUP(A106,[2]Sheet1!$A$2:$F$627,6,0)</f>
        <v>2217.04</v>
      </c>
      <c r="G106" s="3">
        <f>VLOOKUP(A106,[2]Sheet1!$A$2:$G$627,7,0)</f>
        <v>290</v>
      </c>
      <c r="H106" s="4">
        <f t="shared" si="6"/>
        <v>290</v>
      </c>
      <c r="I106" s="11">
        <f t="shared" si="7"/>
        <v>-3.1474254060178774E-3</v>
      </c>
      <c r="J106" s="11">
        <f t="shared" si="8"/>
        <v>-0.8696066617506879</v>
      </c>
      <c r="K106" s="11">
        <f t="shared" si="9"/>
        <v>-0.86919496265290652</v>
      </c>
      <c r="L106" s="11">
        <f>IF(S106="",((BG106-E106)/E106),((U106-E106)/E106))</f>
        <v>-0.8696066617506879</v>
      </c>
      <c r="M106" s="3" t="str">
        <f>IF(S106="Churn","Churn",VLOOKUP(A106,'[1]Revenue_Engine_2025 Dec.25'!$C$14:$E$3993,3,0))</f>
        <v>Genel</v>
      </c>
      <c r="N106" s="3">
        <f>IF(S106="",VLOOKUP(A106,[3]Export!$B$2:$F$417,5,0),"CHURN")</f>
        <v>9.7151122900007866E-2</v>
      </c>
      <c r="O106" s="3">
        <f>(1-N106)*H106</f>
        <v>261.82617435899772</v>
      </c>
      <c r="P106" s="3">
        <f t="shared" si="11"/>
        <v>2001.6520744857667</v>
      </c>
      <c r="Q106" s="3">
        <f t="shared" si="10"/>
        <v>261.82617435899772</v>
      </c>
      <c r="R106" s="3" t="str">
        <f>IF(S106&lt;&gt;"Churn",VLOOKUP(A106,[3]Export!$B$2:$O$417,8,0),"CHURN")</f>
        <v>NO RISK</v>
      </c>
      <c r="S106" s="3"/>
      <c r="T106" s="3"/>
      <c r="U106" s="3" t="s">
        <v>551</v>
      </c>
      <c r="V106" s="4" t="str" cm="1">
        <f t="array" ref="V106">IFERROR(
    IF(
        MATCH(2,1/((Y106:BH106&lt;&gt;0)*(Y106:BH106&lt;&gt;"")))-MATCH(1,INDEX((Y106:BH106&lt;&gt;0)*(Y106:BH106&lt;&gt;""),0),0)+1 &lt;= 12,
        "No",
        "Yes"
    ),
    "No"
)</f>
        <v>Yes</v>
      </c>
      <c r="W106" s="4" t="str" cm="1">
        <f t="array" ref="W106">IFERROR(
    IF(
        MATCH(2,1/((Y106:BH106&lt;&gt;0)*(Y106:BH106&lt;&gt;"")))-MATCH(1,INDEX((Y106:BH106&lt;&gt;0)*(Y106:BH106&lt;&gt;""),0),0)+1 &lt;= 24,
        "No",
        "Yes"
    ),
    "No"
)</f>
        <v>Yes</v>
      </c>
      <c r="X106" s="3"/>
      <c r="Y106" s="4">
        <v>2224.04</v>
      </c>
      <c r="Z106" s="4">
        <v>2224.04</v>
      </c>
      <c r="AA106" s="4">
        <v>2224.04</v>
      </c>
      <c r="AB106" s="4">
        <v>2224.04</v>
      </c>
      <c r="AC106" s="4">
        <v>2224.04</v>
      </c>
      <c r="AD106" s="4">
        <v>2224.04</v>
      </c>
      <c r="AE106" s="4">
        <v>2224.04</v>
      </c>
      <c r="AF106" s="4">
        <v>2224.04</v>
      </c>
      <c r="AG106" s="4">
        <v>2224.04</v>
      </c>
      <c r="AH106" s="4">
        <v>2224.04</v>
      </c>
      <c r="AI106" s="4">
        <v>2224.04</v>
      </c>
      <c r="AJ106" s="4">
        <v>2217.04</v>
      </c>
      <c r="AK106" s="4">
        <v>2217.04</v>
      </c>
      <c r="AL106" s="4">
        <v>2217.04</v>
      </c>
      <c r="AM106" s="4">
        <v>2217.04</v>
      </c>
      <c r="AN106" s="4">
        <v>290</v>
      </c>
      <c r="AO106" s="4">
        <v>290</v>
      </c>
      <c r="AP106" s="4">
        <v>290</v>
      </c>
      <c r="AQ106" s="4">
        <v>290</v>
      </c>
      <c r="AR106" s="4">
        <v>290</v>
      </c>
      <c r="AS106" s="4">
        <v>290</v>
      </c>
      <c r="AT106" s="4">
        <v>290</v>
      </c>
      <c r="AU106" s="4">
        <v>290</v>
      </c>
      <c r="AV106" s="4">
        <v>290</v>
      </c>
      <c r="AW106" s="4">
        <v>290</v>
      </c>
      <c r="AX106" s="4">
        <v>290</v>
      </c>
      <c r="AY106" s="4">
        <v>290</v>
      </c>
      <c r="AZ106" s="4">
        <v>290</v>
      </c>
      <c r="BA106" s="4">
        <v>290</v>
      </c>
      <c r="BB106" s="4">
        <v>290</v>
      </c>
      <c r="BC106" s="4">
        <v>290</v>
      </c>
      <c r="BD106" s="4">
        <v>290</v>
      </c>
      <c r="BE106" s="4">
        <v>290</v>
      </c>
      <c r="BF106" s="4">
        <v>290</v>
      </c>
      <c r="BG106" s="4">
        <v>290</v>
      </c>
      <c r="BH106" s="4">
        <v>290</v>
      </c>
      <c r="BJ106" s="9"/>
    </row>
    <row r="107" spans="1:62" x14ac:dyDescent="0.25">
      <c r="A107" s="6" t="s">
        <v>102</v>
      </c>
      <c r="B107" s="6"/>
      <c r="C107" s="7" t="s">
        <v>526</v>
      </c>
      <c r="D107" s="3"/>
      <c r="E107" s="3">
        <f>VLOOKUP(A107,[2]Sheet1!$A$2:$E$627,5,0)</f>
        <v>977.47535476794394</v>
      </c>
      <c r="F107" s="3">
        <f>VLOOKUP(A107,[2]Sheet1!$A$2:$F$627,6,0)</f>
        <v>1218.2426857813539</v>
      </c>
      <c r="G107" s="3">
        <f>VLOOKUP(A107,[2]Sheet1!$A$2:$G$627,7,0)</f>
        <v>1350.2300702655416</v>
      </c>
      <c r="H107" s="4">
        <f t="shared" si="6"/>
        <v>0</v>
      </c>
      <c r="I107" s="11">
        <f t="shared" si="7"/>
        <v>0.24631550027219759</v>
      </c>
      <c r="J107" s="11">
        <f t="shared" si="8"/>
        <v>0.3813443619620373</v>
      </c>
      <c r="K107" s="11">
        <f t="shared" si="9"/>
        <v>0.10834243950295826</v>
      </c>
      <c r="L107" s="11">
        <f>IF(S107="",((BG107-E107)/E107),((U107-E107)/E107))</f>
        <v>0.3168238791143892</v>
      </c>
      <c r="M107" s="3" t="str">
        <f>IF(S107="Churn","Churn",VLOOKUP(A107,'[1]Revenue_Engine_2025 Dec.25'!$C$14:$E$3993,3,0))</f>
        <v>Churn</v>
      </c>
      <c r="N107" s="3" t="str">
        <f>IF(S107="",VLOOKUP(A107,[3]Export!$B$2:$F$417,5,0),"CHURN")</f>
        <v>CHURN</v>
      </c>
      <c r="O107" s="3" t="e">
        <f>(1-N107)*H107</f>
        <v>#VALUE!</v>
      </c>
      <c r="P107" s="3" t="e">
        <f t="shared" si="11"/>
        <v>#VALUE!</v>
      </c>
      <c r="Q107" s="3" t="e">
        <f t="shared" si="10"/>
        <v>#VALUE!</v>
      </c>
      <c r="R107" s="3" t="str">
        <f>IF(S107&lt;&gt;"Churn",VLOOKUP(A107,[3]Export!$B$2:$O$417,8,0),"CHURN")</f>
        <v>CHURN</v>
      </c>
      <c r="S107" s="3" t="s">
        <v>372</v>
      </c>
      <c r="T107" s="3" t="s">
        <v>550</v>
      </c>
      <c r="U107" s="3">
        <v>1287.1628884042377</v>
      </c>
      <c r="V107" s="4" t="str" cm="1">
        <f t="array" ref="V107">IFERROR(
    IF(
        MATCH(2,1/((Y107:BH107&lt;&gt;0)*(Y107:BH107&lt;&gt;"")))-MATCH(1,INDEX((Y107:BH107&lt;&gt;0)*(Y107:BH107&lt;&gt;""),0),0)+1 &lt;= 12,
        "No",
        "Yes"
    ),
    "No"
)</f>
        <v>Yes</v>
      </c>
      <c r="W107" s="4" t="str" cm="1">
        <f t="array" ref="W107">IFERROR(
    IF(
        MATCH(2,1/((Y107:BH107&lt;&gt;0)*(Y107:BH107&lt;&gt;"")))-MATCH(1,INDEX((Y107:BH107&lt;&gt;0)*(Y107:BH107&lt;&gt;""),0),0)+1 &lt;= 24,
        "No",
        "Yes"
    ),
    "No"
)</f>
        <v>Yes</v>
      </c>
      <c r="X107" s="3"/>
      <c r="Y107" s="4">
        <v>926.86384160611578</v>
      </c>
      <c r="Z107" s="4">
        <v>923.64359822989104</v>
      </c>
      <c r="AA107" s="4">
        <v>977.47535476794394</v>
      </c>
      <c r="AB107" s="4">
        <v>971.75011006883824</v>
      </c>
      <c r="AC107" s="4">
        <v>954.61601589495478</v>
      </c>
      <c r="AD107" s="4">
        <v>813.61100047861589</v>
      </c>
      <c r="AE107" s="4">
        <v>976.91547087494439</v>
      </c>
      <c r="AF107" s="4">
        <v>959.7192111628392</v>
      </c>
      <c r="AG107" s="4">
        <v>958.89168482477282</v>
      </c>
      <c r="AH107" s="4">
        <v>1281.4325968492626</v>
      </c>
      <c r="AI107" s="4">
        <v>1257.6628181535116</v>
      </c>
      <c r="AJ107" s="4">
        <v>1244.5800031341162</v>
      </c>
      <c r="AK107" s="4">
        <v>1218.2426857813539</v>
      </c>
      <c r="AL107" s="4">
        <v>1199.855681322118</v>
      </c>
      <c r="AM107" s="4">
        <v>1169.9220496456569</v>
      </c>
      <c r="AN107" s="4">
        <v>1162.4329859829463</v>
      </c>
      <c r="AO107" s="4">
        <v>1175.9318756439131</v>
      </c>
      <c r="AP107" s="4">
        <v>1169.6196322567664</v>
      </c>
      <c r="AQ107" s="4">
        <v>1435.0470996623833</v>
      </c>
      <c r="AR107" s="4">
        <v>1413.4196514211842</v>
      </c>
      <c r="AS107" s="4">
        <v>1402.1652841334064</v>
      </c>
      <c r="AT107" s="4">
        <v>1396.1563208148114</v>
      </c>
      <c r="AU107" s="4">
        <v>1390.8329634760473</v>
      </c>
      <c r="AV107" s="4">
        <v>1375.8995505613686</v>
      </c>
      <c r="AW107" s="4">
        <v>1350.2300702655416</v>
      </c>
      <c r="AX107" s="4">
        <v>1333.8141679765145</v>
      </c>
      <c r="AY107" s="4">
        <v>1310.9907341083742</v>
      </c>
      <c r="AZ107" s="4">
        <v>1287.1628884042377</v>
      </c>
      <c r="BA107" s="4">
        <v>1272.6086954272441</v>
      </c>
      <c r="BB107" s="4">
        <v>415.31971592108238</v>
      </c>
      <c r="BC107" s="4">
        <v>0</v>
      </c>
      <c r="BD107" s="4">
        <v>0</v>
      </c>
      <c r="BE107" s="4">
        <v>0</v>
      </c>
      <c r="BF107" s="4">
        <v>0</v>
      </c>
      <c r="BG107" s="4">
        <v>0</v>
      </c>
      <c r="BH107" s="4">
        <v>0</v>
      </c>
      <c r="BJ107" s="9"/>
    </row>
    <row r="108" spans="1:62" x14ac:dyDescent="0.25">
      <c r="A108" s="6" t="s">
        <v>103</v>
      </c>
      <c r="B108" s="6"/>
      <c r="C108" s="7" t="s">
        <v>525</v>
      </c>
      <c r="D108" s="3"/>
      <c r="E108" s="3">
        <f>VLOOKUP(A108,[2]Sheet1!$A$2:$E$627,5,0)</f>
        <v>64779.075606814818</v>
      </c>
      <c r="F108" s="3">
        <f>VLOOKUP(A108,[2]Sheet1!$A$2:$F$627,6,0)</f>
        <v>61839.225249512347</v>
      </c>
      <c r="G108" s="3">
        <f>VLOOKUP(A108,[2]Sheet1!$A$2:$G$627,7,0)</f>
        <v>81889.509394700464</v>
      </c>
      <c r="H108" s="4">
        <f t="shared" si="6"/>
        <v>88626.128299858407</v>
      </c>
      <c r="I108" s="11">
        <f t="shared" si="7"/>
        <v>-4.5382715479706487E-2</v>
      </c>
      <c r="J108" s="11">
        <f t="shared" si="8"/>
        <v>0.26413519531738444</v>
      </c>
      <c r="K108" s="11">
        <f t="shared" si="9"/>
        <v>0.32423246029179886</v>
      </c>
      <c r="L108" s="11">
        <f>IF(S108="",((BG108-E108)/E108),((U108-E108)/E108))</f>
        <v>0.36596815344412753</v>
      </c>
      <c r="M108" s="3" t="str">
        <f>IF(S108="Churn","Churn",VLOOKUP(A108,'[1]Revenue_Engine_2025 Dec.25'!$C$14:$E$3993,3,0))</f>
        <v>Sağlık</v>
      </c>
      <c r="N108" s="3">
        <v>0</v>
      </c>
      <c r="O108" s="3">
        <f>(1-N108)*H108</f>
        <v>88626.128299858407</v>
      </c>
      <c r="P108" s="3">
        <f t="shared" si="11"/>
        <v>61839.225249512347</v>
      </c>
      <c r="Q108" s="3">
        <f t="shared" si="10"/>
        <v>81889.509394700464</v>
      </c>
      <c r="R108" s="3" t="e">
        <f>IF(S108&lt;&gt;"Churn",VLOOKUP(A108,[3]Export!$B$2:$O$417,8,0),"CHURN")</f>
        <v>#N/A</v>
      </c>
      <c r="S108" s="3"/>
      <c r="T108" s="3"/>
      <c r="U108" s="3" t="s">
        <v>551</v>
      </c>
      <c r="V108" s="4" t="str" cm="1">
        <f t="array" ref="V108">IFERROR(
    IF(
        MATCH(2,1/((Y108:BH108&lt;&gt;0)*(Y108:BH108&lt;&gt;"")))-MATCH(1,INDEX((Y108:BH108&lt;&gt;0)*(Y108:BH108&lt;&gt;""),0),0)+1 &lt;= 12,
        "No",
        "Yes"
    ),
    "No"
)</f>
        <v>Yes</v>
      </c>
      <c r="W108" s="4" t="str" cm="1">
        <f t="array" ref="W108">IFERROR(
    IF(
        MATCH(2,1/((Y108:BH108&lt;&gt;0)*(Y108:BH108&lt;&gt;"")))-MATCH(1,INDEX((Y108:BH108&lt;&gt;0)*(Y108:BH108&lt;&gt;""),0),0)+1 &lt;= 24,
        "No",
        "Yes"
    ),
    "No"
)</f>
        <v>Yes</v>
      </c>
      <c r="X108" s="3"/>
      <c r="Y108" s="4">
        <v>60427.282029821465</v>
      </c>
      <c r="Z108" s="4">
        <v>64779.075606814818</v>
      </c>
      <c r="AA108" s="4">
        <v>64647.75466564011</v>
      </c>
      <c r="AB108" s="4">
        <v>64332.707356742168</v>
      </c>
      <c r="AC108" s="4">
        <v>64002.483231025646</v>
      </c>
      <c r="AD108" s="4">
        <v>62754.360070561692</v>
      </c>
      <c r="AE108" s="4">
        <v>61119.388078908996</v>
      </c>
      <c r="AF108" s="4">
        <v>63377.256761543118</v>
      </c>
      <c r="AG108" s="4">
        <v>63363.343229304395</v>
      </c>
      <c r="AH108" s="4">
        <v>62901.662569464774</v>
      </c>
      <c r="AI108" s="4">
        <v>62502.011746309858</v>
      </c>
      <c r="AJ108" s="4">
        <v>62282.045129934937</v>
      </c>
      <c r="AK108" s="4">
        <v>61839.225249512347</v>
      </c>
      <c r="AL108" s="4">
        <v>65276.469230158778</v>
      </c>
      <c r="AM108" s="4">
        <v>64664.630903898091</v>
      </c>
      <c r="AN108" s="4">
        <v>64502.481774207256</v>
      </c>
      <c r="AO108" s="4">
        <v>64560.497309000544</v>
      </c>
      <c r="AP108" s="4">
        <v>64389.2442196665</v>
      </c>
      <c r="AQ108" s="4">
        <v>64203.849290505634</v>
      </c>
      <c r="AR108" s="4">
        <v>63863.292414624702</v>
      </c>
      <c r="AS108" s="4">
        <v>63686.075383711141</v>
      </c>
      <c r="AT108" s="4">
        <v>63591.455169978959</v>
      </c>
      <c r="AU108" s="4">
        <v>63507.630859118566</v>
      </c>
      <c r="AV108" s="4">
        <v>63272.481691646513</v>
      </c>
      <c r="AW108" s="4">
        <v>81889.509394700464</v>
      </c>
      <c r="AX108" s="4">
        <v>81489.334467536581</v>
      </c>
      <c r="AY108" s="4">
        <v>80932.961395560051</v>
      </c>
      <c r="AZ108" s="4">
        <v>80352.103502326936</v>
      </c>
      <c r="BA108" s="4">
        <v>82989.411970801419</v>
      </c>
      <c r="BB108" s="4">
        <v>82636.120298623602</v>
      </c>
      <c r="BC108" s="4">
        <v>93911.372428625589</v>
      </c>
      <c r="BD108" s="4">
        <v>94350.490159703011</v>
      </c>
      <c r="BE108" s="4">
        <v>86096.912471922114</v>
      </c>
      <c r="BF108" s="4">
        <v>87273.781974941478</v>
      </c>
      <c r="BG108" s="4">
        <v>88486.154288458361</v>
      </c>
      <c r="BH108" s="4">
        <v>88626.128299858407</v>
      </c>
      <c r="BJ108" s="9"/>
    </row>
    <row r="109" spans="1:62" x14ac:dyDescent="0.25">
      <c r="A109" s="6" t="s">
        <v>104</v>
      </c>
      <c r="B109" s="6"/>
      <c r="C109" s="7" t="s">
        <v>526</v>
      </c>
      <c r="D109" s="3"/>
      <c r="E109" s="3">
        <f>VLOOKUP(A109,[2]Sheet1!$A$2:$E$627,5,0)</f>
        <v>282.75967536953345</v>
      </c>
      <c r="F109" s="3">
        <f>VLOOKUP(A109,[2]Sheet1!$A$2:$F$627,6,0)</f>
        <v>521.79309390515118</v>
      </c>
      <c r="G109" s="3">
        <f>VLOOKUP(A109,[2]Sheet1!$A$2:$G$627,7,0)</f>
        <v>887.37988330464395</v>
      </c>
      <c r="H109" s="4">
        <f t="shared" si="6"/>
        <v>769.76226823370394</v>
      </c>
      <c r="I109" s="11">
        <f t="shared" si="7"/>
        <v>0.84535893678343388</v>
      </c>
      <c r="J109" s="11">
        <f t="shared" si="8"/>
        <v>2.1382830035610398</v>
      </c>
      <c r="K109" s="11">
        <f t="shared" si="9"/>
        <v>0.70063554629173996</v>
      </c>
      <c r="L109" s="11">
        <f>IF(S109="",((BG109-E109)/E109),((U109-E109)/E109))</f>
        <v>1.6977129405842242</v>
      </c>
      <c r="M109" s="3" t="str">
        <f>IF(S109="Churn","Churn",VLOOKUP(A109,'[1]Revenue_Engine_2025 Dec.25'!$C$14:$E$3993,3,0))</f>
        <v>Sağlık</v>
      </c>
      <c r="N109" s="3">
        <f>IF(S109="",VLOOKUP(A109,[3]Export!$B$2:$F$417,5,0),"CHURN")</f>
        <v>0.13900395539719312</v>
      </c>
      <c r="O109" s="3">
        <f>(1-N109)*H109</f>
        <v>662.76226823370394</v>
      </c>
      <c r="P109" s="3">
        <f t="shared" si="11"/>
        <v>449.26178995339615</v>
      </c>
      <c r="Q109" s="3">
        <f t="shared" si="10"/>
        <v>764.03056958539878</v>
      </c>
      <c r="R109" s="3" t="str">
        <f>IF(S109&lt;&gt;"Churn",VLOOKUP(A109,[3]Export!$B$2:$O$417,8,0),"CHURN")</f>
        <v>NO RISK</v>
      </c>
      <c r="S109" s="3"/>
      <c r="T109" s="3"/>
      <c r="U109" s="3" t="s">
        <v>551</v>
      </c>
      <c r="V109" s="4" t="str" cm="1">
        <f t="array" ref="V109">IFERROR(
    IF(
        MATCH(2,1/((Y109:BH109&lt;&gt;0)*(Y109:BH109&lt;&gt;"")))-MATCH(1,INDEX((Y109:BH109&lt;&gt;0)*(Y109:BH109&lt;&gt;""),0),0)+1 &lt;= 12,
        "No",
        "Yes"
    ),
    "No"
)</f>
        <v>Yes</v>
      </c>
      <c r="W109" s="4" t="str" cm="1">
        <f t="array" ref="W109">IFERROR(
    IF(
        MATCH(2,1/((Y109:BH109&lt;&gt;0)*(Y109:BH109&lt;&gt;"")))-MATCH(1,INDEX((Y109:BH109&lt;&gt;0)*(Y109:BH109&lt;&gt;""),0),0)+1 &lt;= 24,
        "No",
        "Yes"
    ),
    "No"
)</f>
        <v>Yes</v>
      </c>
      <c r="X109" s="3"/>
      <c r="Y109" s="4">
        <v>173.25663839473728</v>
      </c>
      <c r="Z109" s="4">
        <v>172.65468531691434</v>
      </c>
      <c r="AA109" s="4">
        <v>282.75967536953345</v>
      </c>
      <c r="AB109" s="4">
        <v>277.73605233579025</v>
      </c>
      <c r="AC109" s="4">
        <v>272.47046546607584</v>
      </c>
      <c r="AD109" s="4">
        <v>229.13749888892687</v>
      </c>
      <c r="AE109" s="4">
        <v>203.06686147751759</v>
      </c>
      <c r="AF109" s="4">
        <v>304.22497646232671</v>
      </c>
      <c r="AG109" s="4">
        <v>304.04009324666936</v>
      </c>
      <c r="AH109" s="4">
        <v>297.90527402654266</v>
      </c>
      <c r="AI109" s="4">
        <v>542.32441424767956</v>
      </c>
      <c r="AJ109" s="4">
        <v>535.51044762754304</v>
      </c>
      <c r="AK109" s="4">
        <v>521.79309390515118</v>
      </c>
      <c r="AL109" s="4">
        <v>512.21652843022912</v>
      </c>
      <c r="AM109" s="4">
        <v>496.62609420330722</v>
      </c>
      <c r="AN109" s="4">
        <v>725.32984577828915</v>
      </c>
      <c r="AO109" s="4">
        <v>728.22331990888142</v>
      </c>
      <c r="AP109" s="4">
        <v>722.96337973885602</v>
      </c>
      <c r="AQ109" s="4">
        <v>715.82815231719519</v>
      </c>
      <c r="AR109" s="4">
        <v>702.7212633077753</v>
      </c>
      <c r="AS109" s="4">
        <v>695.90077569097207</v>
      </c>
      <c r="AT109" s="4">
        <v>692.25916183065226</v>
      </c>
      <c r="AU109" s="4">
        <v>689.03304596998646</v>
      </c>
      <c r="AV109" s="4">
        <v>679.98294521738467</v>
      </c>
      <c r="AW109" s="4">
        <v>887.37988330464395</v>
      </c>
      <c r="AX109" s="4">
        <v>875.62305014290519</v>
      </c>
      <c r="AY109" s="4">
        <v>856.49658567120503</v>
      </c>
      <c r="AZ109" s="4">
        <v>836.52840529439061</v>
      </c>
      <c r="BA109" s="4">
        <v>822.34005269093677</v>
      </c>
      <c r="BB109" s="4">
        <v>810.19492749274673</v>
      </c>
      <c r="BC109" s="4">
        <v>796.66884546515575</v>
      </c>
      <c r="BD109" s="4">
        <v>786.04750901153091</v>
      </c>
      <c r="BE109" s="4">
        <v>777.82803066615566</v>
      </c>
      <c r="BF109" s="4">
        <v>769.76226823370394</v>
      </c>
      <c r="BG109" s="4">
        <v>762.80443531978472</v>
      </c>
      <c r="BH109" s="4">
        <v>756.41180471114808</v>
      </c>
      <c r="BJ109" s="9"/>
    </row>
    <row r="110" spans="1:62" x14ac:dyDescent="0.25">
      <c r="A110" s="6" t="s">
        <v>105</v>
      </c>
      <c r="B110" s="6"/>
      <c r="C110" s="7" t="s">
        <v>526</v>
      </c>
      <c r="D110" s="3"/>
      <c r="E110" s="3">
        <f>VLOOKUP(A110,[2]Sheet1!$A$2:$E$627,5,0)</f>
        <v>2456.24133406291</v>
      </c>
      <c r="F110" s="3">
        <f>VLOOKUP(A110,[2]Sheet1!$A$2:$F$627,6,0)</f>
        <v>2346.4739539993798</v>
      </c>
      <c r="G110" s="3">
        <f>VLOOKUP(A110,[2]Sheet1!$A$2:$G$627,7,0)</f>
        <v>2608.0860685320708</v>
      </c>
      <c r="H110" s="4">
        <f t="shared" si="6"/>
        <v>2809.1852718945338</v>
      </c>
      <c r="I110" s="11">
        <f t="shared" si="7"/>
        <v>-4.4689167363681725E-2</v>
      </c>
      <c r="J110" s="11">
        <f t="shared" si="8"/>
        <v>6.1819957332120902E-2</v>
      </c>
      <c r="K110" s="11">
        <f t="shared" si="9"/>
        <v>0.11149159106871562</v>
      </c>
      <c r="L110" s="11">
        <f>IF(S110="",((BG110-E110)/E110),((U110-E110)/E110))</f>
        <v>-0.10003520867454324</v>
      </c>
      <c r="M110" s="3" t="str">
        <f>IF(S110="Churn","Churn",VLOOKUP(A110,'[1]Revenue_Engine_2025 Dec.25'!$C$14:$E$3993,3,0))</f>
        <v>Üretim</v>
      </c>
      <c r="N110" s="3">
        <f>IF(S110="",VLOOKUP(A110,[3]Export!$B$2:$F$417,5,0),"CHURN")</f>
        <v>0.4559119712789087</v>
      </c>
      <c r="O110" s="3">
        <f>(1-N110)*H110</f>
        <v>1528.4440768974198</v>
      </c>
      <c r="P110" s="3">
        <f t="shared" si="11"/>
        <v>1276.6883880769071</v>
      </c>
      <c r="Q110" s="3">
        <f t="shared" si="10"/>
        <v>1419.0284077625554</v>
      </c>
      <c r="R110" s="3" t="str">
        <f>IF(S110&lt;&gt;"Churn",VLOOKUP(A110,[3]Export!$B$2:$O$417,8,0),"CHURN")</f>
        <v>LOW RISK</v>
      </c>
      <c r="S110" s="3"/>
      <c r="T110" s="3"/>
      <c r="U110" s="3" t="s">
        <v>551</v>
      </c>
      <c r="V110" s="4" t="str" cm="1">
        <f t="array" ref="V110">IFERROR(
    IF(
        MATCH(2,1/((Y110:BH110&lt;&gt;0)*(Y110:BH110&lt;&gt;"")))-MATCH(1,INDEX((Y110:BH110&lt;&gt;0)*(Y110:BH110&lt;&gt;""),0),0)+1 &lt;= 12,
        "No",
        "Yes"
    ),
    "No"
)</f>
        <v>Yes</v>
      </c>
      <c r="W110" s="4" t="str" cm="1">
        <f t="array" ref="W110">IFERROR(
    IF(
        MATCH(2,1/((Y110:BH110&lt;&gt;0)*(Y110:BH110&lt;&gt;"")))-MATCH(1,INDEX((Y110:BH110&lt;&gt;0)*(Y110:BH110&lt;&gt;""),0),0)+1 &lt;= 24,
        "No",
        "Yes"
    ),
    "No"
)</f>
        <v>Yes</v>
      </c>
      <c r="X110" s="3"/>
      <c r="Y110" s="4">
        <v>1888.1485376073524</v>
      </c>
      <c r="Z110" s="4">
        <v>2456.24133406291</v>
      </c>
      <c r="AA110" s="4">
        <v>2449.2118904609479</v>
      </c>
      <c r="AB110" s="4">
        <v>2432.3478071697546</v>
      </c>
      <c r="AC110" s="4">
        <v>2425.6713281027683</v>
      </c>
      <c r="AD110" s="4">
        <v>2291.204471641995</v>
      </c>
      <c r="AE110" s="4">
        <v>2444.6898997920853</v>
      </c>
      <c r="AF110" s="4">
        <v>2427.4078682707705</v>
      </c>
      <c r="AG110" s="4">
        <v>2426.5762042443566</v>
      </c>
      <c r="AH110" s="4">
        <v>2398.9798189489647</v>
      </c>
      <c r="AI110" s="4">
        <v>2375.0911897323222</v>
      </c>
      <c r="AJ110" s="4">
        <v>2361.9429597421067</v>
      </c>
      <c r="AK110" s="4">
        <v>2346.4739539993798</v>
      </c>
      <c r="AL110" s="4">
        <v>2421.8176362220729</v>
      </c>
      <c r="AM110" s="4">
        <v>2388.9123007876383</v>
      </c>
      <c r="AN110" s="4">
        <v>2400.4871042175232</v>
      </c>
      <c r="AO110" s="4">
        <v>2401.7046050788226</v>
      </c>
      <c r="AP110" s="4">
        <v>2394.6033313107914</v>
      </c>
      <c r="AQ110" s="4">
        <v>2384.9702933520862</v>
      </c>
      <c r="AR110" s="4">
        <v>2389.2751097388787</v>
      </c>
      <c r="AS110" s="4">
        <v>2599.3799375633903</v>
      </c>
      <c r="AT110" s="4">
        <v>2597.1118330937934</v>
      </c>
      <c r="AU110" s="4">
        <v>2595.1025130275611</v>
      </c>
      <c r="AV110" s="4">
        <v>2591.4658434753774</v>
      </c>
      <c r="AW110" s="4">
        <v>2608.0860685320708</v>
      </c>
      <c r="AX110" s="4">
        <v>2769.4401573414029</v>
      </c>
      <c r="AY110" s="4">
        <v>2756.645206795069</v>
      </c>
      <c r="AZ110" s="4">
        <v>2743.2871770975444</v>
      </c>
      <c r="BA110" s="4">
        <v>2844.3580113708485</v>
      </c>
      <c r="BB110" s="4">
        <v>2836.2333380147352</v>
      </c>
      <c r="BC110" s="4">
        <v>2827.1848517728185</v>
      </c>
      <c r="BD110" s="4">
        <v>2820.0795409684524</v>
      </c>
      <c r="BE110" s="4">
        <v>2814.5809910874041</v>
      </c>
      <c r="BF110" s="4">
        <v>2809.1852718945338</v>
      </c>
      <c r="BG110" s="4">
        <v>2210.5307196548883</v>
      </c>
      <c r="BH110" s="4">
        <v>2206.254268425781</v>
      </c>
      <c r="BJ110" s="9"/>
    </row>
    <row r="111" spans="1:62" x14ac:dyDescent="0.25">
      <c r="A111" s="6" t="s">
        <v>106</v>
      </c>
      <c r="B111" s="6"/>
      <c r="C111" s="7" t="s">
        <v>525</v>
      </c>
      <c r="D111" s="3"/>
      <c r="E111" s="3">
        <f>VLOOKUP(A111,[2]Sheet1!$A$2:$E$627,5,0)</f>
        <v>66122.871317364115</v>
      </c>
      <c r="F111" s="3">
        <f>VLOOKUP(A111,[2]Sheet1!$A$2:$F$627,6,0)</f>
        <v>66954.397661657349</v>
      </c>
      <c r="G111" s="3">
        <f>VLOOKUP(A111,[2]Sheet1!$A$2:$G$627,7,0)</f>
        <v>100878.24920751381</v>
      </c>
      <c r="H111" s="4">
        <f t="shared" si="6"/>
        <v>115831.48739831554</v>
      </c>
      <c r="I111" s="11">
        <f t="shared" si="7"/>
        <v>1.2575472415621972E-2</v>
      </c>
      <c r="J111" s="11">
        <f t="shared" si="8"/>
        <v>0.52561809851446673</v>
      </c>
      <c r="K111" s="11">
        <f t="shared" si="9"/>
        <v>0.50667099892802969</v>
      </c>
      <c r="L111" s="11">
        <f>IF(S111="",((BG111-E111)/E111),((U111-E111)/E111))</f>
        <v>0.74504421187922631</v>
      </c>
      <c r="M111" s="3" t="str">
        <f>IF(S111="Churn","Churn",VLOOKUP(A111,'[1]Revenue_Engine_2025 Dec.25'!$C$14:$E$3993,3,0))</f>
        <v>Teknoloji</v>
      </c>
      <c r="N111" s="3">
        <f>IF(S111="",VLOOKUP(A111,[3]Export!$B$2:$F$417,5,0),"CHURN")</f>
        <v>1.737708882640698E-2</v>
      </c>
      <c r="O111" s="3">
        <f>(1-N111)*H111</f>
        <v>113818.67335290016</v>
      </c>
      <c r="P111" s="3">
        <f t="shared" si="11"/>
        <v>65790.925146172158</v>
      </c>
      <c r="Q111" s="3">
        <f t="shared" si="10"/>
        <v>99125.278910382433</v>
      </c>
      <c r="R111" s="3" t="str">
        <f>IF(S111&lt;&gt;"Churn",VLOOKUP(A111,[3]Export!$B$2:$O$417,8,0),"CHURN")</f>
        <v>NO RISK</v>
      </c>
      <c r="S111" s="3"/>
      <c r="T111" s="3"/>
      <c r="U111" s="3" t="s">
        <v>551</v>
      </c>
      <c r="V111" s="4" t="str" cm="1">
        <f t="array" ref="V111">IFERROR(
    IF(
        MATCH(2,1/((Y111:BH111&lt;&gt;0)*(Y111:BH111&lt;&gt;"")))-MATCH(1,INDEX((Y111:BH111&lt;&gt;0)*(Y111:BH111&lt;&gt;""),0),0)+1 &lt;= 12,
        "No",
        "Yes"
    ),
    "No"
)</f>
        <v>Yes</v>
      </c>
      <c r="W111" s="4" t="str" cm="1">
        <f t="array" ref="W111">IFERROR(
    IF(
        MATCH(2,1/((Y111:BH111&lt;&gt;0)*(Y111:BH111&lt;&gt;"")))-MATCH(1,INDEX((Y111:BH111&lt;&gt;0)*(Y111:BH111&lt;&gt;""),0),0)+1 &lt;= 24,
        "No",
        "Yes"
    ),
    "No"
)</f>
        <v>Yes</v>
      </c>
      <c r="X111" s="3"/>
      <c r="Y111" s="4">
        <v>61920.122874496446</v>
      </c>
      <c r="Z111" s="4">
        <v>66122.871317364115</v>
      </c>
      <c r="AA111" s="4">
        <v>63853.704164930838</v>
      </c>
      <c r="AB111" s="4">
        <v>63387.800537135925</v>
      </c>
      <c r="AC111" s="4">
        <v>65735.087636218275</v>
      </c>
      <c r="AD111" s="4">
        <v>58504.945340900027</v>
      </c>
      <c r="AE111" s="4">
        <v>56273.164356431138</v>
      </c>
      <c r="AF111" s="4">
        <v>58267.986034066154</v>
      </c>
      <c r="AG111" s="4">
        <v>71352.825469976335</v>
      </c>
      <c r="AH111" s="4">
        <v>69001.861014024907</v>
      </c>
      <c r="AI111" s="4">
        <v>70927.228179330996</v>
      </c>
      <c r="AJ111" s="4">
        <v>72009.588100897876</v>
      </c>
      <c r="AK111" s="4">
        <v>66954.397661657349</v>
      </c>
      <c r="AL111" s="4">
        <v>71310.191583974549</v>
      </c>
      <c r="AM111" s="4">
        <v>76920.674784292351</v>
      </c>
      <c r="AN111" s="4">
        <v>71577.798548665756</v>
      </c>
      <c r="AO111" s="4">
        <v>74954.628213093107</v>
      </c>
      <c r="AP111" s="4">
        <v>74046.103121715947</v>
      </c>
      <c r="AQ111" s="4">
        <v>74353.705031676305</v>
      </c>
      <c r="AR111" s="4">
        <v>73381.939725831529</v>
      </c>
      <c r="AS111" s="4">
        <v>86385.26347037933</v>
      </c>
      <c r="AT111" s="4">
        <v>86638.324691212067</v>
      </c>
      <c r="AU111" s="4">
        <v>87747.849173459923</v>
      </c>
      <c r="AV111" s="4">
        <v>89147.306663075738</v>
      </c>
      <c r="AW111" s="4">
        <v>100878.24920751381</v>
      </c>
      <c r="AX111" s="4">
        <v>108867.11209384332</v>
      </c>
      <c r="AY111" s="4">
        <v>113765.86353307619</v>
      </c>
      <c r="AZ111" s="4">
        <v>114090.83425498909</v>
      </c>
      <c r="BA111" s="4">
        <v>117172.46417257728</v>
      </c>
      <c r="BB111" s="4">
        <v>116917.62393290293</v>
      </c>
      <c r="BC111" s="4">
        <v>119104.01261949772</v>
      </c>
      <c r="BD111" s="4">
        <v>119837.60564362466</v>
      </c>
      <c r="BE111" s="4">
        <v>116204.80497474001</v>
      </c>
      <c r="BF111" s="4">
        <v>115831.48739831554</v>
      </c>
      <c r="BG111" s="4">
        <v>115387.33386520116</v>
      </c>
      <c r="BH111" s="4">
        <v>114506.31887241954</v>
      </c>
      <c r="BJ111" s="9"/>
    </row>
    <row r="112" spans="1:62" x14ac:dyDescent="0.25">
      <c r="A112" s="6" t="s">
        <v>107</v>
      </c>
      <c r="B112" s="6"/>
      <c r="C112" s="7" t="s">
        <v>526</v>
      </c>
      <c r="D112" s="3"/>
      <c r="E112" s="3">
        <f>VLOOKUP(A112,[2]Sheet1!$A$2:$E$627,5,0)</f>
        <v>1042.876454689391</v>
      </c>
      <c r="F112" s="3">
        <f>VLOOKUP(A112,[2]Sheet1!$A$2:$F$627,6,0)</f>
        <v>1475.9894899999999</v>
      </c>
      <c r="G112" s="3">
        <f>VLOOKUP(A112,[2]Sheet1!$A$2:$G$627,7,0)</f>
        <v>1546.0522583333332</v>
      </c>
      <c r="H112" s="4">
        <f t="shared" si="6"/>
        <v>1512.128925</v>
      </c>
      <c r="I112" s="11">
        <f t="shared" si="7"/>
        <v>0.41530617875499615</v>
      </c>
      <c r="J112" s="11">
        <f t="shared" si="8"/>
        <v>0.48248841114531382</v>
      </c>
      <c r="K112" s="11">
        <f t="shared" si="9"/>
        <v>4.7468338228704617E-2</v>
      </c>
      <c r="L112" s="11">
        <f>IF(S112="",((BG112-E112)/E112),((U112-E112)/E112))</f>
        <v>0.44995978977238532</v>
      </c>
      <c r="M112" s="3" t="str">
        <f>IF(S112="Churn","Churn",VLOOKUP(A112,'[1]Revenue_Engine_2025 Dec.25'!$C$14:$E$3993,3,0))</f>
        <v>Genel</v>
      </c>
      <c r="N112" s="3">
        <f>IF(S112="",VLOOKUP(A112,[3]Export!$B$2:$F$417,5,0),"CHURN")</f>
        <v>0.32039921767792173</v>
      </c>
      <c r="O112" s="3">
        <f>(1-N112)*H112</f>
        <v>1027.6440004018432</v>
      </c>
      <c r="P112" s="3">
        <f t="shared" si="11"/>
        <v>1003.0836121031651</v>
      </c>
      <c r="Q112" s="3">
        <f t="shared" si="10"/>
        <v>1050.6983242741489</v>
      </c>
      <c r="R112" s="3" t="str">
        <f>IF(S112&lt;&gt;"Churn",VLOOKUP(A112,[3]Export!$B$2:$O$417,8,0),"CHURN")</f>
        <v>LOW RISK</v>
      </c>
      <c r="S112" s="3"/>
      <c r="T112" s="3"/>
      <c r="U112" s="3" t="s">
        <v>551</v>
      </c>
      <c r="V112" s="4" t="str" cm="1">
        <f t="array" ref="V112">IFERROR(
    IF(
        MATCH(2,1/((Y112:BH112&lt;&gt;0)*(Y112:BH112&lt;&gt;"")))-MATCH(1,INDEX((Y112:BH112&lt;&gt;0)*(Y112:BH112&lt;&gt;""),0),0)+1 &lt;= 12,
        "No",
        "Yes"
    ),
    "No"
)</f>
        <v>Yes</v>
      </c>
      <c r="W112" s="4" t="str" cm="1">
        <f t="array" ref="W112">IFERROR(
    IF(
        MATCH(2,1/((Y112:BH112&lt;&gt;0)*(Y112:BH112&lt;&gt;"")))-MATCH(1,INDEX((Y112:BH112&lt;&gt;0)*(Y112:BH112&lt;&gt;""),0),0)+1 &lt;= 24,
        "No",
        "Yes"
    ),
    "No"
)</f>
        <v>Yes</v>
      </c>
      <c r="X112" s="3"/>
      <c r="Y112" s="4">
        <v>1042.876454689391</v>
      </c>
      <c r="Z112" s="4">
        <v>1039.3156818266336</v>
      </c>
      <c r="AA112" s="4">
        <v>1031.807868966572</v>
      </c>
      <c r="AB112" s="4">
        <v>1409.21</v>
      </c>
      <c r="AC112" s="4">
        <v>1409.203</v>
      </c>
      <c r="AD112" s="4">
        <v>1433.5430000000001</v>
      </c>
      <c r="AE112" s="4">
        <v>1433.5430000000001</v>
      </c>
      <c r="AF112" s="4">
        <v>1475.9894899999999</v>
      </c>
      <c r="AG112" s="4">
        <v>1475.9894899999999</v>
      </c>
      <c r="AH112" s="4">
        <v>1475.9894899999999</v>
      </c>
      <c r="AI112" s="4">
        <v>1475.9894899999999</v>
      </c>
      <c r="AJ112" s="4">
        <v>1475.9894899999999</v>
      </c>
      <c r="AK112" s="4">
        <v>1475.9894899999999</v>
      </c>
      <c r="AL112" s="4">
        <v>1475.9894899999999</v>
      </c>
      <c r="AM112" s="4">
        <v>1475.9894899999999</v>
      </c>
      <c r="AN112" s="4">
        <v>1475.9894899999999</v>
      </c>
      <c r="AO112" s="4">
        <v>1461.4328233333331</v>
      </c>
      <c r="AP112" s="4">
        <v>1461.4328233333331</v>
      </c>
      <c r="AQ112" s="4">
        <v>1461.4328233333331</v>
      </c>
      <c r="AR112" s="4">
        <v>1461.4328233333331</v>
      </c>
      <c r="AS112" s="4">
        <v>1461.4328233333331</v>
      </c>
      <c r="AT112" s="4">
        <v>1505.3022583333332</v>
      </c>
      <c r="AU112" s="4">
        <v>1517.8022583333332</v>
      </c>
      <c r="AV112" s="4">
        <v>1519.8022583333332</v>
      </c>
      <c r="AW112" s="4">
        <v>1546.0522583333332</v>
      </c>
      <c r="AX112" s="4">
        <v>1496.6122583333331</v>
      </c>
      <c r="AY112" s="4">
        <v>1496.6122583333331</v>
      </c>
      <c r="AZ112" s="4">
        <v>1478.6122583333331</v>
      </c>
      <c r="BA112" s="4">
        <v>1512.128925</v>
      </c>
      <c r="BB112" s="4">
        <v>1512.128925</v>
      </c>
      <c r="BC112" s="4">
        <v>1512.128925</v>
      </c>
      <c r="BD112" s="4">
        <v>1512.128925</v>
      </c>
      <c r="BE112" s="4">
        <v>1512.128925</v>
      </c>
      <c r="BF112" s="4">
        <v>1512.128925</v>
      </c>
      <c r="BG112" s="4">
        <v>1512.128925</v>
      </c>
      <c r="BH112" s="4">
        <v>1510.128925</v>
      </c>
      <c r="BJ112" s="9"/>
    </row>
    <row r="113" spans="1:62" x14ac:dyDescent="0.25">
      <c r="A113" s="6" t="s">
        <v>108</v>
      </c>
      <c r="B113" s="6"/>
      <c r="C113" s="7" t="s">
        <v>526</v>
      </c>
      <c r="D113" s="3"/>
      <c r="E113" s="3">
        <f>VLOOKUP(A113,[2]Sheet1!$A$2:$E$627,5,0)</f>
        <v>688</v>
      </c>
      <c r="F113" s="3">
        <f>VLOOKUP(A113,[2]Sheet1!$A$2:$F$627,6,0)</f>
        <v>691</v>
      </c>
      <c r="G113" s="3">
        <f>VLOOKUP(A113,[2]Sheet1!$A$2:$G$627,7,0)</f>
        <v>515.23500000000001</v>
      </c>
      <c r="H113" s="4">
        <f t="shared" si="6"/>
        <v>515.23500000000001</v>
      </c>
      <c r="I113" s="11">
        <f t="shared" si="7"/>
        <v>4.3604651162790697E-3</v>
      </c>
      <c r="J113" s="11">
        <f t="shared" si="8"/>
        <v>-0.25111191860465115</v>
      </c>
      <c r="K113" s="11">
        <f t="shared" si="9"/>
        <v>-0.25436324167872648</v>
      </c>
      <c r="L113" s="11">
        <f>IF(S113="",((BG113-E113)/E113),((U113-E113)/E113))</f>
        <v>-0.25111191860465115</v>
      </c>
      <c r="M113" s="3" t="str">
        <f>IF(S113="Churn","Churn",VLOOKUP(A113,'[1]Revenue_Engine_2025 Dec.25'!$C$14:$E$3993,3,0))</f>
        <v>Genel</v>
      </c>
      <c r="N113" s="3">
        <f>IF(S113="",VLOOKUP(A113,[3]Export!$B$2:$F$417,5,0),"CHURN")</f>
        <v>0.97819441614020786</v>
      </c>
      <c r="O113" s="3">
        <f>(1-N113)*H113</f>
        <v>11.235000000000005</v>
      </c>
      <c r="P113" s="3">
        <f t="shared" si="11"/>
        <v>15.067658447116372</v>
      </c>
      <c r="Q113" s="3">
        <f t="shared" si="10"/>
        <v>11.235000000000005</v>
      </c>
      <c r="R113" s="3" t="str">
        <f>IF(S113&lt;&gt;"Churn",VLOOKUP(A113,[3]Export!$B$2:$O$417,8,0),"CHURN")</f>
        <v>NO RISK</v>
      </c>
      <c r="S113" s="3"/>
      <c r="T113" s="3"/>
      <c r="U113" s="3" t="s">
        <v>551</v>
      </c>
      <c r="V113" s="4" t="str" cm="1">
        <f t="array" ref="V113">IFERROR(
    IF(
        MATCH(2,1/((Y113:BH113&lt;&gt;0)*(Y113:BH113&lt;&gt;"")))-MATCH(1,INDEX((Y113:BH113&lt;&gt;0)*(Y113:BH113&lt;&gt;""),0),0)+1 &lt;= 12,
        "No",
        "Yes"
    ),
    "No"
)</f>
        <v>Yes</v>
      </c>
      <c r="W113" s="4" t="str" cm="1">
        <f t="array" ref="W113">IFERROR(
    IF(
        MATCH(2,1/((Y113:BH113&lt;&gt;0)*(Y113:BH113&lt;&gt;"")))-MATCH(1,INDEX((Y113:BH113&lt;&gt;0)*(Y113:BH113&lt;&gt;""),0),0)+1 &lt;= 24,
        "No",
        "Yes"
    ),
    "No"
)</f>
        <v>Yes</v>
      </c>
      <c r="X113" s="3"/>
      <c r="Y113" s="4">
        <v>680</v>
      </c>
      <c r="Z113" s="4">
        <v>680</v>
      </c>
      <c r="AA113" s="4">
        <v>688</v>
      </c>
      <c r="AB113" s="4">
        <v>688</v>
      </c>
      <c r="AC113" s="4">
        <v>688</v>
      </c>
      <c r="AD113" s="4">
        <v>688</v>
      </c>
      <c r="AE113" s="4">
        <v>688</v>
      </c>
      <c r="AF113" s="4">
        <v>688</v>
      </c>
      <c r="AG113" s="4">
        <v>688</v>
      </c>
      <c r="AH113" s="4">
        <v>688</v>
      </c>
      <c r="AI113" s="4">
        <v>688</v>
      </c>
      <c r="AJ113" s="4">
        <v>691</v>
      </c>
      <c r="AK113" s="4">
        <v>691</v>
      </c>
      <c r="AL113" s="4">
        <v>526</v>
      </c>
      <c r="AM113" s="4">
        <v>526</v>
      </c>
      <c r="AN113" s="4">
        <v>526</v>
      </c>
      <c r="AO113" s="4">
        <v>505</v>
      </c>
      <c r="AP113" s="4">
        <v>506.48500000000001</v>
      </c>
      <c r="AQ113" s="4">
        <v>506.48500000000001</v>
      </c>
      <c r="AR113" s="4">
        <v>515.23500000000001</v>
      </c>
      <c r="AS113" s="4">
        <v>515.23500000000001</v>
      </c>
      <c r="AT113" s="4">
        <v>515.23500000000001</v>
      </c>
      <c r="AU113" s="4">
        <v>515.23500000000001</v>
      </c>
      <c r="AV113" s="4">
        <v>515.23500000000001</v>
      </c>
      <c r="AW113" s="4">
        <v>515.23500000000001</v>
      </c>
      <c r="AX113" s="4">
        <v>515.23500000000001</v>
      </c>
      <c r="AY113" s="4">
        <v>515.23500000000001</v>
      </c>
      <c r="AZ113" s="4">
        <v>515.23500000000001</v>
      </c>
      <c r="BA113" s="4">
        <v>515.23500000000001</v>
      </c>
      <c r="BB113" s="4">
        <v>515.23500000000001</v>
      </c>
      <c r="BC113" s="4">
        <v>515.23500000000001</v>
      </c>
      <c r="BD113" s="4">
        <v>515.23500000000001</v>
      </c>
      <c r="BE113" s="4">
        <v>515.23500000000001</v>
      </c>
      <c r="BF113" s="4">
        <v>515.23500000000001</v>
      </c>
      <c r="BG113" s="4">
        <v>515.23500000000001</v>
      </c>
      <c r="BH113" s="4">
        <v>515.23500000000001</v>
      </c>
      <c r="BJ113" s="9"/>
    </row>
    <row r="114" spans="1:62" x14ac:dyDescent="0.25">
      <c r="A114" s="6" t="s">
        <v>109</v>
      </c>
      <c r="B114" s="6"/>
      <c r="C114" s="7" t="s">
        <v>525</v>
      </c>
      <c r="D114" s="3"/>
      <c r="E114" s="3">
        <f>VLOOKUP(A114,[2]Sheet1!$A$2:$E$627,5,0)</f>
        <v>3500</v>
      </c>
      <c r="F114" s="3">
        <f>VLOOKUP(A114,[2]Sheet1!$A$2:$F$627,6,0)</f>
        <v>3499.9942870000004</v>
      </c>
      <c r="G114" s="3">
        <f>VLOOKUP(A114,[2]Sheet1!$A$2:$G$627,7,0)</f>
        <v>3499.9942870000004</v>
      </c>
      <c r="H114" s="4">
        <f t="shared" si="6"/>
        <v>3508.6314750000006</v>
      </c>
      <c r="I114" s="11">
        <f t="shared" si="7"/>
        <v>-1.6322857141598693E-6</v>
      </c>
      <c r="J114" s="11">
        <f t="shared" si="8"/>
        <v>-1.6322857141598693E-6</v>
      </c>
      <c r="K114" s="11">
        <f t="shared" si="9"/>
        <v>0</v>
      </c>
      <c r="L114" s="11">
        <f>IF(S114="",((BG114-E114)/E114),((U114-E114)/E114))</f>
        <v>2.4661357142858834E-3</v>
      </c>
      <c r="M114" s="3" t="str">
        <f>IF(S114="Churn","Churn",VLOOKUP(A114,'[1]Revenue_Engine_2025 Dec.25'!$C$14:$E$3993,3,0))</f>
        <v>Digital</v>
      </c>
      <c r="N114" s="3">
        <f>IF(S114="",VLOOKUP(A114,[3]Export!$B$2:$F$417,5,0),"CHURN")</f>
        <v>0.26211326312063021</v>
      </c>
      <c r="O114" s="3">
        <f>(1-N114)*H114</f>
        <v>2588.9726300000007</v>
      </c>
      <c r="P114" s="3">
        <f t="shared" si="11"/>
        <v>2582.5993635308669</v>
      </c>
      <c r="Q114" s="3">
        <f t="shared" si="10"/>
        <v>2582.5993635308669</v>
      </c>
      <c r="R114" s="3" t="str">
        <f>IF(S114&lt;&gt;"Churn",VLOOKUP(A114,[3]Export!$B$2:$O$417,8,0),"CHURN")</f>
        <v>CHURN</v>
      </c>
      <c r="S114" s="3"/>
      <c r="T114" s="3"/>
      <c r="U114" s="3" t="s">
        <v>551</v>
      </c>
      <c r="V114" s="4" t="str" cm="1">
        <f t="array" ref="V114">IFERROR(
    IF(
        MATCH(2,1/((Y114:BH114&lt;&gt;0)*(Y114:BH114&lt;&gt;"")))-MATCH(1,INDEX((Y114:BH114&lt;&gt;0)*(Y114:BH114&lt;&gt;""),0),0)+1 &lt;= 12,
        "No",
        "Yes"
    ),
    "No"
)</f>
        <v>Yes</v>
      </c>
      <c r="W114" s="4" t="str" cm="1">
        <f t="array" ref="W114">IFERROR(
    IF(
        MATCH(2,1/((Y114:BH114&lt;&gt;0)*(Y114:BH114&lt;&gt;"")))-MATCH(1,INDEX((Y114:BH114&lt;&gt;0)*(Y114:BH114&lt;&gt;""),0),0)+1 &lt;= 24,
        "No",
        "Yes"
    ),
    "No"
)</f>
        <v>Yes</v>
      </c>
      <c r="X114" s="3"/>
      <c r="Y114" s="4">
        <v>3500</v>
      </c>
      <c r="Z114" s="4">
        <v>3500</v>
      </c>
      <c r="AA114" s="4">
        <v>3500</v>
      </c>
      <c r="AB114" s="4">
        <v>3500</v>
      </c>
      <c r="AC114" s="4">
        <v>3499.9942870000009</v>
      </c>
      <c r="AD114" s="4">
        <v>3499.9942870000004</v>
      </c>
      <c r="AE114" s="4">
        <v>3499.9942870000004</v>
      </c>
      <c r="AF114" s="4">
        <v>3499.9942870000004</v>
      </c>
      <c r="AG114" s="4">
        <v>3499.9942870000004</v>
      </c>
      <c r="AH114" s="4">
        <v>3499.9942870000004</v>
      </c>
      <c r="AI114" s="4">
        <v>3499.9942870000004</v>
      </c>
      <c r="AJ114" s="4">
        <v>3499.9942870000004</v>
      </c>
      <c r="AK114" s="4">
        <v>3499.9942870000004</v>
      </c>
      <c r="AL114" s="4">
        <v>3499.9942870000004</v>
      </c>
      <c r="AM114" s="4">
        <v>3499.9942870000004</v>
      </c>
      <c r="AN114" s="4">
        <v>3499.9942870000004</v>
      </c>
      <c r="AO114" s="4">
        <v>3499.9942870000004</v>
      </c>
      <c r="AP114" s="4">
        <v>3499.9942870000004</v>
      </c>
      <c r="AQ114" s="4">
        <v>3499.9942870000004</v>
      </c>
      <c r="AR114" s="4">
        <v>3499.9942870000004</v>
      </c>
      <c r="AS114" s="4">
        <v>3499.9942870000004</v>
      </c>
      <c r="AT114" s="4">
        <v>3499.9942870000004</v>
      </c>
      <c r="AU114" s="4">
        <v>3499.9942870000004</v>
      </c>
      <c r="AV114" s="4">
        <v>3499.9942870000004</v>
      </c>
      <c r="AW114" s="4">
        <v>3499.9942870000004</v>
      </c>
      <c r="AX114" s="4">
        <v>3499.9942870000004</v>
      </c>
      <c r="AY114" s="4">
        <v>3499.9942870000004</v>
      </c>
      <c r="AZ114" s="4">
        <v>3508.6314750000006</v>
      </c>
      <c r="BA114" s="4">
        <v>3508.6314750000006</v>
      </c>
      <c r="BB114" s="4">
        <v>3508.6314750000006</v>
      </c>
      <c r="BC114" s="4">
        <v>3508.6314750000006</v>
      </c>
      <c r="BD114" s="4">
        <v>3508.6314750000006</v>
      </c>
      <c r="BE114" s="4">
        <v>3508.6314750000006</v>
      </c>
      <c r="BF114" s="4">
        <v>3508.6314750000006</v>
      </c>
      <c r="BG114" s="4">
        <v>3508.6314750000006</v>
      </c>
      <c r="BH114" s="4">
        <v>3508.6314750000006</v>
      </c>
      <c r="BJ114" s="9"/>
    </row>
    <row r="115" spans="1:62" x14ac:dyDescent="0.25">
      <c r="A115" s="6" t="s">
        <v>110</v>
      </c>
      <c r="B115" s="6"/>
      <c r="C115" s="7" t="s">
        <v>526</v>
      </c>
      <c r="D115" s="3"/>
      <c r="E115" s="3">
        <f>VLOOKUP(A115,[2]Sheet1!$A$2:$E$627,5,0)</f>
        <v>154.94690350404889</v>
      </c>
      <c r="F115" s="3">
        <f>VLOOKUP(A115,[2]Sheet1!$A$2:$F$627,6,0)</f>
        <v>152.36655118719347</v>
      </c>
      <c r="G115" s="3">
        <f>VLOOKUP(A115,[2]Sheet1!$A$2:$G$627,7,0)</f>
        <v>219.85403197223241</v>
      </c>
      <c r="H115" s="4">
        <f t="shared" si="6"/>
        <v>241.33295250237862</v>
      </c>
      <c r="I115" s="11">
        <f t="shared" si="7"/>
        <v>-1.6653138968911362E-2</v>
      </c>
      <c r="J115" s="11">
        <f t="shared" si="8"/>
        <v>0.41889916481285111</v>
      </c>
      <c r="K115" s="11">
        <f t="shared" si="9"/>
        <v>0.44292845286053384</v>
      </c>
      <c r="L115" s="11">
        <f>IF(S115="",((BG115-E115)/E115),((U115-E115)/E115))</f>
        <v>0.54415028450767566</v>
      </c>
      <c r="M115" s="3" t="str">
        <f>IF(S115="Churn","Churn",VLOOKUP(A115,'[1]Revenue_Engine_2025 Dec.25'!$C$14:$E$3993,3,0))</f>
        <v>Diğer</v>
      </c>
      <c r="N115" s="3">
        <f>IF(S115="",VLOOKUP(A115,[3]Export!$B$2:$F$417,5,0),"CHURN")</f>
        <v>0.14502785316752398</v>
      </c>
      <c r="O115" s="3">
        <f>(1-N115)*H115</f>
        <v>206.33295250237862</v>
      </c>
      <c r="P115" s="3">
        <f t="shared" si="11"/>
        <v>130.26915737397513</v>
      </c>
      <c r="Q115" s="3">
        <f t="shared" si="10"/>
        <v>187.96907370507537</v>
      </c>
      <c r="R115" s="3" t="str">
        <f>IF(S115&lt;&gt;"Churn",VLOOKUP(A115,[3]Export!$B$2:$O$417,8,0),"CHURN")</f>
        <v>NO RISK</v>
      </c>
      <c r="S115" s="3"/>
      <c r="T115" s="3"/>
      <c r="U115" s="3" t="s">
        <v>551</v>
      </c>
      <c r="V115" s="4" t="str" cm="1">
        <f t="array" ref="V115">IFERROR(
    IF(
        MATCH(2,1/((Y115:BH115&lt;&gt;0)*(Y115:BH115&lt;&gt;"")))-MATCH(1,INDEX((Y115:BH115&lt;&gt;0)*(Y115:BH115&lt;&gt;""),0),0)+1 &lt;= 12,
        "No",
        "Yes"
    ),
    "No"
)</f>
        <v>Yes</v>
      </c>
      <c r="W115" s="4" t="str" cm="1">
        <f t="array" ref="W115">IFERROR(
    IF(
        MATCH(2,1/((Y115:BH115&lt;&gt;0)*(Y115:BH115&lt;&gt;"")))-MATCH(1,INDEX((Y115:BH115&lt;&gt;0)*(Y115:BH115&lt;&gt;""),0),0)+1 &lt;= 24,
        "No",
        "Yes"
    ),
    "No"
)</f>
        <v>Yes</v>
      </c>
      <c r="X115" s="3"/>
      <c r="Y115" s="4">
        <v>154.94690350404889</v>
      </c>
      <c r="Z115" s="4">
        <v>154.53016675786375</v>
      </c>
      <c r="AA115" s="4">
        <v>153.65148630761848</v>
      </c>
      <c r="AB115" s="4">
        <v>203.34057629453903</v>
      </c>
      <c r="AC115" s="4">
        <v>209.14951827310054</v>
      </c>
      <c r="AD115" s="4">
        <v>182.88458514238832</v>
      </c>
      <c r="AE115" s="4">
        <v>167.08267721008443</v>
      </c>
      <c r="AF115" s="4">
        <v>164.75403781632815</v>
      </c>
      <c r="AG115" s="4">
        <v>164.6419765918194</v>
      </c>
      <c r="AH115" s="4">
        <v>160.92354627621285</v>
      </c>
      <c r="AI115" s="4">
        <v>157.70471155830938</v>
      </c>
      <c r="AJ115" s="4">
        <v>155.93307456785362</v>
      </c>
      <c r="AK115" s="4">
        <v>152.36655118719347</v>
      </c>
      <c r="AL115" s="4">
        <v>149.87663619601125</v>
      </c>
      <c r="AM115" s="4">
        <v>204.03357369776489</v>
      </c>
      <c r="AN115" s="4">
        <v>202.43965632008135</v>
      </c>
      <c r="AO115" s="4">
        <v>202.66998872408166</v>
      </c>
      <c r="AP115" s="4">
        <v>201.32653714187151</v>
      </c>
      <c r="AQ115" s="4">
        <v>199.50411478359342</v>
      </c>
      <c r="AR115" s="4">
        <v>196.15645868706545</v>
      </c>
      <c r="AS115" s="4">
        <v>194.41442463647763</v>
      </c>
      <c r="AT115" s="4">
        <v>193.48431293476574</v>
      </c>
      <c r="AU115" s="4">
        <v>192.66032438788008</v>
      </c>
      <c r="AV115" s="4">
        <v>190.34882049577683</v>
      </c>
      <c r="AW115" s="4">
        <v>219.85403197223241</v>
      </c>
      <c r="AX115" s="4">
        <v>216.7540433677359</v>
      </c>
      <c r="AY115" s="4">
        <v>266.5644997418633</v>
      </c>
      <c r="AZ115" s="4">
        <v>260.61911000149951</v>
      </c>
      <c r="BA115" s="4">
        <v>256.98762981318907</v>
      </c>
      <c r="BB115" s="4">
        <v>253.37150148370972</v>
      </c>
      <c r="BC115" s="4">
        <v>249.34420266145287</v>
      </c>
      <c r="BD115" s="4">
        <v>246.1817720549237</v>
      </c>
      <c r="BE115" s="4">
        <v>243.73447834545394</v>
      </c>
      <c r="BF115" s="4">
        <v>241.33295250237862</v>
      </c>
      <c r="BG115" s="4">
        <v>239.26130512936047</v>
      </c>
      <c r="BH115" s="4">
        <v>237.35794289417885</v>
      </c>
      <c r="BJ115" s="9"/>
    </row>
    <row r="116" spans="1:62" x14ac:dyDescent="0.25">
      <c r="A116" s="6" t="s">
        <v>111</v>
      </c>
      <c r="B116" s="6"/>
      <c r="C116" s="7" t="s">
        <v>526</v>
      </c>
      <c r="D116" s="3"/>
      <c r="E116" s="3">
        <f>VLOOKUP(A116,[2]Sheet1!$A$2:$E$627,5,0)</f>
        <v>114.98802042106495</v>
      </c>
      <c r="F116" s="3">
        <f>VLOOKUP(A116,[2]Sheet1!$A$2:$F$627,6,0)</f>
        <v>101.46416579695841</v>
      </c>
      <c r="G116" s="3">
        <f>VLOOKUP(A116,[2]Sheet1!$A$2:$G$627,7,0)</f>
        <v>202.24849733329572</v>
      </c>
      <c r="H116" s="4">
        <f t="shared" si="6"/>
        <v>171.76409036986266</v>
      </c>
      <c r="I116" s="11">
        <f t="shared" si="7"/>
        <v>-0.11761098742794832</v>
      </c>
      <c r="J116" s="11">
        <f t="shared" si="8"/>
        <v>0.75886580700058126</v>
      </c>
      <c r="K116" s="11">
        <f t="shared" si="9"/>
        <v>0.99329976001594955</v>
      </c>
      <c r="L116" s="11">
        <f>IF(S116="",((BG116-E116)/E116),((U116-E116)/E116))</f>
        <v>0.47807458772092087</v>
      </c>
      <c r="M116" s="3" t="str">
        <f>IF(S116="Churn","Churn",VLOOKUP(A116,'[1]Revenue_Engine_2025 Dec.25'!$C$14:$E$3993,3,0))</f>
        <v>Üretim</v>
      </c>
      <c r="N116" s="3">
        <f>IF(S116="",VLOOKUP(A116,[3]Export!$B$2:$F$417,5,0),"CHURN")</f>
        <v>0</v>
      </c>
      <c r="O116" s="3">
        <f>(1-N116)*H116</f>
        <v>171.76409036986266</v>
      </c>
      <c r="P116" s="3">
        <f t="shared" si="11"/>
        <v>101.46416579695841</v>
      </c>
      <c r="Q116" s="3">
        <f t="shared" si="10"/>
        <v>202.24849733329572</v>
      </c>
      <c r="R116" s="3" t="str">
        <f>IF(S116&lt;&gt;"Churn",VLOOKUP(A116,[3]Export!$B$2:$O$417,8,0),"CHURN")</f>
        <v>NO RISK</v>
      </c>
      <c r="S116" s="3"/>
      <c r="T116" s="3"/>
      <c r="U116" s="3" t="s">
        <v>551</v>
      </c>
      <c r="V116" s="4" t="str" cm="1">
        <f t="array" ref="V116">IFERROR(
    IF(
        MATCH(2,1/((Y116:BH116&lt;&gt;0)*(Y116:BH116&lt;&gt;"")))-MATCH(1,INDEX((Y116:BH116&lt;&gt;0)*(Y116:BH116&lt;&gt;""),0),0)+1 &lt;= 12,
        "No",
        "Yes"
    ),
    "No"
)</f>
        <v>Yes</v>
      </c>
      <c r="W116" s="4" t="str" cm="1">
        <f t="array" ref="W116">IFERROR(
    IF(
        MATCH(2,1/((Y116:BH116&lt;&gt;0)*(Y116:BH116&lt;&gt;"")))-MATCH(1,INDEX((Y116:BH116&lt;&gt;0)*(Y116:BH116&lt;&gt;""),0),0)+1 &lt;= 24,
        "No",
        "Yes"
    ),
    "No"
)</f>
        <v>Yes</v>
      </c>
      <c r="X116" s="3"/>
      <c r="Y116" s="4">
        <v>88.760708592996181</v>
      </c>
      <c r="Z116" s="4">
        <v>114.98802042106495</v>
      </c>
      <c r="AA116" s="4">
        <v>114.14272982792897</v>
      </c>
      <c r="AB116" s="4">
        <v>127.11008437747654</v>
      </c>
      <c r="AC116" s="4">
        <v>139.38604211553314</v>
      </c>
      <c r="AD116" s="4">
        <v>117.21846261666268</v>
      </c>
      <c r="AE116" s="4">
        <v>103.88166679921682</v>
      </c>
      <c r="AF116" s="4">
        <v>101.91629728434326</v>
      </c>
      <c r="AG116" s="4">
        <v>101.82171771352634</v>
      </c>
      <c r="AH116" s="4">
        <v>109.4761248278981</v>
      </c>
      <c r="AI116" s="4">
        <v>106.4623131312778</v>
      </c>
      <c r="AJ116" s="4">
        <v>104.80352019782816</v>
      </c>
      <c r="AK116" s="4">
        <v>101.46416579695841</v>
      </c>
      <c r="AL116" s="4">
        <v>118.67923879828774</v>
      </c>
      <c r="AM116" s="4">
        <v>134.81341836319092</v>
      </c>
      <c r="AN116" s="4">
        <v>133.47069105098436</v>
      </c>
      <c r="AO116" s="4">
        <v>133.66472470295875</v>
      </c>
      <c r="AP116" s="4">
        <v>220.74696353881126</v>
      </c>
      <c r="AQ116" s="4">
        <v>218.18989841055287</v>
      </c>
      <c r="AR116" s="4">
        <v>213.49275747231209</v>
      </c>
      <c r="AS116" s="4">
        <v>211.04848625122941</v>
      </c>
      <c r="AT116" s="4">
        <v>209.7434341116805</v>
      </c>
      <c r="AU116" s="4">
        <v>325</v>
      </c>
      <c r="AV116" s="4">
        <v>325</v>
      </c>
      <c r="AW116" s="4">
        <v>202.24849733329572</v>
      </c>
      <c r="AX116" s="4">
        <v>198.68322203094291</v>
      </c>
      <c r="AY116" s="4">
        <v>193.7263318367711</v>
      </c>
      <c r="AZ116" s="4">
        <v>188.55129827182969</v>
      </c>
      <c r="BA116" s="4">
        <v>185.39035691190244</v>
      </c>
      <c r="BB116" s="4">
        <v>182.24277823689008</v>
      </c>
      <c r="BC116" s="4">
        <v>178.73730532889095</v>
      </c>
      <c r="BD116" s="4">
        <v>175.98463777083703</v>
      </c>
      <c r="BE116" s="4">
        <v>173.85444525841368</v>
      </c>
      <c r="BF116" s="4">
        <v>171.76409036986266</v>
      </c>
      <c r="BG116" s="4">
        <v>169.9608708767104</v>
      </c>
      <c r="BH116" s="4">
        <v>168.30413144812266</v>
      </c>
      <c r="BJ116" s="9"/>
    </row>
    <row r="117" spans="1:62" x14ac:dyDescent="0.25">
      <c r="A117" s="6" t="s">
        <v>112</v>
      </c>
      <c r="B117" s="6"/>
      <c r="C117" s="7" t="s">
        <v>525</v>
      </c>
      <c r="D117" s="3"/>
      <c r="E117" s="3">
        <f>VLOOKUP(A117,[2]Sheet1!$A$2:$E$627,5,0)</f>
        <v>4752.3842778929866</v>
      </c>
      <c r="F117" s="3">
        <f>VLOOKUP(A117,[2]Sheet1!$A$2:$F$627,6,0)</f>
        <v>3958.1543074732667</v>
      </c>
      <c r="G117" s="3">
        <f>VLOOKUP(A117,[2]Sheet1!$A$2:$G$627,7,0)</f>
        <v>4198.242797076502</v>
      </c>
      <c r="H117" s="4">
        <f t="shared" si="6"/>
        <v>3243.7272442080894</v>
      </c>
      <c r="I117" s="11">
        <f t="shared" si="7"/>
        <v>-0.16712242192078142</v>
      </c>
      <c r="J117" s="11">
        <f t="shared" si="8"/>
        <v>-0.11660283521141693</v>
      </c>
      <c r="K117" s="11">
        <f t="shared" si="9"/>
        <v>6.0656677570637349E-2</v>
      </c>
      <c r="L117" s="11">
        <f>IF(S117="",((BG117-E117)/E117),((U117-E117)/E117))</f>
        <v>-0.32461820190559249</v>
      </c>
      <c r="M117" s="3" t="str">
        <f>IF(S117="Churn","Churn",VLOOKUP(A117,'[1]Revenue_Engine_2025 Dec.25'!$C$14:$E$3993,3,0))</f>
        <v>Teknoloji</v>
      </c>
      <c r="N117" s="3">
        <f>IF(S117="",VLOOKUP(A117,[3]Export!$B$2:$F$417,5,0),"CHURN")</f>
        <v>0.21240173515099542</v>
      </c>
      <c r="O117" s="3">
        <f>(1-N117)*H117</f>
        <v>2554.7539491817342</v>
      </c>
      <c r="P117" s="3">
        <f t="shared" si="11"/>
        <v>3117.435464570558</v>
      </c>
      <c r="Q117" s="3">
        <f t="shared" si="10"/>
        <v>3306.5287423922846</v>
      </c>
      <c r="R117" s="3" t="str">
        <f>IF(S117&lt;&gt;"Churn",VLOOKUP(A117,[3]Export!$B$2:$O$417,8,0),"CHURN")</f>
        <v>HIGH RISK</v>
      </c>
      <c r="S117" s="3"/>
      <c r="T117" s="3"/>
      <c r="U117" s="3" t="s">
        <v>551</v>
      </c>
      <c r="V117" s="4" t="str" cm="1">
        <f t="array" ref="V117">IFERROR(
    IF(
        MATCH(2,1/((Y117:BH117&lt;&gt;0)*(Y117:BH117&lt;&gt;"")))-MATCH(1,INDEX((Y117:BH117&lt;&gt;0)*(Y117:BH117&lt;&gt;""),0),0)+1 &lt;= 12,
        "No",
        "Yes"
    ),
    "No"
)</f>
        <v>Yes</v>
      </c>
      <c r="W117" s="4" t="str" cm="1">
        <f t="array" ref="W117">IFERROR(
    IF(
        MATCH(2,1/((Y117:BH117&lt;&gt;0)*(Y117:BH117&lt;&gt;"")))-MATCH(1,INDEX((Y117:BH117&lt;&gt;0)*(Y117:BH117&lt;&gt;""),0),0)+1 &lt;= 24,
        "No",
        "Yes"
    ),
    "No"
)</f>
        <v>Yes</v>
      </c>
      <c r="X117" s="3"/>
      <c r="Y117" s="4">
        <v>4752.3842778929866</v>
      </c>
      <c r="Z117" s="4">
        <v>4021.4043997726276</v>
      </c>
      <c r="AA117" s="4">
        <v>4363.493310692872</v>
      </c>
      <c r="AB117" s="4">
        <v>4139.0401997296194</v>
      </c>
      <c r="AC117" s="4">
        <v>4023.6678320256924</v>
      </c>
      <c r="AD117" s="4">
        <v>3383.7545724932488</v>
      </c>
      <c r="AE117" s="4">
        <v>2975.2964389455065</v>
      </c>
      <c r="AF117" s="4">
        <v>2897.1918273928727</v>
      </c>
      <c r="AG117" s="4">
        <v>2894.5031979301616</v>
      </c>
      <c r="AH117" s="4">
        <v>2890.2824612003956</v>
      </c>
      <c r="AI117" s="4">
        <v>2810.7147280366944</v>
      </c>
      <c r="AJ117" s="4">
        <v>2936.1802702227974</v>
      </c>
      <c r="AK117" s="4">
        <v>3958.1543074732667</v>
      </c>
      <c r="AL117" s="4">
        <v>3864.3529166476628</v>
      </c>
      <c r="AM117" s="4">
        <v>3905.8508938473969</v>
      </c>
      <c r="AN117" s="4">
        <v>3866.9490342532245</v>
      </c>
      <c r="AO117" s="4">
        <v>3872.5706298050777</v>
      </c>
      <c r="AP117" s="4">
        <v>3881.2818396299072</v>
      </c>
      <c r="AQ117" s="4">
        <v>3904.0571847819797</v>
      </c>
      <c r="AR117" s="4">
        <v>3272.2894437394625</v>
      </c>
      <c r="AS117" s="4">
        <v>3234.8251146957837</v>
      </c>
      <c r="AT117" s="4">
        <v>3448.8160909785288</v>
      </c>
      <c r="AU117" s="4">
        <v>3081.0570982040213</v>
      </c>
      <c r="AV117" s="4">
        <v>2820.4098238536735</v>
      </c>
      <c r="AW117" s="4">
        <v>4198.242797076502</v>
      </c>
      <c r="AX117" s="4">
        <v>4128.6045757341381</v>
      </c>
      <c r="AY117" s="4">
        <v>3854.7000432480345</v>
      </c>
      <c r="AZ117" s="4">
        <v>3663.6542291371252</v>
      </c>
      <c r="BA117" s="4">
        <v>3602.2354201048133</v>
      </c>
      <c r="BB117" s="4">
        <v>3541.0763425220771</v>
      </c>
      <c r="BC117" s="4">
        <v>3472.96309653253</v>
      </c>
      <c r="BD117" s="4">
        <v>3419.4772681065469</v>
      </c>
      <c r="BE117" s="4">
        <v>3283.203138659926</v>
      </c>
      <c r="BF117" s="4">
        <v>3243.7272442080894</v>
      </c>
      <c r="BG117" s="4">
        <v>3209.6738388389576</v>
      </c>
      <c r="BH117" s="4">
        <v>1477.0627142055368</v>
      </c>
      <c r="BJ117" s="9"/>
    </row>
    <row r="118" spans="1:62" x14ac:dyDescent="0.25">
      <c r="A118" s="6" t="s">
        <v>113</v>
      </c>
      <c r="B118" s="6"/>
      <c r="C118" s="7" t="s">
        <v>526</v>
      </c>
      <c r="D118" s="3"/>
      <c r="E118" s="3">
        <f>VLOOKUP(A118,[2]Sheet1!$A$2:$E$627,5,0)</f>
        <v>2557.54</v>
      </c>
      <c r="F118" s="3">
        <f>VLOOKUP(A118,[2]Sheet1!$A$2:$F$627,6,0)</f>
        <v>3413.8976359999992</v>
      </c>
      <c r="G118" s="3">
        <f>VLOOKUP(A118,[2]Sheet1!$A$2:$G$627,7,0)</f>
        <v>3570.7561670000005</v>
      </c>
      <c r="H118" s="4">
        <f t="shared" si="6"/>
        <v>0</v>
      </c>
      <c r="I118" s="11">
        <f t="shared" si="7"/>
        <v>0.33483645847181248</v>
      </c>
      <c r="J118" s="11">
        <f t="shared" si="8"/>
        <v>0.39616825816996037</v>
      </c>
      <c r="K118" s="11">
        <f t="shared" si="9"/>
        <v>4.5947051647333356E-2</v>
      </c>
      <c r="L118" s="11">
        <f>IF(S118="",((BG118-E118)/E118),((U118-E118)/E118))</f>
        <v>0.41079246737098934</v>
      </c>
      <c r="M118" s="3" t="str">
        <f>IF(S118="Churn","Churn",VLOOKUP(A118,'[1]Revenue_Engine_2025 Dec.25'!$C$14:$E$3993,3,0))</f>
        <v>Churn</v>
      </c>
      <c r="N118" s="3" t="str">
        <f>IF(S118="",VLOOKUP(A118,[3]Export!$B$2:$F$417,5,0),"CHURN")</f>
        <v>CHURN</v>
      </c>
      <c r="O118" s="3" t="e">
        <f>(1-N118)*H118</f>
        <v>#VALUE!</v>
      </c>
      <c r="P118" s="3" t="e">
        <f t="shared" si="11"/>
        <v>#VALUE!</v>
      </c>
      <c r="Q118" s="3" t="e">
        <f t="shared" si="10"/>
        <v>#VALUE!</v>
      </c>
      <c r="R118" s="3" t="str">
        <f>IF(S118&lt;&gt;"Churn",VLOOKUP(A118,[3]Export!$B$2:$O$417,8,0),"CHURN")</f>
        <v>CHURN</v>
      </c>
      <c r="S118" s="3" t="s">
        <v>372</v>
      </c>
      <c r="T118" s="3" t="s">
        <v>557</v>
      </c>
      <c r="U118" s="3">
        <v>3608.158167</v>
      </c>
      <c r="V118" s="4" t="str" cm="1">
        <f t="array" ref="V118">IFERROR(
    IF(
        MATCH(2,1/((Y118:BH118&lt;&gt;0)*(Y118:BH118&lt;&gt;"")))-MATCH(1,INDEX((Y118:BH118&lt;&gt;0)*(Y118:BH118&lt;&gt;""),0),0)+1 &lt;= 12,
        "No",
        "Yes"
    ),
    "No"
)</f>
        <v>Yes</v>
      </c>
      <c r="W118" s="4" t="str" cm="1">
        <f t="array" ref="W118">IFERROR(
    IF(
        MATCH(2,1/((Y118:BH118&lt;&gt;0)*(Y118:BH118&lt;&gt;"")))-MATCH(1,INDEX((Y118:BH118&lt;&gt;0)*(Y118:BH118&lt;&gt;""),0),0)+1 &lt;= 24,
        "No",
        "Yes"
    ),
    "No"
)</f>
        <v>Yes</v>
      </c>
      <c r="X118" s="3"/>
      <c r="Y118" s="4">
        <v>2545.04</v>
      </c>
      <c r="Z118" s="4">
        <v>2557.54</v>
      </c>
      <c r="AA118" s="4">
        <v>2557.54</v>
      </c>
      <c r="AB118" s="4">
        <v>2670.5398399999999</v>
      </c>
      <c r="AC118" s="4">
        <v>2878.0398399999999</v>
      </c>
      <c r="AD118" s="4">
        <v>3147.7398309999999</v>
      </c>
      <c r="AE118" s="4">
        <v>3159.7398309999999</v>
      </c>
      <c r="AF118" s="4">
        <v>3374.7735609999995</v>
      </c>
      <c r="AG118" s="4">
        <v>3375.7376359999994</v>
      </c>
      <c r="AH118" s="4">
        <v>3413.8976359999992</v>
      </c>
      <c r="AI118" s="4">
        <v>3413.8976359999992</v>
      </c>
      <c r="AJ118" s="4">
        <v>3413.8976359999992</v>
      </c>
      <c r="AK118" s="4">
        <v>3413.8976359999992</v>
      </c>
      <c r="AL118" s="4">
        <v>3413.8976359999992</v>
      </c>
      <c r="AM118" s="4">
        <v>3337.5776359999995</v>
      </c>
      <c r="AN118" s="4">
        <v>3337.5776359999995</v>
      </c>
      <c r="AO118" s="4">
        <v>3349.3076359999995</v>
      </c>
      <c r="AP118" s="4">
        <v>3349.3076359999995</v>
      </c>
      <c r="AQ118" s="4">
        <v>3350.3076359999995</v>
      </c>
      <c r="AR118" s="4">
        <v>3363.0276359999993</v>
      </c>
      <c r="AS118" s="4">
        <v>3363.0276359999993</v>
      </c>
      <c r="AT118" s="4">
        <v>3388.4676359999994</v>
      </c>
      <c r="AU118" s="4">
        <v>3388.4676359999994</v>
      </c>
      <c r="AV118" s="4">
        <v>3388.4676359999994</v>
      </c>
      <c r="AW118" s="4">
        <v>3570.7561670000005</v>
      </c>
      <c r="AX118" s="4">
        <v>3570.7561670000005</v>
      </c>
      <c r="AY118" s="4">
        <v>3570.7561670000005</v>
      </c>
      <c r="AZ118" s="4">
        <v>3570.7561670000005</v>
      </c>
      <c r="BA118" s="4">
        <v>3608.158167</v>
      </c>
      <c r="BB118" s="4">
        <v>3608.158167</v>
      </c>
      <c r="BC118" s="4">
        <v>3608.158167</v>
      </c>
      <c r="BD118" s="4">
        <v>0</v>
      </c>
      <c r="BE118" s="4">
        <v>0</v>
      </c>
      <c r="BF118" s="4">
        <v>0</v>
      </c>
      <c r="BG118" s="4">
        <v>0</v>
      </c>
      <c r="BH118" s="4">
        <v>0</v>
      </c>
      <c r="BJ118" s="9"/>
    </row>
    <row r="119" spans="1:62" x14ac:dyDescent="0.25">
      <c r="A119" s="6" t="s">
        <v>114</v>
      </c>
      <c r="B119" s="6"/>
      <c r="C119" s="7" t="s">
        <v>526</v>
      </c>
      <c r="D119" s="3"/>
      <c r="E119" s="3">
        <f>VLOOKUP(A119,[2]Sheet1!$A$2:$E$627,5,0)</f>
        <v>357.72743549966322</v>
      </c>
      <c r="F119" s="3">
        <f>VLOOKUP(A119,[2]Sheet1!$A$2:$F$627,6,0)</f>
        <v>627.40544743016494</v>
      </c>
      <c r="G119" s="3">
        <f>VLOOKUP(A119,[2]Sheet1!$A$2:$G$627,7,0)</f>
        <v>1535.2572442521378</v>
      </c>
      <c r="H119" s="4">
        <f t="shared" si="6"/>
        <v>1943.4615527626772</v>
      </c>
      <c r="I119" s="11">
        <f t="shared" si="7"/>
        <v>0.75386449337838279</v>
      </c>
      <c r="J119" s="11">
        <f t="shared" si="8"/>
        <v>3.2916955533693839</v>
      </c>
      <c r="K119" s="11">
        <f t="shared" si="9"/>
        <v>1.4469938068604731</v>
      </c>
      <c r="L119" s="11">
        <f>IF(S119="",((BG119-E119)/E119),((U119-E119)/E119))</f>
        <v>4.4148843177458668</v>
      </c>
      <c r="M119" s="3" t="str">
        <f>IF(S119="Churn","Churn",VLOOKUP(A119,'[1]Revenue_Engine_2025 Dec.25'!$C$14:$E$3993,3,0))</f>
        <v>Genel</v>
      </c>
      <c r="N119" s="3">
        <f>IF(S119="",VLOOKUP(A119,[3]Export!$B$2:$F$417,5,0),"CHURN")</f>
        <v>0.22832096363693019</v>
      </c>
      <c r="O119" s="3">
        <f>(1-N119)*H119</f>
        <v>1499.728538244578</v>
      </c>
      <c r="P119" s="3">
        <f t="shared" si="11"/>
        <v>484.15563108185034</v>
      </c>
      <c r="Q119" s="3">
        <f t="shared" si="10"/>
        <v>1184.7258308139117</v>
      </c>
      <c r="R119" s="3" t="str">
        <f>IF(S119&lt;&gt;"Churn",VLOOKUP(A119,[3]Export!$B$2:$O$417,8,0),"CHURN")</f>
        <v>NO RISK</v>
      </c>
      <c r="S119" s="3"/>
      <c r="T119" s="3"/>
      <c r="U119" s="3" t="s">
        <v>551</v>
      </c>
      <c r="V119" s="4" t="str" cm="1">
        <f t="array" ref="V119">IFERROR(
    IF(
        MATCH(2,1/((Y119:BH119&lt;&gt;0)*(Y119:BH119&lt;&gt;"")))-MATCH(1,INDEX((Y119:BH119&lt;&gt;0)*(Y119:BH119&lt;&gt;""),0),0)+1 &lt;= 12,
        "No",
        "Yes"
    ),
    "No"
)</f>
        <v>Yes</v>
      </c>
      <c r="W119" s="4" t="str" cm="1">
        <f t="array" ref="W119">IFERROR(
    IF(
        MATCH(2,1/((Y119:BH119&lt;&gt;0)*(Y119:BH119&lt;&gt;"")))-MATCH(1,INDEX((Y119:BH119&lt;&gt;0)*(Y119:BH119&lt;&gt;""),0),0)+1 &lt;= 24,
        "No",
        "Yes"
    ),
    "No"
)</f>
        <v>Yes</v>
      </c>
      <c r="X119" s="3"/>
      <c r="Y119" s="4">
        <v>357.72743549966322</v>
      </c>
      <c r="Z119" s="4">
        <v>356.80907118862564</v>
      </c>
      <c r="AA119" s="4">
        <v>354.87271982604807</v>
      </c>
      <c r="AB119" s="4">
        <v>354.52728947500179</v>
      </c>
      <c r="AC119" s="4">
        <v>474.07540821442598</v>
      </c>
      <c r="AD119" s="4">
        <v>413.70940993470305</v>
      </c>
      <c r="AE119" s="4">
        <v>378.66494237855562</v>
      </c>
      <c r="AF119" s="4">
        <v>369.50063386378241</v>
      </c>
      <c r="AG119" s="4">
        <v>365.25211159903932</v>
      </c>
      <c r="AH119" s="4">
        <v>360.12905311777735</v>
      </c>
      <c r="AI119" s="4">
        <v>538.82663702190234</v>
      </c>
      <c r="AJ119" s="4">
        <v>644.71518921221173</v>
      </c>
      <c r="AK119" s="4">
        <v>627.40544743016494</v>
      </c>
      <c r="AL119" s="4">
        <v>618.11351024991154</v>
      </c>
      <c r="AM119" s="4">
        <v>817.96097315429233</v>
      </c>
      <c r="AN119" s="4">
        <v>816.03522512378777</v>
      </c>
      <c r="AO119" s="4">
        <v>812.89153788408248</v>
      </c>
      <c r="AP119" s="4">
        <v>807.89695304623501</v>
      </c>
      <c r="AQ119" s="4">
        <v>1577.1216851148911</v>
      </c>
      <c r="AR119" s="4">
        <v>1568.6760171031419</v>
      </c>
      <c r="AS119" s="4">
        <v>1562.1996118710558</v>
      </c>
      <c r="AT119" s="4">
        <v>1554.981667505474</v>
      </c>
      <c r="AU119" s="4">
        <v>1551.9390300272671</v>
      </c>
      <c r="AV119" s="4">
        <v>1543.4036342384336</v>
      </c>
      <c r="AW119" s="4">
        <v>1535.2572442521378</v>
      </c>
      <c r="AX119" s="4">
        <v>1835.3645634456311</v>
      </c>
      <c r="AY119" s="4">
        <v>1858.8878410253815</v>
      </c>
      <c r="AZ119" s="4">
        <v>2002.6254324260494</v>
      </c>
      <c r="BA119" s="4">
        <v>1991.391043358909</v>
      </c>
      <c r="BB119" s="4">
        <v>1980.2041469796172</v>
      </c>
      <c r="BC119" s="4">
        <v>1968.2452488133792</v>
      </c>
      <c r="BD119" s="4">
        <v>1958.4619169516375</v>
      </c>
      <c r="BE119" s="4">
        <v>1950.8909408570271</v>
      </c>
      <c r="BF119" s="4">
        <v>1943.4615527626772</v>
      </c>
      <c r="BG119" s="4">
        <v>1937.0526805145726</v>
      </c>
      <c r="BH119" s="4">
        <v>1931.1644171131738</v>
      </c>
      <c r="BJ119" s="9"/>
    </row>
    <row r="120" spans="1:62" x14ac:dyDescent="0.25">
      <c r="A120" s="6" t="s">
        <v>115</v>
      </c>
      <c r="B120" s="6"/>
      <c r="C120" s="7" t="s">
        <v>526</v>
      </c>
      <c r="D120" s="3"/>
      <c r="E120" s="3">
        <f>VLOOKUP(A120,[2]Sheet1!$A$2:$E$627,5,0)</f>
        <v>63.972748063523888</v>
      </c>
      <c r="F120" s="3">
        <f>VLOOKUP(A120,[2]Sheet1!$A$2:$F$627,6,0)</f>
        <v>40.012383756406116</v>
      </c>
      <c r="G120" s="3">
        <f>VLOOKUP(A120,[2]Sheet1!$A$2:$G$627,7,0)</f>
        <v>42.328439766345909</v>
      </c>
      <c r="H120" s="4">
        <f t="shared" si="6"/>
        <v>54.044661125471315</v>
      </c>
      <c r="I120" s="11">
        <f t="shared" si="7"/>
        <v>-0.37454017581557575</v>
      </c>
      <c r="J120" s="11">
        <f t="shared" si="8"/>
        <v>-0.33833638466938354</v>
      </c>
      <c r="K120" s="11">
        <f t="shared" si="9"/>
        <v>5.7883479875626864E-2</v>
      </c>
      <c r="L120" s="11">
        <f>IF(S120="",((BG120-E120)/E120),((U120-E120)/E120))</f>
        <v>-0.15519244113437405</v>
      </c>
      <c r="M120" s="3" t="str">
        <f>IF(S120="Churn","Churn",VLOOKUP(A120,'[1]Revenue_Engine_2025 Dec.25'!$C$14:$E$3993,3,0))</f>
        <v>Teknoloji</v>
      </c>
      <c r="N120" s="3">
        <f>IF(S120="",VLOOKUP(A120,[3]Export!$B$2:$F$417,5,0),"CHURN")</f>
        <v>0.55488920061741831</v>
      </c>
      <c r="O120" s="3">
        <f>(1-N120)*H120</f>
        <v>24.055862315919274</v>
      </c>
      <c r="P120" s="3">
        <f t="shared" si="11"/>
        <v>17.809944119016553</v>
      </c>
      <c r="Q120" s="3">
        <f t="shared" si="10"/>
        <v>18.840845661015688</v>
      </c>
      <c r="R120" s="3" t="str">
        <f>IF(S120&lt;&gt;"Churn",VLOOKUP(A120,[3]Export!$B$2:$O$417,8,0),"CHURN")</f>
        <v>NO RISK</v>
      </c>
      <c r="S120" s="3"/>
      <c r="T120" s="3"/>
      <c r="U120" s="3" t="s">
        <v>551</v>
      </c>
      <c r="V120" s="4" t="str" cm="1">
        <f t="array" ref="V120">IFERROR(
    IF(
        MATCH(2,1/((Y120:BH120&lt;&gt;0)*(Y120:BH120&lt;&gt;"")))-MATCH(1,INDEX((Y120:BH120&lt;&gt;0)*(Y120:BH120&lt;&gt;""),0),0)+1 &lt;= 12,
        "No",
        "Yes"
    ),
    "No"
)</f>
        <v>Yes</v>
      </c>
      <c r="W120" s="4" t="str" cm="1">
        <f t="array" ref="W120">IFERROR(
    IF(
        MATCH(2,1/((Y120:BH120&lt;&gt;0)*(Y120:BH120&lt;&gt;"")))-MATCH(1,INDEX((Y120:BH120&lt;&gt;0)*(Y120:BH120&lt;&gt;""),0),0)+1 &lt;= 24,
        "No",
        "Yes"
    ),
    "No"
)</f>
        <v>Yes</v>
      </c>
      <c r="X120" s="3"/>
      <c r="Y120" s="4">
        <v>63.972748063523888</v>
      </c>
      <c r="Z120" s="4">
        <v>63.750484761231853</v>
      </c>
      <c r="AA120" s="4">
        <v>63.281847377274808</v>
      </c>
      <c r="AB120" s="4">
        <v>71.157556419991607</v>
      </c>
      <c r="AC120" s="4">
        <v>69.978464571730569</v>
      </c>
      <c r="AD120" s="4">
        <v>60.280614337971357</v>
      </c>
      <c r="AE120" s="4">
        <v>45.446046407701552</v>
      </c>
      <c r="AF120" s="4">
        <v>44.586238542336233</v>
      </c>
      <c r="AG120" s="4">
        <v>44.544861967460186</v>
      </c>
      <c r="AH120" s="4">
        <v>43.171899008599439</v>
      </c>
      <c r="AI120" s="4">
        <v>41.983402663830482</v>
      </c>
      <c r="AJ120" s="4">
        <v>41.329257834429136</v>
      </c>
      <c r="AK120" s="4">
        <v>40.012383756406116</v>
      </c>
      <c r="AL120" s="4">
        <v>48.865752764185793</v>
      </c>
      <c r="AM120" s="4">
        <v>46.994909487377107</v>
      </c>
      <c r="AN120" s="4">
        <v>46.5268451858446</v>
      </c>
      <c r="AO120" s="4">
        <v>46.594483808340442</v>
      </c>
      <c r="AP120" s="4">
        <v>46.199970431879365</v>
      </c>
      <c r="AQ120" s="4">
        <v>45.664804142730581</v>
      </c>
      <c r="AR120" s="4">
        <v>44.681742953655878</v>
      </c>
      <c r="AS120" s="4">
        <v>44.170183218784778</v>
      </c>
      <c r="AT120" s="4">
        <v>43.897049811680766</v>
      </c>
      <c r="AU120" s="4">
        <v>43.655080165657253</v>
      </c>
      <c r="AV120" s="4">
        <v>42.976291873431357</v>
      </c>
      <c r="AW120" s="4">
        <v>42.328439766345909</v>
      </c>
      <c r="AX120" s="4">
        <v>41.582265911529156</v>
      </c>
      <c r="AY120" s="4">
        <v>40.544841996004962</v>
      </c>
      <c r="AZ120" s="4">
        <v>39.461763212518385</v>
      </c>
      <c r="BA120" s="4">
        <v>38.800212108827346</v>
      </c>
      <c r="BB120" s="4">
        <v>38.141457671681863</v>
      </c>
      <c r="BC120" s="4">
        <v>45.637539128743292</v>
      </c>
      <c r="BD120" s="4">
        <v>44.934692159231538</v>
      </c>
      <c r="BE120" s="4">
        <v>44.39078363404375</v>
      </c>
      <c r="BF120" s="4">
        <v>43.857046970375997</v>
      </c>
      <c r="BG120" s="4">
        <v>54.044661125471315</v>
      </c>
      <c r="BH120" s="4">
        <v>53.517846214901802</v>
      </c>
      <c r="BJ120" s="9"/>
    </row>
    <row r="121" spans="1:62" x14ac:dyDescent="0.25">
      <c r="A121" s="6" t="s">
        <v>116</v>
      </c>
      <c r="B121" s="6"/>
      <c r="C121" s="7" t="s">
        <v>525</v>
      </c>
      <c r="D121" s="3"/>
      <c r="E121" s="3">
        <f>VLOOKUP(A121,[2]Sheet1!$A$2:$E$627,5,0)</f>
        <v>11483.88</v>
      </c>
      <c r="F121" s="3">
        <f>VLOOKUP(A121,[2]Sheet1!$A$2:$F$627,6,0)</f>
        <v>15287.778107000002</v>
      </c>
      <c r="G121" s="3">
        <f>VLOOKUP(A121,[2]Sheet1!$A$2:$G$627,7,0)</f>
        <v>15287.778107000002</v>
      </c>
      <c r="H121" s="4">
        <f t="shared" si="6"/>
        <v>17872.69375607674</v>
      </c>
      <c r="I121" s="11">
        <f t="shared" si="7"/>
        <v>0.33123805778186494</v>
      </c>
      <c r="J121" s="11">
        <f t="shared" si="8"/>
        <v>0.33123805778186494</v>
      </c>
      <c r="K121" s="11">
        <f t="shared" si="9"/>
        <v>0</v>
      </c>
      <c r="L121" s="11">
        <f>IF(S121="",((BG121-E121)/E121),((U121-E121)/E121))</f>
        <v>0.55632885018623857</v>
      </c>
      <c r="M121" s="3" t="str">
        <f>IF(S121="Churn","Churn",VLOOKUP(A121,'[1]Revenue_Engine_2025 Dec.25'!$C$14:$E$3993,3,0))</f>
        <v>Finans</v>
      </c>
      <c r="N121" s="3">
        <f>IF(S121="",VLOOKUP(A121,[3]Export!$B$2:$F$417,5,0),"CHURN")</f>
        <v>0.30299393602283747</v>
      </c>
      <c r="O121" s="3">
        <f>(1-N121)*H121</f>
        <v>12457.375927592257</v>
      </c>
      <c r="P121" s="3">
        <f t="shared" si="11"/>
        <v>10655.674045316307</v>
      </c>
      <c r="Q121" s="3">
        <f t="shared" si="10"/>
        <v>10655.674045316307</v>
      </c>
      <c r="R121" s="3" t="str">
        <f>IF(S121&lt;&gt;"Churn",VLOOKUP(A121,[3]Export!$B$2:$O$417,8,0),"CHURN")</f>
        <v>NO RISK</v>
      </c>
      <c r="S121" s="3"/>
      <c r="T121" s="3"/>
      <c r="U121" s="3" t="s">
        <v>551</v>
      </c>
      <c r="V121" s="4" t="str" cm="1">
        <f t="array" ref="V121">IFERROR(
    IF(
        MATCH(2,1/((Y121:BH121&lt;&gt;0)*(Y121:BH121&lt;&gt;"")))-MATCH(1,INDEX((Y121:BH121&lt;&gt;0)*(Y121:BH121&lt;&gt;""),0),0)+1 &lt;= 12,
        "No",
        "Yes"
    ),
    "No"
)</f>
        <v>Yes</v>
      </c>
      <c r="W121" s="4" t="str" cm="1">
        <f t="array" ref="W121">IFERROR(
    IF(
        MATCH(2,1/((Y121:BH121&lt;&gt;0)*(Y121:BH121&lt;&gt;"")))-MATCH(1,INDEX((Y121:BH121&lt;&gt;0)*(Y121:BH121&lt;&gt;""),0),0)+1 &lt;= 24,
        "No",
        "Yes"
    ),
    "No"
)</f>
        <v>Yes</v>
      </c>
      <c r="X121" s="3"/>
      <c r="Y121" s="4">
        <v>11373.41</v>
      </c>
      <c r="Z121" s="4">
        <v>11483.88</v>
      </c>
      <c r="AA121" s="4">
        <v>11483.88</v>
      </c>
      <c r="AB121" s="4">
        <v>11829.41</v>
      </c>
      <c r="AC121" s="4">
        <v>12267.511881</v>
      </c>
      <c r="AD121" s="4">
        <v>12591.663421000001</v>
      </c>
      <c r="AE121" s="4">
        <v>13751.663421000001</v>
      </c>
      <c r="AF121" s="4">
        <v>13747.283421</v>
      </c>
      <c r="AG121" s="4">
        <v>14806.898107000001</v>
      </c>
      <c r="AH121" s="4">
        <v>14806.898107000001</v>
      </c>
      <c r="AI121" s="4">
        <v>15287.778107000002</v>
      </c>
      <c r="AJ121" s="4">
        <v>15287.778107000002</v>
      </c>
      <c r="AK121" s="4">
        <v>15287.778107000002</v>
      </c>
      <c r="AL121" s="4">
        <v>15287.778107000002</v>
      </c>
      <c r="AM121" s="4">
        <v>15287.778107000002</v>
      </c>
      <c r="AN121" s="4">
        <v>15287.778107000002</v>
      </c>
      <c r="AO121" s="4">
        <v>15287.778107000002</v>
      </c>
      <c r="AP121" s="4">
        <v>15287.778107000002</v>
      </c>
      <c r="AQ121" s="4">
        <v>15287.778107000002</v>
      </c>
      <c r="AR121" s="4">
        <v>15287.778107000002</v>
      </c>
      <c r="AS121" s="4">
        <v>15287.778107000002</v>
      </c>
      <c r="AT121" s="4">
        <v>15287.778107000002</v>
      </c>
      <c r="AU121" s="4">
        <v>15287.778107000002</v>
      </c>
      <c r="AV121" s="4">
        <v>15287.778107000002</v>
      </c>
      <c r="AW121" s="4">
        <v>15287.778107000002</v>
      </c>
      <c r="AX121" s="4">
        <v>15287.778107000002</v>
      </c>
      <c r="AY121" s="4">
        <v>15287.778107000002</v>
      </c>
      <c r="AZ121" s="4">
        <v>15287.778107000002</v>
      </c>
      <c r="BA121" s="4">
        <v>15287.778107000002</v>
      </c>
      <c r="BB121" s="4">
        <v>15287.778107000002</v>
      </c>
      <c r="BC121" s="4">
        <v>16509.772002018257</v>
      </c>
      <c r="BD121" s="4">
        <v>16887.67861001434</v>
      </c>
      <c r="BE121" s="4">
        <v>19605.109424955001</v>
      </c>
      <c r="BF121" s="4">
        <v>16093.737314355694</v>
      </c>
      <c r="BG121" s="4">
        <v>17872.69375607674</v>
      </c>
      <c r="BH121" s="4">
        <v>17801.833227250019</v>
      </c>
      <c r="BJ121" s="9"/>
    </row>
    <row r="122" spans="1:62" x14ac:dyDescent="0.25">
      <c r="A122" s="6" t="s">
        <v>117</v>
      </c>
      <c r="B122" s="6"/>
      <c r="C122" s="7" t="s">
        <v>526</v>
      </c>
      <c r="D122" s="3"/>
      <c r="E122" s="3">
        <f>VLOOKUP(A122,[2]Sheet1!$A$2:$E$627,5,0)</f>
        <v>1000</v>
      </c>
      <c r="F122" s="3">
        <f>VLOOKUP(A122,[2]Sheet1!$A$2:$F$627,6,0)</f>
        <v>1034.0000249999998</v>
      </c>
      <c r="G122" s="3">
        <f>VLOOKUP(A122,[2]Sheet1!$A$2:$G$627,7,0)</f>
        <v>1251.9990250000001</v>
      </c>
      <c r="H122" s="4">
        <f t="shared" si="6"/>
        <v>1477.3990249999999</v>
      </c>
      <c r="I122" s="11">
        <f t="shared" si="7"/>
        <v>3.4000024999999823E-2</v>
      </c>
      <c r="J122" s="11">
        <f t="shared" si="8"/>
        <v>0.2519990250000001</v>
      </c>
      <c r="K122" s="11">
        <f t="shared" si="9"/>
        <v>0.21083074925457598</v>
      </c>
      <c r="L122" s="11">
        <f>IF(S122="",((BG122-E122)/E122),((U122-E122)/E122))</f>
        <v>0.47739902499999992</v>
      </c>
      <c r="M122" s="3" t="str">
        <f>IF(S122="Churn","Churn",VLOOKUP(A122,'[1]Revenue_Engine_2025 Dec.25'!$C$14:$E$3993,3,0))</f>
        <v>Genel</v>
      </c>
      <c r="N122" s="3">
        <f>IF(S122="",VLOOKUP(A122,[3]Export!$B$2:$F$417,5,0),"CHURN")</f>
        <v>0</v>
      </c>
      <c r="O122" s="3">
        <f>(1-N122)*H122</f>
        <v>1477.3990249999999</v>
      </c>
      <c r="P122" s="3">
        <f t="shared" si="11"/>
        <v>1034.0000249999998</v>
      </c>
      <c r="Q122" s="3">
        <f t="shared" si="10"/>
        <v>1251.9990250000001</v>
      </c>
      <c r="R122" s="3" t="str">
        <f>IF(S122&lt;&gt;"Churn",VLOOKUP(A122,[3]Export!$B$2:$O$417,8,0),"CHURN")</f>
        <v>NO RISK</v>
      </c>
      <c r="S122" s="3"/>
      <c r="T122" s="3"/>
      <c r="U122" s="3" t="s">
        <v>551</v>
      </c>
      <c r="V122" s="4" t="str" cm="1">
        <f t="array" ref="V122">IFERROR(
    IF(
        MATCH(2,1/((Y122:BH122&lt;&gt;0)*(Y122:BH122&lt;&gt;"")))-MATCH(1,INDEX((Y122:BH122&lt;&gt;0)*(Y122:BH122&lt;&gt;""),0),0)+1 &lt;= 12,
        "No",
        "Yes"
    ),
    "No"
)</f>
        <v>Yes</v>
      </c>
      <c r="W122" s="4" t="str" cm="1">
        <f t="array" ref="W122">IFERROR(
    IF(
        MATCH(2,1/((Y122:BH122&lt;&gt;0)*(Y122:BH122&lt;&gt;"")))-MATCH(1,INDEX((Y122:BH122&lt;&gt;0)*(Y122:BH122&lt;&gt;""),0),0)+1 &lt;= 24,
        "No",
        "Yes"
    ),
    "No"
)</f>
        <v>Yes</v>
      </c>
      <c r="X122" s="3"/>
      <c r="Y122" s="4">
        <v>1000</v>
      </c>
      <c r="Z122" s="4">
        <v>1000</v>
      </c>
      <c r="AA122" s="4">
        <v>1000</v>
      </c>
      <c r="AB122" s="4">
        <v>1000</v>
      </c>
      <c r="AC122" s="4">
        <v>1000.0000249999998</v>
      </c>
      <c r="AD122" s="4">
        <v>1025.0000249999998</v>
      </c>
      <c r="AE122" s="4">
        <v>1034.0000249999998</v>
      </c>
      <c r="AF122" s="4">
        <v>1034.0000249999998</v>
      </c>
      <c r="AG122" s="4">
        <v>1034.0000249999998</v>
      </c>
      <c r="AH122" s="4">
        <v>1034.0000249999998</v>
      </c>
      <c r="AI122" s="4">
        <v>1034.0000249999998</v>
      </c>
      <c r="AJ122" s="4">
        <v>1034.0000249999998</v>
      </c>
      <c r="AK122" s="4">
        <v>1034.0000249999998</v>
      </c>
      <c r="AL122" s="4">
        <v>1034.0000249999998</v>
      </c>
      <c r="AM122" s="4">
        <v>1059.0000249999998</v>
      </c>
      <c r="AN122" s="4">
        <v>1059.0000249999998</v>
      </c>
      <c r="AO122" s="4">
        <v>1059.0000249999998</v>
      </c>
      <c r="AP122" s="4">
        <v>1059.0000249999998</v>
      </c>
      <c r="AQ122" s="4">
        <v>1059.0000249999998</v>
      </c>
      <c r="AR122" s="4">
        <v>1059.0000249999998</v>
      </c>
      <c r="AS122" s="4">
        <v>1059.0000249999998</v>
      </c>
      <c r="AT122" s="4">
        <v>1059.0000249999998</v>
      </c>
      <c r="AU122" s="4">
        <v>1059.0000249999998</v>
      </c>
      <c r="AV122" s="4">
        <v>1059.0000249999998</v>
      </c>
      <c r="AW122" s="4">
        <v>1251.9990250000001</v>
      </c>
      <c r="AX122" s="4">
        <v>1251.9990250000001</v>
      </c>
      <c r="AY122" s="4">
        <v>1251.9990250000001</v>
      </c>
      <c r="AZ122" s="4">
        <v>1251.9990250000003</v>
      </c>
      <c r="BA122" s="4">
        <v>1251.9990250000001</v>
      </c>
      <c r="BB122" s="4">
        <v>1251.9990250000001</v>
      </c>
      <c r="BC122" s="4">
        <v>1251.9990250000001</v>
      </c>
      <c r="BD122" s="4">
        <v>1251.9990250000001</v>
      </c>
      <c r="BE122" s="4">
        <v>1251.9990250000001</v>
      </c>
      <c r="BF122" s="4">
        <v>1251.9990250000001</v>
      </c>
      <c r="BG122" s="4">
        <v>1477.3990249999999</v>
      </c>
      <c r="BH122" s="4">
        <v>1477.3990249999999</v>
      </c>
      <c r="BJ122" s="9"/>
    </row>
    <row r="123" spans="1:62" x14ac:dyDescent="0.25">
      <c r="A123" s="6" t="s">
        <v>118</v>
      </c>
      <c r="B123" s="6"/>
      <c r="C123" s="7" t="s">
        <v>526</v>
      </c>
      <c r="D123" s="3"/>
      <c r="E123" s="3">
        <f>VLOOKUP(A123,[2]Sheet1!$A$2:$E$627,5,0)</f>
        <v>165.26017816113401</v>
      </c>
      <c r="F123" s="3">
        <f>VLOOKUP(A123,[2]Sheet1!$A$2:$F$627,6,0)</f>
        <v>294.93430183822426</v>
      </c>
      <c r="G123" s="3">
        <f>VLOOKUP(A123,[2]Sheet1!$A$2:$G$627,7,0)</f>
        <v>323.55252024719931</v>
      </c>
      <c r="H123" s="4">
        <f t="shared" si="6"/>
        <v>303.49213913174168</v>
      </c>
      <c r="I123" s="11">
        <f t="shared" si="7"/>
        <v>0.78466648844256837</v>
      </c>
      <c r="J123" s="11">
        <f t="shared" si="8"/>
        <v>0.95783717437194793</v>
      </c>
      <c r="K123" s="11">
        <f t="shared" si="9"/>
        <v>9.703251954963367E-2</v>
      </c>
      <c r="L123" s="11">
        <f>IF(S123="",((BG123-E123)/E123),((U123-E123)/E123))</f>
        <v>0.76125462520226239</v>
      </c>
      <c r="M123" s="3" t="str">
        <f>IF(S123="Churn","Churn",VLOOKUP(A123,'[1]Revenue_Engine_2025 Dec.25'!$C$14:$E$3993,3,0))</f>
        <v>Üretim</v>
      </c>
      <c r="N123" s="3">
        <f>IF(S123="",VLOOKUP(A123,[3]Export!$B$2:$F$417,5,0),"CHURN")</f>
        <v>0.48956691580490419</v>
      </c>
      <c r="O123" s="3">
        <f>(1-N123)*H123</f>
        <v>154.91242860598203</v>
      </c>
      <c r="P123" s="3">
        <f t="shared" si="11"/>
        <v>150.54422532221213</v>
      </c>
      <c r="Q123" s="3">
        <f t="shared" si="10"/>
        <v>165.15191080887413</v>
      </c>
      <c r="R123" s="3" t="str">
        <f>IF(S123&lt;&gt;"Churn",VLOOKUP(A123,[3]Export!$B$2:$O$417,8,0),"CHURN")</f>
        <v>NO RISK</v>
      </c>
      <c r="S123" s="3"/>
      <c r="T123" s="3"/>
      <c r="U123" s="3" t="s">
        <v>551</v>
      </c>
      <c r="V123" s="4" t="str" cm="1">
        <f t="array" ref="V123">IFERROR(
    IF(
        MATCH(2,1/((Y123:BH123&lt;&gt;0)*(Y123:BH123&lt;&gt;"")))-MATCH(1,INDEX((Y123:BH123&lt;&gt;0)*(Y123:BH123&lt;&gt;""),0),0)+1 &lt;= 12,
        "No",
        "Yes"
    ),
    "No"
)</f>
        <v>Yes</v>
      </c>
      <c r="W123" s="4" t="str" cm="1">
        <f t="array" ref="W123">IFERROR(
    IF(
        MATCH(2,1/((Y123:BH123&lt;&gt;0)*(Y123:BH123&lt;&gt;"")))-MATCH(1,INDEX((Y123:BH123&lt;&gt;0)*(Y123:BH123&lt;&gt;""),0),0)+1 &lt;= 24,
        "No",
        "Yes"
    ),
    "No"
)</f>
        <v>Yes</v>
      </c>
      <c r="X123" s="3"/>
      <c r="Y123" s="4">
        <v>165.26017816113401</v>
      </c>
      <c r="Z123" s="4">
        <v>164.68600753305674</v>
      </c>
      <c r="AA123" s="4">
        <v>163.47538113494102</v>
      </c>
      <c r="AB123" s="4">
        <v>160.57101123479106</v>
      </c>
      <c r="AC123" s="4">
        <v>157.52710450628075</v>
      </c>
      <c r="AD123" s="4">
        <v>132.47441946429183</v>
      </c>
      <c r="AE123" s="4">
        <v>147.69911248205838</v>
      </c>
      <c r="AF123" s="4">
        <v>144.90474710469897</v>
      </c>
      <c r="AG123" s="4">
        <v>144.7702737264888</v>
      </c>
      <c r="AH123" s="4">
        <v>140.30816037398148</v>
      </c>
      <c r="AI123" s="4">
        <v>206.41746761175386</v>
      </c>
      <c r="AJ123" s="4">
        <v>273.20830688851157</v>
      </c>
      <c r="AK123" s="4">
        <v>294.93430183822426</v>
      </c>
      <c r="AL123" s="4">
        <v>288.15765967774513</v>
      </c>
      <c r="AM123" s="4">
        <v>277.12543793196357</v>
      </c>
      <c r="AN123" s="4">
        <v>274.36529803686807</v>
      </c>
      <c r="AO123" s="4">
        <v>274.76415789391939</v>
      </c>
      <c r="AP123" s="4">
        <v>272.43774225838843</v>
      </c>
      <c r="AQ123" s="4">
        <v>269.28190700166522</v>
      </c>
      <c r="AR123" s="4">
        <v>263.48486929039103</v>
      </c>
      <c r="AS123" s="4">
        <v>260.46824010435989</v>
      </c>
      <c r="AT123" s="4">
        <v>258.85759299633901</v>
      </c>
      <c r="AU123" s="4">
        <v>280.95218445231529</v>
      </c>
      <c r="AV123" s="4">
        <v>328.50460879929409</v>
      </c>
      <c r="AW123" s="4">
        <v>323.55252024719931</v>
      </c>
      <c r="AX123" s="4">
        <v>317.8488743627488</v>
      </c>
      <c r="AY123" s="4">
        <v>309.91895480309984</v>
      </c>
      <c r="AZ123" s="4">
        <v>301.6400559833524</v>
      </c>
      <c r="BA123" s="4">
        <v>296.58325426675015</v>
      </c>
      <c r="BB123" s="4">
        <v>291.54782986795362</v>
      </c>
      <c r="BC123" s="4">
        <v>285.93985445803327</v>
      </c>
      <c r="BD123" s="4">
        <v>281.53619983499323</v>
      </c>
      <c r="BE123" s="4">
        <v>278.12836655783201</v>
      </c>
      <c r="BF123" s="4">
        <v>274.78426460050378</v>
      </c>
      <c r="BG123" s="4">
        <v>291.06525314804719</v>
      </c>
      <c r="BH123" s="4">
        <v>303.49213913174168</v>
      </c>
      <c r="BJ123" s="9"/>
    </row>
    <row r="124" spans="1:62" x14ac:dyDescent="0.25">
      <c r="A124" s="6" t="s">
        <v>542</v>
      </c>
      <c r="B124" s="6"/>
      <c r="C124" s="7" t="s">
        <v>526</v>
      </c>
      <c r="D124" s="3"/>
      <c r="E124" s="3">
        <f>VLOOKUP(A124,[2]Sheet1!$A$2:$E$627,5,0)</f>
        <v>465.30973489068839</v>
      </c>
      <c r="F124" s="3">
        <f>VLOOKUP(A124,[2]Sheet1!$A$2:$F$627,6,0)</f>
        <v>503.67935336812167</v>
      </c>
      <c r="G124" s="3">
        <f>VLOOKUP(A124,[2]Sheet1!$A$2:$G$627,7,0)</f>
        <v>537.43633242204476</v>
      </c>
      <c r="H124" s="4">
        <f t="shared" si="6"/>
        <v>528.92951280837269</v>
      </c>
      <c r="I124" s="11">
        <f t="shared" si="7"/>
        <v>8.2460381978569947E-2</v>
      </c>
      <c r="J124" s="11">
        <f t="shared" si="8"/>
        <v>0.15500771233230379</v>
      </c>
      <c r="K124" s="11">
        <f t="shared" si="9"/>
        <v>6.7020771902181364E-2</v>
      </c>
      <c r="L124" s="11">
        <f>IF(S124="",((BG124-E124)/E124),((U124-E124)/E124))</f>
        <v>0.13925679400907651</v>
      </c>
      <c r="M124" s="3" t="str">
        <f>IF(S124="Churn","Churn",VLOOKUP(A124,'[1]Revenue_Engine_2025 Dec.25'!$C$14:$E$3993,3,0))</f>
        <v>Churn</v>
      </c>
      <c r="N124" s="3" t="str">
        <f>IF(S124="",VLOOKUP(A124,[3]Export!$B$2:$F$417,5,0),"CHURN")</f>
        <v>CHURN</v>
      </c>
      <c r="O124" s="3" t="e">
        <f>(1-N124)*H124</f>
        <v>#VALUE!</v>
      </c>
      <c r="P124" s="3" t="e">
        <f t="shared" si="11"/>
        <v>#VALUE!</v>
      </c>
      <c r="Q124" s="3" t="e">
        <f t="shared" si="10"/>
        <v>#VALUE!</v>
      </c>
      <c r="R124" s="3" t="str">
        <f>IF(S124&lt;&gt;"Churn",VLOOKUP(A124,[3]Export!$B$2:$O$417,8,0),"CHURN")</f>
        <v>CHURN</v>
      </c>
      <c r="S124" s="3" t="s">
        <v>372</v>
      </c>
      <c r="T124" s="3" t="s">
        <v>553</v>
      </c>
      <c r="U124" s="3">
        <v>530.10727679277898</v>
      </c>
      <c r="V124" s="4" t="str" cm="1">
        <f t="array" ref="V124">IFERROR(
    IF(
        MATCH(2,1/((Y124:BH124&lt;&gt;0)*(Y124:BH124&lt;&gt;"")))-MATCH(1,INDEX((Y124:BH124&lt;&gt;0)*(Y124:BH124&lt;&gt;""),0),0)+1 &lt;= 12,
        "No",
        "Yes"
    ),
    "No"
)</f>
        <v>Yes</v>
      </c>
      <c r="W124" s="4" t="str" cm="1">
        <f t="array" ref="W124">IFERROR(
    IF(
        MATCH(2,1/((Y124:BH124&lt;&gt;0)*(Y124:BH124&lt;&gt;"")))-MATCH(1,INDEX((Y124:BH124&lt;&gt;0)*(Y124:BH124&lt;&gt;""),0),0)+1 &lt;= 24,
        "No",
        "Yes"
    ),
    "No"
)</f>
        <v>Yes</v>
      </c>
      <c r="X124" s="3"/>
      <c r="Y124" s="4">
        <v>465.30973489068839</v>
      </c>
      <c r="Z124" s="4">
        <v>465.12451855905056</v>
      </c>
      <c r="AA124" s="4">
        <v>464.73399391449709</v>
      </c>
      <c r="AB124" s="4">
        <v>472.79710039831969</v>
      </c>
      <c r="AC124" s="4">
        <v>480.81299378348717</v>
      </c>
      <c r="AD124" s="4">
        <v>472.73150175788862</v>
      </c>
      <c r="AE124" s="4">
        <v>467.86939179900855</v>
      </c>
      <c r="AF124" s="4">
        <v>484.24417570793224</v>
      </c>
      <c r="AG124" s="4">
        <v>509.19383451893702</v>
      </c>
      <c r="AH124" s="4">
        <v>507.52340655329556</v>
      </c>
      <c r="AI124" s="4">
        <v>506.07741158412898</v>
      </c>
      <c r="AJ124" s="4">
        <v>505.28154028289703</v>
      </c>
      <c r="AK124" s="4">
        <v>503.67935336812167</v>
      </c>
      <c r="AL124" s="4">
        <v>502.56081052065076</v>
      </c>
      <c r="AM124" s="4">
        <v>520.73984780294631</v>
      </c>
      <c r="AN124" s="4">
        <v>520.28426306576137</v>
      </c>
      <c r="AO124" s="4">
        <v>520.3500983023996</v>
      </c>
      <c r="AP124" s="4">
        <v>519.96610347018861</v>
      </c>
      <c r="AQ124" s="4">
        <v>519.44520582344683</v>
      </c>
      <c r="AR124" s="4">
        <v>534.57409739927198</v>
      </c>
      <c r="AS124" s="4">
        <v>533.89201179785277</v>
      </c>
      <c r="AT124" s="4">
        <v>533.52783074224408</v>
      </c>
      <c r="AU124" s="4">
        <v>533.20520173084481</v>
      </c>
      <c r="AV124" s="4">
        <v>534.30014277295811</v>
      </c>
      <c r="AW124" s="4">
        <v>537.43633242204476</v>
      </c>
      <c r="AX124" s="4">
        <v>536.44142526295366</v>
      </c>
      <c r="AY124" s="4">
        <v>535.05818129922511</v>
      </c>
      <c r="AZ124" s="4">
        <v>533.6140636467577</v>
      </c>
      <c r="BA124" s="4">
        <v>532.7319878075707</v>
      </c>
      <c r="BB124" s="4">
        <v>531.85364088966639</v>
      </c>
      <c r="BC124" s="4">
        <v>530.8754218703989</v>
      </c>
      <c r="BD124" s="4">
        <v>530.10727679277898</v>
      </c>
      <c r="BE124" s="4">
        <v>529.51283636061964</v>
      </c>
      <c r="BF124" s="4">
        <v>528.92951280837269</v>
      </c>
      <c r="BG124" s="4">
        <v>0</v>
      </c>
      <c r="BH124" s="4">
        <v>0</v>
      </c>
      <c r="BJ124" s="9"/>
    </row>
    <row r="125" spans="1:62" x14ac:dyDescent="0.25">
      <c r="A125" s="6" t="s">
        <v>119</v>
      </c>
      <c r="B125" s="6"/>
      <c r="C125" s="7" t="s">
        <v>526</v>
      </c>
      <c r="D125" s="3"/>
      <c r="E125" s="3">
        <f>VLOOKUP(A125,[2]Sheet1!$A$2:$E$627,5,0)</f>
        <v>120</v>
      </c>
      <c r="F125" s="3">
        <f>VLOOKUP(A125,[2]Sheet1!$A$2:$F$627,6,0)</f>
        <v>146.74</v>
      </c>
      <c r="G125" s="3">
        <f>VLOOKUP(A125,[2]Sheet1!$A$2:$G$627,7,0)</f>
        <v>227.74</v>
      </c>
      <c r="H125" s="4">
        <f t="shared" si="6"/>
        <v>127.76214000000002</v>
      </c>
      <c r="I125" s="11">
        <f t="shared" si="7"/>
        <v>0.22283333333333341</v>
      </c>
      <c r="J125" s="11">
        <f t="shared" si="8"/>
        <v>0.89783333333333337</v>
      </c>
      <c r="K125" s="11">
        <f t="shared" si="9"/>
        <v>0.55199672890827312</v>
      </c>
      <c r="L125" s="11">
        <f>IF(S125="",((BG125-E125)/E125),((U125-E125)/E125))</f>
        <v>6.4684500000000131E-2</v>
      </c>
      <c r="M125" s="3" t="str">
        <f>IF(S125="Churn","Churn",VLOOKUP(A125,'[1]Revenue_Engine_2025 Dec.25'!$C$14:$E$3993,3,0))</f>
        <v>Diğer</v>
      </c>
      <c r="N125" s="3">
        <f>IF(S125="",VLOOKUP(A125,[3]Export!$B$2:$F$417,5,0),"CHURN")</f>
        <v>0.20681478879423901</v>
      </c>
      <c r="O125" s="3">
        <f>(1-N125)*H125</f>
        <v>101.33904000000003</v>
      </c>
      <c r="P125" s="3">
        <f t="shared" si="11"/>
        <v>116.39199789233338</v>
      </c>
      <c r="Q125" s="3">
        <f t="shared" si="10"/>
        <v>180.64000000000001</v>
      </c>
      <c r="R125" s="3" t="str">
        <f>IF(S125&lt;&gt;"Churn",VLOOKUP(A125,[3]Export!$B$2:$O$417,8,0),"CHURN")</f>
        <v>NO RISK</v>
      </c>
      <c r="S125" s="3"/>
      <c r="T125" s="3"/>
      <c r="U125" s="3" t="s">
        <v>551</v>
      </c>
      <c r="V125" s="4" t="str" cm="1">
        <f t="array" ref="V125">IFERROR(
    IF(
        MATCH(2,1/((Y125:BH125&lt;&gt;0)*(Y125:BH125&lt;&gt;"")))-MATCH(1,INDEX((Y125:BH125&lt;&gt;0)*(Y125:BH125&lt;&gt;""),0),0)+1 &lt;= 12,
        "No",
        "Yes"
    ),
    "No"
)</f>
        <v>Yes</v>
      </c>
      <c r="W125" s="4" t="str" cm="1">
        <f t="array" ref="W125">IFERROR(
    IF(
        MATCH(2,1/((Y125:BH125&lt;&gt;0)*(Y125:BH125&lt;&gt;"")))-MATCH(1,INDEX((Y125:BH125&lt;&gt;0)*(Y125:BH125&lt;&gt;""),0),0)+1 &lt;= 24,
        "No",
        "Yes"
    ),
    "No"
)</f>
        <v>Yes</v>
      </c>
      <c r="X125" s="3"/>
      <c r="Y125" s="4">
        <v>120</v>
      </c>
      <c r="Z125" s="4">
        <v>120</v>
      </c>
      <c r="AA125" s="4">
        <v>120</v>
      </c>
      <c r="AB125" s="4">
        <v>120</v>
      </c>
      <c r="AC125" s="4">
        <v>129</v>
      </c>
      <c r="AD125" s="4">
        <v>129</v>
      </c>
      <c r="AE125" s="4">
        <v>129</v>
      </c>
      <c r="AF125" s="4">
        <v>136.74</v>
      </c>
      <c r="AG125" s="4">
        <v>136.74</v>
      </c>
      <c r="AH125" s="4">
        <v>136.74</v>
      </c>
      <c r="AI125" s="4">
        <v>136.74</v>
      </c>
      <c r="AJ125" s="4">
        <v>136.74</v>
      </c>
      <c r="AK125" s="4">
        <v>146.74</v>
      </c>
      <c r="AL125" s="4">
        <v>227.74</v>
      </c>
      <c r="AM125" s="4">
        <v>227.74</v>
      </c>
      <c r="AN125" s="4">
        <v>227.74</v>
      </c>
      <c r="AO125" s="4">
        <v>227.74</v>
      </c>
      <c r="AP125" s="4">
        <v>227.74</v>
      </c>
      <c r="AQ125" s="4">
        <v>227.74</v>
      </c>
      <c r="AR125" s="4">
        <v>227.74</v>
      </c>
      <c r="AS125" s="4">
        <v>227.74</v>
      </c>
      <c r="AT125" s="4">
        <v>227.74</v>
      </c>
      <c r="AU125" s="4">
        <v>227.74</v>
      </c>
      <c r="AV125" s="4">
        <v>227.74</v>
      </c>
      <c r="AW125" s="4">
        <v>227.74</v>
      </c>
      <c r="AX125" s="4">
        <v>227.74</v>
      </c>
      <c r="AY125" s="4">
        <v>127.76214000000002</v>
      </c>
      <c r="AZ125" s="4">
        <v>127.76214000000002</v>
      </c>
      <c r="BA125" s="4">
        <v>127.76214000000002</v>
      </c>
      <c r="BB125" s="4">
        <v>127.76214000000002</v>
      </c>
      <c r="BC125" s="4">
        <v>127.76214000000002</v>
      </c>
      <c r="BD125" s="4">
        <v>127.76214000000002</v>
      </c>
      <c r="BE125" s="4">
        <v>127.76214000000002</v>
      </c>
      <c r="BF125" s="4">
        <v>127.76214000000002</v>
      </c>
      <c r="BG125" s="4">
        <v>127.76214000000002</v>
      </c>
      <c r="BH125" s="4">
        <v>127.76214000000002</v>
      </c>
      <c r="BJ125" s="9"/>
    </row>
    <row r="126" spans="1:62" x14ac:dyDescent="0.25">
      <c r="A126" s="6" t="s">
        <v>120</v>
      </c>
      <c r="B126" s="6"/>
      <c r="C126" s="7" t="s">
        <v>526</v>
      </c>
      <c r="D126" s="3"/>
      <c r="E126" s="3">
        <f>VLOOKUP(A126,[2]Sheet1!$A$2:$E$627,5,0)</f>
        <v>1024.012938285407</v>
      </c>
      <c r="F126" s="3">
        <f>VLOOKUP(A126,[2]Sheet1!$A$2:$F$627,6,0)</f>
        <v>1089.8865635322716</v>
      </c>
      <c r="G126" s="3">
        <f>VLOOKUP(A126,[2]Sheet1!$A$2:$G$627,7,0)</f>
        <v>1483.0936000000002</v>
      </c>
      <c r="H126" s="4">
        <f t="shared" si="6"/>
        <v>2705.4681152368721</v>
      </c>
      <c r="I126" s="11">
        <f t="shared" si="7"/>
        <v>6.4328899356645264E-2</v>
      </c>
      <c r="J126" s="11">
        <f t="shared" si="8"/>
        <v>0.44831529422203531</v>
      </c>
      <c r="K126" s="11">
        <f t="shared" si="9"/>
        <v>0.36077794664553248</v>
      </c>
      <c r="L126" s="11">
        <f>IF(S126="",((BG126-E126)/E126),((U126-E126)/E126))</f>
        <v>1.6420253241788823</v>
      </c>
      <c r="M126" s="3" t="str">
        <f>IF(S126="Churn","Churn",VLOOKUP(A126,'[1]Revenue_Engine_2025 Dec.25'!$C$14:$E$3993,3,0))</f>
        <v>Lojistik</v>
      </c>
      <c r="N126" s="3">
        <f>IF(S126="",VLOOKUP(A126,[3]Export!$B$2:$F$417,5,0),"CHURN")</f>
        <v>0.30838610746510903</v>
      </c>
      <c r="O126" s="3">
        <f>(1-N126)*H126</f>
        <v>1871.1393343080078</v>
      </c>
      <c r="P126" s="3">
        <f t="shared" si="11"/>
        <v>753.78068862603004</v>
      </c>
      <c r="Q126" s="3">
        <f t="shared" si="10"/>
        <v>1025.7281376895846</v>
      </c>
      <c r="R126" s="3" t="str">
        <f>IF(S126&lt;&gt;"Churn",VLOOKUP(A126,[3]Export!$B$2:$O$417,8,0),"CHURN")</f>
        <v>NO RISK</v>
      </c>
      <c r="S126" s="3"/>
      <c r="T126" s="3"/>
      <c r="U126" s="3" t="s">
        <v>551</v>
      </c>
      <c r="V126" s="4" t="str" cm="1">
        <f t="array" ref="V126">IFERROR(
    IF(
        MATCH(2,1/((Y126:BH126&lt;&gt;0)*(Y126:BH126&lt;&gt;"")))-MATCH(1,INDEX((Y126:BH126&lt;&gt;0)*(Y126:BH126&lt;&gt;""),0),0)+1 &lt;= 12,
        "No",
        "Yes"
    ),
    "No"
)</f>
        <v>Yes</v>
      </c>
      <c r="W126" s="4" t="str" cm="1">
        <f t="array" ref="W126">IFERROR(
    IF(
        MATCH(2,1/((Y126:BH126&lt;&gt;0)*(Y126:BH126&lt;&gt;"")))-MATCH(1,INDEX((Y126:BH126&lt;&gt;0)*(Y126:BH126&lt;&gt;""),0),0)+1 &lt;= 24,
        "No",
        "Yes"
    ),
    "No"
)</f>
        <v>Yes</v>
      </c>
      <c r="X126" s="3"/>
      <c r="Y126" s="4">
        <v>1022.6212396645751</v>
      </c>
      <c r="Z126" s="4">
        <v>1022.2646982261723</v>
      </c>
      <c r="AA126" s="4">
        <v>1024.012938285407</v>
      </c>
      <c r="AB126" s="4">
        <v>1024.2030182667654</v>
      </c>
      <c r="AC126" s="4">
        <v>1079.3126170332127</v>
      </c>
      <c r="AD126" s="4">
        <v>1093.6009125705104</v>
      </c>
      <c r="AE126" s="4">
        <v>1080.9594266774222</v>
      </c>
      <c r="AF126" s="4">
        <v>1079.0965211237149</v>
      </c>
      <c r="AG126" s="4">
        <v>1079.0068724309838</v>
      </c>
      <c r="AH126" s="4">
        <v>1077.2321376976497</v>
      </c>
      <c r="AI126" s="4">
        <v>1074.6570781635173</v>
      </c>
      <c r="AJ126" s="4">
        <v>1091.2397731065289</v>
      </c>
      <c r="AK126" s="4">
        <v>1089.8865635322716</v>
      </c>
      <c r="AL126" s="4">
        <v>1100.3946379134877</v>
      </c>
      <c r="AM126" s="4">
        <v>1098.0518275942879</v>
      </c>
      <c r="AN126" s="4">
        <v>1108.2405123088902</v>
      </c>
      <c r="AO126" s="4">
        <v>1151.8461432942456</v>
      </c>
      <c r="AP126" s="4">
        <v>1170.7941026580511</v>
      </c>
      <c r="AQ126" s="4">
        <v>1172.3669858176627</v>
      </c>
      <c r="AR126" s="4">
        <v>1169.7454769399417</v>
      </c>
      <c r="AS126" s="4">
        <v>1168.3813112080898</v>
      </c>
      <c r="AT126" s="4">
        <v>1167.652952017957</v>
      </c>
      <c r="AU126" s="4">
        <v>1167.0076965829553</v>
      </c>
      <c r="AV126" s="4">
        <v>1165.1975859266306</v>
      </c>
      <c r="AW126" s="4">
        <v>1483.0936000000002</v>
      </c>
      <c r="AX126" s="4">
        <v>2102.446657119518</v>
      </c>
      <c r="AY126" s="4">
        <v>2096.016050708502</v>
      </c>
      <c r="AZ126" s="4">
        <v>2113.2024466894495</v>
      </c>
      <c r="BA126" s="4">
        <v>2109.1017365506623</v>
      </c>
      <c r="BB126" s="4">
        <v>2108.0183619114218</v>
      </c>
      <c r="BC126" s="4">
        <v>2503.4706887159255</v>
      </c>
      <c r="BD126" s="4">
        <v>2632.7996348814181</v>
      </c>
      <c r="BE126" s="4">
        <v>2630.0392750418555</v>
      </c>
      <c r="BF126" s="4">
        <v>2627.3274438153053</v>
      </c>
      <c r="BG126" s="4">
        <v>2705.4681152368721</v>
      </c>
      <c r="BH126" s="4">
        <v>2703.3188162153001</v>
      </c>
      <c r="BJ126" s="9"/>
    </row>
    <row r="127" spans="1:62" x14ac:dyDescent="0.25">
      <c r="A127" s="6" t="s">
        <v>121</v>
      </c>
      <c r="B127" s="6"/>
      <c r="C127" s="7" t="s">
        <v>526</v>
      </c>
      <c r="D127" s="3"/>
      <c r="E127" s="3">
        <f>VLOOKUP(A127,[2]Sheet1!$A$2:$E$627,5,0)</f>
        <v>200</v>
      </c>
      <c r="F127" s="3">
        <f>VLOOKUP(A127,[2]Sheet1!$A$2:$F$627,6,0)</f>
        <v>221</v>
      </c>
      <c r="G127" s="3">
        <f>VLOOKUP(A127,[2]Sheet1!$A$2:$G$627,7,0)</f>
        <v>298.25080000000003</v>
      </c>
      <c r="H127" s="4">
        <f t="shared" si="6"/>
        <v>298.25080000000003</v>
      </c>
      <c r="I127" s="11">
        <f t="shared" si="7"/>
        <v>0.105</v>
      </c>
      <c r="J127" s="11">
        <f t="shared" si="8"/>
        <v>0.49125400000000014</v>
      </c>
      <c r="K127" s="11">
        <f t="shared" si="9"/>
        <v>0.3495511312217196</v>
      </c>
      <c r="L127" s="11">
        <f>IF(S127="",((BG127-E127)/E127),((U127-E127)/E127))</f>
        <v>0.49125400000000014</v>
      </c>
      <c r="M127" s="3" t="str">
        <f>IF(S127="Churn","Churn",VLOOKUP(A127,'[1]Revenue_Engine_2025 Dec.25'!$C$14:$E$3993,3,0))</f>
        <v>Genel</v>
      </c>
      <c r="N127" s="3">
        <f>IF(S127="",VLOOKUP(A127,[3]Export!$B$2:$F$417,5,0),"CHURN")</f>
        <v>0.58484336001781045</v>
      </c>
      <c r="O127" s="3">
        <f>(1-N127)*H127</f>
        <v>123.82080000000003</v>
      </c>
      <c r="P127" s="3">
        <f t="shared" si="11"/>
        <v>91.749617436063886</v>
      </c>
      <c r="Q127" s="3">
        <f t="shared" si="10"/>
        <v>123.82080000000003</v>
      </c>
      <c r="R127" s="3" t="str">
        <f>IF(S127&lt;&gt;"Churn",VLOOKUP(A127,[3]Export!$B$2:$O$417,8,0),"CHURN")</f>
        <v>NO RISK</v>
      </c>
      <c r="S127" s="3"/>
      <c r="T127" s="3"/>
      <c r="U127" s="3" t="s">
        <v>551</v>
      </c>
      <c r="V127" s="4" t="str" cm="1">
        <f t="array" ref="V127">IFERROR(
    IF(
        MATCH(2,1/((Y127:BH127&lt;&gt;0)*(Y127:BH127&lt;&gt;"")))-MATCH(1,INDEX((Y127:BH127&lt;&gt;0)*(Y127:BH127&lt;&gt;""),0),0)+1 &lt;= 12,
        "No",
        "Yes"
    ),
    "No"
)</f>
        <v>Yes</v>
      </c>
      <c r="W127" s="4" t="str" cm="1">
        <f t="array" ref="W127">IFERROR(
    IF(
        MATCH(2,1/((Y127:BH127&lt;&gt;0)*(Y127:BH127&lt;&gt;"")))-MATCH(1,INDEX((Y127:BH127&lt;&gt;0)*(Y127:BH127&lt;&gt;""),0),0)+1 &lt;= 24,
        "No",
        "Yes"
    ),
    "No"
)</f>
        <v>Yes</v>
      </c>
      <c r="X127" s="3"/>
      <c r="Y127" s="4">
        <v>200</v>
      </c>
      <c r="Z127" s="4">
        <v>200</v>
      </c>
      <c r="AA127" s="4">
        <v>200</v>
      </c>
      <c r="AB127" s="4">
        <v>193</v>
      </c>
      <c r="AC127" s="4">
        <v>193</v>
      </c>
      <c r="AD127" s="4">
        <v>193</v>
      </c>
      <c r="AE127" s="4">
        <v>193</v>
      </c>
      <c r="AF127" s="4">
        <v>193</v>
      </c>
      <c r="AG127" s="4">
        <v>193</v>
      </c>
      <c r="AH127" s="4">
        <v>193</v>
      </c>
      <c r="AI127" s="4">
        <v>200</v>
      </c>
      <c r="AJ127" s="4">
        <v>207</v>
      </c>
      <c r="AK127" s="4">
        <v>221</v>
      </c>
      <c r="AL127" s="4">
        <v>221</v>
      </c>
      <c r="AM127" s="4">
        <v>231</v>
      </c>
      <c r="AN127" s="4">
        <v>233</v>
      </c>
      <c r="AO127" s="4">
        <v>233</v>
      </c>
      <c r="AP127" s="4">
        <v>233</v>
      </c>
      <c r="AQ127" s="4">
        <v>233</v>
      </c>
      <c r="AR127" s="4">
        <v>233</v>
      </c>
      <c r="AS127" s="4">
        <v>233</v>
      </c>
      <c r="AT127" s="4">
        <v>235.8</v>
      </c>
      <c r="AU127" s="4">
        <v>235.8</v>
      </c>
      <c r="AV127" s="4">
        <v>247</v>
      </c>
      <c r="AW127" s="4">
        <v>298.25080000000003</v>
      </c>
      <c r="AX127" s="4">
        <v>298.25080000000003</v>
      </c>
      <c r="AY127" s="4">
        <v>298.25080000000003</v>
      </c>
      <c r="AZ127" s="4">
        <v>298.25080000000003</v>
      </c>
      <c r="BA127" s="4">
        <v>298.25080000000003</v>
      </c>
      <c r="BB127" s="4">
        <v>298.25080000000003</v>
      </c>
      <c r="BC127" s="4">
        <v>298.25080000000003</v>
      </c>
      <c r="BD127" s="4">
        <v>298.25080000000003</v>
      </c>
      <c r="BE127" s="4">
        <v>298.25080000000003</v>
      </c>
      <c r="BF127" s="4">
        <v>298.25080000000003</v>
      </c>
      <c r="BG127" s="4">
        <v>298.25080000000003</v>
      </c>
      <c r="BH127" s="4">
        <v>298.25080000000003</v>
      </c>
      <c r="BJ127" s="9"/>
    </row>
    <row r="128" spans="1:62" x14ac:dyDescent="0.25">
      <c r="A128" s="6" t="s">
        <v>122</v>
      </c>
      <c r="B128" s="6"/>
      <c r="C128" s="7" t="s">
        <v>526</v>
      </c>
      <c r="D128" s="3"/>
      <c r="E128" s="3">
        <f>VLOOKUP(A128,[2]Sheet1!$A$2:$E$627,5,0)</f>
        <v>848.8597174838103</v>
      </c>
      <c r="F128" s="3">
        <f>VLOOKUP(A128,[2]Sheet1!$A$2:$F$627,6,0)</f>
        <v>1018.9835746666666</v>
      </c>
      <c r="G128" s="3">
        <f>VLOOKUP(A128,[2]Sheet1!$A$2:$G$627,7,0)</f>
        <v>1156.3402550000001</v>
      </c>
      <c r="H128" s="4">
        <f t="shared" si="6"/>
        <v>1156.3402550000001</v>
      </c>
      <c r="I128" s="11">
        <f t="shared" si="7"/>
        <v>0.20041457225363152</v>
      </c>
      <c r="J128" s="11">
        <f t="shared" si="8"/>
        <v>0.36222774055956325</v>
      </c>
      <c r="K128" s="11">
        <f t="shared" si="9"/>
        <v>0.13479773742012083</v>
      </c>
      <c r="L128" s="11">
        <f>IF(S128="",((BG128-E128)/E128),((U128-E128)/E128))</f>
        <v>0.36222774055956325</v>
      </c>
      <c r="M128" s="3" t="str">
        <f>IF(S128="Churn","Churn",VLOOKUP(A128,'[1]Revenue_Engine_2025 Dec.25'!$C$14:$E$3993,3,0))</f>
        <v>Diğer</v>
      </c>
      <c r="N128" s="3">
        <f>IF(S128="",VLOOKUP(A128,[3]Export!$B$2:$F$417,5,0),"CHURN")</f>
        <v>5.7923730243223281E-2</v>
      </c>
      <c r="O128" s="3">
        <f>(1-N128)*H128</f>
        <v>1089.3607140000001</v>
      </c>
      <c r="P128" s="3">
        <f t="shared" si="11"/>
        <v>959.96024496539928</v>
      </c>
      <c r="Q128" s="3">
        <f t="shared" si="10"/>
        <v>1089.3607140000001</v>
      </c>
      <c r="R128" s="3" t="str">
        <f>IF(S128&lt;&gt;"Churn",VLOOKUP(A128,[3]Export!$B$2:$O$417,8,0),"CHURN")</f>
        <v>BOOKED CHURN</v>
      </c>
      <c r="S128" s="3"/>
      <c r="T128" s="3"/>
      <c r="U128" s="3" t="s">
        <v>551</v>
      </c>
      <c r="V128" s="4" t="str" cm="1">
        <f t="array" ref="V128">IFERROR(
    IF(
        MATCH(2,1/((Y128:BH128&lt;&gt;0)*(Y128:BH128&lt;&gt;"")))-MATCH(1,INDEX((Y128:BH128&lt;&gt;0)*(Y128:BH128&lt;&gt;""),0),0)+1 &lt;= 12,
        "No",
        "Yes"
    ),
    "No"
)</f>
        <v>Yes</v>
      </c>
      <c r="W128" s="4" t="str" cm="1">
        <f t="array" ref="W128">IFERROR(
    IF(
        MATCH(2,1/((Y128:BH128&lt;&gt;0)*(Y128:BH128&lt;&gt;"")))-MATCH(1,INDEX((Y128:BH128&lt;&gt;0)*(Y128:BH128&lt;&gt;""),0),0)+1 &lt;= 24,
        "No",
        "Yes"
    ),
    "No"
)</f>
        <v>Yes</v>
      </c>
      <c r="X128" s="3"/>
      <c r="Y128" s="4">
        <v>826.01911559149823</v>
      </c>
      <c r="Z128" s="4">
        <v>848.8597174838103</v>
      </c>
      <c r="AA128" s="4">
        <v>848.12357852882701</v>
      </c>
      <c r="AB128" s="4">
        <v>855.35753425083271</v>
      </c>
      <c r="AC128" s="4">
        <v>1000.0002413333333</v>
      </c>
      <c r="AD128" s="4">
        <v>1000.0002413333333</v>
      </c>
      <c r="AE128" s="4">
        <v>1000.0002413333333</v>
      </c>
      <c r="AF128" s="4">
        <v>1000.0002413333333</v>
      </c>
      <c r="AG128" s="4">
        <v>1000.0002413333333</v>
      </c>
      <c r="AH128" s="4">
        <v>1000.0002413333333</v>
      </c>
      <c r="AI128" s="4">
        <v>1000.0002413333333</v>
      </c>
      <c r="AJ128" s="4">
        <v>1000.0002413333333</v>
      </c>
      <c r="AK128" s="4">
        <v>1000.0002413333333</v>
      </c>
      <c r="AL128" s="4">
        <v>1000.0002413333333</v>
      </c>
      <c r="AM128" s="4">
        <v>1018.9835746666666</v>
      </c>
      <c r="AN128" s="4">
        <v>1018.9835746666666</v>
      </c>
      <c r="AO128" s="4">
        <v>1018.9835746666666</v>
      </c>
      <c r="AP128" s="4">
        <v>1018.9835746666666</v>
      </c>
      <c r="AQ128" s="4">
        <v>1018.9848173333335</v>
      </c>
      <c r="AR128" s="4">
        <v>1018.9848173333335</v>
      </c>
      <c r="AS128" s="4">
        <v>1018.9848173333335</v>
      </c>
      <c r="AT128" s="4">
        <v>1018.9848173333335</v>
      </c>
      <c r="AU128" s="4">
        <v>1018.9848173333335</v>
      </c>
      <c r="AV128" s="4">
        <v>1018.9848173333335</v>
      </c>
      <c r="AW128" s="4">
        <v>1110.3235883333332</v>
      </c>
      <c r="AX128" s="4">
        <v>1160.3235883333332</v>
      </c>
      <c r="AY128" s="4">
        <v>1160.3235883333332</v>
      </c>
      <c r="AZ128" s="4">
        <v>1160.323588333333</v>
      </c>
      <c r="BA128" s="4">
        <v>1156.3402550000001</v>
      </c>
      <c r="BB128" s="4">
        <v>1156.3402550000001</v>
      </c>
      <c r="BC128" s="4">
        <v>1156.3402550000001</v>
      </c>
      <c r="BD128" s="4">
        <v>1156.3402550000001</v>
      </c>
      <c r="BE128" s="4">
        <v>1156.3402550000001</v>
      </c>
      <c r="BF128" s="4">
        <v>1156.3402550000001</v>
      </c>
      <c r="BG128" s="4">
        <v>1156.3402550000001</v>
      </c>
      <c r="BH128" s="4">
        <v>1156.3402550000001</v>
      </c>
      <c r="BJ128" s="9"/>
    </row>
    <row r="129" spans="1:62" x14ac:dyDescent="0.25">
      <c r="A129" s="6" t="s">
        <v>123</v>
      </c>
      <c r="B129" s="6"/>
      <c r="C129" s="7" t="s">
        <v>525</v>
      </c>
      <c r="D129" s="3"/>
      <c r="E129" s="3">
        <f>VLOOKUP(A129,[2]Sheet1!$A$2:$E$627,5,0)</f>
        <v>296.99676000000011</v>
      </c>
      <c r="F129" s="3">
        <f>VLOOKUP(A129,[2]Sheet1!$A$2:$F$627,6,0)</f>
        <v>296.99676000000011</v>
      </c>
      <c r="G129" s="3">
        <f>VLOOKUP(A129,[2]Sheet1!$A$2:$G$627,7,0)</f>
        <v>296.99676000000011</v>
      </c>
      <c r="H129" s="4">
        <f t="shared" si="6"/>
        <v>296.99676000000011</v>
      </c>
      <c r="I129" s="11">
        <f t="shared" si="7"/>
        <v>0</v>
      </c>
      <c r="J129" s="11">
        <f t="shared" si="8"/>
        <v>0</v>
      </c>
      <c r="K129" s="11">
        <f t="shared" si="9"/>
        <v>0</v>
      </c>
      <c r="L129" s="11">
        <f>IF(S129="",((BG129-E129)/E129),((U129-E129)/E129))</f>
        <v>0</v>
      </c>
      <c r="M129" s="3" t="str">
        <f>IF(S129="Churn","Churn",VLOOKUP(A129,'[1]Revenue_Engine_2025 Dec.25'!$C$14:$E$3993,3,0))</f>
        <v>Teknoloji</v>
      </c>
      <c r="N129" s="3">
        <f>IF(S129="",VLOOKUP(A129,[3]Export!$B$2:$F$417,5,0),"CHURN")</f>
        <v>4.1818638021505691E-2</v>
      </c>
      <c r="O129" s="3">
        <f>(1-N129)*H129</f>
        <v>284.57676000000009</v>
      </c>
      <c r="P129" s="3">
        <f t="shared" si="11"/>
        <v>284.57676000000009</v>
      </c>
      <c r="Q129" s="3">
        <f t="shared" si="10"/>
        <v>284.57676000000009</v>
      </c>
      <c r="R129" s="3" t="str">
        <f>IF(S129&lt;&gt;"Churn",VLOOKUP(A129,[3]Export!$B$2:$O$417,8,0),"CHURN")</f>
        <v>NO RISK</v>
      </c>
      <c r="S129" s="3"/>
      <c r="T129" s="3"/>
      <c r="U129" s="3" t="s">
        <v>551</v>
      </c>
      <c r="V129" s="4" t="str" cm="1">
        <f t="array" ref="V129">IFERROR(
    IF(
        MATCH(2,1/((Y129:BH129&lt;&gt;0)*(Y129:BH129&lt;&gt;"")))-MATCH(1,INDEX((Y129:BH129&lt;&gt;0)*(Y129:BH129&lt;&gt;""),0),0)+1 &lt;= 12,
        "No",
        "Yes"
    ),
    "No"
)</f>
        <v>Yes</v>
      </c>
      <c r="W129" s="4" t="str" cm="1">
        <f t="array" ref="W129">IFERROR(
    IF(
        MATCH(2,1/((Y129:BH129&lt;&gt;0)*(Y129:BH129&lt;&gt;"")))-MATCH(1,INDEX((Y129:BH129&lt;&gt;0)*(Y129:BH129&lt;&gt;""),0),0)+1 &lt;= 24,
        "No",
        "Yes"
    ),
    "No"
)</f>
        <v>No</v>
      </c>
      <c r="X129" s="3"/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296.99676000000011</v>
      </c>
      <c r="AL129" s="4">
        <v>296.99676000000011</v>
      </c>
      <c r="AM129" s="4">
        <v>296.99676000000011</v>
      </c>
      <c r="AN129" s="4">
        <v>296.99676000000011</v>
      </c>
      <c r="AO129" s="4">
        <v>296.99676000000011</v>
      </c>
      <c r="AP129" s="4">
        <v>296.99676000000011</v>
      </c>
      <c r="AQ129" s="4">
        <v>296.99676000000011</v>
      </c>
      <c r="AR129" s="4">
        <v>296.99676000000011</v>
      </c>
      <c r="AS129" s="4">
        <v>296.99676000000011</v>
      </c>
      <c r="AT129" s="4">
        <v>296.99676000000011</v>
      </c>
      <c r="AU129" s="4">
        <v>296.99676000000011</v>
      </c>
      <c r="AV129" s="4">
        <v>296.99676000000011</v>
      </c>
      <c r="AW129" s="4">
        <v>296.99676000000011</v>
      </c>
      <c r="AX129" s="4">
        <v>296.99676000000011</v>
      </c>
      <c r="AY129" s="4">
        <v>296.99676000000011</v>
      </c>
      <c r="AZ129" s="4">
        <v>296.99676000000005</v>
      </c>
      <c r="BA129" s="4">
        <v>296.99676000000011</v>
      </c>
      <c r="BB129" s="4">
        <v>296.99676000000011</v>
      </c>
      <c r="BC129" s="4">
        <v>296.99676000000011</v>
      </c>
      <c r="BD129" s="4">
        <v>296.99676000000011</v>
      </c>
      <c r="BE129" s="4">
        <v>296.99676000000011</v>
      </c>
      <c r="BF129" s="4">
        <v>296.99676000000011</v>
      </c>
      <c r="BG129" s="4">
        <v>296.99676000000011</v>
      </c>
      <c r="BH129" s="4">
        <v>296.99676000000011</v>
      </c>
      <c r="BJ129" s="9"/>
    </row>
    <row r="130" spans="1:62" x14ac:dyDescent="0.25">
      <c r="A130" s="6" t="s">
        <v>124</v>
      </c>
      <c r="B130" s="6"/>
      <c r="C130" s="7" t="s">
        <v>526</v>
      </c>
      <c r="D130" s="3"/>
      <c r="E130" s="3">
        <f>VLOOKUP(A130,[2]Sheet1!$A$2:$E$627,5,0)</f>
        <v>54.95444661825686</v>
      </c>
      <c r="F130" s="3">
        <f>VLOOKUP(A130,[2]Sheet1!$A$2:$F$627,6,0)</f>
        <v>46.824679497225276</v>
      </c>
      <c r="G130" s="3">
        <f>VLOOKUP(A130,[2]Sheet1!$A$2:$G$627,7,0)</f>
        <v>62.864793273979174</v>
      </c>
      <c r="H130" s="4">
        <f t="shared" si="6"/>
        <v>69.444567359195517</v>
      </c>
      <c r="I130" s="11">
        <f t="shared" si="7"/>
        <v>-0.14793647505005952</v>
      </c>
      <c r="J130" s="11">
        <f t="shared" si="8"/>
        <v>0.14394370505942561</v>
      </c>
      <c r="K130" s="11">
        <f t="shared" si="9"/>
        <v>0.34255683005164828</v>
      </c>
      <c r="L130" s="11">
        <f>IF(S130="",((BG130-E130)/E130),((U130-E130)/E130))</f>
        <v>0.2521280883305429</v>
      </c>
      <c r="M130" s="3" t="str">
        <f>IF(S130="Churn","Churn",VLOOKUP(A130,'[1]Revenue_Engine_2025 Dec.25'!$C$14:$E$3993,3,0))</f>
        <v>Diğer</v>
      </c>
      <c r="N130" s="3">
        <f>IF(S130="",VLOOKUP(A130,[3]Export!$B$2:$F$417,5,0),"CHURN")</f>
        <v>0.55223330070341536</v>
      </c>
      <c r="O130" s="3">
        <f>(1-N130)*H130</f>
        <v>31.094964710506314</v>
      </c>
      <c r="P130" s="3">
        <f t="shared" si="11"/>
        <v>20.966532184093023</v>
      </c>
      <c r="Q130" s="3">
        <f t="shared" si="10"/>
        <v>28.148760986251791</v>
      </c>
      <c r="R130" s="3" t="str">
        <f>IF(S130&lt;&gt;"Churn",VLOOKUP(A130,[3]Export!$B$2:$O$417,8,0),"CHURN")</f>
        <v>NO RISK</v>
      </c>
      <c r="S130" s="3"/>
      <c r="T130" s="3"/>
      <c r="U130" s="3" t="s">
        <v>551</v>
      </c>
      <c r="V130" s="4" t="str" cm="1">
        <f t="array" ref="V130">IFERROR(
    IF(
        MATCH(2,1/((Y130:BH130&lt;&gt;0)*(Y130:BH130&lt;&gt;"")))-MATCH(1,INDEX((Y130:BH130&lt;&gt;0)*(Y130:BH130&lt;&gt;""),0),0)+1 &lt;= 12,
        "No",
        "Yes"
    ),
    "No"
)</f>
        <v>Yes</v>
      </c>
      <c r="W130" s="4" t="str" cm="1">
        <f t="array" ref="W130">IFERROR(
    IF(
        MATCH(2,1/((Y130:BH130&lt;&gt;0)*(Y130:BH130&lt;&gt;"")))-MATCH(1,INDEX((Y130:BH130&lt;&gt;0)*(Y130:BH130&lt;&gt;""),0),0)+1 &lt;= 24,
        "No",
        "Yes"
    ),
    "No"
)</f>
        <v>Yes</v>
      </c>
      <c r="X130" s="3"/>
      <c r="Y130" s="4">
        <v>39.371371606169006</v>
      </c>
      <c r="Z130" s="4">
        <v>39.234581936601202</v>
      </c>
      <c r="AA130" s="4">
        <v>54.95444661825686</v>
      </c>
      <c r="AB130" s="4">
        <v>62.978103639091614</v>
      </c>
      <c r="AC130" s="4">
        <v>61.954722769895795</v>
      </c>
      <c r="AD130" s="4">
        <v>53.532946751108227</v>
      </c>
      <c r="AE130" s="4">
        <v>51.961252952396826</v>
      </c>
      <c r="AF130" s="4">
        <v>51.148455666070952</v>
      </c>
      <c r="AG130" s="4">
        <v>51.109341383530136</v>
      </c>
      <c r="AH130" s="4">
        <v>49.811446106992022</v>
      </c>
      <c r="AI130" s="4">
        <v>48.687931607126416</v>
      </c>
      <c r="AJ130" s="4">
        <v>48.069552590582269</v>
      </c>
      <c r="AK130" s="4">
        <v>46.824679497225276</v>
      </c>
      <c r="AL130" s="4">
        <v>45.955589953588174</v>
      </c>
      <c r="AM130" s="4">
        <v>64.862570046243206</v>
      </c>
      <c r="AN130" s="4">
        <v>64.306184788441442</v>
      </c>
      <c r="AO130" s="4">
        <v>64.386586417643855</v>
      </c>
      <c r="AP130" s="4">
        <v>63.917630708033286</v>
      </c>
      <c r="AQ130" s="4">
        <v>63.281481715726116</v>
      </c>
      <c r="AR130" s="4">
        <v>62.112922713624421</v>
      </c>
      <c r="AS130" s="4">
        <v>61.504834692309046</v>
      </c>
      <c r="AT130" s="4">
        <v>61.180162632021002</v>
      </c>
      <c r="AU130" s="4">
        <v>60.892534749607833</v>
      </c>
      <c r="AV130" s="4">
        <v>60.08566313447632</v>
      </c>
      <c r="AW130" s="4">
        <v>62.864793273979174</v>
      </c>
      <c r="AX130" s="4">
        <v>61.91525436685157</v>
      </c>
      <c r="AY130" s="4">
        <v>77.17318002805716</v>
      </c>
      <c r="AZ130" s="4">
        <v>75.352062439327256</v>
      </c>
      <c r="BA130" s="4">
        <v>74.239712747740526</v>
      </c>
      <c r="BB130" s="4">
        <v>73.132065445964741</v>
      </c>
      <c r="BC130" s="4">
        <v>71.898473530115922</v>
      </c>
      <c r="BD130" s="4">
        <v>70.929797252833595</v>
      </c>
      <c r="BE130" s="4">
        <v>70.180172785181654</v>
      </c>
      <c r="BF130" s="4">
        <v>69.444567359195517</v>
      </c>
      <c r="BG130" s="4">
        <v>68.810006189380829</v>
      </c>
      <c r="BH130" s="4">
        <v>68.2269920228442</v>
      </c>
      <c r="BJ130" s="9"/>
    </row>
    <row r="131" spans="1:62" x14ac:dyDescent="0.25">
      <c r="A131" s="6" t="s">
        <v>125</v>
      </c>
      <c r="B131" s="6"/>
      <c r="C131" s="7" t="s">
        <v>526</v>
      </c>
      <c r="D131" s="3"/>
      <c r="E131" s="3">
        <f>VLOOKUP(A131,[2]Sheet1!$A$2:$E$627,5,0)</f>
        <v>1510.5229489904077</v>
      </c>
      <c r="F131" s="3">
        <f>VLOOKUP(A131,[2]Sheet1!$A$2:$F$627,6,0)</f>
        <v>1898.968568498578</v>
      </c>
      <c r="G131" s="3">
        <f>VLOOKUP(A131,[2]Sheet1!$A$2:$G$627,7,0)</f>
        <v>2170.9418499440981</v>
      </c>
      <c r="H131" s="4">
        <f t="shared" ref="H131:H194" si="12">MAX(BF131:BH131)</f>
        <v>186.56</v>
      </c>
      <c r="I131" s="11">
        <f t="shared" ref="I131:I194" si="13">(F131-E131)/E131</f>
        <v>0.25715969410977613</v>
      </c>
      <c r="J131" s="11">
        <f t="shared" ref="J131:J194" si="14">(G131-E131)/E131</f>
        <v>0.43721209359652319</v>
      </c>
      <c r="K131" s="11">
        <f t="shared" ref="K131:K194" si="15">(G131-F131)/F131</f>
        <v>0.14322158141909433</v>
      </c>
      <c r="L131" s="11">
        <f>IF(S131="",((BG131-E131)/E131),((U131-E131)/E131))</f>
        <v>-0.87649310450748763</v>
      </c>
      <c r="M131" s="3" t="str">
        <f>IF(S131="Churn","Churn",VLOOKUP(A131,'[1]Revenue_Engine_2025 Dec.25'!$C$14:$E$3993,3,0))</f>
        <v>Churn</v>
      </c>
      <c r="N131" s="3" t="str">
        <f>IF(S131="",VLOOKUP(A131,[3]Export!$B$2:$F$417,5,0),"CHURN")</f>
        <v>CHURN</v>
      </c>
      <c r="O131" s="3" t="e">
        <f>(1-N131)*H131</f>
        <v>#VALUE!</v>
      </c>
      <c r="P131" s="3" t="e">
        <f t="shared" si="11"/>
        <v>#VALUE!</v>
      </c>
      <c r="Q131" s="3" t="e">
        <f t="shared" ref="Q131:Q194" si="16">(1-N131)*G131</f>
        <v>#VALUE!</v>
      </c>
      <c r="R131" s="3" t="str">
        <f>IF(S131&lt;&gt;"Churn",VLOOKUP(A131,[3]Export!$B$2:$O$417,8,0),"CHURN")</f>
        <v>CHURN</v>
      </c>
      <c r="S131" s="3" t="s">
        <v>372</v>
      </c>
      <c r="T131" s="3" t="s">
        <v>560</v>
      </c>
      <c r="U131" s="3">
        <v>186.56</v>
      </c>
      <c r="V131" s="4" t="str" cm="1">
        <f t="array" ref="V131">IFERROR(
    IF(
        MATCH(2,1/((Y131:BH131&lt;&gt;0)*(Y131:BH131&lt;&gt;"")))-MATCH(1,INDEX((Y131:BH131&lt;&gt;0)*(Y131:BH131&lt;&gt;""),0),0)+1 &lt;= 12,
        "No",
        "Yes"
    ),
    "No"
)</f>
        <v>Yes</v>
      </c>
      <c r="W131" s="4" t="str" cm="1">
        <f t="array" ref="W131">IFERROR(
    IF(
        MATCH(2,1/((Y131:BH131&lt;&gt;0)*(Y131:BH131&lt;&gt;"")))-MATCH(1,INDEX((Y131:BH131&lt;&gt;0)*(Y131:BH131&lt;&gt;""),0),0)+1 &lt;= 24,
        "No",
        "Yes"
    ),
    "No"
)</f>
        <v>Yes</v>
      </c>
      <c r="X131" s="3"/>
      <c r="Y131" s="4">
        <v>1500.7475062239116</v>
      </c>
      <c r="Z131" s="4">
        <v>1507.8645799709941</v>
      </c>
      <c r="AA131" s="4">
        <v>1510.5229489904077</v>
      </c>
      <c r="AB131" s="4">
        <v>1545.6767775987901</v>
      </c>
      <c r="AC131" s="4">
        <v>1564.9914567258829</v>
      </c>
      <c r="AD131" s="4">
        <v>1599.306984239855</v>
      </c>
      <c r="AE131" s="4">
        <v>1659.8813691142998</v>
      </c>
      <c r="AF131" s="4">
        <v>1768.8397411104136</v>
      </c>
      <c r="AG131" s="4">
        <v>1807.4247637528815</v>
      </c>
      <c r="AH131" s="4">
        <v>1851.2278211281541</v>
      </c>
      <c r="AI131" s="4">
        <v>1880.3593450246128</v>
      </c>
      <c r="AJ131" s="4">
        <v>1876.5789563437611</v>
      </c>
      <c r="AK131" s="4">
        <v>1898.968568498578</v>
      </c>
      <c r="AL131" s="4">
        <v>1920.1354899730911</v>
      </c>
      <c r="AM131" s="4">
        <v>1911.485917063995</v>
      </c>
      <c r="AN131" s="4">
        <v>1909.3218895623666</v>
      </c>
      <c r="AO131" s="4">
        <v>1909.6346069363983</v>
      </c>
      <c r="AP131" s="4">
        <v>1943.8106314833958</v>
      </c>
      <c r="AQ131" s="4">
        <v>2028.0323208273285</v>
      </c>
      <c r="AR131" s="4">
        <v>2021.6209096726304</v>
      </c>
      <c r="AS131" s="4">
        <v>2047.4087658363812</v>
      </c>
      <c r="AT131" s="4">
        <v>2045.4473273135172</v>
      </c>
      <c r="AU131" s="4">
        <v>2043.7096834635524</v>
      </c>
      <c r="AV131" s="4">
        <v>2047.3151369210493</v>
      </c>
      <c r="AW131" s="4">
        <v>2170.9418499440981</v>
      </c>
      <c r="AX131" s="4">
        <v>2185.9595564733445</v>
      </c>
      <c r="AY131" s="4">
        <v>2185.8441613681057</v>
      </c>
      <c r="AZ131" s="4">
        <v>2083.8721008086573</v>
      </c>
      <c r="BA131" s="4">
        <v>987.29373439882147</v>
      </c>
      <c r="BB131" s="4">
        <v>981.83573928239548</v>
      </c>
      <c r="BC131" s="4">
        <v>1031.6197229705126</v>
      </c>
      <c r="BD131" s="4">
        <v>1025.9861964495844</v>
      </c>
      <c r="BE131" s="4">
        <v>186.56</v>
      </c>
      <c r="BF131" s="4">
        <v>186.56</v>
      </c>
      <c r="BG131" s="4">
        <v>169.60000000000002</v>
      </c>
      <c r="BH131" s="4">
        <v>169.60000000000002</v>
      </c>
      <c r="BJ131" s="9"/>
    </row>
    <row r="132" spans="1:62" x14ac:dyDescent="0.25">
      <c r="A132" s="6" t="s">
        <v>126</v>
      </c>
      <c r="B132" s="6"/>
      <c r="C132" s="7" t="s">
        <v>526</v>
      </c>
      <c r="D132" s="3"/>
      <c r="E132" s="3">
        <f>VLOOKUP(A132,[2]Sheet1!$A$2:$E$627,5,0)</f>
        <v>75</v>
      </c>
      <c r="F132" s="3">
        <f>VLOOKUP(A132,[2]Sheet1!$A$2:$F$627,6,0)</f>
        <v>75</v>
      </c>
      <c r="G132" s="3">
        <f>VLOOKUP(A132,[2]Sheet1!$A$2:$G$627,7,0)</f>
        <v>75</v>
      </c>
      <c r="H132" s="4">
        <f t="shared" si="12"/>
        <v>75</v>
      </c>
      <c r="I132" s="11">
        <f t="shared" si="13"/>
        <v>0</v>
      </c>
      <c r="J132" s="11">
        <f t="shared" si="14"/>
        <v>0</v>
      </c>
      <c r="K132" s="11">
        <f t="shared" si="15"/>
        <v>0</v>
      </c>
      <c r="L132" s="11">
        <f>IF(S132="",((BG132-E132)/E132),((U132-E132)/E132))</f>
        <v>0</v>
      </c>
      <c r="M132" s="3" t="str">
        <f>IF(S132="Churn","Churn",VLOOKUP(A132,'[1]Revenue_Engine_2025 Dec.25'!$C$14:$E$3993,3,0))</f>
        <v>Üretim</v>
      </c>
      <c r="N132" s="3">
        <f>IF(S132="",VLOOKUP(A132,[3]Export!$B$2:$F$417,5,0),"CHURN")</f>
        <v>1</v>
      </c>
      <c r="O132" s="3">
        <f>(1-N132)*H132</f>
        <v>0</v>
      </c>
      <c r="P132" s="3">
        <f t="shared" si="11"/>
        <v>0</v>
      </c>
      <c r="Q132" s="3">
        <f t="shared" si="16"/>
        <v>0</v>
      </c>
      <c r="R132" s="3" t="str">
        <f>IF(S132&lt;&gt;"Churn",VLOOKUP(A132,[3]Export!$B$2:$O$417,8,0),"CHURN")</f>
        <v>LOW RISK</v>
      </c>
      <c r="S132" s="3"/>
      <c r="T132" s="3"/>
      <c r="U132" s="3" t="s">
        <v>551</v>
      </c>
      <c r="V132" s="4" t="str" cm="1">
        <f t="array" ref="V132">IFERROR(
    IF(
        MATCH(2,1/((Y132:BH132&lt;&gt;0)*(Y132:BH132&lt;&gt;"")))-MATCH(1,INDEX((Y132:BH132&lt;&gt;0)*(Y132:BH132&lt;&gt;""),0),0)+1 &lt;= 12,
        "No",
        "Yes"
    ),
    "No"
)</f>
        <v>Yes</v>
      </c>
      <c r="W132" s="4" t="str" cm="1">
        <f t="array" ref="W132">IFERROR(
    IF(
        MATCH(2,1/((Y132:BH132&lt;&gt;0)*(Y132:BH132&lt;&gt;"")))-MATCH(1,INDEX((Y132:BH132&lt;&gt;0)*(Y132:BH132&lt;&gt;""),0),0)+1 &lt;= 24,
        "No",
        "Yes"
    ),
    "No"
)</f>
        <v>Yes</v>
      </c>
      <c r="X132" s="3"/>
      <c r="Y132" s="4">
        <v>75</v>
      </c>
      <c r="Z132" s="4">
        <v>75</v>
      </c>
      <c r="AA132" s="4">
        <v>75</v>
      </c>
      <c r="AB132" s="4">
        <v>75</v>
      </c>
      <c r="AC132" s="4">
        <v>75</v>
      </c>
      <c r="AD132" s="4">
        <v>75</v>
      </c>
      <c r="AE132" s="4">
        <v>75</v>
      </c>
      <c r="AF132" s="4">
        <v>75</v>
      </c>
      <c r="AG132" s="4">
        <v>75</v>
      </c>
      <c r="AH132" s="4">
        <v>75</v>
      </c>
      <c r="AI132" s="4">
        <v>75</v>
      </c>
      <c r="AJ132" s="4">
        <v>75</v>
      </c>
      <c r="AK132" s="4">
        <v>75</v>
      </c>
      <c r="AL132" s="4">
        <v>75</v>
      </c>
      <c r="AM132" s="4">
        <v>75</v>
      </c>
      <c r="AN132" s="4">
        <v>75</v>
      </c>
      <c r="AO132" s="4">
        <v>75</v>
      </c>
      <c r="AP132" s="4">
        <v>75</v>
      </c>
      <c r="AQ132" s="4">
        <v>75</v>
      </c>
      <c r="AR132" s="4">
        <v>75</v>
      </c>
      <c r="AS132" s="4">
        <v>75</v>
      </c>
      <c r="AT132" s="4">
        <v>75</v>
      </c>
      <c r="AU132" s="4">
        <v>75</v>
      </c>
      <c r="AV132" s="4">
        <v>75</v>
      </c>
      <c r="AW132" s="4">
        <v>75</v>
      </c>
      <c r="AX132" s="4">
        <v>75</v>
      </c>
      <c r="AY132" s="4">
        <v>75</v>
      </c>
      <c r="AZ132" s="4">
        <v>75</v>
      </c>
      <c r="BA132" s="4">
        <v>75</v>
      </c>
      <c r="BB132" s="4">
        <v>75</v>
      </c>
      <c r="BC132" s="4">
        <v>75</v>
      </c>
      <c r="BD132" s="4">
        <v>75</v>
      </c>
      <c r="BE132" s="4">
        <v>75</v>
      </c>
      <c r="BF132" s="4">
        <v>75</v>
      </c>
      <c r="BG132" s="4">
        <v>75</v>
      </c>
      <c r="BH132" s="4">
        <v>75</v>
      </c>
      <c r="BJ132" s="9"/>
    </row>
    <row r="133" spans="1:62" x14ac:dyDescent="0.25">
      <c r="A133" s="6" t="s">
        <v>127</v>
      </c>
      <c r="B133" s="6"/>
      <c r="C133" s="7" t="s">
        <v>526</v>
      </c>
      <c r="D133" s="3"/>
      <c r="E133" s="3">
        <f>VLOOKUP(A133,[2]Sheet1!$A$2:$E$627,5,0)</f>
        <v>1119.6261267444763</v>
      </c>
      <c r="F133" s="3">
        <f>VLOOKUP(A133,[2]Sheet1!$A$2:$F$627,6,0)</f>
        <v>1115.65711820919</v>
      </c>
      <c r="G133" s="3">
        <f>VLOOKUP(A133,[2]Sheet1!$A$2:$G$627,7,0)</f>
        <v>1077.3813669328667</v>
      </c>
      <c r="H133" s="4">
        <f t="shared" si="12"/>
        <v>110.86423031357521</v>
      </c>
      <c r="I133" s="11">
        <f t="shared" si="13"/>
        <v>-3.5449409767052864E-3</v>
      </c>
      <c r="J133" s="11">
        <f t="shared" si="14"/>
        <v>-3.7731130778846843E-2</v>
      </c>
      <c r="K133" s="11">
        <f t="shared" si="15"/>
        <v>-3.430780895994464E-2</v>
      </c>
      <c r="L133" s="11">
        <f>IF(S133="",((BG133-E133)/E133),((U133-E133)/E133))</f>
        <v>-0.90187052546599322</v>
      </c>
      <c r="M133" s="3" t="str">
        <f>IF(S133="Churn","Churn",VLOOKUP(A133,'[1]Revenue_Engine_2025 Dec.25'!$C$14:$E$3993,3,0))</f>
        <v>Diğer</v>
      </c>
      <c r="N133" s="3">
        <f>IF(S133="",VLOOKUP(A133,[3]Export!$B$2:$F$417,5,0),"CHURN")</f>
        <v>0</v>
      </c>
      <c r="O133" s="3">
        <f>(1-N133)*H133</f>
        <v>110.86423031357521</v>
      </c>
      <c r="P133" s="3">
        <f t="shared" si="11"/>
        <v>1115.65711820919</v>
      </c>
      <c r="Q133" s="3">
        <f t="shared" si="16"/>
        <v>1077.3813669328667</v>
      </c>
      <c r="R133" s="3" t="str">
        <f>IF(S133&lt;&gt;"Churn",VLOOKUP(A133,[3]Export!$B$2:$O$417,8,0),"CHURN")</f>
        <v>CHURN - LİSANS</v>
      </c>
      <c r="S133" s="3"/>
      <c r="T133" s="3"/>
      <c r="U133" s="3" t="s">
        <v>551</v>
      </c>
      <c r="V133" s="4" t="str" cm="1">
        <f t="array" ref="V133">IFERROR(
    IF(
        MATCH(2,1/((Y133:BH133&lt;&gt;0)*(Y133:BH133&lt;&gt;"")))-MATCH(1,INDEX((Y133:BH133&lt;&gt;0)*(Y133:BH133&lt;&gt;""),0),0)+1 &lt;= 12,
        "No",
        "Yes"
    ),
    "No"
)</f>
        <v>Yes</v>
      </c>
      <c r="W133" s="4" t="str" cm="1">
        <f t="array" ref="W133">IFERROR(
    IF(
        MATCH(2,1/((Y133:BH133&lt;&gt;0)*(Y133:BH133&lt;&gt;"")))-MATCH(1,INDEX((Y133:BH133&lt;&gt;0)*(Y133:BH133&lt;&gt;""),0),0)+1 &lt;= 24,
        "No",
        "Yes"
    ),
    "No"
)</f>
        <v>Yes</v>
      </c>
      <c r="X133" s="3"/>
      <c r="Y133" s="4">
        <v>1115.113989967108</v>
      </c>
      <c r="Z133" s="4">
        <v>1119.6261267444763</v>
      </c>
      <c r="AA133" s="4">
        <v>1119.0191733419113</v>
      </c>
      <c r="AB133" s="4">
        <v>1117.5630534390684</v>
      </c>
      <c r="AC133" s="4">
        <v>1127.7317876742959</v>
      </c>
      <c r="AD133" s="4">
        <v>1151.5015327681106</v>
      </c>
      <c r="AE133" s="4">
        <v>1171.1505581686872</v>
      </c>
      <c r="AF133" s="4">
        <v>1170.643538769353</v>
      </c>
      <c r="AG133" s="4">
        <v>1189.7066932140033</v>
      </c>
      <c r="AH133" s="4">
        <v>1186.8703980586436</v>
      </c>
      <c r="AI133" s="4">
        <v>1116.5424287423598</v>
      </c>
      <c r="AJ133" s="4">
        <v>1116.2486105016997</v>
      </c>
      <c r="AK133" s="4">
        <v>1115.65711820919</v>
      </c>
      <c r="AL133" s="4">
        <v>1126.9441767059116</v>
      </c>
      <c r="AM133" s="4">
        <v>1126.2719171820465</v>
      </c>
      <c r="AN133" s="4">
        <v>1126.1037252824967</v>
      </c>
      <c r="AO133" s="4">
        <v>1126.1280302088996</v>
      </c>
      <c r="AP133" s="4">
        <v>1125.9862677331723</v>
      </c>
      <c r="AQ133" s="4">
        <v>1018.4089637389303</v>
      </c>
      <c r="AR133" s="4">
        <v>1018.0557154176573</v>
      </c>
      <c r="AS133" s="4">
        <v>1024.8334422869664</v>
      </c>
      <c r="AT133" s="4">
        <v>1062.1922480370611</v>
      </c>
      <c r="AU133" s="4">
        <v>1062.0671636578472</v>
      </c>
      <c r="AV133" s="4">
        <v>1077.7162691818421</v>
      </c>
      <c r="AW133" s="4">
        <v>1077.3813669328667</v>
      </c>
      <c r="AX133" s="4">
        <v>1076.9956379997172</v>
      </c>
      <c r="AY133" s="4">
        <v>1101.4593495495446</v>
      </c>
      <c r="AZ133" s="4">
        <v>1100.8994601605311</v>
      </c>
      <c r="BA133" s="4">
        <v>1267.9474082198205</v>
      </c>
      <c r="BB133" s="4">
        <v>1265.8684821238619</v>
      </c>
      <c r="BC133" s="4">
        <v>873.55317252891223</v>
      </c>
      <c r="BD133" s="4">
        <v>871.73507900026846</v>
      </c>
      <c r="BE133" s="4">
        <v>112.01872021398226</v>
      </c>
      <c r="BF133" s="4">
        <v>110.86423031357521</v>
      </c>
      <c r="BG133" s="4">
        <v>109.86832349198069</v>
      </c>
      <c r="BH133" s="4">
        <v>92.953316691754281</v>
      </c>
      <c r="BJ133" s="9"/>
    </row>
    <row r="134" spans="1:62" x14ac:dyDescent="0.25">
      <c r="A134" s="6" t="s">
        <v>128</v>
      </c>
      <c r="B134" s="6"/>
      <c r="C134" s="7" t="s">
        <v>526</v>
      </c>
      <c r="D134" s="3"/>
      <c r="E134" s="3">
        <f>VLOOKUP(A134,[2]Sheet1!$A$2:$E$627,5,0)</f>
        <v>1553.0810361280076</v>
      </c>
      <c r="F134" s="3">
        <f>VLOOKUP(A134,[2]Sheet1!$A$2:$F$627,6,0)</f>
        <v>1523.3821217769391</v>
      </c>
      <c r="G134" s="3">
        <f>VLOOKUP(A134,[2]Sheet1!$A$2:$G$627,7,0)</f>
        <v>1782.7921005446292</v>
      </c>
      <c r="H134" s="4">
        <f t="shared" si="12"/>
        <v>1916.0395031713717</v>
      </c>
      <c r="I134" s="11">
        <f t="shared" si="13"/>
        <v>-1.9122578706588875E-2</v>
      </c>
      <c r="J134" s="11">
        <f t="shared" si="14"/>
        <v>0.1479066829566828</v>
      </c>
      <c r="K134" s="11">
        <f t="shared" si="15"/>
        <v>0.17028556070035991</v>
      </c>
      <c r="L134" s="11">
        <f>IF(S134="",((BG134-E134)/E134),((U134-E134)/E134))</f>
        <v>-3.5348973797434874E-2</v>
      </c>
      <c r="M134" s="3" t="str">
        <f>IF(S134="Churn","Churn",VLOOKUP(A134,'[1]Revenue_Engine_2025 Dec.25'!$C$14:$E$3993,3,0))</f>
        <v>Genel</v>
      </c>
      <c r="N134" s="3">
        <f>IF(S134="",VLOOKUP(A134,[3]Export!$B$2:$F$417,5,0),"CHURN")</f>
        <v>5.3092413112228037E-2</v>
      </c>
      <c r="O134" s="3">
        <f>(1-N134)*H134</f>
        <v>1814.3123423296493</v>
      </c>
      <c r="P134" s="3">
        <f t="shared" ref="P134:P197" si="17">(1-N134)*F134</f>
        <v>1442.5020888397755</v>
      </c>
      <c r="Q134" s="3">
        <f t="shared" si="16"/>
        <v>1688.1393658492971</v>
      </c>
      <c r="R134" s="3" t="str">
        <f>IF(S134&lt;&gt;"Churn",VLOOKUP(A134,[3]Export!$B$2:$O$417,8,0),"CHURN")</f>
        <v>NO RISK</v>
      </c>
      <c r="S134" s="3"/>
      <c r="T134" s="3"/>
      <c r="U134" s="3" t="s">
        <v>551</v>
      </c>
      <c r="V134" s="4" t="str" cm="1">
        <f t="array" ref="V134">IFERROR(
    IF(
        MATCH(2,1/((Y134:BH134&lt;&gt;0)*(Y134:BH134&lt;&gt;"")))-MATCH(1,INDEX((Y134:BH134&lt;&gt;0)*(Y134:BH134&lt;&gt;""),0),0)+1 &lt;= 12,
        "No",
        "Yes"
    ),
    "No"
)</f>
        <v>Yes</v>
      </c>
      <c r="W134" s="4" t="str" cm="1">
        <f t="array" ref="W134">IFERROR(
    IF(
        MATCH(2,1/((Y134:BH134&lt;&gt;0)*(Y134:BH134&lt;&gt;"")))-MATCH(1,INDEX((Y134:BH134&lt;&gt;0)*(Y134:BH134&lt;&gt;""),0),0)+1 &lt;= 24,
        "No",
        "Yes"
    ),
    "No"
)</f>
        <v>Yes</v>
      </c>
      <c r="X134" s="3"/>
      <c r="Y134" s="4">
        <v>1553.0810361280076</v>
      </c>
      <c r="Z134" s="4">
        <v>1547.6850991037895</v>
      </c>
      <c r="AA134" s="4">
        <v>1536.3078821500703</v>
      </c>
      <c r="AB134" s="4">
        <v>1518.0132134403116</v>
      </c>
      <c r="AC134" s="4">
        <v>1168.7976773446076</v>
      </c>
      <c r="AD134" s="4">
        <v>982.91525298280408</v>
      </c>
      <c r="AE134" s="4">
        <v>871.08184600702145</v>
      </c>
      <c r="AF134" s="4">
        <v>854.60157804587163</v>
      </c>
      <c r="AG134" s="4">
        <v>954.03381869610575</v>
      </c>
      <c r="AH134" s="4">
        <v>924.62856213639157</v>
      </c>
      <c r="AI134" s="4">
        <v>899.17409542068856</v>
      </c>
      <c r="AJ134" s="4">
        <v>1573.5191603324231</v>
      </c>
      <c r="AK134" s="4">
        <v>1523.3821217769391</v>
      </c>
      <c r="AL134" s="4">
        <v>1488.3796976824494</v>
      </c>
      <c r="AM134" s="4">
        <v>1431.3965347669982</v>
      </c>
      <c r="AN134" s="4">
        <v>1417.1399774809008</v>
      </c>
      <c r="AO134" s="4">
        <v>1419.2001514638503</v>
      </c>
      <c r="AP134" s="4">
        <v>1407.1838482909013</v>
      </c>
      <c r="AQ134" s="4">
        <v>1390.8834621391322</v>
      </c>
      <c r="AR134" s="4">
        <v>1360.9408493145791</v>
      </c>
      <c r="AS134" s="4">
        <v>1345.359484443188</v>
      </c>
      <c r="AT134" s="4">
        <v>1337.0402384499002</v>
      </c>
      <c r="AU134" s="4">
        <v>1329.6701952555436</v>
      </c>
      <c r="AV134" s="4">
        <v>1810.0783795855928</v>
      </c>
      <c r="AW134" s="4">
        <v>1782.7921005446292</v>
      </c>
      <c r="AX134" s="4">
        <v>1751.3646994558248</v>
      </c>
      <c r="AY134" s="4">
        <v>1707.6704085317569</v>
      </c>
      <c r="AZ134" s="4">
        <v>1662.0532227784895</v>
      </c>
      <c r="BA134" s="4">
        <v>1634.1899684682128</v>
      </c>
      <c r="BB134" s="4">
        <v>1606.4445043494186</v>
      </c>
      <c r="BC134" s="4">
        <v>1575.5442528130804</v>
      </c>
      <c r="BD134" s="4">
        <v>1551.2798747470883</v>
      </c>
      <c r="BE134" s="4">
        <v>1532.502526816513</v>
      </c>
      <c r="BF134" s="4">
        <v>1514.0763419474054</v>
      </c>
      <c r="BG134" s="4">
        <v>1498.1812152766256</v>
      </c>
      <c r="BH134" s="4">
        <v>1916.0395031713717</v>
      </c>
      <c r="BJ134" s="9"/>
    </row>
    <row r="135" spans="1:62" x14ac:dyDescent="0.25">
      <c r="A135" s="6" t="s">
        <v>129</v>
      </c>
      <c r="B135" s="6"/>
      <c r="C135" s="7" t="s">
        <v>526</v>
      </c>
      <c r="D135" s="3"/>
      <c r="E135" s="3">
        <f>VLOOKUP(A135,[2]Sheet1!$A$2:$E$627,5,0)</f>
        <v>431.33333333333331</v>
      </c>
      <c r="F135" s="3">
        <f>VLOOKUP(A135,[2]Sheet1!$A$2:$F$627,6,0)</f>
        <v>500.4375</v>
      </c>
      <c r="G135" s="3">
        <f>VLOOKUP(A135,[2]Sheet1!$A$2:$G$627,7,0)</f>
        <v>752.0067396666667</v>
      </c>
      <c r="H135" s="4">
        <f t="shared" si="12"/>
        <v>510.01018999999997</v>
      </c>
      <c r="I135" s="11">
        <f t="shared" si="13"/>
        <v>0.16021058732612062</v>
      </c>
      <c r="J135" s="11">
        <f t="shared" si="14"/>
        <v>0.74344684621329227</v>
      </c>
      <c r="K135" s="11">
        <f t="shared" si="15"/>
        <v>0.50269861804254623</v>
      </c>
      <c r="L135" s="11">
        <f>IF(S135="",((BG135-E135)/E135),((U135-E135)/E135))</f>
        <v>0.18240384080370939</v>
      </c>
      <c r="M135" s="3" t="str">
        <f>IF(S135="Churn","Churn",VLOOKUP(A135,'[1]Revenue_Engine_2025 Dec.25'!$C$14:$E$3993,3,0))</f>
        <v>Üretim</v>
      </c>
      <c r="N135" s="3">
        <f>IF(S135="",VLOOKUP(A135,[3]Export!$B$2:$F$417,5,0),"CHURN")</f>
        <v>0.26903956581901001</v>
      </c>
      <c r="O135" s="3">
        <f>(1-N135)*H135</f>
        <v>372.79726991912918</v>
      </c>
      <c r="P135" s="3">
        <f t="shared" si="17"/>
        <v>365.80001228044915</v>
      </c>
      <c r="Q135" s="3">
        <f t="shared" si="16"/>
        <v>549.68717293377745</v>
      </c>
      <c r="R135" s="3" t="str">
        <f>IF(S135&lt;&gt;"Churn",VLOOKUP(A135,[3]Export!$B$2:$O$417,8,0),"CHURN")</f>
        <v>NO RISK</v>
      </c>
      <c r="S135" s="3"/>
      <c r="T135" s="3"/>
      <c r="U135" s="3" t="s">
        <v>551</v>
      </c>
      <c r="V135" s="4" t="str" cm="1">
        <f t="array" ref="V135">IFERROR(
    IF(
        MATCH(2,1/((Y135:BH135&lt;&gt;0)*(Y135:BH135&lt;&gt;"")))-MATCH(1,INDEX((Y135:BH135&lt;&gt;0)*(Y135:BH135&lt;&gt;""),0),0)+1 &lt;= 12,
        "No",
        "Yes"
    ),
    "No"
)</f>
        <v>Yes</v>
      </c>
      <c r="W135" s="4" t="str" cm="1">
        <f t="array" ref="W135">IFERROR(
    IF(
        MATCH(2,1/((Y135:BH135&lt;&gt;0)*(Y135:BH135&lt;&gt;"")))-MATCH(1,INDEX((Y135:BH135&lt;&gt;0)*(Y135:BH135&lt;&gt;""),0),0)+1 &lt;= 24,
        "No",
        "Yes"
    ),
    "No"
)</f>
        <v>Yes</v>
      </c>
      <c r="X135" s="3"/>
      <c r="Y135" s="4">
        <v>431.33333333333331</v>
      </c>
      <c r="Z135" s="4">
        <v>431.33333333333331</v>
      </c>
      <c r="AA135" s="4">
        <v>431.33333333333331</v>
      </c>
      <c r="AB135" s="4">
        <v>440.33333333333331</v>
      </c>
      <c r="AC135" s="4">
        <v>440.33333333333331</v>
      </c>
      <c r="AD135" s="4">
        <v>500.33333333333331</v>
      </c>
      <c r="AE135" s="4">
        <v>500.33333333333331</v>
      </c>
      <c r="AF135" s="4">
        <v>500.33333333333331</v>
      </c>
      <c r="AG135" s="4">
        <v>500.33333333333331</v>
      </c>
      <c r="AH135" s="4">
        <v>500.33333333333331</v>
      </c>
      <c r="AI135" s="4">
        <v>500.33333333333331</v>
      </c>
      <c r="AJ135" s="4">
        <v>500.33333333333331</v>
      </c>
      <c r="AK135" s="4">
        <v>500.4375</v>
      </c>
      <c r="AL135" s="4">
        <v>500.4375</v>
      </c>
      <c r="AM135" s="4">
        <v>500.4375</v>
      </c>
      <c r="AN135" s="4">
        <v>500.4375</v>
      </c>
      <c r="AO135" s="4">
        <v>502.42916666666667</v>
      </c>
      <c r="AP135" s="4">
        <v>502.42916666666667</v>
      </c>
      <c r="AQ135" s="4">
        <v>502.42916666666667</v>
      </c>
      <c r="AR135" s="4">
        <v>502.42916666666667</v>
      </c>
      <c r="AS135" s="4">
        <v>502.42916666666667</v>
      </c>
      <c r="AT135" s="4">
        <v>502.42916666666667</v>
      </c>
      <c r="AU135" s="4">
        <v>502.42916666666667</v>
      </c>
      <c r="AV135" s="4">
        <v>502.42916666666667</v>
      </c>
      <c r="AW135" s="4">
        <v>752.0067396666667</v>
      </c>
      <c r="AX135" s="4">
        <v>752.0067396666667</v>
      </c>
      <c r="AY135" s="4">
        <v>510.00185666666664</v>
      </c>
      <c r="AZ135" s="4">
        <v>510.00185666666664</v>
      </c>
      <c r="BA135" s="4">
        <v>510.01018999999997</v>
      </c>
      <c r="BB135" s="4">
        <v>510.01018999999997</v>
      </c>
      <c r="BC135" s="4">
        <v>510.01018999999997</v>
      </c>
      <c r="BD135" s="4">
        <v>510.01018999999997</v>
      </c>
      <c r="BE135" s="4">
        <v>510.01018999999997</v>
      </c>
      <c r="BF135" s="4">
        <v>510.01018999999997</v>
      </c>
      <c r="BG135" s="4">
        <v>510.01018999999997</v>
      </c>
      <c r="BH135" s="4">
        <v>510.01018999999997</v>
      </c>
      <c r="BJ135" s="9"/>
    </row>
    <row r="136" spans="1:62" x14ac:dyDescent="0.25">
      <c r="A136" s="6" t="s">
        <v>130</v>
      </c>
      <c r="B136" s="6"/>
      <c r="C136" s="7" t="s">
        <v>525</v>
      </c>
      <c r="D136" s="3"/>
      <c r="E136" s="3">
        <f>VLOOKUP(A136,[2]Sheet1!$A$2:$E$627,5,0)</f>
        <v>13132.282776157756</v>
      </c>
      <c r="F136" s="3">
        <f>VLOOKUP(A136,[2]Sheet1!$A$2:$F$627,6,0)</f>
        <v>15795.814897218823</v>
      </c>
      <c r="G136" s="3">
        <f>VLOOKUP(A136,[2]Sheet1!$A$2:$G$627,7,0)</f>
        <v>29488.376555577506</v>
      </c>
      <c r="H136" s="4">
        <f t="shared" si="12"/>
        <v>29344.621037235509</v>
      </c>
      <c r="I136" s="11">
        <f t="shared" si="13"/>
        <v>0.20282323846215286</v>
      </c>
      <c r="J136" s="11">
        <f t="shared" si="14"/>
        <v>1.2454874798397555</v>
      </c>
      <c r="K136" s="11">
        <f t="shared" si="15"/>
        <v>0.8668474369606306</v>
      </c>
      <c r="L136" s="11">
        <f>IF(S136="",((BG136-E136)/E136),((U136-E136)/E136))</f>
        <v>1.2110820224053478</v>
      </c>
      <c r="M136" s="3" t="str">
        <f>IF(S136="Churn","Churn",VLOOKUP(A136,'[1]Revenue_Engine_2025 Dec.25'!$C$14:$E$3993,3,0))</f>
        <v>Digital</v>
      </c>
      <c r="N136" s="3">
        <f>IF(S136="",VLOOKUP(A136,[3]Export!$B$2:$F$417,5,0),"CHURN")</f>
        <v>0</v>
      </c>
      <c r="O136" s="3">
        <f>(1-N136)*H136</f>
        <v>29344.621037235509</v>
      </c>
      <c r="P136" s="3">
        <f t="shared" si="17"/>
        <v>15795.814897218823</v>
      </c>
      <c r="Q136" s="3">
        <f t="shared" si="16"/>
        <v>29488.376555577506</v>
      </c>
      <c r="R136" s="3" t="str">
        <f>IF(S136&lt;&gt;"Churn",VLOOKUP(A136,[3]Export!$B$2:$O$417,8,0),"CHURN")</f>
        <v>NO RISK</v>
      </c>
      <c r="S136" s="3"/>
      <c r="T136" s="3"/>
      <c r="U136" s="3" t="s">
        <v>551</v>
      </c>
      <c r="V136" s="4" t="str" cm="1">
        <f t="array" ref="V136">IFERROR(
    IF(
        MATCH(2,1/((Y136:BH136&lt;&gt;0)*(Y136:BH136&lt;&gt;"")))-MATCH(1,INDEX((Y136:BH136&lt;&gt;0)*(Y136:BH136&lt;&gt;""),0),0)+1 &lt;= 12,
        "No",
        "Yes"
    ),
    "No"
)</f>
        <v>Yes</v>
      </c>
      <c r="W136" s="4" t="str" cm="1">
        <f t="array" ref="W136">IFERROR(
    IF(
        MATCH(2,1/((Y136:BH136&lt;&gt;0)*(Y136:BH136&lt;&gt;"")))-MATCH(1,INDEX((Y136:BH136&lt;&gt;0)*(Y136:BH136&lt;&gt;""),0),0)+1 &lt;= 24,
        "No",
        "Yes"
    ),
    "No"
)</f>
        <v>Yes</v>
      </c>
      <c r="X136" s="3"/>
      <c r="Y136" s="4">
        <v>13132.282776157756</v>
      </c>
      <c r="Z136" s="4">
        <v>13086.656714673523</v>
      </c>
      <c r="AA136" s="4">
        <v>12990.455147101475</v>
      </c>
      <c r="AB136" s="4">
        <v>12998.601478289243</v>
      </c>
      <c r="AC136" s="4">
        <v>12517.749197121831</v>
      </c>
      <c r="AD136" s="4">
        <v>10526.960189395233</v>
      </c>
      <c r="AE136" s="4">
        <v>12565.312004120417</v>
      </c>
      <c r="AF136" s="4">
        <v>12341.274341149501</v>
      </c>
      <c r="AG136" s="4">
        <v>12772.397204084737</v>
      </c>
      <c r="AH136" s="4">
        <v>12400.294574441026</v>
      </c>
      <c r="AI136" s="4">
        <v>12058.921942839948</v>
      </c>
      <c r="AJ136" s="4">
        <v>12020.15856560807</v>
      </c>
      <c r="AK136" s="4">
        <v>15795.814897218823</v>
      </c>
      <c r="AL136" s="4">
        <v>17978.612499299586</v>
      </c>
      <c r="AM136" s="4">
        <v>16565.396544917949</v>
      </c>
      <c r="AN136" s="4">
        <v>21113.211670259589</v>
      </c>
      <c r="AO136" s="4">
        <v>20463.288809536371</v>
      </c>
      <c r="AP136" s="4">
        <v>20810.600633281389</v>
      </c>
      <c r="AQ136" s="4">
        <v>26057.019931289364</v>
      </c>
      <c r="AR136" s="4">
        <v>25496.070520068155</v>
      </c>
      <c r="AS136" s="4">
        <v>25204.166887548072</v>
      </c>
      <c r="AT136" s="4">
        <v>25048.312882118309</v>
      </c>
      <c r="AU136" s="4">
        <v>24910.241384658366</v>
      </c>
      <c r="AV136" s="4">
        <v>24522.914637249734</v>
      </c>
      <c r="AW136" s="4">
        <v>29488.376555577506</v>
      </c>
      <c r="AX136" s="4">
        <v>28968.549985889687</v>
      </c>
      <c r="AY136" s="4">
        <v>28245.8220177371</v>
      </c>
      <c r="AZ136" s="4">
        <v>27491.288295480554</v>
      </c>
      <c r="BA136" s="4">
        <v>27030.414512020361</v>
      </c>
      <c r="BB136" s="4">
        <v>26571.489044094273</v>
      </c>
      <c r="BC136" s="4">
        <v>30535.946740667961</v>
      </c>
      <c r="BD136" s="4">
        <v>30065.673846082074</v>
      </c>
      <c r="BE136" s="4">
        <v>29701.746209447756</v>
      </c>
      <c r="BF136" s="4">
        <v>29344.621037235509</v>
      </c>
      <c r="BG136" s="4">
        <v>29036.554359505804</v>
      </c>
      <c r="BH136" s="4">
        <v>27696.319847079074</v>
      </c>
      <c r="BJ136" s="9"/>
    </row>
    <row r="137" spans="1:62" x14ac:dyDescent="0.25">
      <c r="A137" s="6" t="s">
        <v>131</v>
      </c>
      <c r="B137" s="6"/>
      <c r="C137" s="7" t="s">
        <v>526</v>
      </c>
      <c r="D137" s="3"/>
      <c r="E137" s="3">
        <f>VLOOKUP(A137,[2]Sheet1!$A$2:$E$627,5,0)</f>
        <v>229.5</v>
      </c>
      <c r="F137" s="3">
        <f>VLOOKUP(A137,[2]Sheet1!$A$2:$F$627,6,0)</f>
        <v>221.5</v>
      </c>
      <c r="G137" s="3">
        <f>VLOOKUP(A137,[2]Sheet1!$A$2:$G$627,7,0)</f>
        <v>229.5</v>
      </c>
      <c r="H137" s="4">
        <f t="shared" si="12"/>
        <v>174</v>
      </c>
      <c r="I137" s="11">
        <f t="shared" si="13"/>
        <v>-3.4858387799564274E-2</v>
      </c>
      <c r="J137" s="11">
        <f t="shared" si="14"/>
        <v>0</v>
      </c>
      <c r="K137" s="11">
        <f t="shared" si="15"/>
        <v>3.6117381489841983E-2</v>
      </c>
      <c r="L137" s="11">
        <f>IF(S137="",((BG137-E137)/E137),((U137-E137)/E137))</f>
        <v>-0.24183006535947713</v>
      </c>
      <c r="M137" s="3" t="str">
        <f>IF(S137="Churn","Churn",VLOOKUP(A137,'[1]Revenue_Engine_2025 Dec.25'!$C$14:$E$3993,3,0))</f>
        <v>Üretim</v>
      </c>
      <c r="N137" s="3">
        <f>IF(S137="",VLOOKUP(A137,[3]Export!$B$2:$F$417,5,0),"CHURN")</f>
        <v>1</v>
      </c>
      <c r="O137" s="3">
        <f>(1-N137)*H137</f>
        <v>0</v>
      </c>
      <c r="P137" s="3">
        <f t="shared" si="17"/>
        <v>0</v>
      </c>
      <c r="Q137" s="3">
        <f t="shared" si="16"/>
        <v>0</v>
      </c>
      <c r="R137" s="3" t="str">
        <f>IF(S137&lt;&gt;"Churn",VLOOKUP(A137,[3]Export!$B$2:$O$417,8,0),"CHURN")</f>
        <v>NO RISK</v>
      </c>
      <c r="S137" s="3"/>
      <c r="T137" s="3"/>
      <c r="U137" s="3" t="s">
        <v>551</v>
      </c>
      <c r="V137" s="4" t="str" cm="1">
        <f t="array" ref="V137">IFERROR(
    IF(
        MATCH(2,1/((Y137:BH137&lt;&gt;0)*(Y137:BH137&lt;&gt;"")))-MATCH(1,INDEX((Y137:BH137&lt;&gt;0)*(Y137:BH137&lt;&gt;""),0),0)+1 &lt;= 12,
        "No",
        "Yes"
    ),
    "No"
)</f>
        <v>Yes</v>
      </c>
      <c r="W137" s="4" t="str" cm="1">
        <f t="array" ref="W137">IFERROR(
    IF(
        MATCH(2,1/((Y137:BH137&lt;&gt;0)*(Y137:BH137&lt;&gt;"")))-MATCH(1,INDEX((Y137:BH137&lt;&gt;0)*(Y137:BH137&lt;&gt;""),0),0)+1 &lt;= 24,
        "No",
        "Yes"
    ),
    "No"
)</f>
        <v>Yes</v>
      </c>
      <c r="X137" s="3"/>
      <c r="Y137" s="4">
        <v>229.5</v>
      </c>
      <c r="Z137" s="4">
        <v>229.5</v>
      </c>
      <c r="AA137" s="4">
        <v>229.5</v>
      </c>
      <c r="AB137" s="4">
        <v>221.5</v>
      </c>
      <c r="AC137" s="4">
        <v>221.5</v>
      </c>
      <c r="AD137" s="4">
        <v>221.5</v>
      </c>
      <c r="AE137" s="4">
        <v>221.5</v>
      </c>
      <c r="AF137" s="4">
        <v>221.5</v>
      </c>
      <c r="AG137" s="4">
        <v>221.5</v>
      </c>
      <c r="AH137" s="4">
        <v>221.5</v>
      </c>
      <c r="AI137" s="4">
        <v>221.5</v>
      </c>
      <c r="AJ137" s="4">
        <v>221.5</v>
      </c>
      <c r="AK137" s="4">
        <v>221.5</v>
      </c>
      <c r="AL137" s="4">
        <v>221.5</v>
      </c>
      <c r="AM137" s="4">
        <v>221.5</v>
      </c>
      <c r="AN137" s="4">
        <v>221.5</v>
      </c>
      <c r="AO137" s="4">
        <v>221.5</v>
      </c>
      <c r="AP137" s="4">
        <v>221.5</v>
      </c>
      <c r="AQ137" s="4">
        <v>229.5</v>
      </c>
      <c r="AR137" s="4">
        <v>229.5</v>
      </c>
      <c r="AS137" s="4">
        <v>229.5</v>
      </c>
      <c r="AT137" s="4">
        <v>229.5</v>
      </c>
      <c r="AU137" s="4">
        <v>229.5</v>
      </c>
      <c r="AV137" s="4">
        <v>229.5</v>
      </c>
      <c r="AW137" s="4">
        <v>229.5</v>
      </c>
      <c r="AX137" s="4">
        <v>229.5</v>
      </c>
      <c r="AY137" s="4">
        <v>229.5</v>
      </c>
      <c r="AZ137" s="4">
        <v>229.5</v>
      </c>
      <c r="BA137" s="4">
        <v>229.5</v>
      </c>
      <c r="BB137" s="4">
        <v>159.5</v>
      </c>
      <c r="BC137" s="4">
        <v>159.5</v>
      </c>
      <c r="BD137" s="4">
        <v>174</v>
      </c>
      <c r="BE137" s="4">
        <v>174</v>
      </c>
      <c r="BF137" s="4">
        <v>174</v>
      </c>
      <c r="BG137" s="4">
        <v>174</v>
      </c>
      <c r="BH137" s="4">
        <v>174</v>
      </c>
      <c r="BJ137" s="9"/>
    </row>
    <row r="138" spans="1:62" x14ac:dyDescent="0.25">
      <c r="A138" s="6" t="s">
        <v>132</v>
      </c>
      <c r="B138" s="6"/>
      <c r="C138" s="7" t="s">
        <v>526</v>
      </c>
      <c r="D138" s="3"/>
      <c r="E138" s="3">
        <f>VLOOKUP(A138,[2]Sheet1!$A$2:$E$627,5,0)</f>
        <v>220.99799720565034</v>
      </c>
      <c r="F138" s="3">
        <f>VLOOKUP(A138,[2]Sheet1!$A$2:$F$627,6,0)</f>
        <v>527.59400481478599</v>
      </c>
      <c r="G138" s="3">
        <f>VLOOKUP(A138,[2]Sheet1!$A$2:$G$627,7,0)</f>
        <v>749.21132006648315</v>
      </c>
      <c r="H138" s="4">
        <f t="shared" si="12"/>
        <v>735.45533565590279</v>
      </c>
      <c r="I138" s="11">
        <f t="shared" si="13"/>
        <v>1.3873248241423284</v>
      </c>
      <c r="J138" s="11">
        <f t="shared" si="14"/>
        <v>2.3901271936383313</v>
      </c>
      <c r="K138" s="11">
        <f t="shared" si="15"/>
        <v>0.42005275501471406</v>
      </c>
      <c r="L138" s="11">
        <f>IF(S138="",((BG138-E138)/E138),((U138-E138)/E138))</f>
        <v>2.3178488361365832</v>
      </c>
      <c r="M138" s="3" t="str">
        <f>IF(S138="Churn","Churn",VLOOKUP(A138,'[1]Revenue_Engine_2025 Dec.25'!$C$14:$E$3993,3,0))</f>
        <v>Üretim</v>
      </c>
      <c r="N138" s="3">
        <f>IF(S138="",VLOOKUP(A138,[3]Export!$B$2:$F$417,5,0),"CHURN")</f>
        <v>1.4982894174290417E-2</v>
      </c>
      <c r="O138" s="3">
        <f>(1-N138)*H138</f>
        <v>724.43608619185318</v>
      </c>
      <c r="P138" s="3">
        <f t="shared" si="17"/>
        <v>519.68911967365602</v>
      </c>
      <c r="Q138" s="3">
        <f t="shared" si="16"/>
        <v>737.98596614374662</v>
      </c>
      <c r="R138" s="3" t="str">
        <f>IF(S138&lt;&gt;"Churn",VLOOKUP(A138,[3]Export!$B$2:$O$417,8,0),"CHURN")</f>
        <v>LOW RISK</v>
      </c>
      <c r="S138" s="3"/>
      <c r="T138" s="3"/>
      <c r="U138" s="3" t="s">
        <v>551</v>
      </c>
      <c r="V138" s="4" t="str" cm="1">
        <f t="array" ref="V138">IFERROR(
    IF(
        MATCH(2,1/((Y138:BH138&lt;&gt;0)*(Y138:BH138&lt;&gt;"")))-MATCH(1,INDEX((Y138:BH138&lt;&gt;0)*(Y138:BH138&lt;&gt;""),0),0)+1 &lt;= 12,
        "No",
        "Yes"
    ),
    "No"
)</f>
        <v>Yes</v>
      </c>
      <c r="W138" s="4" t="str" cm="1">
        <f t="array" ref="W138">IFERROR(
    IF(
        MATCH(2,1/((Y138:BH138&lt;&gt;0)*(Y138:BH138&lt;&gt;"")))-MATCH(1,INDEX((Y138:BH138&lt;&gt;0)*(Y138:BH138&lt;&gt;""),0),0)+1 &lt;= 24,
        "No",
        "Yes"
    ),
    "No"
)</f>
        <v>Yes</v>
      </c>
      <c r="X138" s="3"/>
      <c r="Y138" s="4">
        <v>170.59115165020285</v>
      </c>
      <c r="Z138" s="4">
        <v>220.99799720565034</v>
      </c>
      <c r="AA138" s="4">
        <v>219.37341468430793</v>
      </c>
      <c r="AB138" s="4">
        <v>215.47593765700995</v>
      </c>
      <c r="AC138" s="4">
        <v>711.40994894759956</v>
      </c>
      <c r="AD138" s="4">
        <v>1177.7836656725697</v>
      </c>
      <c r="AE138" s="4">
        <v>536.25993186922233</v>
      </c>
      <c r="AF138" s="4">
        <v>526.11437042761645</v>
      </c>
      <c r="AG138" s="4">
        <v>544.18656182603115</v>
      </c>
      <c r="AH138" s="4">
        <v>513.02308441169475</v>
      </c>
      <c r="AI138" s="4">
        <v>498.89986827788647</v>
      </c>
      <c r="AJ138" s="4">
        <v>494.57057598853805</v>
      </c>
      <c r="AK138" s="4">
        <v>478.81207449593046</v>
      </c>
      <c r="AL138" s="4">
        <v>467.8105122132381</v>
      </c>
      <c r="AM138" s="4">
        <v>443.63419757379802</v>
      </c>
      <c r="AN138" s="4">
        <v>445.419256776667</v>
      </c>
      <c r="AO138" s="4">
        <v>527.59400481478599</v>
      </c>
      <c r="AP138" s="4">
        <v>523.12708230409589</v>
      </c>
      <c r="AQ138" s="4">
        <v>518.06733861220948</v>
      </c>
      <c r="AR138" s="4">
        <v>506.93603426807977</v>
      </c>
      <c r="AS138" s="4">
        <v>501.14359005164988</v>
      </c>
      <c r="AT138" s="4">
        <v>498.05087200437805</v>
      </c>
      <c r="AU138" s="4">
        <v>495.3110244731534</v>
      </c>
      <c r="AV138" s="4">
        <v>487.62503386547786</v>
      </c>
      <c r="AW138" s="4">
        <v>830.27933990775182</v>
      </c>
      <c r="AX138" s="4">
        <v>821.83033554881081</v>
      </c>
      <c r="AY138" s="4">
        <v>810.08347638488851</v>
      </c>
      <c r="AZ138" s="4">
        <v>797.8187517843528</v>
      </c>
      <c r="BA138" s="4">
        <v>749.21132006648315</v>
      </c>
      <c r="BB138" s="4">
        <v>744.3407969817581</v>
      </c>
      <c r="BC138" s="4">
        <v>744.03017754561768</v>
      </c>
      <c r="BD138" s="4">
        <v>740.64526983461997</v>
      </c>
      <c r="BE138" s="4">
        <v>738.02580892655828</v>
      </c>
      <c r="BF138" s="4">
        <v>735.45533565590279</v>
      </c>
      <c r="BG138" s="4">
        <v>733.23794781728282</v>
      </c>
      <c r="BH138" s="4">
        <v>731.20068398186868</v>
      </c>
      <c r="BJ138" s="9"/>
    </row>
    <row r="139" spans="1:62" x14ac:dyDescent="0.25">
      <c r="A139" s="6" t="s">
        <v>133</v>
      </c>
      <c r="B139" s="6"/>
      <c r="C139" s="7" t="s">
        <v>525</v>
      </c>
      <c r="D139" s="3"/>
      <c r="E139" s="3">
        <f>VLOOKUP(A139,[2]Sheet1!$A$2:$E$627,5,0)</f>
        <v>1143</v>
      </c>
      <c r="F139" s="3">
        <f>VLOOKUP(A139,[2]Sheet1!$A$2:$F$627,6,0)</f>
        <v>1182.991336</v>
      </c>
      <c r="G139" s="3">
        <f>VLOOKUP(A139,[2]Sheet1!$A$2:$G$627,7,0)</f>
        <v>1301.2904699999997</v>
      </c>
      <c r="H139" s="4">
        <f t="shared" si="12"/>
        <v>4551.5504699999992</v>
      </c>
      <c r="I139" s="11">
        <f t="shared" si="13"/>
        <v>3.4988045494313252E-2</v>
      </c>
      <c r="J139" s="11">
        <f t="shared" si="14"/>
        <v>0.13848685039370051</v>
      </c>
      <c r="K139" s="11">
        <f t="shared" si="15"/>
        <v>0.10000000033812559</v>
      </c>
      <c r="L139" s="11">
        <f>IF(S139="",((BG139-E139)/E139),((U139-E139)/E139))</f>
        <v>2.9821088976377945</v>
      </c>
      <c r="M139" s="3" t="str">
        <f>IF(S139="Churn","Churn",VLOOKUP(A139,'[1]Revenue_Engine_2025 Dec.25'!$C$14:$E$3993,3,0))</f>
        <v>Finans</v>
      </c>
      <c r="N139" s="3">
        <f>IF(S139="",VLOOKUP(A139,[3]Export!$B$2:$F$417,5,0),"CHURN")</f>
        <v>0.19324880077623308</v>
      </c>
      <c r="O139" s="3">
        <f>(1-N139)*H139</f>
        <v>3671.9687999999992</v>
      </c>
      <c r="P139" s="3">
        <f t="shared" si="17"/>
        <v>954.37967898932618</v>
      </c>
      <c r="Q139" s="3">
        <f t="shared" si="16"/>
        <v>1049.817647210959</v>
      </c>
      <c r="R139" s="3" t="str">
        <f>IF(S139&lt;&gt;"Churn",VLOOKUP(A139,[3]Export!$B$2:$O$417,8,0),"CHURN")</f>
        <v>NO RISK</v>
      </c>
      <c r="S139" s="3"/>
      <c r="T139" s="3"/>
      <c r="U139" s="3" t="s">
        <v>551</v>
      </c>
      <c r="V139" s="4" t="str" cm="1">
        <f t="array" ref="V139">IFERROR(
    IF(
        MATCH(2,1/((Y139:BH139&lt;&gt;0)*(Y139:BH139&lt;&gt;"")))-MATCH(1,INDEX((Y139:BH139&lt;&gt;0)*(Y139:BH139&lt;&gt;""),0),0)+1 &lt;= 12,
        "No",
        "Yes"
    ),
    "No"
)</f>
        <v>Yes</v>
      </c>
      <c r="W139" s="4" t="str" cm="1">
        <f t="array" ref="W139">IFERROR(
    IF(
        MATCH(2,1/((Y139:BH139&lt;&gt;0)*(Y139:BH139&lt;&gt;"")))-MATCH(1,INDEX((Y139:BH139&lt;&gt;0)*(Y139:BH139&lt;&gt;""),0),0)+1 &lt;= 24,
        "No",
        "Yes"
    ),
    "No"
)</f>
        <v>Yes</v>
      </c>
      <c r="X139" s="3"/>
      <c r="Y139" s="4">
        <v>1143</v>
      </c>
      <c r="Z139" s="4">
        <v>1143</v>
      </c>
      <c r="AA139" s="4">
        <v>1143</v>
      </c>
      <c r="AB139" s="4">
        <v>1143</v>
      </c>
      <c r="AC139" s="4">
        <v>1142.991336</v>
      </c>
      <c r="AD139" s="4">
        <v>1142.991336</v>
      </c>
      <c r="AE139" s="4">
        <v>1242.991336</v>
      </c>
      <c r="AF139" s="4">
        <v>1182.991336</v>
      </c>
      <c r="AG139" s="4">
        <v>1182.991336</v>
      </c>
      <c r="AH139" s="4">
        <v>1182.991336</v>
      </c>
      <c r="AI139" s="4">
        <v>1182.991336</v>
      </c>
      <c r="AJ139" s="4">
        <v>1182.991336</v>
      </c>
      <c r="AK139" s="4">
        <v>1182.991336</v>
      </c>
      <c r="AL139" s="4">
        <v>1182.991336</v>
      </c>
      <c r="AM139" s="4">
        <v>1182.991336</v>
      </c>
      <c r="AN139" s="4">
        <v>1182.991336</v>
      </c>
      <c r="AO139" s="4">
        <v>1182.991336</v>
      </c>
      <c r="AP139" s="4">
        <v>1182.991336</v>
      </c>
      <c r="AQ139" s="4">
        <v>1182.991336</v>
      </c>
      <c r="AR139" s="4">
        <v>1182.991336</v>
      </c>
      <c r="AS139" s="4">
        <v>1182.991336</v>
      </c>
      <c r="AT139" s="4">
        <v>1182.991336</v>
      </c>
      <c r="AU139" s="4">
        <v>1182.991336</v>
      </c>
      <c r="AV139" s="4">
        <v>1182.991336</v>
      </c>
      <c r="AW139" s="4">
        <v>1301.2904699999997</v>
      </c>
      <c r="AX139" s="4">
        <v>1301.2904699999997</v>
      </c>
      <c r="AY139" s="4">
        <v>1301.2904699999997</v>
      </c>
      <c r="AZ139" s="4">
        <v>1301.2904699999997</v>
      </c>
      <c r="BA139" s="4">
        <v>1301.2904699999997</v>
      </c>
      <c r="BB139" s="4">
        <v>1301.2904699999997</v>
      </c>
      <c r="BC139" s="4">
        <v>1301.2904699999997</v>
      </c>
      <c r="BD139" s="4">
        <v>1301.2904699999997</v>
      </c>
      <c r="BE139" s="4">
        <v>1301.2904699999997</v>
      </c>
      <c r="BF139" s="4">
        <v>1301.2904699999997</v>
      </c>
      <c r="BG139" s="4">
        <v>4551.5504699999992</v>
      </c>
      <c r="BH139" s="4">
        <v>4551.5504699999992</v>
      </c>
      <c r="BJ139" s="9"/>
    </row>
    <row r="140" spans="1:62" x14ac:dyDescent="0.25">
      <c r="A140" s="6" t="s">
        <v>134</v>
      </c>
      <c r="B140" s="6"/>
      <c r="C140" s="7" t="s">
        <v>526</v>
      </c>
      <c r="D140" s="3"/>
      <c r="E140" s="3">
        <f>VLOOKUP(A140,[2]Sheet1!$A$2:$E$627,5,0)</f>
        <v>138.60531071578981</v>
      </c>
      <c r="F140" s="3">
        <f>VLOOKUP(A140,[2]Sheet1!$A$2:$F$627,6,0)</f>
        <v>176.72027181578412</v>
      </c>
      <c r="G140" s="3">
        <f>VLOOKUP(A140,[2]Sheet1!$A$2:$G$627,7,0)</f>
        <v>448.80488448984585</v>
      </c>
      <c r="H140" s="4">
        <f t="shared" si="12"/>
        <v>417.64078291149707</v>
      </c>
      <c r="I140" s="11">
        <f t="shared" si="13"/>
        <v>0.27498918261616273</v>
      </c>
      <c r="J140" s="11">
        <f t="shared" si="14"/>
        <v>2.2380064095099521</v>
      </c>
      <c r="K140" s="11">
        <f t="shared" si="15"/>
        <v>1.539634417027645</v>
      </c>
      <c r="L140" s="11">
        <f>IF(S140="",((BG140-E140)/E140),((U140-E140)/E140))</f>
        <v>1.9998624356335406</v>
      </c>
      <c r="M140" s="3" t="str">
        <f>IF(S140="Churn","Churn",VLOOKUP(A140,'[1]Revenue_Engine_2025 Dec.25'!$C$14:$E$3993,3,0))</f>
        <v>Genel</v>
      </c>
      <c r="N140" s="3">
        <f>IF(S140="",VLOOKUP(A140,[3]Export!$B$2:$F$417,5,0),"CHURN")</f>
        <v>0</v>
      </c>
      <c r="O140" s="3">
        <f>(1-N140)*H140</f>
        <v>417.64078291149707</v>
      </c>
      <c r="P140" s="3">
        <f t="shared" si="17"/>
        <v>176.72027181578412</v>
      </c>
      <c r="Q140" s="3">
        <f t="shared" si="16"/>
        <v>448.80488448984585</v>
      </c>
      <c r="R140" s="3" t="str">
        <f>IF(S140&lt;&gt;"Churn",VLOOKUP(A140,[3]Export!$B$2:$O$417,8,0),"CHURN")</f>
        <v>BOOKED CHURN</v>
      </c>
      <c r="S140" s="3"/>
      <c r="T140" s="3"/>
      <c r="U140" s="3" t="s">
        <v>551</v>
      </c>
      <c r="V140" s="4" t="str" cm="1">
        <f t="array" ref="V140">IFERROR(
    IF(
        MATCH(2,1/((Y140:BH140&lt;&gt;0)*(Y140:BH140&lt;&gt;"")))-MATCH(1,INDEX((Y140:BH140&lt;&gt;0)*(Y140:BH140&lt;&gt;""),0),0)+1 &lt;= 12,
        "No",
        "Yes"
    ),
    "No"
)</f>
        <v>Yes</v>
      </c>
      <c r="W140" s="4" t="str" cm="1">
        <f t="array" ref="W140">IFERROR(
    IF(
        MATCH(2,1/((Y140:BH140&lt;&gt;0)*(Y140:BH140&lt;&gt;"")))-MATCH(1,INDEX((Y140:BH140&lt;&gt;0)*(Y140:BH140&lt;&gt;""),0),0)+1 &lt;= 24,
        "No",
        "Yes"
    ),
    "No"
)</f>
        <v>Yes</v>
      </c>
      <c r="X140" s="3"/>
      <c r="Y140" s="4">
        <v>138.60531071578981</v>
      </c>
      <c r="Z140" s="4">
        <v>138.12374825353146</v>
      </c>
      <c r="AA140" s="4">
        <v>137.10838417769247</v>
      </c>
      <c r="AB140" s="4">
        <v>134.67246103563122</v>
      </c>
      <c r="AC140" s="4">
        <v>132.11919183706652</v>
      </c>
      <c r="AD140" s="4">
        <v>111.1073125705104</v>
      </c>
      <c r="AE140" s="4">
        <v>131.94420774774571</v>
      </c>
      <c r="AF140" s="4">
        <v>129.44791430577797</v>
      </c>
      <c r="AG140" s="4">
        <v>129.32778505751821</v>
      </c>
      <c r="AH140" s="4">
        <v>125.34164051485051</v>
      </c>
      <c r="AI140" s="4">
        <v>121.89106073911326</v>
      </c>
      <c r="AJ140" s="4">
        <v>182.53642979407826</v>
      </c>
      <c r="AK140" s="4">
        <v>176.72027181578412</v>
      </c>
      <c r="AL140" s="4">
        <v>172.65980805441714</v>
      </c>
      <c r="AM140" s="4">
        <v>166.04946394220227</v>
      </c>
      <c r="AN140" s="4">
        <v>164.39562893735285</v>
      </c>
      <c r="AO140" s="4">
        <v>166.62628653154201</v>
      </c>
      <c r="AP140" s="4">
        <v>165.23233268858405</v>
      </c>
      <c r="AQ140" s="4">
        <v>163.34140287506963</v>
      </c>
      <c r="AR140" s="4">
        <v>159.86790361208915</v>
      </c>
      <c r="AS140" s="4">
        <v>158.06038401738547</v>
      </c>
      <c r="AT140" s="4">
        <v>157.09530809045958</v>
      </c>
      <c r="AU140" s="4">
        <v>156.24034463908234</v>
      </c>
      <c r="AV140" s="4">
        <v>211.97023572129839</v>
      </c>
      <c r="AW140" s="4">
        <v>448.80488448984585</v>
      </c>
      <c r="AX140" s="4">
        <v>445.15914141918176</v>
      </c>
      <c r="AY140" s="4">
        <v>440.0903749019036</v>
      </c>
      <c r="AZ140" s="4">
        <v>434.79854251674283</v>
      </c>
      <c r="BA140" s="4">
        <v>431.57459246651524</v>
      </c>
      <c r="BB140" s="4">
        <v>428.35597336188022</v>
      </c>
      <c r="BC140" s="4">
        <v>424.77138239929775</v>
      </c>
      <c r="BD140" s="4">
        <v>421.95658750270104</v>
      </c>
      <c r="BE140" s="4">
        <v>419.77831683024215</v>
      </c>
      <c r="BF140" s="4">
        <v>417.64078291149707</v>
      </c>
      <c r="BG140" s="4">
        <v>415.79686499561291</v>
      </c>
      <c r="BH140" s="4">
        <v>414.10273317975486</v>
      </c>
      <c r="BJ140" s="9"/>
    </row>
    <row r="141" spans="1:62" x14ac:dyDescent="0.25">
      <c r="A141" s="6" t="s">
        <v>540</v>
      </c>
      <c r="B141" s="6"/>
      <c r="C141" s="7" t="s">
        <v>526</v>
      </c>
      <c r="D141" s="3"/>
      <c r="E141" s="3">
        <f>VLOOKUP(A141,[2]Sheet1!$A$2:$E$627,5,0)</f>
        <v>731.66675498312748</v>
      </c>
      <c r="F141" s="3">
        <f>VLOOKUP(A141,[2]Sheet1!$A$2:$F$627,6,0)</f>
        <v>705.3894714730136</v>
      </c>
      <c r="G141" s="3">
        <f>VLOOKUP(A141,[2]Sheet1!$A$2:$G$627,7,0)</f>
        <v>868.10184851990857</v>
      </c>
      <c r="H141" s="4">
        <f t="shared" si="12"/>
        <v>777.24304565705563</v>
      </c>
      <c r="I141" s="11">
        <f t="shared" si="13"/>
        <v>-3.5914278366685995E-2</v>
      </c>
      <c r="J141" s="11">
        <f t="shared" si="14"/>
        <v>0.18647163152838253</v>
      </c>
      <c r="K141" s="11">
        <f t="shared" si="15"/>
        <v>0.23067026604056698</v>
      </c>
      <c r="L141" s="11">
        <f>IF(S141="",((BG141-E141)/E141),((U141-E141)/E141))</f>
        <v>5.4945496526723071E-2</v>
      </c>
      <c r="M141" s="3" t="str">
        <f>IF(S141="Churn","Churn",VLOOKUP(A141,'[1]Revenue_Engine_2025 Dec.25'!$C$14:$E$3993,3,0))</f>
        <v>Sağlık</v>
      </c>
      <c r="N141" s="3">
        <f>IF(S141="",VLOOKUP(A141,[3]Export!$B$2:$F$417,5,0),"CHURN")</f>
        <v>0.14000000000000001</v>
      </c>
      <c r="O141" s="3">
        <f>(1-N141)*H141</f>
        <v>668.42901926506784</v>
      </c>
      <c r="P141" s="3">
        <f t="shared" si="17"/>
        <v>606.63494546679169</v>
      </c>
      <c r="Q141" s="3">
        <f t="shared" si="16"/>
        <v>746.56758972712134</v>
      </c>
      <c r="R141" s="3" t="str">
        <f>IF(S141&lt;&gt;"Churn",VLOOKUP(A141,[3]Export!$B$2:$O$417,8,0),"CHURN")</f>
        <v>CHURN-KAPSAM DARALMASI</v>
      </c>
      <c r="S141" s="3"/>
      <c r="T141" s="3"/>
      <c r="U141" s="3" t="s">
        <v>551</v>
      </c>
      <c r="V141" s="4" t="str" cm="1">
        <f t="array" ref="V141">IFERROR(
    IF(
        MATCH(2,1/((Y141:BH141&lt;&gt;0)*(Y141:BH141&lt;&gt;"")))-MATCH(1,INDEX((Y141:BH141&lt;&gt;0)*(Y141:BH141&lt;&gt;""),0),0)+1 &lt;= 12,
        "No",
        "Yes"
    ),
    "No"
)</f>
        <v>Yes</v>
      </c>
      <c r="W141" s="4" t="str" cm="1">
        <f t="array" ref="W141">IFERROR(
    IF(
        MATCH(2,1/((Y141:BH141&lt;&gt;0)*(Y141:BH141&lt;&gt;"")))-MATCH(1,INDEX((Y141:BH141&lt;&gt;0)*(Y141:BH141&lt;&gt;""),0),0)+1 &lt;= 24,
        "No",
        "Yes"
    ),
    "No"
)</f>
        <v>Yes</v>
      </c>
      <c r="X141" s="3"/>
      <c r="Y141" s="4">
        <v>731.66675498312748</v>
      </c>
      <c r="Z141" s="4">
        <v>729.78586090938552</v>
      </c>
      <c r="AA141" s="4">
        <v>725.82003628098778</v>
      </c>
      <c r="AB141" s="4">
        <v>716.30577019698444</v>
      </c>
      <c r="AC141" s="4">
        <v>706.34231879344679</v>
      </c>
      <c r="AD141" s="4">
        <v>624.2723428258862</v>
      </c>
      <c r="AE141" s="4">
        <v>574.89615756047124</v>
      </c>
      <c r="AF141" s="4">
        <v>567.61986341833153</v>
      </c>
      <c r="AG141" s="4">
        <v>567.26970596860349</v>
      </c>
      <c r="AH141" s="4">
        <v>555.65073533882355</v>
      </c>
      <c r="AI141" s="4">
        <v>545.59284992075686</v>
      </c>
      <c r="AJ141" s="4">
        <v>722.34203159602271</v>
      </c>
      <c r="AK141" s="4">
        <v>705.3894714730136</v>
      </c>
      <c r="AL141" s="4">
        <v>753.55437122510284</v>
      </c>
      <c r="AM141" s="4">
        <v>734.28709294383771</v>
      </c>
      <c r="AN141" s="4">
        <v>729.4666329603931</v>
      </c>
      <c r="AO141" s="4">
        <v>745.16322373223579</v>
      </c>
      <c r="AP141" s="4">
        <v>741.10024362899412</v>
      </c>
      <c r="AQ141" s="4">
        <v>735.58871952240474</v>
      </c>
      <c r="AR141" s="4">
        <v>725.46445431419158</v>
      </c>
      <c r="AS141" s="4">
        <v>720.19607384111612</v>
      </c>
      <c r="AT141" s="4">
        <v>717.38315106216737</v>
      </c>
      <c r="AU141" s="4">
        <v>714.8911749383733</v>
      </c>
      <c r="AV141" s="4">
        <v>877.3279492189738</v>
      </c>
      <c r="AW141" s="4">
        <v>868.10184851990857</v>
      </c>
      <c r="AX141" s="4">
        <v>857.47554191650806</v>
      </c>
      <c r="AY141" s="4">
        <v>842.70152573663563</v>
      </c>
      <c r="AZ141" s="4">
        <v>827.27733584486714</v>
      </c>
      <c r="BA141" s="4">
        <v>817.8561469138167</v>
      </c>
      <c r="BB141" s="4">
        <v>808.4747854787156</v>
      </c>
      <c r="BC141" s="4">
        <v>798.02671991899933</v>
      </c>
      <c r="BD141" s="4">
        <v>789.82239146875668</v>
      </c>
      <c r="BE141" s="4">
        <v>783.47335052371636</v>
      </c>
      <c r="BF141" s="4">
        <v>777.24304565705563</v>
      </c>
      <c r="BG141" s="4">
        <v>771.86854812777165</v>
      </c>
      <c r="BH141" s="4">
        <v>750</v>
      </c>
      <c r="BJ141" s="9"/>
    </row>
    <row r="142" spans="1:62" x14ac:dyDescent="0.25">
      <c r="A142" s="6" t="s">
        <v>135</v>
      </c>
      <c r="B142" s="6"/>
      <c r="C142" s="7" t="s">
        <v>526</v>
      </c>
      <c r="D142" s="3"/>
      <c r="E142" s="3">
        <f>VLOOKUP(A142,[2]Sheet1!$A$2:$E$627,5,0)</f>
        <v>73.5</v>
      </c>
      <c r="F142" s="3">
        <f>VLOOKUP(A142,[2]Sheet1!$A$2:$F$627,6,0)</f>
        <v>73.5</v>
      </c>
      <c r="G142" s="3">
        <f>VLOOKUP(A142,[2]Sheet1!$A$2:$G$627,7,0)</f>
        <v>117.5</v>
      </c>
      <c r="H142" s="4">
        <f t="shared" si="12"/>
        <v>124</v>
      </c>
      <c r="I142" s="11">
        <f t="shared" si="13"/>
        <v>0</v>
      </c>
      <c r="J142" s="11">
        <f t="shared" si="14"/>
        <v>0.59863945578231292</v>
      </c>
      <c r="K142" s="11">
        <f t="shared" si="15"/>
        <v>0.59863945578231292</v>
      </c>
      <c r="L142" s="11">
        <f>IF(S142="",((BG142-E142)/E142),((U142-E142)/E142))</f>
        <v>0.68707482993197277</v>
      </c>
      <c r="M142" s="3" t="str">
        <f>IF(S142="Churn","Churn",VLOOKUP(A142,'[1]Revenue_Engine_2025 Dec.25'!$C$14:$E$3993,3,0))</f>
        <v>Diğer</v>
      </c>
      <c r="N142" s="3">
        <f>IF(S142="",VLOOKUP(A142,[3]Export!$B$2:$F$417,5,0),"CHURN")</f>
        <v>1</v>
      </c>
      <c r="O142" s="3">
        <f>(1-N142)*H142</f>
        <v>0</v>
      </c>
      <c r="P142" s="3">
        <f t="shared" si="17"/>
        <v>0</v>
      </c>
      <c r="Q142" s="3">
        <f t="shared" si="16"/>
        <v>0</v>
      </c>
      <c r="R142" s="3" t="str">
        <f>IF(S142&lt;&gt;"Churn",VLOOKUP(A142,[3]Export!$B$2:$O$417,8,0),"CHURN")</f>
        <v>NO RISK</v>
      </c>
      <c r="S142" s="3"/>
      <c r="T142" s="3"/>
      <c r="U142" s="3" t="s">
        <v>551</v>
      </c>
      <c r="V142" s="4" t="str" cm="1">
        <f t="array" ref="V142">IFERROR(
    IF(
        MATCH(2,1/((Y142:BH142&lt;&gt;0)*(Y142:BH142&lt;&gt;"")))-MATCH(1,INDEX((Y142:BH142&lt;&gt;0)*(Y142:BH142&lt;&gt;""),0),0)+1 &lt;= 12,
        "No",
        "Yes"
    ),
    "No"
)</f>
        <v>Yes</v>
      </c>
      <c r="W142" s="4" t="str" cm="1">
        <f t="array" ref="W142">IFERROR(
    IF(
        MATCH(2,1/((Y142:BH142&lt;&gt;0)*(Y142:BH142&lt;&gt;"")))-MATCH(1,INDEX((Y142:BH142&lt;&gt;0)*(Y142:BH142&lt;&gt;""),0),0)+1 &lt;= 24,
        "No",
        "Yes"
    ),
    "No"
)</f>
        <v>Yes</v>
      </c>
      <c r="X142" s="3"/>
      <c r="Y142" s="4">
        <v>73.5</v>
      </c>
      <c r="Z142" s="4">
        <v>73.5</v>
      </c>
      <c r="AA142" s="4">
        <v>73.5</v>
      </c>
      <c r="AB142" s="4">
        <v>73.5</v>
      </c>
      <c r="AC142" s="4">
        <v>73.5</v>
      </c>
      <c r="AD142" s="4">
        <v>73.5</v>
      </c>
      <c r="AE142" s="4">
        <v>73.5</v>
      </c>
      <c r="AF142" s="4">
        <v>73.5</v>
      </c>
      <c r="AG142" s="4">
        <v>73.5</v>
      </c>
      <c r="AH142" s="4">
        <v>73.5</v>
      </c>
      <c r="AI142" s="4">
        <v>73.5</v>
      </c>
      <c r="AJ142" s="4">
        <v>73.5</v>
      </c>
      <c r="AK142" s="4">
        <v>73.5</v>
      </c>
      <c r="AL142" s="4">
        <v>86</v>
      </c>
      <c r="AM142" s="4">
        <v>73.5</v>
      </c>
      <c r="AN142" s="4">
        <v>73.5</v>
      </c>
      <c r="AO142" s="4">
        <v>98.5</v>
      </c>
      <c r="AP142" s="4">
        <v>98.5</v>
      </c>
      <c r="AQ142" s="4">
        <v>98.5</v>
      </c>
      <c r="AR142" s="4">
        <v>98.5</v>
      </c>
      <c r="AS142" s="4">
        <v>111</v>
      </c>
      <c r="AT142" s="4">
        <v>117.5</v>
      </c>
      <c r="AU142" s="4">
        <v>117.5</v>
      </c>
      <c r="AV142" s="4">
        <v>117.5</v>
      </c>
      <c r="AW142" s="4">
        <v>117.5</v>
      </c>
      <c r="AX142" s="4">
        <v>117.5</v>
      </c>
      <c r="AY142" s="4">
        <v>117.5</v>
      </c>
      <c r="AZ142" s="4">
        <v>117.5</v>
      </c>
      <c r="BA142" s="4">
        <v>117.5</v>
      </c>
      <c r="BB142" s="4">
        <v>117.5</v>
      </c>
      <c r="BC142" s="4">
        <v>117.5</v>
      </c>
      <c r="BD142" s="4">
        <v>117.5</v>
      </c>
      <c r="BE142" s="4">
        <v>117.5</v>
      </c>
      <c r="BF142" s="4">
        <v>124</v>
      </c>
      <c r="BG142" s="4">
        <v>124</v>
      </c>
      <c r="BH142" s="4">
        <v>124</v>
      </c>
      <c r="BJ142" s="9"/>
    </row>
    <row r="143" spans="1:62" x14ac:dyDescent="0.25">
      <c r="A143" s="6" t="s">
        <v>136</v>
      </c>
      <c r="B143" s="6"/>
      <c r="C143" s="7" t="s">
        <v>525</v>
      </c>
      <c r="D143" s="3"/>
      <c r="E143" s="3">
        <f>VLOOKUP(A143,[2]Sheet1!$A$2:$E$627,5,0)</f>
        <v>3190</v>
      </c>
      <c r="F143" s="3">
        <f>VLOOKUP(A143,[2]Sheet1!$A$2:$F$627,6,0)</f>
        <v>3190</v>
      </c>
      <c r="G143" s="3">
        <f>VLOOKUP(A143,[2]Sheet1!$A$2:$G$627,7,0)</f>
        <v>3190</v>
      </c>
      <c r="H143" s="4">
        <f t="shared" si="12"/>
        <v>3190</v>
      </c>
      <c r="I143" s="11">
        <f t="shared" si="13"/>
        <v>0</v>
      </c>
      <c r="J143" s="11">
        <f t="shared" si="14"/>
        <v>0</v>
      </c>
      <c r="K143" s="11">
        <f t="shared" si="15"/>
        <v>0</v>
      </c>
      <c r="L143" s="11">
        <f>IF(S143="",((BG143-E143)/E143),((U143-E143)/E143))</f>
        <v>0</v>
      </c>
      <c r="M143" s="3" t="str">
        <f>IF(S143="Churn","Churn",VLOOKUP(A143,'[1]Revenue_Engine_2025 Dec.25'!$C$14:$E$3993,3,0))</f>
        <v>Üretim</v>
      </c>
      <c r="N143" s="3">
        <f>IF(S143="",VLOOKUP(A143,[3]Export!$B$2:$F$417,5,0),"CHURN")</f>
        <v>0</v>
      </c>
      <c r="O143" s="3">
        <f>(1-N143)*H143</f>
        <v>3190</v>
      </c>
      <c r="P143" s="3">
        <f t="shared" si="17"/>
        <v>3190</v>
      </c>
      <c r="Q143" s="3">
        <f t="shared" si="16"/>
        <v>3190</v>
      </c>
      <c r="R143" s="3" t="str">
        <f>IF(S143&lt;&gt;"Churn",VLOOKUP(A143,[3]Export!$B$2:$O$417,8,0),"CHURN")</f>
        <v>NO RISK</v>
      </c>
      <c r="S143" s="3"/>
      <c r="T143" s="3"/>
      <c r="U143" s="3" t="s">
        <v>551</v>
      </c>
      <c r="V143" s="4" t="str" cm="1">
        <f t="array" ref="V143">IFERROR(
    IF(
        MATCH(2,1/((Y143:BH143&lt;&gt;0)*(Y143:BH143&lt;&gt;"")))-MATCH(1,INDEX((Y143:BH143&lt;&gt;0)*(Y143:BH143&lt;&gt;""),0),0)+1 &lt;= 12,
        "No",
        "Yes"
    ),
    "No"
)</f>
        <v>Yes</v>
      </c>
      <c r="W143" s="4" t="str" cm="1">
        <f t="array" ref="W143">IFERROR(
    IF(
        MATCH(2,1/((Y143:BH143&lt;&gt;0)*(Y143:BH143&lt;&gt;"")))-MATCH(1,INDEX((Y143:BH143&lt;&gt;0)*(Y143:BH143&lt;&gt;""),0),0)+1 &lt;= 24,
        "No",
        "Yes"
    ),
    "No"
)</f>
        <v>Yes</v>
      </c>
      <c r="X143" s="3"/>
      <c r="Y143" s="4">
        <v>3190</v>
      </c>
      <c r="Z143" s="4">
        <v>3190</v>
      </c>
      <c r="AA143" s="4">
        <v>3190</v>
      </c>
      <c r="AB143" s="4">
        <v>3190</v>
      </c>
      <c r="AC143" s="4">
        <v>3190</v>
      </c>
      <c r="AD143" s="4">
        <v>3190</v>
      </c>
      <c r="AE143" s="4">
        <v>3190</v>
      </c>
      <c r="AF143" s="4">
        <v>3190</v>
      </c>
      <c r="AG143" s="4">
        <v>3190</v>
      </c>
      <c r="AH143" s="4">
        <v>3190</v>
      </c>
      <c r="AI143" s="4">
        <v>3190</v>
      </c>
      <c r="AJ143" s="4">
        <v>3190</v>
      </c>
      <c r="AK143" s="4">
        <v>3190</v>
      </c>
      <c r="AL143" s="4">
        <v>3190</v>
      </c>
      <c r="AM143" s="4">
        <v>3190</v>
      </c>
      <c r="AN143" s="4">
        <v>3190</v>
      </c>
      <c r="AO143" s="4">
        <v>3190</v>
      </c>
      <c r="AP143" s="4">
        <v>3190</v>
      </c>
      <c r="AQ143" s="4">
        <v>3190</v>
      </c>
      <c r="AR143" s="4">
        <v>3190</v>
      </c>
      <c r="AS143" s="4">
        <v>3190</v>
      </c>
      <c r="AT143" s="4">
        <v>3190</v>
      </c>
      <c r="AU143" s="4">
        <v>3190</v>
      </c>
      <c r="AV143" s="4">
        <v>3190</v>
      </c>
      <c r="AW143" s="4">
        <v>3190</v>
      </c>
      <c r="AX143" s="4">
        <v>3190</v>
      </c>
      <c r="AY143" s="4">
        <v>3190</v>
      </c>
      <c r="AZ143" s="4">
        <v>3190</v>
      </c>
      <c r="BA143" s="4">
        <v>3190</v>
      </c>
      <c r="BB143" s="4">
        <v>3190</v>
      </c>
      <c r="BC143" s="4">
        <v>3190</v>
      </c>
      <c r="BD143" s="4">
        <v>3190</v>
      </c>
      <c r="BE143" s="4">
        <v>3190</v>
      </c>
      <c r="BF143" s="4">
        <v>3190</v>
      </c>
      <c r="BG143" s="4">
        <v>3190</v>
      </c>
      <c r="BH143" s="4">
        <v>3190</v>
      </c>
      <c r="BJ143" s="9"/>
    </row>
    <row r="144" spans="1:62" x14ac:dyDescent="0.25">
      <c r="A144" s="6" t="s">
        <v>137</v>
      </c>
      <c r="B144" s="6"/>
      <c r="C144" s="7" t="s">
        <v>525</v>
      </c>
      <c r="D144" s="3"/>
      <c r="E144" s="3">
        <f>VLOOKUP(A144,[2]Sheet1!$A$2:$E$627,5,0)</f>
        <v>3524.8230116801628</v>
      </c>
      <c r="F144" s="3">
        <f>VLOOKUP(A144,[2]Sheet1!$A$2:$F$627,6,0)</f>
        <v>458.43447512412098</v>
      </c>
      <c r="G144" s="3">
        <f>VLOOKUP(A144,[2]Sheet1!$A$2:$G$627,7,0)</f>
        <v>6857.9673955752469</v>
      </c>
      <c r="H144" s="4">
        <f t="shared" si="12"/>
        <v>9269.6395043461798</v>
      </c>
      <c r="I144" s="11">
        <f t="shared" si="13"/>
        <v>-0.86994113644713156</v>
      </c>
      <c r="J144" s="11">
        <f t="shared" si="14"/>
        <v>0.94562035394403754</v>
      </c>
      <c r="K144" s="11">
        <f t="shared" si="15"/>
        <v>13.959536788149396</v>
      </c>
      <c r="L144" s="11">
        <f>IF(S144="",((BG144-E144)/E144),((U144-E144)/E144))</f>
        <v>1.5241271723918066</v>
      </c>
      <c r="M144" s="3" t="str">
        <f>IF(S144="Churn","Churn",VLOOKUP(A144,'[1]Revenue_Engine_2025 Dec.25'!$C$14:$E$3993,3,0))</f>
        <v>Lojistik</v>
      </c>
      <c r="N144" s="3">
        <f>IF(S144="",VLOOKUP(A144,[3]Export!$B$2:$F$417,5,0),"CHURN")</f>
        <v>5.6528581605361027E-2</v>
      </c>
      <c r="O144" s="3">
        <f>(1-N144)*H144</f>
        <v>8745.639931172469</v>
      </c>
      <c r="P144" s="3">
        <f t="shared" si="17"/>
        <v>432.51982448635624</v>
      </c>
      <c r="Q144" s="3">
        <f t="shared" si="16"/>
        <v>6470.2962260075665</v>
      </c>
      <c r="R144" s="3" t="str">
        <f>IF(S144&lt;&gt;"Churn",VLOOKUP(A144,[3]Export!$B$2:$O$417,8,0),"CHURN")</f>
        <v>NO RISK</v>
      </c>
      <c r="S144" s="3"/>
      <c r="T144" s="3"/>
      <c r="U144" s="3" t="s">
        <v>551</v>
      </c>
      <c r="V144" s="4" t="str" cm="1">
        <f t="array" ref="V144">IFERROR(
    IF(
        MATCH(2,1/((Y144:BH144&lt;&gt;0)*(Y144:BH144&lt;&gt;"")))-MATCH(1,INDEX((Y144:BH144&lt;&gt;0)*(Y144:BH144&lt;&gt;""),0),0)+1 &lt;= 12,
        "No",
        "Yes"
    ),
    "No"
)</f>
        <v>Yes</v>
      </c>
      <c r="W144" s="4" t="str" cm="1">
        <f t="array" ref="W144">IFERROR(
    IF(
        MATCH(2,1/((Y144:BH144&lt;&gt;0)*(Y144:BH144&lt;&gt;"")))-MATCH(1,INDEX((Y144:BH144&lt;&gt;0)*(Y144:BH144&lt;&gt;""),0),0)+1 &lt;= 24,
        "No",
        "Yes"
    ),
    "No"
)</f>
        <v>Yes</v>
      </c>
      <c r="X144" s="3"/>
      <c r="Y144" s="4">
        <v>3524.8230116801628</v>
      </c>
      <c r="Z144" s="4">
        <v>3523.4338891928792</v>
      </c>
      <c r="AA144" s="4">
        <v>3520.5049543587284</v>
      </c>
      <c r="AB144" s="4">
        <v>3513.4782529873978</v>
      </c>
      <c r="AC144" s="4">
        <v>3631.1130533761534</v>
      </c>
      <c r="AD144" s="4">
        <v>3552.3248995788858</v>
      </c>
      <c r="AE144" s="4">
        <v>2003.7147179900853</v>
      </c>
      <c r="AF144" s="4">
        <v>496.54969662967267</v>
      </c>
      <c r="AG144" s="4">
        <v>496.20489396532207</v>
      </c>
      <c r="AH144" s="4">
        <v>484.76360652942168</v>
      </c>
      <c r="AI144" s="4">
        <v>474.85953139814364</v>
      </c>
      <c r="AJ144" s="4">
        <v>469.40835810203441</v>
      </c>
      <c r="AK144" s="4">
        <v>458.43447512412098</v>
      </c>
      <c r="AL144" s="4">
        <v>450.77322274418333</v>
      </c>
      <c r="AM144" s="4">
        <v>313.3008753626458</v>
      </c>
      <c r="AN144" s="4">
        <v>310.18043195726955</v>
      </c>
      <c r="AO144" s="4">
        <v>310.63135823561385</v>
      </c>
      <c r="AP144" s="4">
        <v>462.00188496769067</v>
      </c>
      <c r="AQ144" s="4">
        <v>3908.8669290883136</v>
      </c>
      <c r="AR144" s="4">
        <v>4846.797538524781</v>
      </c>
      <c r="AS144" s="4">
        <v>4834.0032152303365</v>
      </c>
      <c r="AT144" s="4">
        <v>3471.5515700673386</v>
      </c>
      <c r="AU144" s="4">
        <v>3472.0688621860822</v>
      </c>
      <c r="AV144" s="4">
        <v>5075.7005173248654</v>
      </c>
      <c r="AW144" s="4">
        <v>6857.9673955752469</v>
      </c>
      <c r="AX144" s="4">
        <v>7390.6496218075072</v>
      </c>
      <c r="AY144" s="4">
        <v>7380.2753336856258</v>
      </c>
      <c r="AZ144" s="4">
        <v>7477.8604947291997</v>
      </c>
      <c r="BA144" s="4">
        <v>9307.9039524669315</v>
      </c>
      <c r="BB144" s="4">
        <v>9474.6873770021193</v>
      </c>
      <c r="BC144" s="4">
        <v>9467.3507637810999</v>
      </c>
      <c r="BD144" s="4">
        <v>10309.436698803702</v>
      </c>
      <c r="BE144" s="4">
        <v>9450.8614134424588</v>
      </c>
      <c r="BF144" s="4">
        <v>9269.6395043461798</v>
      </c>
      <c r="BG144" s="4">
        <v>8897.1015416538212</v>
      </c>
      <c r="BH144" s="4">
        <v>8749.3911474634915</v>
      </c>
      <c r="BJ144" s="9"/>
    </row>
    <row r="145" spans="1:62" x14ac:dyDescent="0.25">
      <c r="A145" s="6" t="s">
        <v>138</v>
      </c>
      <c r="B145" s="6"/>
      <c r="C145" s="7" t="s">
        <v>525</v>
      </c>
      <c r="D145" s="3"/>
      <c r="E145" s="3">
        <f>VLOOKUP(A145,[2]Sheet1!$A$2:$E$627,5,0)</f>
        <v>2215.3223892717961</v>
      </c>
      <c r="F145" s="3">
        <f>VLOOKUP(A145,[2]Sheet1!$A$2:$F$627,6,0)</f>
        <v>2228.0187350162887</v>
      </c>
      <c r="G145" s="3">
        <f>VLOOKUP(A145,[2]Sheet1!$A$2:$G$627,7,0)</f>
        <v>3710.4022269943848</v>
      </c>
      <c r="H145" s="4">
        <f t="shared" si="12"/>
        <v>773.17600803330276</v>
      </c>
      <c r="I145" s="11">
        <f t="shared" si="13"/>
        <v>5.7311503761157279E-3</v>
      </c>
      <c r="J145" s="11">
        <f t="shared" si="14"/>
        <v>0.67488138293679234</v>
      </c>
      <c r="K145" s="11">
        <f t="shared" si="15"/>
        <v>0.66533708567188443</v>
      </c>
      <c r="L145" s="11">
        <f>IF(S145="",((BG145-E145)/E145),((U145-E145)/E145))</f>
        <v>-0.65450898856753637</v>
      </c>
      <c r="M145" s="3" t="str">
        <f>IF(S145="Churn","Churn",VLOOKUP(A145,'[1]Revenue_Engine_2025 Dec.25'!$C$14:$E$3993,3,0))</f>
        <v>Teknoloji</v>
      </c>
      <c r="N145" s="3">
        <f>IF(S145="",VLOOKUP(A145,[3]Export!$B$2:$F$417,5,0),"CHURN")</f>
        <v>0.21620355675924616</v>
      </c>
      <c r="O145" s="3">
        <f>(1-N145)*H145</f>
        <v>606.01260509558722</v>
      </c>
      <c r="P145" s="3">
        <f t="shared" si="17"/>
        <v>1746.3131599795306</v>
      </c>
      <c r="Q145" s="3">
        <f t="shared" si="16"/>
        <v>2908.200068510771</v>
      </c>
      <c r="R145" s="3" t="str">
        <f>IF(S145&lt;&gt;"Churn",VLOOKUP(A145,[3]Export!$B$2:$O$417,8,0),"CHURN")</f>
        <v>MEDIUM RISK</v>
      </c>
      <c r="S145" s="3"/>
      <c r="T145" s="3"/>
      <c r="U145" s="3" t="s">
        <v>551</v>
      </c>
      <c r="V145" s="4" t="str" cm="1">
        <f t="array" ref="V145">IFERROR(
    IF(
        MATCH(2,1/((Y145:BH145&lt;&gt;0)*(Y145:BH145&lt;&gt;"")))-MATCH(1,INDEX((Y145:BH145&lt;&gt;0)*(Y145:BH145&lt;&gt;""),0),0)+1 &lt;= 12,
        "No",
        "Yes"
    ),
    "No"
)</f>
        <v>Yes</v>
      </c>
      <c r="W145" s="4" t="str" cm="1">
        <f t="array" ref="W145">IFERROR(
    IF(
        MATCH(2,1/((Y145:BH145&lt;&gt;0)*(Y145:BH145&lt;&gt;"")))-MATCH(1,INDEX((Y145:BH145&lt;&gt;0)*(Y145:BH145&lt;&gt;""),0),0)+1 &lt;= 24,
        "No",
        "Yes"
    ),
    "No"
)</f>
        <v>Yes</v>
      </c>
      <c r="X145" s="3"/>
      <c r="Y145" s="4">
        <v>2010.9396906969182</v>
      </c>
      <c r="Z145" s="4">
        <v>2013.5897830925908</v>
      </c>
      <c r="AA145" s="4">
        <v>2215.3223892717961</v>
      </c>
      <c r="AB145" s="4">
        <v>2194.7482919906142</v>
      </c>
      <c r="AC145" s="4">
        <v>2162.3507777247041</v>
      </c>
      <c r="AD145" s="4">
        <v>1903.6892971180471</v>
      </c>
      <c r="AE145" s="4">
        <v>1696.7084610927436</v>
      </c>
      <c r="AF145" s="4">
        <v>1664.6079068004742</v>
      </c>
      <c r="AG145" s="4">
        <v>1653.6406319392115</v>
      </c>
      <c r="AH145" s="4">
        <v>1611.8043842951674</v>
      </c>
      <c r="AI145" s="4">
        <v>1558.5510836549126</v>
      </c>
      <c r="AJ145" s="4">
        <v>1543.010157153534</v>
      </c>
      <c r="AK145" s="4">
        <v>2228.0187350162887</v>
      </c>
      <c r="AL145" s="4">
        <v>2160.2863738508349</v>
      </c>
      <c r="AM145" s="4">
        <v>2327.2249869666834</v>
      </c>
      <c r="AN145" s="4">
        <v>2248.5658455363487</v>
      </c>
      <c r="AO145" s="4">
        <v>2284.3470517356527</v>
      </c>
      <c r="AP145" s="4">
        <v>2314.9886715289799</v>
      </c>
      <c r="AQ145" s="4">
        <v>2411.1680831346903</v>
      </c>
      <c r="AR145" s="4">
        <v>2359.2606553651112</v>
      </c>
      <c r="AS145" s="4">
        <v>2321.3379053516846</v>
      </c>
      <c r="AT145" s="4">
        <v>2317.7532036218167</v>
      </c>
      <c r="AU145" s="4">
        <v>2294.2669684605107</v>
      </c>
      <c r="AV145" s="4">
        <v>2269.1373402420436</v>
      </c>
      <c r="AW145" s="4">
        <v>3710.4022269943848</v>
      </c>
      <c r="AX145" s="4">
        <v>3614.3897336227478</v>
      </c>
      <c r="AY145" s="4">
        <v>3943.3153153998151</v>
      </c>
      <c r="AZ145" s="4">
        <v>3872.3397832223577</v>
      </c>
      <c r="BA145" s="4">
        <v>3832.1929887168458</v>
      </c>
      <c r="BB145" s="4">
        <v>4039.0039599156812</v>
      </c>
      <c r="BC145" s="4">
        <v>3411.2446307583346</v>
      </c>
      <c r="BD145" s="4">
        <v>791.43715657964526</v>
      </c>
      <c r="BE145" s="4">
        <v>782.22039908210138</v>
      </c>
      <c r="BF145" s="4">
        <v>773.17600803330276</v>
      </c>
      <c r="BG145" s="4">
        <v>765.3739729184947</v>
      </c>
      <c r="BH145" s="4">
        <v>758.20571678161571</v>
      </c>
      <c r="BJ145" s="9"/>
    </row>
    <row r="146" spans="1:62" x14ac:dyDescent="0.25">
      <c r="A146" s="6" t="s">
        <v>139</v>
      </c>
      <c r="B146" s="6"/>
      <c r="C146" s="7" t="s">
        <v>526</v>
      </c>
      <c r="D146" s="3"/>
      <c r="E146" s="3">
        <f>VLOOKUP(A146,[2]Sheet1!$A$2:$E$627,5,0)</f>
        <v>1049</v>
      </c>
      <c r="F146" s="3">
        <f>VLOOKUP(A146,[2]Sheet1!$A$2:$F$627,6,0)</f>
        <v>1058</v>
      </c>
      <c r="G146" s="3">
        <f>VLOOKUP(A146,[2]Sheet1!$A$2:$G$627,7,0)</f>
        <v>1322.2990933333333</v>
      </c>
      <c r="H146" s="4">
        <f t="shared" si="12"/>
        <v>1322.2990933333333</v>
      </c>
      <c r="I146" s="11">
        <f t="shared" si="13"/>
        <v>8.5795996186844616E-3</v>
      </c>
      <c r="J146" s="11">
        <f t="shared" si="14"/>
        <v>0.26053297743883058</v>
      </c>
      <c r="K146" s="11">
        <f t="shared" si="15"/>
        <v>0.24981010712035284</v>
      </c>
      <c r="L146" s="11">
        <f>IF(S146="",((BG146-E146)/E146),((U146-E146)/E146))</f>
        <v>0.26053297743883058</v>
      </c>
      <c r="M146" s="3" t="str">
        <f>IF(S146="Churn","Churn",VLOOKUP(A146,'[1]Revenue_Engine_2025 Dec.25'!$C$14:$E$3993,3,0))</f>
        <v>Finans</v>
      </c>
      <c r="N146" s="3">
        <f>IF(S146="",VLOOKUP(A146,[3]Export!$B$2:$F$417,5,0),"CHURN")</f>
        <v>0.10748702824994752</v>
      </c>
      <c r="O146" s="3">
        <f>(1-N146)*H146</f>
        <v>1180.1690933333334</v>
      </c>
      <c r="P146" s="3">
        <f t="shared" si="17"/>
        <v>944.27872411155556</v>
      </c>
      <c r="Q146" s="3">
        <f t="shared" si="16"/>
        <v>1180.1690933333334</v>
      </c>
      <c r="R146" s="3" t="str">
        <f>IF(S146&lt;&gt;"Churn",VLOOKUP(A146,[3]Export!$B$2:$O$417,8,0),"CHURN")</f>
        <v>NO RISK</v>
      </c>
      <c r="S146" s="3"/>
      <c r="T146" s="3"/>
      <c r="U146" s="3" t="s">
        <v>551</v>
      </c>
      <c r="V146" s="4" t="str" cm="1">
        <f t="array" ref="V146">IFERROR(
    IF(
        MATCH(2,1/((Y146:BH146&lt;&gt;0)*(Y146:BH146&lt;&gt;"")))-MATCH(1,INDEX((Y146:BH146&lt;&gt;0)*(Y146:BH146&lt;&gt;""),0),0)+1 &lt;= 12,
        "No",
        "Yes"
    ),
    "No"
)</f>
        <v>Yes</v>
      </c>
      <c r="W146" s="4" t="str" cm="1">
        <f t="array" ref="W146">IFERROR(
    IF(
        MATCH(2,1/((Y146:BH146&lt;&gt;0)*(Y146:BH146&lt;&gt;"")))-MATCH(1,INDEX((Y146:BH146&lt;&gt;0)*(Y146:BH146&lt;&gt;""),0),0)+1 &lt;= 24,
        "No",
        "Yes"
    ),
    "No"
)</f>
        <v>Yes</v>
      </c>
      <c r="X146" s="3"/>
      <c r="Y146" s="4">
        <v>1000</v>
      </c>
      <c r="Z146" s="4">
        <v>1000</v>
      </c>
      <c r="AA146" s="4">
        <v>1049</v>
      </c>
      <c r="AB146" s="4">
        <v>1076</v>
      </c>
      <c r="AC146" s="4">
        <v>1058</v>
      </c>
      <c r="AD146" s="4">
        <v>1058</v>
      </c>
      <c r="AE146" s="4">
        <v>1058</v>
      </c>
      <c r="AF146" s="4">
        <v>1058</v>
      </c>
      <c r="AG146" s="4">
        <v>1058</v>
      </c>
      <c r="AH146" s="4">
        <v>1058</v>
      </c>
      <c r="AI146" s="4">
        <v>1058</v>
      </c>
      <c r="AJ146" s="4">
        <v>1058</v>
      </c>
      <c r="AK146" s="4">
        <v>1058</v>
      </c>
      <c r="AL146" s="4">
        <v>1058</v>
      </c>
      <c r="AM146" s="4">
        <v>1058</v>
      </c>
      <c r="AN146" s="4">
        <v>1083</v>
      </c>
      <c r="AO146" s="4">
        <v>1083</v>
      </c>
      <c r="AP146" s="4">
        <v>1083</v>
      </c>
      <c r="AQ146" s="4">
        <v>1083</v>
      </c>
      <c r="AR146" s="4">
        <v>1083</v>
      </c>
      <c r="AS146" s="4">
        <v>1083</v>
      </c>
      <c r="AT146" s="4">
        <v>1085.474666666667</v>
      </c>
      <c r="AU146" s="4">
        <v>1085.474666666667</v>
      </c>
      <c r="AV146" s="4">
        <v>1085.474666666667</v>
      </c>
      <c r="AW146" s="4">
        <v>1322.2990933333333</v>
      </c>
      <c r="AX146" s="4">
        <v>1322.2990933333333</v>
      </c>
      <c r="AY146" s="4">
        <v>1322.2990933333333</v>
      </c>
      <c r="AZ146" s="4">
        <v>1322.2990933333333</v>
      </c>
      <c r="BA146" s="4">
        <v>1322.2990933333333</v>
      </c>
      <c r="BB146" s="4">
        <v>1322.2990933333333</v>
      </c>
      <c r="BC146" s="4">
        <v>1322.2990933333333</v>
      </c>
      <c r="BD146" s="4">
        <v>1322.2990933333333</v>
      </c>
      <c r="BE146" s="4">
        <v>1322.2990933333333</v>
      </c>
      <c r="BF146" s="4">
        <v>1322.2990933333333</v>
      </c>
      <c r="BG146" s="4">
        <v>1322.2990933333333</v>
      </c>
      <c r="BH146" s="4">
        <v>1322.2990933333333</v>
      </c>
      <c r="BJ146" s="9"/>
    </row>
    <row r="147" spans="1:62" x14ac:dyDescent="0.25">
      <c r="A147" s="6" t="s">
        <v>140</v>
      </c>
      <c r="B147" s="6"/>
      <c r="C147" s="7" t="s">
        <v>526</v>
      </c>
      <c r="D147" s="3"/>
      <c r="E147" s="3">
        <f>VLOOKUP(A147,[2]Sheet1!$A$2:$E$627,5,0)</f>
        <v>441.36373557305302</v>
      </c>
      <c r="F147" s="3">
        <f>VLOOKUP(A147,[2]Sheet1!$A$2:$F$627,6,0)</f>
        <v>422.37772079930903</v>
      </c>
      <c r="G147" s="3">
        <f>VLOOKUP(A147,[2]Sheet1!$A$2:$G$627,7,0)</f>
        <v>469.58725163717764</v>
      </c>
      <c r="H147" s="4">
        <f t="shared" si="12"/>
        <v>0</v>
      </c>
      <c r="I147" s="11">
        <f t="shared" si="13"/>
        <v>-4.3016707634788195E-2</v>
      </c>
      <c r="J147" s="11">
        <f t="shared" si="14"/>
        <v>6.3946160024860407E-2</v>
      </c>
      <c r="K147" s="11">
        <f t="shared" si="15"/>
        <v>0.11177088305824734</v>
      </c>
      <c r="L147" s="11">
        <f>IF(S147="",((BG147-E147)/E147),((U147-E147)/E147))</f>
        <v>0.14082449382862189</v>
      </c>
      <c r="M147" s="3" t="str">
        <f>IF(S147="Churn","Churn",VLOOKUP(A147,'[1]Revenue_Engine_2025 Dec.25'!$C$14:$E$3993,3,0))</f>
        <v>Churn</v>
      </c>
      <c r="N147" s="3" t="str">
        <f>IF(S147="",VLOOKUP(A147,[3]Export!$B$2:$F$417,5,0),"CHURN")</f>
        <v>CHURN</v>
      </c>
      <c r="O147" s="3" t="e">
        <f>(1-N147)*H147</f>
        <v>#VALUE!</v>
      </c>
      <c r="P147" s="3" t="e">
        <f t="shared" si="17"/>
        <v>#VALUE!</v>
      </c>
      <c r="Q147" s="3" t="e">
        <f t="shared" si="16"/>
        <v>#VALUE!</v>
      </c>
      <c r="R147" s="3" t="str">
        <f>IF(S147&lt;&gt;"Churn",VLOOKUP(A147,[3]Export!$B$2:$O$417,8,0),"CHURN")</f>
        <v>CHURN</v>
      </c>
      <c r="S147" s="3" t="s">
        <v>372</v>
      </c>
      <c r="T147" s="3" t="s">
        <v>561</v>
      </c>
      <c r="U147" s="3">
        <v>503.51856022943792</v>
      </c>
      <c r="V147" s="4" t="str" cm="1">
        <f t="array" ref="V147">IFERROR(
    IF(
        MATCH(2,1/((Y147:BH147&lt;&gt;0)*(Y147:BH147&lt;&gt;"")))-MATCH(1,INDEX((Y147:BH147&lt;&gt;0)*(Y147:BH147&lt;&gt;""),0),0)+1 &lt;= 12,
        "No",
        "Yes"
    ),
    "No"
)</f>
        <v>Yes</v>
      </c>
      <c r="W147" s="4" t="str" cm="1">
        <f t="array" ref="W147">IFERROR(
    IF(
        MATCH(2,1/((Y147:BH147&lt;&gt;0)*(Y147:BH147&lt;&gt;"")))-MATCH(1,INDEX((Y147:BH147&lt;&gt;0)*(Y147:BH147&lt;&gt;""),0),0)+1 &lt;= 24,
        "No",
        "Yes"
    ),
    "No"
)</f>
        <v>Yes</v>
      </c>
      <c r="X147" s="3"/>
      <c r="Y147" s="4">
        <v>441.36373557305302</v>
      </c>
      <c r="Z147" s="4">
        <v>440.84364811381397</v>
      </c>
      <c r="AA147" s="4">
        <v>439.74705491190787</v>
      </c>
      <c r="AB147" s="4">
        <v>437.11625791848172</v>
      </c>
      <c r="AC147" s="4">
        <v>434.34952718403184</v>
      </c>
      <c r="AD147" s="4">
        <v>411.65669757615126</v>
      </c>
      <c r="AE147" s="4">
        <v>438.90682065510066</v>
      </c>
      <c r="AF147" s="4">
        <v>436.29130125769564</v>
      </c>
      <c r="AG147" s="4">
        <v>436.16543449310109</v>
      </c>
      <c r="AH147" s="4">
        <v>431.98890692750001</v>
      </c>
      <c r="AI147" s="4">
        <v>428.37352334157833</v>
      </c>
      <c r="AJ147" s="4">
        <v>426.38362704156657</v>
      </c>
      <c r="AK147" s="4">
        <v>422.37772079930903</v>
      </c>
      <c r="AL147" s="4">
        <v>419.5810572305366</v>
      </c>
      <c r="AM147" s="4">
        <v>415.02815154238016</v>
      </c>
      <c r="AN147" s="4">
        <v>413.88906488168163</v>
      </c>
      <c r="AO147" s="4">
        <v>414.05367101032846</v>
      </c>
      <c r="AP147" s="4">
        <v>413.09357872573713</v>
      </c>
      <c r="AQ147" s="4">
        <v>475.71004211288994</v>
      </c>
      <c r="AR147" s="4">
        <v>478.60828976783256</v>
      </c>
      <c r="AS147" s="4">
        <v>476.64730152829549</v>
      </c>
      <c r="AT147" s="4">
        <v>475.6002851924797</v>
      </c>
      <c r="AU147" s="4">
        <v>474.67273050466474</v>
      </c>
      <c r="AV147" s="4">
        <v>472.07069643619803</v>
      </c>
      <c r="AW147" s="4">
        <v>469.58725163717764</v>
      </c>
      <c r="AX147" s="4">
        <v>466.72690502621077</v>
      </c>
      <c r="AY147" s="4">
        <v>462.75009457948937</v>
      </c>
      <c r="AZ147" s="4">
        <v>458.59827297952626</v>
      </c>
      <c r="BA147" s="4">
        <v>456.06231511232278</v>
      </c>
      <c r="BB147" s="4">
        <v>453.5370778508119</v>
      </c>
      <c r="BC147" s="4">
        <v>450.72470944942103</v>
      </c>
      <c r="BD147" s="4">
        <v>503.51856022943792</v>
      </c>
      <c r="BE147" s="4">
        <v>501.14378022701652</v>
      </c>
      <c r="BF147" s="4">
        <v>0</v>
      </c>
      <c r="BG147" s="4">
        <v>0</v>
      </c>
      <c r="BH147" s="4">
        <v>0</v>
      </c>
      <c r="BJ147" s="9"/>
    </row>
    <row r="148" spans="1:62" x14ac:dyDescent="0.25">
      <c r="A148" s="6" t="s">
        <v>141</v>
      </c>
      <c r="B148" s="6"/>
      <c r="C148" s="7" t="s">
        <v>526</v>
      </c>
      <c r="D148" s="3"/>
      <c r="E148" s="3">
        <f>VLOOKUP(A148,[2]Sheet1!$A$2:$E$627,5,0)</f>
        <v>378</v>
      </c>
      <c r="F148" s="3">
        <f>VLOOKUP(A148,[2]Sheet1!$A$2:$F$627,6,0)</f>
        <v>400.68</v>
      </c>
      <c r="G148" s="3">
        <f>VLOOKUP(A148,[2]Sheet1!$A$2:$G$627,7,0)</f>
        <v>400.68</v>
      </c>
      <c r="H148" s="4">
        <f t="shared" si="12"/>
        <v>400.68</v>
      </c>
      <c r="I148" s="11">
        <f t="shared" si="13"/>
        <v>6.0000000000000019E-2</v>
      </c>
      <c r="J148" s="11">
        <f t="shared" si="14"/>
        <v>6.0000000000000019E-2</v>
      </c>
      <c r="K148" s="11">
        <f t="shared" si="15"/>
        <v>0</v>
      </c>
      <c r="L148" s="11">
        <f>IF(S148="",((BG148-E148)/E148),((U148-E148)/E148))</f>
        <v>6.0000000000000019E-2</v>
      </c>
      <c r="M148" s="3" t="str">
        <f>IF(S148="Churn","Churn",VLOOKUP(A148,'[1]Revenue_Engine_2025 Dec.25'!$C$14:$E$3993,3,0))</f>
        <v>Lojistik</v>
      </c>
      <c r="N148" s="3">
        <f>IF(S148="",VLOOKUP(A148,[3]Export!$B$2:$F$417,5,0),"CHURN")</f>
        <v>0.29100529100529099</v>
      </c>
      <c r="O148" s="3">
        <f>(1-N148)*H148</f>
        <v>284.08000000000004</v>
      </c>
      <c r="P148" s="3">
        <f t="shared" si="17"/>
        <v>284.08000000000004</v>
      </c>
      <c r="Q148" s="3">
        <f t="shared" si="16"/>
        <v>284.08000000000004</v>
      </c>
      <c r="R148" s="3" t="str">
        <f>IF(S148&lt;&gt;"Churn",VLOOKUP(A148,[3]Export!$B$2:$O$417,8,0),"CHURN")</f>
        <v>NO RISK</v>
      </c>
      <c r="S148" s="3"/>
      <c r="T148" s="3"/>
      <c r="U148" s="3" t="s">
        <v>551</v>
      </c>
      <c r="V148" s="4" t="str" cm="1">
        <f t="array" ref="V148">IFERROR(
    IF(
        MATCH(2,1/((Y148:BH148&lt;&gt;0)*(Y148:BH148&lt;&gt;"")))-MATCH(1,INDEX((Y148:BH148&lt;&gt;0)*(Y148:BH148&lt;&gt;""),0),0)+1 &lt;= 12,
        "No",
        "Yes"
    ),
    "No"
)</f>
        <v>Yes</v>
      </c>
      <c r="W148" s="4" t="str" cm="1">
        <f t="array" ref="W148">IFERROR(
    IF(
        MATCH(2,1/((Y148:BH148&lt;&gt;0)*(Y148:BH148&lt;&gt;"")))-MATCH(1,INDEX((Y148:BH148&lt;&gt;0)*(Y148:BH148&lt;&gt;""),0),0)+1 &lt;= 24,
        "No",
        "Yes"
    ),
    "No"
)</f>
        <v>Yes</v>
      </c>
      <c r="X148" s="3"/>
      <c r="Y148" s="4">
        <v>378</v>
      </c>
      <c r="Z148" s="4">
        <v>378</v>
      </c>
      <c r="AA148" s="4">
        <v>378</v>
      </c>
      <c r="AB148" s="4">
        <v>378</v>
      </c>
      <c r="AC148" s="4">
        <v>378</v>
      </c>
      <c r="AD148" s="4">
        <v>378</v>
      </c>
      <c r="AE148" s="4">
        <v>400.68</v>
      </c>
      <c r="AF148" s="4">
        <v>400.68</v>
      </c>
      <c r="AG148" s="4">
        <v>400.68</v>
      </c>
      <c r="AH148" s="4">
        <v>400.68</v>
      </c>
      <c r="AI148" s="4">
        <v>400.68</v>
      </c>
      <c r="AJ148" s="4">
        <v>400.68</v>
      </c>
      <c r="AK148" s="4">
        <v>400.68</v>
      </c>
      <c r="AL148" s="4">
        <v>400.68</v>
      </c>
      <c r="AM148" s="4">
        <v>400.68</v>
      </c>
      <c r="AN148" s="4">
        <v>400.68</v>
      </c>
      <c r="AO148" s="4">
        <v>400.68</v>
      </c>
      <c r="AP148" s="4">
        <v>400.68</v>
      </c>
      <c r="AQ148" s="4">
        <v>400.68</v>
      </c>
      <c r="AR148" s="4">
        <v>400.68</v>
      </c>
      <c r="AS148" s="4">
        <v>400.68</v>
      </c>
      <c r="AT148" s="4">
        <v>400.68</v>
      </c>
      <c r="AU148" s="4">
        <v>400.68</v>
      </c>
      <c r="AV148" s="4">
        <v>400.68</v>
      </c>
      <c r="AW148" s="4">
        <v>400.68</v>
      </c>
      <c r="AX148" s="4">
        <v>400.68</v>
      </c>
      <c r="AY148" s="4">
        <v>400.68</v>
      </c>
      <c r="AZ148" s="4">
        <v>400.68</v>
      </c>
      <c r="BA148" s="4">
        <v>400.68</v>
      </c>
      <c r="BB148" s="4">
        <v>400.68</v>
      </c>
      <c r="BC148" s="4">
        <v>400.68</v>
      </c>
      <c r="BD148" s="4">
        <v>400.68</v>
      </c>
      <c r="BE148" s="4">
        <v>400.68</v>
      </c>
      <c r="BF148" s="4">
        <v>400.68</v>
      </c>
      <c r="BG148" s="4">
        <v>400.68</v>
      </c>
      <c r="BH148" s="4">
        <v>400.68</v>
      </c>
      <c r="BJ148" s="9"/>
    </row>
    <row r="149" spans="1:62" x14ac:dyDescent="0.25">
      <c r="A149" s="6" t="s">
        <v>142</v>
      </c>
      <c r="B149" s="6"/>
      <c r="C149" s="7" t="s">
        <v>526</v>
      </c>
      <c r="D149" s="3"/>
      <c r="E149" s="3">
        <f>VLOOKUP(A149,[2]Sheet1!$A$2:$E$627,5,0)</f>
        <v>2784.4920648459615</v>
      </c>
      <c r="F149" s="3">
        <f>VLOOKUP(A149,[2]Sheet1!$A$2:$F$627,6,0)</f>
        <v>3076.7445712532804</v>
      </c>
      <c r="G149" s="3">
        <f>VLOOKUP(A149,[2]Sheet1!$A$2:$G$627,7,0)</f>
        <v>5437.7300495984982</v>
      </c>
      <c r="H149" s="4">
        <f t="shared" si="12"/>
        <v>5766.1869408108978</v>
      </c>
      <c r="I149" s="11">
        <f t="shared" si="13"/>
        <v>0.10495720569542592</v>
      </c>
      <c r="J149" s="11">
        <f t="shared" si="14"/>
        <v>0.9528624693348926</v>
      </c>
      <c r="K149" s="11">
        <f t="shared" si="15"/>
        <v>0.76736479862658691</v>
      </c>
      <c r="L149" s="11">
        <f>IF(S149="",((BG149-E149)/E149),((U149-E149)/E149))</f>
        <v>1.0603322454150743</v>
      </c>
      <c r="M149" s="3" t="str">
        <f>IF(S149="Churn","Churn",VLOOKUP(A149,'[1]Revenue_Engine_2025 Dec.25'!$C$14:$E$3993,3,0))</f>
        <v>Teknoloji</v>
      </c>
      <c r="N149" s="3">
        <f>IF(S149="",VLOOKUP(A149,[3]Export!$B$2:$F$417,5,0),"CHURN")</f>
        <v>0.10583271965445434</v>
      </c>
      <c r="O149" s="3">
        <f>(1-N149)*H149</f>
        <v>5155.9356948288823</v>
      </c>
      <c r="P149" s="3">
        <f t="shared" si="17"/>
        <v>2751.1243255954673</v>
      </c>
      <c r="Q149" s="3">
        <f t="shared" si="16"/>
        <v>4862.2402897027378</v>
      </c>
      <c r="R149" s="3" t="str">
        <f>IF(S149&lt;&gt;"Churn",VLOOKUP(A149,[3]Export!$B$2:$O$417,8,0),"CHURN")</f>
        <v>NO RISK</v>
      </c>
      <c r="S149" s="3"/>
      <c r="T149" s="3"/>
      <c r="U149" s="3" t="s">
        <v>551</v>
      </c>
      <c r="V149" s="4" t="str" cm="1">
        <f t="array" ref="V149">IFERROR(
    IF(
        MATCH(2,1/((Y149:BH149&lt;&gt;0)*(Y149:BH149&lt;&gt;"")))-MATCH(1,INDEX((Y149:BH149&lt;&gt;0)*(Y149:BH149&lt;&gt;""),0),0)+1 &lt;= 12,
        "No",
        "Yes"
    ),
    "No"
)</f>
        <v>Yes</v>
      </c>
      <c r="W149" s="4" t="str" cm="1">
        <f t="array" ref="W149">IFERROR(
    IF(
        MATCH(2,1/((Y149:BH149&lt;&gt;0)*(Y149:BH149&lt;&gt;"")))-MATCH(1,INDEX((Y149:BH149&lt;&gt;0)*(Y149:BH149&lt;&gt;""),0),0)+1 &lt;= 24,
        "No",
        "Yes"
    ),
    "No"
)</f>
        <v>Yes</v>
      </c>
      <c r="X149" s="3"/>
      <c r="Y149" s="4">
        <v>2784.4920648459615</v>
      </c>
      <c r="Z149" s="4">
        <v>2780.4635911112055</v>
      </c>
      <c r="AA149" s="4">
        <v>2771.9696410397032</v>
      </c>
      <c r="AB149" s="4">
        <v>2751.5921133734932</v>
      </c>
      <c r="AC149" s="4">
        <v>2730.2326822228542</v>
      </c>
      <c r="AD149" s="4">
        <v>2927.9130697241121</v>
      </c>
      <c r="AE149" s="4">
        <v>2788.6711870812833</v>
      </c>
      <c r="AF149" s="4">
        <v>2766.8256043070041</v>
      </c>
      <c r="AG149" s="4">
        <v>2906.8321879930063</v>
      </c>
      <c r="AH149" s="4">
        <v>2867.6009193399204</v>
      </c>
      <c r="AI149" s="4">
        <v>2833.6406299570726</v>
      </c>
      <c r="AJ149" s="4">
        <v>2880.3865764087163</v>
      </c>
      <c r="AK149" s="4">
        <v>3076.7445712532804</v>
      </c>
      <c r="AL149" s="4">
        <v>3043.5949388523659</v>
      </c>
      <c r="AM149" s="4">
        <v>2989.6280793403139</v>
      </c>
      <c r="AN149" s="4">
        <v>2976.1261678138171</v>
      </c>
      <c r="AO149" s="4">
        <v>2978.0772901141572</v>
      </c>
      <c r="AP149" s="4">
        <v>2966.6970487935596</v>
      </c>
      <c r="AQ149" s="4">
        <v>3752.7984724746484</v>
      </c>
      <c r="AR149" s="4">
        <v>5107.0703305697134</v>
      </c>
      <c r="AS149" s="4">
        <v>5082.7632571175109</v>
      </c>
      <c r="AT149" s="4">
        <v>5069.7851563481054</v>
      </c>
      <c r="AU149" s="4">
        <v>5058.2878207327858</v>
      </c>
      <c r="AV149" s="4">
        <v>5026.0347801728458</v>
      </c>
      <c r="AW149" s="4">
        <v>5437.7300495984982</v>
      </c>
      <c r="AX149" s="4">
        <v>5394.4750494813943</v>
      </c>
      <c r="AY149" s="4">
        <v>5401.4862130121292</v>
      </c>
      <c r="AZ149" s="4">
        <v>5348.9038059752711</v>
      </c>
      <c r="BA149" s="4">
        <v>5309.2575457186713</v>
      </c>
      <c r="BB149" s="4">
        <v>5269.7788875854712</v>
      </c>
      <c r="BC149" s="4">
        <v>5879.1375420862278</v>
      </c>
      <c r="BD149" s="4">
        <v>5834.5504387744713</v>
      </c>
      <c r="BE149" s="4">
        <v>5800.0460492605771</v>
      </c>
      <c r="BF149" s="4">
        <v>5766.1869408108978</v>
      </c>
      <c r="BG149" s="4">
        <v>5736.9787883045365</v>
      </c>
      <c r="BH149" s="4">
        <v>5710.1432876473755</v>
      </c>
      <c r="BJ149" s="9"/>
    </row>
    <row r="150" spans="1:62" x14ac:dyDescent="0.25">
      <c r="A150" s="6" t="s">
        <v>143</v>
      </c>
      <c r="B150" s="6"/>
      <c r="C150" s="7" t="s">
        <v>526</v>
      </c>
      <c r="D150" s="3"/>
      <c r="E150" s="3">
        <f>VLOOKUP(A150,[2]Sheet1!$A$2:$E$627,5,0)</f>
        <v>2064.0186088157175</v>
      </c>
      <c r="F150" s="3">
        <f>VLOOKUP(A150,[2]Sheet1!$A$2:$F$627,6,0)</f>
        <v>1621.9904130975283</v>
      </c>
      <c r="G150" s="3">
        <f>VLOOKUP(A150,[2]Sheet1!$A$2:$G$627,7,0)</f>
        <v>2215.0438203948797</v>
      </c>
      <c r="H150" s="4">
        <f t="shared" si="12"/>
        <v>3356.6920877237208</v>
      </c>
      <c r="I150" s="11">
        <f t="shared" si="13"/>
        <v>-0.21415901670179902</v>
      </c>
      <c r="J150" s="11">
        <f t="shared" si="14"/>
        <v>7.3170469943493757E-2</v>
      </c>
      <c r="K150" s="11">
        <f t="shared" si="15"/>
        <v>0.36563311503475077</v>
      </c>
      <c r="L150" s="11">
        <f>IF(S150="",((BG150-E150)/E150),((U150-E150)/E150))</f>
        <v>0.62222232689717061</v>
      </c>
      <c r="M150" s="3" t="str">
        <f>IF(S150="Churn","Churn",VLOOKUP(A150,'[1]Revenue_Engine_2025 Dec.25'!$C$14:$E$3993,3,0))</f>
        <v>Finans</v>
      </c>
      <c r="N150" s="3">
        <v>0</v>
      </c>
      <c r="O150" s="3">
        <f>(1-N150)*H150</f>
        <v>3356.6920877237208</v>
      </c>
      <c r="P150" s="3">
        <f t="shared" si="17"/>
        <v>1621.9904130975283</v>
      </c>
      <c r="Q150" s="3">
        <f t="shared" si="16"/>
        <v>2215.0438203948797</v>
      </c>
      <c r="R150" s="3" t="e">
        <f>IF(S150&lt;&gt;"Churn",VLOOKUP(A150,[3]Export!$B$2:$O$417,8,0),"CHURN")</f>
        <v>#N/A</v>
      </c>
      <c r="S150" s="3"/>
      <c r="T150" s="3"/>
      <c r="U150" s="3" t="s">
        <v>551</v>
      </c>
      <c r="V150" s="4" t="str" cm="1">
        <f t="array" ref="V150">IFERROR(
    IF(
        MATCH(2,1/((Y150:BH150&lt;&gt;0)*(Y150:BH150&lt;&gt;"")))-MATCH(1,INDEX((Y150:BH150&lt;&gt;0)*(Y150:BH150&lt;&gt;""),0),0)+1 &lt;= 12,
        "No",
        "Yes"
    ),
    "No"
)</f>
        <v>Yes</v>
      </c>
      <c r="W150" s="4" t="str" cm="1">
        <f t="array" ref="W150">IFERROR(
    IF(
        MATCH(2,1/((Y150:BH150&lt;&gt;0)*(Y150:BH150&lt;&gt;"")))-MATCH(1,INDEX((Y150:BH150&lt;&gt;0)*(Y150:BH150&lt;&gt;""),0),0)+1 &lt;= 24,
        "No",
        "Yes"
    ),
    "No"
)</f>
        <v>Yes</v>
      </c>
      <c r="X150" s="3"/>
      <c r="Y150" s="4">
        <v>1658.9474291824599</v>
      </c>
      <c r="Z150" s="4">
        <v>1653.891023328747</v>
      </c>
      <c r="AA150" s="4">
        <v>2064.0186088157175</v>
      </c>
      <c r="AB150" s="4">
        <v>2047.3823915325554</v>
      </c>
      <c r="AC150" s="4">
        <v>2020.5124762354837</v>
      </c>
      <c r="AD150" s="4">
        <v>1833.9237768651785</v>
      </c>
      <c r="AE150" s="4">
        <v>1696.9512620099906</v>
      </c>
      <c r="AF150" s="4">
        <v>1685.0663833662154</v>
      </c>
      <c r="AG150" s="4">
        <v>1684.0950254894028</v>
      </c>
      <c r="AH150" s="4">
        <v>1660.1633004455434</v>
      </c>
      <c r="AI150" s="4">
        <v>1668.2621198980278</v>
      </c>
      <c r="AJ150" s="4">
        <v>1652.9053936702335</v>
      </c>
      <c r="AK150" s="4">
        <v>1621.9904130975283</v>
      </c>
      <c r="AL150" s="4">
        <v>1600.4075814813125</v>
      </c>
      <c r="AM150" s="4">
        <v>1652.021214730154</v>
      </c>
      <c r="AN150" s="4">
        <v>2176.4043962441283</v>
      </c>
      <c r="AO150" s="4">
        <v>2105.802434319588</v>
      </c>
      <c r="AP150" s="4">
        <v>2137.9475731554321</v>
      </c>
      <c r="AQ150" s="4">
        <v>2123.368788644023</v>
      </c>
      <c r="AR150" s="4">
        <v>2062.5517050633589</v>
      </c>
      <c r="AS150" s="4">
        <v>2126.1623465078887</v>
      </c>
      <c r="AT150" s="4">
        <v>2118.0475043190027</v>
      </c>
      <c r="AU150" s="4">
        <v>2119.1585430242249</v>
      </c>
      <c r="AV150" s="4">
        <v>2109.2916219233612</v>
      </c>
      <c r="AW150" s="4">
        <v>2215.0438203948797</v>
      </c>
      <c r="AX150" s="4">
        <v>2612.997370727056</v>
      </c>
      <c r="AY150" s="4">
        <v>2752.9197963304759</v>
      </c>
      <c r="AZ150" s="4">
        <v>3073.8907525786271</v>
      </c>
      <c r="BA150" s="4">
        <v>3251.7040090287569</v>
      </c>
      <c r="BB150" s="4">
        <v>3228.7233181421366</v>
      </c>
      <c r="BC150" s="4">
        <v>3240.2922073240552</v>
      </c>
      <c r="BD150" s="4">
        <v>3231.575720077441</v>
      </c>
      <c r="BE150" s="4">
        <v>3227.7994927274185</v>
      </c>
      <c r="BF150" s="4">
        <v>3241.4062181929594</v>
      </c>
      <c r="BG150" s="4">
        <v>3348.2970703520941</v>
      </c>
      <c r="BH150" s="4">
        <v>3356.6920877237208</v>
      </c>
      <c r="BJ150" s="9"/>
    </row>
    <row r="151" spans="1:62" x14ac:dyDescent="0.25">
      <c r="A151" s="6" t="s">
        <v>144</v>
      </c>
      <c r="B151" s="6"/>
      <c r="C151" s="7" t="s">
        <v>526</v>
      </c>
      <c r="D151" s="3"/>
      <c r="E151" s="3">
        <f>VLOOKUP(A151,[2]Sheet1!$A$2:$E$627,5,0)</f>
        <v>175</v>
      </c>
      <c r="F151" s="3">
        <f>VLOOKUP(A151,[2]Sheet1!$A$2:$F$627,6,0)</f>
        <v>175</v>
      </c>
      <c r="G151" s="3">
        <f>VLOOKUP(A151,[2]Sheet1!$A$2:$G$627,7,0)</f>
        <v>184</v>
      </c>
      <c r="H151" s="4">
        <f t="shared" si="12"/>
        <v>184</v>
      </c>
      <c r="I151" s="11">
        <f t="shared" si="13"/>
        <v>0</v>
      </c>
      <c r="J151" s="11">
        <f t="shared" si="14"/>
        <v>5.1428571428571428E-2</v>
      </c>
      <c r="K151" s="11">
        <f t="shared" si="15"/>
        <v>5.1428571428571428E-2</v>
      </c>
      <c r="L151" s="11">
        <f>IF(S151="",((BG151-E151)/E151),((U151-E151)/E151))</f>
        <v>5.1428571428571428E-2</v>
      </c>
      <c r="M151" s="3" t="str">
        <f>IF(S151="Churn","Churn",VLOOKUP(A151,'[1]Revenue_Engine_2025 Dec.25'!$C$14:$E$3993,3,0))</f>
        <v>Genel</v>
      </c>
      <c r="N151" s="3">
        <f>IF(S151="",VLOOKUP(A151,[3]Export!$B$2:$F$417,5,0),"CHURN")</f>
        <v>1</v>
      </c>
      <c r="O151" s="3">
        <f>(1-N151)*H151</f>
        <v>0</v>
      </c>
      <c r="P151" s="3">
        <f t="shared" si="17"/>
        <v>0</v>
      </c>
      <c r="Q151" s="3">
        <f t="shared" si="16"/>
        <v>0</v>
      </c>
      <c r="R151" s="3" t="str">
        <f>IF(S151&lt;&gt;"Churn",VLOOKUP(A151,[3]Export!$B$2:$O$417,8,0),"CHURN")</f>
        <v>NO RISK</v>
      </c>
      <c r="S151" s="3"/>
      <c r="T151" s="3"/>
      <c r="U151" s="3" t="s">
        <v>551</v>
      </c>
      <c r="V151" s="4" t="str" cm="1">
        <f t="array" ref="V151">IFERROR(
    IF(
        MATCH(2,1/((Y151:BH151&lt;&gt;0)*(Y151:BH151&lt;&gt;"")))-MATCH(1,INDEX((Y151:BH151&lt;&gt;0)*(Y151:BH151&lt;&gt;""),0),0)+1 &lt;= 12,
        "No",
        "Yes"
    ),
    "No"
)</f>
        <v>Yes</v>
      </c>
      <c r="W151" s="4" t="str" cm="1">
        <f t="array" ref="W151">IFERROR(
    IF(
        MATCH(2,1/((Y151:BH151&lt;&gt;0)*(Y151:BH151&lt;&gt;"")))-MATCH(1,INDEX((Y151:BH151&lt;&gt;0)*(Y151:BH151&lt;&gt;""),0),0)+1 &lt;= 24,
        "No",
        "Yes"
    ),
    "No"
)</f>
        <v>Yes</v>
      </c>
      <c r="X151" s="3"/>
      <c r="Y151" s="4">
        <v>175</v>
      </c>
      <c r="Z151" s="4">
        <v>175</v>
      </c>
      <c r="AA151" s="4">
        <v>175</v>
      </c>
      <c r="AB151" s="4">
        <v>175</v>
      </c>
      <c r="AC151" s="4">
        <v>175</v>
      </c>
      <c r="AD151" s="4">
        <v>175</v>
      </c>
      <c r="AE151" s="4">
        <v>175</v>
      </c>
      <c r="AF151" s="4">
        <v>175</v>
      </c>
      <c r="AG151" s="4">
        <v>175</v>
      </c>
      <c r="AH151" s="4">
        <v>175</v>
      </c>
      <c r="AI151" s="4">
        <v>175</v>
      </c>
      <c r="AJ151" s="4">
        <v>175</v>
      </c>
      <c r="AK151" s="4">
        <v>175</v>
      </c>
      <c r="AL151" s="4">
        <v>175</v>
      </c>
      <c r="AM151" s="4">
        <v>175</v>
      </c>
      <c r="AN151" s="4">
        <v>175</v>
      </c>
      <c r="AO151" s="4">
        <v>175</v>
      </c>
      <c r="AP151" s="4">
        <v>175</v>
      </c>
      <c r="AQ151" s="4">
        <v>175</v>
      </c>
      <c r="AR151" s="4">
        <v>175</v>
      </c>
      <c r="AS151" s="4">
        <v>175</v>
      </c>
      <c r="AT151" s="4">
        <v>175</v>
      </c>
      <c r="AU151" s="4">
        <v>175</v>
      </c>
      <c r="AV151" s="4">
        <v>175</v>
      </c>
      <c r="AW151" s="4">
        <v>184</v>
      </c>
      <c r="AX151" s="4">
        <v>184</v>
      </c>
      <c r="AY151" s="4">
        <v>184</v>
      </c>
      <c r="AZ151" s="4">
        <v>184</v>
      </c>
      <c r="BA151" s="4">
        <v>184</v>
      </c>
      <c r="BB151" s="4">
        <v>184</v>
      </c>
      <c r="BC151" s="4">
        <v>184</v>
      </c>
      <c r="BD151" s="4">
        <v>184</v>
      </c>
      <c r="BE151" s="4">
        <v>184</v>
      </c>
      <c r="BF151" s="4">
        <v>184</v>
      </c>
      <c r="BG151" s="4">
        <v>184</v>
      </c>
      <c r="BH151" s="4">
        <v>184</v>
      </c>
      <c r="BJ151" s="9"/>
    </row>
    <row r="152" spans="1:62" x14ac:dyDescent="0.25">
      <c r="A152" s="6" t="s">
        <v>145</v>
      </c>
      <c r="B152" s="6"/>
      <c r="C152" s="7" t="s">
        <v>526</v>
      </c>
      <c r="D152" s="3"/>
      <c r="E152" s="3">
        <f>VLOOKUP(A152,[2]Sheet1!$A$2:$E$627,5,0)</f>
        <v>274.12251576470089</v>
      </c>
      <c r="F152" s="3">
        <f>VLOOKUP(A152,[2]Sheet1!$A$2:$F$627,6,0)</f>
        <v>401.05218916404647</v>
      </c>
      <c r="G152" s="3">
        <f>VLOOKUP(A152,[2]Sheet1!$A$2:$G$627,7,0)</f>
        <v>508.2054191946271</v>
      </c>
      <c r="H152" s="4">
        <f t="shared" si="12"/>
        <v>542.30874899044488</v>
      </c>
      <c r="I152" s="11">
        <f t="shared" si="13"/>
        <v>0.46303994053629094</v>
      </c>
      <c r="J152" s="11">
        <f t="shared" si="14"/>
        <v>0.85393533901044605</v>
      </c>
      <c r="K152" s="11">
        <f t="shared" si="15"/>
        <v>0.26718026462822936</v>
      </c>
      <c r="L152" s="11">
        <f>IF(S152="",((BG152-E152)/E152),((U152-E152)/E152))</f>
        <v>0.96634544646999054</v>
      </c>
      <c r="M152" s="3" t="str">
        <f>IF(S152="Churn","Churn",VLOOKUP(A152,'[1]Revenue_Engine_2025 Dec.25'!$C$14:$E$3993,3,0))</f>
        <v>Finans</v>
      </c>
      <c r="N152" s="3">
        <f>IF(S152="",VLOOKUP(A152,[3]Export!$B$2:$F$417,5,0),"CHURN")</f>
        <v>0.4222686807585227</v>
      </c>
      <c r="O152" s="3">
        <f>(1-N152)*H152</f>
        <v>313.30874899044488</v>
      </c>
      <c r="P152" s="3">
        <f t="shared" si="17"/>
        <v>231.70041033042705</v>
      </c>
      <c r="Q152" s="3">
        <f t="shared" si="16"/>
        <v>293.60618727697988</v>
      </c>
      <c r="R152" s="3" t="str">
        <f>IF(S152&lt;&gt;"Churn",VLOOKUP(A152,[3]Export!$B$2:$O$417,8,0),"CHURN")</f>
        <v>NO RISK</v>
      </c>
      <c r="S152" s="3"/>
      <c r="T152" s="3"/>
      <c r="U152" s="3" t="s">
        <v>551</v>
      </c>
      <c r="V152" s="4" t="str" cm="1">
        <f t="array" ref="V152">IFERROR(
    IF(
        MATCH(2,1/((Y152:BH152&lt;&gt;0)*(Y152:BH152&lt;&gt;"")))-MATCH(1,INDEX((Y152:BH152&lt;&gt;0)*(Y152:BH152&lt;&gt;""),0),0)+1 &lt;= 12,
        "No",
        "Yes"
    ),
    "No"
)</f>
        <v>Yes</v>
      </c>
      <c r="W152" s="4" t="str" cm="1">
        <f t="array" ref="W152">IFERROR(
    IF(
        MATCH(2,1/((Y152:BH152&lt;&gt;0)*(Y152:BH152&lt;&gt;"")))-MATCH(1,INDEX((Y152:BH152&lt;&gt;0)*(Y152:BH152&lt;&gt;""),0),0)+1 &lt;= 24,
        "No",
        "Yes"
    ),
    "No"
)</f>
        <v>Yes</v>
      </c>
      <c r="X152" s="3"/>
      <c r="Y152" s="4">
        <v>159.92920467206517</v>
      </c>
      <c r="Z152" s="4">
        <v>274.12251576470089</v>
      </c>
      <c r="AA152" s="4">
        <v>272.10740859880502</v>
      </c>
      <c r="AB152" s="4">
        <v>267.27303805532966</v>
      </c>
      <c r="AC152" s="4">
        <v>262.20578072279358</v>
      </c>
      <c r="AD152" s="4">
        <v>220.50528187070526</v>
      </c>
      <c r="AE152" s="4">
        <v>195.41679448288397</v>
      </c>
      <c r="AF152" s="4">
        <v>191.7196434609111</v>
      </c>
      <c r="AG152" s="4">
        <v>191.54172528610619</v>
      </c>
      <c r="AH152" s="4">
        <v>185.63802096918158</v>
      </c>
      <c r="AI152" s="4">
        <v>180.52751820144212</v>
      </c>
      <c r="AJ152" s="4">
        <v>177.71471278064976</v>
      </c>
      <c r="AK152" s="4">
        <v>401.05218916404647</v>
      </c>
      <c r="AL152" s="4">
        <v>397.09898293599861</v>
      </c>
      <c r="AM152" s="4">
        <v>483.08707257928074</v>
      </c>
      <c r="AN152" s="4">
        <v>480.55639235343199</v>
      </c>
      <c r="AO152" s="4">
        <v>480.9220936553545</v>
      </c>
      <c r="AP152" s="4">
        <v>478.78908073944945</v>
      </c>
      <c r="AQ152" s="4">
        <v>475.89560063200383</v>
      </c>
      <c r="AR152" s="4">
        <v>470.58049007166983</v>
      </c>
      <c r="AS152" s="4">
        <v>467.81464336825735</v>
      </c>
      <c r="AT152" s="4">
        <v>466.33789474608363</v>
      </c>
      <c r="AU152" s="4">
        <v>465.02963902899</v>
      </c>
      <c r="AV152" s="4">
        <v>461.35963876823632</v>
      </c>
      <c r="AW152" s="4">
        <v>508.2054191946271</v>
      </c>
      <c r="AX152" s="4">
        <v>503.2835325133272</v>
      </c>
      <c r="AY152" s="4">
        <v>582.36928829951421</v>
      </c>
      <c r="AZ152" s="4">
        <v>572.92969598514128</v>
      </c>
      <c r="BA152" s="4">
        <v>567.16393562755752</v>
      </c>
      <c r="BB152" s="4">
        <v>561.42254966676921</v>
      </c>
      <c r="BC152" s="4">
        <v>555.0283416046525</v>
      </c>
      <c r="BD152" s="4">
        <v>550.00729892254503</v>
      </c>
      <c r="BE152" s="4">
        <v>546.1216907623118</v>
      </c>
      <c r="BF152" s="4">
        <v>542.30874899044488</v>
      </c>
      <c r="BG152" s="4">
        <v>539.01956064881779</v>
      </c>
      <c r="BH152" s="4">
        <v>535.99756136680116</v>
      </c>
      <c r="BJ152" s="9"/>
    </row>
    <row r="153" spans="1:62" x14ac:dyDescent="0.25">
      <c r="A153" s="6" t="s">
        <v>146</v>
      </c>
      <c r="B153" s="6"/>
      <c r="C153" s="7" t="s">
        <v>526</v>
      </c>
      <c r="D153" s="3"/>
      <c r="E153" s="3">
        <f>VLOOKUP(A153,[2]Sheet1!$A$2:$E$627,5,0)</f>
        <v>2490.7462294872958</v>
      </c>
      <c r="F153" s="3">
        <f>VLOOKUP(A153,[2]Sheet1!$A$2:$F$627,6,0)</f>
        <v>2218.0605059868158</v>
      </c>
      <c r="G153" s="3">
        <f>VLOOKUP(A153,[2]Sheet1!$A$2:$G$627,7,0)</f>
        <v>2098.2680578679528</v>
      </c>
      <c r="H153" s="4">
        <f t="shared" si="12"/>
        <v>2281.2616371928493</v>
      </c>
      <c r="I153" s="11">
        <f t="shared" si="13"/>
        <v>-0.10947952877423832</v>
      </c>
      <c r="J153" s="11">
        <f t="shared" si="14"/>
        <v>-0.15757453207111027</v>
      </c>
      <c r="K153" s="11">
        <f t="shared" si="15"/>
        <v>-5.4007745864248745E-2</v>
      </c>
      <c r="L153" s="11">
        <f>IF(S153="",((BG153-E153)/E153),((U153-E153)/E153))</f>
        <v>-0.91401505937007832</v>
      </c>
      <c r="M153" s="3" t="str">
        <f>IF(S153="Churn","Churn",VLOOKUP(A153,'[1]Revenue_Engine_2025 Dec.25'!$C$14:$E$3993,3,0))</f>
        <v>Diğer</v>
      </c>
      <c r="N153" s="3">
        <f>IF(S153="",VLOOKUP(A153,[3]Export!$B$2:$F$417,5,0),"CHURN")</f>
        <v>0.42427011190372871</v>
      </c>
      <c r="O153" s="3">
        <f>(1-N153)*H153</f>
        <v>1313.390507099356</v>
      </c>
      <c r="P153" s="3">
        <f t="shared" si="17"/>
        <v>1277.0037269025484</v>
      </c>
      <c r="Q153" s="3">
        <f t="shared" si="16"/>
        <v>1208.035634152297</v>
      </c>
      <c r="R153" s="3" t="str">
        <f>IF(S153&lt;&gt;"Churn",VLOOKUP(A153,[3]Export!$B$2:$O$417,8,0),"CHURN")</f>
        <v>CHURN</v>
      </c>
      <c r="S153" s="3"/>
      <c r="T153" s="3"/>
      <c r="U153" s="3" t="s">
        <v>551</v>
      </c>
      <c r="V153" s="4" t="str" cm="1">
        <f t="array" ref="V153">IFERROR(
    IF(
        MATCH(2,1/((Y153:BH153&lt;&gt;0)*(Y153:BH153&lt;&gt;"")))-MATCH(1,INDEX((Y153:BH153&lt;&gt;0)*(Y153:BH153&lt;&gt;""),0),0)+1 &lt;= 12,
        "No",
        "Yes"
    ),
    "No"
)</f>
        <v>Yes</v>
      </c>
      <c r="W153" s="4" t="str" cm="1">
        <f t="array" ref="W153">IFERROR(
    IF(
        MATCH(2,1/((Y153:BH153&lt;&gt;0)*(Y153:BH153&lt;&gt;"")))-MATCH(1,INDEX((Y153:BH153&lt;&gt;0)*(Y153:BH153&lt;&gt;""),0),0)+1 &lt;= 24,
        "No",
        "Yes"
    ),
    "No"
)</f>
        <v>Yes</v>
      </c>
      <c r="X153" s="3"/>
      <c r="Y153" s="4">
        <v>1878.3876044204433</v>
      </c>
      <c r="Z153" s="4">
        <v>2490.7462294872958</v>
      </c>
      <c r="AA153" s="4">
        <v>2478.9020466063039</v>
      </c>
      <c r="AB153" s="4">
        <v>2448.2567375078343</v>
      </c>
      <c r="AC153" s="4">
        <v>2416.1346396194963</v>
      </c>
      <c r="AD153" s="4">
        <v>2151.7932378380224</v>
      </c>
      <c r="AE153" s="4">
        <v>1992.7561493802332</v>
      </c>
      <c r="AF153" s="4">
        <v>1969.3197370914345</v>
      </c>
      <c r="AG153" s="4">
        <v>2255.5601741693363</v>
      </c>
      <c r="AH153" s="4">
        <v>2209.2794050085572</v>
      </c>
      <c r="AI153" s="4">
        <v>2169.2164405990998</v>
      </c>
      <c r="AJ153" s="4">
        <v>2238.389002352309</v>
      </c>
      <c r="AK153" s="4">
        <v>2218.0605059868158</v>
      </c>
      <c r="AL153" s="4">
        <v>2210.7696401834755</v>
      </c>
      <c r="AM153" s="4">
        <v>2129.6569051199631</v>
      </c>
      <c r="AN153" s="4">
        <v>2115.9555086183632</v>
      </c>
      <c r="AO153" s="4">
        <v>2117.9354579172168</v>
      </c>
      <c r="AP153" s="4">
        <v>1985.974226454844</v>
      </c>
      <c r="AQ153" s="4">
        <v>1971.7034148301716</v>
      </c>
      <c r="AR153" s="4">
        <v>1968.8258297438831</v>
      </c>
      <c r="AS153" s="4">
        <v>2122.3129766721436</v>
      </c>
      <c r="AT153" s="4">
        <v>2136.3418801292723</v>
      </c>
      <c r="AU153" s="4">
        <v>2134.3768290352273</v>
      </c>
      <c r="AV153" s="4">
        <v>2115.9013870902427</v>
      </c>
      <c r="AW153" s="4">
        <v>2098.2680578679528</v>
      </c>
      <c r="AX153" s="4">
        <v>2106.7383700783685</v>
      </c>
      <c r="AY153" s="4">
        <v>2269.4502692640708</v>
      </c>
      <c r="AZ153" s="4">
        <v>2239.221262712229</v>
      </c>
      <c r="BA153" s="4">
        <v>2556.9015806418788</v>
      </c>
      <c r="BB153" s="4">
        <v>2532.8084776994315</v>
      </c>
      <c r="BC153" s="4">
        <v>2505.9758776742542</v>
      </c>
      <c r="BD153" s="4">
        <v>2484.9056171057018</v>
      </c>
      <c r="BE153" s="4">
        <v>2297.2667509205662</v>
      </c>
      <c r="BF153" s="4">
        <v>2281.2616371928493</v>
      </c>
      <c r="BG153" s="4">
        <v>214.16666666666663</v>
      </c>
      <c r="BH153" s="4">
        <v>214.16666666666663</v>
      </c>
      <c r="BJ153" s="9"/>
    </row>
    <row r="154" spans="1:62" x14ac:dyDescent="0.25">
      <c r="A154" s="6" t="s">
        <v>147</v>
      </c>
      <c r="B154" s="6"/>
      <c r="C154" s="7" t="s">
        <v>526</v>
      </c>
      <c r="D154" s="3"/>
      <c r="E154" s="3">
        <f>VLOOKUP(A154,[2]Sheet1!$A$2:$E$627,5,0)</f>
        <v>167.2</v>
      </c>
      <c r="F154" s="3">
        <f>VLOOKUP(A154,[2]Sheet1!$A$2:$F$627,6,0)</f>
        <v>167.2</v>
      </c>
      <c r="G154" s="3">
        <f>VLOOKUP(A154,[2]Sheet1!$A$2:$G$627,7,0)</f>
        <v>177.2</v>
      </c>
      <c r="H154" s="4">
        <f t="shared" si="12"/>
        <v>227.6</v>
      </c>
      <c r="I154" s="11">
        <f t="shared" si="13"/>
        <v>0</v>
      </c>
      <c r="J154" s="11">
        <f t="shared" si="14"/>
        <v>5.9808612440191394E-2</v>
      </c>
      <c r="K154" s="11">
        <f t="shared" si="15"/>
        <v>5.9808612440191394E-2</v>
      </c>
      <c r="L154" s="11">
        <f>IF(S154="",((BG154-E154)/E154),((U154-E154)/E154))</f>
        <v>0.33732057416267947</v>
      </c>
      <c r="M154" s="3" t="str">
        <f>IF(S154="Churn","Churn",VLOOKUP(A154,'[1]Revenue_Engine_2025 Dec.25'!$C$14:$E$3993,3,0))</f>
        <v>Perakende</v>
      </c>
      <c r="N154" s="3">
        <v>0</v>
      </c>
      <c r="O154" s="3">
        <f>(1-N154)*H154</f>
        <v>227.6</v>
      </c>
      <c r="P154" s="3">
        <f t="shared" si="17"/>
        <v>167.2</v>
      </c>
      <c r="Q154" s="3">
        <f t="shared" si="16"/>
        <v>177.2</v>
      </c>
      <c r="R154" s="3" t="e">
        <f>IF(S154&lt;&gt;"Churn",VLOOKUP(A154,[3]Export!$B$2:$O$417,8,0),"CHURN")</f>
        <v>#N/A</v>
      </c>
      <c r="S154" s="3"/>
      <c r="T154" s="3"/>
      <c r="U154" s="3" t="s">
        <v>551</v>
      </c>
      <c r="V154" s="4" t="str" cm="1">
        <f t="array" ref="V154">IFERROR(
    IF(
        MATCH(2,1/((Y154:BH154&lt;&gt;0)*(Y154:BH154&lt;&gt;"")))-MATCH(1,INDEX((Y154:BH154&lt;&gt;0)*(Y154:BH154&lt;&gt;""),0),0)+1 &lt;= 12,
        "No",
        "Yes"
    ),
    "No"
)</f>
        <v>Yes</v>
      </c>
      <c r="W154" s="4" t="str" cm="1">
        <f t="array" ref="W154">IFERROR(
    IF(
        MATCH(2,1/((Y154:BH154&lt;&gt;0)*(Y154:BH154&lt;&gt;"")))-MATCH(1,INDEX((Y154:BH154&lt;&gt;0)*(Y154:BH154&lt;&gt;""),0),0)+1 &lt;= 24,
        "No",
        "Yes"
    ),
    "No"
)</f>
        <v>Yes</v>
      </c>
      <c r="X154" s="3"/>
      <c r="Y154" s="4">
        <v>167.2</v>
      </c>
      <c r="Z154" s="4">
        <v>167.2</v>
      </c>
      <c r="AA154" s="4">
        <v>167.2</v>
      </c>
      <c r="AB154" s="4">
        <v>167.2</v>
      </c>
      <c r="AC154" s="4">
        <v>167.2</v>
      </c>
      <c r="AD154" s="4">
        <v>167.2</v>
      </c>
      <c r="AE154" s="4">
        <v>167.2</v>
      </c>
      <c r="AF154" s="4">
        <v>167.2</v>
      </c>
      <c r="AG154" s="4">
        <v>167.2</v>
      </c>
      <c r="AH154" s="4">
        <v>167.2</v>
      </c>
      <c r="AI154" s="4">
        <v>167.2</v>
      </c>
      <c r="AJ154" s="4">
        <v>167.2</v>
      </c>
      <c r="AK154" s="4">
        <v>167.2</v>
      </c>
      <c r="AL154" s="4">
        <v>167.2</v>
      </c>
      <c r="AM154" s="4">
        <v>167.2</v>
      </c>
      <c r="AN154" s="4">
        <v>167.2</v>
      </c>
      <c r="AO154" s="4">
        <v>167.2</v>
      </c>
      <c r="AP154" s="4">
        <v>167.2</v>
      </c>
      <c r="AQ154" s="4">
        <v>167.2</v>
      </c>
      <c r="AR154" s="4">
        <v>167.2</v>
      </c>
      <c r="AS154" s="4">
        <v>167.2</v>
      </c>
      <c r="AT154" s="4">
        <v>167.2</v>
      </c>
      <c r="AU154" s="4">
        <v>175.2</v>
      </c>
      <c r="AV154" s="4">
        <v>177.2</v>
      </c>
      <c r="AW154" s="4">
        <v>177.2</v>
      </c>
      <c r="AX154" s="4">
        <v>177.2</v>
      </c>
      <c r="AY154" s="4">
        <v>177.2</v>
      </c>
      <c r="AZ154" s="4">
        <v>177.2</v>
      </c>
      <c r="BA154" s="4">
        <v>177.2</v>
      </c>
      <c r="BB154" s="4">
        <v>177.2</v>
      </c>
      <c r="BC154" s="4">
        <v>227.6</v>
      </c>
      <c r="BD154" s="4">
        <v>227.6</v>
      </c>
      <c r="BE154" s="4">
        <v>227.6</v>
      </c>
      <c r="BF154" s="4">
        <v>227.6</v>
      </c>
      <c r="BG154" s="4">
        <v>223.6</v>
      </c>
      <c r="BH154" s="4">
        <v>221.6</v>
      </c>
      <c r="BJ154" s="9"/>
    </row>
    <row r="155" spans="1:62" x14ac:dyDescent="0.25">
      <c r="A155" s="6" t="s">
        <v>148</v>
      </c>
      <c r="B155" s="6"/>
      <c r="C155" s="7" t="s">
        <v>526</v>
      </c>
      <c r="D155" s="3"/>
      <c r="E155" s="3">
        <f>VLOOKUP(A155,[2]Sheet1!$A$2:$E$627,5,0)</f>
        <v>494.28786190646281</v>
      </c>
      <c r="F155" s="3">
        <f>VLOOKUP(A155,[2]Sheet1!$A$2:$F$627,6,0)</f>
        <v>960.17988048041229</v>
      </c>
      <c r="G155" s="3">
        <f>VLOOKUP(A155,[2]Sheet1!$A$2:$G$627,7,0)</f>
        <v>1120.9779195671192</v>
      </c>
      <c r="H155" s="4">
        <f t="shared" si="12"/>
        <v>986.29480514279953</v>
      </c>
      <c r="I155" s="11">
        <f t="shared" si="13"/>
        <v>0.94255201164966729</v>
      </c>
      <c r="J155" s="11">
        <f t="shared" si="14"/>
        <v>1.2678645501095653</v>
      </c>
      <c r="K155" s="11">
        <f t="shared" si="15"/>
        <v>0.16746657824808192</v>
      </c>
      <c r="L155" s="11">
        <f>IF(S155="",((BG155-E155)/E155),((U155-E155)/E155))</f>
        <v>0.97926770781457839</v>
      </c>
      <c r="M155" s="3" t="str">
        <f>IF(S155="Churn","Churn",VLOOKUP(A155,'[1]Revenue_Engine_2025 Dec.25'!$C$14:$E$3993,3,0))</f>
        <v>Genel</v>
      </c>
      <c r="N155" s="3">
        <f>IF(S155="",VLOOKUP(A155,[3]Export!$B$2:$F$417,5,0),"CHURN")</f>
        <v>6.4120573361503536E-2</v>
      </c>
      <c r="O155" s="3">
        <f>(1-N155)*H155</f>
        <v>923.05301673357076</v>
      </c>
      <c r="P155" s="3">
        <f t="shared" si="17"/>
        <v>898.61259601382824</v>
      </c>
      <c r="Q155" s="3">
        <f t="shared" si="16"/>
        <v>1049.1001726388902</v>
      </c>
      <c r="R155" s="3" t="str">
        <f>IF(S155&lt;&gt;"Churn",VLOOKUP(A155,[3]Export!$B$2:$O$417,8,0),"CHURN")</f>
        <v>NO RISK</v>
      </c>
      <c r="S155" s="3"/>
      <c r="T155" s="3"/>
      <c r="U155" s="3" t="s">
        <v>551</v>
      </c>
      <c r="V155" s="4" t="str" cm="1">
        <f t="array" ref="V155">IFERROR(
    IF(
        MATCH(2,1/((Y155:BH155&lt;&gt;0)*(Y155:BH155&lt;&gt;"")))-MATCH(1,INDEX((Y155:BH155&lt;&gt;0)*(Y155:BH155&lt;&gt;""),0),0)+1 &lt;= 12,
        "No",
        "Yes"
    ),
    "No"
)</f>
        <v>Yes</v>
      </c>
      <c r="W155" s="4" t="str" cm="1">
        <f t="array" ref="W155">IFERROR(
    IF(
        MATCH(2,1/((Y155:BH155&lt;&gt;0)*(Y155:BH155&lt;&gt;"")))-MATCH(1,INDEX((Y155:BH155&lt;&gt;0)*(Y155:BH155&lt;&gt;""),0),0)+1 &lt;= 24,
        "No",
        "Yes"
    ),
    "No"
)</f>
        <v>Yes</v>
      </c>
      <c r="X155" s="3"/>
      <c r="Y155" s="4">
        <v>494.28786190646281</v>
      </c>
      <c r="Z155" s="4">
        <v>492.57053607951678</v>
      </c>
      <c r="AA155" s="4">
        <v>488.94959157521714</v>
      </c>
      <c r="AB155" s="4">
        <v>657.67271489322025</v>
      </c>
      <c r="AC155" s="4">
        <v>657.56195759990248</v>
      </c>
      <c r="AD155" s="4">
        <v>582.63042819048928</v>
      </c>
      <c r="AE155" s="4">
        <v>656.93804096557108</v>
      </c>
      <c r="AF155" s="4">
        <v>648.03577917686891</v>
      </c>
      <c r="AG155" s="4">
        <v>647.60738016578023</v>
      </c>
      <c r="AH155" s="4">
        <v>633.39218773868083</v>
      </c>
      <c r="AI155" s="4">
        <v>761.39456648905457</v>
      </c>
      <c r="AJ155" s="4">
        <v>752.43563443463643</v>
      </c>
      <c r="AK155" s="4">
        <v>960.17988048041229</v>
      </c>
      <c r="AL155" s="4">
        <v>942.40102110358919</v>
      </c>
      <c r="AM155" s="4">
        <v>913.4574360082961</v>
      </c>
      <c r="AN155" s="4">
        <v>906.21607105303144</v>
      </c>
      <c r="AO155" s="4">
        <v>907.26249982138677</v>
      </c>
      <c r="AP155" s="4">
        <v>901.15903213685101</v>
      </c>
      <c r="AQ155" s="4">
        <v>892.87954062512347</v>
      </c>
      <c r="AR155" s="4">
        <v>877.67072247740577</v>
      </c>
      <c r="AS155" s="4">
        <v>869.75644504908792</v>
      </c>
      <c r="AT155" s="4">
        <v>865.53083186765264</v>
      </c>
      <c r="AU155" s="4">
        <v>861.78734938198647</v>
      </c>
      <c r="AV155" s="4">
        <v>851.28589961263845</v>
      </c>
      <c r="AW155" s="4">
        <v>1120.9779195671192</v>
      </c>
      <c r="AX155" s="4">
        <v>1105.2261814517269</v>
      </c>
      <c r="AY155" s="4">
        <v>1083.3261514165083</v>
      </c>
      <c r="AZ155" s="4">
        <v>1060.462346626661</v>
      </c>
      <c r="BA155" s="4">
        <v>1046.4969956993643</v>
      </c>
      <c r="BB155" s="4">
        <v>1032.5906824329788</v>
      </c>
      <c r="BC155" s="4">
        <v>1017.103157119486</v>
      </c>
      <c r="BD155" s="4">
        <v>1004.9416001473276</v>
      </c>
      <c r="BE155" s="4">
        <v>995.53019936785313</v>
      </c>
      <c r="BF155" s="4">
        <v>986.29480514279953</v>
      </c>
      <c r="BG155" s="4">
        <v>978.3280034361735</v>
      </c>
      <c r="BH155" s="4">
        <v>971.0083651130351</v>
      </c>
      <c r="BJ155" s="9"/>
    </row>
    <row r="156" spans="1:62" x14ac:dyDescent="0.25">
      <c r="A156" s="6" t="s">
        <v>149</v>
      </c>
      <c r="B156" s="6"/>
      <c r="C156" s="7" t="s">
        <v>526</v>
      </c>
      <c r="D156" s="3"/>
      <c r="E156" s="3">
        <f>VLOOKUP(A156,[2]Sheet1!$A$2:$E$627,5,0)</f>
        <v>494.0155070469674</v>
      </c>
      <c r="F156" s="3">
        <f>VLOOKUP(A156,[2]Sheet1!$A$2:$F$627,6,0)</f>
        <v>498.16914464054094</v>
      </c>
      <c r="G156" s="3">
        <f>VLOOKUP(A156,[2]Sheet1!$A$2:$G$627,7,0)</f>
        <v>500.68370629567966</v>
      </c>
      <c r="H156" s="4">
        <f t="shared" si="12"/>
        <v>502.19882227755636</v>
      </c>
      <c r="I156" s="11">
        <f t="shared" si="13"/>
        <v>8.4079093354829399E-3</v>
      </c>
      <c r="J156" s="11">
        <f t="shared" si="14"/>
        <v>1.3497955334584855E-2</v>
      </c>
      <c r="K156" s="11">
        <f t="shared" si="15"/>
        <v>5.0476061839460741E-3</v>
      </c>
      <c r="L156" s="11">
        <f>IF(S156="",((BG156-E156)/E156),((U156-E156)/E156))</f>
        <v>1.6305660517608223E-2</v>
      </c>
      <c r="M156" s="3" t="str">
        <f>IF(S156="Churn","Churn",VLOOKUP(A156,'[1]Revenue_Engine_2025 Dec.25'!$C$14:$E$3993,3,0))</f>
        <v>Üretim</v>
      </c>
      <c r="N156" s="3">
        <f>IF(S156="",VLOOKUP(A156,[3]Export!$B$2:$F$417,5,0),"CHURN")</f>
        <v>9.3588431344476419E-2</v>
      </c>
      <c r="O156" s="3">
        <f>(1-N156)*H156</f>
        <v>455.19882227755642</v>
      </c>
      <c r="P156" s="3">
        <f t="shared" si="17"/>
        <v>451.54627584941318</v>
      </c>
      <c r="Q156" s="3">
        <f t="shared" si="16"/>
        <v>453.82550362372848</v>
      </c>
      <c r="R156" s="3" t="str">
        <f>IF(S156&lt;&gt;"Churn",VLOOKUP(A156,[3]Export!$B$2:$O$417,8,0),"CHURN")</f>
        <v>NO RISK</v>
      </c>
      <c r="S156" s="3"/>
      <c r="T156" s="3"/>
      <c r="U156" s="3" t="s">
        <v>551</v>
      </c>
      <c r="V156" s="4" t="str" cm="1">
        <f t="array" ref="V156">IFERROR(
    IF(
        MATCH(2,1/((Y156:BH156&lt;&gt;0)*(Y156:BH156&lt;&gt;"")))-MATCH(1,INDEX((Y156:BH156&lt;&gt;0)*(Y156:BH156&lt;&gt;""),0),0)+1 &lt;= 12,
        "No",
        "Yes"
    ),
    "No"
)</f>
        <v>Yes</v>
      </c>
      <c r="W156" s="4" t="str" cm="1">
        <f t="array" ref="W156">IFERROR(
    IF(
        MATCH(2,1/((Y156:BH156&lt;&gt;0)*(Y156:BH156&lt;&gt;"")))-MATCH(1,INDEX((Y156:BH156&lt;&gt;0)*(Y156:BH156&lt;&gt;""),0),0)+1 &lt;= 24,
        "No",
        "Yes"
    ),
    "No"
)</f>
        <v>Yes</v>
      </c>
      <c r="X156" s="3"/>
      <c r="Y156" s="4">
        <v>488.62329208936842</v>
      </c>
      <c r="Z156" s="4">
        <v>494.0155070469674</v>
      </c>
      <c r="AA156" s="4">
        <v>493.9198285090518</v>
      </c>
      <c r="AB156" s="4">
        <v>502.69028959758833</v>
      </c>
      <c r="AC156" s="4">
        <v>502.44969307695436</v>
      </c>
      <c r="AD156" s="4">
        <v>500.46972753068269</v>
      </c>
      <c r="AE156" s="4">
        <v>499.27851059075709</v>
      </c>
      <c r="AF156" s="4">
        <v>499.10296756742696</v>
      </c>
      <c r="AG156" s="4">
        <v>499.09451990215041</v>
      </c>
      <c r="AH156" s="4">
        <v>498.81420835997085</v>
      </c>
      <c r="AI156" s="4">
        <v>498.57155851925449</v>
      </c>
      <c r="AJ156" s="4">
        <v>498.43800477349987</v>
      </c>
      <c r="AK156" s="4">
        <v>498.16914464054094</v>
      </c>
      <c r="AL156" s="4">
        <v>502.33372534711134</v>
      </c>
      <c r="AM156" s="4">
        <v>501.86152414609847</v>
      </c>
      <c r="AN156" s="4">
        <v>501.74338462683744</v>
      </c>
      <c r="AO156" s="4">
        <v>501.76045662809662</v>
      </c>
      <c r="AP156" s="4">
        <v>501.66088137639599</v>
      </c>
      <c r="AQ156" s="4">
        <v>501.52580530262208</v>
      </c>
      <c r="AR156" s="4">
        <v>501.27768047041161</v>
      </c>
      <c r="AS156" s="4">
        <v>501.14856269545396</v>
      </c>
      <c r="AT156" s="4">
        <v>501.07962377124261</v>
      </c>
      <c r="AU156" s="4">
        <v>501.01855058629047</v>
      </c>
      <c r="AV156" s="4">
        <v>500.84722429146086</v>
      </c>
      <c r="AW156" s="4">
        <v>500.68370629567966</v>
      </c>
      <c r="AX156" s="4">
        <v>504.11064034219595</v>
      </c>
      <c r="AY156" s="4">
        <v>503.75859806086618</v>
      </c>
      <c r="AZ156" s="4">
        <v>503.39106313122676</v>
      </c>
      <c r="BA156" s="4">
        <v>503.16657056239882</v>
      </c>
      <c r="BB156" s="4">
        <v>502.94302702207892</v>
      </c>
      <c r="BC156" s="4">
        <v>502.69406554875007</v>
      </c>
      <c r="BD156" s="4">
        <v>502.49856890997307</v>
      </c>
      <c r="BE156" s="4">
        <v>502.34728094390243</v>
      </c>
      <c r="BF156" s="4">
        <v>502.19882227755636</v>
      </c>
      <c r="BG156" s="4">
        <v>502.07075619530934</v>
      </c>
      <c r="BH156" s="4">
        <v>501.95309324372244</v>
      </c>
      <c r="BJ156" s="9"/>
    </row>
    <row r="157" spans="1:62" x14ac:dyDescent="0.25">
      <c r="A157" s="6" t="s">
        <v>150</v>
      </c>
      <c r="B157" s="6"/>
      <c r="C157" s="7" t="s">
        <v>526</v>
      </c>
      <c r="D157" s="3"/>
      <c r="E157" s="3">
        <f>VLOOKUP(A157,[2]Sheet1!$A$2:$E$627,5,0)</f>
        <v>1739.2322331981045</v>
      </c>
      <c r="F157" s="3">
        <f>VLOOKUP(A157,[2]Sheet1!$A$2:$F$627,6,0)</f>
        <v>1667.172375620605</v>
      </c>
      <c r="G157" s="3">
        <f>VLOOKUP(A157,[2]Sheet1!$A$2:$G$627,7,0)</f>
        <v>1975.3365126844824</v>
      </c>
      <c r="H157" s="4">
        <f t="shared" si="12"/>
        <v>1694.8540661165737</v>
      </c>
      <c r="I157" s="11">
        <f t="shared" si="13"/>
        <v>-4.1431992923104753E-2</v>
      </c>
      <c r="J157" s="11">
        <f t="shared" si="14"/>
        <v>0.13575201458417591</v>
      </c>
      <c r="K157" s="11">
        <f t="shared" si="15"/>
        <v>0.18484239636538083</v>
      </c>
      <c r="L157" s="11">
        <f>IF(S157="",((BG157-E157)/E157),((U157-E157)/E157))</f>
        <v>-3.5746313395791977E-2</v>
      </c>
      <c r="M157" s="3" t="str">
        <f>IF(S157="Churn","Churn",VLOOKUP(A157,'[1]Revenue_Engine_2025 Dec.25'!$C$14:$E$3993,3,0))</f>
        <v>Teknoloji</v>
      </c>
      <c r="N157" s="3">
        <f>IF(S157="",VLOOKUP(A157,[3]Export!$B$2:$F$417,5,0),"CHURN")</f>
        <v>0</v>
      </c>
      <c r="O157" s="3">
        <f>(1-N157)*H157</f>
        <v>1694.8540661165737</v>
      </c>
      <c r="P157" s="3">
        <f t="shared" si="17"/>
        <v>1667.172375620605</v>
      </c>
      <c r="Q157" s="3">
        <f t="shared" si="16"/>
        <v>1975.3365126844824</v>
      </c>
      <c r="R157" s="3" t="str">
        <f>IF(S157&lt;&gt;"Churn",VLOOKUP(A157,[3]Export!$B$2:$O$417,8,0),"CHURN")</f>
        <v>NO RISK</v>
      </c>
      <c r="S157" s="3"/>
      <c r="T157" s="3"/>
      <c r="U157" s="3" t="s">
        <v>551</v>
      </c>
      <c r="V157" s="4" t="str" cm="1">
        <f t="array" ref="V157">IFERROR(
    IF(
        MATCH(2,1/((Y157:BH157&lt;&gt;0)*(Y157:BH157&lt;&gt;"")))-MATCH(1,INDEX((Y157:BH157&lt;&gt;0)*(Y157:BH157&lt;&gt;""),0),0)+1 &lt;= 12,
        "No",
        "Yes"
    ),
    "No"
)</f>
        <v>Yes</v>
      </c>
      <c r="W157" s="4" t="str" cm="1">
        <f t="array" ref="W157">IFERROR(
    IF(
        MATCH(2,1/((Y157:BH157&lt;&gt;0)*(Y157:BH157&lt;&gt;"")))-MATCH(1,INDEX((Y157:BH157&lt;&gt;0)*(Y157:BH157&lt;&gt;""),0),0)+1 &lt;= 24,
        "No",
        "Yes"
    ),
    "No"
)</f>
        <v>Yes</v>
      </c>
      <c r="X157" s="3"/>
      <c r="Y157" s="4">
        <v>1739.2322331981045</v>
      </c>
      <c r="Z157" s="4">
        <v>1733.189542969767</v>
      </c>
      <c r="AA157" s="4">
        <v>1720.4486608202246</v>
      </c>
      <c r="AB157" s="4">
        <v>1720.165647127074</v>
      </c>
      <c r="AC157" s="4">
        <v>1682.6014675393305</v>
      </c>
      <c r="AD157" s="4">
        <v>1415.9304246008683</v>
      </c>
      <c r="AE157" s="4">
        <v>1512.568405345937</v>
      </c>
      <c r="AF157" s="4">
        <v>1486.2198182007335</v>
      </c>
      <c r="AG157" s="4">
        <v>1707.5792566622001</v>
      </c>
      <c r="AH157" s="4">
        <v>1680.2865472515323</v>
      </c>
      <c r="AI157" s="4">
        <v>1634.0292719073295</v>
      </c>
      <c r="AJ157" s="4">
        <v>1666.4988919005489</v>
      </c>
      <c r="AK157" s="4">
        <v>1667.172375620605</v>
      </c>
      <c r="AL157" s="4">
        <v>1628.8656105641742</v>
      </c>
      <c r="AM157" s="4">
        <v>1566.5038929200271</v>
      </c>
      <c r="AN157" s="4">
        <v>1550.9016807126707</v>
      </c>
      <c r="AO157" s="4">
        <v>1553.1563114079363</v>
      </c>
      <c r="AP157" s="4">
        <v>1540.0058075176948</v>
      </c>
      <c r="AQ157" s="4">
        <v>1522.1668525232967</v>
      </c>
      <c r="AR157" s="4">
        <v>1489.3980016740841</v>
      </c>
      <c r="AS157" s="4">
        <v>1472.3459352933207</v>
      </c>
      <c r="AT157" s="4">
        <v>1463.2414482290385</v>
      </c>
      <c r="AU157" s="4">
        <v>1455.1757577830099</v>
      </c>
      <c r="AV157" s="4">
        <v>1432.549381568241</v>
      </c>
      <c r="AW157" s="4">
        <v>1975.3365126844824</v>
      </c>
      <c r="AX157" s="4">
        <v>1940.514602901347</v>
      </c>
      <c r="AY157" s="4">
        <v>1892.1012657889116</v>
      </c>
      <c r="AZ157" s="4">
        <v>1860.4990941904118</v>
      </c>
      <c r="BA157" s="4">
        <v>1829.3090223593745</v>
      </c>
      <c r="BB157" s="4">
        <v>1798.2508046359887</v>
      </c>
      <c r="BC157" s="4">
        <v>1763.66112410969</v>
      </c>
      <c r="BD157" s="4">
        <v>1736.4996272369222</v>
      </c>
      <c r="BE157" s="4">
        <v>1715.4803010581059</v>
      </c>
      <c r="BF157" s="4">
        <v>1694.8540661165737</v>
      </c>
      <c r="BG157" s="4">
        <v>1677.0610927221419</v>
      </c>
      <c r="BH157" s="4">
        <v>1660.7134874049234</v>
      </c>
      <c r="BJ157" s="9"/>
    </row>
    <row r="158" spans="1:62" x14ac:dyDescent="0.25">
      <c r="A158" s="6" t="s">
        <v>151</v>
      </c>
      <c r="B158" s="6"/>
      <c r="C158" s="7" t="s">
        <v>526</v>
      </c>
      <c r="D158" s="3"/>
      <c r="E158" s="3">
        <f>VLOOKUP(A158,[2]Sheet1!$A$2:$E$627,5,0)</f>
        <v>26.874725676989211</v>
      </c>
      <c r="F158" s="3">
        <f>VLOOKUP(A158,[2]Sheet1!$A$2:$F$627,6,0)</f>
        <v>26.100972850653587</v>
      </c>
      <c r="G158" s="3">
        <f>VLOOKUP(A158,[2]Sheet1!$A$2:$G$627,7,0)</f>
        <v>37.718898561766892</v>
      </c>
      <c r="H158" s="4">
        <f t="shared" si="12"/>
        <v>0</v>
      </c>
      <c r="I158" s="11">
        <f t="shared" si="13"/>
        <v>-2.8791096721710159E-2</v>
      </c>
      <c r="J158" s="11">
        <f t="shared" si="14"/>
        <v>0.40350822609745646</v>
      </c>
      <c r="K158" s="11">
        <f t="shared" si="15"/>
        <v>0.44511466210817441</v>
      </c>
      <c r="L158" s="11">
        <f>IF(S158="",((BG158-E158)/E158),((U158-E158)/E158))</f>
        <v>0.56406290514217161</v>
      </c>
      <c r="M158" s="3" t="str">
        <f>IF(S158="Churn","Churn",VLOOKUP(A158,'[1]Revenue_Engine_2025 Dec.25'!$C$14:$E$3993,3,0))</f>
        <v>Churn</v>
      </c>
      <c r="N158" s="3" t="str">
        <f>IF(S158="",VLOOKUP(A158,[3]Export!$B$2:$F$417,5,0),"CHURN")</f>
        <v>CHURN</v>
      </c>
      <c r="O158" s="3" t="e">
        <f>(1-N158)*H158</f>
        <v>#VALUE!</v>
      </c>
      <c r="P158" s="3" t="e">
        <f t="shared" si="17"/>
        <v>#VALUE!</v>
      </c>
      <c r="Q158" s="3" t="e">
        <f t="shared" si="16"/>
        <v>#VALUE!</v>
      </c>
      <c r="R158" s="3" t="str">
        <f>IF(S158&lt;&gt;"Churn",VLOOKUP(A158,[3]Export!$B$2:$O$417,8,0),"CHURN")</f>
        <v>CHURN</v>
      </c>
      <c r="S158" s="3" t="s">
        <v>372</v>
      </c>
      <c r="T158" s="3" t="s">
        <v>552</v>
      </c>
      <c r="U158" s="3">
        <v>42.03376151725066</v>
      </c>
      <c r="V158" s="4" t="str" cm="1">
        <f t="array" ref="V158">IFERROR(
    IF(
        MATCH(2,1/((Y158:BH158&lt;&gt;0)*(Y158:BH158&lt;&gt;"")))-MATCH(1,INDEX((Y158:BH158&lt;&gt;0)*(Y158:BH158&lt;&gt;""),0),0)+1 &lt;= 12,
        "No",
        "Yes"
    ),
    "No"
)</f>
        <v>Yes</v>
      </c>
      <c r="W158" s="4" t="str" cm="1">
        <f t="array" ref="W158">IFERROR(
    IF(
        MATCH(2,1/((Y158:BH158&lt;&gt;0)*(Y158:BH158&lt;&gt;"")))-MATCH(1,INDEX((Y158:BH158&lt;&gt;0)*(Y158:BH158&lt;&gt;""),0),0)+1 &lt;= 24,
        "No",
        "Yes"
    ),
    "No"
)</f>
        <v>Yes</v>
      </c>
      <c r="X158" s="3"/>
      <c r="Y158" s="4">
        <v>26.874725676989211</v>
      </c>
      <c r="Z158" s="4">
        <v>26.781353648149231</v>
      </c>
      <c r="AA158" s="4">
        <v>26.584480737150923</v>
      </c>
      <c r="AB158" s="4">
        <v>40.546338549301339</v>
      </c>
      <c r="AC158" s="4">
        <v>39.77761629876553</v>
      </c>
      <c r="AD158" s="4">
        <v>33.451491686893895</v>
      </c>
      <c r="AE158" s="4">
        <v>29.645472528665547</v>
      </c>
      <c r="AF158" s="4">
        <v>29.084600627423587</v>
      </c>
      <c r="AG158" s="4">
        <v>29.057609762193771</v>
      </c>
      <c r="AH158" s="4">
        <v>28.161995316117686</v>
      </c>
      <c r="AI158" s="4">
        <v>27.386712568237186</v>
      </c>
      <c r="AJ158" s="4">
        <v>26.959999265262169</v>
      </c>
      <c r="AK158" s="4">
        <v>26.100972850653587</v>
      </c>
      <c r="AL158" s="4">
        <v>25.501256398729048</v>
      </c>
      <c r="AM158" s="4">
        <v>38.546451032117517</v>
      </c>
      <c r="AN158" s="4">
        <v>38.162532478476059</v>
      </c>
      <c r="AO158" s="4">
        <v>38.218019983950711</v>
      </c>
      <c r="AP158" s="4">
        <v>38.89442974594003</v>
      </c>
      <c r="AQ158" s="4">
        <v>38.455472293002998</v>
      </c>
      <c r="AR158" s="4">
        <v>37.649139673801884</v>
      </c>
      <c r="AS158" s="4">
        <v>37.229544936993392</v>
      </c>
      <c r="AT158" s="4">
        <v>37.005513739353702</v>
      </c>
      <c r="AU158" s="4">
        <v>36.807043877443121</v>
      </c>
      <c r="AV158" s="4">
        <v>36.250283883623474</v>
      </c>
      <c r="AW158" s="4">
        <v>37.718898561766892</v>
      </c>
      <c r="AX158" s="4">
        <v>37.106867158818211</v>
      </c>
      <c r="AY158" s="4">
        <v>0</v>
      </c>
      <c r="AZ158" s="4">
        <v>0</v>
      </c>
      <c r="BA158" s="4">
        <v>42.03376151725066</v>
      </c>
      <c r="BB158" s="4">
        <v>41.320107508562799</v>
      </c>
      <c r="BC158" s="4">
        <v>40.525307742952336</v>
      </c>
      <c r="BD158" s="4">
        <v>0</v>
      </c>
      <c r="BE158" s="4">
        <v>0</v>
      </c>
      <c r="BF158" s="4">
        <v>0</v>
      </c>
      <c r="BG158" s="4">
        <v>0</v>
      </c>
      <c r="BH158" s="4">
        <v>0</v>
      </c>
      <c r="BJ158" s="9"/>
    </row>
    <row r="159" spans="1:62" x14ac:dyDescent="0.25">
      <c r="A159" s="6" t="s">
        <v>152</v>
      </c>
      <c r="B159" s="6"/>
      <c r="C159" s="7" t="s">
        <v>526</v>
      </c>
      <c r="D159" s="3"/>
      <c r="E159" s="3">
        <f>VLOOKUP(A159,[2]Sheet1!$A$2:$E$627,5,0)</f>
        <v>171.19747977283959</v>
      </c>
      <c r="F159" s="3">
        <f>VLOOKUP(A159,[2]Sheet1!$A$2:$F$627,6,0)</f>
        <v>236.13296209850327</v>
      </c>
      <c r="G159" s="3">
        <f>VLOOKUP(A159,[2]Sheet1!$A$2:$G$627,7,0)</f>
        <v>201.2265870417925</v>
      </c>
      <c r="H159" s="4">
        <f t="shared" si="12"/>
        <v>219.77680580353396</v>
      </c>
      <c r="I159" s="11">
        <f t="shared" si="13"/>
        <v>0.37930162530328132</v>
      </c>
      <c r="J159" s="11">
        <f t="shared" si="14"/>
        <v>0.17540624610127595</v>
      </c>
      <c r="K159" s="11">
        <f t="shared" si="15"/>
        <v>-0.14782508442065584</v>
      </c>
      <c r="L159" s="11">
        <f>IF(S159="",((BG159-E159)/E159),((U159-E159)/E159))</f>
        <v>0.27083659181666647</v>
      </c>
      <c r="M159" s="3" t="str">
        <f>IF(S159="Churn","Churn",VLOOKUP(A159,'[1]Revenue_Engine_2025 Dec.25'!$C$14:$E$3993,3,0))</f>
        <v>Genel</v>
      </c>
      <c r="N159" s="3">
        <f>IF(S159="",VLOOKUP(A159,[3]Export!$B$2:$F$417,5,0),"CHURN")</f>
        <v>0.17846443309255491</v>
      </c>
      <c r="O159" s="3">
        <f>(1-N159)*H159</f>
        <v>180.55446274891375</v>
      </c>
      <c r="P159" s="3">
        <f t="shared" si="17"/>
        <v>193.99162688312813</v>
      </c>
      <c r="Q159" s="3">
        <f t="shared" si="16"/>
        <v>165.31479826222935</v>
      </c>
      <c r="R159" s="3" t="str">
        <f>IF(S159&lt;&gt;"Churn",VLOOKUP(A159,[3]Export!$B$2:$O$417,8,0),"CHURN")</f>
        <v>NO RISK</v>
      </c>
      <c r="S159" s="3"/>
      <c r="T159" s="3"/>
      <c r="U159" s="3" t="s">
        <v>551</v>
      </c>
      <c r="V159" s="4" t="str" cm="1">
        <f t="array" ref="V159">IFERROR(
    IF(
        MATCH(2,1/((Y159:BH159&lt;&gt;0)*(Y159:BH159&lt;&gt;"")))-MATCH(1,INDEX((Y159:BH159&lt;&gt;0)*(Y159:BH159&lt;&gt;""),0),0)+1 &lt;= 12,
        "No",
        "Yes"
    ),
    "No"
)</f>
        <v>Yes</v>
      </c>
      <c r="W159" s="4" t="str" cm="1">
        <f t="array" ref="W159">IFERROR(
    IF(
        MATCH(2,1/((Y159:BH159&lt;&gt;0)*(Y159:BH159&lt;&gt;"")))-MATCH(1,INDEX((Y159:BH159&lt;&gt;0)*(Y159:BH159&lt;&gt;""),0),0)+1 &lt;= 24,
        "No",
        "Yes"
    ),
    "No"
)</f>
        <v>Yes</v>
      </c>
      <c r="X159" s="3"/>
      <c r="Y159" s="4">
        <v>132.14950182052746</v>
      </c>
      <c r="Z159" s="4">
        <v>171.19747977283959</v>
      </c>
      <c r="AA159" s="4">
        <v>169.93898676904092</v>
      </c>
      <c r="AB159" s="4">
        <v>175.91978183061312</v>
      </c>
      <c r="AC159" s="4">
        <v>172.75462681409815</v>
      </c>
      <c r="AD159" s="4">
        <v>146.7115334518478</v>
      </c>
      <c r="AE159" s="4">
        <v>178.58835493900793</v>
      </c>
      <c r="AF159" s="4">
        <v>175.37986018584911</v>
      </c>
      <c r="AG159" s="4">
        <v>175.22545763995348</v>
      </c>
      <c r="AH159" s="4">
        <v>170.10205201965888</v>
      </c>
      <c r="AI159" s="4">
        <v>165.66700968061321</v>
      </c>
      <c r="AJ159" s="4">
        <v>243.60828553519343</v>
      </c>
      <c r="AK159" s="4">
        <v>236.13296209850327</v>
      </c>
      <c r="AL159" s="4">
        <v>230.91417677106617</v>
      </c>
      <c r="AM159" s="4">
        <v>222.41811107769243</v>
      </c>
      <c r="AN159" s="4">
        <v>220.29248938407477</v>
      </c>
      <c r="AO159" s="4">
        <v>220.59990681059253</v>
      </c>
      <c r="AP159" s="4">
        <v>218.80840227428132</v>
      </c>
      <c r="AQ159" s="4">
        <v>216.37804608513787</v>
      </c>
      <c r="AR159" s="4">
        <v>211.91366016693181</v>
      </c>
      <c r="AS159" s="4">
        <v>209.59051588072816</v>
      </c>
      <c r="AT159" s="4">
        <v>208.35013227706781</v>
      </c>
      <c r="AU159" s="4">
        <v>207.25127298814613</v>
      </c>
      <c r="AV159" s="4">
        <v>204.16868460410055</v>
      </c>
      <c r="AW159" s="4">
        <v>201.2265870417925</v>
      </c>
      <c r="AX159" s="4">
        <v>197.83797989626564</v>
      </c>
      <c r="AY159" s="4">
        <v>193.12671579823711</v>
      </c>
      <c r="AZ159" s="4">
        <v>188.20811876994475</v>
      </c>
      <c r="BA159" s="4">
        <v>185.20380981080928</v>
      </c>
      <c r="BB159" s="4">
        <v>182.21220138276149</v>
      </c>
      <c r="BC159" s="4">
        <v>178.88043325918244</v>
      </c>
      <c r="BD159" s="4">
        <v>176.2641671332037</v>
      </c>
      <c r="BE159" s="4">
        <v>222.34194223837221</v>
      </c>
      <c r="BF159" s="4">
        <v>219.77680580353396</v>
      </c>
      <c r="BG159" s="4">
        <v>217.56402172211816</v>
      </c>
      <c r="BH159" s="4">
        <v>215.53098766910654</v>
      </c>
      <c r="BJ159" s="9"/>
    </row>
    <row r="160" spans="1:62" x14ac:dyDescent="0.25">
      <c r="A160" s="6" t="s">
        <v>153</v>
      </c>
      <c r="B160" s="6"/>
      <c r="C160" s="7" t="s">
        <v>526</v>
      </c>
      <c r="D160" s="3"/>
      <c r="E160" s="3">
        <f>VLOOKUP(A160,[2]Sheet1!$A$2:$E$627,5,0)</f>
        <v>22.323333333333334</v>
      </c>
      <c r="F160" s="3">
        <f>VLOOKUP(A160,[2]Sheet1!$A$2:$F$627,6,0)</f>
        <v>22.323333333333331</v>
      </c>
      <c r="G160" s="3">
        <f>VLOOKUP(A160,[2]Sheet1!$A$2:$G$627,7,0)</f>
        <v>23.973333333333329</v>
      </c>
      <c r="H160" s="4">
        <f t="shared" si="12"/>
        <v>27.234466666666666</v>
      </c>
      <c r="I160" s="11">
        <f t="shared" si="13"/>
        <v>-1.5914799218159626E-16</v>
      </c>
      <c r="J160" s="11">
        <f t="shared" si="14"/>
        <v>7.3913692698222858E-2</v>
      </c>
      <c r="K160" s="11">
        <f t="shared" si="15"/>
        <v>7.3913692698223024E-2</v>
      </c>
      <c r="L160" s="11">
        <f>IF(S160="",((BG160-E160)/E160),((U160-E160)/E160))</f>
        <v>0.21999999999999995</v>
      </c>
      <c r="M160" s="3" t="str">
        <f>IF(S160="Churn","Churn",VLOOKUP(A160,'[1]Revenue_Engine_2025 Dec.25'!$C$14:$E$3993,3,0))</f>
        <v>Diğer</v>
      </c>
      <c r="N160" s="3">
        <f>IF(S160="",VLOOKUP(A160,[3]Export!$B$2:$F$417,5,0),"CHURN")</f>
        <v>1</v>
      </c>
      <c r="O160" s="3">
        <f>(1-N160)*H160</f>
        <v>0</v>
      </c>
      <c r="P160" s="3">
        <f t="shared" si="17"/>
        <v>0</v>
      </c>
      <c r="Q160" s="3">
        <f t="shared" si="16"/>
        <v>0</v>
      </c>
      <c r="R160" s="3" t="str">
        <f>IF(S160&lt;&gt;"Churn",VLOOKUP(A160,[3]Export!$B$2:$O$417,8,0),"CHURN")</f>
        <v>NO RISK</v>
      </c>
      <c r="S160" s="3"/>
      <c r="T160" s="3"/>
      <c r="U160" s="3" t="s">
        <v>551</v>
      </c>
      <c r="V160" s="4" t="str" cm="1">
        <f t="array" ref="V160">IFERROR(
    IF(
        MATCH(2,1/((Y160:BH160&lt;&gt;0)*(Y160:BH160&lt;&gt;"")))-MATCH(1,INDEX((Y160:BH160&lt;&gt;0)*(Y160:BH160&lt;&gt;""),0),0)+1 &lt;= 12,
        "No",
        "Yes"
    ),
    "No"
)</f>
        <v>Yes</v>
      </c>
      <c r="W160" s="4" t="str" cm="1">
        <f t="array" ref="W160">IFERROR(
    IF(
        MATCH(2,1/((Y160:BH160&lt;&gt;0)*(Y160:BH160&lt;&gt;"")))-MATCH(1,INDEX((Y160:BH160&lt;&gt;0)*(Y160:BH160&lt;&gt;""),0),0)+1 &lt;= 24,
        "No",
        "Yes"
    ),
    "No"
)</f>
        <v>Yes</v>
      </c>
      <c r="X160" s="3"/>
      <c r="Y160" s="4">
        <v>22.323333333333334</v>
      </c>
      <c r="Z160" s="4">
        <v>22.323333333333334</v>
      </c>
      <c r="AA160" s="4">
        <v>22.323333333333334</v>
      </c>
      <c r="AB160" s="4">
        <v>22.323333333333334</v>
      </c>
      <c r="AC160" s="4">
        <v>22.323333333333331</v>
      </c>
      <c r="AD160" s="4">
        <v>22.323333333333331</v>
      </c>
      <c r="AE160" s="4">
        <v>22.323333333333331</v>
      </c>
      <c r="AF160" s="4">
        <v>22.323333333333331</v>
      </c>
      <c r="AG160" s="4">
        <v>22.323333333333331</v>
      </c>
      <c r="AH160" s="4">
        <v>22.323333333333331</v>
      </c>
      <c r="AI160" s="4">
        <v>22.323333333333331</v>
      </c>
      <c r="AJ160" s="4">
        <v>22.323333333333331</v>
      </c>
      <c r="AK160" s="4">
        <v>22.323333333333331</v>
      </c>
      <c r="AL160" s="4">
        <v>22.323333333333331</v>
      </c>
      <c r="AM160" s="4">
        <v>23.973333333333329</v>
      </c>
      <c r="AN160" s="4">
        <v>23.973333333333329</v>
      </c>
      <c r="AO160" s="4">
        <v>23.973333333333329</v>
      </c>
      <c r="AP160" s="4">
        <v>23.973333333333329</v>
      </c>
      <c r="AQ160" s="4">
        <v>23.973333333333329</v>
      </c>
      <c r="AR160" s="4">
        <v>23.973333333333329</v>
      </c>
      <c r="AS160" s="4">
        <v>23.973333333333329</v>
      </c>
      <c r="AT160" s="4">
        <v>23.973333333333329</v>
      </c>
      <c r="AU160" s="4">
        <v>23.973333333333329</v>
      </c>
      <c r="AV160" s="4">
        <v>23.973333333333329</v>
      </c>
      <c r="AW160" s="4">
        <v>23.973333333333329</v>
      </c>
      <c r="AX160" s="4">
        <v>28.884466666666665</v>
      </c>
      <c r="AY160" s="4">
        <v>28.884466666666665</v>
      </c>
      <c r="AZ160" s="4">
        <v>28.884466666666665</v>
      </c>
      <c r="BA160" s="4">
        <v>27.234466666666666</v>
      </c>
      <c r="BB160" s="4">
        <v>27.234466666666666</v>
      </c>
      <c r="BC160" s="4">
        <v>27.234466666666666</v>
      </c>
      <c r="BD160" s="4">
        <v>27.234466666666666</v>
      </c>
      <c r="BE160" s="4">
        <v>27.234466666666666</v>
      </c>
      <c r="BF160" s="4">
        <v>27.234466666666666</v>
      </c>
      <c r="BG160" s="4">
        <v>27.234466666666666</v>
      </c>
      <c r="BH160" s="4">
        <v>27.234466666666666</v>
      </c>
      <c r="BJ160" s="9"/>
    </row>
    <row r="161" spans="1:62" x14ac:dyDescent="0.25">
      <c r="A161" s="6" t="s">
        <v>154</v>
      </c>
      <c r="B161" s="6"/>
      <c r="C161" s="7" t="s">
        <v>526</v>
      </c>
      <c r="D161" s="3"/>
      <c r="E161" s="3">
        <f>VLOOKUP(A161,[2]Sheet1!$A$2:$E$627,5,0)</f>
        <v>49</v>
      </c>
      <c r="F161" s="3">
        <f>VLOOKUP(A161,[2]Sheet1!$A$2:$F$627,6,0)</f>
        <v>49</v>
      </c>
      <c r="G161" s="3">
        <f>VLOOKUP(A161,[2]Sheet1!$A$2:$G$627,7,0)</f>
        <v>61.5</v>
      </c>
      <c r="H161" s="4">
        <f t="shared" si="12"/>
        <v>66.5</v>
      </c>
      <c r="I161" s="11">
        <f t="shared" si="13"/>
        <v>0</v>
      </c>
      <c r="J161" s="11">
        <f t="shared" si="14"/>
        <v>0.25510204081632654</v>
      </c>
      <c r="K161" s="11">
        <f t="shared" si="15"/>
        <v>0.25510204081632654</v>
      </c>
      <c r="L161" s="11">
        <f>IF(S161="",((BG161-E161)/E161),((U161-E161)/E161))</f>
        <v>0.25510204081632654</v>
      </c>
      <c r="M161" s="3" t="str">
        <f>IF(S161="Churn","Churn",VLOOKUP(A161,'[1]Revenue_Engine_2025 Dec.25'!$C$14:$E$3993,3,0))</f>
        <v>Diğer</v>
      </c>
      <c r="N161" s="3">
        <f>IF(S161="",VLOOKUP(A161,[3]Export!$B$2:$F$417,5,0),"CHURN")</f>
        <v>1</v>
      </c>
      <c r="O161" s="3">
        <f>(1-N161)*H161</f>
        <v>0</v>
      </c>
      <c r="P161" s="3">
        <f t="shared" si="17"/>
        <v>0</v>
      </c>
      <c r="Q161" s="3">
        <f t="shared" si="16"/>
        <v>0</v>
      </c>
      <c r="R161" s="3" t="str">
        <f>IF(S161&lt;&gt;"Churn",VLOOKUP(A161,[3]Export!$B$2:$O$417,8,0),"CHURN")</f>
        <v>NO RISK</v>
      </c>
      <c r="S161" s="3"/>
      <c r="T161" s="3"/>
      <c r="U161" s="3" t="s">
        <v>551</v>
      </c>
      <c r="V161" s="4" t="str" cm="1">
        <f t="array" ref="V161">IFERROR(
    IF(
        MATCH(2,1/((Y161:BH161&lt;&gt;0)*(Y161:BH161&lt;&gt;"")))-MATCH(1,INDEX((Y161:BH161&lt;&gt;0)*(Y161:BH161&lt;&gt;""),0),0)+1 &lt;= 12,
        "No",
        "Yes"
    ),
    "No"
)</f>
        <v>Yes</v>
      </c>
      <c r="W161" s="4" t="str" cm="1">
        <f t="array" ref="W161">IFERROR(
    IF(
        MATCH(2,1/((Y161:BH161&lt;&gt;0)*(Y161:BH161&lt;&gt;"")))-MATCH(1,INDEX((Y161:BH161&lt;&gt;0)*(Y161:BH161&lt;&gt;""),0),0)+1 &lt;= 24,
        "No",
        "Yes"
    ),
    "No"
)</f>
        <v>Yes</v>
      </c>
      <c r="X161" s="3"/>
      <c r="Y161" s="4">
        <v>36</v>
      </c>
      <c r="Z161" s="4">
        <v>49</v>
      </c>
      <c r="AA161" s="4">
        <v>49</v>
      </c>
      <c r="AB161" s="4">
        <v>49</v>
      </c>
      <c r="AC161" s="4">
        <v>49</v>
      </c>
      <c r="AD161" s="4">
        <v>49</v>
      </c>
      <c r="AE161" s="4">
        <v>49</v>
      </c>
      <c r="AF161" s="4">
        <v>49</v>
      </c>
      <c r="AG161" s="4">
        <v>49</v>
      </c>
      <c r="AH161" s="4">
        <v>49</v>
      </c>
      <c r="AI161" s="4">
        <v>49</v>
      </c>
      <c r="AJ161" s="4">
        <v>49</v>
      </c>
      <c r="AK161" s="4">
        <v>49</v>
      </c>
      <c r="AL161" s="4">
        <v>49</v>
      </c>
      <c r="AM161" s="4">
        <v>49</v>
      </c>
      <c r="AN161" s="4">
        <v>49</v>
      </c>
      <c r="AO161" s="4">
        <v>49</v>
      </c>
      <c r="AP161" s="4">
        <v>49</v>
      </c>
      <c r="AQ161" s="4">
        <v>49</v>
      </c>
      <c r="AR161" s="4">
        <v>49</v>
      </c>
      <c r="AS161" s="4">
        <v>49</v>
      </c>
      <c r="AT161" s="4">
        <v>49</v>
      </c>
      <c r="AU161" s="4">
        <v>49</v>
      </c>
      <c r="AV161" s="4">
        <v>61.5</v>
      </c>
      <c r="AW161" s="4">
        <v>61.5</v>
      </c>
      <c r="AX161" s="4">
        <v>61.5</v>
      </c>
      <c r="AY161" s="4">
        <v>61.5</v>
      </c>
      <c r="AZ161" s="4">
        <v>61.5</v>
      </c>
      <c r="BA161" s="4">
        <v>61.5</v>
      </c>
      <c r="BB161" s="4">
        <v>61.5</v>
      </c>
      <c r="BC161" s="4">
        <v>61.5</v>
      </c>
      <c r="BD161" s="4">
        <v>61.5</v>
      </c>
      <c r="BE161" s="4">
        <v>61.5</v>
      </c>
      <c r="BF161" s="4">
        <v>61.5</v>
      </c>
      <c r="BG161" s="4">
        <v>61.5</v>
      </c>
      <c r="BH161" s="4">
        <v>66.5</v>
      </c>
      <c r="BJ161" s="9"/>
    </row>
    <row r="162" spans="1:62" x14ac:dyDescent="0.25">
      <c r="A162" s="6" t="s">
        <v>155</v>
      </c>
      <c r="B162" s="6"/>
      <c r="C162" s="7" t="s">
        <v>525</v>
      </c>
      <c r="D162" s="3"/>
      <c r="E162" s="3">
        <f>VLOOKUP(A162,[2]Sheet1!$A$2:$E$627,5,0)</f>
        <v>3232.3893956275356</v>
      </c>
      <c r="F162" s="3">
        <f>VLOOKUP(A162,[2]Sheet1!$A$2:$F$627,6,0)</f>
        <v>2975.8339629644124</v>
      </c>
      <c r="G162" s="3">
        <f>VLOOKUP(A162,[2]Sheet1!$A$2:$G$627,7,0)</f>
        <v>5233.0901097440537</v>
      </c>
      <c r="H162" s="4">
        <f t="shared" si="12"/>
        <v>5814.8777509628217</v>
      </c>
      <c r="I162" s="11">
        <f t="shared" si="13"/>
        <v>-7.9370212329667511E-2</v>
      </c>
      <c r="J162" s="11">
        <f t="shared" si="14"/>
        <v>0.61895411388951871</v>
      </c>
      <c r="K162" s="11">
        <f t="shared" si="15"/>
        <v>0.75852892831797936</v>
      </c>
      <c r="L162" s="11">
        <f>IF(S162="",((BG162-E162)/E162),((U162-E162)/E162))</f>
        <v>0.78005527907908745</v>
      </c>
      <c r="M162" s="3" t="str">
        <f>IF(S162="Churn","Churn",VLOOKUP(A162,'[1]Revenue_Engine_2025 Dec.25'!$C$14:$E$3993,3,0))</f>
        <v>Perakende</v>
      </c>
      <c r="N162" s="3">
        <f>IF(S162="",VLOOKUP(A162,[3]Export!$B$2:$F$417,5,0),"CHURN")</f>
        <v>0.46709938146235791</v>
      </c>
      <c r="O162" s="3">
        <f>(1-N162)*H162</f>
        <v>3098.7519502088612</v>
      </c>
      <c r="P162" s="3">
        <f t="shared" si="17"/>
        <v>1585.8237595290582</v>
      </c>
      <c r="Q162" s="3">
        <f t="shared" si="16"/>
        <v>2788.7169563458237</v>
      </c>
      <c r="R162" s="3" t="str">
        <f>IF(S162&lt;&gt;"Churn",VLOOKUP(A162,[3]Export!$B$2:$O$417,8,0),"CHURN")</f>
        <v>HIGH RISK</v>
      </c>
      <c r="S162" s="3"/>
      <c r="T162" s="3"/>
      <c r="U162" s="3" t="s">
        <v>551</v>
      </c>
      <c r="V162" s="4" t="str" cm="1">
        <f t="array" ref="V162">IFERROR(
    IF(
        MATCH(2,1/((Y162:BH162&lt;&gt;0)*(Y162:BH162&lt;&gt;"")))-MATCH(1,INDEX((Y162:BH162&lt;&gt;0)*(Y162:BH162&lt;&gt;""),0),0)+1 &lt;= 12,
        "No",
        "Yes"
    ),
    "No"
)</f>
        <v>Yes</v>
      </c>
      <c r="W162" s="4" t="str" cm="1">
        <f t="array" ref="W162">IFERROR(
    IF(
        MATCH(2,1/((Y162:BH162&lt;&gt;0)*(Y162:BH162&lt;&gt;"")))-MATCH(1,INDEX((Y162:BH162&lt;&gt;0)*(Y162:BH162&lt;&gt;""),0),0)+1 &lt;= 24,
        "No",
        "Yes"
    ),
    "No"
)</f>
        <v>Yes</v>
      </c>
      <c r="X162" s="3"/>
      <c r="Y162" s="4">
        <v>3232.3893956275356</v>
      </c>
      <c r="Z162" s="4">
        <v>3224.9807423620223</v>
      </c>
      <c r="AA162" s="4">
        <v>3209.3597565798841</v>
      </c>
      <c r="AB162" s="4">
        <v>4044.1913304603204</v>
      </c>
      <c r="AC162" s="4">
        <v>3987.3362476212042</v>
      </c>
      <c r="AD162" s="4">
        <v>3519.4663482912038</v>
      </c>
      <c r="AE162" s="4">
        <v>3237.9793543317996</v>
      </c>
      <c r="AF162" s="4">
        <v>3196.4981796678271</v>
      </c>
      <c r="AG162" s="4">
        <v>3194.5020310915206</v>
      </c>
      <c r="AH162" s="4">
        <v>3128.2638400083388</v>
      </c>
      <c r="AI162" s="4">
        <v>3070.9251860567474</v>
      </c>
      <c r="AJ162" s="4">
        <v>3039.3661626130879</v>
      </c>
      <c r="AK162" s="4">
        <v>2975.8339629644124</v>
      </c>
      <c r="AL162" s="4">
        <v>2931.4799073634258</v>
      </c>
      <c r="AM162" s="4">
        <v>2859.2724976866239</v>
      </c>
      <c r="AN162" s="4">
        <v>2841.2070021986765</v>
      </c>
      <c r="AO162" s="4">
        <v>2843.8175948576527</v>
      </c>
      <c r="AP162" s="4">
        <v>5711.7297418025473</v>
      </c>
      <c r="AQ162" s="4">
        <v>5645.5668161130543</v>
      </c>
      <c r="AR162" s="4">
        <v>5524.0303783369973</v>
      </c>
      <c r="AS162" s="4">
        <v>5460.7859449519128</v>
      </c>
      <c r="AT162" s="4">
        <v>5427.0182998592372</v>
      </c>
      <c r="AU162" s="4">
        <v>5397.1034490295424</v>
      </c>
      <c r="AV162" s="4">
        <v>5313.1844499295185</v>
      </c>
      <c r="AW162" s="4">
        <v>5233.0901097440537</v>
      </c>
      <c r="AX162" s="4">
        <v>5203.2138811406903</v>
      </c>
      <c r="AY162" s="4">
        <v>5073.4000254082212</v>
      </c>
      <c r="AZ162" s="4">
        <v>4937.8737375464671</v>
      </c>
      <c r="BA162" s="4">
        <v>4855.0934572186843</v>
      </c>
      <c r="BB162" s="4">
        <v>6091.8127703288574</v>
      </c>
      <c r="BC162" s="4">
        <v>6050.9480054066998</v>
      </c>
      <c r="BD162" s="4">
        <v>5957.7595787416267</v>
      </c>
      <c r="BE162" s="4">
        <v>5885.6443361488045</v>
      </c>
      <c r="BF162" s="4">
        <v>5814.8777509628217</v>
      </c>
      <c r="BG162" s="4">
        <v>5753.8318077260556</v>
      </c>
      <c r="BH162" s="4">
        <v>5697.7447803288087</v>
      </c>
      <c r="BJ162" s="9"/>
    </row>
    <row r="163" spans="1:62" x14ac:dyDescent="0.25">
      <c r="A163" s="6" t="s">
        <v>156</v>
      </c>
      <c r="B163" s="6"/>
      <c r="C163" s="7" t="s">
        <v>526</v>
      </c>
      <c r="D163" s="3"/>
      <c r="E163" s="3">
        <f>VLOOKUP(A163,[2]Sheet1!$A$2:$E$627,5,0)</f>
        <v>311.62</v>
      </c>
      <c r="F163" s="3">
        <f>VLOOKUP(A163,[2]Sheet1!$A$2:$F$627,6,0)</f>
        <v>311.62</v>
      </c>
      <c r="G163" s="3">
        <f>VLOOKUP(A163,[2]Sheet1!$A$2:$G$627,7,0)</f>
        <v>354.12</v>
      </c>
      <c r="H163" s="4">
        <f t="shared" si="12"/>
        <v>158.34</v>
      </c>
      <c r="I163" s="11">
        <f t="shared" si="13"/>
        <v>0</v>
      </c>
      <c r="J163" s="11">
        <f t="shared" si="14"/>
        <v>0.13638405750593671</v>
      </c>
      <c r="K163" s="11">
        <f t="shared" si="15"/>
        <v>0.13638405750593671</v>
      </c>
      <c r="L163" s="11">
        <f>IF(S163="",((BG163-E163)/E163),((U163-E163)/E163))</f>
        <v>-0.49188113728258775</v>
      </c>
      <c r="M163" s="3" t="str">
        <f>IF(S163="Churn","Churn",VLOOKUP(A163,'[1]Revenue_Engine_2025 Dec.25'!$C$14:$E$3993,3,0))</f>
        <v>Genel</v>
      </c>
      <c r="N163" s="3">
        <f>IF(S163="",VLOOKUP(A163,[3]Export!$B$2:$F$417,5,0),"CHURN")</f>
        <v>1</v>
      </c>
      <c r="O163" s="3">
        <f>(1-N163)*H163</f>
        <v>0</v>
      </c>
      <c r="P163" s="3">
        <f t="shared" si="17"/>
        <v>0</v>
      </c>
      <c r="Q163" s="3">
        <f t="shared" si="16"/>
        <v>0</v>
      </c>
      <c r="R163" s="3" t="str">
        <f>IF(S163&lt;&gt;"Churn",VLOOKUP(A163,[3]Export!$B$2:$O$417,8,0),"CHURN")</f>
        <v>NO RISK</v>
      </c>
      <c r="S163" s="3"/>
      <c r="T163" s="3"/>
      <c r="U163" s="3" t="s">
        <v>551</v>
      </c>
      <c r="V163" s="4" t="str" cm="1">
        <f t="array" ref="V163">IFERROR(
    IF(
        MATCH(2,1/((Y163:BH163&lt;&gt;0)*(Y163:BH163&lt;&gt;"")))-MATCH(1,INDEX((Y163:BH163&lt;&gt;0)*(Y163:BH163&lt;&gt;""),0),0)+1 &lt;= 12,
        "No",
        "Yes"
    ),
    "No"
)</f>
        <v>Yes</v>
      </c>
      <c r="W163" s="4" t="str" cm="1">
        <f t="array" ref="W163">IFERROR(
    IF(
        MATCH(2,1/((Y163:BH163&lt;&gt;0)*(Y163:BH163&lt;&gt;"")))-MATCH(1,INDEX((Y163:BH163&lt;&gt;0)*(Y163:BH163&lt;&gt;""),0),0)+1 &lt;= 24,
        "No",
        "Yes"
    ),
    "No"
)</f>
        <v>Yes</v>
      </c>
      <c r="X163" s="3"/>
      <c r="Y163" s="4">
        <v>311.62</v>
      </c>
      <c r="Z163" s="4">
        <v>311.62</v>
      </c>
      <c r="AA163" s="4">
        <v>311.62</v>
      </c>
      <c r="AB163" s="4">
        <v>311.62</v>
      </c>
      <c r="AC163" s="4">
        <v>311.62</v>
      </c>
      <c r="AD163" s="4">
        <v>311.62</v>
      </c>
      <c r="AE163" s="4">
        <v>311.62</v>
      </c>
      <c r="AF163" s="4">
        <v>311.62</v>
      </c>
      <c r="AG163" s="4">
        <v>311.62</v>
      </c>
      <c r="AH163" s="4">
        <v>311.62</v>
      </c>
      <c r="AI163" s="4">
        <v>311.62</v>
      </c>
      <c r="AJ163" s="4">
        <v>311.62</v>
      </c>
      <c r="AK163" s="4">
        <v>311.62</v>
      </c>
      <c r="AL163" s="4">
        <v>324.12</v>
      </c>
      <c r="AM163" s="4">
        <v>411.62</v>
      </c>
      <c r="AN163" s="4">
        <v>424.12</v>
      </c>
      <c r="AO163" s="4">
        <v>424.12</v>
      </c>
      <c r="AP163" s="4">
        <v>436.62</v>
      </c>
      <c r="AQ163" s="4">
        <v>436.62</v>
      </c>
      <c r="AR163" s="4">
        <v>449.12</v>
      </c>
      <c r="AS163" s="4">
        <v>574.12</v>
      </c>
      <c r="AT163" s="4">
        <v>574.12</v>
      </c>
      <c r="AU163" s="4">
        <v>599.12</v>
      </c>
      <c r="AV163" s="4">
        <v>599.12</v>
      </c>
      <c r="AW163" s="4">
        <v>354.12</v>
      </c>
      <c r="AX163" s="4">
        <v>354.12</v>
      </c>
      <c r="AY163" s="4">
        <v>354.12</v>
      </c>
      <c r="AZ163" s="4">
        <v>354.12</v>
      </c>
      <c r="BA163" s="4">
        <v>354.12</v>
      </c>
      <c r="BB163" s="4">
        <v>354.12</v>
      </c>
      <c r="BC163" s="4">
        <v>354.12</v>
      </c>
      <c r="BD163" s="4">
        <v>158.34</v>
      </c>
      <c r="BE163" s="4">
        <v>158.34</v>
      </c>
      <c r="BF163" s="4">
        <v>158.34</v>
      </c>
      <c r="BG163" s="4">
        <v>158.34</v>
      </c>
      <c r="BH163" s="4">
        <v>158.34</v>
      </c>
      <c r="BJ163" s="9"/>
    </row>
    <row r="164" spans="1:62" x14ac:dyDescent="0.25">
      <c r="A164" s="6" t="s">
        <v>157</v>
      </c>
      <c r="B164" s="6"/>
      <c r="C164" s="7" t="s">
        <v>526</v>
      </c>
      <c r="D164" s="3"/>
      <c r="E164" s="3">
        <f>VLOOKUP(A164,[2]Sheet1!$A$2:$E$627,5,0)</f>
        <v>275</v>
      </c>
      <c r="F164" s="3">
        <f>VLOOKUP(A164,[2]Sheet1!$A$2:$F$627,6,0)</f>
        <v>250</v>
      </c>
      <c r="G164" s="3">
        <f>VLOOKUP(A164,[2]Sheet1!$A$2:$G$627,7,0)</f>
        <v>0</v>
      </c>
      <c r="H164" s="4">
        <f t="shared" si="12"/>
        <v>250</v>
      </c>
      <c r="I164" s="11">
        <f t="shared" si="13"/>
        <v>-9.0909090909090912E-2</v>
      </c>
      <c r="J164" s="11">
        <f t="shared" si="14"/>
        <v>-1</v>
      </c>
      <c r="K164" s="11">
        <f t="shared" si="15"/>
        <v>-1</v>
      </c>
      <c r="L164" s="11">
        <f>IF(S164="",((BG164-E164)/E164),((U164-E164)/E164))</f>
        <v>-9.0909090909090912E-2</v>
      </c>
      <c r="M164" s="3" t="str">
        <f>IF(S164="Churn","Churn",VLOOKUP(A164,'[1]Revenue_Engine_2025 Dec.25'!$C$14:$E$3993,3,0))</f>
        <v>Genel</v>
      </c>
      <c r="N164" s="3">
        <f>IF(S164="",VLOOKUP(A164,[3]Export!$B$2:$F$417,5,0),"CHURN")</f>
        <v>0</v>
      </c>
      <c r="O164" s="3">
        <f>(1-N164)*H164</f>
        <v>250</v>
      </c>
      <c r="P164" s="3">
        <f t="shared" si="17"/>
        <v>250</v>
      </c>
      <c r="Q164" s="3">
        <f t="shared" si="16"/>
        <v>0</v>
      </c>
      <c r="R164" s="3" t="str">
        <f>IF(S164&lt;&gt;"Churn",VLOOKUP(A164,[3]Export!$B$2:$O$417,8,0),"CHURN")</f>
        <v>LOW RISK</v>
      </c>
      <c r="S164" s="3"/>
      <c r="T164" s="3"/>
      <c r="U164" s="3" t="s">
        <v>551</v>
      </c>
      <c r="V164" s="4" t="str" cm="1">
        <f t="array" ref="V164">IFERROR(
    IF(
        MATCH(2,1/((Y164:BH164&lt;&gt;0)*(Y164:BH164&lt;&gt;"")))-MATCH(1,INDEX((Y164:BH164&lt;&gt;0)*(Y164:BH164&lt;&gt;""),0),0)+1 &lt;= 12,
        "No",
        "Yes"
    ),
    "No"
)</f>
        <v>No</v>
      </c>
      <c r="W164" s="4" t="str" cm="1">
        <f t="array" ref="W164">IFERROR(
    IF(
        MATCH(2,1/((Y164:BH164&lt;&gt;0)*(Y164:BH164&lt;&gt;"")))-MATCH(1,INDEX((Y164:BH164&lt;&gt;0)*(Y164:BH164&lt;&gt;""),0),0)+1 &lt;= 24,
        "No",
        "Yes"
    ),
    "No"
)</f>
        <v>No</v>
      </c>
      <c r="X164" s="3"/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D164" s="4">
        <v>0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275</v>
      </c>
      <c r="AX164" s="4">
        <v>275</v>
      </c>
      <c r="AY164" s="4">
        <v>250</v>
      </c>
      <c r="AZ164" s="4">
        <v>250</v>
      </c>
      <c r="BA164" s="4">
        <v>250</v>
      </c>
      <c r="BB164" s="4">
        <v>250</v>
      </c>
      <c r="BC164" s="4">
        <v>250</v>
      </c>
      <c r="BD164" s="4">
        <v>250</v>
      </c>
      <c r="BE164" s="4">
        <v>250</v>
      </c>
      <c r="BF164" s="4">
        <v>250</v>
      </c>
      <c r="BG164" s="4">
        <v>250</v>
      </c>
      <c r="BH164" s="4">
        <v>250</v>
      </c>
      <c r="BJ164" s="9"/>
    </row>
    <row r="165" spans="1:62" x14ac:dyDescent="0.25">
      <c r="A165" s="6" t="s">
        <v>158</v>
      </c>
      <c r="B165" s="6"/>
      <c r="C165" s="7" t="s">
        <v>526</v>
      </c>
      <c r="D165" s="3"/>
      <c r="E165" s="3">
        <f>VLOOKUP(A165,[2]Sheet1!$A$2:$E$627,5,0)</f>
        <v>134</v>
      </c>
      <c r="F165" s="3">
        <f>VLOOKUP(A165,[2]Sheet1!$A$2:$F$627,6,0)</f>
        <v>134</v>
      </c>
      <c r="G165" s="3">
        <f>VLOOKUP(A165,[2]Sheet1!$A$2:$G$627,7,0)</f>
        <v>163.48000000000002</v>
      </c>
      <c r="H165" s="4">
        <f t="shared" si="12"/>
        <v>163.48000000000002</v>
      </c>
      <c r="I165" s="11">
        <f t="shared" si="13"/>
        <v>0</v>
      </c>
      <c r="J165" s="11">
        <f t="shared" si="14"/>
        <v>0.22000000000000014</v>
      </c>
      <c r="K165" s="11">
        <f t="shared" si="15"/>
        <v>0.22000000000000014</v>
      </c>
      <c r="L165" s="11">
        <f>IF(S165="",((BG165-E165)/E165),((U165-E165)/E165))</f>
        <v>0.22000000000000014</v>
      </c>
      <c r="M165" s="3" t="str">
        <f>IF(S165="Churn","Churn",VLOOKUP(A165,'[1]Revenue_Engine_2025 Dec.25'!$C$14:$E$3993,3,0))</f>
        <v>Genel</v>
      </c>
      <c r="N165" s="3">
        <f>IF(S165="",VLOOKUP(A165,[3]Export!$B$2:$F$417,5,0),"CHURN")</f>
        <v>0</v>
      </c>
      <c r="O165" s="3">
        <f>(1-N165)*H165</f>
        <v>163.48000000000002</v>
      </c>
      <c r="P165" s="3">
        <f t="shared" si="17"/>
        <v>134</v>
      </c>
      <c r="Q165" s="3">
        <f t="shared" si="16"/>
        <v>163.48000000000002</v>
      </c>
      <c r="R165" s="3" t="str">
        <f>IF(S165&lt;&gt;"Churn",VLOOKUP(A165,[3]Export!$B$2:$O$417,8,0),"CHURN")</f>
        <v>NO RISK</v>
      </c>
      <c r="S165" s="3"/>
      <c r="T165" s="3"/>
      <c r="U165" s="3" t="s">
        <v>551</v>
      </c>
      <c r="V165" s="4" t="str" cm="1">
        <f t="array" ref="V165">IFERROR(
    IF(
        MATCH(2,1/((Y165:BH165&lt;&gt;0)*(Y165:BH165&lt;&gt;"")))-MATCH(1,INDEX((Y165:BH165&lt;&gt;0)*(Y165:BH165&lt;&gt;""),0),0)+1 &lt;= 12,
        "No",
        "Yes"
    ),
    "No"
)</f>
        <v>Yes</v>
      </c>
      <c r="W165" s="4" t="str" cm="1">
        <f t="array" ref="W165">IFERROR(
    IF(
        MATCH(2,1/((Y165:BH165&lt;&gt;0)*(Y165:BH165&lt;&gt;"")))-MATCH(1,INDEX((Y165:BH165&lt;&gt;0)*(Y165:BH165&lt;&gt;""),0),0)+1 &lt;= 24,
        "No",
        "Yes"
    ),
    "No"
)</f>
        <v>Yes</v>
      </c>
      <c r="X165" s="3"/>
      <c r="Y165" s="4">
        <v>134</v>
      </c>
      <c r="Z165" s="4">
        <v>134</v>
      </c>
      <c r="AA165" s="4">
        <v>134</v>
      </c>
      <c r="AB165" s="4">
        <v>134</v>
      </c>
      <c r="AC165" s="4">
        <v>134</v>
      </c>
      <c r="AD165" s="4">
        <v>134</v>
      </c>
      <c r="AE165" s="4">
        <v>134</v>
      </c>
      <c r="AF165" s="4">
        <v>134</v>
      </c>
      <c r="AG165" s="4">
        <v>134</v>
      </c>
      <c r="AH165" s="4">
        <v>134</v>
      </c>
      <c r="AI165" s="4">
        <v>134</v>
      </c>
      <c r="AJ165" s="4">
        <v>134</v>
      </c>
      <c r="AK165" s="4">
        <v>134</v>
      </c>
      <c r="AL165" s="4">
        <v>134</v>
      </c>
      <c r="AM165" s="4">
        <v>134</v>
      </c>
      <c r="AN165" s="4">
        <v>134</v>
      </c>
      <c r="AO165" s="4">
        <v>134</v>
      </c>
      <c r="AP165" s="4">
        <v>134</v>
      </c>
      <c r="AQ165" s="4">
        <v>134</v>
      </c>
      <c r="AR165" s="4">
        <v>134</v>
      </c>
      <c r="AS165" s="4">
        <v>134</v>
      </c>
      <c r="AT165" s="4">
        <v>134</v>
      </c>
      <c r="AU165" s="4">
        <v>134</v>
      </c>
      <c r="AV165" s="4">
        <v>134</v>
      </c>
      <c r="AW165" s="4">
        <v>163.48000000000002</v>
      </c>
      <c r="AX165" s="4">
        <v>163.48000000000002</v>
      </c>
      <c r="AY165" s="4">
        <v>163.48000000000002</v>
      </c>
      <c r="AZ165" s="4">
        <v>163.48000000000002</v>
      </c>
      <c r="BA165" s="4">
        <v>163.48000000000002</v>
      </c>
      <c r="BB165" s="4">
        <v>163.48000000000002</v>
      </c>
      <c r="BC165" s="4">
        <v>163.48000000000002</v>
      </c>
      <c r="BD165" s="4">
        <v>163.48000000000002</v>
      </c>
      <c r="BE165" s="4">
        <v>163.48000000000002</v>
      </c>
      <c r="BF165" s="4">
        <v>163.48000000000002</v>
      </c>
      <c r="BG165" s="4">
        <v>163.48000000000002</v>
      </c>
      <c r="BH165" s="4">
        <v>163.48000000000002</v>
      </c>
      <c r="BJ165" s="9"/>
    </row>
    <row r="166" spans="1:62" x14ac:dyDescent="0.25">
      <c r="A166" s="6" t="s">
        <v>159</v>
      </c>
      <c r="B166" s="6"/>
      <c r="C166" s="7" t="s">
        <v>526</v>
      </c>
      <c r="D166" s="3"/>
      <c r="E166" s="3">
        <f>VLOOKUP(A166,[2]Sheet1!$A$2:$E$627,5,0)</f>
        <v>368.56635517990617</v>
      </c>
      <c r="F166" s="3">
        <f>VLOOKUP(A166,[2]Sheet1!$A$2:$F$627,6,0)</f>
        <v>353.76359929178517</v>
      </c>
      <c r="G166" s="3">
        <f>VLOOKUP(A166,[2]Sheet1!$A$2:$G$627,7,0)</f>
        <v>559.630904525402</v>
      </c>
      <c r="H166" s="4">
        <f t="shared" si="12"/>
        <v>490.25606444856123</v>
      </c>
      <c r="I166" s="11">
        <f t="shared" si="13"/>
        <v>-4.0163068820797315E-2</v>
      </c>
      <c r="J166" s="11">
        <f t="shared" si="14"/>
        <v>0.51839932392155708</v>
      </c>
      <c r="K166" s="11">
        <f t="shared" si="15"/>
        <v>0.58193467514959596</v>
      </c>
      <c r="L166" s="11">
        <f>IF(S166="",((BG166-E166)/E166),((U166-E166)/E166))</f>
        <v>0.31895468641911445</v>
      </c>
      <c r="M166" s="3" t="str">
        <f>IF(S166="Churn","Churn",VLOOKUP(A166,'[1]Revenue_Engine_2025 Dec.25'!$C$14:$E$3993,3,0))</f>
        <v>Diğer</v>
      </c>
      <c r="N166" s="3">
        <f>IF(S166="",VLOOKUP(A166,[3]Export!$B$2:$F$417,5,0),"CHURN")</f>
        <v>0.29763417138050885</v>
      </c>
      <c r="O166" s="3">
        <f>(1-N166)*H166</f>
        <v>344.33910694214438</v>
      </c>
      <c r="P166" s="3">
        <f t="shared" si="17"/>
        <v>248.47146355198834</v>
      </c>
      <c r="Q166" s="3">
        <f t="shared" si="16"/>
        <v>393.06562397805931</v>
      </c>
      <c r="R166" s="3" t="str">
        <f>IF(S166&lt;&gt;"Churn",VLOOKUP(A166,[3]Export!$B$2:$O$417,8,0),"CHURN")</f>
        <v>NO RISK</v>
      </c>
      <c r="S166" s="3"/>
      <c r="T166" s="3"/>
      <c r="U166" s="3" t="s">
        <v>551</v>
      </c>
      <c r="V166" s="4" t="str" cm="1">
        <f t="array" ref="V166">IFERROR(
    IF(
        MATCH(2,1/((Y166:BH166&lt;&gt;0)*(Y166:BH166&lt;&gt;"")))-MATCH(1,INDEX((Y166:BH166&lt;&gt;0)*(Y166:BH166&lt;&gt;""),0),0)+1 &lt;= 12,
        "No",
        "Yes"
    ),
    "No"
)</f>
        <v>Yes</v>
      </c>
      <c r="W166" s="4" t="str" cm="1">
        <f t="array" ref="W166">IFERROR(
    IF(
        MATCH(2,1/((Y166:BH166&lt;&gt;0)*(Y166:BH166&lt;&gt;"")))-MATCH(1,INDEX((Y166:BH166&lt;&gt;0)*(Y166:BH166&lt;&gt;""),0),0)+1 &lt;= 24,
        "No",
        "Yes"
    ),
    "No"
)</f>
        <v>Yes</v>
      </c>
      <c r="X166" s="3"/>
      <c r="Y166" s="4">
        <v>264.76279833460393</v>
      </c>
      <c r="Z166" s="4">
        <v>368.56635517990617</v>
      </c>
      <c r="AA166" s="4">
        <v>366.04075810389651</v>
      </c>
      <c r="AB166" s="4">
        <v>368.98168972500918</v>
      </c>
      <c r="AC166" s="4">
        <v>521.31646255945361</v>
      </c>
      <c r="AD166" s="4">
        <v>443.81496914635397</v>
      </c>
      <c r="AE166" s="4">
        <v>397.18734373283945</v>
      </c>
      <c r="AF166" s="4">
        <v>390.31608958806282</v>
      </c>
      <c r="AG166" s="4">
        <v>389.98542389742869</v>
      </c>
      <c r="AH166" s="4">
        <v>379.01323138592096</v>
      </c>
      <c r="AI166" s="4">
        <v>369.51522518708742</v>
      </c>
      <c r="AJ166" s="4">
        <v>364.28755101548802</v>
      </c>
      <c r="AK166" s="4">
        <v>353.76359929178517</v>
      </c>
      <c r="AL166" s="4">
        <v>409.67419354838705</v>
      </c>
      <c r="AM166" s="4">
        <v>633.81742864572561</v>
      </c>
      <c r="AN166" s="4">
        <v>628.44090445512154</v>
      </c>
      <c r="AO166" s="4">
        <v>631.20951712873068</v>
      </c>
      <c r="AP166" s="4">
        <v>694.43812788622847</v>
      </c>
      <c r="AQ166" s="4">
        <v>687.50590760748776</v>
      </c>
      <c r="AR166" s="4">
        <v>674.77192781779297</v>
      </c>
      <c r="AS166" s="4">
        <v>668.14549255876136</v>
      </c>
      <c r="AT166" s="4">
        <v>664.60748767706457</v>
      </c>
      <c r="AU166" s="4">
        <v>661.47315929910951</v>
      </c>
      <c r="AV166" s="4">
        <v>394.82171141952324</v>
      </c>
      <c r="AW166" s="4">
        <v>559.630904525402</v>
      </c>
      <c r="AX166" s="4">
        <v>553.95778311419383</v>
      </c>
      <c r="AY166" s="4">
        <v>542.59449081745095</v>
      </c>
      <c r="AZ166" s="4">
        <v>530.73112367024191</v>
      </c>
      <c r="BA166" s="4">
        <v>521.49324024687405</v>
      </c>
      <c r="BB166" s="4">
        <v>514.27765642521319</v>
      </c>
      <c r="BC166" s="4">
        <v>506.24162739660443</v>
      </c>
      <c r="BD166" s="4">
        <v>499.93134716247278</v>
      </c>
      <c r="BE166" s="4">
        <v>495.04804344978487</v>
      </c>
      <c r="BF166" s="4">
        <v>490.25606444856123</v>
      </c>
      <c r="BG166" s="4">
        <v>486.12232142094911</v>
      </c>
      <c r="BH166" s="4">
        <v>482.32437275884666</v>
      </c>
      <c r="BJ166" s="9"/>
    </row>
    <row r="167" spans="1:62" x14ac:dyDescent="0.25">
      <c r="A167" s="6" t="s">
        <v>160</v>
      </c>
      <c r="B167" s="6"/>
      <c r="C167" s="7" t="s">
        <v>526</v>
      </c>
      <c r="D167" s="3"/>
      <c r="E167" s="3">
        <f>VLOOKUP(A167,[2]Sheet1!$A$2:$E$627,5,0)</f>
        <v>453.13274657085134</v>
      </c>
      <c r="F167" s="3">
        <f>VLOOKUP(A167,[2]Sheet1!$A$2:$F$627,6,0)</f>
        <v>589.09419790669835</v>
      </c>
      <c r="G167" s="3">
        <f>VLOOKUP(A167,[2]Sheet1!$A$2:$G$627,7,0)</f>
        <v>916.86049030674155</v>
      </c>
      <c r="H167" s="4">
        <f t="shared" si="12"/>
        <v>962.37628205711974</v>
      </c>
      <c r="I167" s="11">
        <f t="shared" si="13"/>
        <v>0.3000477285403787</v>
      </c>
      <c r="J167" s="11">
        <f t="shared" si="14"/>
        <v>1.0233816629789352</v>
      </c>
      <c r="K167" s="11">
        <f t="shared" si="15"/>
        <v>0.5563902913400538</v>
      </c>
      <c r="L167" s="11">
        <f>IF(S167="",((BG167-E167)/E167),((U167-E167)/E167))</f>
        <v>1.1017406546607036</v>
      </c>
      <c r="M167" s="3" t="str">
        <f>IF(S167="Churn","Churn",VLOOKUP(A167,'[1]Revenue_Engine_2025 Dec.25'!$C$14:$E$3993,3,0))</f>
        <v>Teknoloji</v>
      </c>
      <c r="N167" s="3">
        <f>IF(S167="",VLOOKUP(A167,[3]Export!$B$2:$F$417,5,0),"CHURN")</f>
        <v>5.1433220234143637E-2</v>
      </c>
      <c r="O167" s="3">
        <f>(1-N167)*H167</f>
        <v>912.8781707939595</v>
      </c>
      <c r="P167" s="3">
        <f t="shared" si="17"/>
        <v>558.79518628710696</v>
      </c>
      <c r="Q167" s="3">
        <f t="shared" si="16"/>
        <v>869.70340278481001</v>
      </c>
      <c r="R167" s="3" t="str">
        <f>IF(S167&lt;&gt;"Churn",VLOOKUP(A167,[3]Export!$B$2:$O$417,8,0),"CHURN")</f>
        <v>NO RISK</v>
      </c>
      <c r="S167" s="3"/>
      <c r="T167" s="3"/>
      <c r="U167" s="3" t="s">
        <v>551</v>
      </c>
      <c r="V167" s="4" t="str" cm="1">
        <f t="array" ref="V167">IFERROR(
    IF(
        MATCH(2,1/((Y167:BH167&lt;&gt;0)*(Y167:BH167&lt;&gt;"")))-MATCH(1,INDEX((Y167:BH167&lt;&gt;0)*(Y167:BH167&lt;&gt;""),0),0)+1 &lt;= 12,
        "No",
        "Yes"
    ),
    "No"
)</f>
        <v>Yes</v>
      </c>
      <c r="W167" s="4" t="str" cm="1">
        <f t="array" ref="W167">IFERROR(
    IF(
        MATCH(2,1/((Y167:BH167&lt;&gt;0)*(Y167:BH167&lt;&gt;"")))-MATCH(1,INDEX((Y167:BH167&lt;&gt;0)*(Y167:BH167&lt;&gt;""),0),0)+1 &lt;= 24,
        "No",
        "Yes"
    ),
    "No"
)</f>
        <v>Yes</v>
      </c>
      <c r="X167" s="3"/>
      <c r="Y167" s="4">
        <v>453.13274657085134</v>
      </c>
      <c r="Z167" s="4">
        <v>451.55840775192979</v>
      </c>
      <c r="AA167" s="4">
        <v>448.23894827322533</v>
      </c>
      <c r="AB167" s="4">
        <v>440.27535338571744</v>
      </c>
      <c r="AC167" s="4">
        <v>431.92802552949303</v>
      </c>
      <c r="AD167" s="4">
        <v>363.23535947488972</v>
      </c>
      <c r="AE167" s="4">
        <v>321.90743454862883</v>
      </c>
      <c r="AF167" s="4">
        <v>461.06148330069885</v>
      </c>
      <c r="AG167" s="4">
        <v>460.63361260314855</v>
      </c>
      <c r="AH167" s="4">
        <v>446.43595074548415</v>
      </c>
      <c r="AI167" s="4">
        <v>617.66976688859427</v>
      </c>
      <c r="AJ167" s="4">
        <v>608.18606248256435</v>
      </c>
      <c r="AK167" s="4">
        <v>589.09419790669835</v>
      </c>
      <c r="AL167" s="4">
        <v>575.76549800952557</v>
      </c>
      <c r="AM167" s="4">
        <v>554.06667293268424</v>
      </c>
      <c r="AN167" s="4">
        <v>548.63786682713339</v>
      </c>
      <c r="AO167" s="4">
        <v>549.42236794284383</v>
      </c>
      <c r="AP167" s="4">
        <v>544.84663631827618</v>
      </c>
      <c r="AQ167" s="4">
        <v>538.63955321344736</v>
      </c>
      <c r="AR167" s="4">
        <v>794.52044148749201</v>
      </c>
      <c r="AS167" s="4">
        <v>785.52704503024188</v>
      </c>
      <c r="AT167" s="4">
        <v>780.72526559303731</v>
      </c>
      <c r="AU167" s="4">
        <v>776.47135581677571</v>
      </c>
      <c r="AV167" s="4">
        <v>764.53802368291372</v>
      </c>
      <c r="AW167" s="4">
        <v>916.86049030674155</v>
      </c>
      <c r="AX167" s="4">
        <v>900.85655145552482</v>
      </c>
      <c r="AY167" s="4">
        <v>878.60588051648972</v>
      </c>
      <c r="AZ167" s="4">
        <v>855.37600384622465</v>
      </c>
      <c r="BA167" s="4">
        <v>841.18705398945667</v>
      </c>
      <c r="BB167" s="4">
        <v>827.05808704430274</v>
      </c>
      <c r="BC167" s="4">
        <v>811.32259130040109</v>
      </c>
      <c r="BD167" s="4">
        <v>985.80242299683732</v>
      </c>
      <c r="BE167" s="4">
        <v>973.97879319629521</v>
      </c>
      <c r="BF167" s="4">
        <v>962.37628205711974</v>
      </c>
      <c r="BG167" s="4">
        <v>952.36751542602383</v>
      </c>
      <c r="BH167" s="4">
        <v>943.17178613613999</v>
      </c>
      <c r="BJ167" s="9"/>
    </row>
    <row r="168" spans="1:62" x14ac:dyDescent="0.25">
      <c r="A168" s="6" t="s">
        <v>161</v>
      </c>
      <c r="B168" s="6"/>
      <c r="C168" s="7" t="s">
        <v>526</v>
      </c>
      <c r="D168" s="3"/>
      <c r="E168" s="3">
        <f>VLOOKUP(A168,[2]Sheet1!$A$2:$E$627,5,0)</f>
        <v>455.82</v>
      </c>
      <c r="F168" s="3">
        <f>VLOOKUP(A168,[2]Sheet1!$A$2:$F$627,6,0)</f>
        <v>470.85179999999997</v>
      </c>
      <c r="G168" s="3">
        <f>VLOOKUP(A168,[2]Sheet1!$A$2:$G$627,7,0)</f>
        <v>499.05179999999996</v>
      </c>
      <c r="H168" s="4">
        <f t="shared" si="12"/>
        <v>598.22179999999992</v>
      </c>
      <c r="I168" s="11">
        <f t="shared" si="13"/>
        <v>3.2977491114913729E-2</v>
      </c>
      <c r="J168" s="11">
        <f t="shared" si="14"/>
        <v>9.4844017375279643E-2</v>
      </c>
      <c r="K168" s="11">
        <f t="shared" si="15"/>
        <v>5.9891456292616892E-2</v>
      </c>
      <c r="L168" s="11">
        <f>IF(S168="",((BG168-E168)/E168),((U168-E168)/E168))</f>
        <v>0.31240796805756643</v>
      </c>
      <c r="M168" s="3" t="str">
        <f>IF(S168="Churn","Churn",VLOOKUP(A168,'[1]Revenue_Engine_2025 Dec.25'!$C$14:$E$3993,3,0))</f>
        <v>Genel</v>
      </c>
      <c r="N168" s="3">
        <v>0</v>
      </c>
      <c r="O168" s="3">
        <f>(1-N168)*H168</f>
        <v>598.22179999999992</v>
      </c>
      <c r="P168" s="3">
        <f t="shared" si="17"/>
        <v>470.85179999999997</v>
      </c>
      <c r="Q168" s="3">
        <f t="shared" si="16"/>
        <v>499.05179999999996</v>
      </c>
      <c r="R168" s="3" t="e">
        <f>IF(S168&lt;&gt;"Churn",VLOOKUP(A168,[3]Export!$B$2:$O$417,8,0),"CHURN")</f>
        <v>#N/A</v>
      </c>
      <c r="S168" s="3"/>
      <c r="T168" s="3"/>
      <c r="U168" s="3" t="s">
        <v>551</v>
      </c>
      <c r="V168" s="4" t="str" cm="1">
        <f t="array" ref="V168">IFERROR(
    IF(
        MATCH(2,1/((Y168:BH168&lt;&gt;0)*(Y168:BH168&lt;&gt;"")))-MATCH(1,INDEX((Y168:BH168&lt;&gt;0)*(Y168:BH168&lt;&gt;""),0),0)+1 &lt;= 12,
        "No",
        "Yes"
    ),
    "No"
)</f>
        <v>Yes</v>
      </c>
      <c r="W168" s="4" t="str" cm="1">
        <f t="array" ref="W168">IFERROR(
    IF(
        MATCH(2,1/((Y168:BH168&lt;&gt;0)*(Y168:BH168&lt;&gt;"")))-MATCH(1,INDEX((Y168:BH168&lt;&gt;0)*(Y168:BH168&lt;&gt;""),0),0)+1 &lt;= 24,
        "No",
        "Yes"
    ),
    "No"
)</f>
        <v>Yes</v>
      </c>
      <c r="X168" s="3"/>
      <c r="Y168" s="4">
        <v>449.94</v>
      </c>
      <c r="Z168" s="4">
        <v>449.94</v>
      </c>
      <c r="AA168" s="4">
        <v>455.82</v>
      </c>
      <c r="AB168" s="4">
        <v>455.82</v>
      </c>
      <c r="AC168" s="4">
        <v>455.83179999999993</v>
      </c>
      <c r="AD168" s="4">
        <v>455.83179999999993</v>
      </c>
      <c r="AE168" s="4">
        <v>455.83179999999993</v>
      </c>
      <c r="AF168" s="4">
        <v>464.83179999999993</v>
      </c>
      <c r="AG168" s="4">
        <v>470.85179999999997</v>
      </c>
      <c r="AH168" s="4">
        <v>470.85179999999997</v>
      </c>
      <c r="AI168" s="4">
        <v>470.85179999999997</v>
      </c>
      <c r="AJ168" s="4">
        <v>470.85179999999997</v>
      </c>
      <c r="AK168" s="4">
        <v>470.85179999999997</v>
      </c>
      <c r="AL168" s="4">
        <v>470.85179999999997</v>
      </c>
      <c r="AM168" s="4">
        <v>470.85179999999997</v>
      </c>
      <c r="AN168" s="4">
        <v>470.85179999999997</v>
      </c>
      <c r="AO168" s="4">
        <v>499.05179999999996</v>
      </c>
      <c r="AP168" s="4">
        <v>499.05179999999996</v>
      </c>
      <c r="AQ168" s="4">
        <v>499.05179999999996</v>
      </c>
      <c r="AR168" s="4">
        <v>499.05179999999996</v>
      </c>
      <c r="AS168" s="4">
        <v>499.05179999999996</v>
      </c>
      <c r="AT168" s="4">
        <v>499.05179999999996</v>
      </c>
      <c r="AU168" s="4">
        <v>499.05179999999996</v>
      </c>
      <c r="AV168" s="4">
        <v>499.05179999999996</v>
      </c>
      <c r="AW168" s="4">
        <v>499.05179999999996</v>
      </c>
      <c r="AX168" s="4">
        <v>499.05179999999996</v>
      </c>
      <c r="AY168" s="4">
        <v>598.22179999999992</v>
      </c>
      <c r="AZ168" s="4">
        <v>598.22179999999992</v>
      </c>
      <c r="BA168" s="4">
        <v>598.22179999999992</v>
      </c>
      <c r="BB168" s="4">
        <v>598.22179999999992</v>
      </c>
      <c r="BC168" s="4">
        <v>598.22179999999992</v>
      </c>
      <c r="BD168" s="4">
        <v>598.22179999999992</v>
      </c>
      <c r="BE168" s="4">
        <v>598.22179999999992</v>
      </c>
      <c r="BF168" s="4">
        <v>598.22179999999992</v>
      </c>
      <c r="BG168" s="4">
        <v>598.22179999999992</v>
      </c>
      <c r="BH168" s="4">
        <v>598.22179999999992</v>
      </c>
      <c r="BJ168" s="9"/>
    </row>
    <row r="169" spans="1:62" x14ac:dyDescent="0.25">
      <c r="A169" s="6" t="s">
        <v>162</v>
      </c>
      <c r="B169" s="6"/>
      <c r="C169" s="7" t="s">
        <v>526</v>
      </c>
      <c r="D169" s="3"/>
      <c r="E169" s="3">
        <f>VLOOKUP(A169,[2]Sheet1!$A$2:$E$627,5,0)</f>
        <v>235</v>
      </c>
      <c r="F169" s="3">
        <f>VLOOKUP(A169,[2]Sheet1!$A$2:$F$627,6,0)</f>
        <v>258.00110000000001</v>
      </c>
      <c r="G169" s="3">
        <f>VLOOKUP(A169,[2]Sheet1!$A$2:$G$627,7,0)</f>
        <v>280.30110000000002</v>
      </c>
      <c r="H169" s="4">
        <f t="shared" si="12"/>
        <v>350.01761200000004</v>
      </c>
      <c r="I169" s="11">
        <f t="shared" si="13"/>
        <v>9.7877021276595783E-2</v>
      </c>
      <c r="J169" s="11">
        <f t="shared" si="14"/>
        <v>0.19277063829787242</v>
      </c>
      <c r="K169" s="11">
        <f t="shared" si="15"/>
        <v>8.6433740011186047E-2</v>
      </c>
      <c r="L169" s="11">
        <f>IF(S169="",((BG169-E169)/E169),((U169-E169)/E169))</f>
        <v>0.48943664680851084</v>
      </c>
      <c r="M169" s="3" t="str">
        <f>IF(S169="Churn","Churn",VLOOKUP(A169,'[1]Revenue_Engine_2025 Dec.25'!$C$14:$E$3993,3,0))</f>
        <v>Diğer</v>
      </c>
      <c r="N169" s="3">
        <f>IF(S169="",VLOOKUP(A169,[3]Export!$B$2:$F$417,5,0),"CHURN")</f>
        <v>0.26449756191125606</v>
      </c>
      <c r="O169" s="3">
        <f>(1-N169)*H169</f>
        <v>257.43880700000005</v>
      </c>
      <c r="P169" s="3">
        <f t="shared" si="17"/>
        <v>189.76043807957785</v>
      </c>
      <c r="Q169" s="3">
        <f t="shared" si="16"/>
        <v>206.16214244895684</v>
      </c>
      <c r="R169" s="3" t="str">
        <f>IF(S169&lt;&gt;"Churn",VLOOKUP(A169,[3]Export!$B$2:$O$417,8,0),"CHURN")</f>
        <v>NO RISK</v>
      </c>
      <c r="S169" s="3"/>
      <c r="T169" s="3"/>
      <c r="U169" s="3" t="s">
        <v>551</v>
      </c>
      <c r="V169" s="4" t="str" cm="1">
        <f t="array" ref="V169">IFERROR(
    IF(
        MATCH(2,1/((Y169:BH169&lt;&gt;0)*(Y169:BH169&lt;&gt;"")))-MATCH(1,INDEX((Y169:BH169&lt;&gt;0)*(Y169:BH169&lt;&gt;""),0),0)+1 &lt;= 12,
        "No",
        "Yes"
    ),
    "No"
)</f>
        <v>Yes</v>
      </c>
      <c r="W169" s="4" t="str" cm="1">
        <f t="array" ref="W169">IFERROR(
    IF(
        MATCH(2,1/((Y169:BH169&lt;&gt;0)*(Y169:BH169&lt;&gt;"")))-MATCH(1,INDEX((Y169:BH169&lt;&gt;0)*(Y169:BH169&lt;&gt;""),0),0)+1 &lt;= 24,
        "No",
        "Yes"
    ),
    "No"
)</f>
        <v>Yes</v>
      </c>
      <c r="X169" s="3"/>
      <c r="Y169" s="4">
        <v>235</v>
      </c>
      <c r="Z169" s="4">
        <v>235</v>
      </c>
      <c r="AA169" s="4">
        <v>235</v>
      </c>
      <c r="AB169" s="4">
        <v>244</v>
      </c>
      <c r="AC169" s="4">
        <v>244.00110000000001</v>
      </c>
      <c r="AD169" s="4">
        <v>244.00110000000001</v>
      </c>
      <c r="AE169" s="4">
        <v>244.00110000000001</v>
      </c>
      <c r="AF169" s="4">
        <v>244.00110000000001</v>
      </c>
      <c r="AG169" s="4">
        <v>244.00110000000001</v>
      </c>
      <c r="AH169" s="4">
        <v>244.00110000000001</v>
      </c>
      <c r="AI169" s="4">
        <v>244.00110000000001</v>
      </c>
      <c r="AJ169" s="4">
        <v>244.00110000000001</v>
      </c>
      <c r="AK169" s="4">
        <v>258.00110000000001</v>
      </c>
      <c r="AL169" s="4">
        <v>258.00110000000001</v>
      </c>
      <c r="AM169" s="4">
        <v>258.00110000000001</v>
      </c>
      <c r="AN169" s="4">
        <v>258.00110000000001</v>
      </c>
      <c r="AO169" s="4">
        <v>258.00110000000001</v>
      </c>
      <c r="AP169" s="4">
        <v>258.00110000000001</v>
      </c>
      <c r="AQ169" s="4">
        <v>258.00110000000001</v>
      </c>
      <c r="AR169" s="4">
        <v>258.00110000000001</v>
      </c>
      <c r="AS169" s="4">
        <v>258.00110000000001</v>
      </c>
      <c r="AT169" s="4">
        <v>258.00110000000001</v>
      </c>
      <c r="AU169" s="4">
        <v>280.30110000000002</v>
      </c>
      <c r="AV169" s="4">
        <v>280.30110000000002</v>
      </c>
      <c r="AW169" s="4">
        <v>280.30110000000002</v>
      </c>
      <c r="AX169" s="4">
        <v>280.30110000000002</v>
      </c>
      <c r="AY169" s="4">
        <v>280.30110000000002</v>
      </c>
      <c r="AZ169" s="4">
        <v>280.30110000000002</v>
      </c>
      <c r="BA169" s="4">
        <v>280.30110000000002</v>
      </c>
      <c r="BB169" s="4">
        <v>280.30110000000002</v>
      </c>
      <c r="BC169" s="4">
        <v>280.30110000000002</v>
      </c>
      <c r="BD169" s="4">
        <v>280.30110000000002</v>
      </c>
      <c r="BE169" s="4">
        <v>350.01761200000004</v>
      </c>
      <c r="BF169" s="4">
        <v>350.01761200000004</v>
      </c>
      <c r="BG169" s="4">
        <v>350.01761200000004</v>
      </c>
      <c r="BH169" s="4">
        <v>350.01761200000004</v>
      </c>
      <c r="BJ169" s="9"/>
    </row>
    <row r="170" spans="1:62" x14ac:dyDescent="0.25">
      <c r="A170" s="6" t="s">
        <v>163</v>
      </c>
      <c r="B170" s="6"/>
      <c r="C170" s="7" t="s">
        <v>526</v>
      </c>
      <c r="D170" s="3"/>
      <c r="E170" s="3">
        <f>VLOOKUP(A170,[2]Sheet1!$A$2:$E$627,5,0)</f>
        <v>85.6</v>
      </c>
      <c r="F170" s="3">
        <f>VLOOKUP(A170,[2]Sheet1!$A$2:$F$627,6,0)</f>
        <v>85.6</v>
      </c>
      <c r="G170" s="3">
        <f>VLOOKUP(A170,[2]Sheet1!$A$2:$G$627,7,0)</f>
        <v>85.6</v>
      </c>
      <c r="H170" s="4">
        <f t="shared" si="12"/>
        <v>85.6</v>
      </c>
      <c r="I170" s="11">
        <f t="shared" si="13"/>
        <v>0</v>
      </c>
      <c r="J170" s="11">
        <f t="shared" si="14"/>
        <v>0</v>
      </c>
      <c r="K170" s="11">
        <f t="shared" si="15"/>
        <v>0</v>
      </c>
      <c r="L170" s="11">
        <f>IF(S170="",((BG170-E170)/E170),((U170-E170)/E170))</f>
        <v>0</v>
      </c>
      <c r="M170" s="3" t="str">
        <f>IF(S170="Churn","Churn",VLOOKUP(A170,'[1]Revenue_Engine_2025 Dec.25'!$C$14:$E$3993,3,0))</f>
        <v>Üretim</v>
      </c>
      <c r="N170" s="3">
        <f>IF(S170="",VLOOKUP(A170,[3]Export!$B$2:$F$417,5,0),"CHURN")</f>
        <v>0.30568948891031827</v>
      </c>
      <c r="O170" s="3">
        <f>(1-N170)*H170</f>
        <v>59.432979749276747</v>
      </c>
      <c r="P170" s="3">
        <f t="shared" si="17"/>
        <v>59.432979749276747</v>
      </c>
      <c r="Q170" s="3">
        <f t="shared" si="16"/>
        <v>59.432979749276747</v>
      </c>
      <c r="R170" s="3" t="str">
        <f>IF(S170&lt;&gt;"Churn",VLOOKUP(A170,[3]Export!$B$2:$O$417,8,0),"CHURN")</f>
        <v>NO RISK</v>
      </c>
      <c r="S170" s="3"/>
      <c r="T170" s="3"/>
      <c r="U170" s="3" t="s">
        <v>551</v>
      </c>
      <c r="V170" s="4" t="str" cm="1">
        <f t="array" ref="V170">IFERROR(
    IF(
        MATCH(2,1/((Y170:BH170&lt;&gt;0)*(Y170:BH170&lt;&gt;"")))-MATCH(1,INDEX((Y170:BH170&lt;&gt;0)*(Y170:BH170&lt;&gt;""),0),0)+1 &lt;= 12,
        "No",
        "Yes"
    ),
    "No"
)</f>
        <v>Yes</v>
      </c>
      <c r="W170" s="4" t="str" cm="1">
        <f t="array" ref="W170">IFERROR(
    IF(
        MATCH(2,1/((Y170:BH170&lt;&gt;0)*(Y170:BH170&lt;&gt;"")))-MATCH(1,INDEX((Y170:BH170&lt;&gt;0)*(Y170:BH170&lt;&gt;""),0),0)+1 &lt;= 24,
        "No",
        "Yes"
    ),
    "No"
)</f>
        <v>Yes</v>
      </c>
      <c r="X170" s="3"/>
      <c r="Y170" s="4">
        <v>85.6</v>
      </c>
      <c r="Z170" s="4">
        <v>85.6</v>
      </c>
      <c r="AA170" s="4">
        <v>85.6</v>
      </c>
      <c r="AB170" s="4">
        <v>85.6</v>
      </c>
      <c r="AC170" s="4">
        <v>85.6</v>
      </c>
      <c r="AD170" s="4">
        <v>85.6</v>
      </c>
      <c r="AE170" s="4">
        <v>85.6</v>
      </c>
      <c r="AF170" s="4">
        <v>85.6</v>
      </c>
      <c r="AG170" s="4">
        <v>85.6</v>
      </c>
      <c r="AH170" s="4">
        <v>183.6</v>
      </c>
      <c r="AI170" s="4">
        <v>183.6</v>
      </c>
      <c r="AJ170" s="4">
        <v>85.6</v>
      </c>
      <c r="AK170" s="4">
        <v>85.6</v>
      </c>
      <c r="AL170" s="4">
        <v>85.6</v>
      </c>
      <c r="AM170" s="4">
        <v>85.6</v>
      </c>
      <c r="AN170" s="4">
        <v>85.6</v>
      </c>
      <c r="AO170" s="4">
        <v>85.6</v>
      </c>
      <c r="AP170" s="4">
        <v>85.6</v>
      </c>
      <c r="AQ170" s="4">
        <v>85.6</v>
      </c>
      <c r="AR170" s="4">
        <v>85.6</v>
      </c>
      <c r="AS170" s="4">
        <v>85.6</v>
      </c>
      <c r="AT170" s="4">
        <v>85.6</v>
      </c>
      <c r="AU170" s="4">
        <v>85.6</v>
      </c>
      <c r="AV170" s="4">
        <v>85.6</v>
      </c>
      <c r="AW170" s="4">
        <v>85.6</v>
      </c>
      <c r="AX170" s="4">
        <v>85.6</v>
      </c>
      <c r="AY170" s="4">
        <v>85.6</v>
      </c>
      <c r="AZ170" s="4">
        <v>85.6</v>
      </c>
      <c r="BA170" s="4">
        <v>85.6</v>
      </c>
      <c r="BB170" s="4">
        <v>85.6</v>
      </c>
      <c r="BC170" s="4">
        <v>85.6</v>
      </c>
      <c r="BD170" s="4">
        <v>85.6</v>
      </c>
      <c r="BE170" s="4">
        <v>85.6</v>
      </c>
      <c r="BF170" s="4">
        <v>85.6</v>
      </c>
      <c r="BG170" s="4">
        <v>85.6</v>
      </c>
      <c r="BH170" s="4">
        <v>85.6</v>
      </c>
      <c r="BJ170" s="9"/>
    </row>
    <row r="171" spans="1:62" x14ac:dyDescent="0.25">
      <c r="A171" s="6" t="s">
        <v>164</v>
      </c>
      <c r="B171" s="6"/>
      <c r="C171" s="7" t="s">
        <v>526</v>
      </c>
      <c r="D171" s="3"/>
      <c r="E171" s="3">
        <f>VLOOKUP(A171,[2]Sheet1!$A$2:$E$627,5,0)</f>
        <v>85</v>
      </c>
      <c r="F171" s="3">
        <f>VLOOKUP(A171,[2]Sheet1!$A$2:$F$627,6,0)</f>
        <v>60</v>
      </c>
      <c r="G171" s="3">
        <f>VLOOKUP(A171,[2]Sheet1!$A$2:$G$627,7,0)</f>
        <v>130.01110199999999</v>
      </c>
      <c r="H171" s="4">
        <f t="shared" si="12"/>
        <v>60</v>
      </c>
      <c r="I171" s="11">
        <f t="shared" si="13"/>
        <v>-0.29411764705882354</v>
      </c>
      <c r="J171" s="11">
        <f t="shared" si="14"/>
        <v>0.52954237647058822</v>
      </c>
      <c r="K171" s="11">
        <f t="shared" si="15"/>
        <v>1.1668516999999998</v>
      </c>
      <c r="L171" s="11">
        <f>IF(S171="",((BG171-E171)/E171),((U171-E171)/E171))</f>
        <v>-0.29411764705882354</v>
      </c>
      <c r="M171" s="3" t="str">
        <f>IF(S171="Churn","Churn",VLOOKUP(A171,'[1]Revenue_Engine_2025 Dec.25'!$C$14:$E$3993,3,0))</f>
        <v>Bayi</v>
      </c>
      <c r="N171" s="3">
        <f>IF(S171="",VLOOKUP(A171,[3]Export!$B$2:$F$417,5,0),"CHURN")</f>
        <v>0</v>
      </c>
      <c r="O171" s="3">
        <f>(1-N171)*H171</f>
        <v>60</v>
      </c>
      <c r="P171" s="3">
        <f t="shared" si="17"/>
        <v>60</v>
      </c>
      <c r="Q171" s="3">
        <f t="shared" si="16"/>
        <v>130.01110199999999</v>
      </c>
      <c r="R171" s="3" t="str">
        <f>IF(S171&lt;&gt;"Churn",VLOOKUP(A171,[3]Export!$B$2:$O$417,8,0),"CHURN")</f>
        <v>BOOKED CHURN</v>
      </c>
      <c r="S171" s="3"/>
      <c r="T171" s="3"/>
      <c r="U171" s="3" t="s">
        <v>551</v>
      </c>
      <c r="V171" s="4" t="str" cm="1">
        <f t="array" ref="V171">IFERROR(
    IF(
        MATCH(2,1/((Y171:BH171&lt;&gt;0)*(Y171:BH171&lt;&gt;"")))-MATCH(1,INDEX((Y171:BH171&lt;&gt;0)*(Y171:BH171&lt;&gt;""),0),0)+1 &lt;= 12,
        "No",
        "Yes"
    ),
    "No"
)</f>
        <v>Yes</v>
      </c>
      <c r="W171" s="4" t="str" cm="1">
        <f t="array" ref="W171">IFERROR(
    IF(
        MATCH(2,1/((Y171:BH171&lt;&gt;0)*(Y171:BH171&lt;&gt;"")))-MATCH(1,INDEX((Y171:BH171&lt;&gt;0)*(Y171:BH171&lt;&gt;""),0),0)+1 &lt;= 24,
        "No",
        "Yes"
    ),
    "No"
)</f>
        <v>Yes</v>
      </c>
      <c r="X171" s="3"/>
      <c r="Y171" s="4">
        <v>85</v>
      </c>
      <c r="Z171" s="4">
        <v>85</v>
      </c>
      <c r="AA171" s="4">
        <v>85</v>
      </c>
      <c r="AB171" s="4">
        <v>85</v>
      </c>
      <c r="AC171" s="4">
        <v>84.998999999999995</v>
      </c>
      <c r="AD171" s="4">
        <v>84.998999999999995</v>
      </c>
      <c r="AE171" s="4">
        <v>84.998999999999995</v>
      </c>
      <c r="AF171" s="4">
        <v>60</v>
      </c>
      <c r="AG171" s="4">
        <v>60</v>
      </c>
      <c r="AH171" s="4">
        <v>60</v>
      </c>
      <c r="AI171" s="4">
        <v>60</v>
      </c>
      <c r="AJ171" s="4">
        <v>60</v>
      </c>
      <c r="AK171" s="4">
        <v>60</v>
      </c>
      <c r="AL171" s="4">
        <v>60</v>
      </c>
      <c r="AM171" s="4">
        <v>60</v>
      </c>
      <c r="AN171" s="4">
        <v>60</v>
      </c>
      <c r="AO171" s="4">
        <v>60</v>
      </c>
      <c r="AP171" s="4">
        <v>60</v>
      </c>
      <c r="AQ171" s="4">
        <v>60</v>
      </c>
      <c r="AR171" s="4">
        <v>60</v>
      </c>
      <c r="AS171" s="4">
        <v>60</v>
      </c>
      <c r="AT171" s="4">
        <v>130.01110199999999</v>
      </c>
      <c r="AU171" s="4">
        <v>130.01110199999999</v>
      </c>
      <c r="AV171" s="4">
        <v>130.01110199999999</v>
      </c>
      <c r="AW171" s="4">
        <v>130.01110199999999</v>
      </c>
      <c r="AX171" s="4">
        <v>130.01110199999999</v>
      </c>
      <c r="AY171" s="4">
        <v>130.01110199999999</v>
      </c>
      <c r="AZ171" s="4">
        <v>59.999999999999993</v>
      </c>
      <c r="BA171" s="4">
        <v>60</v>
      </c>
      <c r="BB171" s="4">
        <v>60</v>
      </c>
      <c r="BC171" s="4">
        <v>60</v>
      </c>
      <c r="BD171" s="4">
        <v>60</v>
      </c>
      <c r="BE171" s="4">
        <v>60</v>
      </c>
      <c r="BF171" s="4">
        <v>60</v>
      </c>
      <c r="BG171" s="4">
        <v>60</v>
      </c>
      <c r="BH171" s="4">
        <v>60</v>
      </c>
      <c r="BJ171" s="9"/>
    </row>
    <row r="172" spans="1:62" x14ac:dyDescent="0.25">
      <c r="A172" s="6" t="s">
        <v>165</v>
      </c>
      <c r="B172" s="6"/>
      <c r="C172" s="7" t="s">
        <v>526</v>
      </c>
      <c r="D172" s="3"/>
      <c r="E172" s="3">
        <f>VLOOKUP(A172,[2]Sheet1!$A$2:$E$627,5,0)</f>
        <v>147</v>
      </c>
      <c r="F172" s="3">
        <f>VLOOKUP(A172,[2]Sheet1!$A$2:$F$627,6,0)</f>
        <v>156.00005000000002</v>
      </c>
      <c r="G172" s="3">
        <f>VLOOKUP(A172,[2]Sheet1!$A$2:$G$627,7,0)</f>
        <v>156.00005000000002</v>
      </c>
      <c r="H172" s="4">
        <f t="shared" si="12"/>
        <v>0</v>
      </c>
      <c r="I172" s="11">
        <f t="shared" si="13"/>
        <v>6.1224829931972896E-2</v>
      </c>
      <c r="J172" s="11">
        <f t="shared" si="14"/>
        <v>6.1224829931972896E-2</v>
      </c>
      <c r="K172" s="11">
        <f t="shared" si="15"/>
        <v>0</v>
      </c>
      <c r="L172" s="11">
        <f>IF(S172="",((BG172-E172)/E172),((U172-E172)/E172))</f>
        <v>6.1224829931972896E-2</v>
      </c>
      <c r="M172" s="3" t="str">
        <f>IF(S172="Churn","Churn",VLOOKUP(A172,'[1]Revenue_Engine_2025 Dec.25'!$C$14:$E$3993,3,0))</f>
        <v>Churn</v>
      </c>
      <c r="N172" s="3" t="str">
        <f>IF(S172="",VLOOKUP(A172,[3]Export!$B$2:$F$417,5,0),"CHURN")</f>
        <v>CHURN</v>
      </c>
      <c r="O172" s="3" t="e">
        <f>(1-N172)*H172</f>
        <v>#VALUE!</v>
      </c>
      <c r="P172" s="3" t="e">
        <f t="shared" si="17"/>
        <v>#VALUE!</v>
      </c>
      <c r="Q172" s="3" t="e">
        <f t="shared" si="16"/>
        <v>#VALUE!</v>
      </c>
      <c r="R172" s="3" t="str">
        <f>IF(S172&lt;&gt;"Churn",VLOOKUP(A172,[3]Export!$B$2:$O$417,8,0),"CHURN")</f>
        <v>CHURN</v>
      </c>
      <c r="S172" s="3" t="s">
        <v>372</v>
      </c>
      <c r="T172" s="3" t="s">
        <v>554</v>
      </c>
      <c r="U172" s="3">
        <v>156.00005000000002</v>
      </c>
      <c r="V172" s="4" t="str" cm="1">
        <f t="array" ref="V172">IFERROR(
    IF(
        MATCH(2,1/((Y172:BH172&lt;&gt;0)*(Y172:BH172&lt;&gt;"")))-MATCH(1,INDEX((Y172:BH172&lt;&gt;0)*(Y172:BH172&lt;&gt;""),0),0)+1 &lt;= 12,
        "No",
        "Yes"
    ),
    "No"
)</f>
        <v>Yes</v>
      </c>
      <c r="W172" s="4" t="str" cm="1">
        <f t="array" ref="W172">IFERROR(
    IF(
        MATCH(2,1/((Y172:BH172&lt;&gt;0)*(Y172:BH172&lt;&gt;"")))-MATCH(1,INDEX((Y172:BH172&lt;&gt;0)*(Y172:BH172&lt;&gt;""),0),0)+1 &lt;= 24,
        "No",
        "Yes"
    ),
    "No"
)</f>
        <v>Yes</v>
      </c>
      <c r="X172" s="3"/>
      <c r="Y172" s="4">
        <v>147</v>
      </c>
      <c r="Z172" s="4">
        <v>147</v>
      </c>
      <c r="AA172" s="4">
        <v>147</v>
      </c>
      <c r="AB172" s="4">
        <v>156</v>
      </c>
      <c r="AC172" s="4">
        <v>156.00005000000002</v>
      </c>
      <c r="AD172" s="4">
        <v>156.00005000000002</v>
      </c>
      <c r="AE172" s="4">
        <v>156.00005000000002</v>
      </c>
      <c r="AF172" s="4">
        <v>156.00005000000002</v>
      </c>
      <c r="AG172" s="4">
        <v>156.00005000000002</v>
      </c>
      <c r="AH172" s="4">
        <v>156.00005000000002</v>
      </c>
      <c r="AI172" s="4">
        <v>156.00005000000002</v>
      </c>
      <c r="AJ172" s="4">
        <v>156.00005000000002</v>
      </c>
      <c r="AK172" s="4">
        <v>156.00005000000002</v>
      </c>
      <c r="AL172" s="4">
        <v>156.00005000000002</v>
      </c>
      <c r="AM172" s="4">
        <v>156.00005000000002</v>
      </c>
      <c r="AN172" s="4">
        <v>156.00005000000002</v>
      </c>
      <c r="AO172" s="4">
        <v>156.00005000000002</v>
      </c>
      <c r="AP172" s="4">
        <v>156.00005000000002</v>
      </c>
      <c r="AQ172" s="4">
        <v>156.00005000000002</v>
      </c>
      <c r="AR172" s="4">
        <v>156.00005000000002</v>
      </c>
      <c r="AS172" s="4">
        <v>156.00005000000002</v>
      </c>
      <c r="AT172" s="4">
        <v>156.00005000000002</v>
      </c>
      <c r="AU172" s="4">
        <v>156.00005000000002</v>
      </c>
      <c r="AV172" s="4">
        <v>156.00005000000002</v>
      </c>
      <c r="AW172" s="4">
        <v>156.00005000000002</v>
      </c>
      <c r="AX172" s="4">
        <v>156.00005000000002</v>
      </c>
      <c r="AY172" s="4">
        <v>156.00005000000002</v>
      </c>
      <c r="AZ172" s="4">
        <v>0</v>
      </c>
      <c r="BA172" s="4">
        <v>0</v>
      </c>
      <c r="BB172" s="4">
        <v>0</v>
      </c>
      <c r="BC172" s="4">
        <v>0</v>
      </c>
      <c r="BD172" s="4">
        <v>0</v>
      </c>
      <c r="BE172" s="4">
        <v>0</v>
      </c>
      <c r="BF172" s="4">
        <v>0</v>
      </c>
      <c r="BG172" s="4">
        <v>0</v>
      </c>
      <c r="BH172" s="4">
        <v>0</v>
      </c>
      <c r="BJ172" s="9"/>
    </row>
    <row r="173" spans="1:62" x14ac:dyDescent="0.25">
      <c r="A173" s="6" t="s">
        <v>166</v>
      </c>
      <c r="B173" s="6"/>
      <c r="C173" s="7" t="s">
        <v>526</v>
      </c>
      <c r="D173" s="3"/>
      <c r="E173" s="3">
        <f>VLOOKUP(A173,[2]Sheet1!$A$2:$E$627,5,0)</f>
        <v>67.5</v>
      </c>
      <c r="F173" s="3">
        <f>VLOOKUP(A173,[2]Sheet1!$A$2:$F$627,6,0)</f>
        <v>43</v>
      </c>
      <c r="G173" s="3">
        <f>VLOOKUP(A173,[2]Sheet1!$A$2:$G$627,7,0)</f>
        <v>35.416666666666671</v>
      </c>
      <c r="H173" s="4">
        <f t="shared" si="12"/>
        <v>37.5</v>
      </c>
      <c r="I173" s="11">
        <f t="shared" si="13"/>
        <v>-0.36296296296296299</v>
      </c>
      <c r="J173" s="11">
        <f t="shared" si="14"/>
        <v>-0.47530864197530859</v>
      </c>
      <c r="K173" s="11">
        <f t="shared" si="15"/>
        <v>-0.17635658914728672</v>
      </c>
      <c r="L173" s="11">
        <f>IF(S173="",((BG173-E173)/E173),((U173-E173)/E173))</f>
        <v>-0.44444444444444442</v>
      </c>
      <c r="M173" s="3" t="str">
        <f>IF(S173="Churn","Churn",VLOOKUP(A173,'[1]Revenue_Engine_2025 Dec.25'!$C$14:$E$3993,3,0))</f>
        <v>Finans</v>
      </c>
      <c r="N173" s="3">
        <f>IF(S173="",VLOOKUP(A173,[3]Export!$B$2:$F$417,5,0),"CHURN")</f>
        <v>1</v>
      </c>
      <c r="O173" s="3">
        <f>(1-N173)*H173</f>
        <v>0</v>
      </c>
      <c r="P173" s="3">
        <f t="shared" si="17"/>
        <v>0</v>
      </c>
      <c r="Q173" s="3">
        <f t="shared" si="16"/>
        <v>0</v>
      </c>
      <c r="R173" s="3" t="str">
        <f>IF(S173&lt;&gt;"Churn",VLOOKUP(A173,[3]Export!$B$2:$O$417,8,0),"CHURN")</f>
        <v>NO RISK</v>
      </c>
      <c r="S173" s="3"/>
      <c r="T173" s="3"/>
      <c r="U173" s="3" t="s">
        <v>551</v>
      </c>
      <c r="V173" s="4" t="str" cm="1">
        <f t="array" ref="V173">IFERROR(
    IF(
        MATCH(2,1/((Y173:BH173&lt;&gt;0)*(Y173:BH173&lt;&gt;"")))-MATCH(1,INDEX((Y173:BH173&lt;&gt;0)*(Y173:BH173&lt;&gt;""),0),0)+1 &lt;= 12,
        "No",
        "Yes"
    ),
    "No"
)</f>
        <v>Yes</v>
      </c>
      <c r="W173" s="4" t="str" cm="1">
        <f t="array" ref="W173">IFERROR(
    IF(
        MATCH(2,1/((Y173:BH173&lt;&gt;0)*(Y173:BH173&lt;&gt;"")))-MATCH(1,INDEX((Y173:BH173&lt;&gt;0)*(Y173:BH173&lt;&gt;""),0),0)+1 &lt;= 24,
        "No",
        "Yes"
    ),
    "No"
)</f>
        <v>Yes</v>
      </c>
      <c r="X173" s="3"/>
      <c r="Y173" s="4">
        <v>67.5</v>
      </c>
      <c r="Z173" s="4">
        <v>67.5</v>
      </c>
      <c r="AA173" s="4">
        <v>67.5</v>
      </c>
      <c r="AB173" s="4">
        <v>67.5</v>
      </c>
      <c r="AC173" s="4">
        <v>67.5</v>
      </c>
      <c r="AD173" s="4">
        <v>67.5</v>
      </c>
      <c r="AE173" s="4">
        <v>67.5</v>
      </c>
      <c r="AF173" s="4">
        <v>67.5</v>
      </c>
      <c r="AG173" s="4">
        <v>67.5</v>
      </c>
      <c r="AH173" s="4">
        <v>67.5</v>
      </c>
      <c r="AI173" s="4">
        <v>67.5</v>
      </c>
      <c r="AJ173" s="4">
        <v>43</v>
      </c>
      <c r="AK173" s="4">
        <v>43</v>
      </c>
      <c r="AL173" s="4">
        <v>43</v>
      </c>
      <c r="AM173" s="4">
        <v>49.5</v>
      </c>
      <c r="AN173" s="4">
        <v>49.5</v>
      </c>
      <c r="AO173" s="4">
        <v>49.5</v>
      </c>
      <c r="AP173" s="4">
        <v>49.5</v>
      </c>
      <c r="AQ173" s="4">
        <v>49.5</v>
      </c>
      <c r="AR173" s="4">
        <v>49.5</v>
      </c>
      <c r="AS173" s="4">
        <v>49.5</v>
      </c>
      <c r="AT173" s="4">
        <v>49.5</v>
      </c>
      <c r="AU173" s="4">
        <v>49.5</v>
      </c>
      <c r="AV173" s="4">
        <v>49.5</v>
      </c>
      <c r="AW173" s="4">
        <v>35.416666666666671</v>
      </c>
      <c r="AX173" s="4">
        <v>37.5</v>
      </c>
      <c r="AY173" s="4">
        <v>37.5</v>
      </c>
      <c r="AZ173" s="4">
        <v>37.5</v>
      </c>
      <c r="BA173" s="4">
        <v>37.5</v>
      </c>
      <c r="BB173" s="4">
        <v>37.5</v>
      </c>
      <c r="BC173" s="4">
        <v>37.5</v>
      </c>
      <c r="BD173" s="4">
        <v>37.5</v>
      </c>
      <c r="BE173" s="4">
        <v>37.5</v>
      </c>
      <c r="BF173" s="4">
        <v>37.5</v>
      </c>
      <c r="BG173" s="4">
        <v>37.5</v>
      </c>
      <c r="BH173" s="4">
        <v>37.5</v>
      </c>
      <c r="BJ173" s="9"/>
    </row>
    <row r="174" spans="1:62" x14ac:dyDescent="0.25">
      <c r="A174" s="6" t="s">
        <v>167</v>
      </c>
      <c r="B174" s="6"/>
      <c r="C174" s="7" t="s">
        <v>526</v>
      </c>
      <c r="D174" s="3"/>
      <c r="E174" s="3">
        <f>VLOOKUP(A174,[2]Sheet1!$A$2:$E$627,5,0)</f>
        <v>322.01</v>
      </c>
      <c r="F174" s="3">
        <f>VLOOKUP(A174,[2]Sheet1!$A$2:$F$627,6,0)</f>
        <v>350.87074200000001</v>
      </c>
      <c r="G174" s="3">
        <f>VLOOKUP(A174,[2]Sheet1!$A$2:$G$627,7,0)</f>
        <v>390.87074200000001</v>
      </c>
      <c r="H174" s="4">
        <f t="shared" si="12"/>
        <v>0</v>
      </c>
      <c r="I174" s="11">
        <f t="shared" si="13"/>
        <v>8.9626850097823105E-2</v>
      </c>
      <c r="J174" s="11">
        <f t="shared" si="14"/>
        <v>0.21384659482624768</v>
      </c>
      <c r="K174" s="11">
        <f t="shared" si="15"/>
        <v>0.1140020959627349</v>
      </c>
      <c r="L174" s="11">
        <f>IF(S174="",((BG174-E174)/E174),((U174-E174)/E174))</f>
        <v>0.21384659482624768</v>
      </c>
      <c r="M174" s="3" t="str">
        <f>IF(S174="Churn","Churn",VLOOKUP(A174,'[1]Revenue_Engine_2025 Dec.25'!$C$14:$E$3993,3,0))</f>
        <v>Churn</v>
      </c>
      <c r="N174" s="3" t="str">
        <f>IF(S174="",VLOOKUP(A174,[3]Export!$B$2:$F$417,5,0),"CHURN")</f>
        <v>CHURN</v>
      </c>
      <c r="O174" s="3" t="e">
        <f>(1-N174)*H174</f>
        <v>#VALUE!</v>
      </c>
      <c r="P174" s="3" t="e">
        <f t="shared" si="17"/>
        <v>#VALUE!</v>
      </c>
      <c r="Q174" s="3" t="e">
        <f t="shared" si="16"/>
        <v>#VALUE!</v>
      </c>
      <c r="R174" s="3" t="str">
        <f>IF(S174&lt;&gt;"Churn",VLOOKUP(A174,[3]Export!$B$2:$O$417,8,0),"CHURN")</f>
        <v>CHURN</v>
      </c>
      <c r="S174" s="3" t="s">
        <v>372</v>
      </c>
      <c r="T174" s="3" t="s">
        <v>552</v>
      </c>
      <c r="U174" s="3">
        <v>390.87074200000001</v>
      </c>
      <c r="V174" s="4" t="str" cm="1">
        <f t="array" ref="V174">IFERROR(
    IF(
        MATCH(2,1/((Y174:BH174&lt;&gt;0)*(Y174:BH174&lt;&gt;"")))-MATCH(1,INDEX((Y174:BH174&lt;&gt;0)*(Y174:BH174&lt;&gt;""),0),0)+1 &lt;= 12,
        "No",
        "Yes"
    ),
    "No"
)</f>
        <v>Yes</v>
      </c>
      <c r="W174" s="4" t="str" cm="1">
        <f t="array" ref="W174">IFERROR(
    IF(
        MATCH(2,1/((Y174:BH174&lt;&gt;0)*(Y174:BH174&lt;&gt;"")))-MATCH(1,INDEX((Y174:BH174&lt;&gt;0)*(Y174:BH174&lt;&gt;""),0),0)+1 &lt;= 24,
        "No",
        "Yes"
    ),
    "No"
)</f>
        <v>Yes</v>
      </c>
      <c r="X174" s="3"/>
      <c r="Y174" s="4">
        <v>322.01</v>
      </c>
      <c r="Z174" s="4">
        <v>322.01</v>
      </c>
      <c r="AA174" s="4">
        <v>322.01</v>
      </c>
      <c r="AB174" s="4">
        <v>331.01</v>
      </c>
      <c r="AC174" s="4">
        <v>331.01013400000005</v>
      </c>
      <c r="AD174" s="4">
        <v>331.01013400000005</v>
      </c>
      <c r="AE174" s="4">
        <v>350.87074200000001</v>
      </c>
      <c r="AF174" s="4">
        <v>350.87074200000001</v>
      </c>
      <c r="AG174" s="4">
        <v>350.87074200000001</v>
      </c>
      <c r="AH174" s="4">
        <v>350.87074200000001</v>
      </c>
      <c r="AI174" s="4">
        <v>350.87074200000001</v>
      </c>
      <c r="AJ174" s="4">
        <v>350.87074200000001</v>
      </c>
      <c r="AK174" s="4">
        <v>350.87074200000001</v>
      </c>
      <c r="AL174" s="4">
        <v>390.87074200000001</v>
      </c>
      <c r="AM174" s="4">
        <v>390.87074200000001</v>
      </c>
      <c r="AN174" s="4">
        <v>390.87074200000001</v>
      </c>
      <c r="AO174" s="4">
        <v>390.87074200000001</v>
      </c>
      <c r="AP174" s="4">
        <v>390.87074200000001</v>
      </c>
      <c r="AQ174" s="4">
        <v>390.87074200000001</v>
      </c>
      <c r="AR174" s="4">
        <v>390.87074200000001</v>
      </c>
      <c r="AS174" s="4">
        <v>390.87074200000001</v>
      </c>
      <c r="AT174" s="4">
        <v>390.87074200000001</v>
      </c>
      <c r="AU174" s="4">
        <v>390.87074200000001</v>
      </c>
      <c r="AV174" s="4">
        <v>390.87074200000001</v>
      </c>
      <c r="AW174" s="4">
        <v>390.87074200000001</v>
      </c>
      <c r="AX174" s="4">
        <v>390.87074200000001</v>
      </c>
      <c r="AY174" s="4">
        <v>0</v>
      </c>
      <c r="AZ174" s="4">
        <v>0</v>
      </c>
      <c r="BA174" s="4">
        <v>0</v>
      </c>
      <c r="BB174" s="4">
        <v>0</v>
      </c>
      <c r="BC174" s="4">
        <v>0</v>
      </c>
      <c r="BD174" s="4">
        <v>0</v>
      </c>
      <c r="BE174" s="4">
        <v>0</v>
      </c>
      <c r="BF174" s="4">
        <v>0</v>
      </c>
      <c r="BG174" s="4">
        <v>0</v>
      </c>
      <c r="BH174" s="4">
        <v>0</v>
      </c>
      <c r="BJ174" s="9"/>
    </row>
    <row r="175" spans="1:62" x14ac:dyDescent="0.25">
      <c r="A175" s="6" t="s">
        <v>168</v>
      </c>
      <c r="B175" s="6"/>
      <c r="C175" s="7" t="s">
        <v>526</v>
      </c>
      <c r="D175" s="3"/>
      <c r="E175" s="3">
        <f>VLOOKUP(A175,[2]Sheet1!$A$2:$E$627,5,0)</f>
        <v>500</v>
      </c>
      <c r="F175" s="3">
        <f>VLOOKUP(A175,[2]Sheet1!$A$2:$F$627,6,0)</f>
        <v>574.54</v>
      </c>
      <c r="G175" s="3">
        <f>VLOOKUP(A175,[2]Sheet1!$A$2:$G$627,7,0)</f>
        <v>700.94665599999996</v>
      </c>
      <c r="H175" s="4">
        <f t="shared" si="12"/>
        <v>700.94665599999996</v>
      </c>
      <c r="I175" s="11">
        <f t="shared" si="13"/>
        <v>0.14907999999999993</v>
      </c>
      <c r="J175" s="11">
        <f t="shared" si="14"/>
        <v>0.40189331199999995</v>
      </c>
      <c r="K175" s="11">
        <f t="shared" si="15"/>
        <v>0.22001367354753368</v>
      </c>
      <c r="L175" s="11">
        <f>IF(S175="",((BG175-E175)/E175),((U175-E175)/E175))</f>
        <v>0.40189331199999995</v>
      </c>
      <c r="M175" s="3" t="str">
        <f>IF(S175="Churn","Churn",VLOOKUP(A175,'[1]Revenue_Engine_2025 Dec.25'!$C$14:$E$3993,3,0))</f>
        <v>Üretim</v>
      </c>
      <c r="N175" s="3">
        <f>IF(S175="",VLOOKUP(A175,[3]Export!$B$2:$F$417,5,0),"CHURN")</f>
        <v>7.3797341862202992E-2</v>
      </c>
      <c r="O175" s="3">
        <f>(1-N175)*H175</f>
        <v>649.21865600000001</v>
      </c>
      <c r="P175" s="3">
        <f t="shared" si="17"/>
        <v>532.1404752064899</v>
      </c>
      <c r="Q175" s="3">
        <f t="shared" si="16"/>
        <v>649.21865600000001</v>
      </c>
      <c r="R175" s="3" t="str">
        <f>IF(S175&lt;&gt;"Churn",VLOOKUP(A175,[3]Export!$B$2:$O$417,8,0),"CHURN")</f>
        <v>NO RISK</v>
      </c>
      <c r="S175" s="3"/>
      <c r="T175" s="3"/>
      <c r="U175" s="3" t="s">
        <v>551</v>
      </c>
      <c r="V175" s="4" t="str" cm="1">
        <f t="array" ref="V175">IFERROR(
    IF(
        MATCH(2,1/((Y175:BH175&lt;&gt;0)*(Y175:BH175&lt;&gt;"")))-MATCH(1,INDEX((Y175:BH175&lt;&gt;0)*(Y175:BH175&lt;&gt;""),0),0)+1 &lt;= 12,
        "No",
        "Yes"
    ),
    "No"
)</f>
        <v>Yes</v>
      </c>
      <c r="W175" s="4" t="str" cm="1">
        <f t="array" ref="W175">IFERROR(
    IF(
        MATCH(2,1/((Y175:BH175&lt;&gt;0)*(Y175:BH175&lt;&gt;"")))-MATCH(1,INDEX((Y175:BH175&lt;&gt;0)*(Y175:BH175&lt;&gt;""),0),0)+1 &lt;= 24,
        "No",
        "Yes"
    ),
    "No"
)</f>
        <v>Yes</v>
      </c>
      <c r="X175" s="3"/>
      <c r="Y175" s="4">
        <v>500</v>
      </c>
      <c r="Z175" s="4">
        <v>500</v>
      </c>
      <c r="AA175" s="4">
        <v>500</v>
      </c>
      <c r="AB175" s="4">
        <v>509</v>
      </c>
      <c r="AC175" s="4">
        <v>508.99999999999994</v>
      </c>
      <c r="AD175" s="4">
        <v>508.99999999999994</v>
      </c>
      <c r="AE175" s="4">
        <v>539.54</v>
      </c>
      <c r="AF175" s="4">
        <v>539.54</v>
      </c>
      <c r="AG175" s="4">
        <v>574.54</v>
      </c>
      <c r="AH175" s="4">
        <v>574.54</v>
      </c>
      <c r="AI175" s="4">
        <v>574.54</v>
      </c>
      <c r="AJ175" s="4">
        <v>574.54</v>
      </c>
      <c r="AK175" s="4">
        <v>574.54</v>
      </c>
      <c r="AL175" s="4">
        <v>574.54</v>
      </c>
      <c r="AM175" s="4">
        <v>574.54</v>
      </c>
      <c r="AN175" s="4">
        <v>574.54</v>
      </c>
      <c r="AO175" s="4">
        <v>574.54</v>
      </c>
      <c r="AP175" s="4">
        <v>574.54</v>
      </c>
      <c r="AQ175" s="4">
        <v>574.54</v>
      </c>
      <c r="AR175" s="4">
        <v>574.54</v>
      </c>
      <c r="AS175" s="4">
        <v>574.54</v>
      </c>
      <c r="AT175" s="4">
        <v>574.54</v>
      </c>
      <c r="AU175" s="4">
        <v>574.54</v>
      </c>
      <c r="AV175" s="4">
        <v>574.54</v>
      </c>
      <c r="AW175" s="4">
        <v>700.94665599999996</v>
      </c>
      <c r="AX175" s="4">
        <v>700.94665599999996</v>
      </c>
      <c r="AY175" s="4">
        <v>700.94665599999996</v>
      </c>
      <c r="AZ175" s="4">
        <v>700.94665599999996</v>
      </c>
      <c r="BA175" s="4">
        <v>700.94665599999996</v>
      </c>
      <c r="BB175" s="4">
        <v>700.94665599999996</v>
      </c>
      <c r="BC175" s="4">
        <v>700.94665599999996</v>
      </c>
      <c r="BD175" s="4">
        <v>700.94665599999996</v>
      </c>
      <c r="BE175" s="4">
        <v>700.94665599999996</v>
      </c>
      <c r="BF175" s="4">
        <v>700.94665599999996</v>
      </c>
      <c r="BG175" s="4">
        <v>700.94665599999996</v>
      </c>
      <c r="BH175" s="4">
        <v>700.94665599999996</v>
      </c>
      <c r="BJ175" s="9"/>
    </row>
    <row r="176" spans="1:62" x14ac:dyDescent="0.25">
      <c r="A176" s="6" t="s">
        <v>169</v>
      </c>
      <c r="B176" s="6"/>
      <c r="C176" s="7" t="s">
        <v>525</v>
      </c>
      <c r="D176" s="3"/>
      <c r="E176" s="3">
        <f>VLOOKUP(A176,[2]Sheet1!$A$2:$E$627,5,0)</f>
        <v>4000</v>
      </c>
      <c r="F176" s="3">
        <f>VLOOKUP(A176,[2]Sheet1!$A$2:$F$627,6,0)</f>
        <v>6033.5151999999998</v>
      </c>
      <c r="G176" s="3">
        <f>VLOOKUP(A176,[2]Sheet1!$A$2:$G$627,7,0)</f>
        <v>6894.4809999999998</v>
      </c>
      <c r="H176" s="4">
        <f t="shared" si="12"/>
        <v>8522.9998599999999</v>
      </c>
      <c r="I176" s="11">
        <f t="shared" si="13"/>
        <v>0.50837879999999991</v>
      </c>
      <c r="J176" s="11">
        <f t="shared" si="14"/>
        <v>0.72362024999999996</v>
      </c>
      <c r="K176" s="11">
        <f t="shared" si="15"/>
        <v>0.14269721239784064</v>
      </c>
      <c r="L176" s="11">
        <f>IF(S176="",((BG176-E176)/E176),((U176-E176)/E176))</f>
        <v>1.0832478667500001</v>
      </c>
      <c r="M176" s="3" t="str">
        <f>IF(S176="Churn","Churn",VLOOKUP(A176,'[1]Revenue_Engine_2025 Dec.25'!$C$14:$E$3993,3,0))</f>
        <v>Perakende</v>
      </c>
      <c r="N176" s="3">
        <f>IF(S176="",VLOOKUP(A176,[3]Export!$B$2:$F$417,5,0),"CHURN")</f>
        <v>0.16168016128537166</v>
      </c>
      <c r="O176" s="3">
        <f>(1-N176)*H176</f>
        <v>7144.9998679999999</v>
      </c>
      <c r="P176" s="3">
        <f t="shared" si="17"/>
        <v>5058.0154893462586</v>
      </c>
      <c r="Q176" s="3">
        <f t="shared" si="16"/>
        <v>5779.7801999410694</v>
      </c>
      <c r="R176" s="3" t="str">
        <f>IF(S176&lt;&gt;"Churn",VLOOKUP(A176,[3]Export!$B$2:$O$417,8,0),"CHURN")</f>
        <v>HIGH RISK</v>
      </c>
      <c r="S176" s="3"/>
      <c r="T176" s="3"/>
      <c r="U176" s="3" t="s">
        <v>551</v>
      </c>
      <c r="V176" s="4" t="str" cm="1">
        <f t="array" ref="V176">IFERROR(
    IF(
        MATCH(2,1/((Y176:BH176&lt;&gt;0)*(Y176:BH176&lt;&gt;"")))-MATCH(1,INDEX((Y176:BH176&lt;&gt;0)*(Y176:BH176&lt;&gt;""),0),0)+1 &lt;= 12,
        "No",
        "Yes"
    ),
    "No"
)</f>
        <v>Yes</v>
      </c>
      <c r="W176" s="4" t="str" cm="1">
        <f t="array" ref="W176">IFERROR(
    IF(
        MATCH(2,1/((Y176:BH176&lt;&gt;0)*(Y176:BH176&lt;&gt;"")))-MATCH(1,INDEX((Y176:BH176&lt;&gt;0)*(Y176:BH176&lt;&gt;""),0),0)+1 &lt;= 24,
        "No",
        "Yes"
    ),
    "No"
)</f>
        <v>Yes</v>
      </c>
      <c r="X176" s="3"/>
      <c r="Y176" s="4">
        <v>0</v>
      </c>
      <c r="Z176" s="4">
        <v>4000</v>
      </c>
      <c r="AA176" s="4">
        <v>4000</v>
      </c>
      <c r="AB176" s="4">
        <v>4000</v>
      </c>
      <c r="AC176" s="4">
        <v>4117.6000000000004</v>
      </c>
      <c r="AD176" s="4">
        <v>4150.1000000000004</v>
      </c>
      <c r="AE176" s="4">
        <v>4150.1000000000004</v>
      </c>
      <c r="AF176" s="4">
        <v>4698.8999999999996</v>
      </c>
      <c r="AG176" s="4">
        <v>4993.8</v>
      </c>
      <c r="AH176" s="4">
        <v>5002.2</v>
      </c>
      <c r="AI176" s="4">
        <v>5009.7</v>
      </c>
      <c r="AJ176" s="4">
        <v>5893.11</v>
      </c>
      <c r="AK176" s="4">
        <v>6033.5151999999998</v>
      </c>
      <c r="AL176" s="4">
        <v>6179.0551999999998</v>
      </c>
      <c r="AM176" s="4">
        <v>6182.2551999999996</v>
      </c>
      <c r="AN176" s="4">
        <v>6185.4552000000003</v>
      </c>
      <c r="AO176" s="4">
        <v>6188.6552000000001</v>
      </c>
      <c r="AP176" s="4">
        <v>5967.3710000000001</v>
      </c>
      <c r="AQ176" s="4">
        <v>5967.3710000000001</v>
      </c>
      <c r="AR176" s="4">
        <v>5967.3710000000001</v>
      </c>
      <c r="AS176" s="4">
        <v>5967.3710000000001</v>
      </c>
      <c r="AT176" s="4">
        <v>6468.8710000000001</v>
      </c>
      <c r="AU176" s="4">
        <v>6894.4809999999998</v>
      </c>
      <c r="AV176" s="4">
        <v>6894.4809999999998</v>
      </c>
      <c r="AW176" s="4">
        <v>6894.4809999999998</v>
      </c>
      <c r="AX176" s="4">
        <v>6894.4809999999998</v>
      </c>
      <c r="AY176" s="4">
        <v>6629.3214720000005</v>
      </c>
      <c r="AZ176" s="4">
        <v>8303.8482720000011</v>
      </c>
      <c r="BA176" s="4">
        <v>8303.8482720000011</v>
      </c>
      <c r="BB176" s="4">
        <v>8307.2082719999999</v>
      </c>
      <c r="BC176" s="4">
        <v>8303.8482720000011</v>
      </c>
      <c r="BD176" s="4">
        <v>7997</v>
      </c>
      <c r="BE176" s="4">
        <v>8314.9999989999997</v>
      </c>
      <c r="BF176" s="4">
        <v>8377.0069829999993</v>
      </c>
      <c r="BG176" s="4">
        <v>8332.9914669999998</v>
      </c>
      <c r="BH176" s="4">
        <v>8522.9998599999999</v>
      </c>
      <c r="BJ176" s="9"/>
    </row>
    <row r="177" spans="1:62" x14ac:dyDescent="0.25">
      <c r="A177" s="6" t="s">
        <v>170</v>
      </c>
      <c r="B177" s="6"/>
      <c r="C177" s="7" t="s">
        <v>525</v>
      </c>
      <c r="D177" s="3"/>
      <c r="E177" s="3">
        <f>VLOOKUP(A177,[2]Sheet1!$A$2:$E$627,5,0)</f>
        <v>2000.1</v>
      </c>
      <c r="F177" s="3">
        <f>VLOOKUP(A177,[2]Sheet1!$A$2:$F$627,6,0)</f>
        <v>2660.00018</v>
      </c>
      <c r="G177" s="3">
        <f>VLOOKUP(A177,[2]Sheet1!$A$2:$G$627,7,0)</f>
        <v>3699.9989999999998</v>
      </c>
      <c r="H177" s="4">
        <f t="shared" si="12"/>
        <v>3700</v>
      </c>
      <c r="I177" s="11">
        <f t="shared" si="13"/>
        <v>0.32993359332033406</v>
      </c>
      <c r="J177" s="11">
        <f t="shared" si="14"/>
        <v>0.84990700464976754</v>
      </c>
      <c r="K177" s="11">
        <f t="shared" si="15"/>
        <v>0.3909769735429115</v>
      </c>
      <c r="L177" s="11">
        <f>IF(S177="",((BG177-E177)/E177),((U177-E177)/E177))</f>
        <v>0.84990750462476883</v>
      </c>
      <c r="M177" s="3" t="str">
        <f>IF(S177="Churn","Churn",VLOOKUP(A177,'[1]Revenue_Engine_2025 Dec.25'!$C$14:$E$3993,3,0))</f>
        <v>Genel</v>
      </c>
      <c r="N177" s="3">
        <f>IF(S177="",VLOOKUP(A177,[3]Export!$B$2:$F$417,5,0),"CHURN")</f>
        <v>0.45397297297297301</v>
      </c>
      <c r="O177" s="3">
        <f>(1-N177)*H177</f>
        <v>2020.3</v>
      </c>
      <c r="P177" s="3">
        <f t="shared" si="17"/>
        <v>1452.4319901767567</v>
      </c>
      <c r="Q177" s="3">
        <f t="shared" si="16"/>
        <v>2020.2994539729727</v>
      </c>
      <c r="R177" s="3" t="str">
        <f>IF(S177&lt;&gt;"Churn",VLOOKUP(A177,[3]Export!$B$2:$O$417,8,0),"CHURN")</f>
        <v>NO RISK</v>
      </c>
      <c r="S177" s="3"/>
      <c r="T177" s="3"/>
      <c r="U177" s="3" t="s">
        <v>551</v>
      </c>
      <c r="V177" s="4" t="str" cm="1">
        <f t="array" ref="V177">IFERROR(
    IF(
        MATCH(2,1/((Y177:BH177&lt;&gt;0)*(Y177:BH177&lt;&gt;"")))-MATCH(1,INDEX((Y177:BH177&lt;&gt;0)*(Y177:BH177&lt;&gt;""),0),0)+1 &lt;= 12,
        "No",
        "Yes"
    ),
    "No"
)</f>
        <v>Yes</v>
      </c>
      <c r="W177" s="4" t="str" cm="1">
        <f t="array" ref="W177">IFERROR(
    IF(
        MATCH(2,1/((Y177:BH177&lt;&gt;0)*(Y177:BH177&lt;&gt;"")))-MATCH(1,INDEX((Y177:BH177&lt;&gt;0)*(Y177:BH177&lt;&gt;""),0),0)+1 &lt;= 24,
        "No",
        "Yes"
    ),
    "No"
)</f>
        <v>Yes</v>
      </c>
      <c r="X177" s="3"/>
      <c r="Y177" s="4">
        <v>0</v>
      </c>
      <c r="Z177" s="4">
        <v>2000.1</v>
      </c>
      <c r="AA177" s="4">
        <v>2000</v>
      </c>
      <c r="AB177" s="4">
        <v>2000</v>
      </c>
      <c r="AC177" s="4">
        <v>2000</v>
      </c>
      <c r="AD177" s="4">
        <v>2000</v>
      </c>
      <c r="AE177" s="4">
        <v>2000</v>
      </c>
      <c r="AF177" s="4">
        <v>2000</v>
      </c>
      <c r="AG177" s="4">
        <v>2000</v>
      </c>
      <c r="AH177" s="4">
        <v>2000</v>
      </c>
      <c r="AI177" s="4">
        <v>2495.00018</v>
      </c>
      <c r="AJ177" s="4">
        <v>2330.00018</v>
      </c>
      <c r="AK177" s="4">
        <v>2660.00018</v>
      </c>
      <c r="AL177" s="4">
        <v>2660.00018</v>
      </c>
      <c r="AM177" s="4">
        <v>2660.00018</v>
      </c>
      <c r="AN177" s="4">
        <v>2660.00018</v>
      </c>
      <c r="AO177" s="4">
        <v>2660.00018</v>
      </c>
      <c r="AP177" s="4">
        <v>2660.00018</v>
      </c>
      <c r="AQ177" s="4">
        <v>2660.00018</v>
      </c>
      <c r="AR177" s="4">
        <v>2660.00018</v>
      </c>
      <c r="AS177" s="4">
        <v>2660.00018</v>
      </c>
      <c r="AT177" s="4">
        <v>2660.00018</v>
      </c>
      <c r="AU177" s="4">
        <v>2660.00018</v>
      </c>
      <c r="AV177" s="4">
        <v>2660.00018</v>
      </c>
      <c r="AW177" s="4">
        <v>3191.9989999999998</v>
      </c>
      <c r="AX177" s="4">
        <v>3699.9989999999998</v>
      </c>
      <c r="AY177" s="4">
        <v>3700</v>
      </c>
      <c r="AZ177" s="4">
        <v>3700</v>
      </c>
      <c r="BA177" s="4">
        <v>3700</v>
      </c>
      <c r="BB177" s="4">
        <v>3700</v>
      </c>
      <c r="BC177" s="4">
        <v>3700</v>
      </c>
      <c r="BD177" s="4">
        <v>3700</v>
      </c>
      <c r="BE177" s="4">
        <v>3700</v>
      </c>
      <c r="BF177" s="4">
        <v>3700</v>
      </c>
      <c r="BG177" s="4">
        <v>3700</v>
      </c>
      <c r="BH177" s="4">
        <v>3700</v>
      </c>
      <c r="BJ177" s="9"/>
    </row>
    <row r="178" spans="1:62" x14ac:dyDescent="0.25">
      <c r="A178" s="6" t="s">
        <v>171</v>
      </c>
      <c r="B178" s="6"/>
      <c r="C178" s="7" t="s">
        <v>525</v>
      </c>
      <c r="D178" s="3"/>
      <c r="E178" s="3">
        <f>VLOOKUP(A178,[2]Sheet1!$A$2:$E$627,5,0)</f>
        <v>1500</v>
      </c>
      <c r="F178" s="3">
        <f>VLOOKUP(A178,[2]Sheet1!$A$2:$F$627,6,0)</f>
        <v>1846.4449999999997</v>
      </c>
      <c r="G178" s="3">
        <f>VLOOKUP(A178,[2]Sheet1!$A$2:$G$627,7,0)</f>
        <v>2215.2200000000003</v>
      </c>
      <c r="H178" s="4">
        <f t="shared" si="12"/>
        <v>2791.8500000000004</v>
      </c>
      <c r="I178" s="11">
        <f t="shared" si="13"/>
        <v>0.23096333333333313</v>
      </c>
      <c r="J178" s="11">
        <f t="shared" si="14"/>
        <v>0.47681333333333348</v>
      </c>
      <c r="K178" s="11">
        <f t="shared" si="15"/>
        <v>0.19972162723503847</v>
      </c>
      <c r="L178" s="11">
        <f>IF(S178="",((BG178-E178)/E178),((U178-E178)/E178))</f>
        <v>0.86123333333333363</v>
      </c>
      <c r="M178" s="3" t="str">
        <f>IF(S178="Churn","Churn",VLOOKUP(A178,'[1]Revenue_Engine_2025 Dec.25'!$C$14:$E$3993,3,0))</f>
        <v>Perakende</v>
      </c>
      <c r="N178" s="3">
        <f>IF(S178="",VLOOKUP(A178,[3]Export!$B$2:$F$417,5,0),"CHURN")</f>
        <v>0.36461804268636538</v>
      </c>
      <c r="O178" s="3">
        <f>(1-N178)*H178</f>
        <v>1773.891117526071</v>
      </c>
      <c r="P178" s="3">
        <f t="shared" si="17"/>
        <v>1173.1978381719737</v>
      </c>
      <c r="Q178" s="3">
        <f t="shared" si="16"/>
        <v>1407.5108194803097</v>
      </c>
      <c r="R178" s="3" t="str">
        <f>IF(S178&lt;&gt;"Churn",VLOOKUP(A178,[3]Export!$B$2:$O$417,8,0),"CHURN")</f>
        <v>NO RISK</v>
      </c>
      <c r="S178" s="3"/>
      <c r="T178" s="3"/>
      <c r="U178" s="3" t="s">
        <v>551</v>
      </c>
      <c r="V178" s="4" t="str" cm="1">
        <f t="array" ref="V178">IFERROR(
    IF(
        MATCH(2,1/((Y178:BH178&lt;&gt;0)*(Y178:BH178&lt;&gt;"")))-MATCH(1,INDEX((Y178:BH178&lt;&gt;0)*(Y178:BH178&lt;&gt;""),0),0)+1 &lt;= 12,
        "No",
        "Yes"
    ),
    "No"
)</f>
        <v>Yes</v>
      </c>
      <c r="W178" s="4" t="str" cm="1">
        <f t="array" ref="W178">IFERROR(
    IF(
        MATCH(2,1/((Y178:BH178&lt;&gt;0)*(Y178:BH178&lt;&gt;"")))-MATCH(1,INDEX((Y178:BH178&lt;&gt;0)*(Y178:BH178&lt;&gt;""),0),0)+1 &lt;= 24,
        "No",
        "Yes"
    ),
    "No"
)</f>
        <v>Yes</v>
      </c>
      <c r="X178" s="3"/>
      <c r="Y178" s="4">
        <v>0</v>
      </c>
      <c r="Z178" s="4">
        <v>0</v>
      </c>
      <c r="AA178" s="4">
        <v>1500</v>
      </c>
      <c r="AB178" s="4">
        <v>1500</v>
      </c>
      <c r="AC178" s="4">
        <v>1500</v>
      </c>
      <c r="AD178" s="4">
        <v>1500</v>
      </c>
      <c r="AE178" s="4">
        <v>1500</v>
      </c>
      <c r="AF178" s="4">
        <v>1500</v>
      </c>
      <c r="AG178" s="4">
        <v>1500</v>
      </c>
      <c r="AH178" s="4">
        <v>1665</v>
      </c>
      <c r="AI178" s="4">
        <v>1846.4449999999997</v>
      </c>
      <c r="AJ178" s="4">
        <v>1846.4449999999997</v>
      </c>
      <c r="AK178" s="4">
        <v>1846.4449999999997</v>
      </c>
      <c r="AL178" s="4">
        <v>1846.4449999999997</v>
      </c>
      <c r="AM178" s="4">
        <v>1846.4449999999997</v>
      </c>
      <c r="AN178" s="4">
        <v>1846.4449999999997</v>
      </c>
      <c r="AO178" s="4">
        <v>1846.4449999999997</v>
      </c>
      <c r="AP178" s="4">
        <v>1846.4449999999997</v>
      </c>
      <c r="AQ178" s="4">
        <v>1846.4449999999997</v>
      </c>
      <c r="AR178" s="4">
        <v>1846.4449999999997</v>
      </c>
      <c r="AS178" s="4">
        <v>1846.4449999999997</v>
      </c>
      <c r="AT178" s="4">
        <v>1846.4449999999997</v>
      </c>
      <c r="AU178" s="4">
        <v>1846.4449999999997</v>
      </c>
      <c r="AV178" s="4">
        <v>2215.2200000000003</v>
      </c>
      <c r="AW178" s="4">
        <v>2215.2200000000003</v>
      </c>
      <c r="AX178" s="4">
        <v>2215.2200000000003</v>
      </c>
      <c r="AY178" s="4">
        <v>2215.2200000000003</v>
      </c>
      <c r="AZ178" s="4">
        <v>2215.2200000000003</v>
      </c>
      <c r="BA178" s="4">
        <v>2215.2200000000003</v>
      </c>
      <c r="BB178" s="4">
        <v>2215.2200000000003</v>
      </c>
      <c r="BC178" s="4">
        <v>2215.2200000000003</v>
      </c>
      <c r="BD178" s="4">
        <v>2215.2200000000003</v>
      </c>
      <c r="BE178" s="4">
        <v>2215.2200000000003</v>
      </c>
      <c r="BF178" s="4">
        <v>2215.2200000000003</v>
      </c>
      <c r="BG178" s="4">
        <v>2791.8500000000004</v>
      </c>
      <c r="BH178" s="4">
        <v>2669.4894000000004</v>
      </c>
      <c r="BJ178" s="9"/>
    </row>
    <row r="179" spans="1:62" x14ac:dyDescent="0.25">
      <c r="A179" s="6" t="s">
        <v>172</v>
      </c>
      <c r="B179" s="6"/>
      <c r="C179" s="7" t="s">
        <v>525</v>
      </c>
      <c r="D179" s="3"/>
      <c r="E179" s="3">
        <f>VLOOKUP(A179,[2]Sheet1!$A$2:$E$627,5,0)</f>
        <v>15464.324640174476</v>
      </c>
      <c r="F179" s="3">
        <f>VLOOKUP(A179,[2]Sheet1!$A$2:$F$627,6,0)</f>
        <v>27571.30845474638</v>
      </c>
      <c r="G179" s="3">
        <f>VLOOKUP(A179,[2]Sheet1!$A$2:$G$627,7,0)</f>
        <v>76325.108717543131</v>
      </c>
      <c r="H179" s="4">
        <f t="shared" si="12"/>
        <v>84418.220369730479</v>
      </c>
      <c r="I179" s="11">
        <f t="shared" si="13"/>
        <v>0.78289767553892398</v>
      </c>
      <c r="J179" s="11">
        <f t="shared" si="14"/>
        <v>3.9355604265613757</v>
      </c>
      <c r="K179" s="11">
        <f t="shared" si="15"/>
        <v>1.7682802520169774</v>
      </c>
      <c r="L179" s="11">
        <f>IF(S179="",((BG179-E179)/E179),((U179-E179)/E179))</f>
        <v>4.1489470412326339</v>
      </c>
      <c r="M179" s="3" t="str">
        <f>IF(S179="Churn","Churn",VLOOKUP(A179,'[1]Revenue_Engine_2025 Dec.25'!$C$14:$E$3993,3,0))</f>
        <v>Perakende</v>
      </c>
      <c r="N179" s="3">
        <f>IF(S179="",VLOOKUP(A179,[3]Export!$B$2:$F$417,5,0),"CHURN")</f>
        <v>0.19849568426782388</v>
      </c>
      <c r="O179" s="3">
        <f>(1-N179)*H179</f>
        <v>67661.567952768877</v>
      </c>
      <c r="P179" s="3">
        <f t="shared" si="17"/>
        <v>22098.522716862262</v>
      </c>
      <c r="Q179" s="3">
        <f t="shared" si="16"/>
        <v>61174.904035838365</v>
      </c>
      <c r="R179" s="3" t="str">
        <f>IF(S179&lt;&gt;"Churn",VLOOKUP(A179,[3]Export!$B$2:$O$417,8,0),"CHURN")</f>
        <v>NO RISK</v>
      </c>
      <c r="S179" s="3"/>
      <c r="T179" s="3"/>
      <c r="U179" s="3" t="s">
        <v>551</v>
      </c>
      <c r="V179" s="4" t="str" cm="1">
        <f t="array" ref="V179">IFERROR(
    IF(
        MATCH(2,1/((Y179:BH179&lt;&gt;0)*(Y179:BH179&lt;&gt;"")))-MATCH(1,INDEX((Y179:BH179&lt;&gt;0)*(Y179:BH179&lt;&gt;""),0),0)+1 &lt;= 12,
        "No",
        "Yes"
    ),
    "No"
)</f>
        <v>Yes</v>
      </c>
      <c r="W179" s="4" t="str" cm="1">
        <f t="array" ref="W179">IFERROR(
    IF(
        MATCH(2,1/((Y179:BH179&lt;&gt;0)*(Y179:BH179&lt;&gt;"")))-MATCH(1,INDEX((Y179:BH179&lt;&gt;0)*(Y179:BH179&lt;&gt;""),0),0)+1 &lt;= 24,
        "No",
        "Yes"
    ),
    "No"
)</f>
        <v>Yes</v>
      </c>
      <c r="X179" s="3"/>
      <c r="Y179" s="4">
        <v>0</v>
      </c>
      <c r="Z179" s="4">
        <v>0</v>
      </c>
      <c r="AA179" s="4">
        <v>14964.798965464508</v>
      </c>
      <c r="AB179" s="4">
        <v>14805.527067714349</v>
      </c>
      <c r="AC179" s="4">
        <v>15464.324640174476</v>
      </c>
      <c r="AD179" s="4">
        <v>13959.146750406755</v>
      </c>
      <c r="AE179" s="4">
        <v>13053.578770565338</v>
      </c>
      <c r="AF179" s="4">
        <v>13968.795247727656</v>
      </c>
      <c r="AG179" s="4">
        <v>13962.373298104125</v>
      </c>
      <c r="AH179" s="4">
        <v>13749.279319610479</v>
      </c>
      <c r="AI179" s="4">
        <v>15231.485920290426</v>
      </c>
      <c r="AJ179" s="4">
        <v>20129.957817650393</v>
      </c>
      <c r="AK179" s="4">
        <v>27571.30845474638</v>
      </c>
      <c r="AL179" s="4">
        <v>27402.292225273413</v>
      </c>
      <c r="AM179" s="4">
        <v>31269.721260293303</v>
      </c>
      <c r="AN179" s="4">
        <v>36167.648593642436</v>
      </c>
      <c r="AO179" s="4">
        <v>41542.731195914886</v>
      </c>
      <c r="AP179" s="4">
        <v>51453.64715776364</v>
      </c>
      <c r="AQ179" s="4">
        <v>51332.796132685166</v>
      </c>
      <c r="AR179" s="4">
        <v>56047.038164931488</v>
      </c>
      <c r="AS179" s="4">
        <v>55909.356500255933</v>
      </c>
      <c r="AT179" s="4">
        <v>55835.845120049155</v>
      </c>
      <c r="AU179" s="4">
        <v>67790.476655786653</v>
      </c>
      <c r="AV179" s="4">
        <v>72663.39491929629</v>
      </c>
      <c r="AW179" s="4">
        <v>76325.108717543131</v>
      </c>
      <c r="AX179" s="4">
        <v>72656.264624924981</v>
      </c>
      <c r="AY179" s="4">
        <v>74899.274975939232</v>
      </c>
      <c r="AZ179" s="4">
        <v>74091.355843382655</v>
      </c>
      <c r="BA179" s="4">
        <v>82044.152730775779</v>
      </c>
      <c r="BB179" s="4">
        <v>81550.648967276851</v>
      </c>
      <c r="BC179" s="4">
        <v>81001.031546535407</v>
      </c>
      <c r="BD179" s="4">
        <v>80569.445257574524</v>
      </c>
      <c r="BE179" s="4">
        <v>80235.455823027965</v>
      </c>
      <c r="BF179" s="4">
        <v>79907.712465018252</v>
      </c>
      <c r="BG179" s="4">
        <v>79624.988600687284</v>
      </c>
      <c r="BH179" s="4">
        <v>84418.220369730479</v>
      </c>
      <c r="BJ179" s="9"/>
    </row>
    <row r="180" spans="1:62" x14ac:dyDescent="0.25">
      <c r="A180" s="6" t="s">
        <v>173</v>
      </c>
      <c r="B180" s="6"/>
      <c r="C180" s="7" t="s">
        <v>526</v>
      </c>
      <c r="D180" s="3"/>
      <c r="E180" s="3">
        <f>VLOOKUP(A180,[2]Sheet1!$A$2:$E$627,5,0)</f>
        <v>1351.9004345808439</v>
      </c>
      <c r="F180" s="3">
        <f>VLOOKUP(A180,[2]Sheet1!$A$2:$F$627,6,0)</f>
        <v>3944.4844723936371</v>
      </c>
      <c r="G180" s="3">
        <f>VLOOKUP(A180,[2]Sheet1!$A$2:$G$627,7,0)</f>
        <v>7368.5848867552922</v>
      </c>
      <c r="H180" s="4">
        <f t="shared" si="12"/>
        <v>9495.7433149833669</v>
      </c>
      <c r="I180" s="11">
        <f t="shared" si="13"/>
        <v>1.9177329716715585</v>
      </c>
      <c r="J180" s="11">
        <f t="shared" si="14"/>
        <v>4.4505381448744918</v>
      </c>
      <c r="K180" s="11">
        <f t="shared" si="15"/>
        <v>0.86807298604570327</v>
      </c>
      <c r="L180" s="11">
        <f>IF(S180="",((BG180-E180)/E180),((U180-E180)/E180))</f>
        <v>5.9019617342060435</v>
      </c>
      <c r="M180" s="3" t="str">
        <f>IF(S180="Churn","Churn",VLOOKUP(A180,'[1]Revenue_Engine_2025 Dec.25'!$C$14:$E$3993,3,0))</f>
        <v>Üretim</v>
      </c>
      <c r="N180" s="3">
        <f>IF(S180="",VLOOKUP(A180,[3]Export!$B$2:$F$417,5,0),"CHURN")</f>
        <v>0.52558835331165299</v>
      </c>
      <c r="O180" s="3">
        <f>(1-N180)*H180</f>
        <v>4504.8912225911217</v>
      </c>
      <c r="P180" s="3">
        <f t="shared" si="17"/>
        <v>1871.3093738848811</v>
      </c>
      <c r="Q180" s="3">
        <f t="shared" si="16"/>
        <v>3495.7424898884451</v>
      </c>
      <c r="R180" s="3" t="str">
        <f>IF(S180&lt;&gt;"Churn",VLOOKUP(A180,[3]Export!$B$2:$O$417,8,0),"CHURN")</f>
        <v>NO RISK</v>
      </c>
      <c r="S180" s="3"/>
      <c r="T180" s="3"/>
      <c r="U180" s="3" t="s">
        <v>551</v>
      </c>
      <c r="V180" s="4" t="str" cm="1">
        <f t="array" ref="V180">IFERROR(
    IF(
        MATCH(2,1/((Y180:BH180&lt;&gt;0)*(Y180:BH180&lt;&gt;"")))-MATCH(1,INDEX((Y180:BH180&lt;&gt;0)*(Y180:BH180&lt;&gt;""),0),0)+1 &lt;= 12,
        "No",
        "Yes"
    ),
    "No"
)</f>
        <v>Yes</v>
      </c>
      <c r="W180" s="4" t="str" cm="1">
        <f t="array" ref="W180">IFERROR(
    IF(
        MATCH(2,1/((Y180:BH180&lt;&gt;0)*(Y180:BH180&lt;&gt;"")))-MATCH(1,INDEX((Y180:BH180&lt;&gt;0)*(Y180:BH180&lt;&gt;""),0),0)+1 &lt;= 24,
        "No",
        "Yes"
    ),
    "No"
)</f>
        <v>Yes</v>
      </c>
      <c r="X180" s="3"/>
      <c r="Y180" s="4">
        <v>0</v>
      </c>
      <c r="Z180" s="4">
        <v>0</v>
      </c>
      <c r="AA180" s="4">
        <v>1351.9004345808439</v>
      </c>
      <c r="AB180" s="4">
        <v>1350.8288292819368</v>
      </c>
      <c r="AC180" s="4">
        <v>1340.2620258464569</v>
      </c>
      <c r="AD180" s="4">
        <v>1253.3859898038697</v>
      </c>
      <c r="AE180" s="4">
        <v>1238.6183096907528</v>
      </c>
      <c r="AF180" s="4">
        <v>1392.9159120149102</v>
      </c>
      <c r="AG180" s="4">
        <v>2311.2452491645254</v>
      </c>
      <c r="AH180" s="4">
        <v>3328.1458656285836</v>
      </c>
      <c r="AI180" s="4">
        <v>3357.1989852586225</v>
      </c>
      <c r="AJ180" s="4">
        <v>3651.3389741833521</v>
      </c>
      <c r="AK180" s="4">
        <v>3639.5420504210506</v>
      </c>
      <c r="AL180" s="4">
        <v>3654.3062044190679</v>
      </c>
      <c r="AM180" s="4">
        <v>3944.4844723936371</v>
      </c>
      <c r="AN180" s="4">
        <v>4169.2218593678481</v>
      </c>
      <c r="AO180" s="4">
        <v>4182.483789472004</v>
      </c>
      <c r="AP180" s="4">
        <v>4190.539706979991</v>
      </c>
      <c r="AQ180" s="4">
        <v>5074.5112088913957</v>
      </c>
      <c r="AR180" s="4">
        <v>5069.5873004269142</v>
      </c>
      <c r="AS180" s="4">
        <v>4393.8247235486542</v>
      </c>
      <c r="AT180" s="4">
        <v>5049.7479523542706</v>
      </c>
      <c r="AU180" s="4">
        <v>5247.0222321844312</v>
      </c>
      <c r="AV180" s="4">
        <v>5751.8758755290919</v>
      </c>
      <c r="AW180" s="4">
        <v>6070.5307921274934</v>
      </c>
      <c r="AX180" s="4">
        <v>6636.0048703718685</v>
      </c>
      <c r="AY180" s="4">
        <v>7368.5848867552922</v>
      </c>
      <c r="AZ180" s="4">
        <v>7352.3776685560424</v>
      </c>
      <c r="BA180" s="4">
        <v>7331.6669335986116</v>
      </c>
      <c r="BB180" s="4">
        <v>7373.5437519976267</v>
      </c>
      <c r="BC180" s="4">
        <v>7945.908952730204</v>
      </c>
      <c r="BD180" s="4">
        <v>7993.6232596472792</v>
      </c>
      <c r="BE180" s="4">
        <v>8288.7160717372444</v>
      </c>
      <c r="BF180" s="4">
        <v>8450.0199030538915</v>
      </c>
      <c r="BG180" s="4">
        <v>9330.7650679335056</v>
      </c>
      <c r="BH180" s="4">
        <v>9495.7433149833669</v>
      </c>
      <c r="BJ180" s="9"/>
    </row>
    <row r="181" spans="1:62" x14ac:dyDescent="0.25">
      <c r="A181" s="6" t="s">
        <v>174</v>
      </c>
      <c r="B181" s="6"/>
      <c r="C181" s="7" t="s">
        <v>526</v>
      </c>
      <c r="D181" s="3"/>
      <c r="E181" s="3">
        <f>VLOOKUP(A181,[2]Sheet1!$A$2:$E$627,5,0)</f>
        <v>514.15644066634673</v>
      </c>
      <c r="F181" s="3">
        <f>VLOOKUP(A181,[2]Sheet1!$A$2:$F$627,6,0)</f>
        <v>490.83310657345208</v>
      </c>
      <c r="G181" s="3">
        <f>VLOOKUP(A181,[2]Sheet1!$A$2:$G$627,7,0)</f>
        <v>0</v>
      </c>
      <c r="H181" s="4">
        <f t="shared" si="12"/>
        <v>0</v>
      </c>
      <c r="I181" s="11">
        <f t="shared" si="13"/>
        <v>-4.5362329921740552E-2</v>
      </c>
      <c r="J181" s="11">
        <f t="shared" si="14"/>
        <v>-1</v>
      </c>
      <c r="K181" s="11">
        <f t="shared" si="15"/>
        <v>-1</v>
      </c>
      <c r="L181" s="11">
        <f>IF(S181="",((BG181-E181)/E181),((U181-E181)/E181))</f>
        <v>-0.1730747848786221</v>
      </c>
      <c r="M181" s="3" t="str">
        <f>IF(S181="Churn","Churn",VLOOKUP(A181,'[1]Revenue_Engine_2025 Dec.25'!$C$14:$E$3993,3,0))</f>
        <v>Churn</v>
      </c>
      <c r="N181" s="3" t="str">
        <f>IF(S181="",VLOOKUP(A181,[3]Export!$B$2:$F$417,5,0),"CHURN")</f>
        <v>CHURN</v>
      </c>
      <c r="O181" s="3" t="e">
        <f>(1-N181)*H181</f>
        <v>#VALUE!</v>
      </c>
      <c r="P181" s="3" t="e">
        <f t="shared" si="17"/>
        <v>#VALUE!</v>
      </c>
      <c r="Q181" s="3" t="e">
        <f t="shared" si="16"/>
        <v>#VALUE!</v>
      </c>
      <c r="R181" s="3" t="str">
        <f>IF(S181&lt;&gt;"Churn",VLOOKUP(A181,[3]Export!$B$2:$O$417,8,0),"CHURN")</f>
        <v>CHURN</v>
      </c>
      <c r="S181" s="3" t="s">
        <v>372</v>
      </c>
      <c r="T181" s="3" t="s">
        <v>562</v>
      </c>
      <c r="U181" s="3">
        <v>425.16892530406074</v>
      </c>
      <c r="V181" s="4" t="str" cm="1">
        <f t="array" ref="V181">IFERROR(
    IF(
        MATCH(2,1/((Y181:BH181&lt;&gt;0)*(Y181:BH181&lt;&gt;"")))-MATCH(1,INDEX((Y181:BH181&lt;&gt;0)*(Y181:BH181&lt;&gt;""),0),0)+1 &lt;= 12,
        "No",
        "Yes"
    ),
    "No"
)</f>
        <v>Yes</v>
      </c>
      <c r="W181" s="4" t="str" cm="1">
        <f t="array" ref="W181">IFERROR(
    IF(
        MATCH(2,1/((Y181:BH181&lt;&gt;0)*(Y181:BH181&lt;&gt;"")))-MATCH(1,INDEX((Y181:BH181&lt;&gt;0)*(Y181:BH181&lt;&gt;""),0),0)+1 &lt;= 24,
        "No",
        "Yes"
    ),
    "No"
)</f>
        <v>No</v>
      </c>
      <c r="X181" s="3"/>
      <c r="Y181" s="4">
        <v>0</v>
      </c>
      <c r="Z181" s="4">
        <v>0</v>
      </c>
      <c r="AA181" s="4">
        <v>514.15644066634673</v>
      </c>
      <c r="AB181" s="4">
        <v>505.02172888361707</v>
      </c>
      <c r="AC181" s="4">
        <v>495.4471734623358</v>
      </c>
      <c r="AD181" s="4">
        <v>416.65259375747831</v>
      </c>
      <c r="AE181" s="4">
        <v>369.2470021321638</v>
      </c>
      <c r="AF181" s="4">
        <v>362.261103428289</v>
      </c>
      <c r="AG181" s="4">
        <v>412.03758137739283</v>
      </c>
      <c r="AH181" s="4">
        <v>302.20157396577855</v>
      </c>
      <c r="AI181" s="4">
        <v>341.11318361677786</v>
      </c>
      <c r="AJ181" s="4">
        <v>335.79828746388017</v>
      </c>
      <c r="AK181" s="4">
        <v>325.09874715330312</v>
      </c>
      <c r="AL181" s="4">
        <v>490.83310657345208</v>
      </c>
      <c r="AM181" s="4">
        <v>472.04138096759846</v>
      </c>
      <c r="AN181" s="4">
        <v>467.33989900525137</v>
      </c>
      <c r="AO181" s="4">
        <v>468.01929660635238</v>
      </c>
      <c r="AP181" s="4">
        <v>464.05659849572191</v>
      </c>
      <c r="AQ181" s="4">
        <v>458.6811091728847</v>
      </c>
      <c r="AR181" s="4">
        <v>448.80672987673739</v>
      </c>
      <c r="AS181" s="4">
        <v>443.66835709700405</v>
      </c>
      <c r="AT181" s="4">
        <v>440.92486270401253</v>
      </c>
      <c r="AU181" s="4">
        <v>438.49439338069442</v>
      </c>
      <c r="AV181" s="4">
        <v>431.67628975325761</v>
      </c>
      <c r="AW181" s="4">
        <v>425.16892530406074</v>
      </c>
      <c r="AX181" s="4">
        <v>0</v>
      </c>
      <c r="AY181" s="4">
        <v>0</v>
      </c>
      <c r="AZ181" s="4">
        <v>0</v>
      </c>
      <c r="BA181" s="4">
        <v>0</v>
      </c>
      <c r="BB181" s="4">
        <v>0</v>
      </c>
      <c r="BC181" s="4">
        <v>0</v>
      </c>
      <c r="BD181" s="4">
        <v>0</v>
      </c>
      <c r="BE181" s="4">
        <v>0</v>
      </c>
      <c r="BF181" s="4">
        <v>0</v>
      </c>
      <c r="BG181" s="4">
        <v>0</v>
      </c>
      <c r="BH181" s="4">
        <v>0</v>
      </c>
      <c r="BJ181" s="9"/>
    </row>
    <row r="182" spans="1:62" x14ac:dyDescent="0.25">
      <c r="A182" s="6" t="s">
        <v>175</v>
      </c>
      <c r="B182" s="6"/>
      <c r="C182" s="7" t="s">
        <v>526</v>
      </c>
      <c r="D182" s="3"/>
      <c r="E182" s="3">
        <f>VLOOKUP(A182,[2]Sheet1!$A$2:$E$627,5,0)</f>
        <v>610</v>
      </c>
      <c r="F182" s="3">
        <f>VLOOKUP(A182,[2]Sheet1!$A$2:$F$627,6,0)</f>
        <v>744.40669356886872</v>
      </c>
      <c r="G182" s="3">
        <f>VLOOKUP(A182,[2]Sheet1!$A$2:$G$627,7,0)</f>
        <v>0</v>
      </c>
      <c r="H182" s="4">
        <f t="shared" si="12"/>
        <v>400</v>
      </c>
      <c r="I182" s="11">
        <f t="shared" si="13"/>
        <v>0.22033884191617822</v>
      </c>
      <c r="J182" s="11">
        <f t="shared" si="14"/>
        <v>-1</v>
      </c>
      <c r="K182" s="11">
        <f t="shared" si="15"/>
        <v>-1</v>
      </c>
      <c r="L182" s="11">
        <f>IF(S182="",((BG182-E182)/E182),((U182-E182)/E182))</f>
        <v>-0.34426229508196721</v>
      </c>
      <c r="M182" s="3" t="str">
        <f>IF(S182="Churn","Churn",VLOOKUP(A182,'[1]Revenue_Engine_2025 Dec.25'!$C$14:$E$3993,3,0))</f>
        <v>Üretim</v>
      </c>
      <c r="N182" s="3">
        <f>IF(S182="",VLOOKUP(A182,[3]Export!$B$2:$F$417,5,0),"CHURN")</f>
        <v>0.29749999999999999</v>
      </c>
      <c r="O182" s="3">
        <f>(1-N182)*H182</f>
        <v>281</v>
      </c>
      <c r="P182" s="3">
        <f t="shared" si="17"/>
        <v>522.94570223213032</v>
      </c>
      <c r="Q182" s="3">
        <f t="shared" si="16"/>
        <v>0</v>
      </c>
      <c r="R182" s="3" t="str">
        <f>IF(S182&lt;&gt;"Churn",VLOOKUP(A182,[3]Export!$B$2:$O$417,8,0),"CHURN")</f>
        <v>NO RISK</v>
      </c>
      <c r="S182" s="3"/>
      <c r="T182" s="3"/>
      <c r="U182" s="3" t="s">
        <v>551</v>
      </c>
      <c r="V182" s="4" t="str" cm="1">
        <f t="array" ref="V182">IFERROR(
    IF(
        MATCH(2,1/((Y182:BH182&lt;&gt;0)*(Y182:BH182&lt;&gt;"")))-MATCH(1,INDEX((Y182:BH182&lt;&gt;0)*(Y182:BH182&lt;&gt;""),0),0)+1 &lt;= 12,
        "No",
        "Yes"
    ),
    "No"
)</f>
        <v>Yes</v>
      </c>
      <c r="W182" s="4" t="str" cm="1">
        <f t="array" ref="W182">IFERROR(
    IF(
        MATCH(2,1/((Y182:BH182&lt;&gt;0)*(Y182:BH182&lt;&gt;"")))-MATCH(1,INDEX((Y182:BH182&lt;&gt;0)*(Y182:BH182&lt;&gt;""),0),0)+1 &lt;= 24,
        "No",
        "Yes"
    ),
    "No"
)</f>
        <v>Yes</v>
      </c>
      <c r="X182" s="3"/>
      <c r="Y182" s="4">
        <v>0</v>
      </c>
      <c r="Z182" s="4">
        <v>0</v>
      </c>
      <c r="AA182" s="4">
        <v>0</v>
      </c>
      <c r="AB182" s="4">
        <v>610</v>
      </c>
      <c r="AC182" s="4">
        <v>609.99081000000001</v>
      </c>
      <c r="AD182" s="4">
        <v>609.99081000000001</v>
      </c>
      <c r="AE182" s="4">
        <v>609.99081000000001</v>
      </c>
      <c r="AF182" s="4">
        <v>609.99081000000001</v>
      </c>
      <c r="AG182" s="4">
        <v>610.52776900000003</v>
      </c>
      <c r="AH182" s="4">
        <v>439.08212791538938</v>
      </c>
      <c r="AI182" s="4">
        <v>426.99446172361797</v>
      </c>
      <c r="AJ182" s="4">
        <v>420.34144644622233</v>
      </c>
      <c r="AK182" s="4">
        <v>656.94810759263646</v>
      </c>
      <c r="AL182" s="4">
        <v>647.59774825548436</v>
      </c>
      <c r="AM182" s="4">
        <v>632.37557255734976</v>
      </c>
      <c r="AN182" s="4">
        <v>628.56715251261653</v>
      </c>
      <c r="AO182" s="4">
        <v>629.11749631125258</v>
      </c>
      <c r="AP182" s="4">
        <v>625.9075257027049</v>
      </c>
      <c r="AQ182" s="4">
        <v>771.55312820606491</v>
      </c>
      <c r="AR182" s="4">
        <v>763.55441964099532</v>
      </c>
      <c r="AS182" s="4">
        <v>759.39209762245503</v>
      </c>
      <c r="AT182" s="4">
        <v>757.16973898690981</v>
      </c>
      <c r="AU182" s="4">
        <v>755.2009452824642</v>
      </c>
      <c r="AV182" s="4">
        <v>749.67796279954609</v>
      </c>
      <c r="AW182" s="4">
        <v>744.40669356886872</v>
      </c>
      <c r="AX182" s="4">
        <v>738.33542631726311</v>
      </c>
      <c r="AY182" s="4">
        <v>729.89439370308605</v>
      </c>
      <c r="AZ182" s="4">
        <v>721.08188880674959</v>
      </c>
      <c r="BA182" s="4">
        <v>400</v>
      </c>
      <c r="BB182" s="4">
        <v>400</v>
      </c>
      <c r="BC182" s="4">
        <v>400</v>
      </c>
      <c r="BD182" s="4">
        <v>400</v>
      </c>
      <c r="BE182" s="4">
        <v>400</v>
      </c>
      <c r="BF182" s="4">
        <v>400</v>
      </c>
      <c r="BG182" s="4">
        <v>400</v>
      </c>
      <c r="BH182" s="4">
        <v>400</v>
      </c>
      <c r="BJ182" s="9"/>
    </row>
    <row r="183" spans="1:62" x14ac:dyDescent="0.25">
      <c r="A183" s="6" t="s">
        <v>176</v>
      </c>
      <c r="B183" s="6"/>
      <c r="C183" s="7" t="s">
        <v>526</v>
      </c>
      <c r="D183" s="3"/>
      <c r="E183" s="3">
        <f>VLOOKUP(A183,[2]Sheet1!$A$2:$E$627,5,0)</f>
        <v>180</v>
      </c>
      <c r="F183" s="3">
        <f>VLOOKUP(A183,[2]Sheet1!$A$2:$F$627,6,0)</f>
        <v>103.20000524999999</v>
      </c>
      <c r="G183" s="3">
        <f>VLOOKUP(A183,[2]Sheet1!$A$2:$G$627,7,0)</f>
        <v>0</v>
      </c>
      <c r="H183" s="4">
        <f t="shared" si="12"/>
        <v>0</v>
      </c>
      <c r="I183" s="11">
        <f t="shared" si="13"/>
        <v>-0.42666663750000006</v>
      </c>
      <c r="J183" s="11">
        <f t="shared" si="14"/>
        <v>-1</v>
      </c>
      <c r="K183" s="11">
        <f t="shared" si="15"/>
        <v>-1</v>
      </c>
      <c r="L183" s="11">
        <f>IF(S183="",((BG183-E183)/E183),((U183-E183)/E183))</f>
        <v>-0.42666663750000006</v>
      </c>
      <c r="M183" s="3" t="str">
        <f>IF(S183="Churn","Churn",VLOOKUP(A183,'[1]Revenue_Engine_2025 Dec.25'!$C$14:$E$3993,3,0))</f>
        <v>Churn</v>
      </c>
      <c r="N183" s="3" t="str">
        <f>IF(S183="",VLOOKUP(A183,[3]Export!$B$2:$F$417,5,0),"CHURN")</f>
        <v>CHURN</v>
      </c>
      <c r="O183" s="3" t="e">
        <f>(1-N183)*H183</f>
        <v>#VALUE!</v>
      </c>
      <c r="P183" s="3" t="e">
        <f t="shared" si="17"/>
        <v>#VALUE!</v>
      </c>
      <c r="Q183" s="3" t="e">
        <f t="shared" si="16"/>
        <v>#VALUE!</v>
      </c>
      <c r="R183" s="3" t="str">
        <f>IF(S183&lt;&gt;"Churn",VLOOKUP(A183,[3]Export!$B$2:$O$417,8,0),"CHURN")</f>
        <v>CHURN</v>
      </c>
      <c r="S183" s="3" t="s">
        <v>372</v>
      </c>
      <c r="T183" s="3" t="s">
        <v>562</v>
      </c>
      <c r="U183" s="4" cm="1">
        <f t="array" ref="U183">IF(S183&lt;&gt;"Churn","",
 _xlfn.LET(
   _xlpm.rng,Y183:BH183,
   _xlpm.pos,MAX(IF((_xlpm.rng&lt;&gt;0)*(_xlpm.rng&lt;&gt;""),COLUMN(_xlpm.rng)-COLUMN(Y183)+1)),
   IF(_xlpm.pos=0,"",
      IF(_xlpm.pos=1,
         INDEX(_xlpm.rng,1,1),
         IF(_xlpm.pos=2,
            MAX(INDEX(_xlpm.rng,1,1),INDEX(_xlpm.rng,1,2)),
            MAX(
              INDEX(_xlpm.rng,1,_xlpm.pos),
              INDEX(_xlpm.rng,1,_xlpm.pos-1),
              INDEX(_xlpm.rng,1,_xlpm.pos-2)
            )
         )
      )
   )
 )
)</f>
        <v>103.20000524999999</v>
      </c>
      <c r="V183" s="4" t="str" cm="1">
        <f t="array" ref="V183">IFERROR(
    IF(
        MATCH(2,1/((Y183:BH183&lt;&gt;0)*(Y183:BH183&lt;&gt;"")))-MATCH(1,INDEX((Y183:BH183&lt;&gt;0)*(Y183:BH183&lt;&gt;""),0),0)+1 &lt;= 12,
        "No",
        "Yes"
    ),
    "No"
)</f>
        <v>Yes</v>
      </c>
      <c r="W183" s="4" t="str" cm="1">
        <f t="array" ref="W183">IFERROR(
    IF(
        MATCH(2,1/((Y183:BH183&lt;&gt;0)*(Y183:BH183&lt;&gt;"")))-MATCH(1,INDEX((Y183:BH183&lt;&gt;0)*(Y183:BH183&lt;&gt;""),0),0)+1 &lt;= 24,
        "No",
        "Yes"
    ),
    "No"
)</f>
        <v>No</v>
      </c>
      <c r="X183" s="3"/>
      <c r="Y183" s="4">
        <v>0</v>
      </c>
      <c r="Z183" s="4">
        <v>0</v>
      </c>
      <c r="AA183" s="4">
        <v>0</v>
      </c>
      <c r="AB183" s="4">
        <v>180</v>
      </c>
      <c r="AC183" s="4">
        <v>180</v>
      </c>
      <c r="AD183" s="4">
        <v>180</v>
      </c>
      <c r="AE183" s="4">
        <v>180</v>
      </c>
      <c r="AF183" s="4">
        <v>180</v>
      </c>
      <c r="AG183" s="4">
        <v>180</v>
      </c>
      <c r="AH183" s="4">
        <v>180</v>
      </c>
      <c r="AI183" s="4">
        <v>180</v>
      </c>
      <c r="AJ183" s="4">
        <v>180</v>
      </c>
      <c r="AK183" s="4">
        <v>180</v>
      </c>
      <c r="AL183" s="4">
        <v>283.20000525</v>
      </c>
      <c r="AM183" s="4">
        <v>283.20000525</v>
      </c>
      <c r="AN183" s="4">
        <v>103.20000524999999</v>
      </c>
      <c r="AO183" s="4">
        <v>103.20000524999999</v>
      </c>
      <c r="AP183" s="4">
        <v>103.20000524999999</v>
      </c>
      <c r="AQ183" s="4">
        <v>103.20000524999999</v>
      </c>
      <c r="AR183" s="4">
        <v>103.20000524999999</v>
      </c>
      <c r="AS183" s="4">
        <v>103.20000524999999</v>
      </c>
      <c r="AT183" s="4">
        <v>103.20000524999999</v>
      </c>
      <c r="AU183" s="4">
        <v>103.20000524999999</v>
      </c>
      <c r="AV183" s="4">
        <v>103.20000524999999</v>
      </c>
      <c r="AW183" s="4">
        <v>103.20000524999999</v>
      </c>
      <c r="AX183" s="4">
        <v>0</v>
      </c>
      <c r="AY183" s="4">
        <v>0</v>
      </c>
      <c r="AZ183" s="4">
        <v>0</v>
      </c>
      <c r="BA183" s="4">
        <v>0</v>
      </c>
      <c r="BB183" s="4">
        <v>0</v>
      </c>
      <c r="BC183" s="4">
        <v>0</v>
      </c>
      <c r="BD183" s="4">
        <v>0</v>
      </c>
      <c r="BE183" s="4">
        <v>0</v>
      </c>
      <c r="BF183" s="4">
        <v>0</v>
      </c>
      <c r="BG183" s="4">
        <v>0</v>
      </c>
      <c r="BH183" s="4">
        <v>0</v>
      </c>
      <c r="BJ183" s="9"/>
    </row>
    <row r="184" spans="1:62" x14ac:dyDescent="0.25">
      <c r="A184" s="6" t="s">
        <v>177</v>
      </c>
      <c r="B184" s="6"/>
      <c r="C184" s="7" t="s">
        <v>526</v>
      </c>
      <c r="D184" s="3"/>
      <c r="E184" s="3">
        <f>VLOOKUP(A184,[2]Sheet1!$A$2:$E$627,5,0)</f>
        <v>100</v>
      </c>
      <c r="F184" s="3">
        <f>VLOOKUP(A184,[2]Sheet1!$A$2:$F$627,6,0)</f>
        <v>99.999821249999982</v>
      </c>
      <c r="G184" s="3">
        <f>VLOOKUP(A184,[2]Sheet1!$A$2:$G$627,7,0)</f>
        <v>99.999821249999982</v>
      </c>
      <c r="H184" s="4">
        <f t="shared" si="12"/>
        <v>99.999821249999982</v>
      </c>
      <c r="I184" s="11">
        <f t="shared" si="13"/>
        <v>-1.7875000001765785E-6</v>
      </c>
      <c r="J184" s="11">
        <f t="shared" si="14"/>
        <v>-1.7875000001765785E-6</v>
      </c>
      <c r="K184" s="11">
        <f t="shared" si="15"/>
        <v>0</v>
      </c>
      <c r="L184" s="11">
        <f>IF(S184="",((BG184-E184)/E184),((U184-E184)/E184))</f>
        <v>-1.7875000001765785E-6</v>
      </c>
      <c r="M184" s="3" t="str">
        <f>IF(S184="Churn","Churn",VLOOKUP(A184,'[1]Revenue_Engine_2025 Dec.25'!$C$14:$E$3993,3,0))</f>
        <v>Bayi</v>
      </c>
      <c r="N184" s="3">
        <f>IF(S184="",VLOOKUP(A184,[3]Export!$B$2:$F$417,5,0),"CHURN")</f>
        <v>0.10000017875031952</v>
      </c>
      <c r="O184" s="3">
        <f>(1-N184)*H184</f>
        <v>89.999821249999982</v>
      </c>
      <c r="P184" s="3">
        <f t="shared" si="17"/>
        <v>89.999821249999982</v>
      </c>
      <c r="Q184" s="3">
        <f t="shared" si="16"/>
        <v>89.999821249999982</v>
      </c>
      <c r="R184" s="3" t="str">
        <f>IF(S184&lt;&gt;"Churn",VLOOKUP(A184,[3]Export!$B$2:$O$417,8,0),"CHURN")</f>
        <v>NO RISK</v>
      </c>
      <c r="S184" s="3"/>
      <c r="T184" s="3"/>
      <c r="U184" s="3" t="s">
        <v>551</v>
      </c>
      <c r="V184" s="4" t="str" cm="1">
        <f t="array" ref="V184">IFERROR(
    IF(
        MATCH(2,1/((Y184:BH184&lt;&gt;0)*(Y184:BH184&lt;&gt;"")))-MATCH(1,INDEX((Y184:BH184&lt;&gt;0)*(Y184:BH184&lt;&gt;""),0),0)+1 &lt;= 12,
        "No",
        "Yes"
    ),
    "No"
)</f>
        <v>Yes</v>
      </c>
      <c r="W184" s="4" t="str" cm="1">
        <f t="array" ref="W184">IFERROR(
    IF(
        MATCH(2,1/((Y184:BH184&lt;&gt;0)*(Y184:BH184&lt;&gt;"")))-MATCH(1,INDEX((Y184:BH184&lt;&gt;0)*(Y184:BH184&lt;&gt;""),0),0)+1 &lt;= 24,
        "No",
        "Yes"
    ),
    "No"
)</f>
        <v>Yes</v>
      </c>
      <c r="X184" s="3"/>
      <c r="Y184" s="4">
        <v>0</v>
      </c>
      <c r="Z184" s="4">
        <v>0</v>
      </c>
      <c r="AA184" s="4">
        <v>0</v>
      </c>
      <c r="AB184" s="4">
        <v>100</v>
      </c>
      <c r="AC184" s="4">
        <v>100</v>
      </c>
      <c r="AD184" s="4">
        <v>100</v>
      </c>
      <c r="AE184" s="4">
        <v>100</v>
      </c>
      <c r="AF184" s="4">
        <v>100</v>
      </c>
      <c r="AG184" s="4">
        <v>100</v>
      </c>
      <c r="AH184" s="4">
        <v>100</v>
      </c>
      <c r="AI184" s="4">
        <v>100</v>
      </c>
      <c r="AJ184" s="4">
        <v>100</v>
      </c>
      <c r="AK184" s="4">
        <v>100</v>
      </c>
      <c r="AL184" s="4">
        <v>100</v>
      </c>
      <c r="AM184" s="4">
        <v>100</v>
      </c>
      <c r="AN184" s="4">
        <v>99.999821249999982</v>
      </c>
      <c r="AO184" s="4">
        <v>99.999821249999982</v>
      </c>
      <c r="AP184" s="4">
        <v>99.999821249999982</v>
      </c>
      <c r="AQ184" s="4">
        <v>99.999821249999982</v>
      </c>
      <c r="AR184" s="4">
        <v>99.999821249999982</v>
      </c>
      <c r="AS184" s="4">
        <v>99.999821249999982</v>
      </c>
      <c r="AT184" s="4">
        <v>99.999821249999982</v>
      </c>
      <c r="AU184" s="4">
        <v>99.999821249999982</v>
      </c>
      <c r="AV184" s="4">
        <v>99.999821249999982</v>
      </c>
      <c r="AW184" s="4">
        <v>99.999821249999982</v>
      </c>
      <c r="AX184" s="4">
        <v>99.999821249999982</v>
      </c>
      <c r="AY184" s="4">
        <v>99.999821249999982</v>
      </c>
      <c r="AZ184" s="4">
        <v>99.999821249999982</v>
      </c>
      <c r="BA184" s="4">
        <v>99.999821249999982</v>
      </c>
      <c r="BB184" s="4">
        <v>99.999821249999982</v>
      </c>
      <c r="BC184" s="4">
        <v>99.999821249999982</v>
      </c>
      <c r="BD184" s="4">
        <v>99.999821249999982</v>
      </c>
      <c r="BE184" s="4">
        <v>99.999821249999982</v>
      </c>
      <c r="BF184" s="4">
        <v>99.999821249999982</v>
      </c>
      <c r="BG184" s="4">
        <v>99.999821249999982</v>
      </c>
      <c r="BH184" s="4">
        <v>99.999821249999982</v>
      </c>
      <c r="BJ184" s="9"/>
    </row>
    <row r="185" spans="1:62" x14ac:dyDescent="0.25">
      <c r="A185" s="6" t="s">
        <v>178</v>
      </c>
      <c r="B185" s="6"/>
      <c r="C185" s="7" t="s">
        <v>525</v>
      </c>
      <c r="D185" s="3"/>
      <c r="E185" s="3">
        <f>VLOOKUP(A185,[2]Sheet1!$A$2:$E$627,5,0)</f>
        <v>1168.746697020204</v>
      </c>
      <c r="F185" s="3">
        <f>VLOOKUP(A185,[2]Sheet1!$A$2:$F$627,6,0)</f>
        <v>1141.3569773537263</v>
      </c>
      <c r="G185" s="3">
        <f>VLOOKUP(A185,[2]Sheet1!$A$2:$G$627,7,0)</f>
        <v>10241.976450871189</v>
      </c>
      <c r="H185" s="4">
        <f t="shared" si="12"/>
        <v>11723.409582829054</v>
      </c>
      <c r="I185" s="11">
        <f t="shared" si="13"/>
        <v>-2.3435120489589071E-2</v>
      </c>
      <c r="J185" s="11">
        <f t="shared" si="14"/>
        <v>7.7632131726949698</v>
      </c>
      <c r="K185" s="11">
        <f t="shared" si="15"/>
        <v>7.9735084238215714</v>
      </c>
      <c r="L185" s="11">
        <f>IF(S185="",((BG185-E185)/E185),((U185-E185)/E185))</f>
        <v>8.9254479379839715</v>
      </c>
      <c r="M185" s="3" t="str">
        <f>IF(S185="Churn","Churn",VLOOKUP(A185,'[1]Revenue_Engine_2025 Dec.25'!$C$14:$E$3993,3,0))</f>
        <v>Teknoloji</v>
      </c>
      <c r="N185" s="3">
        <f>IF(S185="",VLOOKUP(A185,[3]Export!$B$2:$F$417,5,0),"CHURN")</f>
        <v>0.41529965584444611</v>
      </c>
      <c r="O185" s="3">
        <f>(1-N185)*H185</f>
        <v>6854.6816177566652</v>
      </c>
      <c r="P185" s="3">
        <f t="shared" si="17"/>
        <v>667.35181746306637</v>
      </c>
      <c r="Q185" s="3">
        <f t="shared" si="16"/>
        <v>5988.4871556574617</v>
      </c>
      <c r="R185" s="3" t="str">
        <f>IF(S185&lt;&gt;"Churn",VLOOKUP(A185,[3]Export!$B$2:$O$417,8,0),"CHURN")</f>
        <v>NO RISK</v>
      </c>
      <c r="S185" s="3"/>
      <c r="T185" s="3"/>
      <c r="U185" s="3" t="s">
        <v>551</v>
      </c>
      <c r="V185" s="4" t="str" cm="1">
        <f t="array" ref="V185">IFERROR(
    IF(
        MATCH(2,1/((Y185:BH185&lt;&gt;0)*(Y185:BH185&lt;&gt;"")))-MATCH(1,INDEX((Y185:BH185&lt;&gt;0)*(Y185:BH185&lt;&gt;""),0),0)+1 &lt;= 12,
        "No",
        "Yes"
    ),
    "No"
)</f>
        <v>Yes</v>
      </c>
      <c r="W185" s="4" t="str" cm="1">
        <f t="array" ref="W185">IFERROR(
    IF(
        MATCH(2,1/((Y185:BH185&lt;&gt;0)*(Y185:BH185&lt;&gt;"")))-MATCH(1,INDEX((Y185:BH185&lt;&gt;0)*(Y185:BH185&lt;&gt;""),0),0)+1 &lt;= 24,
        "No",
        "Yes"
    ),
    "No"
)</f>
        <v>Yes</v>
      </c>
      <c r="X185" s="3"/>
      <c r="Y185" s="4">
        <v>0</v>
      </c>
      <c r="Z185" s="4">
        <v>0</v>
      </c>
      <c r="AA185" s="4">
        <v>0</v>
      </c>
      <c r="AB185" s="4">
        <v>0</v>
      </c>
      <c r="AC185" s="4">
        <v>1168.746697020204</v>
      </c>
      <c r="AD185" s="4">
        <v>982.87238043143827</v>
      </c>
      <c r="AE185" s="4">
        <v>871.04385137719601</v>
      </c>
      <c r="AF185" s="4">
        <v>854.56430224824715</v>
      </c>
      <c r="AG185" s="4">
        <v>853.77125612024076</v>
      </c>
      <c r="AH185" s="4">
        <v>827.45629501766985</v>
      </c>
      <c r="AI185" s="4">
        <v>804.67692221573043</v>
      </c>
      <c r="AJ185" s="4">
        <v>792.13922363467918</v>
      </c>
      <c r="AK185" s="4">
        <v>766.89929278547822</v>
      </c>
      <c r="AL185" s="4">
        <v>749.27841231162165</v>
      </c>
      <c r="AM185" s="4">
        <v>720.59201333408532</v>
      </c>
      <c r="AN185" s="4">
        <v>1141.3569773537263</v>
      </c>
      <c r="AO185" s="4">
        <v>1143.0162304884677</v>
      </c>
      <c r="AP185" s="4">
        <v>4582.9524384459492</v>
      </c>
      <c r="AQ185" s="4">
        <v>4529.8649228717813</v>
      </c>
      <c r="AR185" s="4">
        <v>9287.7861782333348</v>
      </c>
      <c r="AS185" s="4">
        <v>10506.562066497052</v>
      </c>
      <c r="AT185" s="4">
        <v>10441.593056068505</v>
      </c>
      <c r="AU185" s="4">
        <v>11058.684166838862</v>
      </c>
      <c r="AV185" s="4">
        <v>10829.431986717398</v>
      </c>
      <c r="AW185" s="4">
        <v>10666.182223862066</v>
      </c>
      <c r="AX185" s="4">
        <v>10478.156717840819</v>
      </c>
      <c r="AY185" s="4">
        <v>10216.740218970212</v>
      </c>
      <c r="AZ185" s="4">
        <v>10241.976450871189</v>
      </c>
      <c r="BA185" s="4">
        <v>10070.276296760945</v>
      </c>
      <c r="BB185" s="4">
        <v>12438.611034121508</v>
      </c>
      <c r="BC185" s="4">
        <v>12199.352225425453</v>
      </c>
      <c r="BD185" s="4">
        <v>12011.474484746694</v>
      </c>
      <c r="BE185" s="4">
        <v>11866.082515682381</v>
      </c>
      <c r="BF185" s="4">
        <v>11723.409582829054</v>
      </c>
      <c r="BG185" s="4">
        <v>11600.334493964761</v>
      </c>
      <c r="BH185" s="4">
        <v>11487.257104787936</v>
      </c>
      <c r="BJ185" s="9"/>
    </row>
    <row r="186" spans="1:62" x14ac:dyDescent="0.25">
      <c r="A186" s="6" t="s">
        <v>179</v>
      </c>
      <c r="B186" s="6"/>
      <c r="C186" s="7" t="s">
        <v>526</v>
      </c>
      <c r="D186" s="3"/>
      <c r="E186" s="3">
        <f>VLOOKUP(A186,[2]Sheet1!$A$2:$E$627,5,0)</f>
        <v>324.99921166666667</v>
      </c>
      <c r="F186" s="3">
        <f>VLOOKUP(A186,[2]Sheet1!$A$2:$F$627,6,0)</f>
        <v>381.99921166666667</v>
      </c>
      <c r="G186" s="3">
        <f>VLOOKUP(A186,[2]Sheet1!$A$2:$G$627,7,0)</f>
        <v>614.99921166666672</v>
      </c>
      <c r="H186" s="4">
        <f t="shared" si="12"/>
        <v>674.99921166666672</v>
      </c>
      <c r="I186" s="11">
        <f t="shared" si="13"/>
        <v>0.17538504080576564</v>
      </c>
      <c r="J186" s="11">
        <f t="shared" si="14"/>
        <v>0.89230985673108854</v>
      </c>
      <c r="K186" s="11">
        <f t="shared" si="15"/>
        <v>0.60994890273050184</v>
      </c>
      <c r="L186" s="11">
        <f>IF(S186="",((BG186-E186)/E186),((U186-E186)/E186))</f>
        <v>1.0769256891582102</v>
      </c>
      <c r="M186" s="3" t="str">
        <f>IF(S186="Churn","Churn",VLOOKUP(A186,'[1]Revenue_Engine_2025 Dec.25'!$C$14:$E$3993,3,0))</f>
        <v>Enerji</v>
      </c>
      <c r="N186" s="3">
        <f>IF(S186="",VLOOKUP(A186,[3]Export!$B$2:$F$417,5,0),"CHURN")</f>
        <v>0.15407425401758554</v>
      </c>
      <c r="O186" s="3">
        <f>(1-N186)*H186</f>
        <v>570.99921166666672</v>
      </c>
      <c r="P186" s="3">
        <f t="shared" si="17"/>
        <v>323.14296809381921</v>
      </c>
      <c r="Q186" s="3">
        <f t="shared" si="16"/>
        <v>520.24366690772183</v>
      </c>
      <c r="R186" s="3" t="str">
        <f>IF(S186&lt;&gt;"Churn",VLOOKUP(A186,[3]Export!$B$2:$O$417,8,0),"CHURN")</f>
        <v>NO RISK</v>
      </c>
      <c r="S186" s="3"/>
      <c r="T186" s="3"/>
      <c r="U186" s="3" t="s">
        <v>551</v>
      </c>
      <c r="V186" s="4" t="str" cm="1">
        <f t="array" ref="V186">IFERROR(
    IF(
        MATCH(2,1/((Y186:BH186&lt;&gt;0)*(Y186:BH186&lt;&gt;"")))-MATCH(1,INDEX((Y186:BH186&lt;&gt;0)*(Y186:BH186&lt;&gt;""),0),0)+1 &lt;= 12,
        "No",
        "Yes"
    ),
    "No"
)</f>
        <v>Yes</v>
      </c>
      <c r="W186" s="4" t="str" cm="1">
        <f t="array" ref="W186">IFERROR(
    IF(
        MATCH(2,1/((Y186:BH186&lt;&gt;0)*(Y186:BH186&lt;&gt;"")))-MATCH(1,INDEX((Y186:BH186&lt;&gt;0)*(Y186:BH186&lt;&gt;""),0),0)+1 &lt;= 24,
        "No",
        "Yes"
    ),
    "No"
)</f>
        <v>Yes</v>
      </c>
      <c r="X186" s="3"/>
      <c r="Y186" s="4">
        <v>0</v>
      </c>
      <c r="Z186" s="4">
        <v>0</v>
      </c>
      <c r="AA186" s="4">
        <v>0</v>
      </c>
      <c r="AB186" s="4">
        <v>0</v>
      </c>
      <c r="AC186" s="4">
        <v>324.99921166666667</v>
      </c>
      <c r="AD186" s="4">
        <v>324.99921166666667</v>
      </c>
      <c r="AE186" s="4">
        <v>324.99921166666667</v>
      </c>
      <c r="AF186" s="4">
        <v>324.99921166666667</v>
      </c>
      <c r="AG186" s="4">
        <v>342.99921166666667</v>
      </c>
      <c r="AH186" s="4">
        <v>342.99921166666701</v>
      </c>
      <c r="AI186" s="4">
        <v>387.99921166666701</v>
      </c>
      <c r="AJ186" s="4">
        <v>387.99921166666701</v>
      </c>
      <c r="AK186" s="4">
        <v>387.99921166666701</v>
      </c>
      <c r="AL186" s="4">
        <v>387.99921166666667</v>
      </c>
      <c r="AM186" s="4">
        <v>324.99921166666667</v>
      </c>
      <c r="AN186" s="4">
        <v>324.99921166666667</v>
      </c>
      <c r="AO186" s="4">
        <v>381.99921166666667</v>
      </c>
      <c r="AP186" s="4">
        <v>606.99921166666672</v>
      </c>
      <c r="AQ186" s="4">
        <v>606.99921166666672</v>
      </c>
      <c r="AR186" s="4">
        <v>606.99921166666672</v>
      </c>
      <c r="AS186" s="4">
        <v>606.99921166666672</v>
      </c>
      <c r="AT186" s="4">
        <v>606.99921166666672</v>
      </c>
      <c r="AU186" s="4">
        <v>606.99921166666672</v>
      </c>
      <c r="AV186" s="4">
        <v>606.99921166666672</v>
      </c>
      <c r="AW186" s="4">
        <v>606.99921166666672</v>
      </c>
      <c r="AX186" s="4">
        <v>614.99921166666672</v>
      </c>
      <c r="AY186" s="4">
        <v>614.99921166666672</v>
      </c>
      <c r="AZ186" s="4">
        <v>614.99921166666672</v>
      </c>
      <c r="BA186" s="4">
        <v>614.99921166666672</v>
      </c>
      <c r="BB186" s="4">
        <v>614.99921166666672</v>
      </c>
      <c r="BC186" s="4">
        <v>614.99921166666672</v>
      </c>
      <c r="BD186" s="4">
        <v>614.99921166666672</v>
      </c>
      <c r="BE186" s="4">
        <v>614.99921166666672</v>
      </c>
      <c r="BF186" s="4">
        <v>674.99921166666672</v>
      </c>
      <c r="BG186" s="4">
        <v>674.99921166666672</v>
      </c>
      <c r="BH186" s="4">
        <v>674.99921166666672</v>
      </c>
      <c r="BJ186" s="9"/>
    </row>
    <row r="187" spans="1:62" x14ac:dyDescent="0.25">
      <c r="A187" s="6" t="s">
        <v>180</v>
      </c>
      <c r="B187" s="6"/>
      <c r="C187" s="7" t="s">
        <v>526</v>
      </c>
      <c r="D187" s="3"/>
      <c r="E187" s="3">
        <f>VLOOKUP(A187,[2]Sheet1!$A$2:$E$627,5,0)</f>
        <v>150.00521699999999</v>
      </c>
      <c r="F187" s="3">
        <f>VLOOKUP(A187,[2]Sheet1!$A$2:$F$627,6,0)</f>
        <v>173.00521699999999</v>
      </c>
      <c r="G187" s="3">
        <f>VLOOKUP(A187,[2]Sheet1!$A$2:$G$627,7,0)</f>
        <v>173.00521699999999</v>
      </c>
      <c r="H187" s="4">
        <f t="shared" si="12"/>
        <v>173.00521699999999</v>
      </c>
      <c r="I187" s="11">
        <f t="shared" si="13"/>
        <v>0.153328000585473</v>
      </c>
      <c r="J187" s="11">
        <f t="shared" si="14"/>
        <v>0.153328000585473</v>
      </c>
      <c r="K187" s="11">
        <f t="shared" si="15"/>
        <v>0</v>
      </c>
      <c r="L187" s="11">
        <f>IF(S187="",((BG187-E187)/E187),((U187-E187)/E187))</f>
        <v>0.153328000585473</v>
      </c>
      <c r="M187" s="3" t="str">
        <f>IF(S187="Churn","Churn",VLOOKUP(A187,'[1]Revenue_Engine_2025 Dec.25'!$C$14:$E$3993,3,0))</f>
        <v>Bayi</v>
      </c>
      <c r="N187" s="3">
        <f>IF(S187="",VLOOKUP(A187,[3]Export!$B$2:$F$417,5,0),"CHURN")</f>
        <v>0.17340517540577979</v>
      </c>
      <c r="O187" s="3">
        <f>(1-N187)*H187</f>
        <v>143.00521699999999</v>
      </c>
      <c r="P187" s="3">
        <f t="shared" si="17"/>
        <v>143.00521699999999</v>
      </c>
      <c r="Q187" s="3">
        <f t="shared" si="16"/>
        <v>143.00521699999999</v>
      </c>
      <c r="R187" s="3" t="str">
        <f>IF(S187&lt;&gt;"Churn",VLOOKUP(A187,[3]Export!$B$2:$O$417,8,0),"CHURN")</f>
        <v>NO RISK</v>
      </c>
      <c r="S187" s="3"/>
      <c r="T187" s="3"/>
      <c r="U187" s="3" t="s">
        <v>551</v>
      </c>
      <c r="V187" s="4" t="str" cm="1">
        <f t="array" ref="V187">IFERROR(
    IF(
        MATCH(2,1/((Y187:BH187&lt;&gt;0)*(Y187:BH187&lt;&gt;"")))-MATCH(1,INDEX((Y187:BH187&lt;&gt;0)*(Y187:BH187&lt;&gt;""),0),0)+1 &lt;= 12,
        "No",
        "Yes"
    ),
    "No"
)</f>
        <v>Yes</v>
      </c>
      <c r="W187" s="4" t="str" cm="1">
        <f t="array" ref="W187">IFERROR(
    IF(
        MATCH(2,1/((Y187:BH187&lt;&gt;0)*(Y187:BH187&lt;&gt;"")))-MATCH(1,INDEX((Y187:BH187&lt;&gt;0)*(Y187:BH187&lt;&gt;""),0),0)+1 &lt;= 24,
        "No",
        "Yes"
    ),
    "No"
)</f>
        <v>Yes</v>
      </c>
      <c r="X187" s="3"/>
      <c r="Y187" s="4">
        <v>0</v>
      </c>
      <c r="Z187" s="4">
        <v>0</v>
      </c>
      <c r="AA187" s="4">
        <v>0</v>
      </c>
      <c r="AB187" s="4">
        <v>0</v>
      </c>
      <c r="AC187" s="4">
        <v>150.00521699999999</v>
      </c>
      <c r="AD187" s="4">
        <v>150.00521699999999</v>
      </c>
      <c r="AE187" s="4">
        <v>150.00521699999999</v>
      </c>
      <c r="AF187" s="4">
        <v>150.00521699999999</v>
      </c>
      <c r="AG187" s="4">
        <v>150.00521699999999</v>
      </c>
      <c r="AH187" s="4">
        <v>150.00521699999999</v>
      </c>
      <c r="AI187" s="4">
        <v>150.00521699999999</v>
      </c>
      <c r="AJ187" s="4">
        <v>160</v>
      </c>
      <c r="AK187" s="4">
        <v>173.00521699999999</v>
      </c>
      <c r="AL187" s="4">
        <v>173.00521699999999</v>
      </c>
      <c r="AM187" s="4">
        <v>173.00521699999999</v>
      </c>
      <c r="AN187" s="4">
        <v>173.00521699999999</v>
      </c>
      <c r="AO187" s="4">
        <v>173.00521699999999</v>
      </c>
      <c r="AP187" s="4">
        <v>173.00521699999999</v>
      </c>
      <c r="AQ187" s="4">
        <v>173.00521699999999</v>
      </c>
      <c r="AR187" s="4">
        <v>173.00521699999999</v>
      </c>
      <c r="AS187" s="4">
        <v>173.00521699999999</v>
      </c>
      <c r="AT187" s="4">
        <v>173.00521699999999</v>
      </c>
      <c r="AU187" s="4">
        <v>173.00521699999999</v>
      </c>
      <c r="AV187" s="4">
        <v>173.00521699999999</v>
      </c>
      <c r="AW187" s="4">
        <v>173.00521699999999</v>
      </c>
      <c r="AX187" s="4">
        <v>173.00521699999999</v>
      </c>
      <c r="AY187" s="4">
        <v>173.00521699999999</v>
      </c>
      <c r="AZ187" s="4">
        <v>173.00521699999996</v>
      </c>
      <c r="BA187" s="4">
        <v>173.00521699999999</v>
      </c>
      <c r="BB187" s="4">
        <v>173.00521699999999</v>
      </c>
      <c r="BC187" s="4">
        <v>173.00521699999999</v>
      </c>
      <c r="BD187" s="4">
        <v>173.00521699999999</v>
      </c>
      <c r="BE187" s="4">
        <v>173.00521699999999</v>
      </c>
      <c r="BF187" s="4">
        <v>173.00521699999999</v>
      </c>
      <c r="BG187" s="4">
        <v>173.00521699999999</v>
      </c>
      <c r="BH187" s="4">
        <v>173.00521699999999</v>
      </c>
      <c r="BJ187" s="9"/>
    </row>
    <row r="188" spans="1:62" x14ac:dyDescent="0.25">
      <c r="A188" s="6" t="s">
        <v>181</v>
      </c>
      <c r="B188" s="6"/>
      <c r="C188" s="7" t="s">
        <v>526</v>
      </c>
      <c r="D188" s="3"/>
      <c r="E188" s="3">
        <f>VLOOKUP(A188,[2]Sheet1!$A$2:$E$627,5,0)</f>
        <v>135.000001</v>
      </c>
      <c r="F188" s="3">
        <f>VLOOKUP(A188,[2]Sheet1!$A$2:$F$627,6,0)</f>
        <v>154.000001</v>
      </c>
      <c r="G188" s="3">
        <f>VLOOKUP(A188,[2]Sheet1!$A$2:$G$627,7,0)</f>
        <v>149.99641199999996</v>
      </c>
      <c r="H188" s="4">
        <f t="shared" si="12"/>
        <v>149.99641199999996</v>
      </c>
      <c r="I188" s="11">
        <f t="shared" si="13"/>
        <v>0.14074073969821674</v>
      </c>
      <c r="J188" s="11">
        <f t="shared" si="14"/>
        <v>0.11108452510307734</v>
      </c>
      <c r="K188" s="11">
        <f t="shared" si="15"/>
        <v>-2.599733100001755E-2</v>
      </c>
      <c r="L188" s="11">
        <f>IF(S188="",((BG188-E188)/E188),((U188-E188)/E188))</f>
        <v>0.11108452510307734</v>
      </c>
      <c r="M188" s="3" t="str">
        <f>IF(S188="Churn","Churn",VLOOKUP(A188,'[1]Revenue_Engine_2025 Dec.25'!$C$14:$E$3993,3,0))</f>
        <v>Diğer</v>
      </c>
      <c r="N188" s="3">
        <f>IF(S188="",VLOOKUP(A188,[3]Export!$B$2:$F$417,5,0),"CHURN")</f>
        <v>0.16259722265889934</v>
      </c>
      <c r="O188" s="3">
        <f>(1-N188)*H188</f>
        <v>125.60741199999997</v>
      </c>
      <c r="P188" s="3">
        <f t="shared" si="17"/>
        <v>128.96002854793227</v>
      </c>
      <c r="Q188" s="3">
        <f t="shared" si="16"/>
        <v>125.60741199999997</v>
      </c>
      <c r="R188" s="3" t="str">
        <f>IF(S188&lt;&gt;"Churn",VLOOKUP(A188,[3]Export!$B$2:$O$417,8,0),"CHURN")</f>
        <v>NO RISK</v>
      </c>
      <c r="S188" s="3"/>
      <c r="T188" s="3"/>
      <c r="U188" s="3" t="s">
        <v>551</v>
      </c>
      <c r="V188" s="4" t="str" cm="1">
        <f t="array" ref="V188">IFERROR(
    IF(
        MATCH(2,1/((Y188:BH188&lt;&gt;0)*(Y188:BH188&lt;&gt;"")))-MATCH(1,INDEX((Y188:BH188&lt;&gt;0)*(Y188:BH188&lt;&gt;""),0),0)+1 &lt;= 12,
        "No",
        "Yes"
    ),
    "No"
)</f>
        <v>Yes</v>
      </c>
      <c r="W188" s="4" t="str" cm="1">
        <f t="array" ref="W188">IFERROR(
    IF(
        MATCH(2,1/((Y188:BH188&lt;&gt;0)*(Y188:BH188&lt;&gt;"")))-MATCH(1,INDEX((Y188:BH188&lt;&gt;0)*(Y188:BH188&lt;&gt;""),0),0)+1 &lt;= 24,
        "No",
        "Yes"
    ),
    "No"
)</f>
        <v>Yes</v>
      </c>
      <c r="X188" s="3"/>
      <c r="Y188" s="4">
        <v>0</v>
      </c>
      <c r="Z188" s="4">
        <v>0</v>
      </c>
      <c r="AA188" s="4">
        <v>0</v>
      </c>
      <c r="AB188" s="4">
        <v>0</v>
      </c>
      <c r="AC188" s="4">
        <v>135.000001</v>
      </c>
      <c r="AD188" s="4">
        <v>135.000001</v>
      </c>
      <c r="AE188" s="4">
        <v>135.000001</v>
      </c>
      <c r="AF188" s="4">
        <v>135.000001</v>
      </c>
      <c r="AG188" s="4">
        <v>192.000001</v>
      </c>
      <c r="AH188" s="4">
        <v>154.000001</v>
      </c>
      <c r="AI188" s="4">
        <v>154.000001</v>
      </c>
      <c r="AJ188" s="4">
        <v>154.000001</v>
      </c>
      <c r="AK188" s="4">
        <v>154.000001</v>
      </c>
      <c r="AL188" s="4">
        <v>154.000001</v>
      </c>
      <c r="AM188" s="4">
        <v>154.000001</v>
      </c>
      <c r="AN188" s="4">
        <v>154.000001</v>
      </c>
      <c r="AO188" s="4">
        <v>154.000001</v>
      </c>
      <c r="AP188" s="4">
        <v>154.000001</v>
      </c>
      <c r="AQ188" s="4">
        <v>154.000001</v>
      </c>
      <c r="AR188" s="4">
        <v>154.000001</v>
      </c>
      <c r="AS188" s="4">
        <v>154.000001</v>
      </c>
      <c r="AT188" s="4">
        <v>154.000001</v>
      </c>
      <c r="AU188" s="4">
        <v>154.000001</v>
      </c>
      <c r="AV188" s="4">
        <v>154.000001</v>
      </c>
      <c r="AW188" s="4">
        <v>154.000001</v>
      </c>
      <c r="AX188" s="4">
        <v>154.000001</v>
      </c>
      <c r="AY188" s="4">
        <v>154.000001</v>
      </c>
      <c r="AZ188" s="4">
        <v>149.99641199999996</v>
      </c>
      <c r="BA188" s="4">
        <v>149.99641199999996</v>
      </c>
      <c r="BB188" s="4">
        <v>149.99641199999996</v>
      </c>
      <c r="BC188" s="4">
        <v>149.99641199999996</v>
      </c>
      <c r="BD188" s="4">
        <v>149.99641199999996</v>
      </c>
      <c r="BE188" s="4">
        <v>149.99641199999996</v>
      </c>
      <c r="BF188" s="4">
        <v>149.99641199999996</v>
      </c>
      <c r="BG188" s="4">
        <v>149.99641199999996</v>
      </c>
      <c r="BH188" s="4">
        <v>149.99641199999996</v>
      </c>
      <c r="BJ188" s="9"/>
    </row>
    <row r="189" spans="1:62" x14ac:dyDescent="0.25">
      <c r="A189" s="6" t="s">
        <v>182</v>
      </c>
      <c r="B189" s="6"/>
      <c r="C189" s="7" t="s">
        <v>525</v>
      </c>
      <c r="D189" s="3"/>
      <c r="E189" s="3">
        <f>VLOOKUP(A189,[2]Sheet1!$A$2:$E$627,5,0)</f>
        <v>1888.8888444444444</v>
      </c>
      <c r="F189" s="3">
        <f>VLOOKUP(A189,[2]Sheet1!$A$2:$F$627,6,0)</f>
        <v>1888.8888444444444</v>
      </c>
      <c r="G189" s="3">
        <f>VLOOKUP(A189,[2]Sheet1!$A$2:$G$627,7,0)</f>
        <v>1888.8888444444444</v>
      </c>
      <c r="H189" s="4">
        <f t="shared" si="12"/>
        <v>1888.8888444444444</v>
      </c>
      <c r="I189" s="11">
        <f t="shared" si="13"/>
        <v>0</v>
      </c>
      <c r="J189" s="11">
        <f t="shared" si="14"/>
        <v>0</v>
      </c>
      <c r="K189" s="11">
        <f t="shared" si="15"/>
        <v>0</v>
      </c>
      <c r="L189" s="11">
        <f>IF(S189="",((BG189-E189)/E189),((U189-E189)/E189))</f>
        <v>0</v>
      </c>
      <c r="M189" s="3" t="str">
        <f>IF(S189="Churn","Churn",VLOOKUP(A189,'[1]Revenue_Engine_2025 Dec.25'!$C$14:$E$3993,3,0))</f>
        <v>Üretim</v>
      </c>
      <c r="N189" s="3">
        <f>IF(S189="",VLOOKUP(A189,[3]Export!$B$2:$F$417,5,0),"CHURN")</f>
        <v>0</v>
      </c>
      <c r="O189" s="3">
        <f>(1-N189)*H189</f>
        <v>1888.8888444444444</v>
      </c>
      <c r="P189" s="3">
        <f t="shared" si="17"/>
        <v>1888.8888444444444</v>
      </c>
      <c r="Q189" s="3">
        <f t="shared" si="16"/>
        <v>1888.8888444444444</v>
      </c>
      <c r="R189" s="3" t="str">
        <f>IF(S189&lt;&gt;"Churn",VLOOKUP(A189,[3]Export!$B$2:$O$417,8,0),"CHURN")</f>
        <v>NO RISK</v>
      </c>
      <c r="S189" s="3"/>
      <c r="T189" s="3"/>
      <c r="U189" s="3" t="s">
        <v>551</v>
      </c>
      <c r="V189" s="4" t="str" cm="1">
        <f t="array" ref="V189">IFERROR(
    IF(
        MATCH(2,1/((Y189:BH189&lt;&gt;0)*(Y189:BH189&lt;&gt;"")))-MATCH(1,INDEX((Y189:BH189&lt;&gt;0)*(Y189:BH189&lt;&gt;""),0),0)+1 &lt;= 12,
        "No",
        "Yes"
    ),
    "No"
)</f>
        <v>Yes</v>
      </c>
      <c r="W189" s="4" t="str" cm="1">
        <f t="array" ref="W189">IFERROR(
    IF(
        MATCH(2,1/((Y189:BH189&lt;&gt;0)*(Y189:BH189&lt;&gt;"")))-MATCH(1,INDEX((Y189:BH189&lt;&gt;0)*(Y189:BH189&lt;&gt;""),0),0)+1 &lt;= 24,
        "No",
        "Yes"
    ),
    "No"
)</f>
        <v>Yes</v>
      </c>
      <c r="X189" s="3"/>
      <c r="Y189" s="4">
        <v>0</v>
      </c>
      <c r="Z189" s="4">
        <v>0</v>
      </c>
      <c r="AA189" s="4">
        <v>0</v>
      </c>
      <c r="AB189" s="4">
        <v>0</v>
      </c>
      <c r="AC189" s="4">
        <v>0</v>
      </c>
      <c r="AD189" s="4">
        <v>1888.8888444444444</v>
      </c>
      <c r="AE189" s="4">
        <v>1888.8888444444444</v>
      </c>
      <c r="AF189" s="4">
        <v>1888.8888444444444</v>
      </c>
      <c r="AG189" s="4">
        <v>1888.8888444444444</v>
      </c>
      <c r="AH189" s="4">
        <v>1888.8888444444444</v>
      </c>
      <c r="AI189" s="4">
        <v>1888.8888444444444</v>
      </c>
      <c r="AJ189" s="4">
        <v>1888.8888444444444</v>
      </c>
      <c r="AK189" s="4">
        <v>1888.8888444444444</v>
      </c>
      <c r="AL189" s="4">
        <v>1888.8888444444444</v>
      </c>
      <c r="AM189" s="4">
        <v>1888.8888444444444</v>
      </c>
      <c r="AN189" s="4">
        <v>1888.8888444444444</v>
      </c>
      <c r="AO189" s="4">
        <v>1888.8888444444444</v>
      </c>
      <c r="AP189" s="4">
        <v>1888.8888444444444</v>
      </c>
      <c r="AQ189" s="4">
        <v>1888.8888444444444</v>
      </c>
      <c r="AR189" s="4">
        <v>1888.8888444444444</v>
      </c>
      <c r="AS189" s="4">
        <v>1888.8888444444444</v>
      </c>
      <c r="AT189" s="4">
        <v>1888.8888444444444</v>
      </c>
      <c r="AU189" s="4">
        <v>1888.8888444444444</v>
      </c>
      <c r="AV189" s="4">
        <v>1888.8888444444444</v>
      </c>
      <c r="AW189" s="4">
        <v>1888.8888444444444</v>
      </c>
      <c r="AX189" s="4">
        <v>1888.8888444444444</v>
      </c>
      <c r="AY189" s="4">
        <v>1888.8888444444444</v>
      </c>
      <c r="AZ189" s="4">
        <v>1888.8888444444444</v>
      </c>
      <c r="BA189" s="4">
        <v>1888.8888444444444</v>
      </c>
      <c r="BB189" s="4">
        <v>1888.8888444444444</v>
      </c>
      <c r="BC189" s="4">
        <v>1888.8888444444444</v>
      </c>
      <c r="BD189" s="4">
        <v>1888.8888444444444</v>
      </c>
      <c r="BE189" s="4">
        <v>1888.8888444444444</v>
      </c>
      <c r="BF189" s="4">
        <v>1888.8888444444444</v>
      </c>
      <c r="BG189" s="4">
        <v>1888.8888444444444</v>
      </c>
      <c r="BH189" s="4">
        <v>1888.8888444444444</v>
      </c>
      <c r="BJ189" s="9"/>
    </row>
    <row r="190" spans="1:62" x14ac:dyDescent="0.25">
      <c r="A190" s="6" t="s">
        <v>183</v>
      </c>
      <c r="B190" s="6"/>
      <c r="C190" s="7" t="s">
        <v>525</v>
      </c>
      <c r="D190" s="3"/>
      <c r="E190" s="3">
        <f>VLOOKUP(A190,[2]Sheet1!$A$2:$E$627,5,0)</f>
        <v>2709</v>
      </c>
      <c r="F190" s="3">
        <f>VLOOKUP(A190,[2]Sheet1!$A$2:$F$627,6,0)</f>
        <v>12757.324889648211</v>
      </c>
      <c r="G190" s="3">
        <f>VLOOKUP(A190,[2]Sheet1!$A$2:$G$627,7,0)</f>
        <v>16921.416020739074</v>
      </c>
      <c r="H190" s="4">
        <f t="shared" si="12"/>
        <v>0</v>
      </c>
      <c r="I190" s="11">
        <f t="shared" si="13"/>
        <v>3.7092376853629423</v>
      </c>
      <c r="J190" s="11">
        <f t="shared" si="14"/>
        <v>5.2463698858394512</v>
      </c>
      <c r="K190" s="11">
        <f t="shared" si="15"/>
        <v>0.3264078611394281</v>
      </c>
      <c r="L190" s="11">
        <f>IF(S190="",((BG190-E190)/E190),((U190-E190)/E190))</f>
        <v>5.2463698858394512</v>
      </c>
      <c r="M190" s="3" t="str">
        <f>IF(S190="Churn","Churn",VLOOKUP(A190,'[1]Revenue_Engine_2025 Dec.25'!$C$14:$E$3993,3,0))</f>
        <v>Churn</v>
      </c>
      <c r="N190" s="3" t="str">
        <f>IF(S190="",VLOOKUP(A190,[3]Export!$B$2:$F$417,5,0),"CHURN")</f>
        <v>CHURN</v>
      </c>
      <c r="O190" s="3" t="e">
        <f>(1-N190)*H190</f>
        <v>#VALUE!</v>
      </c>
      <c r="P190" s="3" t="e">
        <f t="shared" si="17"/>
        <v>#VALUE!</v>
      </c>
      <c r="Q190" s="3" t="e">
        <f t="shared" si="16"/>
        <v>#VALUE!</v>
      </c>
      <c r="R190" s="3" t="str">
        <f>IF(S190&lt;&gt;"Churn",VLOOKUP(A190,[3]Export!$B$2:$O$417,8,0),"CHURN")</f>
        <v>CHURN</v>
      </c>
      <c r="S190" s="3" t="s">
        <v>372</v>
      </c>
      <c r="T190" s="3" t="s">
        <v>557</v>
      </c>
      <c r="U190" s="3">
        <v>16921.416020739074</v>
      </c>
      <c r="V190" s="4" t="str" cm="1">
        <f t="array" ref="V190">IFERROR(
    IF(
        MATCH(2,1/((Y190:BH190&lt;&gt;0)*(Y190:BH190&lt;&gt;"")))-MATCH(1,INDEX((Y190:BH190&lt;&gt;0)*(Y190:BH190&lt;&gt;""),0),0)+1 &lt;= 12,
        "No",
        "Yes"
    ),
    "No"
)</f>
        <v>Yes</v>
      </c>
      <c r="W190" s="4" t="str" cm="1">
        <f t="array" ref="W190">IFERROR(
    IF(
        MATCH(2,1/((Y190:BH190&lt;&gt;0)*(Y190:BH190&lt;&gt;"")))-MATCH(1,INDEX((Y190:BH190&lt;&gt;0)*(Y190:BH190&lt;&gt;""),0),0)+1 &lt;= 24,
        "No",
        "Yes"
    ),
    "No"
)</f>
        <v>Yes</v>
      </c>
      <c r="X190" s="3"/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2700</v>
      </c>
      <c r="AE190" s="4">
        <v>2700</v>
      </c>
      <c r="AF190" s="4">
        <v>2709</v>
      </c>
      <c r="AG190" s="4">
        <v>2709</v>
      </c>
      <c r="AH190" s="4">
        <v>11750.148983505918</v>
      </c>
      <c r="AI190" s="4">
        <v>11714.494313033318</v>
      </c>
      <c r="AJ190" s="4">
        <v>11694.870089167325</v>
      </c>
      <c r="AK190" s="4">
        <v>11655.364110446837</v>
      </c>
      <c r="AL190" s="4">
        <v>11627.78360187906</v>
      </c>
      <c r="AM190" s="4">
        <v>11582.883151305525</v>
      </c>
      <c r="AN190" s="4">
        <v>11571.649555046171</v>
      </c>
      <c r="AO190" s="4">
        <v>12757.324889648211</v>
      </c>
      <c r="AP190" s="4">
        <v>12975.856523922459</v>
      </c>
      <c r="AQ190" s="4">
        <v>13163.012472358963</v>
      </c>
      <c r="AR190" s="4">
        <v>13799.836892459476</v>
      </c>
      <c r="AS190" s="4">
        <v>14071.90940087281</v>
      </c>
      <c r="AT190" s="4">
        <v>14499.819953176262</v>
      </c>
      <c r="AU190" s="4">
        <v>14491.617439471947</v>
      </c>
      <c r="AV190" s="4">
        <v>14468.608223294408</v>
      </c>
      <c r="AW190" s="4">
        <v>17041.014065998817</v>
      </c>
      <c r="AX190" s="4">
        <v>17015.720648701936</v>
      </c>
      <c r="AY190" s="4">
        <v>16980.55458674502</v>
      </c>
      <c r="AZ190" s="4">
        <v>16943.840939571128</v>
      </c>
      <c r="BA190" s="4">
        <v>16921.416020739074</v>
      </c>
      <c r="BB190" s="4">
        <v>16899.085901870214</v>
      </c>
      <c r="BC190" s="4">
        <v>16150.995868706985</v>
      </c>
      <c r="BD190" s="4">
        <v>0</v>
      </c>
      <c r="BE190" s="4">
        <v>0</v>
      </c>
      <c r="BF190" s="4">
        <v>0</v>
      </c>
      <c r="BG190" s="4">
        <v>0</v>
      </c>
      <c r="BH190" s="4">
        <v>0</v>
      </c>
      <c r="BJ190" s="9"/>
    </row>
    <row r="191" spans="1:62" x14ac:dyDescent="0.25">
      <c r="A191" s="6" t="s">
        <v>184</v>
      </c>
      <c r="B191" s="6"/>
      <c r="C191" s="7" t="s">
        <v>525</v>
      </c>
      <c r="D191" s="3"/>
      <c r="E191" s="3">
        <f>VLOOKUP(A191,[2]Sheet1!$A$2:$E$627,5,0)</f>
        <v>100</v>
      </c>
      <c r="F191" s="3">
        <f>VLOOKUP(A191,[2]Sheet1!$A$2:$F$627,6,0)</f>
        <v>100</v>
      </c>
      <c r="G191" s="3">
        <f>VLOOKUP(A191,[2]Sheet1!$A$2:$G$627,7,0)</f>
        <v>100</v>
      </c>
      <c r="H191" s="4">
        <f t="shared" si="12"/>
        <v>100</v>
      </c>
      <c r="I191" s="11">
        <f t="shared" si="13"/>
        <v>0</v>
      </c>
      <c r="J191" s="11">
        <f t="shared" si="14"/>
        <v>0</v>
      </c>
      <c r="K191" s="11">
        <f t="shared" si="15"/>
        <v>0</v>
      </c>
      <c r="L191" s="11">
        <f>IF(S191="",((BG191-E191)/E191),((U191-E191)/E191))</f>
        <v>0</v>
      </c>
      <c r="M191" s="3" t="str">
        <f>IF(S191="Churn","Churn",VLOOKUP(A191,'[1]Revenue_Engine_2025 Dec.25'!$C$14:$E$3993,3,0))</f>
        <v>Finans</v>
      </c>
      <c r="N191" s="3">
        <v>0</v>
      </c>
      <c r="O191" s="3">
        <f>(1-N191)*H191</f>
        <v>100</v>
      </c>
      <c r="P191" s="3">
        <f t="shared" si="17"/>
        <v>100</v>
      </c>
      <c r="Q191" s="3">
        <f t="shared" si="16"/>
        <v>100</v>
      </c>
      <c r="R191" s="3" t="e">
        <f>IF(S191&lt;&gt;"Churn",VLOOKUP(A191,[3]Export!$B$2:$O$417,8,0),"CHURN")</f>
        <v>#N/A</v>
      </c>
      <c r="S191" s="3"/>
      <c r="T191" s="3"/>
      <c r="U191" s="3" t="s">
        <v>551</v>
      </c>
      <c r="V191" s="4" t="str" cm="1">
        <f t="array" ref="V191">IFERROR(
    IF(
        MATCH(2,1/((Y191:BH191&lt;&gt;0)*(Y191:BH191&lt;&gt;"")))-MATCH(1,INDEX((Y191:BH191&lt;&gt;0)*(Y191:BH191&lt;&gt;""),0),0)+1 &lt;= 12,
        "No",
        "Yes"
    ),
    "No"
)</f>
        <v>Yes</v>
      </c>
      <c r="W191" s="4" t="str" cm="1">
        <f t="array" ref="W191">IFERROR(
    IF(
        MATCH(2,1/((Y191:BH191&lt;&gt;0)*(Y191:BH191&lt;&gt;"")))-MATCH(1,INDEX((Y191:BH191&lt;&gt;0)*(Y191:BH191&lt;&gt;""),0),0)+1 &lt;= 24,
        "No",
        "Yes"
    ),
    "No"
)</f>
        <v>Yes</v>
      </c>
      <c r="X191" s="3"/>
      <c r="Y191" s="4">
        <v>0</v>
      </c>
      <c r="Z191" s="4">
        <v>0</v>
      </c>
      <c r="AA191" s="4">
        <v>0</v>
      </c>
      <c r="AB191" s="4">
        <v>0</v>
      </c>
      <c r="AC191" s="4">
        <v>0</v>
      </c>
      <c r="AD191" s="4">
        <v>100</v>
      </c>
      <c r="AE191" s="4">
        <v>100</v>
      </c>
      <c r="AF191" s="4">
        <v>100</v>
      </c>
      <c r="AG191" s="4">
        <v>100</v>
      </c>
      <c r="AH191" s="4">
        <v>100</v>
      </c>
      <c r="AI191" s="4">
        <v>100</v>
      </c>
      <c r="AJ191" s="4">
        <v>100</v>
      </c>
      <c r="AK191" s="4">
        <v>100</v>
      </c>
      <c r="AL191" s="4">
        <v>100</v>
      </c>
      <c r="AM191" s="4">
        <v>100</v>
      </c>
      <c r="AN191" s="4">
        <v>100</v>
      </c>
      <c r="AO191" s="4">
        <v>100</v>
      </c>
      <c r="AP191" s="4">
        <v>100</v>
      </c>
      <c r="AQ191" s="4">
        <v>100</v>
      </c>
      <c r="AR191" s="4">
        <v>100</v>
      </c>
      <c r="AS191" s="4">
        <v>100</v>
      </c>
      <c r="AT191" s="4">
        <v>100</v>
      </c>
      <c r="AU191" s="4">
        <v>100</v>
      </c>
      <c r="AV191" s="4">
        <v>100</v>
      </c>
      <c r="AW191" s="4">
        <v>100</v>
      </c>
      <c r="AX191" s="4">
        <v>100</v>
      </c>
      <c r="AY191" s="4">
        <v>100</v>
      </c>
      <c r="AZ191" s="4">
        <v>100</v>
      </c>
      <c r="BA191" s="4">
        <v>100</v>
      </c>
      <c r="BB191" s="4">
        <v>100</v>
      </c>
      <c r="BC191" s="4">
        <v>100</v>
      </c>
      <c r="BD191" s="4">
        <v>100</v>
      </c>
      <c r="BE191" s="4">
        <v>100</v>
      </c>
      <c r="BF191" s="4">
        <v>100</v>
      </c>
      <c r="BG191" s="4">
        <v>100</v>
      </c>
      <c r="BH191" s="4">
        <v>100</v>
      </c>
      <c r="BJ191" s="9"/>
    </row>
    <row r="192" spans="1:62" x14ac:dyDescent="0.25">
      <c r="A192" s="6" t="s">
        <v>185</v>
      </c>
      <c r="B192" s="6"/>
      <c r="C192" s="7" t="s">
        <v>526</v>
      </c>
      <c r="D192" s="3"/>
      <c r="E192" s="3">
        <f>VLOOKUP(A192,[2]Sheet1!$A$2:$E$627,5,0)</f>
        <v>240.0061</v>
      </c>
      <c r="F192" s="3">
        <f>VLOOKUP(A192,[2]Sheet1!$A$2:$F$627,6,0)</f>
        <v>250.0061</v>
      </c>
      <c r="G192" s="3">
        <f>VLOOKUP(A192,[2]Sheet1!$A$2:$G$627,7,0)</f>
        <v>0</v>
      </c>
      <c r="H192" s="4">
        <f t="shared" si="12"/>
        <v>0</v>
      </c>
      <c r="I192" s="11">
        <f t="shared" si="13"/>
        <v>4.1665607665805161E-2</v>
      </c>
      <c r="J192" s="11">
        <f t="shared" si="14"/>
        <v>-1</v>
      </c>
      <c r="K192" s="11">
        <f t="shared" si="15"/>
        <v>-1</v>
      </c>
      <c r="L192" s="11">
        <f>IF(S192="",((BG192-E192)/E192),((U192-E192)/E192))</f>
        <v>0.47078324675914496</v>
      </c>
      <c r="M192" s="3" t="str">
        <f>IF(S192="Churn","Churn",VLOOKUP(A192,'[1]Revenue_Engine_2025 Dec.25'!$C$14:$E$3993,3,0))</f>
        <v>Churn</v>
      </c>
      <c r="N192" s="3" t="str">
        <f>IF(S192="",VLOOKUP(A192,[3]Export!$B$2:$F$417,5,0),"CHURN")</f>
        <v>CHURN</v>
      </c>
      <c r="O192" s="3" t="e">
        <f>(1-N192)*H192</f>
        <v>#VALUE!</v>
      </c>
      <c r="P192" s="3" t="e">
        <f t="shared" si="17"/>
        <v>#VALUE!</v>
      </c>
      <c r="Q192" s="3" t="e">
        <f t="shared" si="16"/>
        <v>#VALUE!</v>
      </c>
      <c r="R192" s="3" t="str">
        <f>IF(S192&lt;&gt;"Churn",VLOOKUP(A192,[3]Export!$B$2:$O$417,8,0),"CHURN")</f>
        <v>CHURN</v>
      </c>
      <c r="S192" s="3" t="s">
        <v>372</v>
      </c>
      <c r="T192" s="3" t="s">
        <v>554</v>
      </c>
      <c r="U192" s="3">
        <v>352.99695100000002</v>
      </c>
      <c r="V192" s="4" t="str" cm="1">
        <f t="array" ref="V192">IFERROR(
    IF(
        MATCH(2,1/((Y192:BH192&lt;&gt;0)*(Y192:BH192&lt;&gt;"")))-MATCH(1,INDEX((Y192:BH192&lt;&gt;0)*(Y192:BH192&lt;&gt;""),0),0)+1 &lt;= 12,
        "No",
        "Yes"
    ),
    "No"
)</f>
        <v>Yes</v>
      </c>
      <c r="W192" s="4" t="str" cm="1">
        <f t="array" ref="W192">IFERROR(
    IF(
        MATCH(2,1/((Y192:BH192&lt;&gt;0)*(Y192:BH192&lt;&gt;"")))-MATCH(1,INDEX((Y192:BH192&lt;&gt;0)*(Y192:BH192&lt;&gt;""),0),0)+1 &lt;= 24,
        "No",
        "Yes"
    ),
    "No"
)</f>
        <v>No</v>
      </c>
      <c r="X192" s="3"/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240.0061</v>
      </c>
      <c r="AE192" s="4">
        <v>240.0061</v>
      </c>
      <c r="AF192" s="4">
        <v>240.0061</v>
      </c>
      <c r="AG192" s="4">
        <v>240.0061</v>
      </c>
      <c r="AH192" s="4">
        <v>240.0061</v>
      </c>
      <c r="AI192" s="4">
        <v>240.0061</v>
      </c>
      <c r="AJ192" s="4">
        <v>240.0061</v>
      </c>
      <c r="AK192" s="4">
        <v>240.0061</v>
      </c>
      <c r="AL192" s="4">
        <v>240.0061</v>
      </c>
      <c r="AM192" s="4">
        <v>250.0061</v>
      </c>
      <c r="AN192" s="4">
        <v>250.0061</v>
      </c>
      <c r="AO192" s="4">
        <v>250.0061</v>
      </c>
      <c r="AP192" s="4">
        <v>250.0061</v>
      </c>
      <c r="AQ192" s="4">
        <v>250.0061</v>
      </c>
      <c r="AR192" s="4">
        <v>250.0061</v>
      </c>
      <c r="AS192" s="4">
        <v>250.0061</v>
      </c>
      <c r="AT192" s="4">
        <v>250.0061</v>
      </c>
      <c r="AU192" s="4">
        <v>250.0061</v>
      </c>
      <c r="AV192" s="4">
        <v>250.0061</v>
      </c>
      <c r="AW192" s="4">
        <v>304.99695100000002</v>
      </c>
      <c r="AX192" s="4">
        <v>352.99695100000002</v>
      </c>
      <c r="AY192" s="4">
        <v>352.99695100000002</v>
      </c>
      <c r="AZ192" s="4">
        <v>0</v>
      </c>
      <c r="BA192" s="4">
        <v>0</v>
      </c>
      <c r="BB192" s="4">
        <v>0</v>
      </c>
      <c r="BC192" s="4">
        <v>0</v>
      </c>
      <c r="BD192" s="4">
        <v>0</v>
      </c>
      <c r="BE192" s="4">
        <v>0</v>
      </c>
      <c r="BF192" s="4">
        <v>0</v>
      </c>
      <c r="BG192" s="4">
        <v>0</v>
      </c>
      <c r="BH192" s="4">
        <v>0</v>
      </c>
      <c r="BJ192" s="9"/>
    </row>
    <row r="193" spans="1:62" x14ac:dyDescent="0.25">
      <c r="A193" s="6" t="s">
        <v>186</v>
      </c>
      <c r="B193" s="6"/>
      <c r="C193" s="7" t="s">
        <v>526</v>
      </c>
      <c r="D193" s="3"/>
      <c r="E193" s="3">
        <f>VLOOKUP(A193,[2]Sheet1!$A$2:$E$627,5,0)</f>
        <v>160.012461</v>
      </c>
      <c r="F193" s="3">
        <f>VLOOKUP(A193,[2]Sheet1!$A$2:$F$627,6,0)</f>
        <v>160.012461</v>
      </c>
      <c r="G193" s="3">
        <f>VLOOKUP(A193,[2]Sheet1!$A$2:$G$627,7,0)</f>
        <v>160.00536699999998</v>
      </c>
      <c r="H193" s="4">
        <f t="shared" si="12"/>
        <v>160.00536699999998</v>
      </c>
      <c r="I193" s="11">
        <f t="shared" si="13"/>
        <v>0</v>
      </c>
      <c r="J193" s="11">
        <f t="shared" si="14"/>
        <v>-4.4334047209132483E-5</v>
      </c>
      <c r="K193" s="11">
        <f t="shared" si="15"/>
        <v>-4.4334047209132483E-5</v>
      </c>
      <c r="L193" s="11">
        <f>IF(S193="",((BG193-E193)/E193),((U193-E193)/E193))</f>
        <v>-4.4334047209132483E-5</v>
      </c>
      <c r="M193" s="3" t="str">
        <f>IF(S193="Churn","Churn",VLOOKUP(A193,'[1]Revenue_Engine_2025 Dec.25'!$C$14:$E$3993,3,0))</f>
        <v>Diğer</v>
      </c>
      <c r="N193" s="3">
        <f>IF(S193="",VLOOKUP(A193,[3]Export!$B$2:$F$417,5,0),"CHURN")</f>
        <v>0.18123159581265799</v>
      </c>
      <c r="O193" s="3">
        <f>(1-N193)*H193</f>
        <v>131.00733899999997</v>
      </c>
      <c r="P193" s="3">
        <f t="shared" si="17"/>
        <v>131.0131473430593</v>
      </c>
      <c r="Q193" s="3">
        <f t="shared" si="16"/>
        <v>131.00733899999997</v>
      </c>
      <c r="R193" s="3" t="str">
        <f>IF(S193&lt;&gt;"Churn",VLOOKUP(A193,[3]Export!$B$2:$O$417,8,0),"CHURN")</f>
        <v>NO RISK</v>
      </c>
      <c r="S193" s="3"/>
      <c r="T193" s="3"/>
      <c r="U193" s="3" t="s">
        <v>551</v>
      </c>
      <c r="V193" s="4" t="str" cm="1">
        <f t="array" ref="V193">IFERROR(
    IF(
        MATCH(2,1/((Y193:BH193&lt;&gt;0)*(Y193:BH193&lt;&gt;"")))-MATCH(1,INDEX((Y193:BH193&lt;&gt;0)*(Y193:BH193&lt;&gt;""),0),0)+1 &lt;= 12,
        "No",
        "Yes"
    ),
    "No"
)</f>
        <v>Yes</v>
      </c>
      <c r="W193" s="4" t="str" cm="1">
        <f t="array" ref="W193">IFERROR(
    IF(
        MATCH(2,1/((Y193:BH193&lt;&gt;0)*(Y193:BH193&lt;&gt;"")))-MATCH(1,INDEX((Y193:BH193&lt;&gt;0)*(Y193:BH193&lt;&gt;""),0),0)+1 &lt;= 24,
        "No",
        "Yes"
    ),
    "No"
)</f>
        <v>Yes</v>
      </c>
      <c r="X193" s="3"/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160.012461</v>
      </c>
      <c r="AE193" s="4">
        <v>160.012461</v>
      </c>
      <c r="AF193" s="4">
        <v>160.012461</v>
      </c>
      <c r="AG193" s="4">
        <v>160.012461</v>
      </c>
      <c r="AH193" s="4">
        <v>160.012461</v>
      </c>
      <c r="AI193" s="4">
        <v>160.012461</v>
      </c>
      <c r="AJ193" s="4">
        <v>160.012461</v>
      </c>
      <c r="AK193" s="4">
        <v>160.012461</v>
      </c>
      <c r="AL193" s="4">
        <v>160.012461</v>
      </c>
      <c r="AM193" s="4">
        <v>160.012461</v>
      </c>
      <c r="AN193" s="4">
        <v>160.012461</v>
      </c>
      <c r="AO193" s="4">
        <v>160.012461</v>
      </c>
      <c r="AP193" s="4">
        <v>160.012461</v>
      </c>
      <c r="AQ193" s="4">
        <v>160.012461</v>
      </c>
      <c r="AR193" s="4">
        <v>160.012461</v>
      </c>
      <c r="AS193" s="4">
        <v>160.012461</v>
      </c>
      <c r="AT193" s="4">
        <v>160.012461</v>
      </c>
      <c r="AU193" s="4">
        <v>160.012461</v>
      </c>
      <c r="AV193" s="4">
        <v>160.012461</v>
      </c>
      <c r="AW193" s="4">
        <v>160.00178899999997</v>
      </c>
      <c r="AX193" s="4">
        <v>160.00178899999997</v>
      </c>
      <c r="AY193" s="4">
        <v>160.00178899999997</v>
      </c>
      <c r="AZ193" s="4">
        <v>160.00536700000004</v>
      </c>
      <c r="BA193" s="4">
        <v>160.00536699999998</v>
      </c>
      <c r="BB193" s="4">
        <v>160.00536699999998</v>
      </c>
      <c r="BC193" s="4">
        <v>160.00536699999998</v>
      </c>
      <c r="BD193" s="4">
        <v>160.00536699999998</v>
      </c>
      <c r="BE193" s="4">
        <v>160.00536699999998</v>
      </c>
      <c r="BF193" s="4">
        <v>160.00536699999998</v>
      </c>
      <c r="BG193" s="4">
        <v>160.00536699999998</v>
      </c>
      <c r="BH193" s="4">
        <v>160.00536699999998</v>
      </c>
      <c r="BJ193" s="9"/>
    </row>
    <row r="194" spans="1:62" x14ac:dyDescent="0.25">
      <c r="A194" s="6" t="s">
        <v>187</v>
      </c>
      <c r="B194" s="6"/>
      <c r="C194" s="7" t="s">
        <v>526</v>
      </c>
      <c r="D194" s="3"/>
      <c r="E194" s="3">
        <f>VLOOKUP(A194,[2]Sheet1!$A$2:$E$627,5,0)</f>
        <v>425.00959000000006</v>
      </c>
      <c r="F194" s="3">
        <f>VLOOKUP(A194,[2]Sheet1!$A$2:$F$627,6,0)</f>
        <v>520.00959000000012</v>
      </c>
      <c r="G194" s="3">
        <f>VLOOKUP(A194,[2]Sheet1!$A$2:$G$627,7,0)</f>
        <v>740.00858999999991</v>
      </c>
      <c r="H194" s="4">
        <f t="shared" si="12"/>
        <v>740.00858999999991</v>
      </c>
      <c r="I194" s="11">
        <f t="shared" si="13"/>
        <v>0.22352436800308445</v>
      </c>
      <c r="J194" s="11">
        <f t="shared" si="14"/>
        <v>0.74115739364845812</v>
      </c>
      <c r="K194" s="11">
        <f t="shared" si="15"/>
        <v>0.42306719766456569</v>
      </c>
      <c r="L194" s="11">
        <f>IF(S194="",((BG194-E194)/E194),((U194-E194)/E194))</f>
        <v>0.74115739364845812</v>
      </c>
      <c r="M194" s="3" t="str">
        <f>IF(S194="Churn","Churn",VLOOKUP(A194,'[1]Revenue_Engine_2025 Dec.25'!$C$14:$E$3993,3,0))</f>
        <v>Digital</v>
      </c>
      <c r="N194" s="3">
        <f>IF(S194="",VLOOKUP(A194,[3]Export!$B$2:$F$417,5,0),"CHURN")</f>
        <v>0</v>
      </c>
      <c r="O194" s="3">
        <f>(1-N194)*H194</f>
        <v>740.00858999999991</v>
      </c>
      <c r="P194" s="3">
        <f t="shared" si="17"/>
        <v>520.00959000000012</v>
      </c>
      <c r="Q194" s="3">
        <f t="shared" si="16"/>
        <v>740.00858999999991</v>
      </c>
      <c r="R194" s="3" t="str">
        <f>IF(S194&lt;&gt;"Churn",VLOOKUP(A194,[3]Export!$B$2:$O$417,8,0),"CHURN")</f>
        <v>NO RISK</v>
      </c>
      <c r="S194" s="3"/>
      <c r="T194" s="3"/>
      <c r="U194" s="3" t="s">
        <v>551</v>
      </c>
      <c r="V194" s="4" t="str" cm="1">
        <f t="array" ref="V194">IFERROR(
    IF(
        MATCH(2,1/((Y194:BH194&lt;&gt;0)*(Y194:BH194&lt;&gt;"")))-MATCH(1,INDEX((Y194:BH194&lt;&gt;0)*(Y194:BH194&lt;&gt;""),0),0)+1 &lt;= 12,
        "No",
        "Yes"
    ),
    "No"
)</f>
        <v>Yes</v>
      </c>
      <c r="W194" s="4" t="str" cm="1">
        <f t="array" ref="W194">IFERROR(
    IF(
        MATCH(2,1/((Y194:BH194&lt;&gt;0)*(Y194:BH194&lt;&gt;"")))-MATCH(1,INDEX((Y194:BH194&lt;&gt;0)*(Y194:BH194&lt;&gt;""),0),0)+1 &lt;= 24,
        "No",
        "Yes"
    ),
    "No"
)</f>
        <v>Yes</v>
      </c>
      <c r="X194" s="3"/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425.00959000000006</v>
      </c>
      <c r="AE194" s="4">
        <v>425.00959000000006</v>
      </c>
      <c r="AF194" s="4">
        <v>425.00959000000006</v>
      </c>
      <c r="AG194" s="4">
        <v>425.00959000000006</v>
      </c>
      <c r="AH194" s="4">
        <v>425.00959000000006</v>
      </c>
      <c r="AI194" s="4">
        <v>425.00959000000006</v>
      </c>
      <c r="AJ194" s="4">
        <v>425.00959000000006</v>
      </c>
      <c r="AK194" s="4">
        <v>425.00959000000006</v>
      </c>
      <c r="AL194" s="4">
        <v>495.00959000000006</v>
      </c>
      <c r="AM194" s="4">
        <v>520.00959000000012</v>
      </c>
      <c r="AN194" s="4">
        <v>520.00959000000012</v>
      </c>
      <c r="AO194" s="4">
        <v>520.00959000000012</v>
      </c>
      <c r="AP194" s="4">
        <v>520.00959000000012</v>
      </c>
      <c r="AQ194" s="4">
        <v>520.00959000000012</v>
      </c>
      <c r="AR194" s="4">
        <v>520.00959000000012</v>
      </c>
      <c r="AS194" s="4">
        <v>520.00959000000012</v>
      </c>
      <c r="AT194" s="4">
        <v>670.00959</v>
      </c>
      <c r="AU194" s="4">
        <v>670.00959</v>
      </c>
      <c r="AV194" s="4">
        <v>670.00959</v>
      </c>
      <c r="AW194" s="4">
        <v>670.00959</v>
      </c>
      <c r="AX194" s="4">
        <v>670.00959</v>
      </c>
      <c r="AY194" s="4">
        <v>670.00959</v>
      </c>
      <c r="AZ194" s="4">
        <v>670.00959</v>
      </c>
      <c r="BA194" s="4">
        <v>740.00858999999991</v>
      </c>
      <c r="BB194" s="4">
        <v>740.00858999999991</v>
      </c>
      <c r="BC194" s="4">
        <v>740.00858999999991</v>
      </c>
      <c r="BD194" s="4">
        <v>740.00858999999991</v>
      </c>
      <c r="BE194" s="4">
        <v>740.00858999999991</v>
      </c>
      <c r="BF194" s="4">
        <v>740.00858999999991</v>
      </c>
      <c r="BG194" s="4">
        <v>740.00858999999991</v>
      </c>
      <c r="BH194" s="4">
        <v>740.00858999999991</v>
      </c>
      <c r="BJ194" s="9"/>
    </row>
    <row r="195" spans="1:62" x14ac:dyDescent="0.25">
      <c r="A195" s="6" t="s">
        <v>188</v>
      </c>
      <c r="B195" s="6"/>
      <c r="C195" s="7" t="s">
        <v>526</v>
      </c>
      <c r="D195" s="3"/>
      <c r="E195" s="3">
        <f>VLOOKUP(A195,[2]Sheet1!$A$2:$E$627,5,0)</f>
        <v>1427.0017439999999</v>
      </c>
      <c r="F195" s="3">
        <f>VLOOKUP(A195,[2]Sheet1!$A$2:$F$627,6,0)</f>
        <v>1525.0017439999999</v>
      </c>
      <c r="G195" s="3">
        <f>VLOOKUP(A195,[2]Sheet1!$A$2:$G$627,7,0)</f>
        <v>2440.0061739999996</v>
      </c>
      <c r="H195" s="4">
        <f t="shared" ref="H195:H258" si="18">MAX(BF195:BH195)</f>
        <v>2440.0061739999996</v>
      </c>
      <c r="I195" s="11">
        <f t="shared" ref="I195:I258" si="19">(F195-E195)/E195</f>
        <v>6.8675459166082142E-2</v>
      </c>
      <c r="J195" s="11">
        <f t="shared" ref="J195:J258" si="20">(G195-E195)/E195</f>
        <v>0.7098831057910745</v>
      </c>
      <c r="K195" s="11">
        <f t="shared" ref="K195:K258" si="21">(G195-F195)/F195</f>
        <v>0.60000221875156079</v>
      </c>
      <c r="L195" s="11">
        <f>IF(S195="",((BG195-E195)/E195),((U195-E195)/E195))</f>
        <v>0.7098831057910745</v>
      </c>
      <c r="M195" s="3" t="str">
        <f>IF(S195="Churn","Churn",VLOOKUP(A195,'[1]Revenue_Engine_2025 Dec.25'!$C$14:$E$3993,3,0))</f>
        <v>Diğer</v>
      </c>
      <c r="N195" s="3">
        <v>0</v>
      </c>
      <c r="O195" s="3">
        <f>(1-N195)*H195</f>
        <v>2440.0061739999996</v>
      </c>
      <c r="P195" s="3">
        <f t="shared" si="17"/>
        <v>1525.0017439999999</v>
      </c>
      <c r="Q195" s="3">
        <f t="shared" ref="Q195:Q258" si="22">(1-N195)*G195</f>
        <v>2440.0061739999996</v>
      </c>
      <c r="R195" s="3" t="e">
        <f>IF(S195&lt;&gt;"Churn",VLOOKUP(A195,[3]Export!$B$2:$O$417,8,0),"CHURN")</f>
        <v>#N/A</v>
      </c>
      <c r="S195" s="3"/>
      <c r="T195" s="3"/>
      <c r="U195" s="3" t="s">
        <v>551</v>
      </c>
      <c r="V195" s="4" t="str" cm="1">
        <f t="array" ref="V195">IFERROR(
    IF(
        MATCH(2,1/((Y195:BH195&lt;&gt;0)*(Y195:BH195&lt;&gt;"")))-MATCH(1,INDEX((Y195:BH195&lt;&gt;0)*(Y195:BH195&lt;&gt;""),0),0)+1 &lt;= 12,
        "No",
        "Yes"
    ),
    "No"
)</f>
        <v>Yes</v>
      </c>
      <c r="W195" s="4" t="str" cm="1">
        <f t="array" ref="W195">IFERROR(
    IF(
        MATCH(2,1/((Y195:BH195&lt;&gt;0)*(Y195:BH195&lt;&gt;"")))-MATCH(1,INDEX((Y195:BH195&lt;&gt;0)*(Y195:BH195&lt;&gt;""),0),0)+1 &lt;= 24,
        "No",
        "Yes"
    ),
    "No"
)</f>
        <v>Yes</v>
      </c>
      <c r="X195" s="3"/>
      <c r="Y195" s="4">
        <v>0</v>
      </c>
      <c r="Z195" s="4">
        <v>0</v>
      </c>
      <c r="AA195" s="4">
        <v>0</v>
      </c>
      <c r="AB195" s="4">
        <v>0</v>
      </c>
      <c r="AC195" s="4">
        <v>0</v>
      </c>
      <c r="AD195" s="4">
        <v>1427</v>
      </c>
      <c r="AE195" s="4">
        <v>1427.0017439999999</v>
      </c>
      <c r="AF195" s="4">
        <v>1427.0017439999999</v>
      </c>
      <c r="AG195" s="4">
        <v>1427.0017439999999</v>
      </c>
      <c r="AH195" s="4">
        <v>1427.0017439999999</v>
      </c>
      <c r="AI195" s="4">
        <v>1505.0017439999999</v>
      </c>
      <c r="AJ195" s="4">
        <v>1505.0017439999999</v>
      </c>
      <c r="AK195" s="4">
        <v>1505.0017439999999</v>
      </c>
      <c r="AL195" s="4">
        <v>1525.0017439999999</v>
      </c>
      <c r="AM195" s="4">
        <v>1525.0017439999999</v>
      </c>
      <c r="AN195" s="4">
        <v>1525.0017439999999</v>
      </c>
      <c r="AO195" s="4">
        <v>1525.0017439999999</v>
      </c>
      <c r="AP195" s="4">
        <v>1525.0017439999999</v>
      </c>
      <c r="AQ195" s="4">
        <v>1525.0017439999999</v>
      </c>
      <c r="AR195" s="4">
        <v>1525.0017439999999</v>
      </c>
      <c r="AS195" s="4">
        <v>1825.0017439999999</v>
      </c>
      <c r="AT195" s="4">
        <v>1825.0017439999999</v>
      </c>
      <c r="AU195" s="4">
        <v>1825.0017439999999</v>
      </c>
      <c r="AV195" s="4">
        <v>1825.0017439999999</v>
      </c>
      <c r="AW195" s="4">
        <v>1825.0017439999999</v>
      </c>
      <c r="AX195" s="4">
        <v>2440.0061739999996</v>
      </c>
      <c r="AY195" s="4">
        <v>2440.0061739999996</v>
      </c>
      <c r="AZ195" s="4">
        <v>2440.0061739999996</v>
      </c>
      <c r="BA195" s="4">
        <v>2440.0061739999996</v>
      </c>
      <c r="BB195" s="4">
        <v>2440.0061739999996</v>
      </c>
      <c r="BC195" s="4">
        <v>2440.0061739999996</v>
      </c>
      <c r="BD195" s="4">
        <v>2440.0061739999996</v>
      </c>
      <c r="BE195" s="4">
        <v>2440.0061739999996</v>
      </c>
      <c r="BF195" s="4">
        <v>2440.0061739999996</v>
      </c>
      <c r="BG195" s="4">
        <v>2440.0061739999996</v>
      </c>
      <c r="BH195" s="4">
        <v>2440.0061739999996</v>
      </c>
      <c r="BJ195" s="9"/>
    </row>
    <row r="196" spans="1:62" x14ac:dyDescent="0.25">
      <c r="A196" s="6" t="s">
        <v>189</v>
      </c>
      <c r="B196" s="6"/>
      <c r="C196" s="7" t="s">
        <v>526</v>
      </c>
      <c r="D196" s="3"/>
      <c r="E196" s="3">
        <f>VLOOKUP(A196,[2]Sheet1!$A$2:$E$627,5,0)</f>
        <v>389.99999900000006</v>
      </c>
      <c r="F196" s="3">
        <f>VLOOKUP(A196,[2]Sheet1!$A$2:$F$627,6,0)</f>
        <v>389.99999900000006</v>
      </c>
      <c r="G196" s="3">
        <f>VLOOKUP(A196,[2]Sheet1!$A$2:$G$627,7,0)</f>
        <v>491.71986299999998</v>
      </c>
      <c r="H196" s="4">
        <f t="shared" si="18"/>
        <v>491.71986299999998</v>
      </c>
      <c r="I196" s="11">
        <f t="shared" si="19"/>
        <v>0</v>
      </c>
      <c r="J196" s="11">
        <f t="shared" si="20"/>
        <v>0.26082016477133352</v>
      </c>
      <c r="K196" s="11">
        <f t="shared" si="21"/>
        <v>0.26082016477133352</v>
      </c>
      <c r="L196" s="11">
        <f>IF(S196="",((BG196-E196)/E196),((U196-E196)/E196))</f>
        <v>0.26082016477133352</v>
      </c>
      <c r="M196" s="3" t="str">
        <f>IF(S196="Churn","Churn",VLOOKUP(A196,'[1]Revenue_Engine_2025 Dec.25'!$C$14:$E$3993,3,0))</f>
        <v>Üretim</v>
      </c>
      <c r="N196" s="3">
        <f>IF(S196="",VLOOKUP(A196,[3]Export!$B$2:$F$417,5,0),"CHURN")</f>
        <v>0.19608725873251942</v>
      </c>
      <c r="O196" s="3">
        <f>(1-N196)*H196</f>
        <v>395.29986299999996</v>
      </c>
      <c r="P196" s="3">
        <f t="shared" si="17"/>
        <v>313.52596829040471</v>
      </c>
      <c r="Q196" s="3">
        <f t="shared" si="22"/>
        <v>395.29986299999996</v>
      </c>
      <c r="R196" s="3" t="str">
        <f>IF(S196&lt;&gt;"Churn",VLOOKUP(A196,[3]Export!$B$2:$O$417,8,0),"CHURN")</f>
        <v>NO RISK</v>
      </c>
      <c r="S196" s="3"/>
      <c r="T196" s="3"/>
      <c r="U196" s="3" t="s">
        <v>551</v>
      </c>
      <c r="V196" s="4" t="str" cm="1">
        <f t="array" ref="V196">IFERROR(
    IF(
        MATCH(2,1/((Y196:BH196&lt;&gt;0)*(Y196:BH196&lt;&gt;"")))-MATCH(1,INDEX((Y196:BH196&lt;&gt;0)*(Y196:BH196&lt;&gt;""),0),0)+1 &lt;= 12,
        "No",
        "Yes"
    ),
    "No"
)</f>
        <v>Yes</v>
      </c>
      <c r="W196" s="4" t="str" cm="1">
        <f t="array" ref="W196">IFERROR(
    IF(
        MATCH(2,1/((Y196:BH196&lt;&gt;0)*(Y196:BH196&lt;&gt;"")))-MATCH(1,INDEX((Y196:BH196&lt;&gt;0)*(Y196:BH196&lt;&gt;""),0),0)+1 &lt;= 24,
        "No",
        "Yes"
    ),
    "No"
)</f>
        <v>Yes</v>
      </c>
      <c r="X196" s="3"/>
      <c r="Y196" s="4">
        <v>0</v>
      </c>
      <c r="Z196" s="4">
        <v>0</v>
      </c>
      <c r="AA196" s="4">
        <v>0</v>
      </c>
      <c r="AB196" s="4">
        <v>0</v>
      </c>
      <c r="AC196" s="4">
        <v>0</v>
      </c>
      <c r="AD196" s="4">
        <v>0</v>
      </c>
      <c r="AE196" s="4">
        <v>389.99999900000006</v>
      </c>
      <c r="AF196" s="4">
        <v>389.99999900000006</v>
      </c>
      <c r="AG196" s="4">
        <v>389.99999900000006</v>
      </c>
      <c r="AH196" s="4">
        <v>389.99999900000006</v>
      </c>
      <c r="AI196" s="4">
        <v>389.99999900000006</v>
      </c>
      <c r="AJ196" s="4">
        <v>389.99999900000006</v>
      </c>
      <c r="AK196" s="4">
        <v>389.99999900000006</v>
      </c>
      <c r="AL196" s="4">
        <v>389.99999900000006</v>
      </c>
      <c r="AM196" s="4">
        <v>389.99999900000006</v>
      </c>
      <c r="AN196" s="4">
        <v>389.99999900000006</v>
      </c>
      <c r="AO196" s="4">
        <v>389.99999900000006</v>
      </c>
      <c r="AP196" s="4">
        <v>389.99999900000006</v>
      </c>
      <c r="AQ196" s="4">
        <v>389.99999900000006</v>
      </c>
      <c r="AR196" s="4">
        <v>389.99999900000006</v>
      </c>
      <c r="AS196" s="4">
        <v>389.99999900000006</v>
      </c>
      <c r="AT196" s="4">
        <v>389.99999900000006</v>
      </c>
      <c r="AU196" s="4">
        <v>389.99999900000006</v>
      </c>
      <c r="AV196" s="4">
        <v>389.99999900000006</v>
      </c>
      <c r="AW196" s="4">
        <v>460.21986299999998</v>
      </c>
      <c r="AX196" s="4">
        <v>484.71986299999998</v>
      </c>
      <c r="AY196" s="4">
        <v>491.71986299999998</v>
      </c>
      <c r="AZ196" s="4">
        <v>491.71986300000009</v>
      </c>
      <c r="BA196" s="4">
        <v>491.71986299999998</v>
      </c>
      <c r="BB196" s="4">
        <v>491.71986299999998</v>
      </c>
      <c r="BC196" s="4">
        <v>491.71986299999998</v>
      </c>
      <c r="BD196" s="4">
        <v>491.71986299999998</v>
      </c>
      <c r="BE196" s="4">
        <v>491.71986299999998</v>
      </c>
      <c r="BF196" s="4">
        <v>491.71986299999998</v>
      </c>
      <c r="BG196" s="4">
        <v>491.71986299999998</v>
      </c>
      <c r="BH196" s="4">
        <v>491.71986299999998</v>
      </c>
      <c r="BJ196" s="9"/>
    </row>
    <row r="197" spans="1:62" x14ac:dyDescent="0.25">
      <c r="A197" s="6" t="s">
        <v>190</v>
      </c>
      <c r="B197" s="6"/>
      <c r="C197" s="7" t="s">
        <v>526</v>
      </c>
      <c r="D197" s="3"/>
      <c r="E197" s="3">
        <f>VLOOKUP(A197,[2]Sheet1!$A$2:$E$627,5,0)</f>
        <v>984.6582667742216</v>
      </c>
      <c r="F197" s="3">
        <f>VLOOKUP(A197,[2]Sheet1!$A$2:$F$627,6,0)</f>
        <v>1273.1716823906552</v>
      </c>
      <c r="G197" s="3">
        <f>VLOOKUP(A197,[2]Sheet1!$A$2:$G$627,7,0)</f>
        <v>2268.0000049999999</v>
      </c>
      <c r="H197" s="4">
        <f t="shared" si="18"/>
        <v>2268.0000049999999</v>
      </c>
      <c r="I197" s="11">
        <f t="shared" si="19"/>
        <v>0.29300867656513424</v>
      </c>
      <c r="J197" s="11">
        <f t="shared" si="20"/>
        <v>1.3033371896932884</v>
      </c>
      <c r="K197" s="11">
        <f t="shared" si="21"/>
        <v>0.78137798410764159</v>
      </c>
      <c r="L197" s="11">
        <f>IF(S197="",((BG197-E197)/E197),((U197-E197)/E197))</f>
        <v>1.3033371896932884</v>
      </c>
      <c r="M197" s="3" t="str">
        <f>IF(S197="Churn","Churn",VLOOKUP(A197,'[1]Revenue_Engine_2025 Dec.25'!$C$14:$E$3993,3,0))</f>
        <v>Üretim</v>
      </c>
      <c r="N197" s="3">
        <f>IF(S197="",VLOOKUP(A197,[3]Export!$B$2:$F$417,5,0),"CHURN")</f>
        <v>8.2451501140979933E-2</v>
      </c>
      <c r="O197" s="3">
        <f>(1-N197)*H197</f>
        <v>2081</v>
      </c>
      <c r="P197" s="3">
        <f t="shared" si="17"/>
        <v>1168.1967659673587</v>
      </c>
      <c r="Q197" s="3">
        <f t="shared" si="22"/>
        <v>2081</v>
      </c>
      <c r="R197" s="3" t="str">
        <f>IF(S197&lt;&gt;"Churn",VLOOKUP(A197,[3]Export!$B$2:$O$417,8,0),"CHURN")</f>
        <v>NO RISK</v>
      </c>
      <c r="S197" s="3"/>
      <c r="T197" s="3"/>
      <c r="U197" s="3" t="s">
        <v>551</v>
      </c>
      <c r="V197" s="4" t="str" cm="1">
        <f t="array" ref="V197">IFERROR(
    IF(
        MATCH(2,1/((Y197:BH197&lt;&gt;0)*(Y197:BH197&lt;&gt;"")))-MATCH(1,INDEX((Y197:BH197&lt;&gt;0)*(Y197:BH197&lt;&gt;""),0),0)+1 &lt;= 12,
        "No",
        "Yes"
    ),
    "No"
)</f>
        <v>Yes</v>
      </c>
      <c r="W197" s="4" t="str" cm="1">
        <f t="array" ref="W197">IFERROR(
    IF(
        MATCH(2,1/((Y197:BH197&lt;&gt;0)*(Y197:BH197&lt;&gt;"")))-MATCH(1,INDEX((Y197:BH197&lt;&gt;0)*(Y197:BH197&lt;&gt;""),0),0)+1 &lt;= 24,
        "No",
        "Yes"
    ),
    "No"
)</f>
        <v>Yes</v>
      </c>
      <c r="X197" s="3"/>
      <c r="Y197" s="4">
        <v>0</v>
      </c>
      <c r="Z197" s="4">
        <v>0</v>
      </c>
      <c r="AA197" s="4">
        <v>0</v>
      </c>
      <c r="AB197" s="4">
        <v>0</v>
      </c>
      <c r="AC197" s="4">
        <v>0</v>
      </c>
      <c r="AD197" s="4">
        <v>0</v>
      </c>
      <c r="AE197" s="4">
        <v>984.6582667742216</v>
      </c>
      <c r="AF197" s="4">
        <v>966.02921123714896</v>
      </c>
      <c r="AG197" s="4">
        <v>965.13272430983727</v>
      </c>
      <c r="AH197" s="4">
        <v>935.38537697649633</v>
      </c>
      <c r="AI197" s="4">
        <v>909.63478163517357</v>
      </c>
      <c r="AJ197" s="4">
        <v>895.46173106528954</v>
      </c>
      <c r="AK197" s="4">
        <v>866.9296353227146</v>
      </c>
      <c r="AL197" s="4">
        <v>847.01037913487664</v>
      </c>
      <c r="AM197" s="4">
        <v>814.58227594287905</v>
      </c>
      <c r="AN197" s="4">
        <v>806.4691230889008</v>
      </c>
      <c r="AO197" s="4">
        <v>807.64153141259601</v>
      </c>
      <c r="AP197" s="4">
        <v>800.80326727733052</v>
      </c>
      <c r="AQ197" s="4">
        <v>1273.1716823906552</v>
      </c>
      <c r="AR197" s="4">
        <v>1245.7631411413558</v>
      </c>
      <c r="AS197" s="4">
        <v>1231.5004418805986</v>
      </c>
      <c r="AT197" s="4">
        <v>2250.0000049999999</v>
      </c>
      <c r="AU197" s="4">
        <v>2250.0000049999999</v>
      </c>
      <c r="AV197" s="4">
        <v>2250.0000049999999</v>
      </c>
      <c r="AW197" s="4">
        <v>2250.0000049999999</v>
      </c>
      <c r="AX197" s="4">
        <v>2268.0000049999999</v>
      </c>
      <c r="AY197" s="4">
        <v>2268.0000049999999</v>
      </c>
      <c r="AZ197" s="4">
        <v>2268.0000049999999</v>
      </c>
      <c r="BA197" s="4">
        <v>2268.0000049999999</v>
      </c>
      <c r="BB197" s="4">
        <v>2268.0000049999999</v>
      </c>
      <c r="BC197" s="4">
        <v>2268.0000049999999</v>
      </c>
      <c r="BD197" s="4">
        <v>2268.0000049999999</v>
      </c>
      <c r="BE197" s="4">
        <v>2268.0000049999999</v>
      </c>
      <c r="BF197" s="4">
        <v>2268.0000049999999</v>
      </c>
      <c r="BG197" s="4">
        <v>2268.0000049999999</v>
      </c>
      <c r="BH197" s="4">
        <v>2268.0000049999999</v>
      </c>
      <c r="BJ197" s="9"/>
    </row>
    <row r="198" spans="1:62" x14ac:dyDescent="0.25">
      <c r="A198" s="6" t="s">
        <v>191</v>
      </c>
      <c r="B198" s="6"/>
      <c r="C198" s="7" t="s">
        <v>526</v>
      </c>
      <c r="D198" s="3"/>
      <c r="E198" s="3">
        <f>VLOOKUP(A198,[2]Sheet1!$A$2:$E$627,5,0)</f>
        <v>405.50901399999998</v>
      </c>
      <c r="F198" s="3">
        <f>VLOOKUP(A198,[2]Sheet1!$A$2:$F$627,6,0)</f>
        <v>405.50901399999998</v>
      </c>
      <c r="G198" s="3">
        <f>VLOOKUP(A198,[2]Sheet1!$A$2:$G$627,7,0)</f>
        <v>336.34601200000003</v>
      </c>
      <c r="H198" s="4">
        <f t="shared" si="18"/>
        <v>336.34601200000003</v>
      </c>
      <c r="I198" s="11">
        <f t="shared" si="19"/>
        <v>0</v>
      </c>
      <c r="J198" s="11">
        <f t="shared" si="20"/>
        <v>-0.17055848233252827</v>
      </c>
      <c r="K198" s="11">
        <f t="shared" si="21"/>
        <v>-0.17055848233252827</v>
      </c>
      <c r="L198" s="11">
        <f>IF(S198="",((BG198-E198)/E198),((U198-E198)/E198))</f>
        <v>-0.17055848233252827</v>
      </c>
      <c r="M198" s="3" t="str">
        <f>IF(S198="Churn","Churn",VLOOKUP(A198,'[1]Revenue_Engine_2025 Dec.25'!$C$14:$E$3993,3,0))</f>
        <v>Lojistik</v>
      </c>
      <c r="N198" s="3">
        <f>IF(S198="",VLOOKUP(A198,[3]Export!$B$2:$F$417,5,0),"CHURN")</f>
        <v>0.49303394148761315</v>
      </c>
      <c r="O198" s="3">
        <f>(1-N198)*H198</f>
        <v>170.51601199999999</v>
      </c>
      <c r="P198" s="3">
        <f t="shared" ref="P198:P261" si="23">(1-N198)*F198</f>
        <v>205.5793065188243</v>
      </c>
      <c r="Q198" s="3">
        <f t="shared" si="22"/>
        <v>170.51601199999999</v>
      </c>
      <c r="R198" s="3" t="str">
        <f>IF(S198&lt;&gt;"Churn",VLOOKUP(A198,[3]Export!$B$2:$O$417,8,0),"CHURN")</f>
        <v>NO RISK</v>
      </c>
      <c r="S198" s="3"/>
      <c r="T198" s="3"/>
      <c r="U198" s="3" t="s">
        <v>551</v>
      </c>
      <c r="V198" s="4" t="str" cm="1">
        <f t="array" ref="V198">IFERROR(
    IF(
        MATCH(2,1/((Y198:BH198&lt;&gt;0)*(Y198:BH198&lt;&gt;"")))-MATCH(1,INDEX((Y198:BH198&lt;&gt;0)*(Y198:BH198&lt;&gt;""),0),0)+1 &lt;= 12,
        "No",
        "Yes"
    ),
    "No"
)</f>
        <v>Yes</v>
      </c>
      <c r="W198" s="4" t="str" cm="1">
        <f t="array" ref="W198">IFERROR(
    IF(
        MATCH(2,1/((Y198:BH198&lt;&gt;0)*(Y198:BH198&lt;&gt;"")))-MATCH(1,INDEX((Y198:BH198&lt;&gt;0)*(Y198:BH198&lt;&gt;""),0),0)+1 &lt;= 24,
        "No",
        "Yes"
    ),
    "No"
)</f>
        <v>Yes</v>
      </c>
      <c r="X198" s="3"/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0</v>
      </c>
      <c r="AE198" s="4">
        <v>375.00901399999998</v>
      </c>
      <c r="AF198" s="4">
        <v>375.00901399999998</v>
      </c>
      <c r="AG198" s="4">
        <v>405.50901399999998</v>
      </c>
      <c r="AH198" s="4">
        <v>405.50901399999998</v>
      </c>
      <c r="AI198" s="4">
        <v>405.50901399999998</v>
      </c>
      <c r="AJ198" s="4">
        <v>405.50901399999998</v>
      </c>
      <c r="AK198" s="4">
        <v>405.50901399999998</v>
      </c>
      <c r="AL198" s="4">
        <v>405.50901399999998</v>
      </c>
      <c r="AM198" s="4">
        <v>405.50901399999998</v>
      </c>
      <c r="AN198" s="4">
        <v>405.50901399999998</v>
      </c>
      <c r="AO198" s="4">
        <v>405.50901399999998</v>
      </c>
      <c r="AP198" s="4">
        <v>405.50901399999998</v>
      </c>
      <c r="AQ198" s="4">
        <v>405.50901399999998</v>
      </c>
      <c r="AR198" s="4">
        <v>190.51601200000002</v>
      </c>
      <c r="AS198" s="4">
        <v>190.51601200000002</v>
      </c>
      <c r="AT198" s="4">
        <v>190.51601200000002</v>
      </c>
      <c r="AU198" s="4">
        <v>190.51601200000002</v>
      </c>
      <c r="AV198" s="4">
        <v>336.33</v>
      </c>
      <c r="AW198" s="4">
        <v>336.34601199999997</v>
      </c>
      <c r="AX198" s="4">
        <v>336.34601200000003</v>
      </c>
      <c r="AY198" s="4">
        <v>336.34601200000003</v>
      </c>
      <c r="AZ198" s="4">
        <v>336.34601200000003</v>
      </c>
      <c r="BA198" s="4">
        <v>336.34601200000003</v>
      </c>
      <c r="BB198" s="4">
        <v>336.34601200000003</v>
      </c>
      <c r="BC198" s="4">
        <v>336.34601200000003</v>
      </c>
      <c r="BD198" s="4">
        <v>336.34601200000003</v>
      </c>
      <c r="BE198" s="4">
        <v>336.34601200000003</v>
      </c>
      <c r="BF198" s="4">
        <v>336.34601200000003</v>
      </c>
      <c r="BG198" s="4">
        <v>336.34601200000003</v>
      </c>
      <c r="BH198" s="4">
        <v>336.34601200000003</v>
      </c>
      <c r="BJ198" s="9"/>
    </row>
    <row r="199" spans="1:62" x14ac:dyDescent="0.25">
      <c r="A199" s="6" t="s">
        <v>192</v>
      </c>
      <c r="B199" s="6"/>
      <c r="C199" s="7" t="s">
        <v>525</v>
      </c>
      <c r="D199" s="3"/>
      <c r="E199" s="3">
        <f>VLOOKUP(A199,[2]Sheet1!$A$2:$E$627,5,0)</f>
        <v>2774.0849684341274</v>
      </c>
      <c r="F199" s="3">
        <f>VLOOKUP(A199,[2]Sheet1!$A$2:$F$627,6,0)</f>
        <v>3590.2598190447488</v>
      </c>
      <c r="G199" s="3">
        <f>VLOOKUP(A199,[2]Sheet1!$A$2:$G$627,7,0)</f>
        <v>3816.0624862837421</v>
      </c>
      <c r="H199" s="4">
        <f t="shared" si="18"/>
        <v>3865.8377006805954</v>
      </c>
      <c r="I199" s="11">
        <f t="shared" si="19"/>
        <v>0.29421407775816011</v>
      </c>
      <c r="J199" s="11">
        <f t="shared" si="20"/>
        <v>0.37561124828767378</v>
      </c>
      <c r="K199" s="11">
        <f t="shared" si="21"/>
        <v>6.2893127132807911E-2</v>
      </c>
      <c r="L199" s="11">
        <f>IF(S199="",((BG199-E199)/E199),((U199-E199)/E199))</f>
        <v>0.39355417900653694</v>
      </c>
      <c r="M199" s="3" t="str">
        <f>IF(S199="Churn","Churn",VLOOKUP(A199,'[1]Revenue_Engine_2025 Dec.25'!$C$14:$E$3993,3,0))</f>
        <v>Üretim</v>
      </c>
      <c r="N199" s="3">
        <f>IF(S199="",VLOOKUP(A199,[3]Export!$B$2:$F$417,5,0),"CHURN")</f>
        <v>0</v>
      </c>
      <c r="O199" s="3">
        <f>(1-N199)*H199</f>
        <v>3865.8377006805954</v>
      </c>
      <c r="P199" s="3">
        <f t="shared" si="23"/>
        <v>3590.2598190447488</v>
      </c>
      <c r="Q199" s="3">
        <f t="shared" si="22"/>
        <v>3816.0624862837421</v>
      </c>
      <c r="R199" s="3" t="str">
        <f>IF(S199&lt;&gt;"Churn",VLOOKUP(A199,[3]Export!$B$2:$O$417,8,0),"CHURN")</f>
        <v>BOOKED CHURN</v>
      </c>
      <c r="S199" s="3"/>
      <c r="T199" s="3"/>
      <c r="U199" s="3" t="s">
        <v>551</v>
      </c>
      <c r="V199" s="4" t="str" cm="1">
        <f t="array" ref="V199">IFERROR(
    IF(
        MATCH(2,1/((Y199:BH199&lt;&gt;0)*(Y199:BH199&lt;&gt;"")))-MATCH(1,INDEX((Y199:BH199&lt;&gt;0)*(Y199:BH199&lt;&gt;""),0),0)+1 &lt;= 12,
        "No",
        "Yes"
    ),
    "No"
)</f>
        <v>Yes</v>
      </c>
      <c r="W199" s="4" t="str" cm="1">
        <f t="array" ref="W199">IFERROR(
    IF(
        MATCH(2,1/((Y199:BH199&lt;&gt;0)*(Y199:BH199&lt;&gt;"")))-MATCH(1,INDEX((Y199:BH199&lt;&gt;0)*(Y199:BH199&lt;&gt;""),0),0)+1 &lt;= 24,
        "No",
        "Yes"
    ),
    "No"
)</f>
        <v>Yes</v>
      </c>
      <c r="X199" s="3"/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2774.0849684341274</v>
      </c>
      <c r="AF199" s="4">
        <v>2721.6011934176249</v>
      </c>
      <c r="AG199" s="4">
        <v>2719.0755142115786</v>
      </c>
      <c r="AH199" s="4">
        <v>2635.2680940407672</v>
      </c>
      <c r="AI199" s="4">
        <v>2562.7207526178236</v>
      </c>
      <c r="AJ199" s="4">
        <v>2522.7909131298793</v>
      </c>
      <c r="AK199" s="4">
        <v>2442.4072301931578</v>
      </c>
      <c r="AL199" s="4">
        <v>2386.2885634052418</v>
      </c>
      <c r="AM199" s="4">
        <v>2294.9286300605918</v>
      </c>
      <c r="AN199" s="4">
        <v>2272.0713849246099</v>
      </c>
      <c r="AO199" s="4">
        <v>2275.3744195076483</v>
      </c>
      <c r="AP199" s="4">
        <v>2256.1089277244246</v>
      </c>
      <c r="AQ199" s="4">
        <v>3590.2598190447488</v>
      </c>
      <c r="AR199" s="4">
        <v>3512.9695480569312</v>
      </c>
      <c r="AS199" s="4">
        <v>3472.7496807953025</v>
      </c>
      <c r="AT199" s="4">
        <v>3451.2753765653038</v>
      </c>
      <c r="AU199" s="4">
        <v>3432.2512306425183</v>
      </c>
      <c r="AV199" s="4">
        <v>3378.883513930115</v>
      </c>
      <c r="AW199" s="4">
        <v>3327.9480630414541</v>
      </c>
      <c r="AX199" s="4">
        <v>3269.2823562840808</v>
      </c>
      <c r="AY199" s="4">
        <v>3187.7179771271954</v>
      </c>
      <c r="AZ199" s="4">
        <v>3102.5641193539814</v>
      </c>
      <c r="BA199" s="4">
        <v>3050.5516254778918</v>
      </c>
      <c r="BB199" s="4">
        <v>2998.7590112161843</v>
      </c>
      <c r="BC199" s="4">
        <v>3816.0624862837421</v>
      </c>
      <c r="BD199" s="4">
        <v>3757.2927102363133</v>
      </c>
      <c r="BE199" s="4">
        <v>3711.8128496092136</v>
      </c>
      <c r="BF199" s="4">
        <v>3667.1955097863934</v>
      </c>
      <c r="BG199" s="4">
        <v>3865.8377006805954</v>
      </c>
      <c r="BH199" s="4">
        <v>3828.1544050478938</v>
      </c>
      <c r="BJ199" s="9"/>
    </row>
    <row r="200" spans="1:62" x14ac:dyDescent="0.25">
      <c r="A200" s="6" t="s">
        <v>193</v>
      </c>
      <c r="B200" s="6"/>
      <c r="C200" s="7" t="s">
        <v>526</v>
      </c>
      <c r="D200" s="3"/>
      <c r="E200" s="3">
        <f>VLOOKUP(A200,[2]Sheet1!$A$2:$E$627,5,0)</f>
        <v>720.00685999999996</v>
      </c>
      <c r="F200" s="3">
        <f>VLOOKUP(A200,[2]Sheet1!$A$2:$F$627,6,0)</f>
        <v>774.80685999999992</v>
      </c>
      <c r="G200" s="3">
        <f>VLOOKUP(A200,[2]Sheet1!$A$2:$G$627,7,0)</f>
        <v>1386.2714530000003</v>
      </c>
      <c r="H200" s="4">
        <f t="shared" si="18"/>
        <v>1508.311453</v>
      </c>
      <c r="I200" s="11">
        <f t="shared" si="19"/>
        <v>7.6110385948267162E-2</v>
      </c>
      <c r="J200" s="11">
        <f t="shared" si="20"/>
        <v>0.92535867366597091</v>
      </c>
      <c r="K200" s="11">
        <f t="shared" si="21"/>
        <v>0.78918324626088165</v>
      </c>
      <c r="L200" s="11">
        <f>IF(S200="",((BG200-E200)/E200),((U200-E200)/E200))</f>
        <v>1.0587462916672767</v>
      </c>
      <c r="M200" s="3" t="str">
        <f>IF(S200="Churn","Churn",VLOOKUP(A200,'[1]Revenue_Engine_2025 Dec.25'!$C$14:$E$3993,3,0))</f>
        <v>Teknoloji</v>
      </c>
      <c r="N200" s="3">
        <f>IF(S200="",VLOOKUP(A200,[3]Export!$B$2:$F$417,5,0),"CHURN")</f>
        <v>2.1905290140364662E-2</v>
      </c>
      <c r="O200" s="3">
        <f>(1-N200)*H200</f>
        <v>1475.2714530000001</v>
      </c>
      <c r="P200" s="3">
        <f t="shared" si="23"/>
        <v>757.83449092895501</v>
      </c>
      <c r="Q200" s="3">
        <f t="shared" si="22"/>
        <v>1355.9047746087303</v>
      </c>
      <c r="R200" s="3" t="str">
        <f>IF(S200&lt;&gt;"Churn",VLOOKUP(A200,[3]Export!$B$2:$O$417,8,0),"CHURN")</f>
        <v>LOW RISK</v>
      </c>
      <c r="S200" s="3"/>
      <c r="T200" s="3"/>
      <c r="U200" s="3" t="s">
        <v>551</v>
      </c>
      <c r="V200" s="4" t="str" cm="1">
        <f t="array" ref="V200">IFERROR(
    IF(
        MATCH(2,1/((Y200:BH200&lt;&gt;0)*(Y200:BH200&lt;&gt;"")))-MATCH(1,INDEX((Y200:BH200&lt;&gt;0)*(Y200:BH200&lt;&gt;""),0),0)+1 &lt;= 12,
        "No",
        "Yes"
    ),
    "No"
)</f>
        <v>Yes</v>
      </c>
      <c r="W200" s="4" t="str" cm="1">
        <f t="array" ref="W200">IFERROR(
    IF(
        MATCH(2,1/((Y200:BH200&lt;&gt;0)*(Y200:BH200&lt;&gt;"")))-MATCH(1,INDEX((Y200:BH200&lt;&gt;0)*(Y200:BH200&lt;&gt;""),0),0)+1 &lt;= 24,
        "No",
        "Yes"
    ),
    "No"
)</f>
        <v>Yes</v>
      </c>
      <c r="X200" s="3"/>
      <c r="Y200" s="4">
        <v>0</v>
      </c>
      <c r="Z200" s="4">
        <v>0</v>
      </c>
      <c r="AA200" s="4">
        <v>0</v>
      </c>
      <c r="AB200" s="4">
        <v>0</v>
      </c>
      <c r="AC200" s="4">
        <v>0</v>
      </c>
      <c r="AD200" s="4">
        <v>0</v>
      </c>
      <c r="AE200" s="4">
        <v>0</v>
      </c>
      <c r="AF200" s="4">
        <v>719.999999</v>
      </c>
      <c r="AG200" s="4">
        <v>720.00685999999996</v>
      </c>
      <c r="AH200" s="4">
        <v>720.00685999999996</v>
      </c>
      <c r="AI200" s="4">
        <v>720.00685999999996</v>
      </c>
      <c r="AJ200" s="4">
        <v>720.00685999999996</v>
      </c>
      <c r="AK200" s="4">
        <v>720.00685999999996</v>
      </c>
      <c r="AL200" s="4">
        <v>724.80685999999992</v>
      </c>
      <c r="AM200" s="4">
        <v>759.80685999999992</v>
      </c>
      <c r="AN200" s="4">
        <v>759.80685999999992</v>
      </c>
      <c r="AO200" s="4">
        <v>759.80685999999992</v>
      </c>
      <c r="AP200" s="4">
        <v>759.80685999999992</v>
      </c>
      <c r="AQ200" s="4">
        <v>774.80685999999992</v>
      </c>
      <c r="AR200" s="4">
        <v>774.80685999999992</v>
      </c>
      <c r="AS200" s="4">
        <v>924.80685999999992</v>
      </c>
      <c r="AT200" s="4">
        <v>974.80685999999992</v>
      </c>
      <c r="AU200" s="4">
        <v>974.80685999999992</v>
      </c>
      <c r="AV200" s="4">
        <v>1024.8068599999999</v>
      </c>
      <c r="AW200" s="4">
        <v>1209.2714530000003</v>
      </c>
      <c r="AX200" s="4">
        <v>1209.2714530000003</v>
      </c>
      <c r="AY200" s="4">
        <v>1234.2714530000003</v>
      </c>
      <c r="AZ200" s="4">
        <v>1234.2714530000003</v>
      </c>
      <c r="BA200" s="4">
        <v>1234.2714530000003</v>
      </c>
      <c r="BB200" s="4">
        <v>1234.2714530000003</v>
      </c>
      <c r="BC200" s="4">
        <v>1386.2714530000003</v>
      </c>
      <c r="BD200" s="4">
        <v>1386.2714530000003</v>
      </c>
      <c r="BE200" s="4">
        <v>1386.2714530000003</v>
      </c>
      <c r="BF200" s="4">
        <v>1386.2714530000003</v>
      </c>
      <c r="BG200" s="4">
        <v>1482.311453</v>
      </c>
      <c r="BH200" s="4">
        <v>1508.311453</v>
      </c>
      <c r="BJ200" s="9"/>
    </row>
    <row r="201" spans="1:62" x14ac:dyDescent="0.25">
      <c r="A201" s="6" t="s">
        <v>194</v>
      </c>
      <c r="B201" s="6"/>
      <c r="C201" s="7" t="s">
        <v>526</v>
      </c>
      <c r="D201" s="3"/>
      <c r="E201" s="3">
        <f>VLOOKUP(A201,[2]Sheet1!$A$2:$E$627,5,0)</f>
        <v>36</v>
      </c>
      <c r="F201" s="3">
        <f>VLOOKUP(A201,[2]Sheet1!$A$2:$F$627,6,0)</f>
        <v>36</v>
      </c>
      <c r="G201" s="3">
        <f>VLOOKUP(A201,[2]Sheet1!$A$2:$G$627,7,0)</f>
        <v>60</v>
      </c>
      <c r="H201" s="4">
        <f t="shared" si="18"/>
        <v>60</v>
      </c>
      <c r="I201" s="11">
        <f t="shared" si="19"/>
        <v>0</v>
      </c>
      <c r="J201" s="11">
        <f t="shared" si="20"/>
        <v>0.66666666666666663</v>
      </c>
      <c r="K201" s="11">
        <f t="shared" si="21"/>
        <v>0.66666666666666663</v>
      </c>
      <c r="L201" s="11">
        <f>IF(S201="",((BG201-E201)/E201),((U201-E201)/E201))</f>
        <v>0.66666666666666663</v>
      </c>
      <c r="M201" s="3" t="str">
        <f>IF(S201="Churn","Churn",VLOOKUP(A201,'[1]Revenue_Engine_2025 Dec.25'!$C$14:$E$3993,3,0))</f>
        <v>Diğer</v>
      </c>
      <c r="N201" s="3">
        <f>IF(S201="",VLOOKUP(A201,[3]Export!$B$2:$F$417,5,0),"CHURN")</f>
        <v>0</v>
      </c>
      <c r="O201" s="3">
        <f>(1-N201)*H201</f>
        <v>60</v>
      </c>
      <c r="P201" s="3">
        <f t="shared" si="23"/>
        <v>36</v>
      </c>
      <c r="Q201" s="3">
        <f t="shared" si="22"/>
        <v>60</v>
      </c>
      <c r="R201" s="3" t="str">
        <f>IF(S201&lt;&gt;"Churn",VLOOKUP(A201,[3]Export!$B$2:$O$417,8,0),"CHURN")</f>
        <v>NO RISK</v>
      </c>
      <c r="S201" s="3"/>
      <c r="T201" s="3"/>
      <c r="U201" s="3" t="s">
        <v>551</v>
      </c>
      <c r="V201" s="4" t="str" cm="1">
        <f t="array" ref="V201">IFERROR(
    IF(
        MATCH(2,1/((Y201:BH201&lt;&gt;0)*(Y201:BH201&lt;&gt;"")))-MATCH(1,INDEX((Y201:BH201&lt;&gt;0)*(Y201:BH201&lt;&gt;""),0),0)+1 &lt;= 12,
        "No",
        "Yes"
    ),
    "No"
)</f>
        <v>Yes</v>
      </c>
      <c r="W201" s="4" t="str" cm="1">
        <f t="array" ref="W201">IFERROR(
    IF(
        MATCH(2,1/((Y201:BH201&lt;&gt;0)*(Y201:BH201&lt;&gt;"")))-MATCH(1,INDEX((Y201:BH201&lt;&gt;0)*(Y201:BH201&lt;&gt;""),0),0)+1 &lt;= 24,
        "No",
        "Yes"
    ),
    "No"
)</f>
        <v>Yes</v>
      </c>
      <c r="X201" s="3"/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0</v>
      </c>
      <c r="AE201" s="4">
        <v>0</v>
      </c>
      <c r="AF201" s="4">
        <v>36</v>
      </c>
      <c r="AG201" s="4">
        <v>36</v>
      </c>
      <c r="AH201" s="4">
        <v>36</v>
      </c>
      <c r="AI201" s="4">
        <v>36</v>
      </c>
      <c r="AJ201" s="4">
        <v>36</v>
      </c>
      <c r="AK201" s="4">
        <v>36</v>
      </c>
      <c r="AL201" s="4">
        <v>36</v>
      </c>
      <c r="AM201" s="4">
        <v>36</v>
      </c>
      <c r="AN201" s="4">
        <v>36</v>
      </c>
      <c r="AO201" s="4">
        <v>36</v>
      </c>
      <c r="AP201" s="4">
        <v>36</v>
      </c>
      <c r="AQ201" s="4">
        <v>36</v>
      </c>
      <c r="AR201" s="4">
        <v>36</v>
      </c>
      <c r="AS201" s="4">
        <v>36</v>
      </c>
      <c r="AT201" s="4">
        <v>36</v>
      </c>
      <c r="AU201" s="4">
        <v>36</v>
      </c>
      <c r="AV201" s="4">
        <v>36</v>
      </c>
      <c r="AW201" s="4">
        <v>36</v>
      </c>
      <c r="AX201" s="4">
        <v>36</v>
      </c>
      <c r="AY201" s="4">
        <v>60</v>
      </c>
      <c r="AZ201" s="4">
        <v>60</v>
      </c>
      <c r="BA201" s="4">
        <v>60</v>
      </c>
      <c r="BB201" s="4">
        <v>60</v>
      </c>
      <c r="BC201" s="4">
        <v>60</v>
      </c>
      <c r="BD201" s="4">
        <v>60</v>
      </c>
      <c r="BE201" s="4">
        <v>60</v>
      </c>
      <c r="BF201" s="4">
        <v>60</v>
      </c>
      <c r="BG201" s="4">
        <v>60</v>
      </c>
      <c r="BH201" s="4">
        <v>60</v>
      </c>
      <c r="BJ201" s="9"/>
    </row>
    <row r="202" spans="1:62" x14ac:dyDescent="0.25">
      <c r="A202" s="6" t="s">
        <v>195</v>
      </c>
      <c r="B202" s="6"/>
      <c r="C202" s="7" t="s">
        <v>526</v>
      </c>
      <c r="D202" s="3"/>
      <c r="E202" s="3">
        <f>VLOOKUP(A202,[2]Sheet1!$A$2:$E$627,5,0)</f>
        <v>173.99999899999997</v>
      </c>
      <c r="F202" s="3">
        <f>VLOOKUP(A202,[2]Sheet1!$A$2:$F$627,6,0)</f>
        <v>154.99999899999997</v>
      </c>
      <c r="G202" s="3">
        <f>VLOOKUP(A202,[2]Sheet1!$A$2:$G$627,7,0)</f>
        <v>0</v>
      </c>
      <c r="H202" s="4">
        <f t="shared" si="18"/>
        <v>0</v>
      </c>
      <c r="I202" s="11">
        <f t="shared" si="19"/>
        <v>-0.10919540292641038</v>
      </c>
      <c r="J202" s="11">
        <f t="shared" si="20"/>
        <v>-1</v>
      </c>
      <c r="K202" s="11">
        <f t="shared" si="21"/>
        <v>-1</v>
      </c>
      <c r="L202" s="11">
        <f>IF(S202="",((BG202-E202)/E202),((U202-E202)/E202))</f>
        <v>-0.10919540292641038</v>
      </c>
      <c r="M202" s="3" t="str">
        <f>IF(S202="Churn","Churn",VLOOKUP(A202,'[1]Revenue_Engine_2025 Dec.25'!$C$14:$E$3993,3,0))</f>
        <v>Churn</v>
      </c>
      <c r="N202" s="3" t="str">
        <f>IF(S202="",VLOOKUP(A202,[3]Export!$B$2:$F$417,5,0),"CHURN")</f>
        <v>CHURN</v>
      </c>
      <c r="O202" s="3" t="e">
        <f>(1-N202)*H202</f>
        <v>#VALUE!</v>
      </c>
      <c r="P202" s="3" t="e">
        <f t="shared" si="23"/>
        <v>#VALUE!</v>
      </c>
      <c r="Q202" s="3" t="e">
        <f t="shared" si="22"/>
        <v>#VALUE!</v>
      </c>
      <c r="R202" s="3" t="str">
        <f>IF(S202&lt;&gt;"Churn",VLOOKUP(A202,[3]Export!$B$2:$O$417,8,0),"CHURN")</f>
        <v>CHURN</v>
      </c>
      <c r="S202" s="3" t="s">
        <v>372</v>
      </c>
      <c r="T202" s="3" t="s">
        <v>552</v>
      </c>
      <c r="U202" s="3">
        <v>154.99999899999997</v>
      </c>
      <c r="V202" s="4" t="str" cm="1">
        <f t="array" ref="V202">IFERROR(
    IF(
        MATCH(2,1/((Y202:BH202&lt;&gt;0)*(Y202:BH202&lt;&gt;"")))-MATCH(1,INDEX((Y202:BH202&lt;&gt;0)*(Y202:BH202&lt;&gt;""),0),0)+1 &lt;= 12,
        "No",
        "Yes"
    ),
    "No"
)</f>
        <v>Yes</v>
      </c>
      <c r="W202" s="4" t="str" cm="1">
        <f t="array" ref="W202">IFERROR(
    IF(
        MATCH(2,1/((Y202:BH202&lt;&gt;0)*(Y202:BH202&lt;&gt;"")))-MATCH(1,INDEX((Y202:BH202&lt;&gt;0)*(Y202:BH202&lt;&gt;""),0),0)+1 &lt;= 24,
        "No",
        "Yes"
    ),
    "No"
)</f>
        <v>No</v>
      </c>
      <c r="X202" s="3"/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154.99999899999997</v>
      </c>
      <c r="AG202" s="4">
        <v>173.99999899999997</v>
      </c>
      <c r="AH202" s="4">
        <v>154.99999899999997</v>
      </c>
      <c r="AI202" s="4">
        <v>154.99999899999997</v>
      </c>
      <c r="AJ202" s="4">
        <v>154.99999899999997</v>
      </c>
      <c r="AK202" s="4">
        <v>154.99999899999997</v>
      </c>
      <c r="AL202" s="4">
        <v>154.99999899999997</v>
      </c>
      <c r="AM202" s="4">
        <v>154.99999899999997</v>
      </c>
      <c r="AN202" s="4">
        <v>154.99999899999997</v>
      </c>
      <c r="AO202" s="4">
        <v>154.99999899999997</v>
      </c>
      <c r="AP202" s="4">
        <v>154.99999899999997</v>
      </c>
      <c r="AQ202" s="4">
        <v>154.99999899999997</v>
      </c>
      <c r="AR202" s="4">
        <v>154.99999899999997</v>
      </c>
      <c r="AS202" s="4">
        <v>154.99999899999997</v>
      </c>
      <c r="AT202" s="4">
        <v>154.99999899999997</v>
      </c>
      <c r="AU202" s="4">
        <v>154.99999899999997</v>
      </c>
      <c r="AV202" s="4">
        <v>154.99999899999997</v>
      </c>
      <c r="AW202" s="4">
        <v>154.99999899999997</v>
      </c>
      <c r="AX202" s="4">
        <v>154.99999899999997</v>
      </c>
      <c r="AY202" s="4">
        <v>0</v>
      </c>
      <c r="AZ202" s="4">
        <v>0</v>
      </c>
      <c r="BA202" s="4">
        <v>0</v>
      </c>
      <c r="BB202" s="4">
        <v>0</v>
      </c>
      <c r="BC202" s="4">
        <v>0</v>
      </c>
      <c r="BD202" s="4">
        <v>0</v>
      </c>
      <c r="BE202" s="4">
        <v>0</v>
      </c>
      <c r="BF202" s="4">
        <v>0</v>
      </c>
      <c r="BG202" s="4">
        <v>0</v>
      </c>
      <c r="BH202" s="4">
        <v>0</v>
      </c>
      <c r="BJ202" s="9"/>
    </row>
    <row r="203" spans="1:62" x14ac:dyDescent="0.25">
      <c r="A203" s="6" t="s">
        <v>196</v>
      </c>
      <c r="B203" s="6"/>
      <c r="C203" s="7" t="s">
        <v>526</v>
      </c>
      <c r="D203" s="3"/>
      <c r="E203" s="3">
        <f>VLOOKUP(A203,[2]Sheet1!$A$2:$E$627,5,0)</f>
        <v>179.00000199999999</v>
      </c>
      <c r="F203" s="3">
        <f>VLOOKUP(A203,[2]Sheet1!$A$2:$F$627,6,0)</f>
        <v>189.00000199999999</v>
      </c>
      <c r="G203" s="3">
        <f>VLOOKUP(A203,[2]Sheet1!$A$2:$G$627,7,0)</f>
        <v>189.00000199999999</v>
      </c>
      <c r="H203" s="4">
        <f t="shared" si="18"/>
        <v>189.00000199999999</v>
      </c>
      <c r="I203" s="11">
        <f t="shared" si="19"/>
        <v>5.5865921163509261E-2</v>
      </c>
      <c r="J203" s="11">
        <f t="shared" si="20"/>
        <v>5.5865921163509261E-2</v>
      </c>
      <c r="K203" s="11">
        <f t="shared" si="21"/>
        <v>0</v>
      </c>
      <c r="L203" s="11">
        <f>IF(S203="",((BG203-E203)/E203),((U203-E203)/E203))</f>
        <v>5.5865921163509261E-2</v>
      </c>
      <c r="M203" s="3" t="str">
        <f>IF(S203="Churn","Churn",VLOOKUP(A203,'[1]Revenue_Engine_2025 Dec.25'!$C$14:$E$3993,3,0))</f>
        <v>Genel</v>
      </c>
      <c r="N203" s="3">
        <f>IF(S203="",VLOOKUP(A203,[3]Export!$B$2:$F$417,5,0),"CHURN")</f>
        <v>0.15343915181545872</v>
      </c>
      <c r="O203" s="3">
        <f>(1-N203)*H203</f>
        <v>160.00000199999999</v>
      </c>
      <c r="P203" s="3">
        <f t="shared" si="23"/>
        <v>160.00000199999999</v>
      </c>
      <c r="Q203" s="3">
        <f t="shared" si="22"/>
        <v>160.00000199999999</v>
      </c>
      <c r="R203" s="3" t="str">
        <f>IF(S203&lt;&gt;"Churn",VLOOKUP(A203,[3]Export!$B$2:$O$417,8,0),"CHURN")</f>
        <v>NO RISK</v>
      </c>
      <c r="S203" s="3"/>
      <c r="T203" s="3"/>
      <c r="U203" s="3" t="s">
        <v>551</v>
      </c>
      <c r="V203" s="4" t="str" cm="1">
        <f t="array" ref="V203">IFERROR(
    IF(
        MATCH(2,1/((Y203:BH203&lt;&gt;0)*(Y203:BH203&lt;&gt;"")))-MATCH(1,INDEX((Y203:BH203&lt;&gt;0)*(Y203:BH203&lt;&gt;""),0),0)+1 &lt;= 12,
        "No",
        "Yes"
    ),
    "No"
)</f>
        <v>Yes</v>
      </c>
      <c r="W203" s="4" t="str" cm="1">
        <f t="array" ref="W203">IFERROR(
    IF(
        MATCH(2,1/((Y203:BH203&lt;&gt;0)*(Y203:BH203&lt;&gt;"")))-MATCH(1,INDEX((Y203:BH203&lt;&gt;0)*(Y203:BH203&lt;&gt;""),0),0)+1 &lt;= 24,
        "No",
        "Yes"
    ),
    "No"
)</f>
        <v>Yes</v>
      </c>
      <c r="X203" s="3"/>
      <c r="Y203" s="4">
        <v>0</v>
      </c>
      <c r="Z203" s="4">
        <v>0</v>
      </c>
      <c r="AA203" s="4">
        <v>0</v>
      </c>
      <c r="AB203" s="4">
        <v>0</v>
      </c>
      <c r="AC203" s="4">
        <v>0</v>
      </c>
      <c r="AD203" s="4">
        <v>0</v>
      </c>
      <c r="AE203" s="4">
        <v>0</v>
      </c>
      <c r="AF203" s="4">
        <v>175.00000199999999</v>
      </c>
      <c r="AG203" s="4">
        <v>179.00000199999999</v>
      </c>
      <c r="AH203" s="4">
        <v>179.00000199999999</v>
      </c>
      <c r="AI203" s="4">
        <v>179.00000199999999</v>
      </c>
      <c r="AJ203" s="4">
        <v>179.00000199999999</v>
      </c>
      <c r="AK203" s="4">
        <v>179.00000199999999</v>
      </c>
      <c r="AL203" s="4">
        <v>179.00000199999999</v>
      </c>
      <c r="AM203" s="4">
        <v>189.00000199999999</v>
      </c>
      <c r="AN203" s="4">
        <v>189.00000199999999</v>
      </c>
      <c r="AO203" s="4">
        <v>189.00000199999999</v>
      </c>
      <c r="AP203" s="4">
        <v>189.00000199999999</v>
      </c>
      <c r="AQ203" s="4">
        <v>189.00000199999999</v>
      </c>
      <c r="AR203" s="4">
        <v>189.00000199999999</v>
      </c>
      <c r="AS203" s="4">
        <v>189.00000199999999</v>
      </c>
      <c r="AT203" s="4">
        <v>189.00000199999999</v>
      </c>
      <c r="AU203" s="4">
        <v>189.00000199999999</v>
      </c>
      <c r="AV203" s="4">
        <v>189.00000199999999</v>
      </c>
      <c r="AW203" s="4">
        <v>189.00000199999999</v>
      </c>
      <c r="AX203" s="4">
        <v>189.00000199999999</v>
      </c>
      <c r="AY203" s="4">
        <v>189.00000199999999</v>
      </c>
      <c r="AZ203" s="4">
        <v>189.00000199999997</v>
      </c>
      <c r="BA203" s="4">
        <v>189.00000199999999</v>
      </c>
      <c r="BB203" s="4">
        <v>189.00000199999999</v>
      </c>
      <c r="BC203" s="4">
        <v>189.00000199999999</v>
      </c>
      <c r="BD203" s="4">
        <v>189.00000199999999</v>
      </c>
      <c r="BE203" s="4">
        <v>189.00000199999999</v>
      </c>
      <c r="BF203" s="4">
        <v>189.00000199999999</v>
      </c>
      <c r="BG203" s="4">
        <v>189.00000199999999</v>
      </c>
      <c r="BH203" s="4">
        <v>189.00000199999999</v>
      </c>
      <c r="BJ203" s="9"/>
    </row>
    <row r="204" spans="1:62" x14ac:dyDescent="0.25">
      <c r="A204" s="6" t="s">
        <v>197</v>
      </c>
      <c r="B204" s="6"/>
      <c r="C204" s="7" t="s">
        <v>526</v>
      </c>
      <c r="D204" s="3"/>
      <c r="E204" s="3">
        <f>VLOOKUP(A204,[2]Sheet1!$A$2:$E$627,5,0)</f>
        <v>160</v>
      </c>
      <c r="F204" s="3">
        <f>VLOOKUP(A204,[2]Sheet1!$A$2:$F$627,6,0)</f>
        <v>160.00749000000002</v>
      </c>
      <c r="G204" s="3">
        <f>VLOOKUP(A204,[2]Sheet1!$A$2:$G$627,7,0)</f>
        <v>0</v>
      </c>
      <c r="H204" s="4">
        <f t="shared" si="18"/>
        <v>0</v>
      </c>
      <c r="I204" s="11">
        <f t="shared" si="19"/>
        <v>4.6812500000115162E-5</v>
      </c>
      <c r="J204" s="11">
        <f t="shared" si="20"/>
        <v>-1</v>
      </c>
      <c r="K204" s="11">
        <f t="shared" si="21"/>
        <v>-1</v>
      </c>
      <c r="L204" s="11">
        <f>IF(S204="",((BG204-E204)/E204),((U204-E204)/E204))</f>
        <v>1.5874902375000004</v>
      </c>
      <c r="M204" s="3" t="str">
        <f>IF(S204="Churn","Churn",VLOOKUP(A204,'[1]Revenue_Engine_2025 Dec.25'!$C$14:$E$3993,3,0))</f>
        <v>Churn</v>
      </c>
      <c r="N204" s="3" t="str">
        <f>IF(S204="",VLOOKUP(A204,[3]Export!$B$2:$F$417,5,0),"CHURN")</f>
        <v>CHURN</v>
      </c>
      <c r="O204" s="3" t="e">
        <f>(1-N204)*H204</f>
        <v>#VALUE!</v>
      </c>
      <c r="P204" s="3" t="e">
        <f t="shared" si="23"/>
        <v>#VALUE!</v>
      </c>
      <c r="Q204" s="3" t="e">
        <f t="shared" si="22"/>
        <v>#VALUE!</v>
      </c>
      <c r="R204" s="3" t="str">
        <f>IF(S204&lt;&gt;"Churn",VLOOKUP(A204,[3]Export!$B$2:$O$417,8,0),"CHURN")</f>
        <v>CHURN</v>
      </c>
      <c r="S204" s="3" t="s">
        <v>372</v>
      </c>
      <c r="T204" s="3" t="s">
        <v>555</v>
      </c>
      <c r="U204" s="3">
        <v>413.99843800000008</v>
      </c>
      <c r="V204" s="4" t="str" cm="1">
        <f t="array" ref="V204">IFERROR(
    IF(
        MATCH(2,1/((Y204:BH204&lt;&gt;0)*(Y204:BH204&lt;&gt;"")))-MATCH(1,INDEX((Y204:BH204&lt;&gt;0)*(Y204:BH204&lt;&gt;""),0),0)+1 &lt;= 12,
        "No",
        "Yes"
    ),
    "No"
)</f>
        <v>Yes</v>
      </c>
      <c r="W204" s="4" t="str" cm="1">
        <f t="array" ref="W204">IFERROR(
    IF(
        MATCH(2,1/((Y204:BH204&lt;&gt;0)*(Y204:BH204&lt;&gt;"")))-MATCH(1,INDEX((Y204:BH204&lt;&gt;0)*(Y204:BH204&lt;&gt;""),0),0)+1 &lt;= 24,
        "No",
        "Yes"
    ),
    "No"
)</f>
        <v>No</v>
      </c>
      <c r="X204" s="3"/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0</v>
      </c>
      <c r="AE204" s="4">
        <v>0</v>
      </c>
      <c r="AF204" s="4">
        <v>160</v>
      </c>
      <c r="AG204" s="4">
        <v>160</v>
      </c>
      <c r="AH204" s="4">
        <v>160</v>
      </c>
      <c r="AI204" s="4">
        <v>160</v>
      </c>
      <c r="AJ204" s="4">
        <v>160</v>
      </c>
      <c r="AK204" s="4">
        <v>160</v>
      </c>
      <c r="AL204" s="4">
        <v>160.00749000000002</v>
      </c>
      <c r="AM204" s="4">
        <v>160.00749000000002</v>
      </c>
      <c r="AN204" s="4">
        <v>160.00749000000002</v>
      </c>
      <c r="AO204" s="4">
        <v>160.00749000000002</v>
      </c>
      <c r="AP204" s="4">
        <v>160.00749000000002</v>
      </c>
      <c r="AQ204" s="4">
        <v>160.00749000000002</v>
      </c>
      <c r="AR204" s="4">
        <v>160.00749000000002</v>
      </c>
      <c r="AS204" s="4">
        <v>160.00749000000002</v>
      </c>
      <c r="AT204" s="4">
        <v>160.00749000000002</v>
      </c>
      <c r="AU204" s="4">
        <v>359.99875500000007</v>
      </c>
      <c r="AV204" s="4">
        <v>359.99875500000007</v>
      </c>
      <c r="AW204" s="4">
        <v>413.99843800000002</v>
      </c>
      <c r="AX204" s="4">
        <v>413.99843800000002</v>
      </c>
      <c r="AY204" s="4">
        <v>413.99843800000002</v>
      </c>
      <c r="AZ204" s="4">
        <v>413.99843800000008</v>
      </c>
      <c r="BA204" s="4">
        <v>413.99843800000002</v>
      </c>
      <c r="BB204" s="4">
        <v>0</v>
      </c>
      <c r="BC204" s="4">
        <v>0</v>
      </c>
      <c r="BD204" s="4">
        <v>0</v>
      </c>
      <c r="BE204" s="4">
        <v>0</v>
      </c>
      <c r="BF204" s="4">
        <v>0</v>
      </c>
      <c r="BG204" s="4">
        <v>0</v>
      </c>
      <c r="BH204" s="4">
        <v>0</v>
      </c>
      <c r="BJ204" s="9"/>
    </row>
    <row r="205" spans="1:62" x14ac:dyDescent="0.25">
      <c r="A205" s="6" t="s">
        <v>198</v>
      </c>
      <c r="B205" s="6"/>
      <c r="C205" s="7" t="s">
        <v>525</v>
      </c>
      <c r="D205" s="3"/>
      <c r="E205" s="3">
        <f>VLOOKUP(A205,[2]Sheet1!$A$2:$E$627,5,0)</f>
        <v>3266.6834290423285</v>
      </c>
      <c r="F205" s="3">
        <f>VLOOKUP(A205,[2]Sheet1!$A$2:$F$627,6,0)</f>
        <v>3606.3385938887004</v>
      </c>
      <c r="G205" s="3">
        <f>VLOOKUP(A205,[2]Sheet1!$A$2:$G$627,7,0)</f>
        <v>4076.4283148928434</v>
      </c>
      <c r="H205" s="4">
        <f t="shared" si="18"/>
        <v>4122.6071547441297</v>
      </c>
      <c r="I205" s="11">
        <f t="shared" si="19"/>
        <v>0.10397553733755778</v>
      </c>
      <c r="J205" s="11">
        <f t="shared" si="20"/>
        <v>0.24787981554977379</v>
      </c>
      <c r="K205" s="11">
        <f t="shared" si="21"/>
        <v>0.13035096643469829</v>
      </c>
      <c r="L205" s="11">
        <f>IF(S205="",((BG205-E205)/E205),((U205-E205)/E205))</f>
        <v>0.25594472387721395</v>
      </c>
      <c r="M205" s="3" t="str">
        <f>IF(S205="Churn","Churn",VLOOKUP(A205,'[1]Revenue_Engine_2025 Dec.25'!$C$14:$E$3993,3,0))</f>
        <v>Finans</v>
      </c>
      <c r="N205" s="3">
        <f>IF(S205="",VLOOKUP(A205,[3]Export!$B$2:$F$417,5,0),"CHURN")</f>
        <v>0.16987308606256596</v>
      </c>
      <c r="O205" s="3">
        <f>(1-N205)*H205</f>
        <v>3422.28715474413</v>
      </c>
      <c r="P205" s="3">
        <f t="shared" si="23"/>
        <v>2993.7187275582924</v>
      </c>
      <c r="Q205" s="3">
        <f t="shared" si="22"/>
        <v>3383.952856929171</v>
      </c>
      <c r="R205" s="3" t="str">
        <f>IF(S205&lt;&gt;"Churn",VLOOKUP(A205,[3]Export!$B$2:$O$417,8,0),"CHURN")</f>
        <v>NO RISK</v>
      </c>
      <c r="S205" s="3"/>
      <c r="T205" s="3"/>
      <c r="U205" s="3" t="s">
        <v>551</v>
      </c>
      <c r="V205" s="4" t="str" cm="1">
        <f t="array" ref="V205">IFERROR(
    IF(
        MATCH(2,1/((Y205:BH205&lt;&gt;0)*(Y205:BH205&lt;&gt;"")))-MATCH(1,INDEX((Y205:BH205&lt;&gt;0)*(Y205:BH205&lt;&gt;""),0),0)+1 &lt;= 12,
        "No",
        "Yes"
    ),
    "No"
)</f>
        <v>Yes</v>
      </c>
      <c r="W205" s="4" t="str" cm="1">
        <f t="array" ref="W205">IFERROR(
    IF(
        MATCH(2,1/((Y205:BH205&lt;&gt;0)*(Y205:BH205&lt;&gt;"")))-MATCH(1,INDEX((Y205:BH205&lt;&gt;0)*(Y205:BH205&lt;&gt;""),0),0)+1 &lt;= 24,
        "No",
        "Yes"
    ),
    "No"
)</f>
        <v>Yes</v>
      </c>
      <c r="X205" s="3"/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0</v>
      </c>
      <c r="AE205" s="4">
        <v>0</v>
      </c>
      <c r="AF205" s="4">
        <v>3250.0522956198006</v>
      </c>
      <c r="AG205" s="4">
        <v>3266.6834290423285</v>
      </c>
      <c r="AH205" s="4">
        <v>3212.2615179218037</v>
      </c>
      <c r="AI205" s="4">
        <v>3172.9423396506299</v>
      </c>
      <c r="AJ205" s="4">
        <v>3151.3011816650765</v>
      </c>
      <c r="AK205" s="4">
        <v>3107.7348662427603</v>
      </c>
      <c r="AL205" s="4">
        <v>3077.3196942944078</v>
      </c>
      <c r="AM205" s="4">
        <v>3027.8044751897032</v>
      </c>
      <c r="AN205" s="4">
        <v>3015.4163148703601</v>
      </c>
      <c r="AO205" s="4">
        <v>3017.206492195387</v>
      </c>
      <c r="AP205" s="4">
        <v>3006.7649888811547</v>
      </c>
      <c r="AQ205" s="4">
        <v>2992.6008542403015</v>
      </c>
      <c r="AR205" s="4">
        <v>3606.3385938887004</v>
      </c>
      <c r="AS205" s="4">
        <v>3585.4747021443254</v>
      </c>
      <c r="AT205" s="4">
        <v>3574.3349946006374</v>
      </c>
      <c r="AU205" s="4">
        <v>3564.4662966638625</v>
      </c>
      <c r="AV205" s="4">
        <v>3536.7820117583688</v>
      </c>
      <c r="AW205" s="4">
        <v>3867.1594548071221</v>
      </c>
      <c r="AX205" s="4">
        <v>3836.7268592211881</v>
      </c>
      <c r="AY205" s="4">
        <v>3794.4156709256968</v>
      </c>
      <c r="AZ205" s="4">
        <v>3750.2424552698803</v>
      </c>
      <c r="BA205" s="4">
        <v>3723.2611866712878</v>
      </c>
      <c r="BB205" s="4">
        <v>3696.393979723905</v>
      </c>
      <c r="BC205" s="4">
        <v>3666.4718472557506</v>
      </c>
      <c r="BD205" s="4">
        <v>4076.4283148928434</v>
      </c>
      <c r="BE205" s="4">
        <v>4145.5986508298438</v>
      </c>
      <c r="BF205" s="4">
        <v>4122.6071547441297</v>
      </c>
      <c r="BG205" s="4">
        <v>4102.7738172828376</v>
      </c>
      <c r="BH205" s="4">
        <v>4084.5515918147848</v>
      </c>
      <c r="BJ205" s="9"/>
    </row>
    <row r="206" spans="1:62" x14ac:dyDescent="0.25">
      <c r="A206" s="6" t="s">
        <v>199</v>
      </c>
      <c r="B206" s="6"/>
      <c r="C206" s="7" t="s">
        <v>526</v>
      </c>
      <c r="D206" s="3"/>
      <c r="E206" s="3">
        <f>VLOOKUP(A206,[2]Sheet1!$A$2:$E$627,5,0)</f>
        <v>16</v>
      </c>
      <c r="F206" s="3">
        <f>VLOOKUP(A206,[2]Sheet1!$A$2:$F$627,6,0)</f>
        <v>16</v>
      </c>
      <c r="G206" s="3">
        <f>VLOOKUP(A206,[2]Sheet1!$A$2:$G$627,7,0)</f>
        <v>16</v>
      </c>
      <c r="H206" s="4">
        <f t="shared" si="18"/>
        <v>16</v>
      </c>
      <c r="I206" s="11">
        <f t="shared" si="19"/>
        <v>0</v>
      </c>
      <c r="J206" s="11">
        <f t="shared" si="20"/>
        <v>0</v>
      </c>
      <c r="K206" s="11">
        <f t="shared" si="21"/>
        <v>0</v>
      </c>
      <c r="L206" s="11">
        <f>IF(S206="",((BG206-E206)/E206),((U206-E206)/E206))</f>
        <v>0</v>
      </c>
      <c r="M206" s="3" t="str">
        <f>IF(S206="Churn","Churn",VLOOKUP(A206,'[1]Revenue_Engine_2025 Dec.25'!$C$14:$E$3993,3,0))</f>
        <v>Diğer</v>
      </c>
      <c r="N206" s="3">
        <v>0</v>
      </c>
      <c r="O206" s="3">
        <f>(1-N206)*H206</f>
        <v>16</v>
      </c>
      <c r="P206" s="3">
        <f t="shared" si="23"/>
        <v>16</v>
      </c>
      <c r="Q206" s="3">
        <f t="shared" si="22"/>
        <v>16</v>
      </c>
      <c r="R206" s="3" t="s">
        <v>546</v>
      </c>
      <c r="S206" s="3"/>
      <c r="T206" s="3"/>
      <c r="U206" s="3" t="s">
        <v>551</v>
      </c>
      <c r="V206" s="4" t="str" cm="1">
        <f t="array" ref="V206">IFERROR(
    IF(
        MATCH(2,1/((Y206:BH206&lt;&gt;0)*(Y206:BH206&lt;&gt;"")))-MATCH(1,INDEX((Y206:BH206&lt;&gt;0)*(Y206:BH206&lt;&gt;""),0),0)+1 &lt;= 12,
        "No",
        "Yes"
    ),
    "No"
)</f>
        <v>Yes</v>
      </c>
      <c r="W206" s="4" t="str" cm="1">
        <f t="array" ref="W206">IFERROR(
    IF(
        MATCH(2,1/((Y206:BH206&lt;&gt;0)*(Y206:BH206&lt;&gt;"")))-MATCH(1,INDEX((Y206:BH206&lt;&gt;0)*(Y206:BH206&lt;&gt;""),0),0)+1 &lt;= 24,
        "No",
        "Yes"
    ),
    "No"
)</f>
        <v>Yes</v>
      </c>
      <c r="X206" s="3"/>
      <c r="Y206" s="4">
        <v>0</v>
      </c>
      <c r="Z206" s="4">
        <v>0</v>
      </c>
      <c r="AA206" s="4">
        <v>0</v>
      </c>
      <c r="AB206" s="4">
        <v>0</v>
      </c>
      <c r="AC206" s="4">
        <v>0</v>
      </c>
      <c r="AD206" s="4">
        <v>0</v>
      </c>
      <c r="AE206" s="4">
        <v>0</v>
      </c>
      <c r="AF206" s="4">
        <v>16</v>
      </c>
      <c r="AG206" s="4">
        <v>16</v>
      </c>
      <c r="AH206" s="4">
        <v>16</v>
      </c>
      <c r="AI206" s="4">
        <v>16</v>
      </c>
      <c r="AJ206" s="4">
        <v>16</v>
      </c>
      <c r="AK206" s="4">
        <v>16</v>
      </c>
      <c r="AL206" s="4">
        <v>16</v>
      </c>
      <c r="AM206" s="4">
        <v>16</v>
      </c>
      <c r="AN206" s="4">
        <v>16</v>
      </c>
      <c r="AO206" s="4">
        <v>16</v>
      </c>
      <c r="AP206" s="4">
        <v>16</v>
      </c>
      <c r="AQ206" s="4">
        <v>16</v>
      </c>
      <c r="AR206" s="4">
        <v>16</v>
      </c>
      <c r="AS206" s="4">
        <v>16</v>
      </c>
      <c r="AT206" s="4">
        <v>16</v>
      </c>
      <c r="AU206" s="4">
        <v>16</v>
      </c>
      <c r="AV206" s="4">
        <v>16</v>
      </c>
      <c r="AW206" s="4">
        <v>16</v>
      </c>
      <c r="AX206" s="4">
        <v>16</v>
      </c>
      <c r="AY206" s="4">
        <v>16</v>
      </c>
      <c r="AZ206" s="4">
        <v>16</v>
      </c>
      <c r="BA206" s="4">
        <v>16</v>
      </c>
      <c r="BB206" s="4">
        <v>16</v>
      </c>
      <c r="BC206" s="4">
        <v>16</v>
      </c>
      <c r="BD206" s="4">
        <v>16</v>
      </c>
      <c r="BE206" s="4">
        <v>16</v>
      </c>
      <c r="BF206" s="4">
        <v>16</v>
      </c>
      <c r="BG206" s="4">
        <v>16</v>
      </c>
      <c r="BH206" s="4">
        <v>16</v>
      </c>
      <c r="BJ206" s="9"/>
    </row>
    <row r="207" spans="1:62" x14ac:dyDescent="0.25">
      <c r="A207" s="6" t="s">
        <v>200</v>
      </c>
      <c r="B207" s="6"/>
      <c r="C207" s="7" t="s">
        <v>526</v>
      </c>
      <c r="D207" s="3"/>
      <c r="E207" s="3">
        <f>VLOOKUP(A207,[2]Sheet1!$A$2:$E$627,5,0)</f>
        <v>1450</v>
      </c>
      <c r="F207" s="3">
        <f>VLOOKUP(A207,[2]Sheet1!$A$2:$F$627,6,0)</f>
        <v>1600</v>
      </c>
      <c r="G207" s="3">
        <f>VLOOKUP(A207,[2]Sheet1!$A$2:$G$627,7,0)</f>
        <v>3405.6916259999998</v>
      </c>
      <c r="H207" s="4">
        <f t="shared" si="18"/>
        <v>3405.6916259999998</v>
      </c>
      <c r="I207" s="11">
        <f t="shared" si="19"/>
        <v>0.10344827586206896</v>
      </c>
      <c r="J207" s="11">
        <f t="shared" si="20"/>
        <v>1.3487528455172413</v>
      </c>
      <c r="K207" s="11">
        <f t="shared" si="21"/>
        <v>1.1285572662499999</v>
      </c>
      <c r="L207" s="11">
        <f>IF(S207="",((BG207-E207)/E207),((U207-E207)/E207))</f>
        <v>1.3473735351724136</v>
      </c>
      <c r="M207" s="3" t="str">
        <f>IF(S207="Churn","Churn",VLOOKUP(A207,'[1]Revenue_Engine_2025 Dec.25'!$C$14:$E$3993,3,0))</f>
        <v>Genel</v>
      </c>
      <c r="N207" s="3">
        <f>IF(S207="",VLOOKUP(A207,[3]Export!$B$2:$F$417,5,0),"CHURN")</f>
        <v>0.30851878177755926</v>
      </c>
      <c r="O207" s="3">
        <f>(1-N207)*H207</f>
        <v>2354.9717944364452</v>
      </c>
      <c r="P207" s="3">
        <f t="shared" si="23"/>
        <v>1106.3699491559053</v>
      </c>
      <c r="Q207" s="3">
        <f t="shared" si="22"/>
        <v>2354.9717944364452</v>
      </c>
      <c r="R207" s="3" t="str">
        <f>IF(S207&lt;&gt;"Churn",VLOOKUP(A207,[3]Export!$B$2:$O$417,8,0),"CHURN")</f>
        <v>NO RISK</v>
      </c>
      <c r="S207" s="3"/>
      <c r="T207" s="3"/>
      <c r="U207" s="3" t="s">
        <v>551</v>
      </c>
      <c r="V207" s="4" t="str" cm="1">
        <f t="array" ref="V207">IFERROR(
    IF(
        MATCH(2,1/((Y207:BH207&lt;&gt;0)*(Y207:BH207&lt;&gt;"")))-MATCH(1,INDEX((Y207:BH207&lt;&gt;0)*(Y207:BH207&lt;&gt;""),0),0)+1 &lt;= 12,
        "No",
        "Yes"
    ),
    "No"
)</f>
        <v>Yes</v>
      </c>
      <c r="W207" s="4" t="str" cm="1">
        <f t="array" ref="W207">IFERROR(
    IF(
        MATCH(2,1/((Y207:BH207&lt;&gt;0)*(Y207:BH207&lt;&gt;"")))-MATCH(1,INDEX((Y207:BH207&lt;&gt;0)*(Y207:BH207&lt;&gt;""),0),0)+1 &lt;= 24,
        "No",
        "Yes"
    ),
    "No"
)</f>
        <v>Yes</v>
      </c>
      <c r="X207" s="3"/>
      <c r="Y207" s="4">
        <v>0</v>
      </c>
      <c r="Z207" s="4">
        <v>0</v>
      </c>
      <c r="AA207" s="4">
        <v>0</v>
      </c>
      <c r="AB207" s="4">
        <v>0</v>
      </c>
      <c r="AC207" s="4">
        <v>0</v>
      </c>
      <c r="AD207" s="4">
        <v>0</v>
      </c>
      <c r="AE207" s="4">
        <v>0</v>
      </c>
      <c r="AF207" s="4">
        <v>0</v>
      </c>
      <c r="AG207" s="4">
        <v>1450</v>
      </c>
      <c r="AH207" s="4">
        <v>1450</v>
      </c>
      <c r="AI207" s="4">
        <v>1450</v>
      </c>
      <c r="AJ207" s="4">
        <v>1450</v>
      </c>
      <c r="AK207" s="4">
        <v>1450</v>
      </c>
      <c r="AL207" s="4">
        <v>1450</v>
      </c>
      <c r="AM207" s="4">
        <v>1450</v>
      </c>
      <c r="AN207" s="4">
        <v>1450</v>
      </c>
      <c r="AO207" s="4">
        <v>1450</v>
      </c>
      <c r="AP207" s="4">
        <v>1450</v>
      </c>
      <c r="AQ207" s="4">
        <v>1450</v>
      </c>
      <c r="AR207" s="4">
        <v>1600</v>
      </c>
      <c r="AS207" s="4">
        <v>1600</v>
      </c>
      <c r="AT207" s="4">
        <v>2581.3896370000002</v>
      </c>
      <c r="AU207" s="4">
        <v>2582.3896370000002</v>
      </c>
      <c r="AV207" s="4">
        <v>2583.3896370000002</v>
      </c>
      <c r="AW207" s="4">
        <v>3033.3896370000002</v>
      </c>
      <c r="AX207" s="4">
        <v>3033.3896370000002</v>
      </c>
      <c r="AY207" s="4">
        <v>3035.669637</v>
      </c>
      <c r="AZ207" s="4">
        <v>3035.669637</v>
      </c>
      <c r="BA207" s="4">
        <v>3035.669637</v>
      </c>
      <c r="BB207" s="4">
        <v>3035.669637</v>
      </c>
      <c r="BC207" s="4">
        <v>3035.669637</v>
      </c>
      <c r="BD207" s="4">
        <v>3035.669637</v>
      </c>
      <c r="BE207" s="4">
        <v>3405.6916259999998</v>
      </c>
      <c r="BF207" s="4">
        <v>3405.6916259999998</v>
      </c>
      <c r="BG207" s="4">
        <v>3403.6916259999998</v>
      </c>
      <c r="BH207" s="4">
        <v>3403.6916259999998</v>
      </c>
      <c r="BJ207" s="9"/>
    </row>
    <row r="208" spans="1:62" x14ac:dyDescent="0.25">
      <c r="A208" s="6" t="s">
        <v>201</v>
      </c>
      <c r="B208" s="6"/>
      <c r="C208" s="7" t="s">
        <v>526</v>
      </c>
      <c r="D208" s="3"/>
      <c r="E208" s="3">
        <f>VLOOKUP(A208,[2]Sheet1!$A$2:$E$627,5,0)</f>
        <v>159.999999</v>
      </c>
      <c r="F208" s="3">
        <f>VLOOKUP(A208,[2]Sheet1!$A$2:$F$627,6,0)</f>
        <v>170.00999900000002</v>
      </c>
      <c r="G208" s="3">
        <f>VLOOKUP(A208,[2]Sheet1!$A$2:$G$627,7,0)</f>
        <v>186.98093699999995</v>
      </c>
      <c r="H208" s="4">
        <f t="shared" si="18"/>
        <v>186.98093699999995</v>
      </c>
      <c r="I208" s="11">
        <f t="shared" si="19"/>
        <v>6.2562500391015741E-2</v>
      </c>
      <c r="J208" s="11">
        <f t="shared" si="20"/>
        <v>0.16863086355394261</v>
      </c>
      <c r="K208" s="11">
        <f t="shared" si="21"/>
        <v>9.9823175694506827E-2</v>
      </c>
      <c r="L208" s="11">
        <f>IF(S208="",((BG208-E208)/E208),((U208-E208)/E208))</f>
        <v>0.16863086355394261</v>
      </c>
      <c r="M208" s="3" t="str">
        <f>IF(S208="Churn","Churn",VLOOKUP(A208,'[1]Revenue_Engine_2025 Dec.25'!$C$14:$E$3993,3,0))</f>
        <v>Diğer</v>
      </c>
      <c r="N208" s="3">
        <f>IF(S208="",VLOOKUP(A208,[3]Export!$B$2:$F$417,5,0),"CHURN")</f>
        <v>0.1176590531258275</v>
      </c>
      <c r="O208" s="3">
        <f>(1-N208)*H208</f>
        <v>164.98093699999995</v>
      </c>
      <c r="P208" s="3">
        <f t="shared" si="23"/>
        <v>150.00678349573715</v>
      </c>
      <c r="Q208" s="3">
        <f t="shared" si="22"/>
        <v>164.98093699999995</v>
      </c>
      <c r="R208" s="3" t="str">
        <f>IF(S208&lt;&gt;"Churn",VLOOKUP(A208,[3]Export!$B$2:$O$417,8,0),"CHURN")</f>
        <v>NO RISK</v>
      </c>
      <c r="S208" s="3"/>
      <c r="T208" s="3"/>
      <c r="U208" s="3" t="s">
        <v>551</v>
      </c>
      <c r="V208" s="4" t="str" cm="1">
        <f t="array" ref="V208">IFERROR(
    IF(
        MATCH(2,1/((Y208:BH208&lt;&gt;0)*(Y208:BH208&lt;&gt;"")))-MATCH(1,INDEX((Y208:BH208&lt;&gt;0)*(Y208:BH208&lt;&gt;""),0),0)+1 &lt;= 12,
        "No",
        "Yes"
    ),
    "No"
)</f>
        <v>Yes</v>
      </c>
      <c r="W208" s="4" t="str" cm="1">
        <f t="array" ref="W208">IFERROR(
    IF(
        MATCH(2,1/((Y208:BH208&lt;&gt;0)*(Y208:BH208&lt;&gt;"")))-MATCH(1,INDEX((Y208:BH208&lt;&gt;0)*(Y208:BH208&lt;&gt;""),0),0)+1 &lt;= 24,
        "No",
        "Yes"
    ),
    "No"
)</f>
        <v>Yes</v>
      </c>
      <c r="X208" s="3"/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159.999999</v>
      </c>
      <c r="AH208" s="4">
        <v>159.999999</v>
      </c>
      <c r="AI208" s="4">
        <v>159.999999</v>
      </c>
      <c r="AJ208" s="4">
        <v>159.999999</v>
      </c>
      <c r="AK208" s="4">
        <v>160.00999900000002</v>
      </c>
      <c r="AL208" s="4">
        <v>160.00999900000002</v>
      </c>
      <c r="AM208" s="4">
        <v>170.00999900000002</v>
      </c>
      <c r="AN208" s="4">
        <v>170.00999900000002</v>
      </c>
      <c r="AO208" s="4">
        <v>170.00999900000002</v>
      </c>
      <c r="AP208" s="4">
        <v>170.00999900000002</v>
      </c>
      <c r="AQ208" s="4">
        <v>170.00999900000002</v>
      </c>
      <c r="AR208" s="4">
        <v>170.00999900000002</v>
      </c>
      <c r="AS208" s="4">
        <v>170.00999900000002</v>
      </c>
      <c r="AT208" s="4">
        <v>170.00999900000002</v>
      </c>
      <c r="AU208" s="4">
        <v>170.00999900000002</v>
      </c>
      <c r="AV208" s="4">
        <v>170.00999900000002</v>
      </c>
      <c r="AW208" s="4">
        <v>170.00999900000002</v>
      </c>
      <c r="AX208" s="4">
        <v>170.00999900000002</v>
      </c>
      <c r="AY208" s="4">
        <v>170.00999900000002</v>
      </c>
      <c r="AZ208" s="4">
        <v>170.00999900000002</v>
      </c>
      <c r="BA208" s="4">
        <v>170.00999900000002</v>
      </c>
      <c r="BB208" s="4">
        <v>170.00999900000002</v>
      </c>
      <c r="BC208" s="4">
        <v>170.00999900000002</v>
      </c>
      <c r="BD208" s="4">
        <v>186.98093699999995</v>
      </c>
      <c r="BE208" s="4">
        <v>186.98093699999995</v>
      </c>
      <c r="BF208" s="4">
        <v>186.98093699999995</v>
      </c>
      <c r="BG208" s="4">
        <v>186.98093699999995</v>
      </c>
      <c r="BH208" s="4">
        <v>186.98093699999995</v>
      </c>
      <c r="BJ208" s="9"/>
    </row>
    <row r="209" spans="1:62" x14ac:dyDescent="0.25">
      <c r="A209" s="6" t="s">
        <v>501</v>
      </c>
      <c r="B209" s="6"/>
      <c r="C209" s="7" t="s">
        <v>526</v>
      </c>
      <c r="D209" s="3"/>
      <c r="E209" s="3">
        <f>VLOOKUP(A209,[2]Sheet1!$A$2:$E$627,5,0)</f>
        <v>99.999999999999986</v>
      </c>
      <c r="F209" s="3">
        <f>VLOOKUP(A209,[2]Sheet1!$A$2:$F$627,6,0)</f>
        <v>0</v>
      </c>
      <c r="G209" s="3">
        <f>VLOOKUP(A209,[2]Sheet1!$A$2:$G$627,7,0)</f>
        <v>0</v>
      </c>
      <c r="H209" s="4">
        <f t="shared" si="18"/>
        <v>0</v>
      </c>
      <c r="I209" s="11">
        <f t="shared" si="19"/>
        <v>-1</v>
      </c>
      <c r="J209" s="11">
        <f t="shared" si="20"/>
        <v>-1</v>
      </c>
      <c r="K209" s="11" t="e">
        <f t="shared" si="21"/>
        <v>#DIV/0!</v>
      </c>
      <c r="L209" s="11">
        <f>IF(S209="",((BG209-E209)/E209),((U209-E209)/E209))</f>
        <v>0.99991777000000037</v>
      </c>
      <c r="M209" s="3" t="str">
        <f>IF(S209="Churn","Churn",VLOOKUP(A209,'[1]Revenue_Engine_2025 Dec.25'!$C$14:$E$3993,3,0))</f>
        <v>Churn</v>
      </c>
      <c r="N209" s="3" t="str">
        <f>IF(S209="",VLOOKUP(A209,[3]Export!$B$2:$F$417,5,0),"CHURN")</f>
        <v>CHURN</v>
      </c>
      <c r="O209" s="3" t="e">
        <f>(1-N209)*H209</f>
        <v>#VALUE!</v>
      </c>
      <c r="P209" s="3" t="e">
        <f t="shared" si="23"/>
        <v>#VALUE!</v>
      </c>
      <c r="Q209" s="3" t="e">
        <f t="shared" si="22"/>
        <v>#VALUE!</v>
      </c>
      <c r="R209" s="3" t="str">
        <f>IF(S209&lt;&gt;"Churn",VLOOKUP(A209,[3]Export!$B$2:$O$417,8,0),"CHURN")</f>
        <v>CHURN</v>
      </c>
      <c r="S209" s="3" t="s">
        <v>372</v>
      </c>
      <c r="T209" s="3" t="s">
        <v>550</v>
      </c>
      <c r="U209" s="3">
        <v>199.99177700000001</v>
      </c>
      <c r="V209" s="4" t="str" cm="1">
        <f t="array" ref="V209">IFERROR(
    IF(
        MATCH(2,1/((Y209:BH209&lt;&gt;0)*(Y209:BH209&lt;&gt;"")))-MATCH(1,INDEX((Y209:BH209&lt;&gt;0)*(Y209:BH209&lt;&gt;""),0),0)+1 &lt;= 12,
        "No",
        "Yes"
    ),
    "No"
)</f>
        <v>Yes</v>
      </c>
      <c r="W209" s="4" t="str" cm="1">
        <f t="array" ref="W209">IFERROR(
    IF(
        MATCH(2,1/((Y209:BH209&lt;&gt;0)*(Y209:BH209&lt;&gt;"")))-MATCH(1,INDEX((Y209:BH209&lt;&gt;0)*(Y209:BH209&lt;&gt;""),0),0)+1 &lt;= 24,
        "No",
        "Yes"
    ),
    "No"
)</f>
        <v>No</v>
      </c>
      <c r="X209" s="3"/>
      <c r="Y209" s="4">
        <v>0</v>
      </c>
      <c r="Z209" s="4">
        <v>0</v>
      </c>
      <c r="AA209" s="4">
        <v>0</v>
      </c>
      <c r="AB209" s="4">
        <v>0</v>
      </c>
      <c r="AC209" s="4">
        <v>0</v>
      </c>
      <c r="AD209" s="4">
        <v>0</v>
      </c>
      <c r="AE209" s="4">
        <v>0</v>
      </c>
      <c r="AF209" s="4">
        <v>0</v>
      </c>
      <c r="AG209" s="4">
        <v>99.999999999999986</v>
      </c>
      <c r="AH209" s="4">
        <v>99.999999999999986</v>
      </c>
      <c r="AI209" s="4">
        <v>99.999999999999986</v>
      </c>
      <c r="AJ209" s="4">
        <v>99.999999999999986</v>
      </c>
      <c r="AK209" s="4">
        <v>99.999999999999986</v>
      </c>
      <c r="AL209" s="4">
        <v>99.999999999999986</v>
      </c>
      <c r="AM209" s="4">
        <v>99.999999999999986</v>
      </c>
      <c r="AN209" s="4">
        <v>99.999999999999986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199.99177699999998</v>
      </c>
      <c r="AV209" s="4">
        <v>199.99177699999998</v>
      </c>
      <c r="AW209" s="4">
        <v>199.99177699999998</v>
      </c>
      <c r="AX209" s="4">
        <v>199.99177699999998</v>
      </c>
      <c r="AY209" s="4">
        <v>199.99177699999998</v>
      </c>
      <c r="AZ209" s="4">
        <v>199.99177700000001</v>
      </c>
      <c r="BA209" s="4">
        <v>199.99177699999998</v>
      </c>
      <c r="BB209" s="4">
        <v>199.99177699999998</v>
      </c>
      <c r="BC209" s="4">
        <v>0</v>
      </c>
      <c r="BD209" s="4">
        <v>0</v>
      </c>
      <c r="BE209" s="4">
        <v>0</v>
      </c>
      <c r="BF209" s="4">
        <v>0</v>
      </c>
      <c r="BG209" s="4">
        <v>0</v>
      </c>
      <c r="BH209" s="4">
        <v>0</v>
      </c>
      <c r="BJ209" s="9"/>
    </row>
    <row r="210" spans="1:62" x14ac:dyDescent="0.25">
      <c r="A210" s="6" t="s">
        <v>202</v>
      </c>
      <c r="B210" s="6"/>
      <c r="C210" s="7" t="s">
        <v>526</v>
      </c>
      <c r="D210" s="3"/>
      <c r="E210" s="3">
        <f>VLOOKUP(A210,[2]Sheet1!$A$2:$E$627,5,0)</f>
        <v>650.00890600000002</v>
      </c>
      <c r="F210" s="3">
        <f>VLOOKUP(A210,[2]Sheet1!$A$2:$F$627,6,0)</f>
        <v>666.00890500000003</v>
      </c>
      <c r="G210" s="3">
        <f>VLOOKUP(A210,[2]Sheet1!$A$2:$G$627,7,0)</f>
        <v>0</v>
      </c>
      <c r="H210" s="4">
        <f t="shared" si="18"/>
        <v>0</v>
      </c>
      <c r="I210" s="11">
        <f t="shared" si="19"/>
        <v>2.4615045812926142E-2</v>
      </c>
      <c r="J210" s="11">
        <f t="shared" si="20"/>
        <v>-1</v>
      </c>
      <c r="K210" s="11">
        <f t="shared" si="21"/>
        <v>-1</v>
      </c>
      <c r="L210" s="11">
        <f>IF(S210="",((BG210-E210)/E210),((U210-E210)/E210))</f>
        <v>2.4615045812926142E-2</v>
      </c>
      <c r="M210" s="3" t="str">
        <f>IF(S210="Churn","Churn",VLOOKUP(A210,'[1]Revenue_Engine_2025 Dec.25'!$C$14:$E$3993,3,0))</f>
        <v>Churn</v>
      </c>
      <c r="N210" s="3" t="str">
        <f>IF(S210="",VLOOKUP(A210,[3]Export!$B$2:$F$417,5,0),"CHURN")</f>
        <v>CHURN</v>
      </c>
      <c r="O210" s="3" t="e">
        <f>(1-N210)*H210</f>
        <v>#VALUE!</v>
      </c>
      <c r="P210" s="3" t="e">
        <f t="shared" si="23"/>
        <v>#VALUE!</v>
      </c>
      <c r="Q210" s="3" t="e">
        <f t="shared" si="22"/>
        <v>#VALUE!</v>
      </c>
      <c r="R210" s="3" t="str">
        <f>IF(S210&lt;&gt;"Churn",VLOOKUP(A210,[3]Export!$B$2:$O$417,8,0),"CHURN")</f>
        <v>CHURN</v>
      </c>
      <c r="S210" s="3" t="s">
        <v>372</v>
      </c>
      <c r="T210" s="3" t="s">
        <v>555</v>
      </c>
      <c r="U210" s="3">
        <v>666.00890500000003</v>
      </c>
      <c r="V210" s="4" t="str" cm="1">
        <f t="array" ref="V210">IFERROR(
    IF(
        MATCH(2,1/((Y210:BH210&lt;&gt;0)*(Y210:BH210&lt;&gt;"")))-MATCH(1,INDEX((Y210:BH210&lt;&gt;0)*(Y210:BH210&lt;&gt;""),0),0)+1 &lt;= 12,
        "No",
        "Yes"
    ),
    "No"
)</f>
        <v>Yes</v>
      </c>
      <c r="W210" s="4" t="str" cm="1">
        <f t="array" ref="W210">IFERROR(
    IF(
        MATCH(2,1/((Y210:BH210&lt;&gt;0)*(Y210:BH210&lt;&gt;"")))-MATCH(1,INDEX((Y210:BH210&lt;&gt;0)*(Y210:BH210&lt;&gt;""),0),0)+1 &lt;= 24,
        "No",
        "Yes"
    ),
    "No"
)</f>
        <v>No</v>
      </c>
      <c r="X210" s="3"/>
      <c r="Y210" s="4">
        <v>0</v>
      </c>
      <c r="Z210" s="4">
        <v>0</v>
      </c>
      <c r="AA210" s="4">
        <v>0</v>
      </c>
      <c r="AB210" s="4">
        <v>0</v>
      </c>
      <c r="AC210" s="4">
        <v>0</v>
      </c>
      <c r="AD210" s="4">
        <v>0</v>
      </c>
      <c r="AE210" s="4">
        <v>0</v>
      </c>
      <c r="AF210" s="4">
        <v>0</v>
      </c>
      <c r="AG210" s="4">
        <v>650</v>
      </c>
      <c r="AH210" s="4">
        <v>650.00890600000002</v>
      </c>
      <c r="AI210" s="4">
        <v>650.00890600000002</v>
      </c>
      <c r="AJ210" s="4">
        <v>650.00890600000002</v>
      </c>
      <c r="AK210" s="4">
        <v>650.00890600000002</v>
      </c>
      <c r="AL210" s="4">
        <v>650.00890600000002</v>
      </c>
      <c r="AM210" s="4">
        <v>725.00890600000002</v>
      </c>
      <c r="AN210" s="4">
        <v>725.00890600000002</v>
      </c>
      <c r="AO210" s="4">
        <v>548.01345000000003</v>
      </c>
      <c r="AP210" s="4">
        <v>666.00890500000003</v>
      </c>
      <c r="AQ210" s="4">
        <v>666.00890500000003</v>
      </c>
      <c r="AR210" s="4">
        <v>666.00890500000003</v>
      </c>
      <c r="AS210" s="4">
        <v>666.00890500000003</v>
      </c>
      <c r="AT210" s="4">
        <v>666.00890500000003</v>
      </c>
      <c r="AU210" s="4">
        <v>666.00890500000003</v>
      </c>
      <c r="AV210" s="4">
        <v>666.00890500000003</v>
      </c>
      <c r="AW210" s="4">
        <v>666.00890500000003</v>
      </c>
      <c r="AX210" s="4">
        <v>666.00890500000003</v>
      </c>
      <c r="AY210" s="4">
        <v>666.00890500000003</v>
      </c>
      <c r="AZ210" s="4">
        <v>666.00890499999991</v>
      </c>
      <c r="BA210" s="4">
        <v>666.00890500000003</v>
      </c>
      <c r="BB210" s="4">
        <v>0</v>
      </c>
      <c r="BC210" s="4">
        <v>0</v>
      </c>
      <c r="BD210" s="4">
        <v>0</v>
      </c>
      <c r="BE210" s="4">
        <v>0</v>
      </c>
      <c r="BF210" s="4">
        <v>0</v>
      </c>
      <c r="BG210" s="4">
        <v>0</v>
      </c>
      <c r="BH210" s="4">
        <v>0</v>
      </c>
      <c r="BJ210" s="9"/>
    </row>
    <row r="211" spans="1:62" x14ac:dyDescent="0.25">
      <c r="A211" s="6" t="s">
        <v>203</v>
      </c>
      <c r="B211" s="6"/>
      <c r="C211" s="7" t="s">
        <v>526</v>
      </c>
      <c r="D211" s="3"/>
      <c r="E211" s="3">
        <f>VLOOKUP(A211,[2]Sheet1!$A$2:$E$627,5,0)</f>
        <v>195.82337691416899</v>
      </c>
      <c r="F211" s="3">
        <f>VLOOKUP(A211,[2]Sheet1!$A$2:$F$627,6,0)</f>
        <v>171.10106904453232</v>
      </c>
      <c r="G211" s="3">
        <f>VLOOKUP(A211,[2]Sheet1!$A$2:$G$627,7,0)</f>
        <v>0</v>
      </c>
      <c r="H211" s="4">
        <f t="shared" si="18"/>
        <v>400</v>
      </c>
      <c r="I211" s="11">
        <f t="shared" si="19"/>
        <v>-0.1262479907108979</v>
      </c>
      <c r="J211" s="11">
        <f t="shared" si="20"/>
        <v>-1</v>
      </c>
      <c r="K211" s="11">
        <f t="shared" si="21"/>
        <v>-1</v>
      </c>
      <c r="L211" s="11">
        <f>IF(S211="",((BG211-E211)/E211),((U211-E211)/E211))</f>
        <v>1.0426570428071176</v>
      </c>
      <c r="M211" s="3" t="str">
        <f>IF(S211="Churn","Churn",VLOOKUP(A211,'[1]Revenue_Engine_2025 Dec.25'!$C$14:$E$3993,3,0))</f>
        <v>Diğer</v>
      </c>
      <c r="N211" s="3">
        <f>IF(S211="",VLOOKUP(A211,[3]Export!$B$2:$F$417,5,0),"CHURN")</f>
        <v>0.29185021475751649</v>
      </c>
      <c r="O211" s="3">
        <f>(1-N211)*H211</f>
        <v>283.25991409699338</v>
      </c>
      <c r="P211" s="3">
        <f t="shared" si="23"/>
        <v>121.16518529864491</v>
      </c>
      <c r="Q211" s="3">
        <f t="shared" si="22"/>
        <v>0</v>
      </c>
      <c r="R211" s="3" t="str">
        <f>IF(S211&lt;&gt;"Churn",VLOOKUP(A211,[3]Export!$B$2:$O$417,8,0),"CHURN")</f>
        <v>LOW RISK</v>
      </c>
      <c r="S211" s="3"/>
      <c r="T211" s="3"/>
      <c r="U211" s="3" t="s">
        <v>551</v>
      </c>
      <c r="V211" s="4" t="str" cm="1">
        <f t="array" ref="V211">IFERROR(
    IF(
        MATCH(2,1/((Y211:BH211&lt;&gt;0)*(Y211:BH211&lt;&gt;"")))-MATCH(1,INDEX((Y211:BH211&lt;&gt;0)*(Y211:BH211&lt;&gt;""),0),0)+1 &lt;= 12,
        "No",
        "Yes"
    ),
    "No"
)</f>
        <v>Yes</v>
      </c>
      <c r="W211" s="4" t="str" cm="1">
        <f t="array" ref="W211">IFERROR(
    IF(
        MATCH(2,1/((Y211:BH211&lt;&gt;0)*(Y211:BH211&lt;&gt;"")))-MATCH(1,INDEX((Y211:BH211&lt;&gt;0)*(Y211:BH211&lt;&gt;""),0),0)+1 &lt;= 24,
        "No",
        "Yes"
    ),
    "No"
)</f>
        <v>Yes</v>
      </c>
      <c r="X211" s="3"/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0</v>
      </c>
      <c r="AH211" s="4">
        <v>172.60018786855531</v>
      </c>
      <c r="AI211" s="4">
        <v>195.82337691416899</v>
      </c>
      <c r="AJ211" s="4">
        <v>179.00280003995138</v>
      </c>
      <c r="AK211" s="4">
        <v>173.29923410101065</v>
      </c>
      <c r="AL211" s="4">
        <v>169.31737478906186</v>
      </c>
      <c r="AM211" s="4">
        <v>162.83499696098153</v>
      </c>
      <c r="AN211" s="4">
        <v>161.21317770547128</v>
      </c>
      <c r="AO211" s="4">
        <v>161.44754212937798</v>
      </c>
      <c r="AP211" s="4">
        <v>160.08057312873839</v>
      </c>
      <c r="AQ211" s="4">
        <v>158.22624886217994</v>
      </c>
      <c r="AR211" s="4">
        <v>154.81999130191301</v>
      </c>
      <c r="AS211" s="4">
        <v>153.0474625582313</v>
      </c>
      <c r="AT211" s="4">
        <v>171.10106904453232</v>
      </c>
      <c r="AU211" s="4">
        <v>170.26265639506289</v>
      </c>
      <c r="AV211" s="4">
        <v>167.9106891137674</v>
      </c>
      <c r="AW211" s="4">
        <v>165.66591415751901</v>
      </c>
      <c r="AX211" s="4">
        <v>163.08045929215564</v>
      </c>
      <c r="AY211" s="4">
        <v>159.48583761984438</v>
      </c>
      <c r="AZ211" s="4">
        <v>155.73302412703592</v>
      </c>
      <c r="BA211" s="4">
        <v>153.44078283677453</v>
      </c>
      <c r="BB211" s="4">
        <v>151.15823185538727</v>
      </c>
      <c r="BC211" s="4">
        <v>148.61614428505877</v>
      </c>
      <c r="BD211" s="4">
        <v>146.61997367749035</v>
      </c>
      <c r="BE211" s="4">
        <v>145.07520752172246</v>
      </c>
      <c r="BF211" s="4">
        <v>400</v>
      </c>
      <c r="BG211" s="4">
        <v>400</v>
      </c>
      <c r="BH211" s="4">
        <v>399.98599999999993</v>
      </c>
      <c r="BJ211" s="9"/>
    </row>
    <row r="212" spans="1:62" x14ac:dyDescent="0.25">
      <c r="A212" s="6" t="s">
        <v>204</v>
      </c>
      <c r="B212" s="6"/>
      <c r="C212" s="7" t="s">
        <v>526</v>
      </c>
      <c r="D212" s="3"/>
      <c r="E212" s="3">
        <f>VLOOKUP(A212,[2]Sheet1!$A$2:$E$627,5,0)</f>
        <v>86</v>
      </c>
      <c r="F212" s="3">
        <f>VLOOKUP(A212,[2]Sheet1!$A$2:$F$627,6,0)</f>
        <v>99.33</v>
      </c>
      <c r="G212" s="3">
        <f>VLOOKUP(A212,[2]Sheet1!$A$2:$G$627,7,0)</f>
        <v>99.33</v>
      </c>
      <c r="H212" s="4">
        <f t="shared" si="18"/>
        <v>99.33</v>
      </c>
      <c r="I212" s="11">
        <f t="shared" si="19"/>
        <v>0.15499999999999997</v>
      </c>
      <c r="J212" s="11">
        <f t="shared" si="20"/>
        <v>0.15499999999999997</v>
      </c>
      <c r="K212" s="11">
        <f t="shared" si="21"/>
        <v>0</v>
      </c>
      <c r="L212" s="11">
        <f>IF(S212="",((BG212-E212)/E212),((U212-E212)/E212))</f>
        <v>0.15499999999999997</v>
      </c>
      <c r="M212" s="3" t="str">
        <f>IF(S212="Churn","Churn",VLOOKUP(A212,'[1]Revenue_Engine_2025 Dec.25'!$C$14:$E$3993,3,0))</f>
        <v>Diğer</v>
      </c>
      <c r="N212" s="3">
        <f>IF(S212="",VLOOKUP(A212,[3]Export!$B$2:$F$417,5,0),"CHURN")</f>
        <v>0</v>
      </c>
      <c r="O212" s="3">
        <f>(1-N212)*H212</f>
        <v>99.33</v>
      </c>
      <c r="P212" s="3">
        <f t="shared" si="23"/>
        <v>99.33</v>
      </c>
      <c r="Q212" s="3">
        <f t="shared" si="22"/>
        <v>99.33</v>
      </c>
      <c r="R212" s="3" t="str">
        <f>IF(S212&lt;&gt;"Churn",VLOOKUP(A212,[3]Export!$B$2:$O$417,8,0),"CHURN")</f>
        <v>NO RISK</v>
      </c>
      <c r="S212" s="3"/>
      <c r="T212" s="3"/>
      <c r="U212" s="3" t="s">
        <v>551</v>
      </c>
      <c r="V212" s="4" t="str" cm="1">
        <f t="array" ref="V212">IFERROR(
    IF(
        MATCH(2,1/((Y212:BH212&lt;&gt;0)*(Y212:BH212&lt;&gt;"")))-MATCH(1,INDEX((Y212:BH212&lt;&gt;0)*(Y212:BH212&lt;&gt;""),0),0)+1 &lt;= 12,
        "No",
        "Yes"
    ),
    "No"
)</f>
        <v>Yes</v>
      </c>
      <c r="W212" s="4" t="str" cm="1">
        <f t="array" ref="W212">IFERROR(
    IF(
        MATCH(2,1/((Y212:BH212&lt;&gt;0)*(Y212:BH212&lt;&gt;"")))-MATCH(1,INDEX((Y212:BH212&lt;&gt;0)*(Y212:BH212&lt;&gt;""),0),0)+1 &lt;= 24,
        "No",
        "Yes"
    ),
    "No"
)</f>
        <v>Yes</v>
      </c>
      <c r="X212" s="3"/>
      <c r="Y212" s="4">
        <v>0</v>
      </c>
      <c r="Z212" s="4">
        <v>0</v>
      </c>
      <c r="AA212" s="4">
        <v>0</v>
      </c>
      <c r="AB212" s="4">
        <v>0</v>
      </c>
      <c r="AC212" s="4">
        <v>0</v>
      </c>
      <c r="AD212" s="4">
        <v>0</v>
      </c>
      <c r="AE212" s="4">
        <v>0</v>
      </c>
      <c r="AF212" s="4">
        <v>0</v>
      </c>
      <c r="AG212" s="4">
        <v>0</v>
      </c>
      <c r="AH212" s="4">
        <v>86</v>
      </c>
      <c r="AI212" s="4">
        <v>86</v>
      </c>
      <c r="AJ212" s="4">
        <v>86</v>
      </c>
      <c r="AK212" s="4">
        <v>86</v>
      </c>
      <c r="AL212" s="4">
        <v>86</v>
      </c>
      <c r="AM212" s="4">
        <v>86</v>
      </c>
      <c r="AN212" s="4">
        <v>86</v>
      </c>
      <c r="AO212" s="4">
        <v>86</v>
      </c>
      <c r="AP212" s="4">
        <v>86</v>
      </c>
      <c r="AQ212" s="4">
        <v>86</v>
      </c>
      <c r="AR212" s="4">
        <v>86</v>
      </c>
      <c r="AS212" s="4">
        <v>86</v>
      </c>
      <c r="AT212" s="4">
        <v>99.33</v>
      </c>
      <c r="AU212" s="4">
        <v>99.33</v>
      </c>
      <c r="AV212" s="4">
        <v>99.33</v>
      </c>
      <c r="AW212" s="4">
        <v>99.33</v>
      </c>
      <c r="AX212" s="4">
        <v>99.33</v>
      </c>
      <c r="AY212" s="4">
        <v>99.33</v>
      </c>
      <c r="AZ212" s="4">
        <v>99.33</v>
      </c>
      <c r="BA212" s="4">
        <v>99.33</v>
      </c>
      <c r="BB212" s="4">
        <v>99.33</v>
      </c>
      <c r="BC212" s="4">
        <v>99.33</v>
      </c>
      <c r="BD212" s="4">
        <v>99.33</v>
      </c>
      <c r="BE212" s="4">
        <v>99.33</v>
      </c>
      <c r="BF212" s="4">
        <v>99.33</v>
      </c>
      <c r="BG212" s="4">
        <v>99.33</v>
      </c>
      <c r="BH212" s="4">
        <v>99.33</v>
      </c>
      <c r="BJ212" s="9"/>
    </row>
    <row r="213" spans="1:62" x14ac:dyDescent="0.25">
      <c r="A213" s="6" t="s">
        <v>205</v>
      </c>
      <c r="B213" s="6"/>
      <c r="C213" s="7" t="s">
        <v>526</v>
      </c>
      <c r="D213" s="3"/>
      <c r="E213" s="3">
        <f>VLOOKUP(A213,[2]Sheet1!$A$2:$E$627,5,0)</f>
        <v>99.333333333333329</v>
      </c>
      <c r="F213" s="3">
        <f>VLOOKUP(A213,[2]Sheet1!$A$2:$F$627,6,0)</f>
        <v>119.2</v>
      </c>
      <c r="G213" s="3">
        <f>VLOOKUP(A213,[2]Sheet1!$A$2:$G$627,7,0)</f>
        <v>0</v>
      </c>
      <c r="H213" s="4">
        <f t="shared" si="18"/>
        <v>119.2</v>
      </c>
      <c r="I213" s="11">
        <f t="shared" si="19"/>
        <v>0.20000000000000009</v>
      </c>
      <c r="J213" s="11">
        <f t="shared" si="20"/>
        <v>-1</v>
      </c>
      <c r="K213" s="11">
        <f t="shared" si="21"/>
        <v>-1</v>
      </c>
      <c r="L213" s="11">
        <f>IF(S213="",((BG213-E213)/E213),((U213-E213)/E213))</f>
        <v>0.20000000000000009</v>
      </c>
      <c r="M213" s="3" t="str">
        <f>IF(S213="Churn","Churn",VLOOKUP(A213,'[1]Revenue_Engine_2025 Dec.25'!$C$14:$E$3993,3,0))</f>
        <v>Diğer</v>
      </c>
      <c r="N213" s="3">
        <f>IF(S213="",VLOOKUP(A213,[3]Export!$B$2:$F$417,5,0),"CHURN")</f>
        <v>0</v>
      </c>
      <c r="O213" s="3">
        <f>(1-N213)*H213</f>
        <v>119.2</v>
      </c>
      <c r="P213" s="3">
        <f t="shared" si="23"/>
        <v>119.2</v>
      </c>
      <c r="Q213" s="3">
        <f t="shared" si="22"/>
        <v>0</v>
      </c>
      <c r="R213" s="3" t="str">
        <f>IF(S213&lt;&gt;"Churn",VLOOKUP(A213,[3]Export!$B$2:$O$417,8,0),"CHURN")</f>
        <v>NO RISK</v>
      </c>
      <c r="S213" s="3"/>
      <c r="T213" s="3"/>
      <c r="U213" s="3" t="s">
        <v>551</v>
      </c>
      <c r="V213" s="4" t="str" cm="1">
        <f t="array" ref="V213">IFERROR(
    IF(
        MATCH(2,1/((Y213:BH213&lt;&gt;0)*(Y213:BH213&lt;&gt;"")))-MATCH(1,INDEX((Y213:BH213&lt;&gt;0)*(Y213:BH213&lt;&gt;""),0),0)+1 &lt;= 12,
        "No",
        "Yes"
    ),
    "No"
)</f>
        <v>Yes</v>
      </c>
      <c r="W213" s="4" t="str" cm="1">
        <f t="array" ref="W213">IFERROR(
    IF(
        MATCH(2,1/((Y213:BH213&lt;&gt;0)*(Y213:BH213&lt;&gt;"")))-MATCH(1,INDEX((Y213:BH213&lt;&gt;0)*(Y213:BH213&lt;&gt;""),0),0)+1 &lt;= 24,
        "No",
        "Yes"
    ),
    "No"
)</f>
        <v>Yes</v>
      </c>
      <c r="X213" s="3"/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  <c r="AE213" s="4">
        <v>0</v>
      </c>
      <c r="AF213" s="4">
        <v>0</v>
      </c>
      <c r="AG213" s="4">
        <v>0</v>
      </c>
      <c r="AH213" s="4">
        <v>99.333333333333329</v>
      </c>
      <c r="AI213" s="4">
        <v>99.333333333333329</v>
      </c>
      <c r="AJ213" s="4">
        <v>99.333333333333329</v>
      </c>
      <c r="AK213" s="4">
        <v>99.333333333333329</v>
      </c>
      <c r="AL213" s="4">
        <v>99.333333333333329</v>
      </c>
      <c r="AM213" s="4">
        <v>99.333333333333329</v>
      </c>
      <c r="AN213" s="4">
        <v>99.333333333333329</v>
      </c>
      <c r="AO213" s="4">
        <v>99.333333333333329</v>
      </c>
      <c r="AP213" s="4">
        <v>99.333333333333329</v>
      </c>
      <c r="AQ213" s="4">
        <v>99.333333333333329</v>
      </c>
      <c r="AR213" s="4">
        <v>99.333333333333329</v>
      </c>
      <c r="AS213" s="4">
        <v>99.333333333333329</v>
      </c>
      <c r="AT213" s="4">
        <v>99.333333333333329</v>
      </c>
      <c r="AU213" s="4">
        <v>119.2</v>
      </c>
      <c r="AV213" s="4">
        <v>119.2</v>
      </c>
      <c r="AW213" s="4">
        <v>119.2</v>
      </c>
      <c r="AX213" s="4">
        <v>119.2</v>
      </c>
      <c r="AY213" s="4">
        <v>119.2</v>
      </c>
      <c r="AZ213" s="4">
        <v>119.2</v>
      </c>
      <c r="BA213" s="4">
        <v>119.2</v>
      </c>
      <c r="BB213" s="4">
        <v>119.2</v>
      </c>
      <c r="BC213" s="4">
        <v>119.2</v>
      </c>
      <c r="BD213" s="4">
        <v>119.2</v>
      </c>
      <c r="BE213" s="4">
        <v>119.2</v>
      </c>
      <c r="BF213" s="4">
        <v>119.2</v>
      </c>
      <c r="BG213" s="4">
        <v>119.2</v>
      </c>
      <c r="BH213" s="4">
        <v>119.2</v>
      </c>
      <c r="BJ213" s="9"/>
    </row>
    <row r="214" spans="1:62" x14ac:dyDescent="0.25">
      <c r="A214" s="6" t="s">
        <v>206</v>
      </c>
      <c r="B214" s="6"/>
      <c r="C214" s="7" t="s">
        <v>526</v>
      </c>
      <c r="D214" s="3"/>
      <c r="E214" s="3">
        <f>VLOOKUP(A214,[2]Sheet1!$A$2:$E$627,5,0)</f>
        <v>103.2</v>
      </c>
      <c r="F214" s="3">
        <f>VLOOKUP(A214,[2]Sheet1!$A$2:$F$627,6,0)</f>
        <v>103.1978709166667</v>
      </c>
      <c r="G214" s="3">
        <f>VLOOKUP(A214,[2]Sheet1!$A$2:$G$627,7,0)</f>
        <v>0</v>
      </c>
      <c r="H214" s="4">
        <f t="shared" si="18"/>
        <v>103.19787091666667</v>
      </c>
      <c r="I214" s="11">
        <f t="shared" si="19"/>
        <v>-2.0630652454468952E-5</v>
      </c>
      <c r="J214" s="11">
        <f t="shared" si="20"/>
        <v>-1</v>
      </c>
      <c r="K214" s="11">
        <f t="shared" si="21"/>
        <v>-1</v>
      </c>
      <c r="L214" s="11">
        <f>IF(S214="",((BG214-E214)/E214),((U214-E214)/E214))</f>
        <v>-2.0630652454744357E-5</v>
      </c>
      <c r="M214" s="3" t="str">
        <f>IF(S214="Churn","Churn",VLOOKUP(A214,'[1]Revenue_Engine_2025 Dec.25'!$C$14:$E$3993,3,0))</f>
        <v>Diğer</v>
      </c>
      <c r="N214" s="3">
        <f>IF(S214="",VLOOKUP(A214,[3]Export!$B$2:$F$417,5,0),"CHURN")</f>
        <v>0.2145796053733347</v>
      </c>
      <c r="O214" s="3">
        <f>(1-N214)*H214</f>
        <v>81.053712500000003</v>
      </c>
      <c r="P214" s="3">
        <f t="shared" si="23"/>
        <v>81.053712500000032</v>
      </c>
      <c r="Q214" s="3">
        <f t="shared" si="22"/>
        <v>0</v>
      </c>
      <c r="R214" s="3" t="str">
        <f>IF(S214&lt;&gt;"Churn",VLOOKUP(A214,[3]Export!$B$2:$O$417,8,0),"CHURN")</f>
        <v>NO RISK</v>
      </c>
      <c r="S214" s="3"/>
      <c r="T214" s="3"/>
      <c r="U214" s="3" t="s">
        <v>551</v>
      </c>
      <c r="V214" s="4" t="str" cm="1">
        <f t="array" ref="V214">IFERROR(
    IF(
        MATCH(2,1/((Y214:BH214&lt;&gt;0)*(Y214:BH214&lt;&gt;"")))-MATCH(1,INDEX((Y214:BH214&lt;&gt;0)*(Y214:BH214&lt;&gt;""),0),0)+1 &lt;= 12,
        "No",
        "Yes"
    ),
    "No"
)</f>
        <v>Yes</v>
      </c>
      <c r="W214" s="4" t="str" cm="1">
        <f t="array" ref="W214">IFERROR(
    IF(
        MATCH(2,1/((Y214:BH214&lt;&gt;0)*(Y214:BH214&lt;&gt;"")))-MATCH(1,INDEX((Y214:BH214&lt;&gt;0)*(Y214:BH214&lt;&gt;""),0),0)+1 &lt;= 24,
        "No",
        "Yes"
    ),
    "No"
)</f>
        <v>Yes</v>
      </c>
      <c r="X214" s="3"/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  <c r="AE214" s="4">
        <v>0</v>
      </c>
      <c r="AF214" s="4">
        <v>0</v>
      </c>
      <c r="AG214" s="4">
        <v>0</v>
      </c>
      <c r="AH214" s="4">
        <v>103.2</v>
      </c>
      <c r="AI214" s="4">
        <v>103.2</v>
      </c>
      <c r="AJ214" s="4">
        <v>103.2</v>
      </c>
      <c r="AK214" s="4">
        <v>103.2</v>
      </c>
      <c r="AL214" s="4">
        <v>103.2</v>
      </c>
      <c r="AM214" s="4">
        <v>103.2</v>
      </c>
      <c r="AN214" s="4">
        <v>103.2</v>
      </c>
      <c r="AO214" s="4">
        <v>103.2</v>
      </c>
      <c r="AP214" s="4">
        <v>103.2</v>
      </c>
      <c r="AQ214" s="4">
        <v>103.2</v>
      </c>
      <c r="AR214" s="4">
        <v>103.2</v>
      </c>
      <c r="AS214" s="4">
        <v>103.2</v>
      </c>
      <c r="AT214" s="4">
        <v>99.999557083333329</v>
      </c>
      <c r="AU214" s="4">
        <v>99.999557083333329</v>
      </c>
      <c r="AV214" s="4">
        <v>99.999557083333329</v>
      </c>
      <c r="AW214" s="4">
        <v>99.999557083333329</v>
      </c>
      <c r="AX214" s="4">
        <v>99.999557083333329</v>
      </c>
      <c r="AY214" s="4">
        <v>99.999557083333329</v>
      </c>
      <c r="AZ214" s="4">
        <v>103.1978709166667</v>
      </c>
      <c r="BA214" s="4">
        <v>103.19787091666667</v>
      </c>
      <c r="BB214" s="4">
        <v>103.19787091666667</v>
      </c>
      <c r="BC214" s="4">
        <v>103.19787091666667</v>
      </c>
      <c r="BD214" s="4">
        <v>103.19787091666667</v>
      </c>
      <c r="BE214" s="4">
        <v>103.19787091666667</v>
      </c>
      <c r="BF214" s="4">
        <v>103.19787091666667</v>
      </c>
      <c r="BG214" s="4">
        <v>103.19787091666667</v>
      </c>
      <c r="BH214" s="4">
        <v>103.19787091666667</v>
      </c>
      <c r="BJ214" s="9"/>
    </row>
    <row r="215" spans="1:62" x14ac:dyDescent="0.25">
      <c r="A215" s="6" t="s">
        <v>207</v>
      </c>
      <c r="B215" s="6"/>
      <c r="C215" s="7" t="s">
        <v>526</v>
      </c>
      <c r="D215" s="3"/>
      <c r="E215" s="3">
        <f>VLOOKUP(A215,[2]Sheet1!$A$2:$E$627,5,0)</f>
        <v>475.00917900000002</v>
      </c>
      <c r="F215" s="3">
        <f>VLOOKUP(A215,[2]Sheet1!$A$2:$F$627,6,0)</f>
        <v>286.47349922594509</v>
      </c>
      <c r="G215" s="3">
        <f>VLOOKUP(A215,[2]Sheet1!$A$2:$G$627,7,0)</f>
        <v>119.99999799999999</v>
      </c>
      <c r="H215" s="4">
        <f t="shared" si="18"/>
        <v>119.99999799999999</v>
      </c>
      <c r="I215" s="11">
        <f t="shared" si="19"/>
        <v>-0.39690955061324179</v>
      </c>
      <c r="J215" s="11">
        <f t="shared" si="20"/>
        <v>-0.74737330707455651</v>
      </c>
      <c r="K215" s="11">
        <f t="shared" si="21"/>
        <v>-0.58111309309851877</v>
      </c>
      <c r="L215" s="11">
        <f>IF(S215="",((BG215-E215)/E215),((U215-E215)/E215))</f>
        <v>-0.74737330707455651</v>
      </c>
      <c r="M215" s="3" t="str">
        <f>IF(S215="Churn","Churn",VLOOKUP(A215,'[1]Revenue_Engine_2025 Dec.25'!$C$14:$E$3993,3,0))</f>
        <v>Perakende</v>
      </c>
      <c r="N215" s="3">
        <f>IF(S215="",VLOOKUP(A215,[3]Export!$B$2:$F$417,5,0),"CHURN")</f>
        <v>3.5543667259061121E-2</v>
      </c>
      <c r="O215" s="3">
        <f>(1-N215)*H215</f>
        <v>115.734758</v>
      </c>
      <c r="P215" s="3">
        <f t="shared" si="23"/>
        <v>276.2911804909192</v>
      </c>
      <c r="Q215" s="3">
        <f t="shared" si="22"/>
        <v>115.734758</v>
      </c>
      <c r="R215" s="3" t="str">
        <f>IF(S215&lt;&gt;"Churn",VLOOKUP(A215,[3]Export!$B$2:$O$417,8,0),"CHURN")</f>
        <v>NO RISK</v>
      </c>
      <c r="S215" s="3"/>
      <c r="T215" s="3"/>
      <c r="U215" s="3" t="s">
        <v>551</v>
      </c>
      <c r="V215" s="4" t="str" cm="1">
        <f t="array" ref="V215">IFERROR(
    IF(
        MATCH(2,1/((Y215:BH215&lt;&gt;0)*(Y215:BH215&lt;&gt;"")))-MATCH(1,INDEX((Y215:BH215&lt;&gt;0)*(Y215:BH215&lt;&gt;""),0),0)+1 &lt;= 12,
        "No",
        "Yes"
    ),
    "No"
)</f>
        <v>Yes</v>
      </c>
      <c r="W215" s="4" t="str" cm="1">
        <f t="array" ref="W215">IFERROR(
    IF(
        MATCH(2,1/((Y215:BH215&lt;&gt;0)*(Y215:BH215&lt;&gt;"")))-MATCH(1,INDEX((Y215:BH215&lt;&gt;0)*(Y215:BH215&lt;&gt;""),0),0)+1 &lt;= 24,
        "No",
        "Yes"
    ),
    "No"
)</f>
        <v>Yes</v>
      </c>
      <c r="X215" s="3"/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  <c r="AE215" s="4">
        <v>0</v>
      </c>
      <c r="AF215" s="4">
        <v>0</v>
      </c>
      <c r="AG215" s="4">
        <v>0</v>
      </c>
      <c r="AH215" s="4">
        <v>475.00917900000002</v>
      </c>
      <c r="AI215" s="4">
        <v>189.41240508602459</v>
      </c>
      <c r="AJ215" s="4">
        <v>327.03008636613595</v>
      </c>
      <c r="AK215" s="4">
        <v>326.39900769900203</v>
      </c>
      <c r="AL215" s="4">
        <v>318.89940774428106</v>
      </c>
      <c r="AM215" s="4">
        <v>306.69022689249397</v>
      </c>
      <c r="AN215" s="4">
        <v>303.63562484297114</v>
      </c>
      <c r="AO215" s="4">
        <v>304.07703657684243</v>
      </c>
      <c r="AP215" s="4">
        <v>301.50243012991496</v>
      </c>
      <c r="AQ215" s="4">
        <v>298.0099184422748</v>
      </c>
      <c r="AR215" s="4">
        <v>291.59443084127184</v>
      </c>
      <c r="AS215" s="4">
        <v>288.2559762539974</v>
      </c>
      <c r="AT215" s="4">
        <v>286.47349922594509</v>
      </c>
      <c r="AU215" s="4">
        <v>284.89439786263716</v>
      </c>
      <c r="AV215" s="4">
        <v>280.46460455894658</v>
      </c>
      <c r="AW215" s="4">
        <v>396.23669975240568</v>
      </c>
      <c r="AX215" s="4">
        <v>391.36714619157874</v>
      </c>
      <c r="AY215" s="4">
        <v>384.59688576323862</v>
      </c>
      <c r="AZ215" s="4">
        <v>377.52868026027522</v>
      </c>
      <c r="BA215" s="4">
        <v>373.21137737991796</v>
      </c>
      <c r="BB215" s="4">
        <v>368.91232563158229</v>
      </c>
      <c r="BC215" s="4">
        <v>364.12445184354488</v>
      </c>
      <c r="BD215" s="4">
        <v>360.36478083929518</v>
      </c>
      <c r="BE215" s="4">
        <v>357.45530381254878</v>
      </c>
      <c r="BF215" s="4">
        <v>119.99999799999999</v>
      </c>
      <c r="BG215" s="4">
        <v>119.99999799999999</v>
      </c>
      <c r="BH215" s="4">
        <v>119.99999799999999</v>
      </c>
      <c r="BJ215" s="9"/>
    </row>
    <row r="216" spans="1:62" x14ac:dyDescent="0.25">
      <c r="A216" s="6" t="s">
        <v>208</v>
      </c>
      <c r="B216" s="6"/>
      <c r="C216" s="7" t="s">
        <v>526</v>
      </c>
      <c r="D216" s="3"/>
      <c r="E216" s="3">
        <f>VLOOKUP(A216,[2]Sheet1!$A$2:$E$627,5,0)</f>
        <v>130.00065441666666</v>
      </c>
      <c r="F216" s="3">
        <f>VLOOKUP(A216,[2]Sheet1!$A$2:$F$627,6,0)</f>
        <v>88.050936913788718</v>
      </c>
      <c r="G216" s="3">
        <f>VLOOKUP(A216,[2]Sheet1!$A$2:$G$627,7,0)</f>
        <v>272</v>
      </c>
      <c r="H216" s="4">
        <f t="shared" si="18"/>
        <v>202</v>
      </c>
      <c r="I216" s="11">
        <f t="shared" si="19"/>
        <v>-0.3226885102318362</v>
      </c>
      <c r="J216" s="11">
        <f t="shared" si="20"/>
        <v>1.0922971597374389</v>
      </c>
      <c r="K216" s="11">
        <f t="shared" si="21"/>
        <v>2.0891210194198964</v>
      </c>
      <c r="L216" s="11">
        <f>IF(S216="",((BG216-E216)/E216),((U216-E216)/E216))</f>
        <v>0.46153110422835802</v>
      </c>
      <c r="M216" s="3" t="str">
        <f>IF(S216="Churn","Churn",VLOOKUP(A216,'[1]Revenue_Engine_2025 Dec.25'!$C$14:$E$3993,3,0))</f>
        <v>Diğer</v>
      </c>
      <c r="N216" s="3">
        <f>IF(S216="",VLOOKUP(A216,[3]Export!$B$2:$F$417,5,0),"CHURN")</f>
        <v>0</v>
      </c>
      <c r="O216" s="3">
        <f>(1-N216)*H216</f>
        <v>202</v>
      </c>
      <c r="P216" s="3">
        <f t="shared" si="23"/>
        <v>88.050936913788718</v>
      </c>
      <c r="Q216" s="3">
        <f t="shared" si="22"/>
        <v>272</v>
      </c>
      <c r="R216" s="3" t="str">
        <f>IF(S216&lt;&gt;"Churn",VLOOKUP(A216,[3]Export!$B$2:$O$417,8,0),"CHURN")</f>
        <v>NO RISK</v>
      </c>
      <c r="S216" s="3"/>
      <c r="T216" s="3"/>
      <c r="U216" s="3" t="s">
        <v>551</v>
      </c>
      <c r="V216" s="4" t="str" cm="1">
        <f t="array" ref="V216">IFERROR(
    IF(
        MATCH(2,1/((Y216:BH216&lt;&gt;0)*(Y216:BH216&lt;&gt;"")))-MATCH(1,INDEX((Y216:BH216&lt;&gt;0)*(Y216:BH216&lt;&gt;""),0),0)+1 &lt;= 12,
        "No",
        "Yes"
    ),
    "No"
)</f>
        <v>Yes</v>
      </c>
      <c r="W216" s="4" t="str" cm="1">
        <f t="array" ref="W216">IFERROR(
    IF(
        MATCH(2,1/((Y216:BH216&lt;&gt;0)*(Y216:BH216&lt;&gt;"")))-MATCH(1,INDEX((Y216:BH216&lt;&gt;0)*(Y216:BH216&lt;&gt;""),0),0)+1 &lt;= 24,
        "No",
        "Yes"
    ),
    "No"
)</f>
        <v>Yes</v>
      </c>
      <c r="X216" s="3"/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  <c r="AE216" s="4">
        <v>0</v>
      </c>
      <c r="AF216" s="4">
        <v>0</v>
      </c>
      <c r="AG216" s="4">
        <v>0</v>
      </c>
      <c r="AH216" s="4">
        <v>130.00065441666666</v>
      </c>
      <c r="AI216" s="4">
        <v>63.836300545915861</v>
      </c>
      <c r="AJ216" s="4">
        <v>101.50187358146808</v>
      </c>
      <c r="AK216" s="4">
        <v>98.650075522908608</v>
      </c>
      <c r="AL216" s="4">
        <v>96.659135332712182</v>
      </c>
      <c r="AM216" s="4">
        <v>93.417929269194374</v>
      </c>
      <c r="AN216" s="4">
        <v>92.60701535082957</v>
      </c>
      <c r="AO216" s="4">
        <v>92.724198182806546</v>
      </c>
      <c r="AP216" s="4">
        <v>92.040710066097077</v>
      </c>
      <c r="AQ216" s="4">
        <v>91.113543027103702</v>
      </c>
      <c r="AR216" s="4">
        <v>89.410405235533474</v>
      </c>
      <c r="AS216" s="4">
        <v>88.524136174372913</v>
      </c>
      <c r="AT216" s="4">
        <v>88.050936913788718</v>
      </c>
      <c r="AU216" s="4">
        <v>87.631728370988441</v>
      </c>
      <c r="AV216" s="4">
        <v>86.455738508085304</v>
      </c>
      <c r="AW216" s="4">
        <v>85.333345091288763</v>
      </c>
      <c r="AX216" s="4">
        <v>84.040610818647792</v>
      </c>
      <c r="AY216" s="4">
        <v>82.243290472728063</v>
      </c>
      <c r="AZ216" s="4">
        <v>80.366873798054783</v>
      </c>
      <c r="BA216" s="4">
        <v>79.220747088677015</v>
      </c>
      <c r="BB216" s="4">
        <v>78.079465559372537</v>
      </c>
      <c r="BC216" s="4">
        <v>76.808415048979512</v>
      </c>
      <c r="BD216" s="4">
        <v>75.810324464219065</v>
      </c>
      <c r="BE216" s="4">
        <v>75.037937299573542</v>
      </c>
      <c r="BF216" s="4">
        <v>202</v>
      </c>
      <c r="BG216" s="4">
        <v>190</v>
      </c>
      <c r="BH216" s="4">
        <v>190</v>
      </c>
      <c r="BJ216" s="9"/>
    </row>
    <row r="217" spans="1:62" x14ac:dyDescent="0.25">
      <c r="A217" s="6" t="s">
        <v>209</v>
      </c>
      <c r="B217" s="6"/>
      <c r="C217" s="7" t="s">
        <v>526</v>
      </c>
      <c r="D217" s="3"/>
      <c r="E217" s="3">
        <f>VLOOKUP(A217,[2]Sheet1!$A$2:$E$627,5,0)</f>
        <v>349.999999</v>
      </c>
      <c r="F217" s="3">
        <f>VLOOKUP(A217,[2]Sheet1!$A$2:$F$627,6,0)</f>
        <v>391.999999</v>
      </c>
      <c r="G217" s="3">
        <f>VLOOKUP(A217,[2]Sheet1!$A$2:$G$627,7,0)</f>
        <v>478.240092</v>
      </c>
      <c r="H217" s="4">
        <f t="shared" si="18"/>
        <v>478.240092</v>
      </c>
      <c r="I217" s="11">
        <f t="shared" si="19"/>
        <v>0.12000000034285714</v>
      </c>
      <c r="J217" s="11">
        <f t="shared" si="20"/>
        <v>0.36640026676114362</v>
      </c>
      <c r="K217" s="11">
        <f t="shared" si="21"/>
        <v>0.22000023780612304</v>
      </c>
      <c r="L217" s="11">
        <f>IF(S217="",((BG217-E217)/E217),((U217-E217)/E217))</f>
        <v>0.36640026676114362</v>
      </c>
      <c r="M217" s="3" t="str">
        <f>IF(S217="Churn","Churn",VLOOKUP(A217,'[1]Revenue_Engine_2025 Dec.25'!$C$14:$E$3993,3,0))</f>
        <v>Perakende</v>
      </c>
      <c r="N217" s="3">
        <f>IF(S217="",VLOOKUP(A217,[3]Export!$B$2:$F$417,5,0),"CHURN")</f>
        <v>0.15816323487993972</v>
      </c>
      <c r="O217" s="3">
        <f>(1-N217)*H217</f>
        <v>402.60009200000002</v>
      </c>
      <c r="P217" s="3">
        <f t="shared" si="23"/>
        <v>330.00001108522684</v>
      </c>
      <c r="Q217" s="3">
        <f t="shared" si="22"/>
        <v>402.60009200000002</v>
      </c>
      <c r="R217" s="3" t="str">
        <f>IF(S217&lt;&gt;"Churn",VLOOKUP(A217,[3]Export!$B$2:$O$417,8,0),"CHURN")</f>
        <v>NO RISK</v>
      </c>
      <c r="S217" s="3"/>
      <c r="T217" s="3"/>
      <c r="U217" s="3" t="s">
        <v>551</v>
      </c>
      <c r="V217" s="4" t="str" cm="1">
        <f t="array" ref="V217">IFERROR(
    IF(
        MATCH(2,1/((Y217:BH217&lt;&gt;0)*(Y217:BH217&lt;&gt;"")))-MATCH(1,INDEX((Y217:BH217&lt;&gt;0)*(Y217:BH217&lt;&gt;""),0),0)+1 &lt;= 12,
        "No",
        "Yes"
    ),
    "No"
)</f>
        <v>Yes</v>
      </c>
      <c r="W217" s="4" t="str" cm="1">
        <f t="array" ref="W217">IFERROR(
    IF(
        MATCH(2,1/((Y217:BH217&lt;&gt;0)*(Y217:BH217&lt;&gt;"")))-MATCH(1,INDEX((Y217:BH217&lt;&gt;0)*(Y217:BH217&lt;&gt;""),0),0)+1 &lt;= 24,
        "No",
        "Yes"
    ),
    "No"
)</f>
        <v>Yes</v>
      </c>
      <c r="X217" s="3"/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349.999999</v>
      </c>
      <c r="AI217" s="4">
        <v>349.999999</v>
      </c>
      <c r="AJ217" s="4">
        <v>349.999999</v>
      </c>
      <c r="AK217" s="4">
        <v>361.999999</v>
      </c>
      <c r="AL217" s="4">
        <v>361.999999</v>
      </c>
      <c r="AM217" s="4">
        <v>391.999999</v>
      </c>
      <c r="AN217" s="4">
        <v>391.999999</v>
      </c>
      <c r="AO217" s="4">
        <v>391.999999</v>
      </c>
      <c r="AP217" s="4">
        <v>391.999999</v>
      </c>
      <c r="AQ217" s="4">
        <v>391.999999</v>
      </c>
      <c r="AR217" s="4">
        <v>391.999999</v>
      </c>
      <c r="AS217" s="4">
        <v>391.999999</v>
      </c>
      <c r="AT217" s="4">
        <v>391.999999</v>
      </c>
      <c r="AU217" s="4">
        <v>391.999999</v>
      </c>
      <c r="AV217" s="4">
        <v>391.999999</v>
      </c>
      <c r="AW217" s="4">
        <v>478.240092</v>
      </c>
      <c r="AX217" s="4">
        <v>478.240092</v>
      </c>
      <c r="AY217" s="4">
        <v>478.240092</v>
      </c>
      <c r="AZ217" s="4">
        <v>478.240092</v>
      </c>
      <c r="BA217" s="4">
        <v>478.240092</v>
      </c>
      <c r="BB217" s="4">
        <v>478.240092</v>
      </c>
      <c r="BC217" s="4">
        <v>478.240092</v>
      </c>
      <c r="BD217" s="4">
        <v>478.240092</v>
      </c>
      <c r="BE217" s="4">
        <v>478.240092</v>
      </c>
      <c r="BF217" s="4">
        <v>478.240092</v>
      </c>
      <c r="BG217" s="4">
        <v>478.240092</v>
      </c>
      <c r="BH217" s="4">
        <v>478.240092</v>
      </c>
      <c r="BJ217" s="9"/>
    </row>
    <row r="218" spans="1:62" x14ac:dyDescent="0.25">
      <c r="A218" s="6" t="s">
        <v>210</v>
      </c>
      <c r="B218" s="6"/>
      <c r="C218" s="7" t="s">
        <v>526</v>
      </c>
      <c r="D218" s="3"/>
      <c r="E218" s="3">
        <f>VLOOKUP(A218,[2]Sheet1!$A$2:$E$627,5,0)</f>
        <v>374.99999899999995</v>
      </c>
      <c r="F218" s="3">
        <f>VLOOKUP(A218,[2]Sheet1!$A$2:$F$627,6,0)</f>
        <v>374.99999899999995</v>
      </c>
      <c r="G218" s="3">
        <f>VLOOKUP(A218,[2]Sheet1!$A$2:$G$627,7,0)</f>
        <v>401.250474</v>
      </c>
      <c r="H218" s="4">
        <f t="shared" si="18"/>
        <v>401.250474</v>
      </c>
      <c r="I218" s="11">
        <f t="shared" si="19"/>
        <v>0</v>
      </c>
      <c r="J218" s="11">
        <f t="shared" si="20"/>
        <v>7.0001266853336852E-2</v>
      </c>
      <c r="K218" s="11">
        <f t="shared" si="21"/>
        <v>7.0001266853336852E-2</v>
      </c>
      <c r="L218" s="11">
        <f>IF(S218="",((BG218-E218)/E218),((U218-E218)/E218))</f>
        <v>7.0001266853336852E-2</v>
      </c>
      <c r="M218" s="3" t="str">
        <f>IF(S218="Churn","Churn",VLOOKUP(A218,'[1]Revenue_Engine_2025 Dec.25'!$C$14:$E$3993,3,0))</f>
        <v>Üretim</v>
      </c>
      <c r="N218" s="3">
        <f>IF(S218="",VLOOKUP(A218,[3]Export!$B$2:$F$417,5,0),"CHURN")</f>
        <v>0.17599979208996525</v>
      </c>
      <c r="O218" s="3">
        <f>(1-N218)*H218</f>
        <v>330.63047399999999</v>
      </c>
      <c r="P218" s="3">
        <f t="shared" si="23"/>
        <v>309.0000771422628</v>
      </c>
      <c r="Q218" s="3">
        <f t="shared" si="22"/>
        <v>330.63047399999999</v>
      </c>
      <c r="R218" s="3" t="str">
        <f>IF(S218&lt;&gt;"Churn",VLOOKUP(A218,[3]Export!$B$2:$O$417,8,0),"CHURN")</f>
        <v>NO RISK</v>
      </c>
      <c r="S218" s="3"/>
      <c r="T218" s="3"/>
      <c r="U218" s="3" t="s">
        <v>551</v>
      </c>
      <c r="V218" s="4" t="str" cm="1">
        <f t="array" ref="V218">IFERROR(
    IF(
        MATCH(2,1/((Y218:BH218&lt;&gt;0)*(Y218:BH218&lt;&gt;"")))-MATCH(1,INDEX((Y218:BH218&lt;&gt;0)*(Y218:BH218&lt;&gt;""),0),0)+1 &lt;= 12,
        "No",
        "Yes"
    ),
    "No"
)</f>
        <v>Yes</v>
      </c>
      <c r="W218" s="4" t="str" cm="1">
        <f t="array" ref="W218">IFERROR(
    IF(
        MATCH(2,1/((Y218:BH218&lt;&gt;0)*(Y218:BH218&lt;&gt;"")))-MATCH(1,INDEX((Y218:BH218&lt;&gt;0)*(Y218:BH218&lt;&gt;""),0),0)+1 &lt;= 24,
        "No",
        "Yes"
    ),
    "No"
)</f>
        <v>Yes</v>
      </c>
      <c r="X218" s="3"/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0</v>
      </c>
      <c r="AG218" s="4">
        <v>0</v>
      </c>
      <c r="AH218" s="4">
        <v>374.99999899999995</v>
      </c>
      <c r="AI218" s="4">
        <v>374.99999899999995</v>
      </c>
      <c r="AJ218" s="4">
        <v>374.99999899999995</v>
      </c>
      <c r="AK218" s="4">
        <v>374.99999899999995</v>
      </c>
      <c r="AL218" s="4">
        <v>374.99999899999995</v>
      </c>
      <c r="AM218" s="4">
        <v>374.99999899999995</v>
      </c>
      <c r="AN218" s="4">
        <v>374.99999899999995</v>
      </c>
      <c r="AO218" s="4">
        <v>374.99999899999995</v>
      </c>
      <c r="AP218" s="4">
        <v>374.99999899999995</v>
      </c>
      <c r="AQ218" s="4">
        <v>374.99999899999995</v>
      </c>
      <c r="AR218" s="4">
        <v>374.99999899999995</v>
      </c>
      <c r="AS218" s="4">
        <v>374.99999899999995</v>
      </c>
      <c r="AT218" s="4">
        <v>374.99999899999995</v>
      </c>
      <c r="AU218" s="4">
        <v>374.99999899999995</v>
      </c>
      <c r="AV218" s="4">
        <v>374.99999899999995</v>
      </c>
      <c r="AW218" s="4">
        <v>401.250474</v>
      </c>
      <c r="AX218" s="4">
        <v>401.250474</v>
      </c>
      <c r="AY218" s="4">
        <v>401.250474</v>
      </c>
      <c r="AZ218" s="4">
        <v>401.250474</v>
      </c>
      <c r="BA218" s="4">
        <v>401.250474</v>
      </c>
      <c r="BB218" s="4">
        <v>401.250474</v>
      </c>
      <c r="BC218" s="4">
        <v>401.250474</v>
      </c>
      <c r="BD218" s="4">
        <v>401.250474</v>
      </c>
      <c r="BE218" s="4">
        <v>401.250474</v>
      </c>
      <c r="BF218" s="4">
        <v>401.250474</v>
      </c>
      <c r="BG218" s="4">
        <v>401.250474</v>
      </c>
      <c r="BH218" s="4">
        <v>401.250474</v>
      </c>
      <c r="BJ218" s="9"/>
    </row>
    <row r="219" spans="1:62" x14ac:dyDescent="0.25">
      <c r="A219" s="6" t="s">
        <v>211</v>
      </c>
      <c r="B219" s="6"/>
      <c r="C219" s="7" t="s">
        <v>526</v>
      </c>
      <c r="D219" s="3"/>
      <c r="E219" s="3">
        <f>VLOOKUP(A219,[2]Sheet1!$A$2:$E$627,5,0)</f>
        <v>140.00531499999997</v>
      </c>
      <c r="F219" s="3">
        <f>VLOOKUP(A219,[2]Sheet1!$A$2:$F$627,6,0)</f>
        <v>140.00531499999997</v>
      </c>
      <c r="G219" s="3">
        <f>VLOOKUP(A219,[2]Sheet1!$A$2:$G$627,7,0)</f>
        <v>0</v>
      </c>
      <c r="H219" s="4">
        <f t="shared" si="18"/>
        <v>0</v>
      </c>
      <c r="I219" s="11">
        <f t="shared" si="19"/>
        <v>0</v>
      </c>
      <c r="J219" s="11">
        <f t="shared" si="20"/>
        <v>-1</v>
      </c>
      <c r="K219" s="11">
        <f t="shared" si="21"/>
        <v>-1</v>
      </c>
      <c r="L219" s="11">
        <f>IF(S219="",((BG219-E219)/E219),((U219-E219)/E219))</f>
        <v>6.9999563945126117E-2</v>
      </c>
      <c r="M219" s="3" t="str">
        <f>IF(S219="Churn","Churn",VLOOKUP(A219,'[1]Revenue_Engine_2025 Dec.25'!$C$14:$E$3993,3,0))</f>
        <v>Churn</v>
      </c>
      <c r="N219" s="3" t="str">
        <f>IF(S219="",VLOOKUP(A219,[3]Export!$B$2:$F$417,5,0),"CHURN")</f>
        <v>CHURN</v>
      </c>
      <c r="O219" s="3" t="e">
        <f>(1-N219)*H219</f>
        <v>#VALUE!</v>
      </c>
      <c r="P219" s="3" t="e">
        <f t="shared" si="23"/>
        <v>#VALUE!</v>
      </c>
      <c r="Q219" s="3" t="e">
        <f t="shared" si="22"/>
        <v>#VALUE!</v>
      </c>
      <c r="R219" s="3" t="str">
        <f>IF(S219&lt;&gt;"Churn",VLOOKUP(A219,[3]Export!$B$2:$O$417,8,0),"CHURN")</f>
        <v>CHURN</v>
      </c>
      <c r="S219" s="3" t="s">
        <v>372</v>
      </c>
      <c r="T219" s="3" t="s">
        <v>555</v>
      </c>
      <c r="U219" s="3">
        <v>149.80562599999999</v>
      </c>
      <c r="V219" s="4" t="str" cm="1">
        <f t="array" ref="V219">IFERROR(
    IF(
        MATCH(2,1/((Y219:BH219&lt;&gt;0)*(Y219:BH219&lt;&gt;"")))-MATCH(1,INDEX((Y219:BH219&lt;&gt;0)*(Y219:BH219&lt;&gt;""),0),0)+1 &lt;= 12,
        "No",
        "Yes"
    ),
    "No"
)</f>
        <v>Yes</v>
      </c>
      <c r="W219" s="4" t="str" cm="1">
        <f t="array" ref="W219">IFERROR(
    IF(
        MATCH(2,1/((Y219:BH219&lt;&gt;0)*(Y219:BH219&lt;&gt;"")))-MATCH(1,INDEX((Y219:BH219&lt;&gt;0)*(Y219:BH219&lt;&gt;""),0),0)+1 &lt;= 24,
        "No",
        "Yes"
    ),
    "No"
)</f>
        <v>No</v>
      </c>
      <c r="X219" s="3"/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0</v>
      </c>
      <c r="AE219" s="4">
        <v>0</v>
      </c>
      <c r="AF219" s="4">
        <v>0</v>
      </c>
      <c r="AG219" s="4">
        <v>0</v>
      </c>
      <c r="AH219" s="4">
        <v>140.00531499999997</v>
      </c>
      <c r="AI219" s="4">
        <v>140.00531499999997</v>
      </c>
      <c r="AJ219" s="4">
        <v>140.00531499999997</v>
      </c>
      <c r="AK219" s="4">
        <v>140.00531499999997</v>
      </c>
      <c r="AL219" s="4">
        <v>140.00531499999997</v>
      </c>
      <c r="AM219" s="4">
        <v>140.00531499999997</v>
      </c>
      <c r="AN219" s="4">
        <v>140.00531499999997</v>
      </c>
      <c r="AO219" s="4">
        <v>140.00531499999997</v>
      </c>
      <c r="AP219" s="4">
        <v>140.00531499999997</v>
      </c>
      <c r="AQ219" s="4">
        <v>140.00531499999997</v>
      </c>
      <c r="AR219" s="4">
        <v>140.00531499999997</v>
      </c>
      <c r="AS219" s="4">
        <v>140.00531499999997</v>
      </c>
      <c r="AT219" s="4">
        <v>140.00531499999997</v>
      </c>
      <c r="AU219" s="4">
        <v>140.00531499999997</v>
      </c>
      <c r="AV219" s="4">
        <v>140.00531499999997</v>
      </c>
      <c r="AW219" s="4">
        <v>149.80562599999999</v>
      </c>
      <c r="AX219" s="4">
        <v>149.80562599999999</v>
      </c>
      <c r="AY219" s="4">
        <v>149.80562599999999</v>
      </c>
      <c r="AZ219" s="4">
        <v>149.80562599999999</v>
      </c>
      <c r="BA219" s="4">
        <v>82.15</v>
      </c>
      <c r="BB219" s="4">
        <v>0</v>
      </c>
      <c r="BC219" s="4">
        <v>0</v>
      </c>
      <c r="BD219" s="4">
        <v>0</v>
      </c>
      <c r="BE219" s="4">
        <v>0</v>
      </c>
      <c r="BF219" s="4">
        <v>0</v>
      </c>
      <c r="BG219" s="4">
        <v>0</v>
      </c>
      <c r="BH219" s="4">
        <v>0</v>
      </c>
      <c r="BJ219" s="9"/>
    </row>
    <row r="220" spans="1:62" x14ac:dyDescent="0.25">
      <c r="A220" s="6" t="s">
        <v>212</v>
      </c>
      <c r="B220" s="6"/>
      <c r="C220" s="7" t="s">
        <v>526</v>
      </c>
      <c r="D220" s="3"/>
      <c r="E220" s="3">
        <f>VLOOKUP(A220,[2]Sheet1!$A$2:$E$627,5,0)</f>
        <v>190.0008</v>
      </c>
      <c r="F220" s="3">
        <f>VLOOKUP(A220,[2]Sheet1!$A$2:$F$627,6,0)</f>
        <v>200.00000008333336</v>
      </c>
      <c r="G220" s="3">
        <f>VLOOKUP(A220,[2]Sheet1!$A$2:$G$627,7,0)</f>
        <v>0</v>
      </c>
      <c r="H220" s="4">
        <f t="shared" si="18"/>
        <v>200.00000008333336</v>
      </c>
      <c r="I220" s="11">
        <f t="shared" si="19"/>
        <v>5.2627147271660769E-2</v>
      </c>
      <c r="J220" s="11">
        <f t="shared" si="20"/>
        <v>-1</v>
      </c>
      <c r="K220" s="11">
        <f t="shared" si="21"/>
        <v>-1</v>
      </c>
      <c r="L220" s="11">
        <f>IF(S220="",((BG220-E220)/E220),((U220-E220)/E220))</f>
        <v>5.2627147271660769E-2</v>
      </c>
      <c r="M220" s="3" t="str">
        <f>IF(S220="Churn","Churn",VLOOKUP(A220,'[1]Revenue_Engine_2025 Dec.25'!$C$14:$E$3993,3,0))</f>
        <v>Diğer</v>
      </c>
      <c r="N220" s="3">
        <f>IF(S220="",VLOOKUP(A220,[3]Export!$B$2:$F$417,5,0),"CHURN")</f>
        <v>9.9999999958333335E-2</v>
      </c>
      <c r="O220" s="3">
        <f>(1-N220)*H220</f>
        <v>180.00000008333336</v>
      </c>
      <c r="P220" s="3">
        <f t="shared" si="23"/>
        <v>180.00000008333336</v>
      </c>
      <c r="Q220" s="3">
        <f t="shared" si="22"/>
        <v>0</v>
      </c>
      <c r="R220" s="3" t="str">
        <f>IF(S220&lt;&gt;"Churn",VLOOKUP(A220,[3]Export!$B$2:$O$417,8,0),"CHURN")</f>
        <v>NO RISK</v>
      </c>
      <c r="S220" s="3"/>
      <c r="T220" s="3"/>
      <c r="U220" s="3" t="s">
        <v>551</v>
      </c>
      <c r="V220" s="4" t="str" cm="1">
        <f t="array" ref="V220">IFERROR(
    IF(
        MATCH(2,1/((Y220:BH220&lt;&gt;0)*(Y220:BH220&lt;&gt;"")))-MATCH(1,INDEX((Y220:BH220&lt;&gt;0)*(Y220:BH220&lt;&gt;""),0),0)+1 &lt;= 12,
        "No",
        "Yes"
    ),
    "No"
)</f>
        <v>Yes</v>
      </c>
      <c r="W220" s="4" t="str" cm="1">
        <f t="array" ref="W220">IFERROR(
    IF(
        MATCH(2,1/((Y220:BH220&lt;&gt;0)*(Y220:BH220&lt;&gt;"")))-MATCH(1,INDEX((Y220:BH220&lt;&gt;0)*(Y220:BH220&lt;&gt;""),0),0)+1 &lt;= 24,
        "No",
        "Yes"
    ),
    "No"
)</f>
        <v>Yes</v>
      </c>
      <c r="X220" s="3"/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190.0008</v>
      </c>
      <c r="AJ220" s="4">
        <v>190.00000008333336</v>
      </c>
      <c r="AK220" s="4">
        <v>190.00000008333336</v>
      </c>
      <c r="AL220" s="4">
        <v>200.00000008333336</v>
      </c>
      <c r="AM220" s="4">
        <v>200.00000008333336</v>
      </c>
      <c r="AN220" s="4">
        <v>200.00000008333336</v>
      </c>
      <c r="AO220" s="4">
        <v>200.00000008333336</v>
      </c>
      <c r="AP220" s="4">
        <v>200.00000008333336</v>
      </c>
      <c r="AQ220" s="4">
        <v>200.00000008333336</v>
      </c>
      <c r="AR220" s="4">
        <v>200.00000008333336</v>
      </c>
      <c r="AS220" s="4">
        <v>200.00000008333336</v>
      </c>
      <c r="AT220" s="4">
        <v>200.00000008333336</v>
      </c>
      <c r="AU220" s="4">
        <v>200.00000008333336</v>
      </c>
      <c r="AV220" s="4">
        <v>200.00000008333336</v>
      </c>
      <c r="AW220" s="4">
        <v>200.00000008333336</v>
      </c>
      <c r="AX220" s="4">
        <v>200.00000008333336</v>
      </c>
      <c r="AY220" s="4">
        <v>200.00000008333336</v>
      </c>
      <c r="AZ220" s="4">
        <v>200.00000008333336</v>
      </c>
      <c r="BA220" s="4">
        <v>200.00000008333336</v>
      </c>
      <c r="BB220" s="4">
        <v>200.00000008333336</v>
      </c>
      <c r="BC220" s="4">
        <v>200.00000008333336</v>
      </c>
      <c r="BD220" s="4">
        <v>200.00000008333336</v>
      </c>
      <c r="BE220" s="4">
        <v>200.00000008333336</v>
      </c>
      <c r="BF220" s="4">
        <v>200.00000008333336</v>
      </c>
      <c r="BG220" s="4">
        <v>200.00000008333336</v>
      </c>
      <c r="BH220" s="4">
        <v>200.00000008333336</v>
      </c>
      <c r="BJ220" s="9"/>
    </row>
    <row r="221" spans="1:62" x14ac:dyDescent="0.25">
      <c r="A221" s="6" t="s">
        <v>213</v>
      </c>
      <c r="B221" s="6"/>
      <c r="C221" s="7" t="s">
        <v>526</v>
      </c>
      <c r="D221" s="3"/>
      <c r="E221" s="3">
        <f>VLOOKUP(A221,[2]Sheet1!$A$2:$E$627,5,0)</f>
        <v>139.87384065297783</v>
      </c>
      <c r="F221" s="3">
        <f>VLOOKUP(A221,[2]Sheet1!$A$2:$F$627,6,0)</f>
        <v>184.26205296740582</v>
      </c>
      <c r="G221" s="3">
        <f>VLOOKUP(A221,[2]Sheet1!$A$2:$G$627,7,0)</f>
        <v>391.66633333333334</v>
      </c>
      <c r="H221" s="4">
        <f t="shared" si="18"/>
        <v>391.66633333333334</v>
      </c>
      <c r="I221" s="11">
        <f t="shared" si="19"/>
        <v>0.31734463075589386</v>
      </c>
      <c r="J221" s="11">
        <f t="shared" si="20"/>
        <v>1.8001399797482074</v>
      </c>
      <c r="K221" s="11">
        <f t="shared" si="21"/>
        <v>1.1255941037551305</v>
      </c>
      <c r="L221" s="11">
        <f>IF(S221="",((BG221-E221)/E221),((U221-E221)/E221))</f>
        <v>0.48943623549691512</v>
      </c>
      <c r="M221" s="3" t="str">
        <f>IF(S221="Churn","Churn",VLOOKUP(A221,'[1]Revenue_Engine_2025 Dec.25'!$C$14:$E$3993,3,0))</f>
        <v>Genel</v>
      </c>
      <c r="N221" s="3">
        <f>IF(S221="",VLOOKUP(A221,[3]Export!$B$2:$F$417,5,0),"CHURN")</f>
        <v>0.1200000960000768</v>
      </c>
      <c r="O221" s="3">
        <f>(1-N221)*H221</f>
        <v>344.66633573333525</v>
      </c>
      <c r="P221" s="3">
        <f t="shared" si="23"/>
        <v>162.15058892214589</v>
      </c>
      <c r="Q221" s="3">
        <f t="shared" si="22"/>
        <v>344.66633573333525</v>
      </c>
      <c r="R221" s="3" t="str">
        <f>IF(S221&lt;&gt;"Churn",VLOOKUP(A221,[3]Export!$B$2:$O$417,8,0),"CHURN")</f>
        <v>NO RISK</v>
      </c>
      <c r="S221" s="3"/>
      <c r="T221" s="3"/>
      <c r="U221" s="3" t="s">
        <v>551</v>
      </c>
      <c r="V221" s="4" t="str" cm="1">
        <f t="array" ref="V221">IFERROR(
    IF(
        MATCH(2,1/((Y221:BH221&lt;&gt;0)*(Y221:BH221&lt;&gt;"")))-MATCH(1,INDEX((Y221:BH221&lt;&gt;0)*(Y221:BH221&lt;&gt;""),0),0)+1 &lt;= 12,
        "No",
        "Yes"
    ),
    "No"
)</f>
        <v>Yes</v>
      </c>
      <c r="W221" s="4" t="str" cm="1">
        <f t="array" ref="W221">IFERROR(
    IF(
        MATCH(2,1/((Y221:BH221&lt;&gt;0)*(Y221:BH221&lt;&gt;"")))-MATCH(1,INDEX((Y221:BH221&lt;&gt;0)*(Y221:BH221&lt;&gt;""),0),0)+1 &lt;= 24,
        "No",
        "Yes"
    ),
    "No"
)</f>
        <v>Yes</v>
      </c>
      <c r="X221" s="3"/>
      <c r="Y221" s="4">
        <v>0</v>
      </c>
      <c r="Z221" s="4">
        <v>0</v>
      </c>
      <c r="AA221" s="4">
        <v>0</v>
      </c>
      <c r="AB221" s="4">
        <v>0</v>
      </c>
      <c r="AC221" s="4">
        <v>0</v>
      </c>
      <c r="AD221" s="4">
        <v>0</v>
      </c>
      <c r="AE221" s="4">
        <v>0</v>
      </c>
      <c r="AF221" s="4">
        <v>0</v>
      </c>
      <c r="AG221" s="4">
        <v>0</v>
      </c>
      <c r="AH221" s="4">
        <v>0</v>
      </c>
      <c r="AI221" s="4">
        <v>139.87384065297783</v>
      </c>
      <c r="AJ221" s="4">
        <v>137.69446156919335</v>
      </c>
      <c r="AK221" s="4">
        <v>133.30710315462358</v>
      </c>
      <c r="AL221" s="4">
        <v>130.24413445312447</v>
      </c>
      <c r="AM221" s="4">
        <v>125.25768996998578</v>
      </c>
      <c r="AN221" s="4">
        <v>124.01013669651637</v>
      </c>
      <c r="AO221" s="4">
        <v>124.19041702259842</v>
      </c>
      <c r="AP221" s="4">
        <v>123.13890240672183</v>
      </c>
      <c r="AQ221" s="4">
        <v>121.71249912475378</v>
      </c>
      <c r="AR221" s="4">
        <v>119.09230100147153</v>
      </c>
      <c r="AS221" s="4">
        <v>117.72881735248561</v>
      </c>
      <c r="AT221" s="4">
        <v>184.26205296740582</v>
      </c>
      <c r="AU221" s="4">
        <v>183.24636230201114</v>
      </c>
      <c r="AV221" s="4">
        <v>363.73025037723812</v>
      </c>
      <c r="AW221" s="4">
        <v>361.01082937325396</v>
      </c>
      <c r="AX221" s="4">
        <v>357.87869345639899</v>
      </c>
      <c r="AY221" s="4">
        <v>353.52400763372884</v>
      </c>
      <c r="AZ221" s="4">
        <v>348.97768114876368</v>
      </c>
      <c r="BA221" s="4">
        <v>346.20075730007886</v>
      </c>
      <c r="BB221" s="4">
        <v>343.43557272593199</v>
      </c>
      <c r="BC221" s="4">
        <v>340.35597389422026</v>
      </c>
      <c r="BD221" s="4">
        <v>337.93772334191107</v>
      </c>
      <c r="BE221" s="4">
        <v>336.06632437670714</v>
      </c>
      <c r="BF221" s="4">
        <v>391.66633333333334</v>
      </c>
      <c r="BG221" s="4">
        <v>208.33316666666667</v>
      </c>
      <c r="BH221" s="4">
        <v>208.33316666666667</v>
      </c>
      <c r="BJ221" s="9"/>
    </row>
    <row r="222" spans="1:62" x14ac:dyDescent="0.25">
      <c r="A222" s="6" t="s">
        <v>214</v>
      </c>
      <c r="B222" s="6"/>
      <c r="C222" s="7" t="s">
        <v>526</v>
      </c>
      <c r="D222" s="3"/>
      <c r="E222" s="3">
        <f>VLOOKUP(A222,[2]Sheet1!$A$2:$E$627,5,0)</f>
        <v>35</v>
      </c>
      <c r="F222" s="3">
        <f>VLOOKUP(A222,[2]Sheet1!$A$2:$F$627,6,0)</f>
        <v>42</v>
      </c>
      <c r="G222" s="3">
        <f>VLOOKUP(A222,[2]Sheet1!$A$2:$G$627,7,0)</f>
        <v>0</v>
      </c>
      <c r="H222" s="4">
        <f t="shared" si="18"/>
        <v>28</v>
      </c>
      <c r="I222" s="11">
        <f t="shared" si="19"/>
        <v>0.2</v>
      </c>
      <c r="J222" s="11">
        <f t="shared" si="20"/>
        <v>-1</v>
      </c>
      <c r="K222" s="11">
        <f t="shared" si="21"/>
        <v>-1</v>
      </c>
      <c r="L222" s="11">
        <f>IF(S222="",((BG222-E222)/E222),((U222-E222)/E222))</f>
        <v>-0.2</v>
      </c>
      <c r="M222" s="3" t="str">
        <f>IF(S222="Churn","Churn",VLOOKUP(A222,'[1]Revenue_Engine_2025 Dec.25'!$C$14:$E$3993,3,0))</f>
        <v>Diğer</v>
      </c>
      <c r="N222" s="3">
        <f>IF(S222="",VLOOKUP(A222,[3]Export!$B$2:$F$417,5,0),"CHURN")</f>
        <v>0</v>
      </c>
      <c r="O222" s="3">
        <f>(1-N222)*H222</f>
        <v>28</v>
      </c>
      <c r="P222" s="3">
        <f t="shared" si="23"/>
        <v>42</v>
      </c>
      <c r="Q222" s="3">
        <f t="shared" si="22"/>
        <v>0</v>
      </c>
      <c r="R222" s="3" t="str">
        <f>IF(S222&lt;&gt;"Churn",VLOOKUP(A222,[3]Export!$B$2:$O$417,8,0),"CHURN")</f>
        <v>NO RISK</v>
      </c>
      <c r="S222" s="3"/>
      <c r="T222" s="3"/>
      <c r="U222" s="3" t="s">
        <v>551</v>
      </c>
      <c r="V222" s="4" t="str" cm="1">
        <f t="array" ref="V222">IFERROR(
    IF(
        MATCH(2,1/((Y222:BH222&lt;&gt;0)*(Y222:BH222&lt;&gt;"")))-MATCH(1,INDEX((Y222:BH222&lt;&gt;0)*(Y222:BH222&lt;&gt;""),0),0)+1 &lt;= 12,
        "No",
        "Yes"
    ),
    "No"
)</f>
        <v>Yes</v>
      </c>
      <c r="W222" s="4" t="str" cm="1">
        <f t="array" ref="W222">IFERROR(
    IF(
        MATCH(2,1/((Y222:BH222&lt;&gt;0)*(Y222:BH222&lt;&gt;"")))-MATCH(1,INDEX((Y222:BH222&lt;&gt;0)*(Y222:BH222&lt;&gt;""),0),0)+1 &lt;= 24,
        "No",
        "Yes"
    ),
    "No"
)</f>
        <v>Yes</v>
      </c>
      <c r="X222" s="3"/>
      <c r="Y222" s="4">
        <v>0</v>
      </c>
      <c r="Z222" s="4">
        <v>0</v>
      </c>
      <c r="AA222" s="4">
        <v>0</v>
      </c>
      <c r="AB222" s="4">
        <v>0</v>
      </c>
      <c r="AC222" s="4">
        <v>0</v>
      </c>
      <c r="AD222" s="4">
        <v>0</v>
      </c>
      <c r="AE222" s="4">
        <v>0</v>
      </c>
      <c r="AF222" s="4">
        <v>0</v>
      </c>
      <c r="AG222" s="4">
        <v>0</v>
      </c>
      <c r="AH222" s="4">
        <v>0</v>
      </c>
      <c r="AI222" s="4">
        <v>35</v>
      </c>
      <c r="AJ222" s="4">
        <v>35</v>
      </c>
      <c r="AK222" s="4">
        <v>35</v>
      </c>
      <c r="AL222" s="4">
        <v>35</v>
      </c>
      <c r="AM222" s="4">
        <v>35</v>
      </c>
      <c r="AN222" s="4">
        <v>35</v>
      </c>
      <c r="AO222" s="4">
        <v>35</v>
      </c>
      <c r="AP222" s="4">
        <v>35</v>
      </c>
      <c r="AQ222" s="4">
        <v>35</v>
      </c>
      <c r="AR222" s="4">
        <v>35</v>
      </c>
      <c r="AS222" s="4">
        <v>35</v>
      </c>
      <c r="AT222" s="4">
        <v>42</v>
      </c>
      <c r="AU222" s="4">
        <v>42</v>
      </c>
      <c r="AV222" s="4">
        <v>56</v>
      </c>
      <c r="AW222" s="4">
        <v>56</v>
      </c>
      <c r="AX222" s="4">
        <v>56</v>
      </c>
      <c r="AY222" s="4">
        <v>56</v>
      </c>
      <c r="AZ222" s="4">
        <v>42</v>
      </c>
      <c r="BA222" s="4">
        <v>42</v>
      </c>
      <c r="BB222" s="4">
        <v>28</v>
      </c>
      <c r="BC222" s="4">
        <v>28</v>
      </c>
      <c r="BD222" s="4">
        <v>28</v>
      </c>
      <c r="BE222" s="4">
        <v>28</v>
      </c>
      <c r="BF222" s="4">
        <v>28</v>
      </c>
      <c r="BG222" s="4">
        <v>28</v>
      </c>
      <c r="BH222" s="4">
        <v>28</v>
      </c>
      <c r="BJ222" s="9"/>
    </row>
    <row r="223" spans="1:62" x14ac:dyDescent="0.25">
      <c r="A223" s="6" t="s">
        <v>215</v>
      </c>
      <c r="B223" s="6"/>
      <c r="C223" s="7" t="s">
        <v>526</v>
      </c>
      <c r="D223" s="3"/>
      <c r="E223" s="3">
        <f>VLOOKUP(A223,[2]Sheet1!$A$2:$E$627,5,0)</f>
        <v>1100.0064729999999</v>
      </c>
      <c r="F223" s="3">
        <f>VLOOKUP(A223,[2]Sheet1!$A$2:$F$627,6,0)</f>
        <v>1706.0064709999997</v>
      </c>
      <c r="G223" s="3">
        <f>VLOOKUP(A223,[2]Sheet1!$A$2:$G$627,7,0)</f>
        <v>0</v>
      </c>
      <c r="H223" s="4">
        <f t="shared" si="18"/>
        <v>1783.8072709999997</v>
      </c>
      <c r="I223" s="11">
        <f t="shared" si="19"/>
        <v>0.55090584726040959</v>
      </c>
      <c r="J223" s="11">
        <f t="shared" si="20"/>
        <v>-1</v>
      </c>
      <c r="K223" s="11">
        <f t="shared" si="21"/>
        <v>-1</v>
      </c>
      <c r="L223" s="11">
        <f>IF(S223="",((BG223-E223)/E223),((U223-E223)/E223))</f>
        <v>0.62163343106072777</v>
      </c>
      <c r="M223" s="3" t="str">
        <f>IF(S223="Churn","Churn",VLOOKUP(A223,'[1]Revenue_Engine_2025 Dec.25'!$C$14:$E$3993,3,0))</f>
        <v>Üretim</v>
      </c>
      <c r="N223" s="3">
        <f>IF(S223="",VLOOKUP(A223,[3]Export!$B$2:$F$417,5,0),"CHURN")</f>
        <v>0.48088008942755339</v>
      </c>
      <c r="O223" s="3">
        <f>(1-N223)*H223</f>
        <v>926.00987099999998</v>
      </c>
      <c r="P223" s="3">
        <f t="shared" si="23"/>
        <v>885.62192666153521</v>
      </c>
      <c r="Q223" s="3">
        <f t="shared" si="22"/>
        <v>0</v>
      </c>
      <c r="R223" s="3" t="str">
        <f>IF(S223&lt;&gt;"Churn",VLOOKUP(A223,[3]Export!$B$2:$O$417,8,0),"CHURN")</f>
        <v>NO RISK</v>
      </c>
      <c r="S223" s="3"/>
      <c r="T223" s="3"/>
      <c r="U223" s="3" t="s">
        <v>551</v>
      </c>
      <c r="V223" s="4" t="str" cm="1">
        <f t="array" ref="V223">IFERROR(
    IF(
        MATCH(2,1/((Y223:BH223&lt;&gt;0)*(Y223:BH223&lt;&gt;"")))-MATCH(1,INDEX((Y223:BH223&lt;&gt;0)*(Y223:BH223&lt;&gt;""),0),0)+1 &lt;= 12,
        "No",
        "Yes"
    ),
    "No"
)</f>
        <v>Yes</v>
      </c>
      <c r="W223" s="4" t="str" cm="1">
        <f t="array" ref="W223">IFERROR(
    IF(
        MATCH(2,1/((Y223:BH223&lt;&gt;0)*(Y223:BH223&lt;&gt;"")))-MATCH(1,INDEX((Y223:BH223&lt;&gt;0)*(Y223:BH223&lt;&gt;""),0),0)+1 &lt;= 24,
        "No",
        "Yes"
    ),
    "No"
)</f>
        <v>Yes</v>
      </c>
      <c r="X223" s="3"/>
      <c r="Y223" s="4">
        <v>0</v>
      </c>
      <c r="Z223" s="4">
        <v>0</v>
      </c>
      <c r="AA223" s="4">
        <v>0</v>
      </c>
      <c r="AB223" s="4">
        <v>0</v>
      </c>
      <c r="AC223" s="4">
        <v>0</v>
      </c>
      <c r="AD223" s="4">
        <v>0</v>
      </c>
      <c r="AE223" s="4">
        <v>0</v>
      </c>
      <c r="AF223" s="4">
        <v>0</v>
      </c>
      <c r="AG223" s="4">
        <v>0</v>
      </c>
      <c r="AH223" s="4">
        <v>0</v>
      </c>
      <c r="AI223" s="4">
        <v>1100</v>
      </c>
      <c r="AJ223" s="4">
        <v>1100</v>
      </c>
      <c r="AK223" s="4">
        <v>1100.0064729999999</v>
      </c>
      <c r="AL223" s="4">
        <v>1132.0064729999999</v>
      </c>
      <c r="AM223" s="4">
        <v>1306.0064729999999</v>
      </c>
      <c r="AN223" s="4">
        <v>1306.0064729999999</v>
      </c>
      <c r="AO223" s="4">
        <v>1306.0064729999999</v>
      </c>
      <c r="AP223" s="4">
        <v>1506.006472</v>
      </c>
      <c r="AQ223" s="4">
        <v>1706.0064709999997</v>
      </c>
      <c r="AR223" s="4">
        <v>1706.0064709999997</v>
      </c>
      <c r="AS223" s="4">
        <v>1706.0064709999997</v>
      </c>
      <c r="AT223" s="4">
        <v>1706.0064709999997</v>
      </c>
      <c r="AU223" s="4">
        <v>1706.0064709999997</v>
      </c>
      <c r="AV223" s="4">
        <v>1706.0064709999997</v>
      </c>
      <c r="AW223" s="4">
        <v>1706.0064709999997</v>
      </c>
      <c r="AX223" s="4">
        <v>1706.0064709999997</v>
      </c>
      <c r="AY223" s="4">
        <v>1783.8072709999997</v>
      </c>
      <c r="AZ223" s="4">
        <v>1783.8072710000001</v>
      </c>
      <c r="BA223" s="4">
        <v>1783.8072709999997</v>
      </c>
      <c r="BB223" s="4">
        <v>1783.8072710000001</v>
      </c>
      <c r="BC223" s="4">
        <v>1783.8072709999997</v>
      </c>
      <c r="BD223" s="4">
        <v>1783.8072709999997</v>
      </c>
      <c r="BE223" s="4">
        <v>1783.8072709999997</v>
      </c>
      <c r="BF223" s="4">
        <v>1783.8072709999997</v>
      </c>
      <c r="BG223" s="4">
        <v>1783.8072709999997</v>
      </c>
      <c r="BH223" s="4">
        <v>1783.8072709999997</v>
      </c>
      <c r="BJ223" s="9"/>
    </row>
    <row r="224" spans="1:62" x14ac:dyDescent="0.25">
      <c r="A224" s="6" t="s">
        <v>216</v>
      </c>
      <c r="B224" s="6"/>
      <c r="C224" s="7" t="s">
        <v>526</v>
      </c>
      <c r="D224" s="3"/>
      <c r="E224" s="3">
        <f>VLOOKUP(A224,[2]Sheet1!$A$2:$E$627,5,0)</f>
        <v>200.18181826515152</v>
      </c>
      <c r="F224" s="3">
        <f>VLOOKUP(A224,[2]Sheet1!$A$2:$F$627,6,0)</f>
        <v>154.16666675000002</v>
      </c>
      <c r="G224" s="3">
        <f>VLOOKUP(A224,[2]Sheet1!$A$2:$G$627,7,0)</f>
        <v>0</v>
      </c>
      <c r="H224" s="4">
        <f t="shared" si="18"/>
        <v>154.16666675000002</v>
      </c>
      <c r="I224" s="11">
        <f t="shared" si="19"/>
        <v>-0.22986678767300422</v>
      </c>
      <c r="J224" s="11">
        <f t="shared" si="20"/>
        <v>-1</v>
      </c>
      <c r="K224" s="11">
        <f t="shared" si="21"/>
        <v>-1</v>
      </c>
      <c r="L224" s="11">
        <f>IF(S224="",((BG224-E224)/E224),((U224-E224)/E224))</f>
        <v>-0.22986678767300422</v>
      </c>
      <c r="M224" s="3" t="str">
        <f>IF(S224="Churn","Churn",VLOOKUP(A224,'[1]Revenue_Engine_2025 Dec.25'!$C$14:$E$3993,3,0))</f>
        <v>Diğer</v>
      </c>
      <c r="N224" s="3">
        <f>IF(S224="",VLOOKUP(A224,[3]Export!$B$2:$F$417,5,0),"CHURN")</f>
        <v>9.0810810761723898E-2</v>
      </c>
      <c r="O224" s="3">
        <f>(1-N224)*H224</f>
        <v>140.16666675000002</v>
      </c>
      <c r="P224" s="3">
        <f t="shared" si="23"/>
        <v>140.16666675000002</v>
      </c>
      <c r="Q224" s="3">
        <f t="shared" si="22"/>
        <v>0</v>
      </c>
      <c r="R224" s="3" t="str">
        <f>IF(S224&lt;&gt;"Churn",VLOOKUP(A224,[3]Export!$B$2:$O$417,8,0),"CHURN")</f>
        <v>CHURN</v>
      </c>
      <c r="S224" s="3"/>
      <c r="T224" s="3"/>
      <c r="U224" s="3" t="s">
        <v>551</v>
      </c>
      <c r="V224" s="4" t="str" cm="1">
        <f t="array" ref="V224">IFERROR(
    IF(
        MATCH(2,1/((Y224:BH224&lt;&gt;0)*(Y224:BH224&lt;&gt;"")))-MATCH(1,INDEX((Y224:BH224&lt;&gt;0)*(Y224:BH224&lt;&gt;""),0),0)+1 &lt;= 12,
        "No",
        "Yes"
    ),
    "No"
)</f>
        <v>Yes</v>
      </c>
      <c r="W224" s="4" t="str" cm="1">
        <f t="array" ref="W224">IFERROR(
    IF(
        MATCH(2,1/((Y224:BH224&lt;&gt;0)*(Y224:BH224&lt;&gt;"")))-MATCH(1,INDEX((Y224:BH224&lt;&gt;0)*(Y224:BH224&lt;&gt;""),0),0)+1 &lt;= 24,
        "No",
        "Yes"
    ),
    "No"
)</f>
        <v>Yes</v>
      </c>
      <c r="X224" s="3"/>
      <c r="Y224" s="4">
        <v>0</v>
      </c>
      <c r="Z224" s="4">
        <v>0</v>
      </c>
      <c r="AA224" s="4">
        <v>0</v>
      </c>
      <c r="AB224" s="4">
        <v>0</v>
      </c>
      <c r="AC224" s="4">
        <v>0</v>
      </c>
      <c r="AD224" s="4">
        <v>0</v>
      </c>
      <c r="AE224" s="4">
        <v>0</v>
      </c>
      <c r="AF224" s="4">
        <v>0</v>
      </c>
      <c r="AG224" s="4">
        <v>0</v>
      </c>
      <c r="AH224" s="4">
        <v>0</v>
      </c>
      <c r="AI224" s="4">
        <v>150</v>
      </c>
      <c r="AJ224" s="4">
        <v>150</v>
      </c>
      <c r="AK224" s="4">
        <v>200.18181826515152</v>
      </c>
      <c r="AL224" s="4">
        <v>99.818181901515146</v>
      </c>
      <c r="AM224" s="4">
        <v>150.00000008333333</v>
      </c>
      <c r="AN224" s="4">
        <v>150.00000008333333</v>
      </c>
      <c r="AO224" s="4">
        <v>150.00000008333333</v>
      </c>
      <c r="AP224" s="4">
        <v>150.00000008333333</v>
      </c>
      <c r="AQ224" s="4">
        <v>150.00000008333333</v>
      </c>
      <c r="AR224" s="4">
        <v>150.00000008333333</v>
      </c>
      <c r="AS224" s="4">
        <v>150.00000008333333</v>
      </c>
      <c r="AT224" s="4">
        <v>150.00000008333333</v>
      </c>
      <c r="AU224" s="4">
        <v>154.16666675000002</v>
      </c>
      <c r="AV224" s="4">
        <v>154.16666675000002</v>
      </c>
      <c r="AW224" s="4">
        <v>154.16666675000002</v>
      </c>
      <c r="AX224" s="4">
        <v>154.16666675000002</v>
      </c>
      <c r="AY224" s="4">
        <v>154.16666675000002</v>
      </c>
      <c r="AZ224" s="4">
        <v>154.16666675000002</v>
      </c>
      <c r="BA224" s="4">
        <v>154.16666675000002</v>
      </c>
      <c r="BB224" s="4">
        <v>154.16666675000002</v>
      </c>
      <c r="BC224" s="4">
        <v>154.16666675000002</v>
      </c>
      <c r="BD224" s="4">
        <v>154.16666675000002</v>
      </c>
      <c r="BE224" s="4">
        <v>154.16666675000002</v>
      </c>
      <c r="BF224" s="4">
        <v>154.16666675000002</v>
      </c>
      <c r="BG224" s="4">
        <v>154.16666675000002</v>
      </c>
      <c r="BH224" s="4">
        <v>154.16666675000002</v>
      </c>
      <c r="BJ224" s="9"/>
    </row>
    <row r="225" spans="1:62" x14ac:dyDescent="0.25">
      <c r="A225" s="6" t="s">
        <v>217</v>
      </c>
      <c r="B225" s="6"/>
      <c r="C225" s="7" t="s">
        <v>526</v>
      </c>
      <c r="D225" s="3"/>
      <c r="E225" s="3">
        <f>VLOOKUP(A225,[2]Sheet1!$A$2:$E$627,5,0)</f>
        <v>1200</v>
      </c>
      <c r="F225" s="3">
        <f>VLOOKUP(A225,[2]Sheet1!$A$2:$F$627,6,0)</f>
        <v>1424.9976495833332</v>
      </c>
      <c r="G225" s="3">
        <f>VLOOKUP(A225,[2]Sheet1!$A$2:$G$627,7,0)</f>
        <v>0</v>
      </c>
      <c r="H225" s="4">
        <f t="shared" si="18"/>
        <v>1508.9976495833332</v>
      </c>
      <c r="I225" s="11">
        <f t="shared" si="19"/>
        <v>0.18749804131944434</v>
      </c>
      <c r="J225" s="11">
        <f t="shared" si="20"/>
        <v>-1</v>
      </c>
      <c r="K225" s="11">
        <f t="shared" si="21"/>
        <v>-1</v>
      </c>
      <c r="L225" s="11">
        <f>IF(S225="",((BG225-E225)/E225),((U225-E225)/E225))</f>
        <v>0.25749804131944437</v>
      </c>
      <c r="M225" s="3" t="str">
        <f>IF(S225="Churn","Churn",VLOOKUP(A225,'[1]Revenue_Engine_2025 Dec.25'!$C$14:$E$3993,3,0))</f>
        <v>Genel</v>
      </c>
      <c r="N225" s="3">
        <f>IF(S225="",VLOOKUP(A225,[3]Export!$B$2:$F$417,5,0),"CHURN")</f>
        <v>0.41219414766600043</v>
      </c>
      <c r="O225" s="3">
        <f>(1-N225)*H225</f>
        <v>886.9976495833331</v>
      </c>
      <c r="P225" s="3">
        <f t="shared" si="23"/>
        <v>837.62195798727714</v>
      </c>
      <c r="Q225" s="3">
        <f t="shared" si="22"/>
        <v>0</v>
      </c>
      <c r="R225" s="3" t="str">
        <f>IF(S225&lt;&gt;"Churn",VLOOKUP(A225,[3]Export!$B$2:$O$417,8,0),"CHURN")</f>
        <v>NO RISK</v>
      </c>
      <c r="S225" s="3"/>
      <c r="T225" s="3"/>
      <c r="U225" s="3" t="s">
        <v>551</v>
      </c>
      <c r="V225" s="4" t="str" cm="1">
        <f t="array" ref="V225">IFERROR(
    IF(
        MATCH(2,1/((Y225:BH225&lt;&gt;0)*(Y225:BH225&lt;&gt;"")))-MATCH(1,INDEX((Y225:BH225&lt;&gt;0)*(Y225:BH225&lt;&gt;""),0),0)+1 &lt;= 12,
        "No",
        "Yes"
    ),
    "No"
)</f>
        <v>Yes</v>
      </c>
      <c r="W225" s="4" t="str" cm="1">
        <f t="array" ref="W225">IFERROR(
    IF(
        MATCH(2,1/((Y225:BH225&lt;&gt;0)*(Y225:BH225&lt;&gt;"")))-MATCH(1,INDEX((Y225:BH225&lt;&gt;0)*(Y225:BH225&lt;&gt;""),0),0)+1 &lt;= 24,
        "No",
        "Yes"
    ),
    "No"
)</f>
        <v>Yes</v>
      </c>
      <c r="X225" s="3"/>
      <c r="Y225" s="4">
        <v>0</v>
      </c>
      <c r="Z225" s="4">
        <v>0</v>
      </c>
      <c r="AA225" s="4">
        <v>0</v>
      </c>
      <c r="AB225" s="4">
        <v>0</v>
      </c>
      <c r="AC225" s="4">
        <v>0</v>
      </c>
      <c r="AD225" s="4">
        <v>0</v>
      </c>
      <c r="AE225" s="4">
        <v>0</v>
      </c>
      <c r="AF225" s="4">
        <v>0</v>
      </c>
      <c r="AG225" s="4">
        <v>0</v>
      </c>
      <c r="AH225" s="4">
        <v>0</v>
      </c>
      <c r="AI225" s="4">
        <v>1200</v>
      </c>
      <c r="AJ225" s="4">
        <v>1200</v>
      </c>
      <c r="AK225" s="4">
        <v>1200</v>
      </c>
      <c r="AL225" s="4">
        <v>1199.9986495833332</v>
      </c>
      <c r="AM225" s="4">
        <v>1199.9986495833332</v>
      </c>
      <c r="AN225" s="4">
        <v>1199.9986495833332</v>
      </c>
      <c r="AO225" s="4">
        <v>1199.9986495833332</v>
      </c>
      <c r="AP225" s="4">
        <v>1424.9976495833332</v>
      </c>
      <c r="AQ225" s="4">
        <v>1424.9976495833332</v>
      </c>
      <c r="AR225" s="4">
        <v>1424.9976495833332</v>
      </c>
      <c r="AS225" s="4">
        <v>1424.9976495833332</v>
      </c>
      <c r="AT225" s="4">
        <v>1424.9976495833332</v>
      </c>
      <c r="AU225" s="4">
        <v>1424.9976495833332</v>
      </c>
      <c r="AV225" s="4">
        <v>1424.9976495833332</v>
      </c>
      <c r="AW225" s="4">
        <v>1424.9976495833332</v>
      </c>
      <c r="AX225" s="4">
        <v>1424.9976495833332</v>
      </c>
      <c r="AY225" s="4">
        <v>1424.9976495833332</v>
      </c>
      <c r="AZ225" s="4">
        <v>1456.9976495833332</v>
      </c>
      <c r="BA225" s="4">
        <v>1492.9976495833332</v>
      </c>
      <c r="BB225" s="4">
        <v>1508.9976495833332</v>
      </c>
      <c r="BC225" s="4">
        <v>1508.9976495833332</v>
      </c>
      <c r="BD225" s="4">
        <v>1508.9976495833332</v>
      </c>
      <c r="BE225" s="4">
        <v>1508.9976495833332</v>
      </c>
      <c r="BF225" s="4">
        <v>1508.9976495833332</v>
      </c>
      <c r="BG225" s="4">
        <v>1508.9976495833332</v>
      </c>
      <c r="BH225" s="4">
        <v>1508.9976495833332</v>
      </c>
      <c r="BJ225" s="9"/>
    </row>
    <row r="226" spans="1:62" x14ac:dyDescent="0.25">
      <c r="A226" s="6" t="s">
        <v>218</v>
      </c>
      <c r="B226" s="6"/>
      <c r="C226" s="7" t="s">
        <v>525</v>
      </c>
      <c r="D226" s="3"/>
      <c r="E226" s="3">
        <f>VLOOKUP(A226,[2]Sheet1!$A$2:$E$627,5,0)</f>
        <v>8150</v>
      </c>
      <c r="F226" s="3">
        <f>VLOOKUP(A226,[2]Sheet1!$A$2:$F$627,6,0)</f>
        <v>10085</v>
      </c>
      <c r="G226" s="3">
        <f>VLOOKUP(A226,[2]Sheet1!$A$2:$G$627,7,0)</f>
        <v>0</v>
      </c>
      <c r="H226" s="4">
        <f t="shared" si="18"/>
        <v>11808.6</v>
      </c>
      <c r="I226" s="11">
        <f t="shared" si="19"/>
        <v>0.23742331288343557</v>
      </c>
      <c r="J226" s="11">
        <f t="shared" si="20"/>
        <v>-1</v>
      </c>
      <c r="K226" s="11">
        <f t="shared" si="21"/>
        <v>-1</v>
      </c>
      <c r="L226" s="11">
        <f>IF(S226="",((BG226-E226)/E226),((U226-E226)/E226))</f>
        <v>0.44890797546012273</v>
      </c>
      <c r="M226" s="3" t="str">
        <f>IF(S226="Churn","Churn",VLOOKUP(A226,'[1]Revenue_Engine_2025 Dec.25'!$C$14:$E$3993,3,0))</f>
        <v>Üretim</v>
      </c>
      <c r="N226" s="3">
        <f>IF(S226="",VLOOKUP(A226,[3]Export!$B$2:$F$417,5,0),"CHURN")</f>
        <v>0.21709319756370954</v>
      </c>
      <c r="O226" s="3">
        <f>(1-N226)*H226</f>
        <v>9245.0332672491786</v>
      </c>
      <c r="P226" s="3">
        <f t="shared" si="23"/>
        <v>7895.6151025699892</v>
      </c>
      <c r="Q226" s="3">
        <f t="shared" si="22"/>
        <v>0</v>
      </c>
      <c r="R226" s="3" t="str">
        <f>IF(S226&lt;&gt;"Churn",VLOOKUP(A226,[3]Export!$B$2:$O$417,8,0),"CHURN")</f>
        <v>NO RISK</v>
      </c>
      <c r="S226" s="3"/>
      <c r="T226" s="3"/>
      <c r="U226" s="3" t="s">
        <v>551</v>
      </c>
      <c r="V226" s="4" t="str" cm="1">
        <f t="array" ref="V226">IFERROR(
    IF(
        MATCH(2,1/((Y226:BH226&lt;&gt;0)*(Y226:BH226&lt;&gt;"")))-MATCH(1,INDEX((Y226:BH226&lt;&gt;0)*(Y226:BH226&lt;&gt;""),0),0)+1 &lt;= 12,
        "No",
        "Yes"
    ),
    "No"
)</f>
        <v>Yes</v>
      </c>
      <c r="W226" s="4" t="str" cm="1">
        <f t="array" ref="W226">IFERROR(
    IF(
        MATCH(2,1/((Y226:BH226&lt;&gt;0)*(Y226:BH226&lt;&gt;"")))-MATCH(1,INDEX((Y226:BH226&lt;&gt;0)*(Y226:BH226&lt;&gt;""),0),0)+1 &lt;= 24,
        "No",
        "Yes"
    ),
    "No"
)</f>
        <v>Yes</v>
      </c>
      <c r="X226" s="3"/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0</v>
      </c>
      <c r="AH226" s="4">
        <v>0</v>
      </c>
      <c r="AI226" s="4">
        <v>8150</v>
      </c>
      <c r="AJ226" s="4">
        <v>8150</v>
      </c>
      <c r="AK226" s="4">
        <v>8150</v>
      </c>
      <c r="AL226" s="4">
        <v>8150</v>
      </c>
      <c r="AM226" s="4">
        <v>8150</v>
      </c>
      <c r="AN226" s="4">
        <v>8150</v>
      </c>
      <c r="AO226" s="4">
        <v>8150</v>
      </c>
      <c r="AP226" s="4">
        <v>8150</v>
      </c>
      <c r="AQ226" s="4">
        <v>8150</v>
      </c>
      <c r="AR226" s="4">
        <v>9500</v>
      </c>
      <c r="AS226" s="4">
        <v>9500</v>
      </c>
      <c r="AT226" s="4">
        <v>10085</v>
      </c>
      <c r="AU226" s="4">
        <v>10085</v>
      </c>
      <c r="AV226" s="4">
        <v>10085</v>
      </c>
      <c r="AW226" s="4">
        <v>11808.6</v>
      </c>
      <c r="AX226" s="4">
        <v>11808.6</v>
      </c>
      <c r="AY226" s="4">
        <v>11808.6</v>
      </c>
      <c r="AZ226" s="4">
        <v>11808.599999999999</v>
      </c>
      <c r="BA226" s="4">
        <v>12308.6</v>
      </c>
      <c r="BB226" s="4">
        <v>11808.6</v>
      </c>
      <c r="BC226" s="4">
        <v>11808.6</v>
      </c>
      <c r="BD226" s="4">
        <v>11808.6</v>
      </c>
      <c r="BE226" s="4">
        <v>11808.6</v>
      </c>
      <c r="BF226" s="4">
        <v>11808.6</v>
      </c>
      <c r="BG226" s="4">
        <v>11808.6</v>
      </c>
      <c r="BH226" s="4">
        <v>11808.6</v>
      </c>
      <c r="BJ226" s="9"/>
    </row>
    <row r="227" spans="1:62" x14ac:dyDescent="0.25">
      <c r="A227" s="6" t="s">
        <v>219</v>
      </c>
      <c r="B227" s="6"/>
      <c r="C227" s="7" t="s">
        <v>526</v>
      </c>
      <c r="D227" s="3"/>
      <c r="E227" s="3">
        <f>VLOOKUP(A227,[2]Sheet1!$A$2:$E$627,5,0)</f>
        <v>2850</v>
      </c>
      <c r="F227" s="3">
        <f>VLOOKUP(A227,[2]Sheet1!$A$2:$F$627,6,0)</f>
        <v>3749.9946520000003</v>
      </c>
      <c r="G227" s="3">
        <f>VLOOKUP(A227,[2]Sheet1!$A$2:$G$627,7,0)</f>
        <v>0</v>
      </c>
      <c r="H227" s="4">
        <f t="shared" si="18"/>
        <v>3211.3268779999999</v>
      </c>
      <c r="I227" s="11">
        <f t="shared" si="19"/>
        <v>0.31578759719298255</v>
      </c>
      <c r="J227" s="11">
        <f t="shared" si="20"/>
        <v>-1</v>
      </c>
      <c r="K227" s="11">
        <f t="shared" si="21"/>
        <v>-1</v>
      </c>
      <c r="L227" s="11">
        <f>IF(S227="",((BG227-E227)/E227),((U227-E227)/E227))</f>
        <v>0.12678136070175433</v>
      </c>
      <c r="M227" s="3" t="str">
        <f>IF(S227="Churn","Churn",VLOOKUP(A227,'[1]Revenue_Engine_2025 Dec.25'!$C$14:$E$3993,3,0))</f>
        <v>Üretim</v>
      </c>
      <c r="N227" s="3">
        <f>IF(S227="",VLOOKUP(A227,[3]Export!$B$2:$F$417,5,0),"CHURN")</f>
        <v>0.24727903215386676</v>
      </c>
      <c r="O227" s="3">
        <f>(1-N227)*H227</f>
        <v>2417.2330756784613</v>
      </c>
      <c r="P227" s="3">
        <f t="shared" si="23"/>
        <v>2822.6996038712641</v>
      </c>
      <c r="Q227" s="3">
        <f t="shared" si="22"/>
        <v>0</v>
      </c>
      <c r="R227" s="3" t="str">
        <f>IF(S227&lt;&gt;"Churn",VLOOKUP(A227,[3]Export!$B$2:$O$417,8,0),"CHURN")</f>
        <v>NO RISK</v>
      </c>
      <c r="S227" s="3"/>
      <c r="T227" s="3"/>
      <c r="U227" s="3" t="s">
        <v>551</v>
      </c>
      <c r="V227" s="4" t="str" cm="1">
        <f t="array" ref="V227">IFERROR(
    IF(
        MATCH(2,1/((Y227:BH227&lt;&gt;0)*(Y227:BH227&lt;&gt;"")))-MATCH(1,INDEX((Y227:BH227&lt;&gt;0)*(Y227:BH227&lt;&gt;""),0),0)+1 &lt;= 12,
        "No",
        "Yes"
    ),
    "No"
)</f>
        <v>Yes</v>
      </c>
      <c r="W227" s="4" t="str" cm="1">
        <f t="array" ref="W227">IFERROR(
    IF(
        MATCH(2,1/((Y227:BH227&lt;&gt;0)*(Y227:BH227&lt;&gt;"")))-MATCH(1,INDEX((Y227:BH227&lt;&gt;0)*(Y227:BH227&lt;&gt;""),0),0)+1 &lt;= 24,
        "No",
        "Yes"
    ),
    "No"
)</f>
        <v>Yes</v>
      </c>
      <c r="X227" s="3"/>
      <c r="Y227" s="4">
        <v>0</v>
      </c>
      <c r="Z227" s="4">
        <v>0</v>
      </c>
      <c r="AA227" s="4">
        <v>0</v>
      </c>
      <c r="AB227" s="4">
        <v>0</v>
      </c>
      <c r="AC227" s="4">
        <v>0</v>
      </c>
      <c r="AD227" s="4">
        <v>0</v>
      </c>
      <c r="AE227" s="4">
        <v>0</v>
      </c>
      <c r="AF227" s="4">
        <v>0</v>
      </c>
      <c r="AG227" s="4">
        <v>0</v>
      </c>
      <c r="AH227" s="4">
        <v>0</v>
      </c>
      <c r="AI227" s="4">
        <v>2850</v>
      </c>
      <c r="AJ227" s="4">
        <v>2849.9946520000003</v>
      </c>
      <c r="AK227" s="4">
        <v>2849.9946520000003</v>
      </c>
      <c r="AL227" s="4">
        <v>2849.9946520000003</v>
      </c>
      <c r="AM227" s="4">
        <v>3599.9946520000003</v>
      </c>
      <c r="AN227" s="4">
        <v>3599.9946520000003</v>
      </c>
      <c r="AO227" s="4">
        <v>3599.9946520000003</v>
      </c>
      <c r="AP227" s="4">
        <v>3712.4946520000003</v>
      </c>
      <c r="AQ227" s="4">
        <v>3749.9946520000003</v>
      </c>
      <c r="AR227" s="4">
        <v>3749.9946520000003</v>
      </c>
      <c r="AS227" s="4">
        <v>3749.9946520000003</v>
      </c>
      <c r="AT227" s="4">
        <v>3749.9946520000003</v>
      </c>
      <c r="AU227" s="4">
        <v>3749.9946520000003</v>
      </c>
      <c r="AV227" s="4">
        <v>4099.9643070000002</v>
      </c>
      <c r="AW227" s="4">
        <v>4099.9643070000002</v>
      </c>
      <c r="AX227" s="4">
        <v>4099.9643070000002</v>
      </c>
      <c r="AY227" s="4">
        <v>4099.9573780000001</v>
      </c>
      <c r="AZ227" s="4">
        <v>4099.9573780000001</v>
      </c>
      <c r="BA227" s="4">
        <v>4099.9573780000001</v>
      </c>
      <c r="BB227" s="4">
        <v>3201.3268779999999</v>
      </c>
      <c r="BC227" s="4">
        <v>3201.3268779999999</v>
      </c>
      <c r="BD227" s="4">
        <v>3201.3268779999999</v>
      </c>
      <c r="BE227" s="4">
        <v>3201.3268779999999</v>
      </c>
      <c r="BF227" s="4">
        <v>3211.3268779999999</v>
      </c>
      <c r="BG227" s="4">
        <v>3211.3268779999999</v>
      </c>
      <c r="BH227" s="4">
        <v>3201.3268779999999</v>
      </c>
      <c r="BJ227" s="9"/>
    </row>
    <row r="228" spans="1:62" x14ac:dyDescent="0.25">
      <c r="A228" s="6" t="s">
        <v>220</v>
      </c>
      <c r="B228" s="6"/>
      <c r="C228" s="7" t="s">
        <v>526</v>
      </c>
      <c r="D228" s="3"/>
      <c r="E228" s="3">
        <f>VLOOKUP(A228,[2]Sheet1!$A$2:$E$627,5,0)</f>
        <v>450.76666666666665</v>
      </c>
      <c r="F228" s="3">
        <f>VLOOKUP(A228,[2]Sheet1!$A$2:$F$627,6,0)</f>
        <v>188.16666666666666</v>
      </c>
      <c r="G228" s="3">
        <f>VLOOKUP(A228,[2]Sheet1!$A$2:$G$627,7,0)</f>
        <v>0</v>
      </c>
      <c r="H228" s="4">
        <f t="shared" si="18"/>
        <v>166.16666666666666</v>
      </c>
      <c r="I228" s="11">
        <f t="shared" si="19"/>
        <v>-0.58256304074539678</v>
      </c>
      <c r="J228" s="11">
        <f t="shared" si="20"/>
        <v>-1</v>
      </c>
      <c r="K228" s="11">
        <f t="shared" si="21"/>
        <v>-1</v>
      </c>
      <c r="L228" s="11">
        <f>IF(S228="",((BG228-E228)/E228),((U228-E228)/E228))</f>
        <v>-0.63136877911705991</v>
      </c>
      <c r="M228" s="3" t="str">
        <f>IF(S228="Churn","Churn",VLOOKUP(A228,'[1]Revenue_Engine_2025 Dec.25'!$C$14:$E$3993,3,0))</f>
        <v>Diğer</v>
      </c>
      <c r="N228" s="3">
        <f>IF(S228="",VLOOKUP(A228,[3]Export!$B$2:$F$417,5,0),"CHURN")</f>
        <v>0.12136409227683051</v>
      </c>
      <c r="O228" s="3">
        <f>(1-N228)*H228</f>
        <v>145.99999999999997</v>
      </c>
      <c r="P228" s="3">
        <f t="shared" si="23"/>
        <v>165.32998996990972</v>
      </c>
      <c r="Q228" s="3">
        <f t="shared" si="22"/>
        <v>0</v>
      </c>
      <c r="R228" s="3" t="str">
        <f>IF(S228&lt;&gt;"Churn",VLOOKUP(A228,[3]Export!$B$2:$O$417,8,0),"CHURN")</f>
        <v>NO RISK</v>
      </c>
      <c r="S228" s="3"/>
      <c r="T228" s="3"/>
      <c r="U228" s="3" t="s">
        <v>551</v>
      </c>
      <c r="V228" s="4" t="str" cm="1">
        <f t="array" ref="V228">IFERROR(
    IF(
        MATCH(2,1/((Y228:BH228&lt;&gt;0)*(Y228:BH228&lt;&gt;"")))-MATCH(1,INDEX((Y228:BH228&lt;&gt;0)*(Y228:BH228&lt;&gt;""),0),0)+1 &lt;= 12,
        "No",
        "Yes"
    ),
    "No"
)</f>
        <v>Yes</v>
      </c>
      <c r="W228" s="4" t="str" cm="1">
        <f t="array" ref="W228">IFERROR(
    IF(
        MATCH(2,1/((Y228:BH228&lt;&gt;0)*(Y228:BH228&lt;&gt;"")))-MATCH(1,INDEX((Y228:BH228&lt;&gt;0)*(Y228:BH228&lt;&gt;""),0),0)+1 &lt;= 24,
        "No",
        "Yes"
    ),
    "No"
)</f>
        <v>Yes</v>
      </c>
      <c r="X228" s="3"/>
      <c r="Y228" s="4">
        <v>0</v>
      </c>
      <c r="Z228" s="4">
        <v>0</v>
      </c>
      <c r="AA228" s="4">
        <v>0</v>
      </c>
      <c r="AB228" s="4">
        <v>0</v>
      </c>
      <c r="AC228" s="4">
        <v>0</v>
      </c>
      <c r="AD228" s="4">
        <v>0</v>
      </c>
      <c r="AE228" s="4">
        <v>0</v>
      </c>
      <c r="AF228" s="4">
        <v>0</v>
      </c>
      <c r="AG228" s="4">
        <v>0</v>
      </c>
      <c r="AH228" s="4">
        <v>0</v>
      </c>
      <c r="AI228" s="4">
        <v>428.76670000000001</v>
      </c>
      <c r="AJ228" s="4">
        <v>428.76666666666665</v>
      </c>
      <c r="AK228" s="4">
        <v>450.76666666666665</v>
      </c>
      <c r="AL228" s="4">
        <v>506.76666666666665</v>
      </c>
      <c r="AM228" s="4">
        <v>506.76666666666665</v>
      </c>
      <c r="AN228" s="4">
        <v>506.76666666666665</v>
      </c>
      <c r="AO228" s="4">
        <v>506.76666666666665</v>
      </c>
      <c r="AP228" s="4">
        <v>506.76666666666665</v>
      </c>
      <c r="AQ228" s="4">
        <v>506.76666666666665</v>
      </c>
      <c r="AR228" s="4">
        <v>506.76666666666665</v>
      </c>
      <c r="AS228" s="4">
        <v>506.76666666666665</v>
      </c>
      <c r="AT228" s="4">
        <v>450.76666666666665</v>
      </c>
      <c r="AU228" s="4">
        <v>188.16666666666666</v>
      </c>
      <c r="AV228" s="4">
        <v>188.16666666666666</v>
      </c>
      <c r="AW228" s="4">
        <v>166.16666666666666</v>
      </c>
      <c r="AX228" s="4">
        <v>166.16666666666666</v>
      </c>
      <c r="AY228" s="4">
        <v>166.16666666666666</v>
      </c>
      <c r="AZ228" s="4">
        <v>166.16666666666666</v>
      </c>
      <c r="BA228" s="4">
        <v>166.16666666666666</v>
      </c>
      <c r="BB228" s="4">
        <v>166.16666666666666</v>
      </c>
      <c r="BC228" s="4">
        <v>166.16666666666666</v>
      </c>
      <c r="BD228" s="4">
        <v>166.16666666666666</v>
      </c>
      <c r="BE228" s="4">
        <v>166.16666666666666</v>
      </c>
      <c r="BF228" s="4">
        <v>166.16666666666666</v>
      </c>
      <c r="BG228" s="4">
        <v>166.16666666666666</v>
      </c>
      <c r="BH228" s="4">
        <v>166.16666666666666</v>
      </c>
      <c r="BJ228" s="9"/>
    </row>
    <row r="229" spans="1:62" x14ac:dyDescent="0.25">
      <c r="A229" s="6" t="s">
        <v>483</v>
      </c>
      <c r="B229" s="6"/>
      <c r="C229" s="7" t="s">
        <v>526</v>
      </c>
      <c r="D229" s="3"/>
      <c r="E229" s="3">
        <f>VLOOKUP(A229,[2]Sheet1!$A$2:$E$627,5,0)</f>
        <v>103.2</v>
      </c>
      <c r="F229" s="3">
        <f>VLOOKUP(A229,[2]Sheet1!$A$2:$F$627,6,0)</f>
        <v>0</v>
      </c>
      <c r="G229" s="3">
        <f>VLOOKUP(A229,[2]Sheet1!$A$2:$G$627,7,0)</f>
        <v>0</v>
      </c>
      <c r="H229" s="4">
        <f t="shared" si="18"/>
        <v>86</v>
      </c>
      <c r="I229" s="11">
        <f t="shared" si="19"/>
        <v>-1</v>
      </c>
      <c r="J229" s="11">
        <f t="shared" si="20"/>
        <v>-1</v>
      </c>
      <c r="K229" s="11" t="e">
        <f t="shared" si="21"/>
        <v>#DIV/0!</v>
      </c>
      <c r="L229" s="11">
        <f>IF(S229="",((BG229-E229)/E229),((U229-E229)/E229))</f>
        <v>-0.16666666666666669</v>
      </c>
      <c r="M229" s="3" t="str">
        <f>IF(S229="Churn","Churn",VLOOKUP(A229,'[1]Revenue_Engine_2025 Dec.25'!$C$14:$E$3993,3,0))</f>
        <v>Diğer</v>
      </c>
      <c r="N229" s="3">
        <f>IF(S229="",VLOOKUP(A229,[3]Export!$B$2:$F$417,5,0),"CHURN")</f>
        <v>0</v>
      </c>
      <c r="O229" s="3">
        <f>(1-N229)*H229</f>
        <v>86</v>
      </c>
      <c r="P229" s="3">
        <f t="shared" si="23"/>
        <v>0</v>
      </c>
      <c r="Q229" s="3">
        <f t="shared" si="22"/>
        <v>0</v>
      </c>
      <c r="R229" s="3" t="str">
        <f>IF(S229&lt;&gt;"Churn",VLOOKUP(A229,[3]Export!$B$2:$O$417,8,0),"CHURN")</f>
        <v>NO RISK</v>
      </c>
      <c r="S229" s="3"/>
      <c r="T229" s="3"/>
      <c r="U229" s="3" t="s">
        <v>551</v>
      </c>
      <c r="V229" s="4" t="str" cm="1">
        <f t="array" ref="V229">IFERROR(
    IF(
        MATCH(2,1/((Y229:BH229&lt;&gt;0)*(Y229:BH229&lt;&gt;"")))-MATCH(1,INDEX((Y229:BH229&lt;&gt;0)*(Y229:BH229&lt;&gt;""),0),0)+1 &lt;= 12,
        "No",
        "Yes"
    ),
    "No"
)</f>
        <v>Yes</v>
      </c>
      <c r="W229" s="4" t="str" cm="1">
        <f t="array" ref="W229">IFERROR(
    IF(
        MATCH(2,1/((Y229:BH229&lt;&gt;0)*(Y229:BH229&lt;&gt;"")))-MATCH(1,INDEX((Y229:BH229&lt;&gt;0)*(Y229:BH229&lt;&gt;""),0),0)+1 &lt;= 24,
        "No",
        "Yes"
    ),
    "No"
)</f>
        <v>Yes</v>
      </c>
      <c r="X229" s="3"/>
      <c r="Y229" s="4">
        <v>0</v>
      </c>
      <c r="Z229" s="4">
        <v>0</v>
      </c>
      <c r="AA229" s="4">
        <v>0</v>
      </c>
      <c r="AB229" s="4">
        <v>0</v>
      </c>
      <c r="AC229" s="4">
        <v>0</v>
      </c>
      <c r="AD229" s="4">
        <v>0</v>
      </c>
      <c r="AE229" s="4">
        <v>0</v>
      </c>
      <c r="AF229" s="4">
        <v>0</v>
      </c>
      <c r="AG229" s="4">
        <v>0</v>
      </c>
      <c r="AH229" s="4">
        <v>0</v>
      </c>
      <c r="AI229" s="4">
        <v>103.2</v>
      </c>
      <c r="AJ229" s="4">
        <v>103.2</v>
      </c>
      <c r="AK229" s="4">
        <v>103.2</v>
      </c>
      <c r="AL229" s="4">
        <v>103.2</v>
      </c>
      <c r="AM229" s="4">
        <v>103.2</v>
      </c>
      <c r="AN229" s="4">
        <v>103.2</v>
      </c>
      <c r="AO229" s="4">
        <v>103.2</v>
      </c>
      <c r="AP229" s="4">
        <v>103.2</v>
      </c>
      <c r="AQ229" s="4">
        <v>103.2</v>
      </c>
      <c r="AR229" s="4">
        <v>103.2</v>
      </c>
      <c r="AS229" s="4">
        <v>103.2</v>
      </c>
      <c r="AT229" s="4">
        <v>103.2</v>
      </c>
      <c r="AU229" s="4">
        <v>103.2</v>
      </c>
      <c r="AV229" s="4">
        <v>0</v>
      </c>
      <c r="AW229" s="4">
        <v>0</v>
      </c>
      <c r="AX229" s="4">
        <v>86</v>
      </c>
      <c r="AY229" s="4">
        <v>86</v>
      </c>
      <c r="AZ229" s="4">
        <v>86</v>
      </c>
      <c r="BA229" s="4">
        <v>86</v>
      </c>
      <c r="BB229" s="4">
        <v>86</v>
      </c>
      <c r="BC229" s="4">
        <v>86</v>
      </c>
      <c r="BD229" s="4">
        <v>86</v>
      </c>
      <c r="BE229" s="4">
        <v>86</v>
      </c>
      <c r="BF229" s="4">
        <v>86</v>
      </c>
      <c r="BG229" s="4">
        <v>86</v>
      </c>
      <c r="BH229" s="4">
        <v>86</v>
      </c>
      <c r="BJ229" s="9"/>
    </row>
    <row r="230" spans="1:62" x14ac:dyDescent="0.25">
      <c r="A230" s="6" t="s">
        <v>384</v>
      </c>
      <c r="B230" s="6"/>
      <c r="C230" s="7" t="s">
        <v>526</v>
      </c>
      <c r="D230" s="3"/>
      <c r="E230" s="3">
        <f>VLOOKUP(A230,[2]Sheet1!$A$2:$E$627,5,0)</f>
        <v>2250.0102189999998</v>
      </c>
      <c r="F230" s="3">
        <f>VLOOKUP(A230,[2]Sheet1!$A$2:$F$627,6,0)</f>
        <v>0</v>
      </c>
      <c r="G230" s="3">
        <f>VLOOKUP(A230,[2]Sheet1!$A$2:$G$627,7,0)</f>
        <v>0</v>
      </c>
      <c r="H230" s="4">
        <f t="shared" si="18"/>
        <v>2264.0102189999998</v>
      </c>
      <c r="I230" s="11">
        <f t="shared" si="19"/>
        <v>-1</v>
      </c>
      <c r="J230" s="11">
        <f t="shared" si="20"/>
        <v>-1</v>
      </c>
      <c r="K230" s="11" t="e">
        <f t="shared" si="21"/>
        <v>#DIV/0!</v>
      </c>
      <c r="L230" s="11">
        <f>IF(S230="",((BG230-E230)/E230),((U230-E230)/E230))</f>
        <v>6.2221939623999557E-3</v>
      </c>
      <c r="M230" s="3" t="str">
        <f>IF(S230="Churn","Churn",VLOOKUP(A230,'[1]Revenue_Engine_2025 Dec.25'!$C$14:$E$3993,3,0))</f>
        <v>Enerji</v>
      </c>
      <c r="N230" s="3">
        <f>IF(S230="",VLOOKUP(A230,[3]Export!$B$2:$F$417,5,0),"CHURN")</f>
        <v>8.4142729746221154E-2</v>
      </c>
      <c r="O230" s="3">
        <f>(1-N230)*H230</f>
        <v>2073.5102189999998</v>
      </c>
      <c r="P230" s="3">
        <f t="shared" si="23"/>
        <v>0</v>
      </c>
      <c r="Q230" s="3">
        <f t="shared" si="22"/>
        <v>0</v>
      </c>
      <c r="R230" s="3" t="str">
        <f>IF(S230&lt;&gt;"Churn",VLOOKUP(A230,[3]Export!$B$2:$O$417,8,0),"CHURN")</f>
        <v>NO RISK</v>
      </c>
      <c r="S230" s="3"/>
      <c r="T230" s="3"/>
      <c r="U230" s="3" t="s">
        <v>551</v>
      </c>
      <c r="V230" s="4" t="str" cm="1">
        <f t="array" ref="V230">IFERROR(
    IF(
        MATCH(2,1/((Y230:BH230&lt;&gt;0)*(Y230:BH230&lt;&gt;"")))-MATCH(1,INDEX((Y230:BH230&lt;&gt;0)*(Y230:BH230&lt;&gt;""),0),0)+1 &lt;= 12,
        "No",
        "Yes"
    ),
    "No"
)</f>
        <v>No</v>
      </c>
      <c r="W230" s="4" t="str" cm="1">
        <f t="array" ref="W230">IFERROR(
    IF(
        MATCH(2,1/((Y230:BH230&lt;&gt;0)*(Y230:BH230&lt;&gt;"")))-MATCH(1,INDEX((Y230:BH230&lt;&gt;0)*(Y230:BH230&lt;&gt;""),0),0)+1 &lt;= 24,
        "No",
        "Yes"
    ),
    "No"
)</f>
        <v>No</v>
      </c>
      <c r="X230" s="3"/>
      <c r="Y230" s="4">
        <v>0</v>
      </c>
      <c r="Z230" s="4">
        <v>0</v>
      </c>
      <c r="AA230" s="4">
        <v>0</v>
      </c>
      <c r="AB230" s="4">
        <v>0</v>
      </c>
      <c r="AC230" s="4">
        <v>0</v>
      </c>
      <c r="AD230" s="4">
        <v>0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AX230" s="4">
        <v>0</v>
      </c>
      <c r="AY230" s="4">
        <v>0</v>
      </c>
      <c r="AZ230" s="4">
        <v>0</v>
      </c>
      <c r="BA230" s="4">
        <v>0</v>
      </c>
      <c r="BB230" s="4">
        <v>0</v>
      </c>
      <c r="BC230" s="4">
        <v>1249.999</v>
      </c>
      <c r="BD230" s="4">
        <v>1249.999</v>
      </c>
      <c r="BE230" s="4">
        <v>2250.0102189999998</v>
      </c>
      <c r="BF230" s="4">
        <v>2250.0102189999998</v>
      </c>
      <c r="BG230" s="4">
        <v>2264.0102189999998</v>
      </c>
      <c r="BH230" s="4">
        <v>2264.0102189999998</v>
      </c>
      <c r="BJ230" s="9"/>
    </row>
    <row r="231" spans="1:62" x14ac:dyDescent="0.25">
      <c r="A231" s="6" t="s">
        <v>221</v>
      </c>
      <c r="B231" s="6"/>
      <c r="C231" s="7" t="s">
        <v>525</v>
      </c>
      <c r="D231" s="3"/>
      <c r="E231" s="3">
        <f>VLOOKUP(A231,[2]Sheet1!$A$2:$E$627,5,0)</f>
        <v>9800</v>
      </c>
      <c r="F231" s="3">
        <f>VLOOKUP(A231,[2]Sheet1!$A$2:$F$627,6,0)</f>
        <v>9800</v>
      </c>
      <c r="G231" s="3">
        <f>VLOOKUP(A231,[2]Sheet1!$A$2:$G$627,7,0)</f>
        <v>0</v>
      </c>
      <c r="H231" s="4">
        <f t="shared" si="18"/>
        <v>9800</v>
      </c>
      <c r="I231" s="11">
        <f t="shared" si="19"/>
        <v>0</v>
      </c>
      <c r="J231" s="11">
        <f t="shared" si="20"/>
        <v>-1</v>
      </c>
      <c r="K231" s="11">
        <f t="shared" si="21"/>
        <v>-1</v>
      </c>
      <c r="L231" s="11">
        <f>IF(S231="",((BG231-E231)/E231),((U231-E231)/E231))</f>
        <v>0</v>
      </c>
      <c r="M231" s="3" t="str">
        <f>IF(S231="Churn","Churn",VLOOKUP(A231,'[1]Revenue_Engine_2025 Dec.25'!$C$14:$E$3993,3,0))</f>
        <v>Genel</v>
      </c>
      <c r="N231" s="3">
        <f>IF(S231="",VLOOKUP(A231,[3]Export!$B$2:$F$417,5,0),"CHURN")</f>
        <v>0</v>
      </c>
      <c r="O231" s="3">
        <f>(1-N231)*H231</f>
        <v>9800</v>
      </c>
      <c r="P231" s="3">
        <f t="shared" si="23"/>
        <v>9800</v>
      </c>
      <c r="Q231" s="3">
        <f t="shared" si="22"/>
        <v>0</v>
      </c>
      <c r="R231" s="3" t="str">
        <f>IF(S231&lt;&gt;"Churn",VLOOKUP(A231,[3]Export!$B$2:$O$417,8,0),"CHURN")</f>
        <v>HIGH RISK</v>
      </c>
      <c r="S231" s="3"/>
      <c r="T231" s="3"/>
      <c r="U231" s="3" t="s">
        <v>551</v>
      </c>
      <c r="V231" s="4" t="str" cm="1">
        <f t="array" ref="V231">IFERROR(
    IF(
        MATCH(2,1/((Y231:BH231&lt;&gt;0)*(Y231:BH231&lt;&gt;"")))-MATCH(1,INDEX((Y231:BH231&lt;&gt;0)*(Y231:BH231&lt;&gt;""),0),0)+1 &lt;= 12,
        "No",
        "Yes"
    ),
    "No"
)</f>
        <v>Yes</v>
      </c>
      <c r="W231" s="4" t="str" cm="1">
        <f t="array" ref="W231">IFERROR(
    IF(
        MATCH(2,1/((Y231:BH231&lt;&gt;0)*(Y231:BH231&lt;&gt;"")))-MATCH(1,INDEX((Y231:BH231&lt;&gt;0)*(Y231:BH231&lt;&gt;""),0),0)+1 &lt;= 24,
        "No",
        "Yes"
    ),
    "No"
)</f>
        <v>Yes</v>
      </c>
      <c r="X231" s="3"/>
      <c r="Y231" s="4">
        <v>0</v>
      </c>
      <c r="Z231" s="4">
        <v>0</v>
      </c>
      <c r="AA231" s="4">
        <v>0</v>
      </c>
      <c r="AB231" s="4">
        <v>0</v>
      </c>
      <c r="AC231" s="4">
        <v>0</v>
      </c>
      <c r="AD231" s="4">
        <v>0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3793.55</v>
      </c>
      <c r="AK231" s="4">
        <v>9800</v>
      </c>
      <c r="AL231" s="4">
        <v>9800</v>
      </c>
      <c r="AM231" s="4">
        <v>9800</v>
      </c>
      <c r="AN231" s="4">
        <v>9800</v>
      </c>
      <c r="AO231" s="4">
        <v>9800</v>
      </c>
      <c r="AP231" s="4">
        <v>9800</v>
      </c>
      <c r="AQ231" s="4">
        <v>9800</v>
      </c>
      <c r="AR231" s="4">
        <v>9800</v>
      </c>
      <c r="AS231" s="4">
        <v>9800</v>
      </c>
      <c r="AT231" s="4">
        <v>9800</v>
      </c>
      <c r="AU231" s="4">
        <v>9800</v>
      </c>
      <c r="AV231" s="4">
        <v>9800</v>
      </c>
      <c r="AW231" s="4">
        <v>9800</v>
      </c>
      <c r="AX231" s="4">
        <v>9800</v>
      </c>
      <c r="AY231" s="4">
        <v>9800</v>
      </c>
      <c r="AZ231" s="4">
        <v>9800</v>
      </c>
      <c r="BA231" s="4">
        <v>9800</v>
      </c>
      <c r="BB231" s="4">
        <v>9800</v>
      </c>
      <c r="BC231" s="4">
        <v>9800</v>
      </c>
      <c r="BD231" s="4">
        <v>9800</v>
      </c>
      <c r="BE231" s="4">
        <v>9800</v>
      </c>
      <c r="BF231" s="4">
        <v>9800</v>
      </c>
      <c r="BG231" s="4">
        <v>9800</v>
      </c>
      <c r="BH231" s="4">
        <v>9800</v>
      </c>
      <c r="BJ231" s="9"/>
    </row>
    <row r="232" spans="1:62" x14ac:dyDescent="0.25">
      <c r="A232" s="6" t="s">
        <v>222</v>
      </c>
      <c r="B232" s="6"/>
      <c r="C232" s="7" t="s">
        <v>526</v>
      </c>
      <c r="D232" s="3"/>
      <c r="E232" s="3">
        <f>VLOOKUP(A232,[2]Sheet1!$A$2:$E$627,5,0)</f>
        <v>99.333333416666676</v>
      </c>
      <c r="F232" s="3">
        <f>VLOOKUP(A232,[2]Sheet1!$A$2:$F$627,6,0)</f>
        <v>99.330196583333347</v>
      </c>
      <c r="G232" s="3">
        <f>VLOOKUP(A232,[2]Sheet1!$A$2:$G$627,7,0)</f>
        <v>0</v>
      </c>
      <c r="H232" s="4">
        <f t="shared" si="18"/>
        <v>104.99189800000002</v>
      </c>
      <c r="I232" s="11">
        <f t="shared" si="19"/>
        <v>-3.1578859033867092E-5</v>
      </c>
      <c r="J232" s="11">
        <f t="shared" si="20"/>
        <v>-1</v>
      </c>
      <c r="K232" s="11">
        <f t="shared" si="21"/>
        <v>-1</v>
      </c>
      <c r="L232" s="11">
        <f>IF(S232="",((BG232-E232)/E232),((U232-E232)/E232))</f>
        <v>-3.1578859033867092E-5</v>
      </c>
      <c r="M232" s="3" t="str">
        <f>IF(S232="Churn","Churn",VLOOKUP(A232,'[1]Revenue_Engine_2025 Dec.25'!$C$14:$E$3993,3,0))</f>
        <v>Diğer</v>
      </c>
      <c r="N232" s="3">
        <f>IF(S232="",VLOOKUP(A232,[3]Export!$B$2:$F$417,5,0),"CHURN")</f>
        <v>0</v>
      </c>
      <c r="O232" s="3">
        <f>(1-N232)*H232</f>
        <v>104.99189800000002</v>
      </c>
      <c r="P232" s="3">
        <f t="shared" si="23"/>
        <v>99.330196583333347</v>
      </c>
      <c r="Q232" s="3">
        <f t="shared" si="22"/>
        <v>0</v>
      </c>
      <c r="R232" s="3" t="str">
        <f>IF(S232&lt;&gt;"Churn",VLOOKUP(A232,[3]Export!$B$2:$O$417,8,0),"CHURN")</f>
        <v>NO RISK</v>
      </c>
      <c r="S232" s="3"/>
      <c r="T232" s="3"/>
      <c r="U232" s="3" t="s">
        <v>551</v>
      </c>
      <c r="V232" s="4" t="str" cm="1">
        <f t="array" ref="V232">IFERROR(
    IF(
        MATCH(2,1/((Y232:BH232&lt;&gt;0)*(Y232:BH232&lt;&gt;"")))-MATCH(1,INDEX((Y232:BH232&lt;&gt;0)*(Y232:BH232&lt;&gt;""),0),0)+1 &lt;= 12,
        "No",
        "Yes"
    ),
    "No"
)</f>
        <v>Yes</v>
      </c>
      <c r="W232" s="4" t="str" cm="1">
        <f t="array" ref="W232">IFERROR(
    IF(
        MATCH(2,1/((Y232:BH232&lt;&gt;0)*(Y232:BH232&lt;&gt;"")))-MATCH(1,INDEX((Y232:BH232&lt;&gt;0)*(Y232:BH232&lt;&gt;""),0),0)+1 &lt;= 24,
        "No",
        "Yes"
    ),
    "No"
)</f>
        <v>Yes</v>
      </c>
      <c r="X232" s="3"/>
      <c r="Y232" s="4">
        <v>0</v>
      </c>
      <c r="Z232" s="4">
        <v>0</v>
      </c>
      <c r="AA232" s="4">
        <v>0</v>
      </c>
      <c r="AB232" s="4">
        <v>0</v>
      </c>
      <c r="AC232" s="4">
        <v>0</v>
      </c>
      <c r="AD232" s="4">
        <v>0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99.333333416666676</v>
      </c>
      <c r="AK232" s="4">
        <v>99.333333416666676</v>
      </c>
      <c r="AL232" s="4">
        <v>99.333333416666676</v>
      </c>
      <c r="AM232" s="4">
        <v>99.333333416666676</v>
      </c>
      <c r="AN232" s="4">
        <v>99.333333416666676</v>
      </c>
      <c r="AO232" s="4">
        <v>99.333333416666676</v>
      </c>
      <c r="AP232" s="4">
        <v>99.333333416666676</v>
      </c>
      <c r="AQ232" s="4">
        <v>99.333333416666676</v>
      </c>
      <c r="AR232" s="4">
        <v>99.333333416666676</v>
      </c>
      <c r="AS232" s="4">
        <v>99.333333416666676</v>
      </c>
      <c r="AT232" s="4">
        <v>99.333333416666676</v>
      </c>
      <c r="AU232" s="4">
        <v>99.333333416666676</v>
      </c>
      <c r="AV232" s="4">
        <v>99.330196583333347</v>
      </c>
      <c r="AW232" s="4">
        <v>99.330196583333347</v>
      </c>
      <c r="AX232" s="4">
        <v>99.330196583333347</v>
      </c>
      <c r="AY232" s="4">
        <v>99.330196583333347</v>
      </c>
      <c r="AZ232" s="4">
        <v>99.330196583333347</v>
      </c>
      <c r="BA232" s="4">
        <v>99.330196583333347</v>
      </c>
      <c r="BB232" s="4">
        <v>99.330196583333347</v>
      </c>
      <c r="BC232" s="4">
        <v>99.330196583333347</v>
      </c>
      <c r="BD232" s="4">
        <v>99.330196583333347</v>
      </c>
      <c r="BE232" s="4">
        <v>99.330196583333347</v>
      </c>
      <c r="BF232" s="4">
        <v>99.330196583333347</v>
      </c>
      <c r="BG232" s="4">
        <v>99.330196583333347</v>
      </c>
      <c r="BH232" s="4">
        <v>104.99189800000002</v>
      </c>
      <c r="BJ232" s="9"/>
    </row>
    <row r="233" spans="1:62" x14ac:dyDescent="0.25">
      <c r="A233" s="6" t="s">
        <v>223</v>
      </c>
      <c r="B233" s="6"/>
      <c r="C233" s="7" t="s">
        <v>526</v>
      </c>
      <c r="D233" s="3"/>
      <c r="E233" s="3">
        <f>VLOOKUP(A233,[2]Sheet1!$A$2:$E$627,5,0)</f>
        <v>165</v>
      </c>
      <c r="F233" s="3">
        <f>VLOOKUP(A233,[2]Sheet1!$A$2:$F$627,6,0)</f>
        <v>175</v>
      </c>
      <c r="G233" s="3">
        <f>VLOOKUP(A233,[2]Sheet1!$A$2:$G$627,7,0)</f>
        <v>0</v>
      </c>
      <c r="H233" s="4">
        <f t="shared" si="18"/>
        <v>0</v>
      </c>
      <c r="I233" s="11">
        <f t="shared" si="19"/>
        <v>6.0606060606060608E-2</v>
      </c>
      <c r="J233" s="11">
        <f t="shared" si="20"/>
        <v>-1</v>
      </c>
      <c r="K233" s="11">
        <f t="shared" si="21"/>
        <v>-1</v>
      </c>
      <c r="L233" s="11">
        <f>IF(S233="",((BG233-E233)/E233),((U233-E233)/E233))</f>
        <v>6.0606060606060608E-2</v>
      </c>
      <c r="M233" s="3" t="str">
        <f>IF(S233="Churn","Churn",VLOOKUP(A233,'[1]Revenue_Engine_2025 Dec.25'!$C$14:$E$3993,3,0))</f>
        <v>Churn</v>
      </c>
      <c r="N233" s="3" t="str">
        <f>IF(S233="",VLOOKUP(A233,[3]Export!$B$2:$F$417,5,0),"CHURN")</f>
        <v>CHURN</v>
      </c>
      <c r="O233" s="3" t="e">
        <f>(1-N233)*H233</f>
        <v>#VALUE!</v>
      </c>
      <c r="P233" s="3" t="e">
        <f t="shared" si="23"/>
        <v>#VALUE!</v>
      </c>
      <c r="Q233" s="3" t="e">
        <f t="shared" si="22"/>
        <v>#VALUE!</v>
      </c>
      <c r="R233" s="3" t="str">
        <f>IF(S233&lt;&gt;"Churn",VLOOKUP(A233,[3]Export!$B$2:$O$417,8,0),"CHURN")</f>
        <v>CHURN</v>
      </c>
      <c r="S233" s="3" t="s">
        <v>372</v>
      </c>
      <c r="T233" s="3" t="s">
        <v>562</v>
      </c>
      <c r="U233" s="3">
        <v>175</v>
      </c>
      <c r="V233" s="4" t="str" cm="1">
        <f t="array" ref="V233">IFERROR(
    IF(
        MATCH(2,1/((Y233:BH233&lt;&gt;0)*(Y233:BH233&lt;&gt;"")))-MATCH(1,INDEX((Y233:BH233&lt;&gt;0)*(Y233:BH233&lt;&gt;""),0),0)+1 &lt;= 12,
        "No",
        "Yes"
    ),
    "No"
)</f>
        <v>Yes</v>
      </c>
      <c r="W233" s="4" t="str" cm="1">
        <f t="array" ref="W233">IFERROR(
    IF(
        MATCH(2,1/((Y233:BH233&lt;&gt;0)*(Y233:BH233&lt;&gt;"")))-MATCH(1,INDEX((Y233:BH233&lt;&gt;0)*(Y233:BH233&lt;&gt;""),0),0)+1 &lt;= 24,
        "No",
        "Yes"
    ),
    "No"
)</f>
        <v>No</v>
      </c>
      <c r="X233" s="3"/>
      <c r="Y233" s="4">
        <v>0</v>
      </c>
      <c r="Z233" s="4">
        <v>0</v>
      </c>
      <c r="AA233" s="4">
        <v>0</v>
      </c>
      <c r="AB233" s="4">
        <v>0</v>
      </c>
      <c r="AC233" s="4">
        <v>0</v>
      </c>
      <c r="AD233" s="4">
        <v>0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165</v>
      </c>
      <c r="AK233" s="4">
        <v>165</v>
      </c>
      <c r="AL233" s="4">
        <v>165</v>
      </c>
      <c r="AM233" s="4">
        <v>175</v>
      </c>
      <c r="AN233" s="4">
        <v>175</v>
      </c>
      <c r="AO233" s="4">
        <v>175</v>
      </c>
      <c r="AP233" s="4">
        <v>175</v>
      </c>
      <c r="AQ233" s="4">
        <v>175</v>
      </c>
      <c r="AR233" s="4">
        <v>175</v>
      </c>
      <c r="AS233" s="4">
        <v>175</v>
      </c>
      <c r="AT233" s="4">
        <v>175</v>
      </c>
      <c r="AU233" s="4">
        <v>175</v>
      </c>
      <c r="AV233" s="4">
        <v>175</v>
      </c>
      <c r="AW233" s="4">
        <v>175</v>
      </c>
      <c r="AX233" s="4">
        <v>0</v>
      </c>
      <c r="AY233" s="4">
        <v>0</v>
      </c>
      <c r="AZ233" s="4">
        <v>0</v>
      </c>
      <c r="BA233" s="4">
        <v>0</v>
      </c>
      <c r="BB233" s="4">
        <v>0</v>
      </c>
      <c r="BC233" s="4">
        <v>0</v>
      </c>
      <c r="BD233" s="4">
        <v>0</v>
      </c>
      <c r="BE233" s="4">
        <v>0</v>
      </c>
      <c r="BF233" s="4">
        <v>0</v>
      </c>
      <c r="BG233" s="4">
        <v>0</v>
      </c>
      <c r="BH233" s="4">
        <v>0</v>
      </c>
      <c r="BJ233" s="9"/>
    </row>
    <row r="234" spans="1:62" x14ac:dyDescent="0.25">
      <c r="A234" s="6" t="s">
        <v>224</v>
      </c>
      <c r="B234" s="6"/>
      <c r="C234" s="7" t="s">
        <v>526</v>
      </c>
      <c r="D234" s="3"/>
      <c r="E234" s="3">
        <f>VLOOKUP(A234,[2]Sheet1!$A$2:$E$627,5,0)</f>
        <v>125.00063383333332</v>
      </c>
      <c r="F234" s="3">
        <f>VLOOKUP(A234,[2]Sheet1!$A$2:$F$627,6,0)</f>
        <v>338.33396716666664</v>
      </c>
      <c r="G234" s="3">
        <f>VLOOKUP(A234,[2]Sheet1!$A$2:$G$627,7,0)</f>
        <v>0</v>
      </c>
      <c r="H234" s="4">
        <f t="shared" si="18"/>
        <v>348.33396716666664</v>
      </c>
      <c r="I234" s="11">
        <f t="shared" si="19"/>
        <v>1.70665801277277</v>
      </c>
      <c r="J234" s="11">
        <f t="shared" si="20"/>
        <v>-1</v>
      </c>
      <c r="K234" s="11">
        <f t="shared" si="21"/>
        <v>-1</v>
      </c>
      <c r="L234" s="11">
        <f>IF(S234="",((BG234-E234)/E234),((U234-E234)/E234))</f>
        <v>1.7866576071214935</v>
      </c>
      <c r="M234" s="3" t="str">
        <f>IF(S234="Churn","Churn",VLOOKUP(A234,'[1]Revenue_Engine_2025 Dec.25'!$C$14:$E$3993,3,0))</f>
        <v>Bayi</v>
      </c>
      <c r="N234" s="3">
        <f>IF(S234="",VLOOKUP(A234,[3]Export!$B$2:$F$417,5,0),"CHURN")</f>
        <v>0.1988468990322973</v>
      </c>
      <c r="O234" s="3">
        <f>(1-N234)*H234</f>
        <v>279.06883796795688</v>
      </c>
      <c r="P234" s="3">
        <f t="shared" si="23"/>
        <v>271.05730695827987</v>
      </c>
      <c r="Q234" s="3">
        <f t="shared" si="22"/>
        <v>0</v>
      </c>
      <c r="R234" s="3" t="str">
        <f>IF(S234&lt;&gt;"Churn",VLOOKUP(A234,[3]Export!$B$2:$O$417,8,0),"CHURN")</f>
        <v>NO RISK</v>
      </c>
      <c r="S234" s="3"/>
      <c r="T234" s="3"/>
      <c r="U234" s="3" t="s">
        <v>551</v>
      </c>
      <c r="V234" s="4" t="str" cm="1">
        <f t="array" ref="V234">IFERROR(
    IF(
        MATCH(2,1/((Y234:BH234&lt;&gt;0)*(Y234:BH234&lt;&gt;"")))-MATCH(1,INDEX((Y234:BH234&lt;&gt;0)*(Y234:BH234&lt;&gt;""),0),0)+1 &lt;= 12,
        "No",
        "Yes"
    ),
    "No"
)</f>
        <v>Yes</v>
      </c>
      <c r="W234" s="4" t="str" cm="1">
        <f t="array" ref="W234">IFERROR(
    IF(
        MATCH(2,1/((Y234:BH234&lt;&gt;0)*(Y234:BH234&lt;&gt;"")))-MATCH(1,INDEX((Y234:BH234&lt;&gt;0)*(Y234:BH234&lt;&gt;""),0),0)+1 &lt;= 24,
        "No",
        "Yes"
    ),
    "No"
)</f>
        <v>Yes</v>
      </c>
      <c r="X234" s="3"/>
      <c r="Y234" s="4">
        <v>0</v>
      </c>
      <c r="Z234" s="4">
        <v>0</v>
      </c>
      <c r="AA234" s="4">
        <v>0</v>
      </c>
      <c r="AB234" s="4">
        <v>0</v>
      </c>
      <c r="AC234" s="4">
        <v>0</v>
      </c>
      <c r="AD234" s="4">
        <v>0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125.00063383333332</v>
      </c>
      <c r="AK234" s="4">
        <v>125.00063383333332</v>
      </c>
      <c r="AL234" s="4">
        <v>125.00063383333332</v>
      </c>
      <c r="AM234" s="4">
        <v>125.00063383333332</v>
      </c>
      <c r="AN234" s="4">
        <v>125.00063383333332</v>
      </c>
      <c r="AO234" s="4">
        <v>125.00063383333332</v>
      </c>
      <c r="AP234" s="4">
        <v>125.00063383333332</v>
      </c>
      <c r="AQ234" s="4">
        <v>250.00063383333332</v>
      </c>
      <c r="AR234" s="4">
        <v>250.00063383333332</v>
      </c>
      <c r="AS234" s="4">
        <v>250.00063383333332</v>
      </c>
      <c r="AT234" s="4">
        <v>250.00063383333332</v>
      </c>
      <c r="AU234" s="4">
        <v>250.00063383333332</v>
      </c>
      <c r="AV234" s="4">
        <v>338.33396716666664</v>
      </c>
      <c r="AW234" s="4">
        <v>338.33396716666664</v>
      </c>
      <c r="AX234" s="4">
        <v>338.33396716666664</v>
      </c>
      <c r="AY234" s="4">
        <v>338.33396716666664</v>
      </c>
      <c r="AZ234" s="4">
        <v>338.33396716666664</v>
      </c>
      <c r="BA234" s="4">
        <v>338.33396716666664</v>
      </c>
      <c r="BB234" s="4">
        <v>338.33396716666664</v>
      </c>
      <c r="BC234" s="4">
        <v>338.33396716666664</v>
      </c>
      <c r="BD234" s="4">
        <v>348.33396716666664</v>
      </c>
      <c r="BE234" s="4">
        <v>348.33396716666664</v>
      </c>
      <c r="BF234" s="4">
        <v>348.33396716666664</v>
      </c>
      <c r="BG234" s="4">
        <v>348.33396716666664</v>
      </c>
      <c r="BH234" s="4">
        <v>335.00063383333332</v>
      </c>
      <c r="BJ234" s="9"/>
    </row>
    <row r="235" spans="1:62" x14ac:dyDescent="0.25">
      <c r="A235" s="6" t="s">
        <v>522</v>
      </c>
      <c r="B235" s="6"/>
      <c r="C235" s="7" t="s">
        <v>526</v>
      </c>
      <c r="D235" s="3"/>
      <c r="E235" s="3">
        <f>VLOOKUP(A235,[2]Sheet1!$A$2:$E$627,5,0)</f>
        <v>175</v>
      </c>
      <c r="F235" s="3">
        <f>VLOOKUP(A235,[2]Sheet1!$A$2:$F$627,6,0)</f>
        <v>0</v>
      </c>
      <c r="G235" s="3">
        <f>VLOOKUP(A235,[2]Sheet1!$A$2:$G$627,7,0)</f>
        <v>0</v>
      </c>
      <c r="H235" s="4">
        <f t="shared" si="18"/>
        <v>0</v>
      </c>
      <c r="I235" s="11">
        <f t="shared" si="19"/>
        <v>-1</v>
      </c>
      <c r="J235" s="11">
        <f t="shared" si="20"/>
        <v>-1</v>
      </c>
      <c r="K235" s="11" t="e">
        <f t="shared" si="21"/>
        <v>#DIV/0!</v>
      </c>
      <c r="L235" s="11">
        <f>IF(S235="",((BG235-E235)/E235),((U235-E235)/E235))</f>
        <v>0</v>
      </c>
      <c r="M235" s="3" t="str">
        <f>IF(S235="Churn","Churn",VLOOKUP(A235,'[1]Revenue_Engine_2025 Dec.25'!$C$14:$E$3993,3,0))</f>
        <v>Churn</v>
      </c>
      <c r="N235" s="3" t="str">
        <f>IF(S235="",VLOOKUP(A235,[3]Export!$B$2:$F$417,5,0),"CHURN")</f>
        <v>CHURN</v>
      </c>
      <c r="O235" s="3" t="e">
        <f>(1-N235)*H235</f>
        <v>#VALUE!</v>
      </c>
      <c r="P235" s="3" t="e">
        <f t="shared" si="23"/>
        <v>#VALUE!</v>
      </c>
      <c r="Q235" s="3" t="e">
        <f t="shared" si="22"/>
        <v>#VALUE!</v>
      </c>
      <c r="R235" s="3" t="str">
        <f>IF(S235&lt;&gt;"Churn",VLOOKUP(A235,[3]Export!$B$2:$O$417,8,0),"CHURN")</f>
        <v>CHURN</v>
      </c>
      <c r="S235" s="3" t="s">
        <v>372</v>
      </c>
      <c r="T235" s="3" t="s">
        <v>562</v>
      </c>
      <c r="U235" s="3">
        <v>175</v>
      </c>
      <c r="V235" s="4" t="str" cm="1">
        <f t="array" ref="V235">IFERROR(
    IF(
        MATCH(2,1/((Y235:BH235&lt;&gt;0)*(Y235:BH235&lt;&gt;"")))-MATCH(1,INDEX((Y235:BH235&lt;&gt;0)*(Y235:BH235&lt;&gt;""),0),0)+1 &lt;= 12,
        "No",
        "Yes"
    ),
    "No"
)</f>
        <v>Yes</v>
      </c>
      <c r="W235" s="4" t="str" cm="1">
        <f t="array" ref="W235">IFERROR(
    IF(
        MATCH(2,1/((Y235:BH235&lt;&gt;0)*(Y235:BH235&lt;&gt;"")))-MATCH(1,INDEX((Y235:BH235&lt;&gt;0)*(Y235:BH235&lt;&gt;""),0),0)+1 &lt;= 24,
        "No",
        "Yes"
    ),
    "No"
)</f>
        <v>No</v>
      </c>
      <c r="X235" s="3"/>
      <c r="Y235" s="4">
        <v>0</v>
      </c>
      <c r="Z235" s="4">
        <v>0</v>
      </c>
      <c r="AA235" s="4">
        <v>0</v>
      </c>
      <c r="AB235" s="4">
        <v>0</v>
      </c>
      <c r="AC235" s="4">
        <v>0</v>
      </c>
      <c r="AD235" s="4">
        <v>0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175</v>
      </c>
      <c r="AK235" s="4">
        <v>175</v>
      </c>
      <c r="AL235" s="4">
        <v>175</v>
      </c>
      <c r="AM235" s="4">
        <v>175</v>
      </c>
      <c r="AN235" s="4">
        <v>175</v>
      </c>
      <c r="AO235" s="4">
        <v>175</v>
      </c>
      <c r="AP235" s="4">
        <v>175</v>
      </c>
      <c r="AQ235" s="4">
        <v>175</v>
      </c>
      <c r="AR235" s="4">
        <v>175</v>
      </c>
      <c r="AS235" s="4">
        <v>175</v>
      </c>
      <c r="AT235" s="4">
        <v>175</v>
      </c>
      <c r="AU235" s="4">
        <v>175</v>
      </c>
      <c r="AV235" s="4">
        <v>175</v>
      </c>
      <c r="AW235" s="4">
        <v>175</v>
      </c>
      <c r="AX235" s="4">
        <v>0</v>
      </c>
      <c r="AY235" s="4">
        <v>0</v>
      </c>
      <c r="AZ235" s="4">
        <v>0</v>
      </c>
      <c r="BA235" s="4">
        <v>0</v>
      </c>
      <c r="BB235" s="4">
        <v>0</v>
      </c>
      <c r="BC235" s="4">
        <v>0</v>
      </c>
      <c r="BD235" s="4">
        <v>0</v>
      </c>
      <c r="BE235" s="4">
        <v>0</v>
      </c>
      <c r="BF235" s="4">
        <v>0</v>
      </c>
      <c r="BG235" s="4">
        <v>0</v>
      </c>
      <c r="BH235" s="4">
        <v>0</v>
      </c>
      <c r="BJ235" s="9"/>
    </row>
    <row r="236" spans="1:62" x14ac:dyDescent="0.25">
      <c r="A236" s="6" t="s">
        <v>225</v>
      </c>
      <c r="B236" s="6"/>
      <c r="C236" s="7" t="s">
        <v>526</v>
      </c>
      <c r="D236" s="3"/>
      <c r="E236" s="3">
        <f>VLOOKUP(A236,[2]Sheet1!$A$2:$E$627,5,0)</f>
        <v>260.0163</v>
      </c>
      <c r="F236" s="3">
        <f>VLOOKUP(A236,[2]Sheet1!$A$2:$F$627,6,0)</f>
        <v>280.0163</v>
      </c>
      <c r="G236" s="3">
        <f>VLOOKUP(A236,[2]Sheet1!$A$2:$G$627,7,0)</f>
        <v>0</v>
      </c>
      <c r="H236" s="4">
        <f t="shared" si="18"/>
        <v>280.0163</v>
      </c>
      <c r="I236" s="11">
        <f t="shared" si="19"/>
        <v>7.69182547401836E-2</v>
      </c>
      <c r="J236" s="11">
        <f t="shared" si="20"/>
        <v>-1</v>
      </c>
      <c r="K236" s="11">
        <f t="shared" si="21"/>
        <v>-1</v>
      </c>
      <c r="L236" s="11">
        <f>IF(S236="",((BG236-E236)/E236),((U236-E236)/E236))</f>
        <v>7.69182547401836E-2</v>
      </c>
      <c r="M236" s="3" t="str">
        <f>IF(S236="Churn","Churn",VLOOKUP(A236,'[1]Revenue_Engine_2025 Dec.25'!$C$14:$E$3993,3,0))</f>
        <v>Üretim</v>
      </c>
      <c r="N236" s="3">
        <f>IF(S236="",VLOOKUP(A236,[3]Export!$B$2:$F$417,5,0),"CHURN")</f>
        <v>0.29641131605552967</v>
      </c>
      <c r="O236" s="3">
        <f>(1-N236)*H236</f>
        <v>197.01629999999997</v>
      </c>
      <c r="P236" s="3">
        <f t="shared" si="23"/>
        <v>197.01629999999997</v>
      </c>
      <c r="Q236" s="3">
        <f t="shared" si="22"/>
        <v>0</v>
      </c>
      <c r="R236" s="3" t="str">
        <f>IF(S236&lt;&gt;"Churn",VLOOKUP(A236,[3]Export!$B$2:$O$417,8,0),"CHURN")</f>
        <v>NO RISK</v>
      </c>
      <c r="S236" s="3"/>
      <c r="T236" s="3"/>
      <c r="U236" s="3" t="s">
        <v>551</v>
      </c>
      <c r="V236" s="4" t="str" cm="1">
        <f t="array" ref="V236">IFERROR(
    IF(
        MATCH(2,1/((Y236:BH236&lt;&gt;0)*(Y236:BH236&lt;&gt;"")))-MATCH(1,INDEX((Y236:BH236&lt;&gt;0)*(Y236:BH236&lt;&gt;""),0),0)+1 &lt;= 12,
        "No",
        "Yes"
    ),
    "No"
)</f>
        <v>Yes</v>
      </c>
      <c r="W236" s="4" t="str" cm="1">
        <f t="array" ref="W236">IFERROR(
    IF(
        MATCH(2,1/((Y236:BH236&lt;&gt;0)*(Y236:BH236&lt;&gt;"")))-MATCH(1,INDEX((Y236:BH236&lt;&gt;0)*(Y236:BH236&lt;&gt;""),0),0)+1 &lt;= 24,
        "No",
        "Yes"
    ),
    "No"
)</f>
        <v>Yes</v>
      </c>
      <c r="X236" s="3"/>
      <c r="Y236" s="4">
        <v>0</v>
      </c>
      <c r="Z236" s="4">
        <v>0</v>
      </c>
      <c r="AA236" s="4">
        <v>0</v>
      </c>
      <c r="AB236" s="4">
        <v>0</v>
      </c>
      <c r="AC236" s="4">
        <v>0</v>
      </c>
      <c r="AD236" s="4">
        <v>0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260.00012849999996</v>
      </c>
      <c r="AK236" s="4">
        <v>260.0163</v>
      </c>
      <c r="AL236" s="4">
        <v>260.0163</v>
      </c>
      <c r="AM236" s="4">
        <v>280.0163</v>
      </c>
      <c r="AN236" s="4">
        <v>280.0163</v>
      </c>
      <c r="AO236" s="4">
        <v>280.0163</v>
      </c>
      <c r="AP236" s="4">
        <v>280.0163</v>
      </c>
      <c r="AQ236" s="4">
        <v>280.0163</v>
      </c>
      <c r="AR236" s="4">
        <v>280.0163</v>
      </c>
      <c r="AS236" s="4">
        <v>280.0163</v>
      </c>
      <c r="AT236" s="4">
        <v>280.0163</v>
      </c>
      <c r="AU236" s="4">
        <v>280.0163</v>
      </c>
      <c r="AV236" s="4">
        <v>280.0163</v>
      </c>
      <c r="AW236" s="4">
        <v>280.0163</v>
      </c>
      <c r="AX236" s="4">
        <v>280.0163</v>
      </c>
      <c r="AY236" s="4">
        <v>280.0163</v>
      </c>
      <c r="AZ236" s="4">
        <v>280.01629999999994</v>
      </c>
      <c r="BA236" s="4">
        <v>280.0163</v>
      </c>
      <c r="BB236" s="4">
        <v>280.0163</v>
      </c>
      <c r="BC236" s="4">
        <v>280.0163</v>
      </c>
      <c r="BD236" s="4">
        <v>280.0163</v>
      </c>
      <c r="BE236" s="4">
        <v>280.0163</v>
      </c>
      <c r="BF236" s="4">
        <v>280.0163</v>
      </c>
      <c r="BG236" s="4">
        <v>280.0163</v>
      </c>
      <c r="BH236" s="4">
        <v>280.0163</v>
      </c>
      <c r="BJ236" s="9"/>
    </row>
    <row r="237" spans="1:62" x14ac:dyDescent="0.25">
      <c r="A237" s="6" t="s">
        <v>226</v>
      </c>
      <c r="B237" s="6"/>
      <c r="C237" s="7" t="s">
        <v>526</v>
      </c>
      <c r="D237" s="3"/>
      <c r="E237" s="3">
        <f>VLOOKUP(A237,[2]Sheet1!$A$2:$E$627,5,0)</f>
        <v>110.00133041666665</v>
      </c>
      <c r="F237" s="3">
        <f>VLOOKUP(A237,[2]Sheet1!$A$2:$F$627,6,0)</f>
        <v>110.00133041666665</v>
      </c>
      <c r="G237" s="3">
        <f>VLOOKUP(A237,[2]Sheet1!$A$2:$G$627,7,0)</f>
        <v>0</v>
      </c>
      <c r="H237" s="4">
        <f t="shared" si="18"/>
        <v>111.41799708333332</v>
      </c>
      <c r="I237" s="11">
        <f t="shared" si="19"/>
        <v>0</v>
      </c>
      <c r="J237" s="11">
        <f t="shared" si="20"/>
        <v>-1</v>
      </c>
      <c r="K237" s="11">
        <f t="shared" si="21"/>
        <v>-1</v>
      </c>
      <c r="L237" s="11">
        <f>IF(S237="",((BG237-E237)/E237),((U237-E237)/E237))</f>
        <v>0</v>
      </c>
      <c r="M237" s="3" t="str">
        <f>IF(S237="Churn","Churn",VLOOKUP(A237,'[1]Revenue_Engine_2025 Dec.25'!$C$14:$E$3993,3,0))</f>
        <v>Bayi</v>
      </c>
      <c r="N237" s="3">
        <f>IF(S237="",VLOOKUP(A237,[3]Export!$B$2:$F$417,5,0),"CHURN")</f>
        <v>8.9752107036358372E-2</v>
      </c>
      <c r="O237" s="3">
        <f>(1-N237)*H237</f>
        <v>101.41799708333332</v>
      </c>
      <c r="P237" s="3">
        <f t="shared" si="23"/>
        <v>100.12847923496815</v>
      </c>
      <c r="Q237" s="3">
        <f t="shared" si="22"/>
        <v>0</v>
      </c>
      <c r="R237" s="3" t="str">
        <f>IF(S237&lt;&gt;"Churn",VLOOKUP(A237,[3]Export!$B$2:$O$417,8,0),"CHURN")</f>
        <v>NO RISK</v>
      </c>
      <c r="S237" s="3"/>
      <c r="T237" s="3"/>
      <c r="U237" s="3" t="s">
        <v>551</v>
      </c>
      <c r="V237" s="4" t="str" cm="1">
        <f t="array" ref="V237">IFERROR(
    IF(
        MATCH(2,1/((Y237:BH237&lt;&gt;0)*(Y237:BH237&lt;&gt;"")))-MATCH(1,INDEX((Y237:BH237&lt;&gt;0)*(Y237:BH237&lt;&gt;""),0),0)+1 &lt;= 12,
        "No",
        "Yes"
    ),
    "No"
)</f>
        <v>Yes</v>
      </c>
      <c r="W237" s="4" t="str" cm="1">
        <f t="array" ref="W237">IFERROR(
    IF(
        MATCH(2,1/((Y237:BH237&lt;&gt;0)*(Y237:BH237&lt;&gt;"")))-MATCH(1,INDEX((Y237:BH237&lt;&gt;0)*(Y237:BH237&lt;&gt;""),0),0)+1 &lt;= 24,
        "No",
        "Yes"
    ),
    "No"
)</f>
        <v>Yes</v>
      </c>
      <c r="X237" s="3"/>
      <c r="Y237" s="4">
        <v>0</v>
      </c>
      <c r="Z237" s="4">
        <v>0</v>
      </c>
      <c r="AA237" s="4">
        <v>0</v>
      </c>
      <c r="AB237" s="4">
        <v>0</v>
      </c>
      <c r="AC237" s="4">
        <v>0</v>
      </c>
      <c r="AD237" s="4">
        <v>0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110.00133041666665</v>
      </c>
      <c r="AK237" s="4">
        <v>110.00133041666665</v>
      </c>
      <c r="AL237" s="4">
        <v>110.00133041666665</v>
      </c>
      <c r="AM237" s="4">
        <v>110.00133041666665</v>
      </c>
      <c r="AN237" s="4">
        <v>110.00133041666665</v>
      </c>
      <c r="AO237" s="4">
        <v>110.00133041666665</v>
      </c>
      <c r="AP237" s="4">
        <v>110.00133041666665</v>
      </c>
      <c r="AQ237" s="4">
        <v>110.00133041666665</v>
      </c>
      <c r="AR237" s="4">
        <v>110.00133041666665</v>
      </c>
      <c r="AS237" s="4">
        <v>110.00133041666665</v>
      </c>
      <c r="AT237" s="4">
        <v>110.00133041666665</v>
      </c>
      <c r="AU237" s="4">
        <v>110.00133041666665</v>
      </c>
      <c r="AV237" s="4">
        <v>110.00133041666665</v>
      </c>
      <c r="AW237" s="4">
        <v>110.00133041666665</v>
      </c>
      <c r="AX237" s="4">
        <v>110.00133041666665</v>
      </c>
      <c r="AY237" s="4">
        <v>110.00133041666665</v>
      </c>
      <c r="AZ237" s="4">
        <v>110.00133041666665</v>
      </c>
      <c r="BA237" s="4">
        <v>110.00133041666665</v>
      </c>
      <c r="BB237" s="4">
        <v>110.00133041666665</v>
      </c>
      <c r="BC237" s="4">
        <v>110.00133041666665</v>
      </c>
      <c r="BD237" s="4">
        <v>110.00133041666665</v>
      </c>
      <c r="BE237" s="4">
        <v>110.00133041666665</v>
      </c>
      <c r="BF237" s="4">
        <v>110.00133041666665</v>
      </c>
      <c r="BG237" s="4">
        <v>110.00133041666665</v>
      </c>
      <c r="BH237" s="4">
        <v>111.41799708333332</v>
      </c>
      <c r="BJ237" s="9"/>
    </row>
    <row r="238" spans="1:62" x14ac:dyDescent="0.25">
      <c r="A238" s="6" t="s">
        <v>227</v>
      </c>
      <c r="B238" s="6"/>
      <c r="C238" s="7" t="s">
        <v>526</v>
      </c>
      <c r="D238" s="3"/>
      <c r="E238" s="3">
        <f>VLOOKUP(A238,[2]Sheet1!$A$2:$E$627,5,0)</f>
        <v>24</v>
      </c>
      <c r="F238" s="3">
        <f>VLOOKUP(A238,[2]Sheet1!$A$2:$F$627,6,0)</f>
        <v>24</v>
      </c>
      <c r="G238" s="3">
        <f>VLOOKUP(A238,[2]Sheet1!$A$2:$G$627,7,0)</f>
        <v>0</v>
      </c>
      <c r="H238" s="4">
        <f t="shared" si="18"/>
        <v>24</v>
      </c>
      <c r="I238" s="11">
        <f t="shared" si="19"/>
        <v>0</v>
      </c>
      <c r="J238" s="11">
        <f t="shared" si="20"/>
        <v>-1</v>
      </c>
      <c r="K238" s="11">
        <f t="shared" si="21"/>
        <v>-1</v>
      </c>
      <c r="L238" s="11">
        <f>IF(S238="",((BG238-E238)/E238),((U238-E238)/E238))</f>
        <v>0</v>
      </c>
      <c r="M238" s="3" t="str">
        <f>IF(S238="Churn","Churn",VLOOKUP(A238,'[1]Revenue_Engine_2025 Dec.25'!$C$14:$E$3993,3,0))</f>
        <v>Diğer</v>
      </c>
      <c r="N238" s="3">
        <f>IF(S238="",VLOOKUP(A238,[3]Export!$B$2:$F$417,5,0),"CHURN")</f>
        <v>0</v>
      </c>
      <c r="O238" s="3">
        <f>(1-N238)*H238</f>
        <v>24</v>
      </c>
      <c r="P238" s="3">
        <f t="shared" si="23"/>
        <v>24</v>
      </c>
      <c r="Q238" s="3">
        <f t="shared" si="22"/>
        <v>0</v>
      </c>
      <c r="R238" s="3" t="str">
        <f>IF(S238&lt;&gt;"Churn",VLOOKUP(A238,[3]Export!$B$2:$O$417,8,0),"CHURN")</f>
        <v>NO RISK</v>
      </c>
      <c r="S238" s="3"/>
      <c r="T238" s="3"/>
      <c r="U238" s="3" t="s">
        <v>551</v>
      </c>
      <c r="V238" s="4" t="str" cm="1">
        <f t="array" ref="V238">IFERROR(
    IF(
        MATCH(2,1/((Y238:BH238&lt;&gt;0)*(Y238:BH238&lt;&gt;"")))-MATCH(1,INDEX((Y238:BH238&lt;&gt;0)*(Y238:BH238&lt;&gt;""),0),0)+1 &lt;= 12,
        "No",
        "Yes"
    ),
    "No"
)</f>
        <v>Yes</v>
      </c>
      <c r="W238" s="4" t="str" cm="1">
        <f t="array" ref="W238">IFERROR(
    IF(
        MATCH(2,1/((Y238:BH238&lt;&gt;0)*(Y238:BH238&lt;&gt;"")))-MATCH(1,INDEX((Y238:BH238&lt;&gt;0)*(Y238:BH238&lt;&gt;""),0),0)+1 &lt;= 24,
        "No",
        "Yes"
    ),
    "No"
)</f>
        <v>Yes</v>
      </c>
      <c r="X238" s="3"/>
      <c r="Y238" s="4">
        <v>0</v>
      </c>
      <c r="Z238" s="4">
        <v>0</v>
      </c>
      <c r="AA238" s="4">
        <v>0</v>
      </c>
      <c r="AB238" s="4">
        <v>0</v>
      </c>
      <c r="AC238" s="4">
        <v>0</v>
      </c>
      <c r="AD238" s="4">
        <v>0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24</v>
      </c>
      <c r="AK238" s="4">
        <v>24</v>
      </c>
      <c r="AL238" s="4">
        <v>24</v>
      </c>
      <c r="AM238" s="4">
        <v>24</v>
      </c>
      <c r="AN238" s="4">
        <v>24</v>
      </c>
      <c r="AO238" s="4">
        <v>24</v>
      </c>
      <c r="AP238" s="4">
        <v>24</v>
      </c>
      <c r="AQ238" s="4">
        <v>24</v>
      </c>
      <c r="AR238" s="4">
        <v>24</v>
      </c>
      <c r="AS238" s="4">
        <v>24</v>
      </c>
      <c r="AT238" s="4">
        <v>24</v>
      </c>
      <c r="AU238" s="4">
        <v>24</v>
      </c>
      <c r="AV238" s="4">
        <v>24</v>
      </c>
      <c r="AW238" s="4">
        <v>24</v>
      </c>
      <c r="AX238" s="4">
        <v>24</v>
      </c>
      <c r="AY238" s="4">
        <v>24</v>
      </c>
      <c r="AZ238" s="4">
        <v>24</v>
      </c>
      <c r="BA238" s="4">
        <v>24</v>
      </c>
      <c r="BB238" s="4">
        <v>24</v>
      </c>
      <c r="BC238" s="4">
        <v>24</v>
      </c>
      <c r="BD238" s="4">
        <v>24</v>
      </c>
      <c r="BE238" s="4">
        <v>24</v>
      </c>
      <c r="BF238" s="4">
        <v>24</v>
      </c>
      <c r="BG238" s="4">
        <v>24</v>
      </c>
      <c r="BH238" s="4">
        <v>24</v>
      </c>
      <c r="BJ238" s="9"/>
    </row>
    <row r="239" spans="1:62" x14ac:dyDescent="0.25">
      <c r="A239" s="6" t="s">
        <v>228</v>
      </c>
      <c r="B239" s="6"/>
      <c r="C239" s="7" t="s">
        <v>526</v>
      </c>
      <c r="D239" s="3"/>
      <c r="E239" s="3">
        <f>VLOOKUP(A239,[2]Sheet1!$A$2:$E$627,5,0)</f>
        <v>1349.9959979999999</v>
      </c>
      <c r="F239" s="3">
        <f>VLOOKUP(A239,[2]Sheet1!$A$2:$F$627,6,0)</f>
        <v>1349.9959979999999</v>
      </c>
      <c r="G239" s="3">
        <f>VLOOKUP(A239,[2]Sheet1!$A$2:$G$627,7,0)</f>
        <v>0</v>
      </c>
      <c r="H239" s="4">
        <f t="shared" si="18"/>
        <v>0</v>
      </c>
      <c r="I239" s="11">
        <f t="shared" si="19"/>
        <v>0</v>
      </c>
      <c r="J239" s="11">
        <f t="shared" si="20"/>
        <v>-1</v>
      </c>
      <c r="K239" s="11">
        <f t="shared" si="21"/>
        <v>-1</v>
      </c>
      <c r="L239" s="11">
        <f>IF(S239="",((BG239-E239)/E239),((U239-E239)/E239))</f>
        <v>0.25257004132244842</v>
      </c>
      <c r="M239" s="3" t="str">
        <f>IF(S239="Churn","Churn",VLOOKUP(A239,'[1]Revenue_Engine_2025 Dec.25'!$C$14:$E$3993,3,0))</f>
        <v>Churn</v>
      </c>
      <c r="N239" s="3" t="str">
        <f>IF(S239="",VLOOKUP(A239,[3]Export!$B$2:$F$417,5,0),"CHURN")</f>
        <v>CHURN</v>
      </c>
      <c r="O239" s="3" t="e">
        <f>(1-N239)*H239</f>
        <v>#VALUE!</v>
      </c>
      <c r="P239" s="3" t="e">
        <f t="shared" si="23"/>
        <v>#VALUE!</v>
      </c>
      <c r="Q239" s="3" t="e">
        <f t="shared" si="22"/>
        <v>#VALUE!</v>
      </c>
      <c r="R239" s="3" t="str">
        <f>IF(S239&lt;&gt;"Churn",VLOOKUP(A239,[3]Export!$B$2:$O$417,8,0),"CHURN")</f>
        <v>CHURN</v>
      </c>
      <c r="S239" s="3" t="s">
        <v>372</v>
      </c>
      <c r="T239" s="3" t="s">
        <v>557</v>
      </c>
      <c r="U239" s="3">
        <v>1690.9645429999998</v>
      </c>
      <c r="V239" s="4" t="str" cm="1">
        <f t="array" ref="V239">IFERROR(
    IF(
        MATCH(2,1/((Y239:BH239&lt;&gt;0)*(Y239:BH239&lt;&gt;"")))-MATCH(1,INDEX((Y239:BH239&lt;&gt;0)*(Y239:BH239&lt;&gt;""),0),0)+1 &lt;= 12,
        "No",
        "Yes"
    ),
    "No"
)</f>
        <v>Yes</v>
      </c>
      <c r="W239" s="4" t="str" cm="1">
        <f t="array" ref="W239">IFERROR(
    IF(
        MATCH(2,1/((Y239:BH239&lt;&gt;0)*(Y239:BH239&lt;&gt;"")))-MATCH(1,INDEX((Y239:BH239&lt;&gt;0)*(Y239:BH239&lt;&gt;""),0),0)+1 &lt;= 24,
        "No",
        "Yes"
    ),
    "No"
)</f>
        <v>No</v>
      </c>
      <c r="X239" s="3"/>
      <c r="Y239" s="4">
        <v>0</v>
      </c>
      <c r="Z239" s="4">
        <v>0</v>
      </c>
      <c r="AA239" s="4">
        <v>0</v>
      </c>
      <c r="AB239" s="4">
        <v>0</v>
      </c>
      <c r="AC239" s="4">
        <v>0</v>
      </c>
      <c r="AD239" s="4">
        <v>0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1349.9959979999999</v>
      </c>
      <c r="AK239" s="4">
        <v>1349.9959979999999</v>
      </c>
      <c r="AL239" s="4">
        <v>1349.9959979999999</v>
      </c>
      <c r="AM239" s="4">
        <v>1349.9959979999999</v>
      </c>
      <c r="AN239" s="4">
        <v>1349.9959979999999</v>
      </c>
      <c r="AO239" s="4">
        <v>1349.9959979999999</v>
      </c>
      <c r="AP239" s="4">
        <v>1349.9959979999999</v>
      </c>
      <c r="AQ239" s="4">
        <v>1349.9959979999999</v>
      </c>
      <c r="AR239" s="4">
        <v>1349.9959979999999</v>
      </c>
      <c r="AS239" s="4">
        <v>1349.9959979999999</v>
      </c>
      <c r="AT239" s="4">
        <v>1349.9959979999999</v>
      </c>
      <c r="AU239" s="4">
        <v>1349.9959979999999</v>
      </c>
      <c r="AV239" s="4">
        <v>1349.9959979999999</v>
      </c>
      <c r="AW239" s="4">
        <v>1632.0525429999996</v>
      </c>
      <c r="AX239" s="4">
        <v>1690.9645429999998</v>
      </c>
      <c r="AY239" s="4">
        <v>1690.9645429999998</v>
      </c>
      <c r="AZ239" s="4">
        <v>1690.9645430000003</v>
      </c>
      <c r="BA239" s="4">
        <v>1690.9645429999998</v>
      </c>
      <c r="BB239" s="4">
        <v>1690.9645429999998</v>
      </c>
      <c r="BC239" s="4">
        <v>1690.9645429999998</v>
      </c>
      <c r="BD239" s="4">
        <v>0</v>
      </c>
      <c r="BE239" s="4">
        <v>0</v>
      </c>
      <c r="BF239" s="4">
        <v>0</v>
      </c>
      <c r="BG239" s="4">
        <v>0</v>
      </c>
      <c r="BH239" s="4">
        <v>0</v>
      </c>
      <c r="BJ239" s="9"/>
    </row>
    <row r="240" spans="1:62" x14ac:dyDescent="0.25">
      <c r="A240" s="6" t="s">
        <v>229</v>
      </c>
      <c r="B240" s="6"/>
      <c r="C240" s="7" t="s">
        <v>526</v>
      </c>
      <c r="D240" s="3"/>
      <c r="E240" s="3">
        <f>VLOOKUP(A240,[2]Sheet1!$A$2:$E$627,5,0)</f>
        <v>495.000001</v>
      </c>
      <c r="F240" s="3">
        <f>VLOOKUP(A240,[2]Sheet1!$A$2:$F$627,6,0)</f>
        <v>495.000001</v>
      </c>
      <c r="G240" s="3">
        <f>VLOOKUP(A240,[2]Sheet1!$A$2:$G$627,7,0)</f>
        <v>0</v>
      </c>
      <c r="H240" s="4">
        <f t="shared" si="18"/>
        <v>495.000001</v>
      </c>
      <c r="I240" s="11">
        <f t="shared" si="19"/>
        <v>0</v>
      </c>
      <c r="J240" s="11">
        <f t="shared" si="20"/>
        <v>-1</v>
      </c>
      <c r="K240" s="11">
        <f t="shared" si="21"/>
        <v>-1</v>
      </c>
      <c r="L240" s="11">
        <f>IF(S240="",((BG240-E240)/E240),((U240-E240)/E240))</f>
        <v>0</v>
      </c>
      <c r="M240" s="3" t="str">
        <f>IF(S240="Churn","Churn",VLOOKUP(A240,'[1]Revenue_Engine_2025 Dec.25'!$C$14:$E$3993,3,0))</f>
        <v>Üretim</v>
      </c>
      <c r="N240" s="3">
        <f>IF(S240="",VLOOKUP(A240,[3]Export!$B$2:$F$417,5,0),"CHURN")</f>
        <v>0.20606060564432202</v>
      </c>
      <c r="O240" s="3">
        <f>(1-N240)*H240</f>
        <v>393.000001</v>
      </c>
      <c r="P240" s="3">
        <f t="shared" si="23"/>
        <v>393.000001</v>
      </c>
      <c r="Q240" s="3">
        <f t="shared" si="22"/>
        <v>0</v>
      </c>
      <c r="R240" s="3" t="str">
        <f>IF(S240&lt;&gt;"Churn",VLOOKUP(A240,[3]Export!$B$2:$O$417,8,0),"CHURN")</f>
        <v>NO RISK</v>
      </c>
      <c r="S240" s="3"/>
      <c r="T240" s="3"/>
      <c r="U240" s="3" t="s">
        <v>551</v>
      </c>
      <c r="V240" s="4" t="str" cm="1">
        <f t="array" ref="V240">IFERROR(
    IF(
        MATCH(2,1/((Y240:BH240&lt;&gt;0)*(Y240:BH240&lt;&gt;"")))-MATCH(1,INDEX((Y240:BH240&lt;&gt;0)*(Y240:BH240&lt;&gt;""),0),0)+1 &lt;= 12,
        "No",
        "Yes"
    ),
    "No"
)</f>
        <v>Yes</v>
      </c>
      <c r="W240" s="4" t="str" cm="1">
        <f t="array" ref="W240">IFERROR(
    IF(
        MATCH(2,1/((Y240:BH240&lt;&gt;0)*(Y240:BH240&lt;&gt;"")))-MATCH(1,INDEX((Y240:BH240&lt;&gt;0)*(Y240:BH240&lt;&gt;""),0),0)+1 &lt;= 24,
        "No",
        "Yes"
    ),
    "No"
)</f>
        <v>Yes</v>
      </c>
      <c r="X240" s="3"/>
      <c r="Y240" s="4">
        <v>0</v>
      </c>
      <c r="Z240" s="4">
        <v>0</v>
      </c>
      <c r="AA240" s="4">
        <v>0</v>
      </c>
      <c r="AB240" s="4">
        <v>0</v>
      </c>
      <c r="AC240" s="4">
        <v>0</v>
      </c>
      <c r="AD240" s="4">
        <v>0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495.000001</v>
      </c>
      <c r="AK240" s="4">
        <v>495.000001</v>
      </c>
      <c r="AL240" s="4">
        <v>495.000001</v>
      </c>
      <c r="AM240" s="4">
        <v>495.000001</v>
      </c>
      <c r="AN240" s="4">
        <v>495.000001</v>
      </c>
      <c r="AO240" s="4">
        <v>495.000001</v>
      </c>
      <c r="AP240" s="4">
        <v>495.000001</v>
      </c>
      <c r="AQ240" s="4">
        <v>495.000001</v>
      </c>
      <c r="AR240" s="4">
        <v>495.000001</v>
      </c>
      <c r="AS240" s="4">
        <v>495.000001</v>
      </c>
      <c r="AT240" s="4">
        <v>495.000001</v>
      </c>
      <c r="AU240" s="4">
        <v>495.000001</v>
      </c>
      <c r="AV240" s="4">
        <v>495.000001</v>
      </c>
      <c r="AW240" s="4">
        <v>495.000001</v>
      </c>
      <c r="AX240" s="4">
        <v>495.000001</v>
      </c>
      <c r="AY240" s="4">
        <v>495.000001</v>
      </c>
      <c r="AZ240" s="4">
        <v>495.00000100000005</v>
      </c>
      <c r="BA240" s="4">
        <v>495.000001</v>
      </c>
      <c r="BB240" s="4">
        <v>495.000001</v>
      </c>
      <c r="BC240" s="4">
        <v>495.000001</v>
      </c>
      <c r="BD240" s="4">
        <v>495.000001</v>
      </c>
      <c r="BE240" s="4">
        <v>495.000001</v>
      </c>
      <c r="BF240" s="4">
        <v>495.000001</v>
      </c>
      <c r="BG240" s="4">
        <v>495.000001</v>
      </c>
      <c r="BH240" s="4">
        <v>495.000001</v>
      </c>
      <c r="BJ240" s="9"/>
    </row>
    <row r="241" spans="1:62" x14ac:dyDescent="0.25">
      <c r="A241" s="6" t="s">
        <v>230</v>
      </c>
      <c r="B241" s="6"/>
      <c r="C241" s="7" t="s">
        <v>526</v>
      </c>
      <c r="D241" s="3"/>
      <c r="E241" s="3">
        <f>VLOOKUP(A241,[2]Sheet1!$A$2:$E$627,5,0)</f>
        <v>99.333333416666676</v>
      </c>
      <c r="F241" s="3">
        <f>VLOOKUP(A241,[2]Sheet1!$A$2:$F$627,6,0)</f>
        <v>99.330297000000002</v>
      </c>
      <c r="G241" s="3">
        <f>VLOOKUP(A241,[2]Sheet1!$A$2:$G$627,7,0)</f>
        <v>0</v>
      </c>
      <c r="H241" s="4">
        <f t="shared" si="18"/>
        <v>99.330297000000002</v>
      </c>
      <c r="I241" s="11">
        <f t="shared" si="19"/>
        <v>-3.0567952994566949E-5</v>
      </c>
      <c r="J241" s="11">
        <f t="shared" si="20"/>
        <v>-1</v>
      </c>
      <c r="K241" s="11">
        <f t="shared" si="21"/>
        <v>-1</v>
      </c>
      <c r="L241" s="11">
        <f>IF(S241="",((BG241-E241)/E241),((U241-E241)/E241))</f>
        <v>-3.0567952994566949E-5</v>
      </c>
      <c r="M241" s="3" t="str">
        <f>IF(S241="Churn","Churn",VLOOKUP(A241,'[1]Revenue_Engine_2025 Dec.25'!$C$14:$E$3993,3,0))</f>
        <v>Diğer</v>
      </c>
      <c r="N241" s="3">
        <f>IF(S241="",VLOOKUP(A241,[3]Export!$B$2:$F$417,5,0),"CHURN")</f>
        <v>0.3195032923003005</v>
      </c>
      <c r="O241" s="3">
        <f>(1-N241)*H241</f>
        <v>67.593940083333337</v>
      </c>
      <c r="P241" s="3">
        <f t="shared" si="23"/>
        <v>67.593940083333337</v>
      </c>
      <c r="Q241" s="3">
        <f t="shared" si="22"/>
        <v>0</v>
      </c>
      <c r="R241" s="3" t="str">
        <f>IF(S241&lt;&gt;"Churn",VLOOKUP(A241,[3]Export!$B$2:$O$417,8,0),"CHURN")</f>
        <v>NO RISK</v>
      </c>
      <c r="S241" s="3"/>
      <c r="T241" s="3"/>
      <c r="U241" s="3" t="s">
        <v>551</v>
      </c>
      <c r="V241" s="4" t="str" cm="1">
        <f t="array" ref="V241">IFERROR(
    IF(
        MATCH(2,1/((Y241:BH241&lt;&gt;0)*(Y241:BH241&lt;&gt;"")))-MATCH(1,INDEX((Y241:BH241&lt;&gt;0)*(Y241:BH241&lt;&gt;""),0),0)+1 &lt;= 12,
        "No",
        "Yes"
    ),
    "No"
)</f>
        <v>Yes</v>
      </c>
      <c r="W241" s="4" t="str" cm="1">
        <f t="array" ref="W241">IFERROR(
    IF(
        MATCH(2,1/((Y241:BH241&lt;&gt;0)*(Y241:BH241&lt;&gt;"")))-MATCH(1,INDEX((Y241:BH241&lt;&gt;0)*(Y241:BH241&lt;&gt;""),0),0)+1 &lt;= 24,
        "No",
        "Yes"
    ),
    "No"
)</f>
        <v>Yes</v>
      </c>
      <c r="X241" s="3"/>
      <c r="Y241" s="4">
        <v>0</v>
      </c>
      <c r="Z241" s="4">
        <v>0</v>
      </c>
      <c r="AA241" s="4">
        <v>0</v>
      </c>
      <c r="AB241" s="4">
        <v>0</v>
      </c>
      <c r="AC241" s="4">
        <v>0</v>
      </c>
      <c r="AD241" s="4">
        <v>0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99.333333416666676</v>
      </c>
      <c r="AK241" s="4">
        <v>99.333333416666676</v>
      </c>
      <c r="AL241" s="4">
        <v>99.333333416666676</v>
      </c>
      <c r="AM241" s="4">
        <v>99.333333416666676</v>
      </c>
      <c r="AN241" s="4">
        <v>99.333333416666676</v>
      </c>
      <c r="AO241" s="4">
        <v>99.333333416666676</v>
      </c>
      <c r="AP241" s="4">
        <v>99.333333416666676</v>
      </c>
      <c r="AQ241" s="4">
        <v>99.333333416666676</v>
      </c>
      <c r="AR241" s="4">
        <v>99.333333416666676</v>
      </c>
      <c r="AS241" s="4">
        <v>99.333333416666676</v>
      </c>
      <c r="AT241" s="4">
        <v>99.333333416666676</v>
      </c>
      <c r="AU241" s="4">
        <v>99.333333416666676</v>
      </c>
      <c r="AV241" s="4">
        <v>99.330297000000002</v>
      </c>
      <c r="AW241" s="4">
        <v>99.330297000000002</v>
      </c>
      <c r="AX241" s="4">
        <v>99.330297000000002</v>
      </c>
      <c r="AY241" s="4">
        <v>99.330297000000002</v>
      </c>
      <c r="AZ241" s="4">
        <v>99.330297000000002</v>
      </c>
      <c r="BA241" s="4">
        <v>99.330297000000002</v>
      </c>
      <c r="BB241" s="4">
        <v>99.330297000000002</v>
      </c>
      <c r="BC241" s="4">
        <v>99.330297000000002</v>
      </c>
      <c r="BD241" s="4">
        <v>99.330297000000002</v>
      </c>
      <c r="BE241" s="4">
        <v>99.330297000000002</v>
      </c>
      <c r="BF241" s="4">
        <v>99.330297000000002</v>
      </c>
      <c r="BG241" s="4">
        <v>99.330297000000002</v>
      </c>
      <c r="BH241" s="4">
        <v>99.330297000000002</v>
      </c>
      <c r="BJ241" s="9"/>
    </row>
    <row r="242" spans="1:62" x14ac:dyDescent="0.25">
      <c r="A242" s="6" t="s">
        <v>231</v>
      </c>
      <c r="B242" s="6"/>
      <c r="C242" s="7" t="s">
        <v>526</v>
      </c>
      <c r="D242" s="3"/>
      <c r="E242" s="3">
        <f>VLOOKUP(A242,[2]Sheet1!$A$2:$E$627,5,0)</f>
        <v>175.20000000000002</v>
      </c>
      <c r="F242" s="3">
        <f>VLOOKUP(A242,[2]Sheet1!$A$2:$F$627,6,0)</f>
        <v>146</v>
      </c>
      <c r="G242" s="3">
        <f>VLOOKUP(A242,[2]Sheet1!$A$2:$G$627,7,0)</f>
        <v>0</v>
      </c>
      <c r="H242" s="4">
        <f t="shared" si="18"/>
        <v>146</v>
      </c>
      <c r="I242" s="11">
        <f t="shared" si="19"/>
        <v>-0.16666666666666674</v>
      </c>
      <c r="J242" s="11">
        <f t="shared" si="20"/>
        <v>-1</v>
      </c>
      <c r="K242" s="11">
        <f t="shared" si="21"/>
        <v>-1</v>
      </c>
      <c r="L242" s="11">
        <f>IF(S242="",((BG242-E242)/E242),((U242-E242)/E242))</f>
        <v>-0.16666666666666674</v>
      </c>
      <c r="M242" s="3" t="str">
        <f>IF(S242="Churn","Churn",VLOOKUP(A242,'[1]Revenue_Engine_2025 Dec.25'!$C$14:$E$3993,3,0))</f>
        <v>Churn</v>
      </c>
      <c r="N242" s="3" t="str">
        <f>IF(S242="",VLOOKUP(A242,[3]Export!$B$2:$F$417,5,0),"CHURN")</f>
        <v>CHURN</v>
      </c>
      <c r="O242" s="3" t="e">
        <f>(1-N242)*H242</f>
        <v>#VALUE!</v>
      </c>
      <c r="P242" s="3" t="e">
        <f t="shared" si="23"/>
        <v>#VALUE!</v>
      </c>
      <c r="Q242" s="3" t="e">
        <f t="shared" si="22"/>
        <v>#VALUE!</v>
      </c>
      <c r="R242" s="3" t="str">
        <f>IF(S242&lt;&gt;"Churn",VLOOKUP(A242,[3]Export!$B$2:$O$417,8,0),"CHURN")</f>
        <v>CHURN</v>
      </c>
      <c r="S242" s="3" t="s">
        <v>372</v>
      </c>
      <c r="T242" s="3" t="s">
        <v>553</v>
      </c>
      <c r="U242" s="3">
        <v>146</v>
      </c>
      <c r="V242" s="4" t="str" cm="1">
        <f t="array" ref="V242">IFERROR(
    IF(
        MATCH(2,1/((Y242:BH242&lt;&gt;0)*(Y242:BH242&lt;&gt;"")))-MATCH(1,INDEX((Y242:BH242&lt;&gt;0)*(Y242:BH242&lt;&gt;""),0),0)+1 &lt;= 12,
        "No",
        "Yes"
    ),
    "No"
)</f>
        <v>Yes</v>
      </c>
      <c r="W242" s="4" t="str" cm="1">
        <f t="array" ref="W242">IFERROR(
    IF(
        MATCH(2,1/((Y242:BH242&lt;&gt;0)*(Y242:BH242&lt;&gt;"")))-MATCH(1,INDEX((Y242:BH242&lt;&gt;0)*(Y242:BH242&lt;&gt;""),0),0)+1 &lt;= 24,
        "No",
        "Yes"
    ),
    "No"
)</f>
        <v>No</v>
      </c>
      <c r="X242" s="3"/>
      <c r="Y242" s="4">
        <v>0</v>
      </c>
      <c r="Z242" s="4">
        <v>0</v>
      </c>
      <c r="AA242" s="4">
        <v>0</v>
      </c>
      <c r="AB242" s="4">
        <v>0</v>
      </c>
      <c r="AC242" s="4">
        <v>0</v>
      </c>
      <c r="AD242" s="4">
        <v>0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175.20000000000002</v>
      </c>
      <c r="AK242" s="4">
        <v>175.20000000000002</v>
      </c>
      <c r="AL242" s="4">
        <v>175.20000000000002</v>
      </c>
      <c r="AM242" s="4">
        <v>175.20000000000002</v>
      </c>
      <c r="AN242" s="4">
        <v>175.20000000000002</v>
      </c>
      <c r="AO242" s="4">
        <v>175.20000000000002</v>
      </c>
      <c r="AP242" s="4">
        <v>175.20000000000002</v>
      </c>
      <c r="AQ242" s="4">
        <v>175.20000000000002</v>
      </c>
      <c r="AR242" s="4">
        <v>175.20000000000002</v>
      </c>
      <c r="AS242" s="4">
        <v>175.20000000000002</v>
      </c>
      <c r="AT242" s="4">
        <v>175.20000000000002</v>
      </c>
      <c r="AU242" s="4">
        <v>321.20000000000005</v>
      </c>
      <c r="AV242" s="4">
        <v>146</v>
      </c>
      <c r="AW242" s="4">
        <v>146</v>
      </c>
      <c r="AX242" s="4">
        <v>146</v>
      </c>
      <c r="AY242" s="4">
        <v>146</v>
      </c>
      <c r="AZ242" s="4">
        <v>146</v>
      </c>
      <c r="BA242" s="4">
        <v>146</v>
      </c>
      <c r="BB242" s="4">
        <v>146</v>
      </c>
      <c r="BC242" s="4">
        <v>146</v>
      </c>
      <c r="BD242" s="4">
        <v>146</v>
      </c>
      <c r="BE242" s="4">
        <v>146</v>
      </c>
      <c r="BF242" s="4">
        <v>146</v>
      </c>
      <c r="BG242" s="4">
        <v>0</v>
      </c>
      <c r="BH242" s="4">
        <v>0</v>
      </c>
      <c r="BJ242" s="9"/>
    </row>
    <row r="243" spans="1:62" x14ac:dyDescent="0.25">
      <c r="A243" s="6" t="s">
        <v>232</v>
      </c>
      <c r="B243" s="6"/>
      <c r="C243" s="7" t="s">
        <v>525</v>
      </c>
      <c r="D243" s="3"/>
      <c r="E243" s="3">
        <f>VLOOKUP(A243,[2]Sheet1!$A$2:$E$627,5,0)</f>
        <v>3334.3447512412099</v>
      </c>
      <c r="F243" s="3">
        <f>VLOOKUP(A243,[2]Sheet1!$A$2:$F$627,6,0)</f>
        <v>2849.9850000000001</v>
      </c>
      <c r="G243" s="3">
        <f>VLOOKUP(A243,[2]Sheet1!$A$2:$G$627,7,0)</f>
        <v>0</v>
      </c>
      <c r="H243" s="4">
        <f t="shared" si="18"/>
        <v>2849.9850000000001</v>
      </c>
      <c r="I243" s="11">
        <f t="shared" si="19"/>
        <v>-0.14526384863499997</v>
      </c>
      <c r="J243" s="11">
        <f t="shared" si="20"/>
        <v>-1</v>
      </c>
      <c r="K243" s="11">
        <f t="shared" si="21"/>
        <v>-1</v>
      </c>
      <c r="L243" s="11">
        <f>IF(S243="",((BG243-E243)/E243),((U243-E243)/E243))</f>
        <v>-0.14526384863499997</v>
      </c>
      <c r="M243" s="3" t="str">
        <f>IF(S243="Churn","Churn",VLOOKUP(A243,'[1]Revenue_Engine_2025 Dec.25'!$C$14:$E$3993,3,0))</f>
        <v>Teknoloji</v>
      </c>
      <c r="N243" s="3">
        <f>IF(S243="",VLOOKUP(A243,[3]Export!$B$2:$F$417,5,0),"CHURN")</f>
        <v>0.39269206680035151</v>
      </c>
      <c r="O243" s="3">
        <f>(1-N243)*H243</f>
        <v>1730.8185000000003</v>
      </c>
      <c r="P243" s="3">
        <f t="shared" si="23"/>
        <v>1730.8185000000003</v>
      </c>
      <c r="Q243" s="3">
        <f t="shared" si="22"/>
        <v>0</v>
      </c>
      <c r="R243" s="3" t="str">
        <f>IF(S243&lt;&gt;"Churn",VLOOKUP(A243,[3]Export!$B$2:$O$417,8,0),"CHURN")</f>
        <v>LOW RISK</v>
      </c>
      <c r="S243" s="3"/>
      <c r="T243" s="3"/>
      <c r="U243" s="3" t="s">
        <v>551</v>
      </c>
      <c r="V243" s="4" t="str" cm="1">
        <f t="array" ref="V243">IFERROR(
    IF(
        MATCH(2,1/((Y243:BH243&lt;&gt;0)*(Y243:BH243&lt;&gt;"")))-MATCH(1,INDEX((Y243:BH243&lt;&gt;0)*(Y243:BH243&lt;&gt;""),0),0)+1 &lt;= 12,
        "No",
        "Yes"
    ),
    "No"
)</f>
        <v>Yes</v>
      </c>
      <c r="W243" s="4" t="str" cm="1">
        <f t="array" ref="W243">IFERROR(
    IF(
        MATCH(2,1/((Y243:BH243&lt;&gt;0)*(Y243:BH243&lt;&gt;"")))-MATCH(1,INDEX((Y243:BH243&lt;&gt;0)*(Y243:BH243&lt;&gt;""),0),0)+1 &lt;= 24,
        "No",
        "Yes"
    ),
    "No"
)</f>
        <v>No</v>
      </c>
      <c r="X243" s="3"/>
      <c r="Y243" s="4">
        <v>0</v>
      </c>
      <c r="Z243" s="4">
        <v>0</v>
      </c>
      <c r="AA243" s="4">
        <v>0</v>
      </c>
      <c r="AB243" s="4">
        <v>0</v>
      </c>
      <c r="AC243" s="4">
        <v>0</v>
      </c>
      <c r="AD243" s="4">
        <v>0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3334.3447512412099</v>
      </c>
      <c r="AL243" s="4">
        <v>3257.7322274418329</v>
      </c>
      <c r="AM243" s="4">
        <v>3133.0087536264577</v>
      </c>
      <c r="AN243" s="4">
        <v>3101.8043195726955</v>
      </c>
      <c r="AO243" s="4">
        <v>3106.3135823561388</v>
      </c>
      <c r="AP243" s="4">
        <v>3080.0125664512711</v>
      </c>
      <c r="AQ243" s="4">
        <v>3044.334645441565</v>
      </c>
      <c r="AR243" s="4">
        <v>2849.9850000000006</v>
      </c>
      <c r="AS243" s="4">
        <v>2849.9850000000006</v>
      </c>
      <c r="AT243" s="4">
        <v>2849.9850000000001</v>
      </c>
      <c r="AU243" s="4">
        <v>2849.9850000000001</v>
      </c>
      <c r="AV243" s="4">
        <v>2849.9850000000001</v>
      </c>
      <c r="AW243" s="4">
        <v>2849.9850000000001</v>
      </c>
      <c r="AX243" s="4">
        <v>2849.9850000000001</v>
      </c>
      <c r="AY243" s="4">
        <v>2849.9850000000001</v>
      </c>
      <c r="AZ243" s="4">
        <v>2849.9850000000006</v>
      </c>
      <c r="BA243" s="4">
        <v>2849.9850000000001</v>
      </c>
      <c r="BB243" s="4">
        <v>2849.9850000000001</v>
      </c>
      <c r="BC243" s="4">
        <v>2849.9850000000001</v>
      </c>
      <c r="BD243" s="4">
        <v>2849.9850000000001</v>
      </c>
      <c r="BE243" s="4">
        <v>2849.9850000000001</v>
      </c>
      <c r="BF243" s="4">
        <v>2849.9850000000001</v>
      </c>
      <c r="BG243" s="4">
        <v>2849.9850000000001</v>
      </c>
      <c r="BH243" s="4">
        <v>2849.9850000000001</v>
      </c>
      <c r="BJ243" s="9"/>
    </row>
    <row r="244" spans="1:62" x14ac:dyDescent="0.25">
      <c r="A244" s="6" t="s">
        <v>233</v>
      </c>
      <c r="B244" s="6"/>
      <c r="C244" s="7" t="s">
        <v>526</v>
      </c>
      <c r="D244" s="3"/>
      <c r="E244" s="3">
        <f>VLOOKUP(A244,[2]Sheet1!$A$2:$E$627,5,0)</f>
        <v>440.009998</v>
      </c>
      <c r="F244" s="3">
        <f>VLOOKUP(A244,[2]Sheet1!$A$2:$F$627,6,0)</f>
        <v>440.009998</v>
      </c>
      <c r="G244" s="3">
        <f>VLOOKUP(A244,[2]Sheet1!$A$2:$G$627,7,0)</f>
        <v>0</v>
      </c>
      <c r="H244" s="4">
        <f t="shared" si="18"/>
        <v>440.009998</v>
      </c>
      <c r="I244" s="11">
        <f t="shared" si="19"/>
        <v>0</v>
      </c>
      <c r="J244" s="11">
        <f t="shared" si="20"/>
        <v>-1</v>
      </c>
      <c r="K244" s="11">
        <f t="shared" si="21"/>
        <v>-1</v>
      </c>
      <c r="L244" s="11">
        <f>IF(S244="",((BG244-E244)/E244),((U244-E244)/E244))</f>
        <v>0</v>
      </c>
      <c r="M244" s="3" t="str">
        <f>IF(S244="Churn","Churn",VLOOKUP(A244,'[1]Revenue_Engine_2025 Dec.25'!$C$14:$E$3993,3,0))</f>
        <v>Bayi</v>
      </c>
      <c r="N244" s="3">
        <f>IF(S244="",VLOOKUP(A244,[3]Export!$B$2:$F$417,5,0),"CHURN")</f>
        <v>0.55453285404664832</v>
      </c>
      <c r="O244" s="3">
        <f>(1-N244)*H244</f>
        <v>196.00999799999997</v>
      </c>
      <c r="P244" s="3">
        <f t="shared" si="23"/>
        <v>196.00999799999997</v>
      </c>
      <c r="Q244" s="3">
        <f t="shared" si="22"/>
        <v>0</v>
      </c>
      <c r="R244" s="3" t="str">
        <f>IF(S244&lt;&gt;"Churn",VLOOKUP(A244,[3]Export!$B$2:$O$417,8,0),"CHURN")</f>
        <v>NO RISK</v>
      </c>
      <c r="S244" s="3"/>
      <c r="T244" s="3"/>
      <c r="U244" s="3" t="s">
        <v>551</v>
      </c>
      <c r="V244" s="4" t="str" cm="1">
        <f t="array" ref="V244">IFERROR(
    IF(
        MATCH(2,1/((Y244:BH244&lt;&gt;0)*(Y244:BH244&lt;&gt;"")))-MATCH(1,INDEX((Y244:BH244&lt;&gt;0)*(Y244:BH244&lt;&gt;""),0),0)+1 &lt;= 12,
        "No",
        "Yes"
    ),
    "No"
)</f>
        <v>Yes</v>
      </c>
      <c r="W244" s="4" t="str" cm="1">
        <f t="array" ref="W244">IFERROR(
    IF(
        MATCH(2,1/((Y244:BH244&lt;&gt;0)*(Y244:BH244&lt;&gt;"")))-MATCH(1,INDEX((Y244:BH244&lt;&gt;0)*(Y244:BH244&lt;&gt;""),0),0)+1 &lt;= 24,
        "No",
        "Yes"
    ),
    "No"
)</f>
        <v>No</v>
      </c>
      <c r="X244" s="3"/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440.009998</v>
      </c>
      <c r="AL244" s="4">
        <v>440.009998</v>
      </c>
      <c r="AM244" s="4">
        <v>440.009998</v>
      </c>
      <c r="AN244" s="4">
        <v>440.009998</v>
      </c>
      <c r="AO244" s="4">
        <v>440.009998</v>
      </c>
      <c r="AP244" s="4">
        <v>440.009998</v>
      </c>
      <c r="AQ244" s="4">
        <v>440.009998</v>
      </c>
      <c r="AR244" s="4">
        <v>440.009998</v>
      </c>
      <c r="AS244" s="4">
        <v>440.009998</v>
      </c>
      <c r="AT244" s="4">
        <v>440.009998</v>
      </c>
      <c r="AU244" s="4">
        <v>440.009998</v>
      </c>
      <c r="AV244" s="4">
        <v>440.009998</v>
      </c>
      <c r="AW244" s="4">
        <v>440.009998</v>
      </c>
      <c r="AX244" s="4">
        <v>440.009998</v>
      </c>
      <c r="AY244" s="4">
        <v>440.009998</v>
      </c>
      <c r="AZ244" s="4">
        <v>440.00999799999994</v>
      </c>
      <c r="BA244" s="4">
        <v>440.009998</v>
      </c>
      <c r="BB244" s="4">
        <v>440.009998</v>
      </c>
      <c r="BC244" s="4">
        <v>440.009998</v>
      </c>
      <c r="BD244" s="4">
        <v>440.009998</v>
      </c>
      <c r="BE244" s="4">
        <v>440.009998</v>
      </c>
      <c r="BF244" s="4">
        <v>440.009998</v>
      </c>
      <c r="BG244" s="4">
        <v>440.009998</v>
      </c>
      <c r="BH244" s="4">
        <v>440.009998</v>
      </c>
      <c r="BJ244" s="9"/>
    </row>
    <row r="245" spans="1:62" x14ac:dyDescent="0.25">
      <c r="A245" s="6" t="s">
        <v>234</v>
      </c>
      <c r="B245" s="6"/>
      <c r="C245" s="7" t="s">
        <v>526</v>
      </c>
      <c r="D245" s="3"/>
      <c r="E245" s="3">
        <f>VLOOKUP(A245,[2]Sheet1!$A$2:$E$627,5,0)</f>
        <v>119.20039174999998</v>
      </c>
      <c r="F245" s="3">
        <f>VLOOKUP(A245,[2]Sheet1!$A$2:$F$627,6,0)</f>
        <v>101.82819649999999</v>
      </c>
      <c r="G245" s="3">
        <f>VLOOKUP(A245,[2]Sheet1!$A$2:$G$627,7,0)</f>
        <v>0</v>
      </c>
      <c r="H245" s="4">
        <f t="shared" si="18"/>
        <v>101.82819649999999</v>
      </c>
      <c r="I245" s="11">
        <f t="shared" si="19"/>
        <v>-0.14573941406530649</v>
      </c>
      <c r="J245" s="11">
        <f t="shared" si="20"/>
        <v>-1</v>
      </c>
      <c r="K245" s="11">
        <f t="shared" si="21"/>
        <v>-1</v>
      </c>
      <c r="L245" s="11">
        <f>IF(S245="",((BG245-E245)/E245),((U245-E245)/E245))</f>
        <v>-0.14573941406530649</v>
      </c>
      <c r="M245" s="3" t="str">
        <f>IF(S245="Churn","Churn",VLOOKUP(A245,'[1]Revenue_Engine_2025 Dec.25'!$C$14:$E$3993,3,0))</f>
        <v>Diğer</v>
      </c>
      <c r="N245" s="3">
        <f>IF(S245="",VLOOKUP(A245,[3]Export!$B$2:$F$417,5,0),"CHURN")</f>
        <v>0.31150695246445481</v>
      </c>
      <c r="O245" s="3">
        <f>(1-N245)*H245</f>
        <v>70.108005333333324</v>
      </c>
      <c r="P245" s="3">
        <f t="shared" si="23"/>
        <v>70.108005333333324</v>
      </c>
      <c r="Q245" s="3">
        <f t="shared" si="22"/>
        <v>0</v>
      </c>
      <c r="R245" s="3" t="str">
        <f>IF(S245&lt;&gt;"Churn",VLOOKUP(A245,[3]Export!$B$2:$O$417,8,0),"CHURN")</f>
        <v>NO RISK</v>
      </c>
      <c r="S245" s="3"/>
      <c r="T245" s="3"/>
      <c r="U245" s="3" t="s">
        <v>551</v>
      </c>
      <c r="V245" s="4" t="str" cm="1">
        <f t="array" ref="V245">IFERROR(
    IF(
        MATCH(2,1/((Y245:BH245&lt;&gt;0)*(Y245:BH245&lt;&gt;"")))-MATCH(1,INDEX((Y245:BH245&lt;&gt;0)*(Y245:BH245&lt;&gt;""),0),0)+1 &lt;= 12,
        "No",
        "Yes"
    ),
    "No"
)</f>
        <v>Yes</v>
      </c>
      <c r="W245" s="4" t="str" cm="1">
        <f t="array" ref="W245">IFERROR(
    IF(
        MATCH(2,1/((Y245:BH245&lt;&gt;0)*(Y245:BH245&lt;&gt;"")))-MATCH(1,INDEX((Y245:BH245&lt;&gt;0)*(Y245:BH245&lt;&gt;""),0),0)+1 &lt;= 24,
        "No",
        "Yes"
    ),
    "No"
)</f>
        <v>No</v>
      </c>
      <c r="X245" s="3"/>
      <c r="Y245" s="4">
        <v>0</v>
      </c>
      <c r="Z245" s="4">
        <v>0</v>
      </c>
      <c r="AA245" s="4">
        <v>0</v>
      </c>
      <c r="AB245" s="4">
        <v>0</v>
      </c>
      <c r="AC245" s="4">
        <v>0</v>
      </c>
      <c r="AD245" s="4">
        <v>0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119.20039174999998</v>
      </c>
      <c r="AL245" s="4">
        <v>119.20039174999998</v>
      </c>
      <c r="AM245" s="4">
        <v>119.20039174999998</v>
      </c>
      <c r="AN245" s="4">
        <v>119.20039174999998</v>
      </c>
      <c r="AO245" s="4">
        <v>119.20039174999998</v>
      </c>
      <c r="AP245" s="4">
        <v>119.20039174999998</v>
      </c>
      <c r="AQ245" s="4">
        <v>119.20039174999998</v>
      </c>
      <c r="AR245" s="4">
        <v>119.20039174999998</v>
      </c>
      <c r="AS245" s="4">
        <v>119.20039174999998</v>
      </c>
      <c r="AT245" s="4">
        <v>119.20039174999998</v>
      </c>
      <c r="AU245" s="4">
        <v>119.20039174999998</v>
      </c>
      <c r="AV245" s="4">
        <v>119.20039174999998</v>
      </c>
      <c r="AW245" s="4">
        <v>101.82819649999999</v>
      </c>
      <c r="AX245" s="4">
        <v>101.82819649999999</v>
      </c>
      <c r="AY245" s="4">
        <v>101.82819649999999</v>
      </c>
      <c r="AZ245" s="4">
        <v>101.82819649999999</v>
      </c>
      <c r="BA245" s="4">
        <v>101.82819649999999</v>
      </c>
      <c r="BB245" s="4">
        <v>101.82819649999999</v>
      </c>
      <c r="BC245" s="4">
        <v>101.82819649999999</v>
      </c>
      <c r="BD245" s="4">
        <v>101.82819649999999</v>
      </c>
      <c r="BE245" s="4">
        <v>101.82819649999999</v>
      </c>
      <c r="BF245" s="4">
        <v>101.82819649999999</v>
      </c>
      <c r="BG245" s="4">
        <v>101.82819649999999</v>
      </c>
      <c r="BH245" s="4">
        <v>101.82819649999999</v>
      </c>
      <c r="BJ245" s="9"/>
    </row>
    <row r="246" spans="1:62" x14ac:dyDescent="0.25">
      <c r="A246" s="6" t="s">
        <v>235</v>
      </c>
      <c r="B246" s="6"/>
      <c r="C246" s="7" t="s">
        <v>526</v>
      </c>
      <c r="D246" s="3"/>
      <c r="E246" s="3">
        <f>VLOOKUP(A246,[2]Sheet1!$A$2:$E$627,5,0)</f>
        <v>121.83333008333334</v>
      </c>
      <c r="F246" s="3">
        <f>VLOOKUP(A246,[2]Sheet1!$A$2:$F$627,6,0)</f>
        <v>124.82970833333334</v>
      </c>
      <c r="G246" s="3">
        <f>VLOOKUP(A246,[2]Sheet1!$A$2:$G$627,7,0)</f>
        <v>0</v>
      </c>
      <c r="H246" s="4">
        <f t="shared" si="18"/>
        <v>124.82970833333334</v>
      </c>
      <c r="I246" s="11">
        <f t="shared" si="19"/>
        <v>2.4594076579459005E-2</v>
      </c>
      <c r="J246" s="11">
        <f t="shared" si="20"/>
        <v>-1</v>
      </c>
      <c r="K246" s="11">
        <f t="shared" si="21"/>
        <v>-1</v>
      </c>
      <c r="L246" s="11">
        <f>IF(S246="",((BG246-E246)/E246),((U246-E246)/E246))</f>
        <v>2.4594076579459005E-2</v>
      </c>
      <c r="M246" s="3" t="str">
        <f>IF(S246="Churn","Churn",VLOOKUP(A246,'[1]Revenue_Engine_2025 Dec.25'!$C$14:$E$3993,3,0))</f>
        <v>Diğer</v>
      </c>
      <c r="N246" s="3">
        <f>IF(S246="",VLOOKUP(A246,[3]Export!$B$2:$F$417,5,0),"CHURN")</f>
        <v>0.43450709082673622</v>
      </c>
      <c r="O246" s="3">
        <f>(1-N246)*H246</f>
        <v>70.590314916666685</v>
      </c>
      <c r="P246" s="3">
        <f t="shared" si="23"/>
        <v>70.590314916666685</v>
      </c>
      <c r="Q246" s="3">
        <f t="shared" si="22"/>
        <v>0</v>
      </c>
      <c r="R246" s="3" t="str">
        <f>IF(S246&lt;&gt;"Churn",VLOOKUP(A246,[3]Export!$B$2:$O$417,8,0),"CHURN")</f>
        <v>NO RISK</v>
      </c>
      <c r="S246" s="3"/>
      <c r="T246" s="3"/>
      <c r="U246" s="3" t="s">
        <v>551</v>
      </c>
      <c r="V246" s="4" t="str" cm="1">
        <f t="array" ref="V246">IFERROR(
    IF(
        MATCH(2,1/((Y246:BH246&lt;&gt;0)*(Y246:BH246&lt;&gt;"")))-MATCH(1,INDEX((Y246:BH246&lt;&gt;0)*(Y246:BH246&lt;&gt;""),0),0)+1 &lt;= 12,
        "No",
        "Yes"
    ),
    "No"
)</f>
        <v>Yes</v>
      </c>
      <c r="W246" s="4" t="str" cm="1">
        <f t="array" ref="W246">IFERROR(
    IF(
        MATCH(2,1/((Y246:BH246&lt;&gt;0)*(Y246:BH246&lt;&gt;"")))-MATCH(1,INDEX((Y246:BH246&lt;&gt;0)*(Y246:BH246&lt;&gt;""),0),0)+1 &lt;= 24,
        "No",
        "Yes"
    ),
    "No"
)</f>
        <v>No</v>
      </c>
      <c r="X246" s="3"/>
      <c r="Y246" s="4">
        <v>0</v>
      </c>
      <c r="Z246" s="4">
        <v>0</v>
      </c>
      <c r="AA246" s="4">
        <v>0</v>
      </c>
      <c r="AB246" s="4">
        <v>0</v>
      </c>
      <c r="AC246" s="4">
        <v>0</v>
      </c>
      <c r="AD246" s="4">
        <v>0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99.333330083333337</v>
      </c>
      <c r="AL246" s="4">
        <v>121.83333008333334</v>
      </c>
      <c r="AM246" s="4">
        <v>121.83333008333334</v>
      </c>
      <c r="AN246" s="4">
        <v>121.83333008333334</v>
      </c>
      <c r="AO246" s="4">
        <v>121.83333008333334</v>
      </c>
      <c r="AP246" s="4">
        <v>121.83333008333334</v>
      </c>
      <c r="AQ246" s="4">
        <v>121.83333008333334</v>
      </c>
      <c r="AR246" s="4">
        <v>121.83333008333334</v>
      </c>
      <c r="AS246" s="4">
        <v>121.83333008333334</v>
      </c>
      <c r="AT246" s="4">
        <v>121.83333008333334</v>
      </c>
      <c r="AU246" s="4">
        <v>121.83333008333334</v>
      </c>
      <c r="AV246" s="4">
        <v>124.83333008333334</v>
      </c>
      <c r="AW246" s="4">
        <v>124.82970833333334</v>
      </c>
      <c r="AX246" s="4">
        <v>124.82970833333334</v>
      </c>
      <c r="AY246" s="4">
        <v>124.82970833333334</v>
      </c>
      <c r="AZ246" s="4">
        <v>124.82970833333334</v>
      </c>
      <c r="BA246" s="4">
        <v>124.82970833333334</v>
      </c>
      <c r="BB246" s="4">
        <v>124.82970833333334</v>
      </c>
      <c r="BC246" s="4">
        <v>124.82970833333334</v>
      </c>
      <c r="BD246" s="4">
        <v>124.82970833333334</v>
      </c>
      <c r="BE246" s="4">
        <v>124.82970833333334</v>
      </c>
      <c r="BF246" s="4">
        <v>124.82970833333334</v>
      </c>
      <c r="BG246" s="4">
        <v>124.82970833333334</v>
      </c>
      <c r="BH246" s="4">
        <v>124.82970833333334</v>
      </c>
      <c r="BJ246" s="9"/>
    </row>
    <row r="247" spans="1:62" x14ac:dyDescent="0.25">
      <c r="A247" s="6" t="s">
        <v>236</v>
      </c>
      <c r="B247" s="6"/>
      <c r="C247" s="7" t="s">
        <v>526</v>
      </c>
      <c r="D247" s="3"/>
      <c r="E247" s="3">
        <f>VLOOKUP(A247,[2]Sheet1!$A$2:$E$627,5,0)</f>
        <v>1150.0056199999999</v>
      </c>
      <c r="F247" s="3">
        <f>VLOOKUP(A247,[2]Sheet1!$A$2:$F$627,6,0)</f>
        <v>1334.871036</v>
      </c>
      <c r="G247" s="3">
        <f>VLOOKUP(A247,[2]Sheet1!$A$2:$G$627,7,0)</f>
        <v>0</v>
      </c>
      <c r="H247" s="4">
        <f t="shared" si="18"/>
        <v>1373.0010360000001</v>
      </c>
      <c r="I247" s="11">
        <f t="shared" si="19"/>
        <v>0.16075175006536063</v>
      </c>
      <c r="J247" s="11">
        <f t="shared" si="20"/>
        <v>-1</v>
      </c>
      <c r="K247" s="11">
        <f t="shared" si="21"/>
        <v>-1</v>
      </c>
      <c r="L247" s="11">
        <f>IF(S247="",((BG247-E247)/E247),((U247-E247)/E247))</f>
        <v>0.19390810977080289</v>
      </c>
      <c r="M247" s="3" t="str">
        <f>IF(S247="Churn","Churn",VLOOKUP(A247,'[1]Revenue_Engine_2025 Dec.25'!$C$14:$E$3993,3,0))</f>
        <v>Üretim</v>
      </c>
      <c r="N247" s="3">
        <f>IF(S247="",VLOOKUP(A247,[3]Export!$B$2:$F$417,5,0),"CHURN")</f>
        <v>0.52267258449468479</v>
      </c>
      <c r="O247" s="3">
        <f>(1-N247)*H247</f>
        <v>655.37103600000034</v>
      </c>
      <c r="P247" s="3">
        <f t="shared" si="23"/>
        <v>637.17054164678257</v>
      </c>
      <c r="Q247" s="3">
        <f t="shared" si="22"/>
        <v>0</v>
      </c>
      <c r="R247" s="3" t="str">
        <f>IF(S247&lt;&gt;"Churn",VLOOKUP(A247,[3]Export!$B$2:$O$417,8,0),"CHURN")</f>
        <v>NO RISK</v>
      </c>
      <c r="S247" s="3"/>
      <c r="T247" s="3"/>
      <c r="U247" s="3" t="s">
        <v>551</v>
      </c>
      <c r="V247" s="4" t="str" cm="1">
        <f t="array" ref="V247">IFERROR(
    IF(
        MATCH(2,1/((Y247:BH247&lt;&gt;0)*(Y247:BH247&lt;&gt;"")))-MATCH(1,INDEX((Y247:BH247&lt;&gt;0)*(Y247:BH247&lt;&gt;""),0),0)+1 &lt;= 12,
        "No",
        "Yes"
    ),
    "No"
)</f>
        <v>Yes</v>
      </c>
      <c r="W247" s="4" t="str" cm="1">
        <f t="array" ref="W247">IFERROR(
    IF(
        MATCH(2,1/((Y247:BH247&lt;&gt;0)*(Y247:BH247&lt;&gt;"")))-MATCH(1,INDEX((Y247:BH247&lt;&gt;0)*(Y247:BH247&lt;&gt;""),0),0)+1 &lt;= 24,
        "No",
        "Yes"
    ),
    "No"
)</f>
        <v>No</v>
      </c>
      <c r="X247" s="3"/>
      <c r="Y247" s="4">
        <v>0</v>
      </c>
      <c r="Z247" s="4">
        <v>0</v>
      </c>
      <c r="AA247" s="4">
        <v>0</v>
      </c>
      <c r="AB247" s="4">
        <v>0</v>
      </c>
      <c r="AC247" s="4">
        <v>0</v>
      </c>
      <c r="AD247" s="4">
        <v>0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1100.0056199999999</v>
      </c>
      <c r="AL247" s="4">
        <v>1125.0056199999999</v>
      </c>
      <c r="AM247" s="4">
        <v>1150.0056199999999</v>
      </c>
      <c r="AN247" s="4">
        <v>1150.0056199999999</v>
      </c>
      <c r="AO247" s="4">
        <v>1150.0056199999999</v>
      </c>
      <c r="AP247" s="4">
        <v>1162.5056199999999</v>
      </c>
      <c r="AQ247" s="4">
        <v>1162.5056199999999</v>
      </c>
      <c r="AR247" s="4">
        <v>1162.5056199999999</v>
      </c>
      <c r="AS247" s="4">
        <v>1197.5056199999999</v>
      </c>
      <c r="AT247" s="4">
        <v>1197.5056199999999</v>
      </c>
      <c r="AU247" s="4">
        <v>1205.5056199999999</v>
      </c>
      <c r="AV247" s="4">
        <v>1205.5056199999999</v>
      </c>
      <c r="AW247" s="4">
        <v>1334.871036</v>
      </c>
      <c r="AX247" s="4">
        <v>1334.871036</v>
      </c>
      <c r="AY247" s="4">
        <v>1334.871036</v>
      </c>
      <c r="AZ247" s="4">
        <v>1334.8710360000002</v>
      </c>
      <c r="BA247" s="4">
        <v>1334.871036</v>
      </c>
      <c r="BB247" s="4">
        <v>1359.871036</v>
      </c>
      <c r="BC247" s="4">
        <v>1359.871036</v>
      </c>
      <c r="BD247" s="4">
        <v>1359.871036</v>
      </c>
      <c r="BE247" s="4">
        <v>1373.0010360000001</v>
      </c>
      <c r="BF247" s="4">
        <v>1373.0010360000001</v>
      </c>
      <c r="BG247" s="4">
        <v>1373.0010360000001</v>
      </c>
      <c r="BH247" s="4">
        <v>1373.0010360000001</v>
      </c>
      <c r="BJ247" s="9"/>
    </row>
    <row r="248" spans="1:62" x14ac:dyDescent="0.25">
      <c r="A248" s="6" t="s">
        <v>237</v>
      </c>
      <c r="B248" s="6"/>
      <c r="C248" s="7" t="s">
        <v>526</v>
      </c>
      <c r="D248" s="3"/>
      <c r="E248" s="3">
        <f>VLOOKUP(A248,[2]Sheet1!$A$2:$E$627,5,0)</f>
        <v>208</v>
      </c>
      <c r="F248" s="3">
        <f>VLOOKUP(A248,[2]Sheet1!$A$2:$F$627,6,0)</f>
        <v>208</v>
      </c>
      <c r="G248" s="3">
        <f>VLOOKUP(A248,[2]Sheet1!$A$2:$G$627,7,0)</f>
        <v>0</v>
      </c>
      <c r="H248" s="4">
        <f t="shared" si="18"/>
        <v>0</v>
      </c>
      <c r="I248" s="11">
        <f t="shared" si="19"/>
        <v>0</v>
      </c>
      <c r="J248" s="11">
        <f t="shared" si="20"/>
        <v>-1</v>
      </c>
      <c r="K248" s="11">
        <f t="shared" si="21"/>
        <v>-1</v>
      </c>
      <c r="L248" s="11">
        <f>IF(S248="",((BG248-E248)/E248),((U248-E248)/E248))</f>
        <v>0</v>
      </c>
      <c r="M248" s="3" t="str">
        <f>IF(S248="Churn","Churn",VLOOKUP(A248,'[1]Revenue_Engine_2025 Dec.25'!$C$14:$E$3993,3,0))</f>
        <v>Churn</v>
      </c>
      <c r="N248" s="3" t="str">
        <f>IF(S248="",VLOOKUP(A248,[3]Export!$B$2:$F$417,5,0),"CHURN")</f>
        <v>CHURN</v>
      </c>
      <c r="O248" s="3" t="e">
        <f>(1-N248)*H248</f>
        <v>#VALUE!</v>
      </c>
      <c r="P248" s="3" t="e">
        <f t="shared" si="23"/>
        <v>#VALUE!</v>
      </c>
      <c r="Q248" s="3" t="e">
        <f t="shared" si="22"/>
        <v>#VALUE!</v>
      </c>
      <c r="R248" s="3" t="str">
        <f>IF(S248&lt;&gt;"Churn",VLOOKUP(A248,[3]Export!$B$2:$O$417,8,0),"CHURN")</f>
        <v>CHURN</v>
      </c>
      <c r="S248" s="3" t="s">
        <v>372</v>
      </c>
      <c r="T248" s="3" t="s">
        <v>562</v>
      </c>
      <c r="U248" s="3">
        <v>208</v>
      </c>
      <c r="V248" s="4" t="str" cm="1">
        <f t="array" ref="V248">IFERROR(
    IF(
        MATCH(2,1/((Y248:BH248&lt;&gt;0)*(Y248:BH248&lt;&gt;"")))-MATCH(1,INDEX((Y248:BH248&lt;&gt;0)*(Y248:BH248&lt;&gt;""),0),0)+1 &lt;= 12,
        "No",
        "Yes"
    ),
    "No"
)</f>
        <v>Yes</v>
      </c>
      <c r="W248" s="4" t="str" cm="1">
        <f t="array" ref="W248">IFERROR(
    IF(
        MATCH(2,1/((Y248:BH248&lt;&gt;0)*(Y248:BH248&lt;&gt;"")))-MATCH(1,INDEX((Y248:BH248&lt;&gt;0)*(Y248:BH248&lt;&gt;""),0),0)+1 &lt;= 24,
        "No",
        "Yes"
    ),
    "No"
)</f>
        <v>No</v>
      </c>
      <c r="X248" s="3"/>
      <c r="Y248" s="4">
        <v>0</v>
      </c>
      <c r="Z248" s="4">
        <v>0</v>
      </c>
      <c r="AA248" s="4">
        <v>0</v>
      </c>
      <c r="AB248" s="4">
        <v>0</v>
      </c>
      <c r="AC248" s="4">
        <v>0</v>
      </c>
      <c r="AD248" s="4">
        <v>0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187.5</v>
      </c>
      <c r="AL248" s="4">
        <v>208</v>
      </c>
      <c r="AM248" s="4">
        <v>208</v>
      </c>
      <c r="AN248" s="4">
        <v>208</v>
      </c>
      <c r="AO248" s="4">
        <v>208</v>
      </c>
      <c r="AP248" s="4">
        <v>208</v>
      </c>
      <c r="AQ248" s="4">
        <v>208</v>
      </c>
      <c r="AR248" s="4">
        <v>208</v>
      </c>
      <c r="AS248" s="4">
        <v>208</v>
      </c>
      <c r="AT248" s="4">
        <v>208</v>
      </c>
      <c r="AU248" s="4">
        <v>208</v>
      </c>
      <c r="AV248" s="4">
        <v>208</v>
      </c>
      <c r="AW248" s="4">
        <v>208</v>
      </c>
      <c r="AX248" s="4">
        <v>0</v>
      </c>
      <c r="AY248" s="4">
        <v>0</v>
      </c>
      <c r="AZ248" s="4">
        <v>0</v>
      </c>
      <c r="BA248" s="4">
        <v>0</v>
      </c>
      <c r="BB248" s="4">
        <v>0</v>
      </c>
      <c r="BC248" s="4">
        <v>0</v>
      </c>
      <c r="BD248" s="4">
        <v>0</v>
      </c>
      <c r="BE248" s="4">
        <v>0</v>
      </c>
      <c r="BF248" s="4">
        <v>0</v>
      </c>
      <c r="BG248" s="4">
        <v>0</v>
      </c>
      <c r="BH248" s="4">
        <v>0</v>
      </c>
      <c r="BJ248" s="9"/>
    </row>
    <row r="249" spans="1:62" x14ac:dyDescent="0.25">
      <c r="A249" s="6" t="s">
        <v>238</v>
      </c>
      <c r="B249" s="6"/>
      <c r="C249" s="7" t="s">
        <v>525</v>
      </c>
      <c r="D249" s="3"/>
      <c r="E249" s="3">
        <f>VLOOKUP(A249,[2]Sheet1!$A$2:$E$627,5,0)</f>
        <v>4406</v>
      </c>
      <c r="F249" s="3">
        <f>VLOOKUP(A249,[2]Sheet1!$A$2:$F$627,6,0)</f>
        <v>4417.4513999999999</v>
      </c>
      <c r="G249" s="3">
        <f>VLOOKUP(A249,[2]Sheet1!$A$2:$G$627,7,0)</f>
        <v>0</v>
      </c>
      <c r="H249" s="4">
        <f t="shared" si="18"/>
        <v>0</v>
      </c>
      <c r="I249" s="11">
        <f t="shared" si="19"/>
        <v>2.5990467544257652E-3</v>
      </c>
      <c r="J249" s="11">
        <f t="shared" si="20"/>
        <v>-1</v>
      </c>
      <c r="K249" s="11">
        <f t="shared" si="21"/>
        <v>-1</v>
      </c>
      <c r="L249" s="11">
        <f>IF(S249="",((BG249-E249)/E249),((U249-E249)/E249))</f>
        <v>1.1620835224693375E-2</v>
      </c>
      <c r="M249" s="3" t="str">
        <f>IF(S249="Churn","Churn",VLOOKUP(A249,'[1]Revenue_Engine_2025 Dec.25'!$C$14:$E$3993,3,0))</f>
        <v>Churn</v>
      </c>
      <c r="N249" s="3" t="str">
        <f>IF(S249="",VLOOKUP(A249,[3]Export!$B$2:$F$417,5,0),"CHURN")</f>
        <v>CHURN</v>
      </c>
      <c r="O249" s="3" t="e">
        <f>(1-N249)*H249</f>
        <v>#VALUE!</v>
      </c>
      <c r="P249" s="3" t="e">
        <f t="shared" si="23"/>
        <v>#VALUE!</v>
      </c>
      <c r="Q249" s="3" t="e">
        <f t="shared" si="22"/>
        <v>#VALUE!</v>
      </c>
      <c r="R249" s="3" t="str">
        <f>IF(S249&lt;&gt;"Churn",VLOOKUP(A249,[3]Export!$B$2:$O$417,8,0),"CHURN")</f>
        <v>CHURN</v>
      </c>
      <c r="S249" s="3" t="s">
        <v>372</v>
      </c>
      <c r="T249" s="3" t="s">
        <v>561</v>
      </c>
      <c r="U249" s="3">
        <v>4457.201399999999</v>
      </c>
      <c r="V249" s="4" t="str" cm="1">
        <f t="array" ref="V249">IFERROR(
    IF(
        MATCH(2,1/((Y249:BH249&lt;&gt;0)*(Y249:BH249&lt;&gt;"")))-MATCH(1,INDEX((Y249:BH249&lt;&gt;0)*(Y249:BH249&lt;&gt;""),0),0)+1 &lt;= 12,
        "No",
        "Yes"
    ),
    "No"
)</f>
        <v>Yes</v>
      </c>
      <c r="W249" s="4" t="str" cm="1">
        <f t="array" ref="W249">IFERROR(
    IF(
        MATCH(2,1/((Y249:BH249&lt;&gt;0)*(Y249:BH249&lt;&gt;"")))-MATCH(1,INDEX((Y249:BH249&lt;&gt;0)*(Y249:BH249&lt;&gt;""),0),0)+1 &lt;= 24,
        "No",
        "Yes"
    ),
    "No"
)</f>
        <v>No</v>
      </c>
      <c r="X249" s="3"/>
      <c r="Y249" s="4">
        <v>0</v>
      </c>
      <c r="Z249" s="4">
        <v>0</v>
      </c>
      <c r="AA249" s="4">
        <v>0</v>
      </c>
      <c r="AB249" s="4">
        <v>0</v>
      </c>
      <c r="AC249" s="4">
        <v>0</v>
      </c>
      <c r="AD249" s="4">
        <v>0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4406</v>
      </c>
      <c r="AR249" s="4">
        <v>4406</v>
      </c>
      <c r="AS249" s="4">
        <v>4406</v>
      </c>
      <c r="AT249" s="4">
        <v>4409</v>
      </c>
      <c r="AU249" s="4">
        <v>4409</v>
      </c>
      <c r="AV249" s="4">
        <v>4409</v>
      </c>
      <c r="AW249" s="4">
        <v>4409</v>
      </c>
      <c r="AX249" s="4">
        <v>4417.4513999999999</v>
      </c>
      <c r="AY249" s="4">
        <v>4417.4513999999999</v>
      </c>
      <c r="AZ249" s="4">
        <v>4425.1180666666669</v>
      </c>
      <c r="BA249" s="4">
        <v>4448.034733333333</v>
      </c>
      <c r="BB249" s="4">
        <v>4457.201399999999</v>
      </c>
      <c r="BC249" s="4">
        <v>4457.201399999999</v>
      </c>
      <c r="BD249" s="4">
        <v>4457.201399999999</v>
      </c>
      <c r="BE249" s="4">
        <v>2395.7485770000008</v>
      </c>
      <c r="BF249" s="4">
        <v>0</v>
      </c>
      <c r="BG249" s="4">
        <v>0</v>
      </c>
      <c r="BH249" s="4">
        <v>0</v>
      </c>
      <c r="BJ249" s="9"/>
    </row>
    <row r="250" spans="1:62" x14ac:dyDescent="0.25">
      <c r="A250" s="6" t="s">
        <v>239</v>
      </c>
      <c r="B250" s="6"/>
      <c r="C250" s="7" t="s">
        <v>525</v>
      </c>
      <c r="D250" s="3"/>
      <c r="E250" s="3">
        <f>VLOOKUP(A250,[2]Sheet1!$A$2:$E$627,5,0)</f>
        <v>3252.91</v>
      </c>
      <c r="F250" s="3">
        <f>VLOOKUP(A250,[2]Sheet1!$A$2:$F$627,6,0)</f>
        <v>3252.91</v>
      </c>
      <c r="G250" s="3">
        <f>VLOOKUP(A250,[2]Sheet1!$A$2:$G$627,7,0)</f>
        <v>0</v>
      </c>
      <c r="H250" s="4">
        <f t="shared" si="18"/>
        <v>3252.91</v>
      </c>
      <c r="I250" s="11">
        <f t="shared" si="19"/>
        <v>0</v>
      </c>
      <c r="J250" s="11">
        <f t="shared" si="20"/>
        <v>-1</v>
      </c>
      <c r="K250" s="11">
        <f t="shared" si="21"/>
        <v>-1</v>
      </c>
      <c r="L250" s="11">
        <f>IF(S250="",((BG250-E250)/E250),((U250-E250)/E250))</f>
        <v>0</v>
      </c>
      <c r="M250" s="3" t="str">
        <f>IF(S250="Churn","Churn",VLOOKUP(A250,'[1]Revenue_Engine_2025 Dec.25'!$C$14:$E$3993,3,0))</f>
        <v>Digital</v>
      </c>
      <c r="N250" s="3">
        <f>IF(S250="",VLOOKUP(A250,[3]Export!$B$2:$F$417,5,0),"CHURN")</f>
        <v>3.1258165765422348E-2</v>
      </c>
      <c r="O250" s="3">
        <f>(1-N250)*H250</f>
        <v>3151.2299999999996</v>
      </c>
      <c r="P250" s="3">
        <f t="shared" si="23"/>
        <v>3151.2299999999996</v>
      </c>
      <c r="Q250" s="3">
        <f t="shared" si="22"/>
        <v>0</v>
      </c>
      <c r="R250" s="3" t="str">
        <f>IF(S250&lt;&gt;"Churn",VLOOKUP(A250,[3]Export!$B$2:$O$417,8,0),"CHURN")</f>
        <v>HIGH RISK</v>
      </c>
      <c r="S250" s="3"/>
      <c r="T250" s="3"/>
      <c r="U250" s="3" t="s">
        <v>551</v>
      </c>
      <c r="V250" s="4" t="str" cm="1">
        <f t="array" ref="V250">IFERROR(
    IF(
        MATCH(2,1/((Y250:BH250&lt;&gt;0)*(Y250:BH250&lt;&gt;"")))-MATCH(1,INDEX((Y250:BH250&lt;&gt;0)*(Y250:BH250&lt;&gt;""),0),0)+1 &lt;= 12,
        "No",
        "Yes"
    ),
    "No"
)</f>
        <v>Yes</v>
      </c>
      <c r="W250" s="4" t="str" cm="1">
        <f t="array" ref="W250">IFERROR(
    IF(
        MATCH(2,1/((Y250:BH250&lt;&gt;0)*(Y250:BH250&lt;&gt;"")))-MATCH(1,INDEX((Y250:BH250&lt;&gt;0)*(Y250:BH250&lt;&gt;""),0),0)+1 &lt;= 24,
        "No",
        "Yes"
    ),
    "No"
)</f>
        <v>No</v>
      </c>
      <c r="X250" s="3"/>
      <c r="Y250" s="4">
        <v>0</v>
      </c>
      <c r="Z250" s="4">
        <v>0</v>
      </c>
      <c r="AA250" s="4">
        <v>0</v>
      </c>
      <c r="AB250" s="4">
        <v>0</v>
      </c>
      <c r="AC250" s="4">
        <v>0</v>
      </c>
      <c r="AD250" s="4">
        <v>0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3252.91</v>
      </c>
      <c r="AN250" s="4">
        <v>3252.91</v>
      </c>
      <c r="AO250" s="4">
        <v>3252.91</v>
      </c>
      <c r="AP250" s="4">
        <v>3252.91</v>
      </c>
      <c r="AQ250" s="4">
        <v>3252.91</v>
      </c>
      <c r="AR250" s="4">
        <v>3252.91</v>
      </c>
      <c r="AS250" s="4">
        <v>3252.91</v>
      </c>
      <c r="AT250" s="4">
        <v>3252.91</v>
      </c>
      <c r="AU250" s="4">
        <v>3252.91</v>
      </c>
      <c r="AV250" s="4">
        <v>3252.91</v>
      </c>
      <c r="AW250" s="4">
        <v>3252.91</v>
      </c>
      <c r="AX250" s="4">
        <v>3252.91</v>
      </c>
      <c r="AY250" s="4">
        <v>3252.91</v>
      </c>
      <c r="AZ250" s="4">
        <v>3252.91</v>
      </c>
      <c r="BA250" s="4">
        <v>3252.91</v>
      </c>
      <c r="BB250" s="4">
        <v>3252.91</v>
      </c>
      <c r="BC250" s="4">
        <v>3252.91</v>
      </c>
      <c r="BD250" s="4">
        <v>3252.91</v>
      </c>
      <c r="BE250" s="4">
        <v>3252.91</v>
      </c>
      <c r="BF250" s="4">
        <v>3252.91</v>
      </c>
      <c r="BG250" s="4">
        <v>3252.91</v>
      </c>
      <c r="BH250" s="4">
        <v>3252.91</v>
      </c>
      <c r="BJ250" s="9"/>
    </row>
    <row r="251" spans="1:62" x14ac:dyDescent="0.25">
      <c r="A251" s="6" t="s">
        <v>240</v>
      </c>
      <c r="B251" s="6"/>
      <c r="C251" s="7" t="s">
        <v>525</v>
      </c>
      <c r="D251" s="3"/>
      <c r="E251" s="3">
        <f>VLOOKUP(A251,[2]Sheet1!$A$2:$E$627,5,0)</f>
        <v>1077</v>
      </c>
      <c r="F251" s="3">
        <f>VLOOKUP(A251,[2]Sheet1!$A$2:$F$627,6,0)</f>
        <v>1180.4471874886833</v>
      </c>
      <c r="G251" s="3">
        <f>VLOOKUP(A251,[2]Sheet1!$A$2:$G$627,7,0)</f>
        <v>0</v>
      </c>
      <c r="H251" s="4">
        <f t="shared" si="18"/>
        <v>0</v>
      </c>
      <c r="I251" s="11">
        <f t="shared" si="19"/>
        <v>9.6051241865072717E-2</v>
      </c>
      <c r="J251" s="11">
        <f t="shared" si="20"/>
        <v>-1</v>
      </c>
      <c r="K251" s="11">
        <f t="shared" si="21"/>
        <v>-1</v>
      </c>
      <c r="L251" s="11">
        <f>IF(S251="",((BG251-E251)/E251),((U251-E251)/E251))</f>
        <v>9.6051241865072717E-2</v>
      </c>
      <c r="M251" s="3" t="str">
        <f>IF(S251="Churn","Churn",VLOOKUP(A251,'[1]Revenue_Engine_2025 Dec.25'!$C$14:$E$3993,3,0))</f>
        <v>Churn</v>
      </c>
      <c r="N251" s="3" t="str">
        <f>IF(S251="",VLOOKUP(A251,[3]Export!$B$2:$F$417,5,0),"CHURN")</f>
        <v>CHURN</v>
      </c>
      <c r="O251" s="3" t="e">
        <f>(1-N251)*H251</f>
        <v>#VALUE!</v>
      </c>
      <c r="P251" s="3" t="e">
        <f t="shared" si="23"/>
        <v>#VALUE!</v>
      </c>
      <c r="Q251" s="3" t="e">
        <f t="shared" si="22"/>
        <v>#VALUE!</v>
      </c>
      <c r="R251" s="3" t="str">
        <f>IF(S251&lt;&gt;"Churn",VLOOKUP(A251,[3]Export!$B$2:$O$417,8,0),"CHURN")</f>
        <v>CHURN</v>
      </c>
      <c r="S251" s="3" t="s">
        <v>372</v>
      </c>
      <c r="T251" s="3" t="s">
        <v>555</v>
      </c>
      <c r="U251" s="3">
        <v>1180.4471874886833</v>
      </c>
      <c r="V251" s="4" t="str" cm="1">
        <f t="array" ref="V251">IFERROR(
    IF(
        MATCH(2,1/((Y251:BH251&lt;&gt;0)*(Y251:BH251&lt;&gt;"")))-MATCH(1,INDEX((Y251:BH251&lt;&gt;0)*(Y251:BH251&lt;&gt;""),0),0)+1 &lt;= 12,
        "No",
        "Yes"
    ),
    "No"
)</f>
        <v>Yes</v>
      </c>
      <c r="W251" s="4" t="str" cm="1">
        <f t="array" ref="W251">IFERROR(
    IF(
        MATCH(2,1/((Y251:BH251&lt;&gt;0)*(Y251:BH251&lt;&gt;"")))-MATCH(1,INDEX((Y251:BH251&lt;&gt;0)*(Y251:BH251&lt;&gt;""),0),0)+1 &lt;= 24,
        "No",
        "Yes"
    ),
    "No"
)</f>
        <v>No</v>
      </c>
      <c r="X251" s="3"/>
      <c r="Y251" s="4">
        <v>0</v>
      </c>
      <c r="Z251" s="4">
        <v>0</v>
      </c>
      <c r="AA251" s="4">
        <v>0</v>
      </c>
      <c r="AB251" s="4">
        <v>0</v>
      </c>
      <c r="AC251" s="4">
        <v>0</v>
      </c>
      <c r="AD251" s="4">
        <v>0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1077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6155.3401013148696</v>
      </c>
      <c r="AU251" s="4">
        <v>1020.2350982680493</v>
      </c>
      <c r="AV251" s="4">
        <v>1004.3715690431715</v>
      </c>
      <c r="AW251" s="4">
        <v>989.23102971470519</v>
      </c>
      <c r="AX251" s="4">
        <v>971.79267538789531</v>
      </c>
      <c r="AY251" s="4">
        <v>947.54770123175831</v>
      </c>
      <c r="AZ251" s="4">
        <v>922.23575620933786</v>
      </c>
      <c r="BA251" s="4">
        <v>1180.4471874886833</v>
      </c>
      <c r="BB251" s="4">
        <v>0</v>
      </c>
      <c r="BC251" s="4">
        <v>0</v>
      </c>
      <c r="BD251" s="4">
        <v>0</v>
      </c>
      <c r="BE251" s="4">
        <v>0</v>
      </c>
      <c r="BF251" s="4">
        <v>0</v>
      </c>
      <c r="BG251" s="4">
        <v>0</v>
      </c>
      <c r="BH251" s="4">
        <v>0</v>
      </c>
      <c r="BJ251" s="9"/>
    </row>
    <row r="252" spans="1:62" x14ac:dyDescent="0.25">
      <c r="A252" s="6" t="s">
        <v>499</v>
      </c>
      <c r="B252" s="6"/>
      <c r="C252" s="7" t="s">
        <v>525</v>
      </c>
      <c r="D252" s="3"/>
      <c r="E252" s="3">
        <f>VLOOKUP(A252,[2]Sheet1!$A$2:$E$627,5,0)</f>
        <v>1779.0166839999999</v>
      </c>
      <c r="F252" s="3">
        <f>VLOOKUP(A252,[2]Sheet1!$A$2:$F$627,6,0)</f>
        <v>0</v>
      </c>
      <c r="G252" s="3">
        <f>VLOOKUP(A252,[2]Sheet1!$A$2:$G$627,7,0)</f>
        <v>2134.8000000000002</v>
      </c>
      <c r="H252" s="4">
        <f t="shared" si="18"/>
        <v>0</v>
      </c>
      <c r="I252" s="11">
        <f t="shared" si="19"/>
        <v>-1</v>
      </c>
      <c r="J252" s="11">
        <f t="shared" si="20"/>
        <v>0.19998874614264173</v>
      </c>
      <c r="K252" s="11" t="e">
        <f t="shared" si="21"/>
        <v>#DIV/0!</v>
      </c>
      <c r="L252" s="11">
        <f>IF(S252="",((BG252-E252)/E252),((U252-E252)/E252))</f>
        <v>0.1999888119093097</v>
      </c>
      <c r="M252" s="3" t="str">
        <f>IF(S252="Churn","Churn",VLOOKUP(A252,'[1]Revenue_Engine_2025 Dec.25'!$C$14:$E$3993,3,0))</f>
        <v>Churn</v>
      </c>
      <c r="N252" s="3" t="str">
        <f>IF(S252="",VLOOKUP(A252,[3]Export!$B$2:$F$417,5,0),"CHURN")</f>
        <v>CHURN</v>
      </c>
      <c r="O252" s="3" t="e">
        <f>(1-N252)*H252</f>
        <v>#VALUE!</v>
      </c>
      <c r="P252" s="3" t="e">
        <f t="shared" si="23"/>
        <v>#VALUE!</v>
      </c>
      <c r="Q252" s="3" t="e">
        <f t="shared" si="22"/>
        <v>#VALUE!</v>
      </c>
      <c r="R252" s="3" t="str">
        <f>IF(S252&lt;&gt;"Churn",VLOOKUP(A252,[3]Export!$B$2:$O$417,8,0),"CHURN")</f>
        <v>CHURN</v>
      </c>
      <c r="S252" s="3" t="s">
        <v>372</v>
      </c>
      <c r="T252" s="3" t="s">
        <v>560</v>
      </c>
      <c r="U252" s="3">
        <v>2134.8001169999998</v>
      </c>
      <c r="V252" s="4" t="str" cm="1">
        <f t="array" ref="V252">IFERROR(
    IF(
        MATCH(2,1/((Y252:BH252&lt;&gt;0)*(Y252:BH252&lt;&gt;"")))-MATCH(1,INDEX((Y252:BH252&lt;&gt;0)*(Y252:BH252&lt;&gt;""),0),0)+1 &lt;= 12,
        "No",
        "Yes"
    ),
    "No"
)</f>
        <v>Yes</v>
      </c>
      <c r="W252" s="4" t="str" cm="1">
        <f t="array" ref="W252">IFERROR(
    IF(
        MATCH(2,1/((Y252:BH252&lt;&gt;0)*(Y252:BH252&lt;&gt;"")))-MATCH(1,INDEX((Y252:BH252&lt;&gt;0)*(Y252:BH252&lt;&gt;""),0),0)+1 &lt;= 24,
        "No",
        "Yes"
    ),
    "No"
)</f>
        <v>No</v>
      </c>
      <c r="X252" s="3"/>
      <c r="Y252" s="4">
        <v>0</v>
      </c>
      <c r="Z252" s="4">
        <v>0</v>
      </c>
      <c r="AA252" s="4">
        <v>0</v>
      </c>
      <c r="AB252" s="4">
        <v>0</v>
      </c>
      <c r="AC252" s="4">
        <v>0</v>
      </c>
      <c r="AD252" s="4">
        <v>0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1779.0166839999999</v>
      </c>
      <c r="AN252" s="4">
        <v>1779.0166839999999</v>
      </c>
      <c r="AO252" s="4">
        <v>1779.0166839999999</v>
      </c>
      <c r="AP252" s="4">
        <v>1779.0166839999999</v>
      </c>
      <c r="AQ252" s="4">
        <v>1779.0166839999999</v>
      </c>
      <c r="AR252" s="4">
        <v>1779.0166839999999</v>
      </c>
      <c r="AS252" s="4">
        <v>1779.0166839999999</v>
      </c>
      <c r="AT252" s="4">
        <v>1779.0166839999999</v>
      </c>
      <c r="AU252" s="4">
        <v>1779.0166839999999</v>
      </c>
      <c r="AV252" s="4">
        <v>1779.0166839999999</v>
      </c>
      <c r="AW252" s="4">
        <v>2134.8000000000002</v>
      </c>
      <c r="AX252" s="4">
        <v>2134.8001169999998</v>
      </c>
      <c r="AY252" s="4">
        <v>2134.8001169999998</v>
      </c>
      <c r="AZ252" s="4">
        <v>2134.8001169999998</v>
      </c>
      <c r="BA252" s="4">
        <v>2134.8001169999998</v>
      </c>
      <c r="BB252" s="4">
        <v>2134.8001169999998</v>
      </c>
      <c r="BC252" s="4">
        <v>2134.8001169999998</v>
      </c>
      <c r="BD252" s="4">
        <v>2134.8001169999998</v>
      </c>
      <c r="BE252" s="4">
        <v>0</v>
      </c>
      <c r="BF252" s="4">
        <v>0</v>
      </c>
      <c r="BG252" s="4">
        <v>0</v>
      </c>
      <c r="BH252" s="4">
        <v>0</v>
      </c>
      <c r="BJ252" s="9"/>
    </row>
    <row r="253" spans="1:62" x14ac:dyDescent="0.25">
      <c r="A253" s="6" t="s">
        <v>241</v>
      </c>
      <c r="B253" s="6"/>
      <c r="C253" s="7" t="s">
        <v>525</v>
      </c>
      <c r="D253" s="3"/>
      <c r="E253" s="3">
        <f>VLOOKUP(A253,[2]Sheet1!$A$2:$E$627,5,0)</f>
        <v>2280.4125592092832</v>
      </c>
      <c r="F253" s="3">
        <f>VLOOKUP(A253,[2]Sheet1!$A$2:$F$627,6,0)</f>
        <v>2564.2518344796235</v>
      </c>
      <c r="G253" s="3">
        <f>VLOOKUP(A253,[2]Sheet1!$A$2:$G$627,7,0)</f>
        <v>0</v>
      </c>
      <c r="H253" s="4">
        <f t="shared" si="18"/>
        <v>2226.3275200532998</v>
      </c>
      <c r="I253" s="11">
        <f t="shared" si="19"/>
        <v>0.12446838802219171</v>
      </c>
      <c r="J253" s="11">
        <f t="shared" si="20"/>
        <v>-1</v>
      </c>
      <c r="K253" s="11">
        <f t="shared" si="21"/>
        <v>-1</v>
      </c>
      <c r="L253" s="11">
        <f>IF(S253="",((BG253-E253)/E253),((U253-E253)/E253))</f>
        <v>-3.3966461265723016E-2</v>
      </c>
      <c r="M253" s="3" t="str">
        <f>IF(S253="Churn","Churn",VLOOKUP(A253,'[1]Revenue_Engine_2025 Dec.25'!$C$14:$E$3993,3,0))</f>
        <v>Üretim</v>
      </c>
      <c r="N253" s="3">
        <f>IF(S253="",VLOOKUP(A253,[3]Export!$B$2:$F$417,5,0),"CHURN")</f>
        <v>0</v>
      </c>
      <c r="O253" s="3">
        <f>(1-N253)*H253</f>
        <v>2226.3275200532998</v>
      </c>
      <c r="P253" s="3">
        <f t="shared" si="23"/>
        <v>2564.2518344796235</v>
      </c>
      <c r="Q253" s="3">
        <f t="shared" si="22"/>
        <v>0</v>
      </c>
      <c r="R253" s="3" t="str">
        <f>IF(S253&lt;&gt;"Churn",VLOOKUP(A253,[3]Export!$B$2:$O$417,8,0),"CHURN")</f>
        <v>NO RISK</v>
      </c>
      <c r="S253" s="3"/>
      <c r="T253" s="3"/>
      <c r="U253" s="3" t="s">
        <v>551</v>
      </c>
      <c r="V253" s="4" t="str" cm="1">
        <f t="array" ref="V253">IFERROR(
    IF(
        MATCH(2,1/((Y253:BH253&lt;&gt;0)*(Y253:BH253&lt;&gt;"")))-MATCH(1,INDEX((Y253:BH253&lt;&gt;0)*(Y253:BH253&lt;&gt;""),0),0)+1 &lt;= 12,
        "No",
        "Yes"
    ),
    "No"
)</f>
        <v>Yes</v>
      </c>
      <c r="W253" s="4" t="str" cm="1">
        <f t="array" ref="W253">IFERROR(
    IF(
        MATCH(2,1/((Y253:BH253&lt;&gt;0)*(Y253:BH253&lt;&gt;"")))-MATCH(1,INDEX((Y253:BH253&lt;&gt;0)*(Y253:BH253&lt;&gt;""),0),0)+1 &lt;= 24,
        "No",
        "Yes"
    ),
    "No"
)</f>
        <v>No</v>
      </c>
      <c r="X253" s="3"/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2280.4125592092832</v>
      </c>
      <c r="AM253" s="4">
        <v>2193.1061275385205</v>
      </c>
      <c r="AN253" s="4">
        <v>2171.2630237008866</v>
      </c>
      <c r="AO253" s="4">
        <v>2174.419507649297</v>
      </c>
      <c r="AP253" s="4">
        <v>2156.00879651589</v>
      </c>
      <c r="AQ253" s="4">
        <v>2131.0342518090956</v>
      </c>
      <c r="AR253" s="4">
        <v>2085.1578464489762</v>
      </c>
      <c r="AS253" s="4">
        <v>2061.284946141569</v>
      </c>
      <c r="AT253" s="4">
        <v>2048.538660314246</v>
      </c>
      <c r="AU253" s="4">
        <v>2037.2466902017163</v>
      </c>
      <c r="AV253" s="4">
        <v>2005.5697537160343</v>
      </c>
      <c r="AW253" s="4">
        <v>1975.3365126844824</v>
      </c>
      <c r="AX253" s="4">
        <v>2564.2518344796235</v>
      </c>
      <c r="AY253" s="4">
        <v>2500.2770577280185</v>
      </c>
      <c r="AZ253" s="4">
        <v>2443.9150989311079</v>
      </c>
      <c r="BA253" s="4">
        <v>2402.9449499992247</v>
      </c>
      <c r="BB253" s="4">
        <v>2362.1474759135563</v>
      </c>
      <c r="BC253" s="4">
        <v>2316.7111405941391</v>
      </c>
      <c r="BD253" s="4">
        <v>2281.0323236490076</v>
      </c>
      <c r="BE253" s="4">
        <v>2253.4217433280132</v>
      </c>
      <c r="BF253" s="4">
        <v>2226.3275200532998</v>
      </c>
      <c r="BG253" s="4">
        <v>2202.9550143470328</v>
      </c>
      <c r="BH253" s="4">
        <v>2181.4811161912548</v>
      </c>
      <c r="BJ253" s="9"/>
    </row>
    <row r="254" spans="1:62" x14ac:dyDescent="0.25">
      <c r="A254" s="6" t="s">
        <v>242</v>
      </c>
      <c r="B254" s="6"/>
      <c r="C254" s="7" t="s">
        <v>526</v>
      </c>
      <c r="D254" s="3"/>
      <c r="E254" s="3">
        <f>VLOOKUP(A254,[2]Sheet1!$A$2:$E$627,5,0)</f>
        <v>200.00540899999996</v>
      </c>
      <c r="F254" s="3">
        <f>VLOOKUP(A254,[2]Sheet1!$A$2:$F$627,6,0)</f>
        <v>200.00540899999996</v>
      </c>
      <c r="G254" s="3">
        <f>VLOOKUP(A254,[2]Sheet1!$A$2:$G$627,7,0)</f>
        <v>0</v>
      </c>
      <c r="H254" s="4">
        <f t="shared" si="18"/>
        <v>200.00540899999996</v>
      </c>
      <c r="I254" s="11">
        <f t="shared" si="19"/>
        <v>0</v>
      </c>
      <c r="J254" s="11">
        <f t="shared" si="20"/>
        <v>-1</v>
      </c>
      <c r="K254" s="11">
        <f t="shared" si="21"/>
        <v>-1</v>
      </c>
      <c r="L254" s="11">
        <f>IF(S254="",((BG254-E254)/E254),((U254-E254)/E254))</f>
        <v>0</v>
      </c>
      <c r="M254" s="3" t="str">
        <f>IF(S254="Churn","Churn",VLOOKUP(A254,'[1]Revenue_Engine_2025 Dec.25'!$C$14:$E$3993,3,0))</f>
        <v>Diğer</v>
      </c>
      <c r="N254" s="3">
        <f>IF(S254="",VLOOKUP(A254,[3]Export!$B$2:$F$417,5,0),"CHURN")</f>
        <v>0.12499661946642654</v>
      </c>
      <c r="O254" s="3">
        <f>(1-N254)*H254</f>
        <v>175.00540899999999</v>
      </c>
      <c r="P254" s="3">
        <f t="shared" si="23"/>
        <v>175.00540899999999</v>
      </c>
      <c r="Q254" s="3">
        <f t="shared" si="22"/>
        <v>0</v>
      </c>
      <c r="R254" s="3" t="str">
        <f>IF(S254&lt;&gt;"Churn",VLOOKUP(A254,[3]Export!$B$2:$O$417,8,0),"CHURN")</f>
        <v>NO RISK</v>
      </c>
      <c r="S254" s="3"/>
      <c r="T254" s="3"/>
      <c r="U254" s="3" t="s">
        <v>551</v>
      </c>
      <c r="V254" s="4" t="str" cm="1">
        <f t="array" ref="V254">IFERROR(
    IF(
        MATCH(2,1/((Y254:BH254&lt;&gt;0)*(Y254:BH254&lt;&gt;"")))-MATCH(1,INDEX((Y254:BH254&lt;&gt;0)*(Y254:BH254&lt;&gt;""),0),0)+1 &lt;= 12,
        "No",
        "Yes"
    ),
    "No"
)</f>
        <v>Yes</v>
      </c>
      <c r="W254" s="4" t="str" cm="1">
        <f t="array" ref="W254">IFERROR(
    IF(
        MATCH(2,1/((Y254:BH254&lt;&gt;0)*(Y254:BH254&lt;&gt;"")))-MATCH(1,INDEX((Y254:BH254&lt;&gt;0)*(Y254:BH254&lt;&gt;""),0),0)+1 &lt;= 24,
        "No",
        "Yes"
    ),
    "No"
)</f>
        <v>No</v>
      </c>
      <c r="X254" s="3"/>
      <c r="Y254" s="4">
        <v>0</v>
      </c>
      <c r="Z254" s="4">
        <v>0</v>
      </c>
      <c r="AA254" s="4">
        <v>0</v>
      </c>
      <c r="AB254" s="4">
        <v>0</v>
      </c>
      <c r="AC254" s="4">
        <v>0</v>
      </c>
      <c r="AD254" s="4">
        <v>0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200.00540899999996</v>
      </c>
      <c r="AM254" s="4">
        <v>200.00540899999996</v>
      </c>
      <c r="AN254" s="4">
        <v>200.00540899999996</v>
      </c>
      <c r="AO254" s="4">
        <v>200.00540899999996</v>
      </c>
      <c r="AP254" s="4">
        <v>200.00540899999996</v>
      </c>
      <c r="AQ254" s="4">
        <v>200.00540899999996</v>
      </c>
      <c r="AR254" s="4">
        <v>200.00540899999996</v>
      </c>
      <c r="AS254" s="4">
        <v>200.00540899999996</v>
      </c>
      <c r="AT254" s="4">
        <v>200.00540899999996</v>
      </c>
      <c r="AU254" s="4">
        <v>200.00540899999996</v>
      </c>
      <c r="AV254" s="4">
        <v>200.00540899999996</v>
      </c>
      <c r="AW254" s="4">
        <v>200.00540899999996</v>
      </c>
      <c r="AX254" s="4">
        <v>200.00540899999996</v>
      </c>
      <c r="AY254" s="4">
        <v>200.00540899999996</v>
      </c>
      <c r="AZ254" s="4">
        <v>200.00540900000001</v>
      </c>
      <c r="BA254" s="4">
        <v>200.00540899999996</v>
      </c>
      <c r="BB254" s="4">
        <v>200.00540899999996</v>
      </c>
      <c r="BC254" s="4">
        <v>200.00540899999996</v>
      </c>
      <c r="BD254" s="4">
        <v>200.00540899999996</v>
      </c>
      <c r="BE254" s="4">
        <v>200.00540899999996</v>
      </c>
      <c r="BF254" s="4">
        <v>200.00540899999996</v>
      </c>
      <c r="BG254" s="4">
        <v>200.00540899999996</v>
      </c>
      <c r="BH254" s="4">
        <v>200.00540899999996</v>
      </c>
      <c r="BJ254" s="9"/>
    </row>
    <row r="255" spans="1:62" x14ac:dyDescent="0.25">
      <c r="A255" s="6" t="s">
        <v>243</v>
      </c>
      <c r="B255" s="6"/>
      <c r="C255" s="7" t="s">
        <v>526</v>
      </c>
      <c r="D255" s="3"/>
      <c r="E255" s="3">
        <f>VLOOKUP(A255,[2]Sheet1!$A$2:$E$627,5,0)</f>
        <v>215.01110100000002</v>
      </c>
      <c r="F255" s="3">
        <f>VLOOKUP(A255,[2]Sheet1!$A$2:$F$627,6,0)</f>
        <v>260.01110100000005</v>
      </c>
      <c r="G255" s="3">
        <f>VLOOKUP(A255,[2]Sheet1!$A$2:$G$627,7,0)</f>
        <v>0</v>
      </c>
      <c r="H255" s="4">
        <f t="shared" si="18"/>
        <v>263.01110100000005</v>
      </c>
      <c r="I255" s="11">
        <f t="shared" si="19"/>
        <v>0.20929151932485582</v>
      </c>
      <c r="J255" s="11">
        <f t="shared" si="20"/>
        <v>-1</v>
      </c>
      <c r="K255" s="11">
        <f t="shared" si="21"/>
        <v>-1</v>
      </c>
      <c r="L255" s="11">
        <f>IF(S255="",((BG255-E255)/E255),((U255-E255)/E255))</f>
        <v>0.20929151932485582</v>
      </c>
      <c r="M255" s="3" t="str">
        <f>IF(S255="Churn","Churn",VLOOKUP(A255,'[1]Revenue_Engine_2025 Dec.25'!$C$14:$E$3993,3,0))</f>
        <v>Diğer</v>
      </c>
      <c r="N255" s="3">
        <f>IF(S255="",VLOOKUP(A255,[3]Export!$B$2:$F$417,5,0),"CHURN")</f>
        <v>0.10645938476946644</v>
      </c>
      <c r="O255" s="3">
        <f>(1-N255)*H255</f>
        <v>235.01110100000002</v>
      </c>
      <c r="P255" s="3">
        <f t="shared" si="23"/>
        <v>232.33047915430845</v>
      </c>
      <c r="Q255" s="3">
        <f t="shared" si="22"/>
        <v>0</v>
      </c>
      <c r="R255" s="3" t="str">
        <f>IF(S255&lt;&gt;"Churn",VLOOKUP(A255,[3]Export!$B$2:$O$417,8,0),"CHURN")</f>
        <v>NO RISK</v>
      </c>
      <c r="S255" s="3"/>
      <c r="T255" s="3"/>
      <c r="U255" s="3" t="s">
        <v>551</v>
      </c>
      <c r="V255" s="4" t="str" cm="1">
        <f t="array" ref="V255">IFERROR(
    IF(
        MATCH(2,1/((Y255:BH255&lt;&gt;0)*(Y255:BH255&lt;&gt;"")))-MATCH(1,INDEX((Y255:BH255&lt;&gt;0)*(Y255:BH255&lt;&gt;""),0),0)+1 &lt;= 12,
        "No",
        "Yes"
    ),
    "No"
)</f>
        <v>Yes</v>
      </c>
      <c r="W255" s="4" t="str" cm="1">
        <f t="array" ref="W255">IFERROR(
    IF(
        MATCH(2,1/((Y255:BH255&lt;&gt;0)*(Y255:BH255&lt;&gt;"")))-MATCH(1,INDEX((Y255:BH255&lt;&gt;0)*(Y255:BH255&lt;&gt;""),0),0)+1 &lt;= 24,
        "No",
        "Yes"
    ),
    "No"
)</f>
        <v>No</v>
      </c>
      <c r="X255" s="3"/>
      <c r="Y255" s="4">
        <v>0</v>
      </c>
      <c r="Z255" s="4">
        <v>0</v>
      </c>
      <c r="AA255" s="4">
        <v>0</v>
      </c>
      <c r="AB255" s="4">
        <v>0</v>
      </c>
      <c r="AC255" s="4">
        <v>0</v>
      </c>
      <c r="AD255" s="4">
        <v>0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215.01110100000002</v>
      </c>
      <c r="AM255" s="4">
        <v>215.01110100000002</v>
      </c>
      <c r="AN255" s="4">
        <v>215.01110100000002</v>
      </c>
      <c r="AO255" s="4">
        <v>215.01110100000002</v>
      </c>
      <c r="AP255" s="4">
        <v>215.01110100000002</v>
      </c>
      <c r="AQ255" s="4">
        <v>215.01110100000002</v>
      </c>
      <c r="AR255" s="4">
        <v>215.01110100000002</v>
      </c>
      <c r="AS255" s="4">
        <v>260.01110100000005</v>
      </c>
      <c r="AT255" s="4">
        <v>260.01110100000005</v>
      </c>
      <c r="AU255" s="4">
        <v>260.01110100000005</v>
      </c>
      <c r="AV255" s="4">
        <v>260.01110100000005</v>
      </c>
      <c r="AW255" s="4">
        <v>260.01110100000005</v>
      </c>
      <c r="AX255" s="4">
        <v>260.01110100000005</v>
      </c>
      <c r="AY255" s="4">
        <v>260.01110100000005</v>
      </c>
      <c r="AZ255" s="4">
        <v>260.011101</v>
      </c>
      <c r="BA255" s="4">
        <v>260.01110100000005</v>
      </c>
      <c r="BB255" s="4">
        <v>260.01110100000005</v>
      </c>
      <c r="BC255" s="4">
        <v>260.01110100000005</v>
      </c>
      <c r="BD255" s="4">
        <v>260.01110100000005</v>
      </c>
      <c r="BE255" s="4">
        <v>260.01110100000005</v>
      </c>
      <c r="BF255" s="4">
        <v>260.01110100000005</v>
      </c>
      <c r="BG255" s="4">
        <v>260.01110100000005</v>
      </c>
      <c r="BH255" s="4">
        <v>263.01110100000005</v>
      </c>
      <c r="BJ255" s="9"/>
    </row>
    <row r="256" spans="1:62" x14ac:dyDescent="0.25">
      <c r="A256" s="6" t="s">
        <v>244</v>
      </c>
      <c r="B256" s="6"/>
      <c r="C256" s="7" t="s">
        <v>526</v>
      </c>
      <c r="D256" s="3"/>
      <c r="E256" s="3">
        <f>VLOOKUP(A256,[2]Sheet1!$A$2:$E$627,5,0)</f>
        <v>86.000882333333337</v>
      </c>
      <c r="F256" s="3">
        <f>VLOOKUP(A256,[2]Sheet1!$A$2:$F$627,6,0)</f>
        <v>103.2007965</v>
      </c>
      <c r="G256" s="3">
        <f>VLOOKUP(A256,[2]Sheet1!$A$2:$G$627,7,0)</f>
        <v>0</v>
      </c>
      <c r="H256" s="4">
        <f t="shared" si="18"/>
        <v>128.2007965</v>
      </c>
      <c r="I256" s="11">
        <f t="shared" si="19"/>
        <v>0.19999695003129164</v>
      </c>
      <c r="J256" s="11">
        <f t="shared" si="20"/>
        <v>-1</v>
      </c>
      <c r="K256" s="11">
        <f t="shared" si="21"/>
        <v>-1</v>
      </c>
      <c r="L256" s="11">
        <f>IF(S256="",((BG256-E256)/E256),((U256-E256)/E256))</f>
        <v>0.49069164201249443</v>
      </c>
      <c r="M256" s="3" t="str">
        <f>IF(S256="Churn","Churn",VLOOKUP(A256,'[1]Revenue_Engine_2025 Dec.25'!$C$14:$E$3993,3,0))</f>
        <v>Diğer</v>
      </c>
      <c r="N256" s="3">
        <f>IF(S256="",VLOOKUP(A256,[3]Export!$B$2:$F$417,5,0),"CHURN")</f>
        <v>0.34533770595040852</v>
      </c>
      <c r="O256" s="3">
        <f>(1-N256)*H256</f>
        <v>83.928227535674822</v>
      </c>
      <c r="P256" s="3">
        <f t="shared" si="23"/>
        <v>67.561670184435044</v>
      </c>
      <c r="Q256" s="3">
        <f t="shared" si="22"/>
        <v>0</v>
      </c>
      <c r="R256" s="3" t="str">
        <f>IF(S256&lt;&gt;"Churn",VLOOKUP(A256,[3]Export!$B$2:$O$417,8,0),"CHURN")</f>
        <v>NO RISK</v>
      </c>
      <c r="S256" s="3"/>
      <c r="T256" s="3"/>
      <c r="U256" s="3" t="s">
        <v>551</v>
      </c>
      <c r="V256" s="4" t="str" cm="1">
        <f t="array" ref="V256">IFERROR(
    IF(
        MATCH(2,1/((Y256:BH256&lt;&gt;0)*(Y256:BH256&lt;&gt;"")))-MATCH(1,INDEX((Y256:BH256&lt;&gt;0)*(Y256:BH256&lt;&gt;""),0),0)+1 &lt;= 12,
        "No",
        "Yes"
    ),
    "No"
)</f>
        <v>Yes</v>
      </c>
      <c r="W256" s="4" t="str" cm="1">
        <f t="array" ref="W256">IFERROR(
    IF(
        MATCH(2,1/((Y256:BH256&lt;&gt;0)*(Y256:BH256&lt;&gt;"")))-MATCH(1,INDEX((Y256:BH256&lt;&gt;0)*(Y256:BH256&lt;&gt;""),0),0)+1 &lt;= 24,
        "No",
        "Yes"
    ),
    "No"
)</f>
        <v>No</v>
      </c>
      <c r="X256" s="3"/>
      <c r="Y256" s="4">
        <v>0</v>
      </c>
      <c r="Z256" s="4">
        <v>0</v>
      </c>
      <c r="AA256" s="4">
        <v>0</v>
      </c>
      <c r="AB256" s="4">
        <v>0</v>
      </c>
      <c r="AC256" s="4">
        <v>0</v>
      </c>
      <c r="AD256" s="4">
        <v>0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86.000882333333337</v>
      </c>
      <c r="AM256" s="4">
        <v>86.000882333333337</v>
      </c>
      <c r="AN256" s="4">
        <v>86.000882333333337</v>
      </c>
      <c r="AO256" s="4">
        <v>86.000882333333337</v>
      </c>
      <c r="AP256" s="4">
        <v>86.000882333333337</v>
      </c>
      <c r="AQ256" s="4">
        <v>86.000882333333337</v>
      </c>
      <c r="AR256" s="4">
        <v>86.000882333333337</v>
      </c>
      <c r="AS256" s="4">
        <v>86.000882333333337</v>
      </c>
      <c r="AT256" s="4">
        <v>86.000882333333337</v>
      </c>
      <c r="AU256" s="4">
        <v>86.000882333333337</v>
      </c>
      <c r="AV256" s="4">
        <v>86.000882333333337</v>
      </c>
      <c r="AW256" s="4">
        <v>86.000882333333337</v>
      </c>
      <c r="AX256" s="4">
        <v>86.000882333333337</v>
      </c>
      <c r="AY256" s="4">
        <v>103.2007965</v>
      </c>
      <c r="AZ256" s="4">
        <v>103.2007965</v>
      </c>
      <c r="BA256" s="4">
        <v>103.2007965</v>
      </c>
      <c r="BB256" s="4">
        <v>103.2007965</v>
      </c>
      <c r="BC256" s="4">
        <v>103.2007965</v>
      </c>
      <c r="BD256" s="4">
        <v>103.2007965</v>
      </c>
      <c r="BE256" s="4">
        <v>103.2007965</v>
      </c>
      <c r="BF256" s="4">
        <v>123.2007965</v>
      </c>
      <c r="BG256" s="4">
        <v>128.2007965</v>
      </c>
      <c r="BH256" s="4">
        <v>128.2007965</v>
      </c>
      <c r="BJ256" s="9"/>
    </row>
    <row r="257" spans="1:62" x14ac:dyDescent="0.25">
      <c r="A257" s="6" t="s">
        <v>245</v>
      </c>
      <c r="B257" s="6"/>
      <c r="C257" s="7" t="s">
        <v>526</v>
      </c>
      <c r="D257" s="3"/>
      <c r="E257" s="3">
        <f>VLOOKUP(A257,[2]Sheet1!$A$2:$E$627,5,0)</f>
        <v>170</v>
      </c>
      <c r="F257" s="3">
        <f>VLOOKUP(A257,[2]Sheet1!$A$2:$F$627,6,0)</f>
        <v>170</v>
      </c>
      <c r="G257" s="3">
        <f>VLOOKUP(A257,[2]Sheet1!$A$2:$G$627,7,0)</f>
        <v>0</v>
      </c>
      <c r="H257" s="4">
        <f t="shared" si="18"/>
        <v>0</v>
      </c>
      <c r="I257" s="11">
        <f t="shared" si="19"/>
        <v>0</v>
      </c>
      <c r="J257" s="11">
        <f t="shared" si="20"/>
        <v>-1</v>
      </c>
      <c r="K257" s="11">
        <f t="shared" si="21"/>
        <v>-1</v>
      </c>
      <c r="L257" s="11">
        <f>IF(S257="",((BG257-E257)/E257),((U257-E257)/E257))</f>
        <v>0</v>
      </c>
      <c r="M257" s="3" t="str">
        <f>IF(S257="Churn","Churn",VLOOKUP(A257,'[1]Revenue_Engine_2025 Dec.25'!$C$14:$E$3993,3,0))</f>
        <v>Churn</v>
      </c>
      <c r="N257" s="3" t="str">
        <f>IF(S257="",VLOOKUP(A257,[3]Export!$B$2:$F$417,5,0),"CHURN")</f>
        <v>CHURN</v>
      </c>
      <c r="O257" s="3" t="e">
        <f>(1-N257)*H257</f>
        <v>#VALUE!</v>
      </c>
      <c r="P257" s="3" t="e">
        <f t="shared" si="23"/>
        <v>#VALUE!</v>
      </c>
      <c r="Q257" s="3" t="e">
        <f t="shared" si="22"/>
        <v>#VALUE!</v>
      </c>
      <c r="R257" s="3" t="str">
        <f>IF(S257&lt;&gt;"Churn",VLOOKUP(A257,[3]Export!$B$2:$O$417,8,0),"CHURN")</f>
        <v>CHURN</v>
      </c>
      <c r="S257" s="3" t="s">
        <v>372</v>
      </c>
      <c r="T257" s="3" t="s">
        <v>555</v>
      </c>
      <c r="U257" s="3">
        <v>170</v>
      </c>
      <c r="V257" s="4" t="str" cm="1">
        <f t="array" ref="V257">IFERROR(
    IF(
        MATCH(2,1/((Y257:BH257&lt;&gt;0)*(Y257:BH257&lt;&gt;"")))-MATCH(1,INDEX((Y257:BH257&lt;&gt;0)*(Y257:BH257&lt;&gt;""),0),0)+1 &lt;= 12,
        "No",
        "Yes"
    ),
    "No"
)</f>
        <v>Yes</v>
      </c>
      <c r="W257" s="4" t="str" cm="1">
        <f t="array" ref="W257">IFERROR(
    IF(
        MATCH(2,1/((Y257:BH257&lt;&gt;0)*(Y257:BH257&lt;&gt;"")))-MATCH(1,INDEX((Y257:BH257&lt;&gt;0)*(Y257:BH257&lt;&gt;""),0),0)+1 &lt;= 24,
        "No",
        "Yes"
    ),
    "No"
)</f>
        <v>No</v>
      </c>
      <c r="X257" s="3"/>
      <c r="Y257" s="4">
        <v>0</v>
      </c>
      <c r="Z257" s="4">
        <v>0</v>
      </c>
      <c r="AA257" s="4">
        <v>0</v>
      </c>
      <c r="AB257" s="4">
        <v>0</v>
      </c>
      <c r="AC257" s="4">
        <v>0</v>
      </c>
      <c r="AD257" s="4">
        <v>0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170</v>
      </c>
      <c r="AM257" s="4">
        <v>170</v>
      </c>
      <c r="AN257" s="4">
        <v>170</v>
      </c>
      <c r="AO257" s="4">
        <v>170</v>
      </c>
      <c r="AP257" s="4">
        <v>170</v>
      </c>
      <c r="AQ257" s="4">
        <v>170</v>
      </c>
      <c r="AR257" s="4">
        <v>170</v>
      </c>
      <c r="AS257" s="4">
        <v>170</v>
      </c>
      <c r="AT257" s="4">
        <v>170</v>
      </c>
      <c r="AU257" s="4">
        <v>170</v>
      </c>
      <c r="AV257" s="4">
        <v>170</v>
      </c>
      <c r="AW257" s="4">
        <v>170</v>
      </c>
      <c r="AX257" s="4">
        <v>170</v>
      </c>
      <c r="AY257" s="4">
        <v>170</v>
      </c>
      <c r="AZ257" s="4">
        <v>169.99999999999997</v>
      </c>
      <c r="BA257" s="4">
        <v>170</v>
      </c>
      <c r="BB257" s="4">
        <v>0</v>
      </c>
      <c r="BC257" s="4">
        <v>0</v>
      </c>
      <c r="BD257" s="4">
        <v>0</v>
      </c>
      <c r="BE257" s="4">
        <v>0</v>
      </c>
      <c r="BF257" s="4">
        <v>0</v>
      </c>
      <c r="BG257" s="4">
        <v>0</v>
      </c>
      <c r="BH257" s="4">
        <v>0</v>
      </c>
      <c r="BJ257" s="9"/>
    </row>
    <row r="258" spans="1:62" x14ac:dyDescent="0.25">
      <c r="A258" s="6" t="s">
        <v>523</v>
      </c>
      <c r="B258" s="6"/>
      <c r="C258" s="7" t="s">
        <v>526</v>
      </c>
      <c r="D258" s="3"/>
      <c r="E258" s="3">
        <f>VLOOKUP(A258,[2]Sheet1!$A$2:$E$627,5,0)</f>
        <v>86.000835333333342</v>
      </c>
      <c r="F258" s="3">
        <f>VLOOKUP(A258,[2]Sheet1!$A$2:$F$627,6,0)</f>
        <v>0</v>
      </c>
      <c r="G258" s="3">
        <f>VLOOKUP(A258,[2]Sheet1!$A$2:$G$627,7,0)</f>
        <v>0</v>
      </c>
      <c r="H258" s="4">
        <f t="shared" si="18"/>
        <v>0</v>
      </c>
      <c r="I258" s="11">
        <f t="shared" si="19"/>
        <v>-1</v>
      </c>
      <c r="J258" s="11">
        <f t="shared" si="20"/>
        <v>-1</v>
      </c>
      <c r="K258" s="11" t="e">
        <f t="shared" si="21"/>
        <v>#DIV/0!</v>
      </c>
      <c r="L258" s="11">
        <f>IF(S258="",((BG258-E258)/E258),((U258-E258)/E258))</f>
        <v>0</v>
      </c>
      <c r="M258" s="3" t="str">
        <f>IF(S258="Churn","Churn",VLOOKUP(A258,'[1]Revenue_Engine_2025 Dec.25'!$C$14:$E$3993,3,0))</f>
        <v>Churn</v>
      </c>
      <c r="N258" s="3" t="str">
        <f>IF(S258="",VLOOKUP(A258,[3]Export!$B$2:$F$417,5,0),"CHURN")</f>
        <v>CHURN</v>
      </c>
      <c r="O258" s="3" t="e">
        <f>(1-N258)*H258</f>
        <v>#VALUE!</v>
      </c>
      <c r="P258" s="3" t="e">
        <f t="shared" si="23"/>
        <v>#VALUE!</v>
      </c>
      <c r="Q258" s="3" t="e">
        <f t="shared" si="22"/>
        <v>#VALUE!</v>
      </c>
      <c r="R258" s="3" t="str">
        <f>IF(S258&lt;&gt;"Churn",VLOOKUP(A258,[3]Export!$B$2:$O$417,8,0),"CHURN")</f>
        <v>CHURN</v>
      </c>
      <c r="S258" s="3" t="s">
        <v>372</v>
      </c>
      <c r="T258" s="3" t="s">
        <v>562</v>
      </c>
      <c r="U258" s="3">
        <v>86.000835333333342</v>
      </c>
      <c r="V258" s="4" t="str" cm="1">
        <f t="array" ref="V258">IFERROR(
    IF(
        MATCH(2,1/((Y258:BH258&lt;&gt;0)*(Y258:BH258&lt;&gt;"")))-MATCH(1,INDEX((Y258:BH258&lt;&gt;0)*(Y258:BH258&lt;&gt;""),0),0)+1 &lt;= 12,
        "No",
        "Yes"
    ),
    "No"
)</f>
        <v>No</v>
      </c>
      <c r="W258" s="4" t="str" cm="1">
        <f t="array" ref="W258">IFERROR(
    IF(
        MATCH(2,1/((Y258:BH258&lt;&gt;0)*(Y258:BH258&lt;&gt;"")))-MATCH(1,INDEX((Y258:BH258&lt;&gt;0)*(Y258:BH258&lt;&gt;""),0),0)+1 &lt;= 24,
        "No",
        "Yes"
    ),
    "No"
)</f>
        <v>No</v>
      </c>
      <c r="X258" s="3"/>
      <c r="Y258" s="4">
        <v>0</v>
      </c>
      <c r="Z258" s="4">
        <v>0</v>
      </c>
      <c r="AA258" s="4">
        <v>0</v>
      </c>
      <c r="AB258" s="4">
        <v>0</v>
      </c>
      <c r="AC258" s="4">
        <v>0</v>
      </c>
      <c r="AD258" s="4">
        <v>0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86.000835333333342</v>
      </c>
      <c r="AM258" s="4">
        <v>86.000835333333342</v>
      </c>
      <c r="AN258" s="4">
        <v>86.000835333333342</v>
      </c>
      <c r="AO258" s="4">
        <v>86.000835333333342</v>
      </c>
      <c r="AP258" s="4">
        <v>86.000835333333342</v>
      </c>
      <c r="AQ258" s="4">
        <v>86.000835333333342</v>
      </c>
      <c r="AR258" s="4">
        <v>86.000835333333342</v>
      </c>
      <c r="AS258" s="4">
        <v>86.000835333333342</v>
      </c>
      <c r="AT258" s="4">
        <v>86.000835333333342</v>
      </c>
      <c r="AU258" s="4">
        <v>86.000835333333342</v>
      </c>
      <c r="AV258" s="4">
        <v>86.000835333333342</v>
      </c>
      <c r="AW258" s="4">
        <v>86.000835333333342</v>
      </c>
      <c r="AX258" s="4">
        <v>0</v>
      </c>
      <c r="AY258" s="4">
        <v>0</v>
      </c>
      <c r="AZ258" s="4">
        <v>0</v>
      </c>
      <c r="BA258" s="4">
        <v>0</v>
      </c>
      <c r="BB258" s="4">
        <v>0</v>
      </c>
      <c r="BC258" s="4">
        <v>0</v>
      </c>
      <c r="BD258" s="4">
        <v>0</v>
      </c>
      <c r="BE258" s="4">
        <v>0</v>
      </c>
      <c r="BF258" s="4">
        <v>0</v>
      </c>
      <c r="BG258" s="4">
        <v>0</v>
      </c>
      <c r="BH258" s="4">
        <v>0</v>
      </c>
      <c r="BJ258" s="9"/>
    </row>
    <row r="259" spans="1:62" x14ac:dyDescent="0.25">
      <c r="A259" s="6" t="s">
        <v>246</v>
      </c>
      <c r="B259" s="6"/>
      <c r="C259" s="7" t="s">
        <v>526</v>
      </c>
      <c r="D259" s="3"/>
      <c r="E259" s="3">
        <f>VLOOKUP(A259,[2]Sheet1!$A$2:$E$627,5,0)</f>
        <v>86.000461416666667</v>
      </c>
      <c r="F259" s="3">
        <f>VLOOKUP(A259,[2]Sheet1!$A$2:$F$627,6,0)</f>
        <v>86.000461416666667</v>
      </c>
      <c r="G259" s="3">
        <f>VLOOKUP(A259,[2]Sheet1!$A$2:$G$627,7,0)</f>
        <v>0</v>
      </c>
      <c r="H259" s="4">
        <f t="shared" ref="H259:H322" si="24">MAX(BF259:BH259)</f>
        <v>86.000461416666667</v>
      </c>
      <c r="I259" s="11">
        <f t="shared" ref="I259:I322" si="25">(F259-E259)/E259</f>
        <v>0</v>
      </c>
      <c r="J259" s="11">
        <f t="shared" ref="J259:J322" si="26">(G259-E259)/E259</f>
        <v>-1</v>
      </c>
      <c r="K259" s="11">
        <f t="shared" ref="K259:K322" si="27">(G259-F259)/F259</f>
        <v>-1</v>
      </c>
      <c r="L259" s="11">
        <f>IF(S259="",((BG259-E259)/E259),((U259-E259)/E259))</f>
        <v>0</v>
      </c>
      <c r="M259" s="3" t="str">
        <f>IF(S259="Churn","Churn",VLOOKUP(A259,'[1]Revenue_Engine_2025 Dec.25'!$C$14:$E$3993,3,0))</f>
        <v>Diğer</v>
      </c>
      <c r="N259" s="3">
        <f>IF(S259="",VLOOKUP(A259,[3]Export!$B$2:$F$417,5,0),"CHURN")</f>
        <v>0.30215414629117443</v>
      </c>
      <c r="O259" s="3">
        <f>(1-N259)*H259</f>
        <v>60.015065416666665</v>
      </c>
      <c r="P259" s="3">
        <f t="shared" si="23"/>
        <v>60.015065416666665</v>
      </c>
      <c r="Q259" s="3">
        <f t="shared" ref="Q259:Q322" si="28">(1-N259)*G259</f>
        <v>0</v>
      </c>
      <c r="R259" s="3" t="str">
        <f>IF(S259&lt;&gt;"Churn",VLOOKUP(A259,[3]Export!$B$2:$O$417,8,0),"CHURN")</f>
        <v>NO RISK</v>
      </c>
      <c r="S259" s="3"/>
      <c r="T259" s="3"/>
      <c r="U259" s="3" t="s">
        <v>551</v>
      </c>
      <c r="V259" s="4" t="str" cm="1">
        <f t="array" ref="V259">IFERROR(
    IF(
        MATCH(2,1/((Y259:BH259&lt;&gt;0)*(Y259:BH259&lt;&gt;"")))-MATCH(1,INDEX((Y259:BH259&lt;&gt;0)*(Y259:BH259&lt;&gt;""),0),0)+1 &lt;= 12,
        "No",
        "Yes"
    ),
    "No"
)</f>
        <v>Yes</v>
      </c>
      <c r="W259" s="4" t="str" cm="1">
        <f t="array" ref="W259">IFERROR(
    IF(
        MATCH(2,1/((Y259:BH259&lt;&gt;0)*(Y259:BH259&lt;&gt;"")))-MATCH(1,INDEX((Y259:BH259&lt;&gt;0)*(Y259:BH259&lt;&gt;""),0),0)+1 &lt;= 24,
        "No",
        "Yes"
    ),
    "No"
)</f>
        <v>No</v>
      </c>
      <c r="X259" s="3"/>
      <c r="Y259" s="4">
        <v>0</v>
      </c>
      <c r="Z259" s="4">
        <v>0</v>
      </c>
      <c r="AA259" s="4">
        <v>0</v>
      </c>
      <c r="AB259" s="4">
        <v>0</v>
      </c>
      <c r="AC259" s="4">
        <v>0</v>
      </c>
      <c r="AD259" s="4">
        <v>0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86.000461416666667</v>
      </c>
      <c r="AM259" s="4">
        <v>86.000461416666667</v>
      </c>
      <c r="AN259" s="4">
        <v>86.000461416666667</v>
      </c>
      <c r="AO259" s="4">
        <v>86.000461416666667</v>
      </c>
      <c r="AP259" s="4">
        <v>86.000461416666667</v>
      </c>
      <c r="AQ259" s="4">
        <v>86.000461416666667</v>
      </c>
      <c r="AR259" s="4">
        <v>86.000461416666667</v>
      </c>
      <c r="AS259" s="4">
        <v>86.000461416666667</v>
      </c>
      <c r="AT259" s="4">
        <v>86.000461416666667</v>
      </c>
      <c r="AU259" s="4">
        <v>86.000461416666667</v>
      </c>
      <c r="AV259" s="4">
        <v>86.000461416666667</v>
      </c>
      <c r="AW259" s="4">
        <v>86.000461416666667</v>
      </c>
      <c r="AX259" s="4">
        <v>86.000461416666667</v>
      </c>
      <c r="AY259" s="4">
        <v>86.000461416666667</v>
      </c>
      <c r="AZ259" s="4">
        <v>86.000461416666667</v>
      </c>
      <c r="BA259" s="4">
        <v>86.000461416666667</v>
      </c>
      <c r="BB259" s="4">
        <v>86.000461416666667</v>
      </c>
      <c r="BC259" s="4">
        <v>86.000461416666667</v>
      </c>
      <c r="BD259" s="4">
        <v>86.000461416666667</v>
      </c>
      <c r="BE259" s="4">
        <v>86.000461416666667</v>
      </c>
      <c r="BF259" s="4">
        <v>86.000461416666667</v>
      </c>
      <c r="BG259" s="4">
        <v>86.000461416666667</v>
      </c>
      <c r="BH259" s="4">
        <v>86.000461416666667</v>
      </c>
      <c r="BJ259" s="9"/>
    </row>
    <row r="260" spans="1:62" x14ac:dyDescent="0.25">
      <c r="A260" s="6" t="s">
        <v>392</v>
      </c>
      <c r="B260" s="6"/>
      <c r="C260" s="7" t="s">
        <v>526</v>
      </c>
      <c r="D260" s="3"/>
      <c r="E260" s="3">
        <f>VLOOKUP(A260,[2]Sheet1!$A$2:$E$627,5,0)</f>
        <v>977.31966823254993</v>
      </c>
      <c r="F260" s="3">
        <f>VLOOKUP(A260,[2]Sheet1!$A$2:$F$627,6,0)</f>
        <v>1364.8119275621971</v>
      </c>
      <c r="G260" s="3">
        <f>VLOOKUP(A260,[2]Sheet1!$A$2:$G$627,7,0)</f>
        <v>0</v>
      </c>
      <c r="H260" s="4">
        <f t="shared" si="24"/>
        <v>1335.6234086923596</v>
      </c>
      <c r="I260" s="11">
        <f t="shared" si="25"/>
        <v>0.39648466302782381</v>
      </c>
      <c r="J260" s="11">
        <f t="shared" si="26"/>
        <v>-1</v>
      </c>
      <c r="K260" s="11">
        <f t="shared" si="27"/>
        <v>-1</v>
      </c>
      <c r="L260" s="11">
        <f>IF(S260="",((BG260-E260)/E260),((U260-E260)/E260))</f>
        <v>0.35889568835693575</v>
      </c>
      <c r="M260" s="3" t="str">
        <f>IF(S260="Churn","Churn",VLOOKUP(A260,'[1]Revenue_Engine_2025 Dec.25'!$C$14:$E$3993,3,0))</f>
        <v>Eğitim</v>
      </c>
      <c r="N260" s="3">
        <f>IF(S260="",VLOOKUP(A260,[3]Export!$B$2:$F$417,5,0),"CHURN")</f>
        <v>0.46169631049199178</v>
      </c>
      <c r="O260" s="3">
        <f>(1-N260)*H260</f>
        <v>718.97100869235953</v>
      </c>
      <c r="P260" s="3">
        <f t="shared" si="23"/>
        <v>734.68329609126715</v>
      </c>
      <c r="Q260" s="3">
        <f t="shared" si="28"/>
        <v>0</v>
      </c>
      <c r="R260" s="3" t="str">
        <f>IF(S260&lt;&gt;"Churn",VLOOKUP(A260,[3]Export!$B$2:$O$417,8,0),"CHURN")</f>
        <v>NO RISK</v>
      </c>
      <c r="S260" s="3"/>
      <c r="T260" s="3"/>
      <c r="U260" s="3" t="s">
        <v>551</v>
      </c>
      <c r="V260" s="4" t="str" cm="1">
        <f t="array" ref="V260">IFERROR(
    IF(
        MATCH(2,1/((Y260:BH260&lt;&gt;0)*(Y260:BH260&lt;&gt;"")))-MATCH(1,INDEX((Y260:BH260&lt;&gt;0)*(Y260:BH260&lt;&gt;""),0),0)+1 &lt;= 12,
        "No",
        "Yes"
    ),
    "No"
)</f>
        <v>Yes</v>
      </c>
      <c r="W260" s="4" t="str" cm="1">
        <f t="array" ref="W260">IFERROR(
    IF(
        MATCH(2,1/((Y260:BH260&lt;&gt;0)*(Y260:BH260&lt;&gt;"")))-MATCH(1,INDEX((Y260:BH260&lt;&gt;0)*(Y260:BH260&lt;&gt;""),0),0)+1 &lt;= 24,
        "No",
        "Yes"
    ),
    "No"
)</f>
        <v>No</v>
      </c>
      <c r="X260" s="3"/>
      <c r="Y260" s="4">
        <v>0</v>
      </c>
      <c r="Z260" s="4">
        <v>0</v>
      </c>
      <c r="AA260" s="4">
        <v>0</v>
      </c>
      <c r="AB260" s="4">
        <v>0</v>
      </c>
      <c r="AC260" s="4">
        <v>0</v>
      </c>
      <c r="AD260" s="4">
        <v>0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977.31966823254993</v>
      </c>
      <c r="AM260" s="4">
        <v>939.90262608793728</v>
      </c>
      <c r="AN260" s="4">
        <v>930.54129587180864</v>
      </c>
      <c r="AO260" s="4">
        <v>931.89407470684159</v>
      </c>
      <c r="AP260" s="4">
        <v>924.00376993538134</v>
      </c>
      <c r="AQ260" s="4">
        <v>1529.9670602991362</v>
      </c>
      <c r="AR260" s="4">
        <v>1510.3057437162279</v>
      </c>
      <c r="AS260" s="4">
        <v>1500.074500727339</v>
      </c>
      <c r="AT260" s="4">
        <v>1494.6118068013434</v>
      </c>
      <c r="AU260" s="4">
        <v>1489.7723910388308</v>
      </c>
      <c r="AV260" s="4">
        <v>1476.1965611163955</v>
      </c>
      <c r="AW260" s="4">
        <v>1463.2394578171591</v>
      </c>
      <c r="AX260" s="4">
        <v>1448.3159102816796</v>
      </c>
      <c r="AY260" s="4">
        <v>1427.5673340379158</v>
      </c>
      <c r="AZ260" s="4">
        <v>1405.9056561250645</v>
      </c>
      <c r="BA260" s="4">
        <v>1392.6745716005248</v>
      </c>
      <c r="BB260" s="4">
        <v>1379.499420670903</v>
      </c>
      <c r="BC260" s="4">
        <v>1364.8119275621971</v>
      </c>
      <c r="BD260" s="4">
        <v>1353.2897976074019</v>
      </c>
      <c r="BE260" s="4">
        <v>1344.3732268849183</v>
      </c>
      <c r="BF260" s="4">
        <v>1335.6234086923596</v>
      </c>
      <c r="BG260" s="4">
        <v>1328.075483307643</v>
      </c>
      <c r="BH260" s="4">
        <v>1321.1406949269799</v>
      </c>
      <c r="BJ260" s="9"/>
    </row>
    <row r="261" spans="1:62" x14ac:dyDescent="0.25">
      <c r="A261" s="6" t="s">
        <v>519</v>
      </c>
      <c r="B261" s="6"/>
      <c r="C261" s="7" t="s">
        <v>526</v>
      </c>
      <c r="D261" s="3"/>
      <c r="E261" s="3">
        <f>VLOOKUP(A261,[2]Sheet1!$A$2:$E$627,5,0)</f>
        <v>149.99893483333332</v>
      </c>
      <c r="F261" s="3">
        <f>VLOOKUP(A261,[2]Sheet1!$A$2:$F$627,6,0)</f>
        <v>0</v>
      </c>
      <c r="G261" s="3">
        <f>VLOOKUP(A261,[2]Sheet1!$A$2:$G$627,7,0)</f>
        <v>0</v>
      </c>
      <c r="H261" s="4">
        <f t="shared" si="24"/>
        <v>0</v>
      </c>
      <c r="I261" s="11">
        <f t="shared" si="25"/>
        <v>-1</v>
      </c>
      <c r="J261" s="11">
        <f t="shared" si="26"/>
        <v>-1</v>
      </c>
      <c r="K261" s="11" t="e">
        <f t="shared" si="27"/>
        <v>#DIV/0!</v>
      </c>
      <c r="L261" s="11">
        <f>IF(S261="",((BG261-E261)/E261),((U261-E261)/E261))</f>
        <v>0</v>
      </c>
      <c r="M261" s="3" t="str">
        <f>IF(S261="Churn","Churn",VLOOKUP(A261,'[1]Revenue_Engine_2025 Dec.25'!$C$14:$E$3993,3,0))</f>
        <v>Churn</v>
      </c>
      <c r="N261" s="3" t="str">
        <f>IF(S261="",VLOOKUP(A261,[3]Export!$B$2:$F$417,5,0),"CHURN")</f>
        <v>CHURN</v>
      </c>
      <c r="O261" s="3" t="e">
        <f>(1-N261)*H261</f>
        <v>#VALUE!</v>
      </c>
      <c r="P261" s="3" t="e">
        <f t="shared" si="23"/>
        <v>#VALUE!</v>
      </c>
      <c r="Q261" s="3" t="e">
        <f t="shared" si="28"/>
        <v>#VALUE!</v>
      </c>
      <c r="R261" s="3" t="str">
        <f>IF(S261&lt;&gt;"Churn",VLOOKUP(A261,[3]Export!$B$2:$O$417,8,0),"CHURN")</f>
        <v>CHURN</v>
      </c>
      <c r="S261" s="3" t="s">
        <v>372</v>
      </c>
      <c r="T261" s="3" t="s">
        <v>562</v>
      </c>
      <c r="U261" s="3">
        <v>149.99893483333332</v>
      </c>
      <c r="V261" s="4" t="str" cm="1">
        <f t="array" ref="V261">IFERROR(
    IF(
        MATCH(2,1/((Y261:BH261&lt;&gt;0)*(Y261:BH261&lt;&gt;"")))-MATCH(1,INDEX((Y261:BH261&lt;&gt;0)*(Y261:BH261&lt;&gt;""),0),0)+1 &lt;= 12,
        "No",
        "Yes"
    ),
    "No"
)</f>
        <v>No</v>
      </c>
      <c r="W261" s="4" t="str" cm="1">
        <f t="array" ref="W261">IFERROR(
    IF(
        MATCH(2,1/((Y261:BH261&lt;&gt;0)*(Y261:BH261&lt;&gt;"")))-MATCH(1,INDEX((Y261:BH261&lt;&gt;0)*(Y261:BH261&lt;&gt;""),0),0)+1 &lt;= 24,
        "No",
        "Yes"
    ),
    "No"
)</f>
        <v>No</v>
      </c>
      <c r="X261" s="3"/>
      <c r="Y261" s="4">
        <v>0</v>
      </c>
      <c r="Z261" s="4">
        <v>0</v>
      </c>
      <c r="AA261" s="4">
        <v>0</v>
      </c>
      <c r="AB261" s="4">
        <v>0</v>
      </c>
      <c r="AC261" s="4">
        <v>0</v>
      </c>
      <c r="AD261" s="4">
        <v>0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149.99893483333332</v>
      </c>
      <c r="AM261" s="4">
        <v>149.99893483333332</v>
      </c>
      <c r="AN261" s="4">
        <v>149.99893483333332</v>
      </c>
      <c r="AO261" s="4">
        <v>149.99893483333332</v>
      </c>
      <c r="AP261" s="4">
        <v>149.99893483333332</v>
      </c>
      <c r="AQ261" s="4">
        <v>149.99893483333332</v>
      </c>
      <c r="AR261" s="4">
        <v>149.99893483333332</v>
      </c>
      <c r="AS261" s="4">
        <v>149.99893483333332</v>
      </c>
      <c r="AT261" s="4">
        <v>149.99893483333332</v>
      </c>
      <c r="AU261" s="4">
        <v>149.99893483333332</v>
      </c>
      <c r="AV261" s="4">
        <v>149.99893483333332</v>
      </c>
      <c r="AW261" s="4">
        <v>149.99893483333332</v>
      </c>
      <c r="AX261" s="4">
        <v>0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G261" s="4">
        <v>0</v>
      </c>
      <c r="BH261" s="4">
        <v>0</v>
      </c>
      <c r="BJ261" s="9"/>
    </row>
    <row r="262" spans="1:62" x14ac:dyDescent="0.25">
      <c r="A262" s="6" t="s">
        <v>247</v>
      </c>
      <c r="B262" s="6"/>
      <c r="C262" s="7" t="s">
        <v>526</v>
      </c>
      <c r="D262" s="3"/>
      <c r="E262" s="3">
        <f>VLOOKUP(A262,[2]Sheet1!$A$2:$E$627,5,0)</f>
        <v>1303.0928909767333</v>
      </c>
      <c r="F262" s="3">
        <f>VLOOKUP(A262,[2]Sheet1!$A$2:$F$627,6,0)</f>
        <v>1250.0166161926047</v>
      </c>
      <c r="G262" s="3">
        <f>VLOOKUP(A262,[2]Sheet1!$A$2:$G$627,7,0)</f>
        <v>0</v>
      </c>
      <c r="H262" s="4">
        <f t="shared" si="24"/>
        <v>1108.3055466456403</v>
      </c>
      <c r="I262" s="11">
        <f t="shared" si="25"/>
        <v>-4.0730998650714209E-2</v>
      </c>
      <c r="J262" s="11">
        <f t="shared" si="26"/>
        <v>-1</v>
      </c>
      <c r="K262" s="11">
        <f t="shared" si="27"/>
        <v>-1</v>
      </c>
      <c r="L262" s="11">
        <f>IF(S262="",((BG262-E262)/E262),((U262-E262)/E262))</f>
        <v>-0.15840973115278881</v>
      </c>
      <c r="M262" s="3" t="str">
        <f>IF(S262="Churn","Churn",VLOOKUP(A262,'[1]Revenue_Engine_2025 Dec.25'!$C$14:$E$3993,3,0))</f>
        <v>Teknoloji</v>
      </c>
      <c r="N262" s="3">
        <f>IF(S262="",VLOOKUP(A262,[3]Export!$B$2:$F$417,5,0),"CHURN")</f>
        <v>6.0000013323245227E-2</v>
      </c>
      <c r="O262" s="3">
        <f>(1-N262)*H262</f>
        <v>1041.8071990806752</v>
      </c>
      <c r="P262" s="3">
        <f t="shared" ref="P262:P325" si="29">(1-N262)*F262</f>
        <v>1175.0156025667704</v>
      </c>
      <c r="Q262" s="3">
        <f t="shared" si="28"/>
        <v>0</v>
      </c>
      <c r="R262" s="3" t="str">
        <f>IF(S262&lt;&gt;"Churn",VLOOKUP(A262,[3]Export!$B$2:$O$417,8,0),"CHURN")</f>
        <v>NO RISK</v>
      </c>
      <c r="S262" s="3"/>
      <c r="T262" s="3"/>
      <c r="U262" s="3" t="s">
        <v>551</v>
      </c>
      <c r="V262" s="4" t="str" cm="1">
        <f t="array" ref="V262">IFERROR(
    IF(
        MATCH(2,1/((Y262:BH262&lt;&gt;0)*(Y262:BH262&lt;&gt;"")))-MATCH(1,INDEX((Y262:BH262&lt;&gt;0)*(Y262:BH262&lt;&gt;""),0),0)+1 &lt;= 12,
        "No",
        "Yes"
    ),
    "No"
)</f>
        <v>Yes</v>
      </c>
      <c r="W262" s="4" t="str" cm="1">
        <f t="array" ref="W262">IFERROR(
    IF(
        MATCH(2,1/((Y262:BH262&lt;&gt;0)*(Y262:BH262&lt;&gt;"")))-MATCH(1,INDEX((Y262:BH262&lt;&gt;0)*(Y262:BH262&lt;&gt;""),0),0)+1 &lt;= 24,
        "No",
        "Yes"
    ),
    "No"
)</f>
        <v>No</v>
      </c>
      <c r="X262" s="3"/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1303.0928909767333</v>
      </c>
      <c r="AM262" s="4">
        <v>939.90287071326065</v>
      </c>
      <c r="AN262" s="4">
        <v>1085.6317540393245</v>
      </c>
      <c r="AO262" s="4">
        <v>1087.2099963656128</v>
      </c>
      <c r="AP262" s="4">
        <v>1078.004638745326</v>
      </c>
      <c r="AQ262" s="4">
        <v>1065.5173636061968</v>
      </c>
      <c r="AR262" s="4">
        <v>1042.5791558089518</v>
      </c>
      <c r="AS262" s="4">
        <v>1030.6427029923966</v>
      </c>
      <c r="AT262" s="4">
        <v>1024.269558656978</v>
      </c>
      <c r="AU262" s="4">
        <v>1018.6235723411745</v>
      </c>
      <c r="AV262" s="4">
        <v>1002.7851005649975</v>
      </c>
      <c r="AW262" s="4">
        <v>987.66847667691957</v>
      </c>
      <c r="AX262" s="4">
        <v>970.25766733475814</v>
      </c>
      <c r="AY262" s="4">
        <v>1250.0166161926047</v>
      </c>
      <c r="AZ262" s="4">
        <v>1216.6247860767719</v>
      </c>
      <c r="BA262" s="4">
        <v>1196.2288532931186</v>
      </c>
      <c r="BB262" s="4">
        <v>1175.9191430591115</v>
      </c>
      <c r="BC262" s="4">
        <v>1153.3001249675794</v>
      </c>
      <c r="BD262" s="4">
        <v>1135.5385735507884</v>
      </c>
      <c r="BE262" s="4">
        <v>1121.7935342247101</v>
      </c>
      <c r="BF262" s="4">
        <v>1108.3055466456403</v>
      </c>
      <c r="BG262" s="4">
        <v>1096.6702964499987</v>
      </c>
      <c r="BH262" s="4">
        <v>1085.9802069551779</v>
      </c>
      <c r="BJ262" s="9"/>
    </row>
    <row r="263" spans="1:62" x14ac:dyDescent="0.25">
      <c r="A263" s="6" t="s">
        <v>248</v>
      </c>
      <c r="B263" s="6"/>
      <c r="C263" s="7" t="s">
        <v>526</v>
      </c>
      <c r="D263" s="3"/>
      <c r="E263" s="3">
        <f>VLOOKUP(A263,[2]Sheet1!$A$2:$E$627,5,0)</f>
        <v>170.01087599999997</v>
      </c>
      <c r="F263" s="3">
        <f>VLOOKUP(A263,[2]Sheet1!$A$2:$F$627,6,0)</f>
        <v>169.99943433333331</v>
      </c>
      <c r="G263" s="3">
        <f>VLOOKUP(A263,[2]Sheet1!$A$2:$G$627,7,0)</f>
        <v>0</v>
      </c>
      <c r="H263" s="4">
        <f t="shared" si="24"/>
        <v>0</v>
      </c>
      <c r="I263" s="11">
        <f t="shared" si="25"/>
        <v>-6.7299615976660772E-5</v>
      </c>
      <c r="J263" s="11">
        <f t="shared" si="26"/>
        <v>-1</v>
      </c>
      <c r="K263" s="11">
        <f t="shared" si="27"/>
        <v>-1</v>
      </c>
      <c r="L263" s="11">
        <f>IF(S263="",((BG263-E263)/E263),((U263-E263)/E263))</f>
        <v>-6.7299615976660772E-5</v>
      </c>
      <c r="M263" s="3" t="str">
        <f>IF(S263="Churn","Churn",VLOOKUP(A263,'[1]Revenue_Engine_2025 Dec.25'!$C$14:$E$3993,3,0))</f>
        <v>Churn</v>
      </c>
      <c r="N263" s="3" t="str">
        <f>IF(S263="",VLOOKUP(A263,[3]Export!$B$2:$F$417,5,0),"CHURN")</f>
        <v>CHURN</v>
      </c>
      <c r="O263" s="3" t="e">
        <f>(1-N263)*H263</f>
        <v>#VALUE!</v>
      </c>
      <c r="P263" s="3" t="e">
        <f t="shared" si="29"/>
        <v>#VALUE!</v>
      </c>
      <c r="Q263" s="3" t="e">
        <f t="shared" si="28"/>
        <v>#VALUE!</v>
      </c>
      <c r="R263" s="3" t="str">
        <f>IF(S263&lt;&gt;"Churn",VLOOKUP(A263,[3]Export!$B$2:$O$417,8,0),"CHURN")</f>
        <v>CHURN</v>
      </c>
      <c r="S263" s="3" t="s">
        <v>372</v>
      </c>
      <c r="T263" s="3" t="s">
        <v>550</v>
      </c>
      <c r="U263" s="3">
        <v>169.99943433333331</v>
      </c>
      <c r="V263" s="4" t="str" cm="1">
        <f t="array" ref="V263">IFERROR(
    IF(
        MATCH(2,1/((Y263:BH263&lt;&gt;0)*(Y263:BH263&lt;&gt;"")))-MATCH(1,INDEX((Y263:BH263&lt;&gt;0)*(Y263:BH263&lt;&gt;""),0),0)+1 &lt;= 12,
        "No",
        "Yes"
    ),
    "No"
)</f>
        <v>Yes</v>
      </c>
      <c r="W263" s="4" t="str" cm="1">
        <f t="array" ref="W263">IFERROR(
    IF(
        MATCH(2,1/((Y263:BH263&lt;&gt;0)*(Y263:BH263&lt;&gt;"")))-MATCH(1,INDEX((Y263:BH263&lt;&gt;0)*(Y263:BH263&lt;&gt;""),0),0)+1 &lt;= 24,
        "No",
        "Yes"
    ),
    "No"
)</f>
        <v>No</v>
      </c>
      <c r="X263" s="3"/>
      <c r="Y263" s="4">
        <v>0</v>
      </c>
      <c r="Z263" s="4">
        <v>0</v>
      </c>
      <c r="AA263" s="4">
        <v>0</v>
      </c>
      <c r="AB263" s="4">
        <v>0</v>
      </c>
      <c r="AC263" s="4">
        <v>0</v>
      </c>
      <c r="AD263" s="4">
        <v>0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170.01087599999997</v>
      </c>
      <c r="AN263" s="4">
        <v>170.01087599999997</v>
      </c>
      <c r="AO263" s="4">
        <v>170</v>
      </c>
      <c r="AP263" s="4">
        <v>169.99943433333331</v>
      </c>
      <c r="AQ263" s="4">
        <v>169.99943433333331</v>
      </c>
      <c r="AR263" s="4">
        <v>169.99943433333331</v>
      </c>
      <c r="AS263" s="4">
        <v>169.99943433333331</v>
      </c>
      <c r="AT263" s="4">
        <v>169.99943433333331</v>
      </c>
      <c r="AU263" s="4">
        <v>169.99943433333331</v>
      </c>
      <c r="AV263" s="4">
        <v>169.99943433333331</v>
      </c>
      <c r="AW263" s="4">
        <v>169.99943433333331</v>
      </c>
      <c r="AX263" s="4">
        <v>169.99943433333331</v>
      </c>
      <c r="AY263" s="4">
        <v>169.99943433333331</v>
      </c>
      <c r="AZ263" s="4">
        <v>169.99943433333331</v>
      </c>
      <c r="BA263" s="4">
        <v>169.99943433333331</v>
      </c>
      <c r="BB263" s="4">
        <v>169.99943433333331</v>
      </c>
      <c r="BC263" s="4">
        <v>0</v>
      </c>
      <c r="BD263" s="4">
        <v>0</v>
      </c>
      <c r="BE263" s="4">
        <v>0</v>
      </c>
      <c r="BF263" s="4">
        <v>0</v>
      </c>
      <c r="BG263" s="4">
        <v>0</v>
      </c>
      <c r="BH263" s="4">
        <v>0</v>
      </c>
      <c r="BJ263" s="9"/>
    </row>
    <row r="264" spans="1:62" x14ac:dyDescent="0.25">
      <c r="A264" s="6" t="s">
        <v>377</v>
      </c>
      <c r="B264" s="6"/>
      <c r="C264" s="7" t="s">
        <v>526</v>
      </c>
      <c r="D264" s="3"/>
      <c r="E264" s="3">
        <f>VLOOKUP(A264,[2]Sheet1!$A$2:$E$627,5,0)</f>
        <v>1550.0050820000004</v>
      </c>
      <c r="F264" s="3">
        <f>VLOOKUP(A264,[2]Sheet1!$A$2:$F$627,6,0)</f>
        <v>7842.4998529999993</v>
      </c>
      <c r="G264" s="3">
        <f>VLOOKUP(A264,[2]Sheet1!$A$2:$G$627,7,0)</f>
        <v>0</v>
      </c>
      <c r="H264" s="4">
        <f t="shared" si="24"/>
        <v>5672.5139400000007</v>
      </c>
      <c r="I264" s="11">
        <f t="shared" si="25"/>
        <v>4.05966073535751</v>
      </c>
      <c r="J264" s="11">
        <f t="shared" si="26"/>
        <v>-1</v>
      </c>
      <c r="K264" s="11">
        <f t="shared" si="27"/>
        <v>-1</v>
      </c>
      <c r="L264" s="11">
        <f>IF(S264="",((BG264-E264)/E264),((U264-E264)/E264))</f>
        <v>2.6596744138933084</v>
      </c>
      <c r="M264" s="3" t="str">
        <f>IF(S264="Churn","Churn",VLOOKUP(A264,'[1]Revenue_Engine_2025 Dec.25'!$C$14:$E$3993,3,0))</f>
        <v>Genel</v>
      </c>
      <c r="N264" s="3">
        <v>0</v>
      </c>
      <c r="O264" s="3">
        <f>(1-N264)*H264</f>
        <v>5672.5139400000007</v>
      </c>
      <c r="P264" s="3">
        <f t="shared" si="29"/>
        <v>7842.4998529999993</v>
      </c>
      <c r="Q264" s="3">
        <f t="shared" si="28"/>
        <v>0</v>
      </c>
      <c r="R264" s="3" t="s">
        <v>374</v>
      </c>
      <c r="S264" s="3"/>
      <c r="T264" s="3"/>
      <c r="U264" s="3" t="s">
        <v>551</v>
      </c>
      <c r="V264" s="4" t="str" cm="1">
        <f t="array" ref="V264">IFERROR(
    IF(
        MATCH(2,1/((Y264:BH264&lt;&gt;0)*(Y264:BH264&lt;&gt;"")))-MATCH(1,INDEX((Y264:BH264&lt;&gt;0)*(Y264:BH264&lt;&gt;""),0),0)+1 &lt;= 12,
        "No",
        "Yes"
    ),
    "No"
)</f>
        <v>Yes</v>
      </c>
      <c r="W264" s="4" t="str" cm="1">
        <f t="array" ref="W264">IFERROR(
    IF(
        MATCH(2,1/((Y264:BH264&lt;&gt;0)*(Y264:BH264&lt;&gt;"")))-MATCH(1,INDEX((Y264:BH264&lt;&gt;0)*(Y264:BH264&lt;&gt;""),0),0)+1 &lt;= 24,
        "No",
        "Yes"
    ),
    "No"
)</f>
        <v>No</v>
      </c>
      <c r="X264" s="3"/>
      <c r="Y264" s="4">
        <v>0</v>
      </c>
      <c r="Z264" s="4">
        <v>0</v>
      </c>
      <c r="AA264" s="4">
        <v>0</v>
      </c>
      <c r="AB264" s="4">
        <v>0</v>
      </c>
      <c r="AC264" s="4">
        <v>0</v>
      </c>
      <c r="AD264" s="4">
        <v>0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1100.001718</v>
      </c>
      <c r="AN264" s="4">
        <v>1550.0050820000004</v>
      </c>
      <c r="AO264" s="4">
        <v>1550.0050820000004</v>
      </c>
      <c r="AP264" s="4">
        <v>1550.0050820000004</v>
      </c>
      <c r="AQ264" s="4">
        <v>1550.0050820000004</v>
      </c>
      <c r="AR264" s="4">
        <v>3606.2304640000002</v>
      </c>
      <c r="AS264" s="4">
        <v>6098.5733740000005</v>
      </c>
      <c r="AT264" s="4">
        <v>6380.0973460000005</v>
      </c>
      <c r="AU264" s="4">
        <v>6717.3773460000002</v>
      </c>
      <c r="AV264" s="4">
        <v>6902.2719060000009</v>
      </c>
      <c r="AW264" s="4">
        <v>6955.6719060000005</v>
      </c>
      <c r="AX264" s="4">
        <v>7699.9998529999993</v>
      </c>
      <c r="AY264" s="4">
        <v>7842.4998529999993</v>
      </c>
      <c r="AZ264" s="4">
        <v>6742.5067689999996</v>
      </c>
      <c r="BA264" s="4">
        <v>6742.5067689999996</v>
      </c>
      <c r="BB264" s="4">
        <v>5642.5067690000005</v>
      </c>
      <c r="BC264" s="4">
        <v>5672.5067690000005</v>
      </c>
      <c r="BD264" s="4">
        <v>5672.5067690000005</v>
      </c>
      <c r="BE264" s="4">
        <v>5672.491038000001</v>
      </c>
      <c r="BF264" s="4">
        <v>5672.510502000001</v>
      </c>
      <c r="BG264" s="4">
        <v>5672.5139400000007</v>
      </c>
      <c r="BH264" s="4">
        <v>5672.5139400000007</v>
      </c>
      <c r="BJ264" s="9"/>
    </row>
    <row r="265" spans="1:62" x14ac:dyDescent="0.25">
      <c r="A265" s="6" t="s">
        <v>249</v>
      </c>
      <c r="B265" s="6"/>
      <c r="C265" s="7" t="s">
        <v>526</v>
      </c>
      <c r="D265" s="3"/>
      <c r="E265" s="3">
        <f>VLOOKUP(A265,[2]Sheet1!$A$2:$E$627,5,0)</f>
        <v>551.40954063825654</v>
      </c>
      <c r="F265" s="3">
        <f>VLOOKUP(A265,[2]Sheet1!$A$2:$F$627,6,0)</f>
        <v>1365.2049587741453</v>
      </c>
      <c r="G265" s="3">
        <f>VLOOKUP(A265,[2]Sheet1!$A$2:$G$627,7,0)</f>
        <v>0</v>
      </c>
      <c r="H265" s="4">
        <f t="shared" si="24"/>
        <v>1266.7494360000001</v>
      </c>
      <c r="I265" s="11">
        <f t="shared" si="25"/>
        <v>1.4758457338150526</v>
      </c>
      <c r="J265" s="11">
        <f t="shared" si="26"/>
        <v>-1</v>
      </c>
      <c r="K265" s="11">
        <f t="shared" si="27"/>
        <v>-1</v>
      </c>
      <c r="L265" s="11">
        <f>IF(S265="",((BG265-E265)/E265),((U265-E265)/E265))</f>
        <v>1.2972932868258638</v>
      </c>
      <c r="M265" s="3" t="str">
        <f>IF(S265="Churn","Churn",VLOOKUP(A265,'[1]Revenue_Engine_2025 Dec.25'!$C$14:$E$3993,3,0))</f>
        <v>Genel</v>
      </c>
      <c r="N265" s="3">
        <f>IF(S265="",VLOOKUP(A265,[3]Export!$B$2:$F$417,5,0),"CHURN")</f>
        <v>0.16498935051010657</v>
      </c>
      <c r="O265" s="3">
        <f>(1-N265)*H265</f>
        <v>1057.7492692953163</v>
      </c>
      <c r="P265" s="3">
        <f t="shared" si="29"/>
        <v>1139.9606793128223</v>
      </c>
      <c r="Q265" s="3">
        <f t="shared" si="28"/>
        <v>0</v>
      </c>
      <c r="R265" s="3" t="str">
        <f>IF(S265&lt;&gt;"Churn",VLOOKUP(A265,[3]Export!$B$2:$O$417,8,0),"CHURN")</f>
        <v>NO RISK</v>
      </c>
      <c r="S265" s="3"/>
      <c r="T265" s="3"/>
      <c r="U265" s="3" t="s">
        <v>551</v>
      </c>
      <c r="V265" s="4" t="str" cm="1">
        <f t="array" ref="V265">IFERROR(
    IF(
        MATCH(2,1/((Y265:BH265&lt;&gt;0)*(Y265:BH265&lt;&gt;"")))-MATCH(1,INDEX((Y265:BH265&lt;&gt;0)*(Y265:BH265&lt;&gt;""),0),0)+1 &lt;= 12,
        "No",
        "Yes"
    ),
    "No"
)</f>
        <v>Yes</v>
      </c>
      <c r="W265" s="4" t="str" cm="1">
        <f t="array" ref="W265">IFERROR(
    IF(
        MATCH(2,1/((Y265:BH265&lt;&gt;0)*(Y265:BH265&lt;&gt;"")))-MATCH(1,INDEX((Y265:BH265&lt;&gt;0)*(Y265:BH265&lt;&gt;""),0),0)+1 &lt;= 24,
        "No",
        "Yes"
    ),
    "No"
)</f>
        <v>No</v>
      </c>
      <c r="X265" s="3"/>
      <c r="Y265" s="4">
        <v>0</v>
      </c>
      <c r="Z265" s="4">
        <v>0</v>
      </c>
      <c r="AA265" s="4">
        <v>0</v>
      </c>
      <c r="AB265" s="4">
        <v>0</v>
      </c>
      <c r="AC265" s="4">
        <v>0</v>
      </c>
      <c r="AD265" s="4">
        <v>0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551.40954063825654</v>
      </c>
      <c r="AN265" s="4">
        <v>545.91756024479434</v>
      </c>
      <c r="AO265" s="4">
        <v>546.71119049468041</v>
      </c>
      <c r="AP265" s="4">
        <v>542.08221169542378</v>
      </c>
      <c r="AQ265" s="4">
        <v>598.30289759771551</v>
      </c>
      <c r="AR265" s="4">
        <v>586.76825853574258</v>
      </c>
      <c r="AS265" s="4">
        <v>1248.2653653155944</v>
      </c>
      <c r="AT265" s="4">
        <v>1245.0605848790105</v>
      </c>
      <c r="AU265" s="4">
        <v>1242.221460965003</v>
      </c>
      <c r="AV265" s="4">
        <v>1234.2569740771742</v>
      </c>
      <c r="AW265" s="4">
        <v>1226.6554734749557</v>
      </c>
      <c r="AX265" s="4">
        <v>1217.9003255874743</v>
      </c>
      <c r="AY265" s="4">
        <v>1365.2049587741453</v>
      </c>
      <c r="AZ265" s="4">
        <v>1348.2366444090783</v>
      </c>
      <c r="BA265" s="4">
        <v>1337.8722948648556</v>
      </c>
      <c r="BB265" s="4">
        <v>729.99943599999995</v>
      </c>
      <c r="BC265" s="4">
        <v>729.99943599999995</v>
      </c>
      <c r="BD265" s="4">
        <v>729.99943599999995</v>
      </c>
      <c r="BE265" s="4">
        <v>1266.7494360000001</v>
      </c>
      <c r="BF265" s="4">
        <v>1266.7494360000001</v>
      </c>
      <c r="BG265" s="4">
        <v>1266.7494360000001</v>
      </c>
      <c r="BH265" s="4">
        <v>1266.7494360000001</v>
      </c>
      <c r="BJ265" s="9"/>
    </row>
    <row r="266" spans="1:62" x14ac:dyDescent="0.25">
      <c r="A266" s="8" t="s">
        <v>250</v>
      </c>
      <c r="B266" s="8"/>
      <c r="C266" s="7" t="s">
        <v>526</v>
      </c>
      <c r="D266" s="3"/>
      <c r="E266" s="3">
        <f>VLOOKUP(A266,[2]Sheet1!$A$2:$E$627,5,0)</f>
        <v>86.000002000000009</v>
      </c>
      <c r="F266" s="3">
        <f>VLOOKUP(A266,[2]Sheet1!$A$2:$F$627,6,0)</f>
        <v>103.19973758333333</v>
      </c>
      <c r="G266" s="3">
        <f>VLOOKUP(A266,[2]Sheet1!$A$2:$G$627,7,0)</f>
        <v>0</v>
      </c>
      <c r="H266" s="4">
        <f t="shared" si="24"/>
        <v>103.19973758333333</v>
      </c>
      <c r="I266" s="11">
        <f t="shared" si="25"/>
        <v>0.19999692073650557</v>
      </c>
      <c r="J266" s="11">
        <f t="shared" si="26"/>
        <v>-1</v>
      </c>
      <c r="K266" s="11">
        <f t="shared" si="27"/>
        <v>-1</v>
      </c>
      <c r="L266" s="11">
        <f>IF(S266="",((BG266-E266)/E266),((U266-E266)/E266))</f>
        <v>0.19999692073650557</v>
      </c>
      <c r="M266" s="3" t="str">
        <f>IF(S266="Churn","Churn",VLOOKUP(A266,'[1]Revenue_Engine_2025 Dec.25'!$C$14:$E$3993,3,0))</f>
        <v>Diğer</v>
      </c>
      <c r="N266" s="3">
        <f>IF(S266="",VLOOKUP(A266,[3]Export!$B$2:$F$417,5,0),"CHURN")</f>
        <v>0.27488549710467569</v>
      </c>
      <c r="O266" s="3">
        <f>(1-N266)*H266</f>
        <v>74.831626416666666</v>
      </c>
      <c r="P266" s="3">
        <f t="shared" si="29"/>
        <v>74.831626416666666</v>
      </c>
      <c r="Q266" s="3">
        <f t="shared" si="28"/>
        <v>0</v>
      </c>
      <c r="R266" s="3" t="str">
        <f>IF(S266&lt;&gt;"Churn",VLOOKUP(A266,[3]Export!$B$2:$O$417,8,0),"CHURN")</f>
        <v>NO RISK</v>
      </c>
      <c r="S266" s="3"/>
      <c r="T266" s="3"/>
      <c r="U266" s="3" t="s">
        <v>551</v>
      </c>
      <c r="V266" s="4" t="str" cm="1">
        <f t="array" ref="V266">IFERROR(
    IF(
        MATCH(2,1/((Y266:BH266&lt;&gt;0)*(Y266:BH266&lt;&gt;"")))-MATCH(1,INDEX((Y266:BH266&lt;&gt;0)*(Y266:BH266&lt;&gt;""),0),0)+1 &lt;= 12,
        "No",
        "Yes"
    ),
    "No"
)</f>
        <v>Yes</v>
      </c>
      <c r="W266" s="4" t="str" cm="1">
        <f t="array" ref="W266">IFERROR(
    IF(
        MATCH(2,1/((Y266:BH266&lt;&gt;0)*(Y266:BH266&lt;&gt;"")))-MATCH(1,INDEX((Y266:BH266&lt;&gt;0)*(Y266:BH266&lt;&gt;""),0),0)+1 &lt;= 24,
        "No",
        "Yes"
    ),
    "No"
)</f>
        <v>No</v>
      </c>
      <c r="X266" s="3"/>
      <c r="Y266" s="4">
        <v>0</v>
      </c>
      <c r="Z266" s="4">
        <v>0</v>
      </c>
      <c r="AA266" s="4">
        <v>0</v>
      </c>
      <c r="AB266" s="4">
        <v>0</v>
      </c>
      <c r="AC266" s="4">
        <v>0</v>
      </c>
      <c r="AD266" s="4">
        <v>0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86.000002000000009</v>
      </c>
      <c r="AN266" s="4">
        <v>86.000002000000009</v>
      </c>
      <c r="AO266" s="4">
        <v>86.000002000000009</v>
      </c>
      <c r="AP266" s="4">
        <v>86.000002000000009</v>
      </c>
      <c r="AQ266" s="4">
        <v>86.000002000000009</v>
      </c>
      <c r="AR266" s="4">
        <v>86.000002000000009</v>
      </c>
      <c r="AS266" s="4">
        <v>86.000002000000009</v>
      </c>
      <c r="AT266" s="4">
        <v>86.000002000000009</v>
      </c>
      <c r="AU266" s="4">
        <v>86.000002000000009</v>
      </c>
      <c r="AV266" s="4">
        <v>86.000002000000009</v>
      </c>
      <c r="AW266" s="4">
        <v>86.000002000000009</v>
      </c>
      <c r="AX266" s="4">
        <v>86.000002000000009</v>
      </c>
      <c r="AY266" s="4">
        <v>103.19973758333333</v>
      </c>
      <c r="AZ266" s="4">
        <v>103.19973758333333</v>
      </c>
      <c r="BA266" s="4">
        <v>103.19973758333333</v>
      </c>
      <c r="BB266" s="4">
        <v>103.19973758333333</v>
      </c>
      <c r="BC266" s="4">
        <v>103.19973758333333</v>
      </c>
      <c r="BD266" s="4">
        <v>103.19973758333333</v>
      </c>
      <c r="BE266" s="4">
        <v>103.19973758333333</v>
      </c>
      <c r="BF266" s="4">
        <v>103.19973758333333</v>
      </c>
      <c r="BG266" s="4">
        <v>103.19973758333333</v>
      </c>
      <c r="BH266" s="4">
        <v>103.19973758333333</v>
      </c>
      <c r="BJ266" s="9"/>
    </row>
    <row r="267" spans="1:62" x14ac:dyDescent="0.25">
      <c r="A267" s="8" t="s">
        <v>520</v>
      </c>
      <c r="B267" s="8"/>
      <c r="C267" s="7" t="s">
        <v>526</v>
      </c>
      <c r="D267" s="3"/>
      <c r="E267" s="3">
        <f>VLOOKUP(A267,[2]Sheet1!$A$2:$E$627,5,0)</f>
        <v>103.20000008333332</v>
      </c>
      <c r="F267" s="3">
        <f>VLOOKUP(A267,[2]Sheet1!$A$2:$F$627,6,0)</f>
        <v>0</v>
      </c>
      <c r="G267" s="3">
        <f>VLOOKUP(A267,[2]Sheet1!$A$2:$G$627,7,0)</f>
        <v>0</v>
      </c>
      <c r="H267" s="4">
        <f t="shared" si="24"/>
        <v>0</v>
      </c>
      <c r="I267" s="11">
        <f t="shared" si="25"/>
        <v>-1</v>
      </c>
      <c r="J267" s="11">
        <f t="shared" si="26"/>
        <v>-1</v>
      </c>
      <c r="K267" s="11" t="e">
        <f t="shared" si="27"/>
        <v>#DIV/0!</v>
      </c>
      <c r="L267" s="11">
        <f>IF(S267="",((BG267-E267)/E267),((U267-E267)/E267))</f>
        <v>0</v>
      </c>
      <c r="M267" s="3" t="str">
        <f>IF(S267="Churn","Churn",VLOOKUP(A267,'[1]Revenue_Engine_2025 Dec.25'!$C$14:$E$3993,3,0))</f>
        <v>Churn</v>
      </c>
      <c r="N267" s="3" t="str">
        <f>IF(S267="",VLOOKUP(A267,[3]Export!$B$2:$F$417,5,0),"CHURN")</f>
        <v>CHURN</v>
      </c>
      <c r="O267" s="3" t="e">
        <f>(1-N267)*H267</f>
        <v>#VALUE!</v>
      </c>
      <c r="P267" s="3" t="e">
        <f t="shared" si="29"/>
        <v>#VALUE!</v>
      </c>
      <c r="Q267" s="3" t="e">
        <f t="shared" si="28"/>
        <v>#VALUE!</v>
      </c>
      <c r="R267" s="3" t="str">
        <f>IF(S267&lt;&gt;"Churn",VLOOKUP(A267,[3]Export!$B$2:$O$417,8,0),"CHURN")</f>
        <v>CHURN</v>
      </c>
      <c r="S267" s="3" t="s">
        <v>372</v>
      </c>
      <c r="T267" s="3" t="s">
        <v>552</v>
      </c>
      <c r="U267" s="3">
        <v>103.20000008333332</v>
      </c>
      <c r="V267" s="4" t="str" cm="1">
        <f t="array" ref="V267">IFERROR(
    IF(
        MATCH(2,1/((Y267:BH267&lt;&gt;0)*(Y267:BH267&lt;&gt;"")))-MATCH(1,INDEX((Y267:BH267&lt;&gt;0)*(Y267:BH267&lt;&gt;""),0),0)+1 &lt;= 12,
        "No",
        "Yes"
    ),
    "No"
)</f>
        <v>No</v>
      </c>
      <c r="W267" s="4" t="str" cm="1">
        <f t="array" ref="W267">IFERROR(
    IF(
        MATCH(2,1/((Y267:BH267&lt;&gt;0)*(Y267:BH267&lt;&gt;"")))-MATCH(1,INDEX((Y267:BH267&lt;&gt;0)*(Y267:BH267&lt;&gt;""),0),0)+1 &lt;= 24,
        "No",
        "Yes"
    ),
    "No"
)</f>
        <v>No</v>
      </c>
      <c r="X267" s="3"/>
      <c r="Y267" s="4">
        <v>0</v>
      </c>
      <c r="Z267" s="4">
        <v>0</v>
      </c>
      <c r="AA267" s="4">
        <v>0</v>
      </c>
      <c r="AB267" s="4">
        <v>0</v>
      </c>
      <c r="AC267" s="4">
        <v>0</v>
      </c>
      <c r="AD267" s="4">
        <v>0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103.20000008333332</v>
      </c>
      <c r="AN267" s="4">
        <v>103.20000008333332</v>
      </c>
      <c r="AO267" s="4">
        <v>103.20000008333332</v>
      </c>
      <c r="AP267" s="4">
        <v>103.20000008333332</v>
      </c>
      <c r="AQ267" s="4">
        <v>103.20000008333332</v>
      </c>
      <c r="AR267" s="4">
        <v>103.20000008333332</v>
      </c>
      <c r="AS267" s="4">
        <v>103.20000008333332</v>
      </c>
      <c r="AT267" s="4">
        <v>103.20000008333332</v>
      </c>
      <c r="AU267" s="4">
        <v>103.20000008333332</v>
      </c>
      <c r="AV267" s="4">
        <v>103.20000008333332</v>
      </c>
      <c r="AW267" s="4">
        <v>103.20000008333332</v>
      </c>
      <c r="AX267" s="4">
        <v>103.20000008333332</v>
      </c>
      <c r="AY267" s="4">
        <v>0</v>
      </c>
      <c r="AZ267" s="4">
        <v>0</v>
      </c>
      <c r="BA267" s="4">
        <v>0</v>
      </c>
      <c r="BB267" s="4">
        <v>0</v>
      </c>
      <c r="BC267" s="4">
        <v>0</v>
      </c>
      <c r="BD267" s="4">
        <v>0</v>
      </c>
      <c r="BE267" s="4">
        <v>0</v>
      </c>
      <c r="BF267" s="4">
        <v>0</v>
      </c>
      <c r="BG267" s="4">
        <v>0</v>
      </c>
      <c r="BH267" s="4">
        <v>0</v>
      </c>
      <c r="BJ267" s="9"/>
    </row>
    <row r="268" spans="1:62" x14ac:dyDescent="0.25">
      <c r="A268" s="8" t="s">
        <v>251</v>
      </c>
      <c r="B268" s="8"/>
      <c r="C268" s="7" t="s">
        <v>526</v>
      </c>
      <c r="D268" s="3"/>
      <c r="E268" s="3">
        <f>VLOOKUP(A268,[2]Sheet1!$A$2:$E$627,5,0)</f>
        <v>103.21337500000001</v>
      </c>
      <c r="F268" s="3">
        <f>VLOOKUP(A268,[2]Sheet1!$A$2:$F$627,6,0)</f>
        <v>103.21337500000001</v>
      </c>
      <c r="G268" s="3">
        <f>VLOOKUP(A268,[2]Sheet1!$A$2:$G$627,7,0)</f>
        <v>0</v>
      </c>
      <c r="H268" s="4">
        <f t="shared" si="24"/>
        <v>0</v>
      </c>
      <c r="I268" s="11">
        <f t="shared" si="25"/>
        <v>0</v>
      </c>
      <c r="J268" s="11">
        <f t="shared" si="26"/>
        <v>-1</v>
      </c>
      <c r="K268" s="11">
        <f t="shared" si="27"/>
        <v>-1</v>
      </c>
      <c r="L268" s="11">
        <f>IF(S268="",((BG268-E268)/E268),((U268-E268)/E268))</f>
        <v>0</v>
      </c>
      <c r="M268" s="3" t="str">
        <f>IF(S268="Churn","Churn",VLOOKUP(A268,'[1]Revenue_Engine_2025 Dec.25'!$C$14:$E$3993,3,0))</f>
        <v>Churn</v>
      </c>
      <c r="N268" s="3" t="str">
        <f>IF(S268="",VLOOKUP(A268,[3]Export!$B$2:$F$417,5,0),"CHURN")</f>
        <v>CHURN</v>
      </c>
      <c r="O268" s="3" t="e">
        <f>(1-N268)*H268</f>
        <v>#VALUE!</v>
      </c>
      <c r="P268" s="3" t="e">
        <f t="shared" si="29"/>
        <v>#VALUE!</v>
      </c>
      <c r="Q268" s="3" t="e">
        <f t="shared" si="28"/>
        <v>#VALUE!</v>
      </c>
      <c r="R268" s="3" t="str">
        <f>IF(S268&lt;&gt;"Churn",VLOOKUP(A268,[3]Export!$B$2:$O$417,8,0),"CHURN")</f>
        <v>CHURN</v>
      </c>
      <c r="S268" s="3" t="s">
        <v>372</v>
      </c>
      <c r="T268" s="3" t="s">
        <v>560</v>
      </c>
      <c r="U268" s="3">
        <v>103.21337500000001</v>
      </c>
      <c r="V268" s="4" t="str" cm="1">
        <f t="array" ref="V268">IFERROR(
    IF(
        MATCH(2,1/((Y268:BH268&lt;&gt;0)*(Y268:BH268&lt;&gt;"")))-MATCH(1,INDEX((Y268:BH268&lt;&gt;0)*(Y268:BH268&lt;&gt;""),0),0)+1 &lt;= 12,
        "No",
        "Yes"
    ),
    "No"
)</f>
        <v>Yes</v>
      </c>
      <c r="W268" s="4" t="str" cm="1">
        <f t="array" ref="W268">IFERROR(
    IF(
        MATCH(2,1/((Y268:BH268&lt;&gt;0)*(Y268:BH268&lt;&gt;"")))-MATCH(1,INDEX((Y268:BH268&lt;&gt;0)*(Y268:BH268&lt;&gt;""),0),0)+1 &lt;= 24,
        "No",
        "Yes"
    ),
    "No"
)</f>
        <v>No</v>
      </c>
      <c r="X268" s="3"/>
      <c r="Y268" s="4">
        <v>0</v>
      </c>
      <c r="Z268" s="4">
        <v>0</v>
      </c>
      <c r="AA268" s="4">
        <v>0</v>
      </c>
      <c r="AB268" s="4">
        <v>0</v>
      </c>
      <c r="AC268" s="4">
        <v>0</v>
      </c>
      <c r="AD268" s="4">
        <v>0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103.20000008333332</v>
      </c>
      <c r="AN268" s="4">
        <v>103.20000008333332</v>
      </c>
      <c r="AO268" s="4">
        <v>103.21337500000001</v>
      </c>
      <c r="AP268" s="4">
        <v>103.21337500000001</v>
      </c>
      <c r="AQ268" s="4">
        <v>103.21337500000001</v>
      </c>
      <c r="AR268" s="4">
        <v>103.21337500000001</v>
      </c>
      <c r="AS268" s="4">
        <v>103.21337500000001</v>
      </c>
      <c r="AT268" s="4">
        <v>103.21337500000001</v>
      </c>
      <c r="AU268" s="4">
        <v>103.21337500000001</v>
      </c>
      <c r="AV268" s="4">
        <v>103.21337500000001</v>
      </c>
      <c r="AW268" s="4">
        <v>103.21337500000001</v>
      </c>
      <c r="AX268" s="4">
        <v>103.21337500000001</v>
      </c>
      <c r="AY268" s="4">
        <v>103.21337500000001</v>
      </c>
      <c r="AZ268" s="4">
        <v>103.213375</v>
      </c>
      <c r="BA268" s="4">
        <v>103.21337500000001</v>
      </c>
      <c r="BB268" s="4">
        <v>103.21337500000001</v>
      </c>
      <c r="BC268" s="4">
        <v>103.21337500000001</v>
      </c>
      <c r="BD268" s="4">
        <v>103.21337500000001</v>
      </c>
      <c r="BE268" s="4">
        <v>0</v>
      </c>
      <c r="BF268" s="4">
        <v>0</v>
      </c>
      <c r="BG268" s="4">
        <v>0</v>
      </c>
      <c r="BH268" s="4">
        <v>0</v>
      </c>
      <c r="BJ268" s="9"/>
    </row>
    <row r="269" spans="1:62" x14ac:dyDescent="0.25">
      <c r="A269" s="8" t="s">
        <v>252</v>
      </c>
      <c r="B269" s="8"/>
      <c r="C269" s="7" t="s">
        <v>526</v>
      </c>
      <c r="D269" s="3"/>
      <c r="E269" s="3">
        <f>VLOOKUP(A269,[2]Sheet1!$A$2:$E$627,5,0)</f>
        <v>103.20083333333334</v>
      </c>
      <c r="F269" s="3">
        <f>VLOOKUP(A269,[2]Sheet1!$A$2:$F$627,6,0)</f>
        <v>54.998576833333331</v>
      </c>
      <c r="G269" s="3">
        <f>VLOOKUP(A269,[2]Sheet1!$A$2:$G$627,7,0)</f>
        <v>0</v>
      </c>
      <c r="H269" s="4">
        <f t="shared" si="24"/>
        <v>54.999376833333336</v>
      </c>
      <c r="I269" s="11">
        <f t="shared" si="25"/>
        <v>-0.46707235729685648</v>
      </c>
      <c r="J269" s="11">
        <f t="shared" si="26"/>
        <v>-1</v>
      </c>
      <c r="K269" s="11">
        <f t="shared" si="27"/>
        <v>-1</v>
      </c>
      <c r="L269" s="11">
        <f>IF(S269="",((BG269-E269)/E269),((U269-E269)/E269))</f>
        <v>-0.46706460542146783</v>
      </c>
      <c r="M269" s="3" t="str">
        <f>IF(S269="Churn","Churn",VLOOKUP(A269,'[1]Revenue_Engine_2025 Dec.25'!$C$14:$E$3993,3,0))</f>
        <v>Bayi</v>
      </c>
      <c r="N269" s="3">
        <f>IF(S269="",VLOOKUP(A269,[3]Export!$B$2:$F$417,5,0),"CHURN")</f>
        <v>0.27493881210975302</v>
      </c>
      <c r="O269" s="3">
        <f>(1-N269)*H269</f>
        <v>39.877913499999998</v>
      </c>
      <c r="P269" s="3">
        <f t="shared" si="29"/>
        <v>39.877333451049687</v>
      </c>
      <c r="Q269" s="3">
        <f t="shared" si="28"/>
        <v>0</v>
      </c>
      <c r="R269" s="3" t="str">
        <f>IF(S269&lt;&gt;"Churn",VLOOKUP(A269,[3]Export!$B$2:$O$417,8,0),"CHURN")</f>
        <v>NO RISK</v>
      </c>
      <c r="S269" s="3"/>
      <c r="T269" s="3"/>
      <c r="U269" s="3" t="s">
        <v>551</v>
      </c>
      <c r="V269" s="4" t="str" cm="1">
        <f t="array" ref="V269">IFERROR(
    IF(
        MATCH(2,1/((Y269:BH269&lt;&gt;0)*(Y269:BH269&lt;&gt;"")))-MATCH(1,INDEX((Y269:BH269&lt;&gt;0)*(Y269:BH269&lt;&gt;""),0),0)+1 &lt;= 12,
        "No",
        "Yes"
    ),
    "No"
)</f>
        <v>Yes</v>
      </c>
      <c r="W269" s="4" t="str" cm="1">
        <f t="array" ref="W269">IFERROR(
    IF(
        MATCH(2,1/((Y269:BH269&lt;&gt;0)*(Y269:BH269&lt;&gt;"")))-MATCH(1,INDEX((Y269:BH269&lt;&gt;0)*(Y269:BH269&lt;&gt;""),0),0)+1 &lt;= 24,
        "No",
        "Yes"
    ),
    "No"
)</f>
        <v>No</v>
      </c>
      <c r="X269" s="3"/>
      <c r="Y269" s="4">
        <v>0</v>
      </c>
      <c r="Z269" s="4">
        <v>0</v>
      </c>
      <c r="AA269" s="4">
        <v>0</v>
      </c>
      <c r="AB269" s="4">
        <v>0</v>
      </c>
      <c r="AC269" s="4">
        <v>0</v>
      </c>
      <c r="AD269" s="4">
        <v>0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103.20083333333334</v>
      </c>
      <c r="AN269" s="4">
        <v>103.20083333333334</v>
      </c>
      <c r="AO269" s="4">
        <v>103.19999999999999</v>
      </c>
      <c r="AP269" s="4">
        <v>103.19999999999999</v>
      </c>
      <c r="AQ269" s="4">
        <v>103.19999999999999</v>
      </c>
      <c r="AR269" s="4">
        <v>103.19999999999999</v>
      </c>
      <c r="AS269" s="4">
        <v>103.19999999999999</v>
      </c>
      <c r="AT269" s="4">
        <v>103.19999999999999</v>
      </c>
      <c r="AU269" s="4">
        <v>103.19999999999999</v>
      </c>
      <c r="AV269" s="4">
        <v>103.19999999999999</v>
      </c>
      <c r="AW269" s="4">
        <v>103.19999999999999</v>
      </c>
      <c r="AX269" s="4">
        <v>103.19999999999999</v>
      </c>
      <c r="AY269" s="4">
        <v>54.998576833333331</v>
      </c>
      <c r="AZ269" s="4">
        <v>54.999376833333336</v>
      </c>
      <c r="BA269" s="4">
        <v>54.999376833333336</v>
      </c>
      <c r="BB269" s="4">
        <v>54.999376833333336</v>
      </c>
      <c r="BC269" s="4">
        <v>54.999376833333336</v>
      </c>
      <c r="BD269" s="4">
        <v>54.999376833333336</v>
      </c>
      <c r="BE269" s="4">
        <v>54.999376833333336</v>
      </c>
      <c r="BF269" s="4">
        <v>54.999376833333336</v>
      </c>
      <c r="BG269" s="4">
        <v>54.999376833333336</v>
      </c>
      <c r="BH269" s="4">
        <v>54.999376833333336</v>
      </c>
      <c r="BJ269" s="9"/>
    </row>
    <row r="270" spans="1:62" x14ac:dyDescent="0.25">
      <c r="A270" s="8" t="s">
        <v>521</v>
      </c>
      <c r="B270" s="8"/>
      <c r="C270" s="7" t="s">
        <v>526</v>
      </c>
      <c r="D270" s="3"/>
      <c r="E270" s="3">
        <f>VLOOKUP(A270,[2]Sheet1!$A$2:$E$627,5,0)</f>
        <v>86.000884416666665</v>
      </c>
      <c r="F270" s="3">
        <f>VLOOKUP(A270,[2]Sheet1!$A$2:$F$627,6,0)</f>
        <v>0</v>
      </c>
      <c r="G270" s="3">
        <f>VLOOKUP(A270,[2]Sheet1!$A$2:$G$627,7,0)</f>
        <v>0</v>
      </c>
      <c r="H270" s="4">
        <f t="shared" si="24"/>
        <v>0</v>
      </c>
      <c r="I270" s="11">
        <f t="shared" si="25"/>
        <v>-1</v>
      </c>
      <c r="J270" s="11">
        <f t="shared" si="26"/>
        <v>-1</v>
      </c>
      <c r="K270" s="11" t="e">
        <f t="shared" si="27"/>
        <v>#DIV/0!</v>
      </c>
      <c r="L270" s="11">
        <f>IF(S270="",((BG270-E270)/E270),((U270-E270)/E270))</f>
        <v>0</v>
      </c>
      <c r="M270" s="3" t="str">
        <f>IF(S270="Churn","Churn",VLOOKUP(A270,'[1]Revenue_Engine_2025 Dec.25'!$C$14:$E$3993,3,0))</f>
        <v>Churn</v>
      </c>
      <c r="N270" s="3" t="str">
        <f>IF(S270="",VLOOKUP(A270,[3]Export!$B$2:$F$417,5,0),"CHURN")</f>
        <v>CHURN</v>
      </c>
      <c r="O270" s="3" t="e">
        <f>(1-N270)*H270</f>
        <v>#VALUE!</v>
      </c>
      <c r="P270" s="3" t="e">
        <f t="shared" si="29"/>
        <v>#VALUE!</v>
      </c>
      <c r="Q270" s="3" t="e">
        <f t="shared" si="28"/>
        <v>#VALUE!</v>
      </c>
      <c r="R270" s="3" t="str">
        <f>IF(S270&lt;&gt;"Churn",VLOOKUP(A270,[3]Export!$B$2:$O$417,8,0),"CHURN")</f>
        <v>CHURN</v>
      </c>
      <c r="S270" s="3" t="s">
        <v>372</v>
      </c>
      <c r="T270" s="3" t="s">
        <v>552</v>
      </c>
      <c r="U270" s="3">
        <v>86.000884416666665</v>
      </c>
      <c r="V270" s="4" t="str" cm="1">
        <f t="array" ref="V270">IFERROR(
    IF(
        MATCH(2,1/((Y270:BH270&lt;&gt;0)*(Y270:BH270&lt;&gt;"")))-MATCH(1,INDEX((Y270:BH270&lt;&gt;0)*(Y270:BH270&lt;&gt;""),0),0)+1 &lt;= 12,
        "No",
        "Yes"
    ),
    "No"
)</f>
        <v>No</v>
      </c>
      <c r="W270" s="4" t="str" cm="1">
        <f t="array" ref="W270">IFERROR(
    IF(
        MATCH(2,1/((Y270:BH270&lt;&gt;0)*(Y270:BH270&lt;&gt;"")))-MATCH(1,INDEX((Y270:BH270&lt;&gt;0)*(Y270:BH270&lt;&gt;""),0),0)+1 &lt;= 24,
        "No",
        "Yes"
    ),
    "No"
)</f>
        <v>No</v>
      </c>
      <c r="X270" s="3"/>
      <c r="Y270" s="4">
        <v>0</v>
      </c>
      <c r="Z270" s="4">
        <v>0</v>
      </c>
      <c r="AA270" s="4">
        <v>0</v>
      </c>
      <c r="AB270" s="4">
        <v>0</v>
      </c>
      <c r="AC270" s="4">
        <v>0</v>
      </c>
      <c r="AD270" s="4">
        <v>0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86.000884416666665</v>
      </c>
      <c r="AN270" s="4">
        <v>86.000884416666665</v>
      </c>
      <c r="AO270" s="4">
        <v>86.000884416666665</v>
      </c>
      <c r="AP270" s="4">
        <v>86.000884416666665</v>
      </c>
      <c r="AQ270" s="4">
        <v>86.000884416666665</v>
      </c>
      <c r="AR270" s="4">
        <v>86.000884416666665</v>
      </c>
      <c r="AS270" s="4">
        <v>86.000884416666665</v>
      </c>
      <c r="AT270" s="4">
        <v>86.000884416666665</v>
      </c>
      <c r="AU270" s="4">
        <v>86.000884416666665</v>
      </c>
      <c r="AV270" s="4">
        <v>86.000884416666665</v>
      </c>
      <c r="AW270" s="4">
        <v>86.000884416666665</v>
      </c>
      <c r="AX270" s="4">
        <v>86.000884416666665</v>
      </c>
      <c r="AY270" s="4">
        <v>0</v>
      </c>
      <c r="AZ270" s="4">
        <v>0</v>
      </c>
      <c r="BA270" s="4">
        <v>0</v>
      </c>
      <c r="BB270" s="4">
        <v>0</v>
      </c>
      <c r="BC270" s="4">
        <v>0</v>
      </c>
      <c r="BD270" s="4">
        <v>0</v>
      </c>
      <c r="BE270" s="4">
        <v>0</v>
      </c>
      <c r="BF270" s="4">
        <v>0</v>
      </c>
      <c r="BG270" s="4">
        <v>0</v>
      </c>
      <c r="BH270" s="4">
        <v>0</v>
      </c>
      <c r="BJ270" s="9"/>
    </row>
    <row r="271" spans="1:62" x14ac:dyDescent="0.25">
      <c r="A271" s="8" t="s">
        <v>253</v>
      </c>
      <c r="B271" s="8"/>
      <c r="C271" s="7" t="s">
        <v>526</v>
      </c>
      <c r="D271" s="3"/>
      <c r="E271" s="3">
        <f>VLOOKUP(A271,[2]Sheet1!$A$2:$E$627,5,0)</f>
        <v>150.013824</v>
      </c>
      <c r="F271" s="3">
        <f>VLOOKUP(A271,[2]Sheet1!$A$2:$F$627,6,0)</f>
        <v>177.00539100000003</v>
      </c>
      <c r="G271" s="3">
        <f>VLOOKUP(A271,[2]Sheet1!$A$2:$G$627,7,0)</f>
        <v>0</v>
      </c>
      <c r="H271" s="4">
        <f t="shared" si="24"/>
        <v>177.00539100000003</v>
      </c>
      <c r="I271" s="11">
        <f t="shared" si="25"/>
        <v>0.17992719790944087</v>
      </c>
      <c r="J271" s="11">
        <f t="shared" si="26"/>
        <v>-1</v>
      </c>
      <c r="K271" s="11">
        <f t="shared" si="27"/>
        <v>-1</v>
      </c>
      <c r="L271" s="11">
        <f>IF(S271="",((BG271-E271)/E271),((U271-E271)/E271))</f>
        <v>0.17992719790944087</v>
      </c>
      <c r="M271" s="3" t="str">
        <f>IF(S271="Churn","Churn",VLOOKUP(A271,'[1]Revenue_Engine_2025 Dec.25'!$C$14:$E$3993,3,0))</f>
        <v>Diğer</v>
      </c>
      <c r="N271" s="3">
        <f>IF(S271="",VLOOKUP(A271,[3]Export!$B$2:$F$417,5,0),"CHURN")</f>
        <v>9.9996954330052026E-2</v>
      </c>
      <c r="O271" s="3">
        <f>(1-N271)*H271</f>
        <v>159.30539100000001</v>
      </c>
      <c r="P271" s="3">
        <f t="shared" si="29"/>
        <v>159.30539100000001</v>
      </c>
      <c r="Q271" s="3">
        <f t="shared" si="28"/>
        <v>0</v>
      </c>
      <c r="R271" s="3" t="str">
        <f>IF(S271&lt;&gt;"Churn",VLOOKUP(A271,[3]Export!$B$2:$O$417,8,0),"CHURN")</f>
        <v>NO RISK</v>
      </c>
      <c r="S271" s="3"/>
      <c r="T271" s="3"/>
      <c r="U271" s="3" t="s">
        <v>551</v>
      </c>
      <c r="V271" s="4" t="str" cm="1">
        <f t="array" ref="V271">IFERROR(
    IF(
        MATCH(2,1/((Y271:BH271&lt;&gt;0)*(Y271:BH271&lt;&gt;"")))-MATCH(1,INDEX((Y271:BH271&lt;&gt;0)*(Y271:BH271&lt;&gt;""),0),0)+1 &lt;= 12,
        "No",
        "Yes"
    ),
    "No"
)</f>
        <v>Yes</v>
      </c>
      <c r="W271" s="4" t="str" cm="1">
        <f t="array" ref="W271">IFERROR(
    IF(
        MATCH(2,1/((Y271:BH271&lt;&gt;0)*(Y271:BH271&lt;&gt;"")))-MATCH(1,INDEX((Y271:BH271&lt;&gt;0)*(Y271:BH271&lt;&gt;""),0),0)+1 &lt;= 24,
        "No",
        "Yes"
    ),
    "No"
)</f>
        <v>No</v>
      </c>
      <c r="X271" s="3"/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150.013824</v>
      </c>
      <c r="AN271" s="4">
        <v>150.013824</v>
      </c>
      <c r="AO271" s="4">
        <v>150.013824</v>
      </c>
      <c r="AP271" s="4">
        <v>150.013824</v>
      </c>
      <c r="AQ271" s="4">
        <v>150.013824</v>
      </c>
      <c r="AR271" s="4">
        <v>150.013824</v>
      </c>
      <c r="AS271" s="4">
        <v>150.013824</v>
      </c>
      <c r="AT271" s="4">
        <v>150.013824</v>
      </c>
      <c r="AU271" s="4">
        <v>150.013824</v>
      </c>
      <c r="AV271" s="4">
        <v>150.013824</v>
      </c>
      <c r="AW271" s="4">
        <v>177.00539100000003</v>
      </c>
      <c r="AX271" s="4">
        <v>177.00539100000003</v>
      </c>
      <c r="AY271" s="4">
        <v>177.00539100000003</v>
      </c>
      <c r="AZ271" s="4">
        <v>177.00539100000006</v>
      </c>
      <c r="BA271" s="4">
        <v>177.00539100000003</v>
      </c>
      <c r="BB271" s="4">
        <v>177.00539100000003</v>
      </c>
      <c r="BC271" s="4">
        <v>177.00539100000003</v>
      </c>
      <c r="BD271" s="4">
        <v>177.00539100000003</v>
      </c>
      <c r="BE271" s="4">
        <v>177.00539100000003</v>
      </c>
      <c r="BF271" s="4">
        <v>177.00539100000003</v>
      </c>
      <c r="BG271" s="4">
        <v>177.00539100000003</v>
      </c>
      <c r="BH271" s="4">
        <v>177.00539100000003</v>
      </c>
      <c r="BJ271" s="9"/>
    </row>
    <row r="272" spans="1:62" x14ac:dyDescent="0.25">
      <c r="A272" s="8" t="s">
        <v>254</v>
      </c>
      <c r="B272" s="8"/>
      <c r="C272" s="7" t="s">
        <v>526</v>
      </c>
      <c r="D272" s="3"/>
      <c r="E272" s="3">
        <f>VLOOKUP(A272,[2]Sheet1!$A$2:$E$627,5,0)</f>
        <v>175</v>
      </c>
      <c r="F272" s="3">
        <f>VLOOKUP(A272,[2]Sheet1!$A$2:$F$627,6,0)</f>
        <v>461.34940400000005</v>
      </c>
      <c r="G272" s="3">
        <f>VLOOKUP(A272,[2]Sheet1!$A$2:$G$627,7,0)</f>
        <v>0</v>
      </c>
      <c r="H272" s="4">
        <f t="shared" si="24"/>
        <v>461.33675600000009</v>
      </c>
      <c r="I272" s="11">
        <f t="shared" si="25"/>
        <v>1.6362823085714289</v>
      </c>
      <c r="J272" s="11">
        <f t="shared" si="26"/>
        <v>-1</v>
      </c>
      <c r="K272" s="11">
        <f t="shared" si="27"/>
        <v>-1</v>
      </c>
      <c r="L272" s="11">
        <f>IF(S272="",((BG272-E272)/E272),((U272-E272)/E272))</f>
        <v>1.6362100342857149</v>
      </c>
      <c r="M272" s="3" t="str">
        <f>IF(S272="Churn","Churn",VLOOKUP(A272,'[1]Revenue_Engine_2025 Dec.25'!$C$14:$E$3993,3,0))</f>
        <v>Diğer</v>
      </c>
      <c r="N272" s="3">
        <f>IF(S272="",VLOOKUP(A272,[3]Export!$B$2:$F$417,5,0),"CHURN")</f>
        <v>6.5934361290008167E-2</v>
      </c>
      <c r="O272" s="3">
        <f>(1-N272)*H272</f>
        <v>430.91881165353573</v>
      </c>
      <c r="P272" s="3">
        <f t="shared" si="29"/>
        <v>430.9306257157341</v>
      </c>
      <c r="Q272" s="3">
        <f t="shared" si="28"/>
        <v>0</v>
      </c>
      <c r="R272" s="3" t="str">
        <f>IF(S272&lt;&gt;"Churn",VLOOKUP(A272,[3]Export!$B$2:$O$417,8,0),"CHURN")</f>
        <v>NO RISK</v>
      </c>
      <c r="S272" s="3"/>
      <c r="T272" s="3"/>
      <c r="U272" s="3" t="s">
        <v>551</v>
      </c>
      <c r="V272" s="4" t="str" cm="1">
        <f t="array" ref="V272">IFERROR(
    IF(
        MATCH(2,1/((Y272:BH272&lt;&gt;0)*(Y272:BH272&lt;&gt;"")))-MATCH(1,INDEX((Y272:BH272&lt;&gt;0)*(Y272:BH272&lt;&gt;""),0),0)+1 &lt;= 12,
        "No",
        "Yes"
    ),
    "No"
)</f>
        <v>Yes</v>
      </c>
      <c r="W272" s="4" t="str" cm="1">
        <f t="array" ref="W272">IFERROR(
    IF(
        MATCH(2,1/((Y272:BH272&lt;&gt;0)*(Y272:BH272&lt;&gt;"")))-MATCH(1,INDEX((Y272:BH272&lt;&gt;0)*(Y272:BH272&lt;&gt;""),0),0)+1 &lt;= 24,
        "No",
        "Yes"
    ),
    "No"
)</f>
        <v>No</v>
      </c>
      <c r="X272" s="3"/>
      <c r="Y272" s="4">
        <v>0</v>
      </c>
      <c r="Z272" s="4">
        <v>0</v>
      </c>
      <c r="AA272" s="4">
        <v>0</v>
      </c>
      <c r="AB272" s="4">
        <v>0</v>
      </c>
      <c r="AC272" s="4">
        <v>0</v>
      </c>
      <c r="AD272" s="4">
        <v>0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175</v>
      </c>
      <c r="AN272" s="4">
        <v>175</v>
      </c>
      <c r="AO272" s="4">
        <v>175</v>
      </c>
      <c r="AP272" s="4">
        <v>175</v>
      </c>
      <c r="AQ272" s="4">
        <v>175</v>
      </c>
      <c r="AR272" s="4">
        <v>175</v>
      </c>
      <c r="AS272" s="4">
        <v>175</v>
      </c>
      <c r="AT272" s="4">
        <v>700.000001</v>
      </c>
      <c r="AU272" s="4">
        <v>700.000001</v>
      </c>
      <c r="AV272" s="4">
        <v>700.000001</v>
      </c>
      <c r="AW272" s="4">
        <v>700.000001</v>
      </c>
      <c r="AX272" s="4">
        <v>461.34940400000005</v>
      </c>
      <c r="AY272" s="4">
        <v>461.34940400000005</v>
      </c>
      <c r="AZ272" s="4">
        <v>461.34307999999999</v>
      </c>
      <c r="BA272" s="4">
        <v>461.33675600000009</v>
      </c>
      <c r="BB272" s="4">
        <v>461.33675600000009</v>
      </c>
      <c r="BC272" s="4">
        <v>461.33675600000009</v>
      </c>
      <c r="BD272" s="4">
        <v>461.33675600000009</v>
      </c>
      <c r="BE272" s="4">
        <v>461.33675600000009</v>
      </c>
      <c r="BF272" s="4">
        <v>461.33675600000009</v>
      </c>
      <c r="BG272" s="4">
        <v>461.33675600000009</v>
      </c>
      <c r="BH272" s="4">
        <v>461.33675600000009</v>
      </c>
      <c r="BJ272" s="9"/>
    </row>
    <row r="273" spans="1:62" x14ac:dyDescent="0.25">
      <c r="A273" s="8" t="s">
        <v>255</v>
      </c>
      <c r="B273" s="8"/>
      <c r="C273" s="7" t="s">
        <v>526</v>
      </c>
      <c r="D273" s="3"/>
      <c r="E273" s="3">
        <f>VLOOKUP(A273,[2]Sheet1!$A$2:$E$627,5,0)</f>
        <v>177.01224699999997</v>
      </c>
      <c r="F273" s="3">
        <f>VLOOKUP(A273,[2]Sheet1!$A$2:$F$627,6,0)</f>
        <v>203.01224700000003</v>
      </c>
      <c r="G273" s="3">
        <f>VLOOKUP(A273,[2]Sheet1!$A$2:$G$627,7,0)</f>
        <v>0</v>
      </c>
      <c r="H273" s="4">
        <f t="shared" si="24"/>
        <v>203.012247</v>
      </c>
      <c r="I273" s="11">
        <f t="shared" si="25"/>
        <v>0.14688249226054997</v>
      </c>
      <c r="J273" s="11">
        <f t="shared" si="26"/>
        <v>-1</v>
      </c>
      <c r="K273" s="11">
        <f t="shared" si="27"/>
        <v>-1</v>
      </c>
      <c r="L273" s="11">
        <f>IF(S273="",((BG273-E273)/E273),((U273-E273)/E273))</f>
        <v>0.14688249226054981</v>
      </c>
      <c r="M273" s="3" t="str">
        <f>IF(S273="Churn","Churn",VLOOKUP(A273,'[1]Revenue_Engine_2025 Dec.25'!$C$14:$E$3993,3,0))</f>
        <v>Diğer</v>
      </c>
      <c r="N273" s="3">
        <f>IF(S273="",VLOOKUP(A273,[3]Export!$B$2:$F$417,5,0),"CHURN")</f>
        <v>0.2364389375976908</v>
      </c>
      <c r="O273" s="3">
        <f>(1-N273)*H273</f>
        <v>155.01224700000003</v>
      </c>
      <c r="P273" s="3">
        <f t="shared" si="29"/>
        <v>155.01224700000003</v>
      </c>
      <c r="Q273" s="3">
        <f t="shared" si="28"/>
        <v>0</v>
      </c>
      <c r="R273" s="3" t="str">
        <f>IF(S273&lt;&gt;"Churn",VLOOKUP(A273,[3]Export!$B$2:$O$417,8,0),"CHURN")</f>
        <v>BOOKED CHURN</v>
      </c>
      <c r="S273" s="3"/>
      <c r="T273" s="3"/>
      <c r="U273" s="3" t="s">
        <v>551</v>
      </c>
      <c r="V273" s="4" t="str" cm="1">
        <f t="array" ref="V273">IFERROR(
    IF(
        MATCH(2,1/((Y273:BH273&lt;&gt;0)*(Y273:BH273&lt;&gt;"")))-MATCH(1,INDEX((Y273:BH273&lt;&gt;0)*(Y273:BH273&lt;&gt;""),0),0)+1 &lt;= 12,
        "No",
        "Yes"
    ),
    "No"
)</f>
        <v>Yes</v>
      </c>
      <c r="W273" s="4" t="str" cm="1">
        <f t="array" ref="W273">IFERROR(
    IF(
        MATCH(2,1/((Y273:BH273&lt;&gt;0)*(Y273:BH273&lt;&gt;"")))-MATCH(1,INDEX((Y273:BH273&lt;&gt;0)*(Y273:BH273&lt;&gt;""),0),0)+1 &lt;= 24,
        "No",
        "Yes"
    ),
    "No"
)</f>
        <v>No</v>
      </c>
      <c r="X273" s="3"/>
      <c r="Y273" s="4">
        <v>0</v>
      </c>
      <c r="Z273" s="4">
        <v>0</v>
      </c>
      <c r="AA273" s="4">
        <v>0</v>
      </c>
      <c r="AB273" s="4">
        <v>0</v>
      </c>
      <c r="AC273" s="4">
        <v>0</v>
      </c>
      <c r="AD273" s="4">
        <v>0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155.01224699999997</v>
      </c>
      <c r="AO273" s="4">
        <v>155.01224699999997</v>
      </c>
      <c r="AP273" s="4">
        <v>177.01224699999997</v>
      </c>
      <c r="AQ273" s="4">
        <v>177.01224699999997</v>
      </c>
      <c r="AR273" s="4">
        <v>177.01224699999997</v>
      </c>
      <c r="AS273" s="4">
        <v>177.01224699999997</v>
      </c>
      <c r="AT273" s="4">
        <v>177.01224699999997</v>
      </c>
      <c r="AU273" s="4">
        <v>197.012247</v>
      </c>
      <c r="AV273" s="4">
        <v>197.012247</v>
      </c>
      <c r="AW273" s="4">
        <v>197.012247</v>
      </c>
      <c r="AX273" s="4">
        <v>197.012247</v>
      </c>
      <c r="AY273" s="4">
        <v>203.012247</v>
      </c>
      <c r="AZ273" s="4">
        <v>203.01224700000003</v>
      </c>
      <c r="BA273" s="4">
        <v>203.012247</v>
      </c>
      <c r="BB273" s="4">
        <v>203.012247</v>
      </c>
      <c r="BC273" s="4">
        <v>203.01224700000003</v>
      </c>
      <c r="BD273" s="4">
        <v>203.012247</v>
      </c>
      <c r="BE273" s="4">
        <v>203.012247</v>
      </c>
      <c r="BF273" s="4">
        <v>203.012247</v>
      </c>
      <c r="BG273" s="4">
        <v>203.012247</v>
      </c>
      <c r="BH273" s="4">
        <v>203.012247</v>
      </c>
      <c r="BJ273" s="9"/>
    </row>
    <row r="274" spans="1:62" x14ac:dyDescent="0.25">
      <c r="A274" s="8" t="s">
        <v>256</v>
      </c>
      <c r="B274" s="8"/>
      <c r="C274" s="7" t="s">
        <v>526</v>
      </c>
      <c r="D274" s="3"/>
      <c r="E274" s="3">
        <f>VLOOKUP(A274,[2]Sheet1!$A$2:$E$627,5,0)</f>
        <v>599.99999799999989</v>
      </c>
      <c r="F274" s="3">
        <f>VLOOKUP(A274,[2]Sheet1!$A$2:$F$627,6,0)</f>
        <v>615.99999800000001</v>
      </c>
      <c r="G274" s="3">
        <f>VLOOKUP(A274,[2]Sheet1!$A$2:$G$627,7,0)</f>
        <v>0</v>
      </c>
      <c r="H274" s="4">
        <f t="shared" si="24"/>
        <v>615.99999799999989</v>
      </c>
      <c r="I274" s="11">
        <f t="shared" si="25"/>
        <v>2.6666666755555749E-2</v>
      </c>
      <c r="J274" s="11">
        <f t="shared" si="26"/>
        <v>-1</v>
      </c>
      <c r="K274" s="11">
        <f t="shared" si="27"/>
        <v>-1</v>
      </c>
      <c r="L274" s="11">
        <f>IF(S274="",((BG274-E274)/E274),((U274-E274)/E274))</f>
        <v>2.6666666755555561E-2</v>
      </c>
      <c r="M274" s="3" t="str">
        <f>IF(S274="Churn","Churn",VLOOKUP(A274,'[1]Revenue_Engine_2025 Dec.25'!$C$14:$E$3993,3,0))</f>
        <v>Finans</v>
      </c>
      <c r="N274" s="3">
        <f>IF(S274="",VLOOKUP(A274,[3]Export!$B$2:$F$417,5,0),"CHURN")</f>
        <v>0.20292207858091585</v>
      </c>
      <c r="O274" s="3">
        <f>(1-N274)*H274</f>
        <v>490.99999799999995</v>
      </c>
      <c r="P274" s="3">
        <f t="shared" si="29"/>
        <v>490.99999800000001</v>
      </c>
      <c r="Q274" s="3">
        <f t="shared" si="28"/>
        <v>0</v>
      </c>
      <c r="R274" s="3" t="str">
        <f>IF(S274&lt;&gt;"Churn",VLOOKUP(A274,[3]Export!$B$2:$O$417,8,0),"CHURN")</f>
        <v>NO RISK</v>
      </c>
      <c r="S274" s="3"/>
      <c r="T274" s="3"/>
      <c r="U274" s="3" t="s">
        <v>551</v>
      </c>
      <c r="V274" s="4" t="str" cm="1">
        <f t="array" ref="V274">IFERROR(
    IF(
        MATCH(2,1/((Y274:BH274&lt;&gt;0)*(Y274:BH274&lt;&gt;"")))-MATCH(1,INDEX((Y274:BH274&lt;&gt;0)*(Y274:BH274&lt;&gt;""),0),0)+1 &lt;= 12,
        "No",
        "Yes"
    ),
    "No"
)</f>
        <v>Yes</v>
      </c>
      <c r="W274" s="4" t="str" cm="1">
        <f t="array" ref="W274">IFERROR(
    IF(
        MATCH(2,1/((Y274:BH274&lt;&gt;0)*(Y274:BH274&lt;&gt;"")))-MATCH(1,INDEX((Y274:BH274&lt;&gt;0)*(Y274:BH274&lt;&gt;""),0),0)+1 &lt;= 24,
        "No",
        "Yes"
    ),
    "No"
)</f>
        <v>No</v>
      </c>
      <c r="X274" s="3"/>
      <c r="Y274" s="4">
        <v>0</v>
      </c>
      <c r="Z274" s="4">
        <v>0</v>
      </c>
      <c r="AA274" s="4">
        <v>0</v>
      </c>
      <c r="AB274" s="4">
        <v>0</v>
      </c>
      <c r="AC274" s="4">
        <v>0</v>
      </c>
      <c r="AD274" s="4">
        <v>0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599.99999799999989</v>
      </c>
      <c r="AP274" s="4">
        <v>599.99999799999989</v>
      </c>
      <c r="AQ274" s="4">
        <v>599.99999799999989</v>
      </c>
      <c r="AR274" s="4">
        <v>599.99999799999989</v>
      </c>
      <c r="AS274" s="4">
        <v>599.99999799999989</v>
      </c>
      <c r="AT274" s="4">
        <v>599.99999799999989</v>
      </c>
      <c r="AU274" s="4">
        <v>599.99999799999989</v>
      </c>
      <c r="AV274" s="4">
        <v>599.99999799999989</v>
      </c>
      <c r="AW274" s="4">
        <v>615.99999799999989</v>
      </c>
      <c r="AX274" s="4">
        <v>615.99999799999989</v>
      </c>
      <c r="AY274" s="4">
        <v>615.99999799999989</v>
      </c>
      <c r="AZ274" s="4">
        <v>615.99999800000001</v>
      </c>
      <c r="BA274" s="4">
        <v>615.99999799999989</v>
      </c>
      <c r="BB274" s="4">
        <v>615.99999799999989</v>
      </c>
      <c r="BC274" s="4">
        <v>615.99999799999989</v>
      </c>
      <c r="BD274" s="4">
        <v>615.99999799999989</v>
      </c>
      <c r="BE274" s="4">
        <v>615.99999799999989</v>
      </c>
      <c r="BF274" s="4">
        <v>615.99999799999989</v>
      </c>
      <c r="BG274" s="4">
        <v>615.99999799999989</v>
      </c>
      <c r="BH274" s="4">
        <v>615.99999799999989</v>
      </c>
      <c r="BJ274" s="9"/>
    </row>
    <row r="275" spans="1:62" x14ac:dyDescent="0.25">
      <c r="A275" s="8" t="s">
        <v>257</v>
      </c>
      <c r="B275" s="8"/>
      <c r="C275" s="7" t="s">
        <v>526</v>
      </c>
      <c r="D275" s="3"/>
      <c r="E275" s="3">
        <f>VLOOKUP(A275,[2]Sheet1!$A$2:$E$627,5,0)</f>
        <v>86.000461416666667</v>
      </c>
      <c r="F275" s="3">
        <f>VLOOKUP(A275,[2]Sheet1!$A$2:$F$627,6,0)</f>
        <v>102.99941425</v>
      </c>
      <c r="G275" s="3">
        <f>VLOOKUP(A275,[2]Sheet1!$A$2:$G$627,7,0)</f>
        <v>0</v>
      </c>
      <c r="H275" s="4">
        <f t="shared" si="24"/>
        <v>102.99941425</v>
      </c>
      <c r="I275" s="11">
        <f t="shared" si="25"/>
        <v>0.19766118173453173</v>
      </c>
      <c r="J275" s="11">
        <f t="shared" si="26"/>
        <v>-1</v>
      </c>
      <c r="K275" s="11">
        <f t="shared" si="27"/>
        <v>-1</v>
      </c>
      <c r="L275" s="11">
        <f>IF(S275="",((BG275-E275)/E275),((U275-E275)/E275))</f>
        <v>0.19766118173453173</v>
      </c>
      <c r="M275" s="3" t="str">
        <f>IF(S275="Churn","Churn",VLOOKUP(A275,'[1]Revenue_Engine_2025 Dec.25'!$C$14:$E$3993,3,0))</f>
        <v>Diğer</v>
      </c>
      <c r="N275" s="3">
        <f>IF(S275="",VLOOKUP(A275,[3]Export!$B$2:$F$417,5,0),"CHURN")</f>
        <v>0.30213871256716068</v>
      </c>
      <c r="O275" s="3">
        <f>(1-N275)*H275</f>
        <v>71.879303833333339</v>
      </c>
      <c r="P275" s="3">
        <f t="shared" si="29"/>
        <v>71.879303833333339</v>
      </c>
      <c r="Q275" s="3">
        <f t="shared" si="28"/>
        <v>0</v>
      </c>
      <c r="R275" s="3" t="str">
        <f>IF(S275&lt;&gt;"Churn",VLOOKUP(A275,[3]Export!$B$2:$O$417,8,0),"CHURN")</f>
        <v>NO RISK</v>
      </c>
      <c r="S275" s="3"/>
      <c r="T275" s="3"/>
      <c r="U275" s="3" t="s">
        <v>551</v>
      </c>
      <c r="V275" s="4" t="str" cm="1">
        <f t="array" ref="V275">IFERROR(
    IF(
        MATCH(2,1/((Y275:BH275&lt;&gt;0)*(Y275:BH275&lt;&gt;"")))-MATCH(1,INDEX((Y275:BH275&lt;&gt;0)*(Y275:BH275&lt;&gt;""),0),0)+1 &lt;= 12,
        "No",
        "Yes"
    ),
    "No"
)</f>
        <v>Yes</v>
      </c>
      <c r="W275" s="4" t="str" cm="1">
        <f t="array" ref="W275">IFERROR(
    IF(
        MATCH(2,1/((Y275:BH275&lt;&gt;0)*(Y275:BH275&lt;&gt;"")))-MATCH(1,INDEX((Y275:BH275&lt;&gt;0)*(Y275:BH275&lt;&gt;""),0),0)+1 &lt;= 24,
        "No",
        "Yes"
    ),
    "No"
)</f>
        <v>No</v>
      </c>
      <c r="X275" s="3"/>
      <c r="Y275" s="4">
        <v>0</v>
      </c>
      <c r="Z275" s="4">
        <v>0</v>
      </c>
      <c r="AA275" s="4">
        <v>0</v>
      </c>
      <c r="AB275" s="4">
        <v>0</v>
      </c>
      <c r="AC275" s="4">
        <v>0</v>
      </c>
      <c r="AD275" s="4">
        <v>0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86.000461416666667</v>
      </c>
      <c r="AO275" s="4">
        <v>86.000461416666667</v>
      </c>
      <c r="AP275" s="4">
        <v>86.000461416666667</v>
      </c>
      <c r="AQ275" s="4">
        <v>86.000461416666667</v>
      </c>
      <c r="AR275" s="4">
        <v>86.000461416666667</v>
      </c>
      <c r="AS275" s="4">
        <v>86.000461416666667</v>
      </c>
      <c r="AT275" s="4">
        <v>86.000461416666667</v>
      </c>
      <c r="AU275" s="4">
        <v>86.000461416666667</v>
      </c>
      <c r="AV275" s="4">
        <v>86.000461416666667</v>
      </c>
      <c r="AW275" s="4">
        <v>86.000461416666667</v>
      </c>
      <c r="AX275" s="4">
        <v>86.000461416666667</v>
      </c>
      <c r="AY275" s="4">
        <v>86.000461416666667</v>
      </c>
      <c r="AZ275" s="4">
        <v>102.99941425</v>
      </c>
      <c r="BA275" s="4">
        <v>102.99941425</v>
      </c>
      <c r="BB275" s="4">
        <v>102.99941425</v>
      </c>
      <c r="BC275" s="4">
        <v>102.99941425</v>
      </c>
      <c r="BD275" s="4">
        <v>102.99941425</v>
      </c>
      <c r="BE275" s="4">
        <v>102.99941425</v>
      </c>
      <c r="BF275" s="4">
        <v>102.99941425</v>
      </c>
      <c r="BG275" s="4">
        <v>102.99941425</v>
      </c>
      <c r="BH275" s="4">
        <v>102.99941425</v>
      </c>
      <c r="BJ275" s="9"/>
    </row>
    <row r="276" spans="1:62" x14ac:dyDescent="0.25">
      <c r="A276" s="8" t="s">
        <v>258</v>
      </c>
      <c r="B276" s="8"/>
      <c r="C276" s="7" t="s">
        <v>526</v>
      </c>
      <c r="D276" s="3"/>
      <c r="E276" s="3">
        <f>VLOOKUP(A276,[2]Sheet1!$A$2:$E$627,5,0)</f>
        <v>220.00000199999999</v>
      </c>
      <c r="F276" s="3">
        <f>VLOOKUP(A276,[2]Sheet1!$A$2:$F$627,6,0)</f>
        <v>220.00000200000002</v>
      </c>
      <c r="G276" s="3">
        <f>VLOOKUP(A276,[2]Sheet1!$A$2:$G$627,7,0)</f>
        <v>0</v>
      </c>
      <c r="H276" s="4">
        <f t="shared" si="24"/>
        <v>220.00000199999999</v>
      </c>
      <c r="I276" s="11">
        <f t="shared" si="25"/>
        <v>1.2918958714556742E-16</v>
      </c>
      <c r="J276" s="11">
        <f t="shared" si="26"/>
        <v>-1</v>
      </c>
      <c r="K276" s="11">
        <f t="shared" si="27"/>
        <v>-1</v>
      </c>
      <c r="L276" s="11">
        <f>IF(S276="",((BG276-E276)/E276),((U276-E276)/E276))</f>
        <v>0</v>
      </c>
      <c r="M276" s="3" t="str">
        <f>IF(S276="Churn","Churn",VLOOKUP(A276,'[1]Revenue_Engine_2025 Dec.25'!$C$14:$E$3993,3,0))</f>
        <v>Diğer</v>
      </c>
      <c r="N276" s="3">
        <f>IF(S276="",VLOOKUP(A276,[3]Export!$B$2:$F$417,5,0),"CHURN")</f>
        <v>0.13636363512396696</v>
      </c>
      <c r="O276" s="3">
        <f>(1-N276)*H276</f>
        <v>190.00000199999999</v>
      </c>
      <c r="P276" s="3">
        <f t="shared" si="29"/>
        <v>190.00000200000002</v>
      </c>
      <c r="Q276" s="3">
        <f t="shared" si="28"/>
        <v>0</v>
      </c>
      <c r="R276" s="3" t="str">
        <f>IF(S276&lt;&gt;"Churn",VLOOKUP(A276,[3]Export!$B$2:$O$417,8,0),"CHURN")</f>
        <v>NO RISK</v>
      </c>
      <c r="S276" s="3"/>
      <c r="T276" s="3"/>
      <c r="U276" s="3" t="s">
        <v>551</v>
      </c>
      <c r="V276" s="4" t="str" cm="1">
        <f t="array" ref="V276">IFERROR(
    IF(
        MATCH(2,1/((Y276:BH276&lt;&gt;0)*(Y276:BH276&lt;&gt;"")))-MATCH(1,INDEX((Y276:BH276&lt;&gt;0)*(Y276:BH276&lt;&gt;""),0),0)+1 &lt;= 12,
        "No",
        "Yes"
    ),
    "No"
)</f>
        <v>Yes</v>
      </c>
      <c r="W276" s="4" t="str" cm="1">
        <f t="array" ref="W276">IFERROR(
    IF(
        MATCH(2,1/((Y276:BH276&lt;&gt;0)*(Y276:BH276&lt;&gt;"")))-MATCH(1,INDEX((Y276:BH276&lt;&gt;0)*(Y276:BH276&lt;&gt;""),0),0)+1 &lt;= 24,
        "No",
        "Yes"
    ),
    "No"
)</f>
        <v>No</v>
      </c>
      <c r="X276" s="3"/>
      <c r="Y276" s="4">
        <v>0</v>
      </c>
      <c r="Z276" s="4">
        <v>0</v>
      </c>
      <c r="AA276" s="4">
        <v>0</v>
      </c>
      <c r="AB276" s="4">
        <v>0</v>
      </c>
      <c r="AC276" s="4">
        <v>0</v>
      </c>
      <c r="AD276" s="4">
        <v>0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220.00000199999999</v>
      </c>
      <c r="AO276" s="4">
        <v>220.00000199999999</v>
      </c>
      <c r="AP276" s="4">
        <v>220.00000199999999</v>
      </c>
      <c r="AQ276" s="4">
        <v>220.00000199999999</v>
      </c>
      <c r="AR276" s="4">
        <v>220.00000199999999</v>
      </c>
      <c r="AS276" s="4">
        <v>220.00000199999999</v>
      </c>
      <c r="AT276" s="4">
        <v>220.00000199999999</v>
      </c>
      <c r="AU276" s="4">
        <v>220.00000199999999</v>
      </c>
      <c r="AV276" s="4">
        <v>220.00000199999999</v>
      </c>
      <c r="AW276" s="4">
        <v>220.00000199999999</v>
      </c>
      <c r="AX276" s="4">
        <v>220.00000199999999</v>
      </c>
      <c r="AY276" s="4">
        <v>220.00000199999999</v>
      </c>
      <c r="AZ276" s="4">
        <v>220.00000200000002</v>
      </c>
      <c r="BA276" s="4">
        <v>220.00000199999999</v>
      </c>
      <c r="BB276" s="4">
        <v>220.00000199999999</v>
      </c>
      <c r="BC276" s="4">
        <v>220.00000199999999</v>
      </c>
      <c r="BD276" s="4">
        <v>220.00000199999999</v>
      </c>
      <c r="BE276" s="4">
        <v>220.00000199999999</v>
      </c>
      <c r="BF276" s="4">
        <v>220.00000199999999</v>
      </c>
      <c r="BG276" s="4">
        <v>220.00000199999999</v>
      </c>
      <c r="BH276" s="4">
        <v>220.00000199999999</v>
      </c>
      <c r="BJ276" s="9"/>
    </row>
    <row r="277" spans="1:62" x14ac:dyDescent="0.25">
      <c r="A277" s="8" t="s">
        <v>259</v>
      </c>
      <c r="B277" s="8"/>
      <c r="C277" s="7" t="s">
        <v>526</v>
      </c>
      <c r="D277" s="3"/>
      <c r="E277" s="3">
        <f>VLOOKUP(A277,[2]Sheet1!$A$2:$E$627,5,0)</f>
        <v>434.88402578240272</v>
      </c>
      <c r="F277" s="3">
        <f>VLOOKUP(A277,[2]Sheet1!$A$2:$F$627,6,0)</f>
        <v>678.48224833141728</v>
      </c>
      <c r="G277" s="3">
        <f>VLOOKUP(A277,[2]Sheet1!$A$2:$G$627,7,0)</f>
        <v>0</v>
      </c>
      <c r="H277" s="4">
        <f t="shared" si="24"/>
        <v>618.07522560111966</v>
      </c>
      <c r="I277" s="11">
        <f t="shared" si="25"/>
        <v>0.56014525277343863</v>
      </c>
      <c r="J277" s="11">
        <f t="shared" si="26"/>
        <v>-1</v>
      </c>
      <c r="K277" s="11">
        <f t="shared" si="27"/>
        <v>-1</v>
      </c>
      <c r="L277" s="11">
        <f>IF(S277="",((BG277-E277)/E277),((U277-E277)/E277))</f>
        <v>0.40632097623246954</v>
      </c>
      <c r="M277" s="3" t="str">
        <f>IF(S277="Churn","Churn",VLOOKUP(A277,'[1]Revenue_Engine_2025 Dec.25'!$C$14:$E$3993,3,0))</f>
        <v>Genel</v>
      </c>
      <c r="N277" s="3">
        <f>IF(S277="",VLOOKUP(A277,[3]Export!$B$2:$F$417,5,0),"CHURN")</f>
        <v>0.42453598529936371</v>
      </c>
      <c r="O277" s="3">
        <f>(1-N277)*H277</f>
        <v>355.68005071142176</v>
      </c>
      <c r="P277" s="3">
        <f t="shared" si="29"/>
        <v>390.44211852791142</v>
      </c>
      <c r="Q277" s="3">
        <f t="shared" si="28"/>
        <v>0</v>
      </c>
      <c r="R277" s="3" t="str">
        <f>IF(S277&lt;&gt;"Churn",VLOOKUP(A277,[3]Export!$B$2:$O$417,8,0),"CHURN")</f>
        <v>NO RISK</v>
      </c>
      <c r="S277" s="3"/>
      <c r="T277" s="3"/>
      <c r="U277" s="3" t="s">
        <v>551</v>
      </c>
      <c r="V277" s="4" t="str" cm="1">
        <f t="array" ref="V277">IFERROR(
    IF(
        MATCH(2,1/((Y277:BH277&lt;&gt;0)*(Y277:BH277&lt;&gt;"")))-MATCH(1,INDEX((Y277:BH277&lt;&gt;0)*(Y277:BH277&lt;&gt;""),0),0)+1 &lt;= 12,
        "No",
        "Yes"
    ),
    "No"
)</f>
        <v>Yes</v>
      </c>
      <c r="W277" s="4" t="str" cm="1">
        <f t="array" ref="W277">IFERROR(
    IF(
        MATCH(2,1/((Y277:BH277&lt;&gt;0)*(Y277:BH277&lt;&gt;"")))-MATCH(1,INDEX((Y277:BH277&lt;&gt;0)*(Y277:BH277&lt;&gt;""),0),0)+1 &lt;= 24,
        "No",
        "Yes"
    ),
    "No"
)</f>
        <v>No</v>
      </c>
      <c r="X277" s="3"/>
      <c r="Y277" s="4">
        <v>0</v>
      </c>
      <c r="Z277" s="4">
        <v>0</v>
      </c>
      <c r="AA277" s="4">
        <v>0</v>
      </c>
      <c r="AB277" s="4">
        <v>0</v>
      </c>
      <c r="AC277" s="4">
        <v>0</v>
      </c>
      <c r="AD277" s="4">
        <v>0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434.25272881235014</v>
      </c>
      <c r="AO277" s="4">
        <v>434.88402578240272</v>
      </c>
      <c r="AP277" s="4">
        <v>431.20188250368068</v>
      </c>
      <c r="AQ277" s="4">
        <v>426.20697213520498</v>
      </c>
      <c r="AR277" s="4">
        <v>417.0316884416722</v>
      </c>
      <c r="AS277" s="4">
        <v>412.25710701602503</v>
      </c>
      <c r="AT277" s="4">
        <v>409.70784912220125</v>
      </c>
      <c r="AU277" s="4">
        <v>407.44945445443989</v>
      </c>
      <c r="AV277" s="4">
        <v>401.11406534719282</v>
      </c>
      <c r="AW277" s="4">
        <v>727.77040945904002</v>
      </c>
      <c r="AX277" s="4">
        <v>714.94113309437284</v>
      </c>
      <c r="AY277" s="4">
        <v>697.10406520722574</v>
      </c>
      <c r="AZ277" s="4">
        <v>678.48224833141728</v>
      </c>
      <c r="BA277" s="4">
        <v>667.10792940397425</v>
      </c>
      <c r="BB277" s="4">
        <v>655.78169470924627</v>
      </c>
      <c r="BC277" s="4">
        <v>643.16761481754884</v>
      </c>
      <c r="BD277" s="4">
        <v>633.26242672913349</v>
      </c>
      <c r="BE277" s="4">
        <v>625.59715039078606</v>
      </c>
      <c r="BF277" s="4">
        <v>618.07522560111966</v>
      </c>
      <c r="BG277" s="4">
        <v>611.58652768621505</v>
      </c>
      <c r="BH277" s="4">
        <v>605.62492305813669</v>
      </c>
      <c r="BJ277" s="9"/>
    </row>
    <row r="278" spans="1:62" x14ac:dyDescent="0.25">
      <c r="A278" s="8" t="s">
        <v>260</v>
      </c>
      <c r="B278" s="8"/>
      <c r="C278" s="7" t="s">
        <v>525</v>
      </c>
      <c r="D278" s="3"/>
      <c r="E278" s="3">
        <f>VLOOKUP(A278,[2]Sheet1!$A$2:$E$627,5,0)</f>
        <v>1810</v>
      </c>
      <c r="F278" s="3">
        <f>VLOOKUP(A278,[2]Sheet1!$A$2:$F$627,6,0)</f>
        <v>1810</v>
      </c>
      <c r="G278" s="3">
        <f>VLOOKUP(A278,[2]Sheet1!$A$2:$G$627,7,0)</f>
        <v>0</v>
      </c>
      <c r="H278" s="4">
        <f t="shared" si="24"/>
        <v>1810</v>
      </c>
      <c r="I278" s="11">
        <f t="shared" si="25"/>
        <v>0</v>
      </c>
      <c r="J278" s="11">
        <f t="shared" si="26"/>
        <v>-1</v>
      </c>
      <c r="K278" s="11">
        <f t="shared" si="27"/>
        <v>-1</v>
      </c>
      <c r="L278" s="11">
        <f>IF(S278="",((BG278-E278)/E278),((U278-E278)/E278))</f>
        <v>0</v>
      </c>
      <c r="M278" s="3" t="str">
        <f>IF(S278="Churn","Churn",VLOOKUP(A278,'[1]Revenue_Engine_2025 Dec.25'!$C$14:$E$3993,3,0))</f>
        <v>Perakende</v>
      </c>
      <c r="N278" s="3">
        <f>IF(S278="",VLOOKUP(A278,[3]Export!$B$2:$F$417,5,0),"CHURN")</f>
        <v>0.21933701657458562</v>
      </c>
      <c r="O278" s="3">
        <f>(1-N278)*H278</f>
        <v>1413</v>
      </c>
      <c r="P278" s="3">
        <f t="shared" si="29"/>
        <v>1413</v>
      </c>
      <c r="Q278" s="3">
        <f t="shared" si="28"/>
        <v>0</v>
      </c>
      <c r="R278" s="3" t="str">
        <f>IF(S278&lt;&gt;"Churn",VLOOKUP(A278,[3]Export!$B$2:$O$417,8,0),"CHURN")</f>
        <v>NO RISK</v>
      </c>
      <c r="S278" s="3"/>
      <c r="T278" s="3"/>
      <c r="U278" s="3" t="s">
        <v>551</v>
      </c>
      <c r="V278" s="4" t="str" cm="1">
        <f t="array" ref="V278">IFERROR(
    IF(
        MATCH(2,1/((Y278:BH278&lt;&gt;0)*(Y278:BH278&lt;&gt;"")))-MATCH(1,INDEX((Y278:BH278&lt;&gt;0)*(Y278:BH278&lt;&gt;""),0),0)+1 &lt;= 12,
        "No",
        "Yes"
    ),
    "No"
)</f>
        <v>Yes</v>
      </c>
      <c r="W278" s="4" t="str" cm="1">
        <f t="array" ref="W278">IFERROR(
    IF(
        MATCH(2,1/((Y278:BH278&lt;&gt;0)*(Y278:BH278&lt;&gt;"")))-MATCH(1,INDEX((Y278:BH278&lt;&gt;0)*(Y278:BH278&lt;&gt;""),0),0)+1 &lt;= 24,
        "No",
        "Yes"
    ),
    "No"
)</f>
        <v>No</v>
      </c>
      <c r="X278" s="3"/>
      <c r="Y278" s="4">
        <v>0</v>
      </c>
      <c r="Z278" s="4">
        <v>0</v>
      </c>
      <c r="AA278" s="4">
        <v>0</v>
      </c>
      <c r="AB278" s="4">
        <v>0</v>
      </c>
      <c r="AC278" s="4">
        <v>0</v>
      </c>
      <c r="AD278" s="4">
        <v>0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1810</v>
      </c>
      <c r="AO278" s="4">
        <v>1810</v>
      </c>
      <c r="AP278" s="4">
        <v>1810</v>
      </c>
      <c r="AQ278" s="4">
        <v>1810</v>
      </c>
      <c r="AR278" s="4">
        <v>1810</v>
      </c>
      <c r="AS278" s="4">
        <v>1810</v>
      </c>
      <c r="AT278" s="4">
        <v>1810</v>
      </c>
      <c r="AU278" s="4">
        <v>1810</v>
      </c>
      <c r="AV278" s="4">
        <v>1810</v>
      </c>
      <c r="AW278" s="4">
        <v>1810</v>
      </c>
      <c r="AX278" s="4">
        <v>1810</v>
      </c>
      <c r="AY278" s="4">
        <v>1810</v>
      </c>
      <c r="AZ278" s="4">
        <v>1810</v>
      </c>
      <c r="BA278" s="4">
        <v>1810</v>
      </c>
      <c r="BB278" s="4">
        <v>1810</v>
      </c>
      <c r="BC278" s="4">
        <v>1810</v>
      </c>
      <c r="BD278" s="4">
        <v>1810</v>
      </c>
      <c r="BE278" s="4">
        <v>1810</v>
      </c>
      <c r="BF278" s="4">
        <v>1810</v>
      </c>
      <c r="BG278" s="4">
        <v>1810</v>
      </c>
      <c r="BH278" s="4">
        <v>1810</v>
      </c>
      <c r="BJ278" s="9"/>
    </row>
    <row r="279" spans="1:62" x14ac:dyDescent="0.25">
      <c r="A279" s="8" t="s">
        <v>261</v>
      </c>
      <c r="B279" s="8"/>
      <c r="C279" s="7" t="s">
        <v>526</v>
      </c>
      <c r="D279" s="3"/>
      <c r="E279" s="3">
        <f>VLOOKUP(A279,[2]Sheet1!$A$2:$E$627,5,0)</f>
        <v>150</v>
      </c>
      <c r="F279" s="3">
        <f>VLOOKUP(A279,[2]Sheet1!$A$2:$F$627,6,0)</f>
        <v>238.599604</v>
      </c>
      <c r="G279" s="3">
        <f>VLOOKUP(A279,[2]Sheet1!$A$2:$G$627,7,0)</f>
        <v>0</v>
      </c>
      <c r="H279" s="4">
        <f t="shared" si="24"/>
        <v>0</v>
      </c>
      <c r="I279" s="11">
        <f t="shared" si="25"/>
        <v>0.59066402666666662</v>
      </c>
      <c r="J279" s="11">
        <f t="shared" si="26"/>
        <v>-1</v>
      </c>
      <c r="K279" s="11">
        <f t="shared" si="27"/>
        <v>-1</v>
      </c>
      <c r="L279" s="11">
        <f>IF(S279="",((BG279-E279)/E279),((U279-E279)/E279))</f>
        <v>0.59066402666666662</v>
      </c>
      <c r="M279" s="3" t="str">
        <f>IF(S279="Churn","Churn",VLOOKUP(A279,'[1]Revenue_Engine_2025 Dec.25'!$C$14:$E$3993,3,0))</f>
        <v>Churn</v>
      </c>
      <c r="N279" s="3" t="str">
        <f>IF(S279="",VLOOKUP(A279,[3]Export!$B$2:$F$417,5,0),"CHURN")</f>
        <v>CHURN</v>
      </c>
      <c r="O279" s="3" t="e">
        <f>(1-N279)*H279</f>
        <v>#VALUE!</v>
      </c>
      <c r="P279" s="3" t="e">
        <f t="shared" si="29"/>
        <v>#VALUE!</v>
      </c>
      <c r="Q279" s="3" t="e">
        <f t="shared" si="28"/>
        <v>#VALUE!</v>
      </c>
      <c r="R279" s="3" t="str">
        <f>IF(S279&lt;&gt;"Churn",VLOOKUP(A279,[3]Export!$B$2:$O$417,8,0),"CHURN")</f>
        <v>CHURN</v>
      </c>
      <c r="S279" s="3" t="s">
        <v>372</v>
      </c>
      <c r="T279" s="3" t="s">
        <v>559</v>
      </c>
      <c r="U279" s="3">
        <v>238.599604</v>
      </c>
      <c r="V279" s="4" t="str" cm="1">
        <f t="array" ref="V279">IFERROR(
    IF(
        MATCH(2,1/((Y279:BH279&lt;&gt;0)*(Y279:BH279&lt;&gt;"")))-MATCH(1,INDEX((Y279:BH279&lt;&gt;0)*(Y279:BH279&lt;&gt;""),0),0)+1 &lt;= 12,
        "No",
        "Yes"
    ),
    "No"
)</f>
        <v>Yes</v>
      </c>
      <c r="W279" s="4" t="str" cm="1">
        <f t="array" ref="W279">IFERROR(
    IF(
        MATCH(2,1/((Y279:BH279&lt;&gt;0)*(Y279:BH279&lt;&gt;"")))-MATCH(1,INDEX((Y279:BH279&lt;&gt;0)*(Y279:BH279&lt;&gt;""),0),0)+1 &lt;= 24,
        "No",
        "Yes"
    ),
    "No"
)</f>
        <v>No</v>
      </c>
      <c r="X279" s="3"/>
      <c r="Y279" s="4">
        <v>0</v>
      </c>
      <c r="Z279" s="4">
        <v>0</v>
      </c>
      <c r="AA279" s="4">
        <v>0</v>
      </c>
      <c r="AB279" s="4">
        <v>0</v>
      </c>
      <c r="AC279" s="4">
        <v>0</v>
      </c>
      <c r="AD279" s="4">
        <v>0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150</v>
      </c>
      <c r="AO279" s="4">
        <v>150</v>
      </c>
      <c r="AP279" s="4">
        <v>150</v>
      </c>
      <c r="AQ279" s="4">
        <v>150</v>
      </c>
      <c r="AR279" s="4">
        <v>150</v>
      </c>
      <c r="AS279" s="4">
        <v>150</v>
      </c>
      <c r="AT279" s="4">
        <v>150</v>
      </c>
      <c r="AU279" s="4">
        <v>201.99999999999997</v>
      </c>
      <c r="AV279" s="4">
        <v>203.99999999999997</v>
      </c>
      <c r="AW279" s="4">
        <v>234.59960399999997</v>
      </c>
      <c r="AX279" s="4">
        <v>234.59960399999997</v>
      </c>
      <c r="AY279" s="4">
        <v>238.59960399999997</v>
      </c>
      <c r="AZ279" s="4">
        <v>238.599604</v>
      </c>
      <c r="BA279" s="4">
        <v>0</v>
      </c>
      <c r="BB279" s="4">
        <v>0</v>
      </c>
      <c r="BC279" s="4">
        <v>0</v>
      </c>
      <c r="BD279" s="4">
        <v>0</v>
      </c>
      <c r="BE279" s="4">
        <v>0</v>
      </c>
      <c r="BF279" s="4">
        <v>0</v>
      </c>
      <c r="BG279" s="4">
        <v>0</v>
      </c>
      <c r="BH279" s="4">
        <v>0</v>
      </c>
      <c r="BJ279" s="9"/>
    </row>
    <row r="280" spans="1:62" x14ac:dyDescent="0.25">
      <c r="A280" s="8" t="s">
        <v>262</v>
      </c>
      <c r="B280" s="8"/>
      <c r="C280" s="7" t="s">
        <v>526</v>
      </c>
      <c r="D280" s="3"/>
      <c r="E280" s="3">
        <f>VLOOKUP(A280,[2]Sheet1!$A$2:$E$627,5,0)</f>
        <v>200</v>
      </c>
      <c r="F280" s="3">
        <f>VLOOKUP(A280,[2]Sheet1!$A$2:$F$627,6,0)</f>
        <v>450.01155799999998</v>
      </c>
      <c r="G280" s="3">
        <f>VLOOKUP(A280,[2]Sheet1!$A$2:$G$627,7,0)</f>
        <v>0</v>
      </c>
      <c r="H280" s="4">
        <f t="shared" si="24"/>
        <v>450.01155799999992</v>
      </c>
      <c r="I280" s="11">
        <f t="shared" si="25"/>
        <v>1.2500577899999998</v>
      </c>
      <c r="J280" s="11">
        <f t="shared" si="26"/>
        <v>-1</v>
      </c>
      <c r="K280" s="11">
        <f t="shared" si="27"/>
        <v>-1</v>
      </c>
      <c r="L280" s="11">
        <f>IF(S280="",((BG280-E280)/E280),((U280-E280)/E280))</f>
        <v>1.2500577899999996</v>
      </c>
      <c r="M280" s="3" t="str">
        <f>IF(S280="Churn","Churn",VLOOKUP(A280,'[1]Revenue_Engine_2025 Dec.25'!$C$14:$E$3993,3,0))</f>
        <v>Genel</v>
      </c>
      <c r="N280" s="3">
        <f>IF(S280="",VLOOKUP(A280,[3]Export!$B$2:$F$417,5,0),"CHURN")</f>
        <v>2.3977161937694051E-2</v>
      </c>
      <c r="O280" s="3">
        <f>(1-N280)*H280</f>
        <v>439.2215579999999</v>
      </c>
      <c r="P280" s="3">
        <f t="shared" si="29"/>
        <v>439.22155799999996</v>
      </c>
      <c r="Q280" s="3">
        <f t="shared" si="28"/>
        <v>0</v>
      </c>
      <c r="R280" s="3" t="str">
        <f>IF(S280&lt;&gt;"Churn",VLOOKUP(A280,[3]Export!$B$2:$O$417,8,0),"CHURN")</f>
        <v>NO RISK</v>
      </c>
      <c r="S280" s="3"/>
      <c r="T280" s="3"/>
      <c r="U280" s="3" t="s">
        <v>551</v>
      </c>
      <c r="V280" s="4" t="str" cm="1">
        <f t="array" ref="V280">IFERROR(
    IF(
        MATCH(2,1/((Y280:BH280&lt;&gt;0)*(Y280:BH280&lt;&gt;"")))-MATCH(1,INDEX((Y280:BH280&lt;&gt;0)*(Y280:BH280&lt;&gt;""),0),0)+1 &lt;= 12,
        "No",
        "Yes"
    ),
    "No"
)</f>
        <v>Yes</v>
      </c>
      <c r="W280" s="4" t="str" cm="1">
        <f t="array" ref="W280">IFERROR(
    IF(
        MATCH(2,1/((Y280:BH280&lt;&gt;0)*(Y280:BH280&lt;&gt;"")))-MATCH(1,INDEX((Y280:BH280&lt;&gt;0)*(Y280:BH280&lt;&gt;""),0),0)+1 &lt;= 24,
        "No",
        "Yes"
    ),
    "No"
)</f>
        <v>No</v>
      </c>
      <c r="X280" s="3"/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200</v>
      </c>
      <c r="AO280" s="4">
        <v>200</v>
      </c>
      <c r="AP280" s="4">
        <v>200</v>
      </c>
      <c r="AQ280" s="4">
        <v>200</v>
      </c>
      <c r="AR280" s="4">
        <v>200</v>
      </c>
      <c r="AS280" s="4">
        <v>200</v>
      </c>
      <c r="AT280" s="4">
        <v>200</v>
      </c>
      <c r="AU280" s="4">
        <v>450.01155799999992</v>
      </c>
      <c r="AV280" s="4">
        <v>450.01155799999992</v>
      </c>
      <c r="AW280" s="4">
        <v>450.01155799999992</v>
      </c>
      <c r="AX280" s="4">
        <v>450.01155799999992</v>
      </c>
      <c r="AY280" s="4">
        <v>450.01155799999992</v>
      </c>
      <c r="AZ280" s="4">
        <v>450.01155799999998</v>
      </c>
      <c r="BA280" s="4">
        <v>450.01155799999992</v>
      </c>
      <c r="BB280" s="4">
        <v>450.01155799999992</v>
      </c>
      <c r="BC280" s="4">
        <v>450.01155799999992</v>
      </c>
      <c r="BD280" s="4">
        <v>450.01155799999992</v>
      </c>
      <c r="BE280" s="4">
        <v>450.01155799999992</v>
      </c>
      <c r="BF280" s="4">
        <v>450.01155799999992</v>
      </c>
      <c r="BG280" s="4">
        <v>450.01155799999992</v>
      </c>
      <c r="BH280" s="4">
        <v>450.01155799999992</v>
      </c>
      <c r="BJ280" s="9"/>
    </row>
    <row r="281" spans="1:62" x14ac:dyDescent="0.25">
      <c r="A281" s="8" t="s">
        <v>263</v>
      </c>
      <c r="B281" s="8"/>
      <c r="C281" s="7" t="s">
        <v>526</v>
      </c>
      <c r="D281" s="3"/>
      <c r="E281" s="3">
        <f>VLOOKUP(A281,[2]Sheet1!$A$2:$E$627,5,0)</f>
        <v>150</v>
      </c>
      <c r="F281" s="3">
        <f>VLOOKUP(A281,[2]Sheet1!$A$2:$F$627,6,0)</f>
        <v>196.99393199999997</v>
      </c>
      <c r="G281" s="3">
        <f>VLOOKUP(A281,[2]Sheet1!$A$2:$G$627,7,0)</f>
        <v>0</v>
      </c>
      <c r="H281" s="4">
        <f t="shared" si="24"/>
        <v>201.99393199999997</v>
      </c>
      <c r="I281" s="11">
        <f t="shared" si="25"/>
        <v>0.31329287999999983</v>
      </c>
      <c r="J281" s="11">
        <f t="shared" si="26"/>
        <v>-1</v>
      </c>
      <c r="K281" s="11">
        <f t="shared" si="27"/>
        <v>-1</v>
      </c>
      <c r="L281" s="11">
        <f>IF(S281="",((BG281-E281)/E281),((U281-E281)/E281))</f>
        <v>0.34662621333333316</v>
      </c>
      <c r="M281" s="3" t="str">
        <f>IF(S281="Churn","Churn",VLOOKUP(A281,'[1]Revenue_Engine_2025 Dec.25'!$C$14:$E$3993,3,0))</f>
        <v>Diğer</v>
      </c>
      <c r="N281" s="3">
        <f>IF(S281="",VLOOKUP(A281,[3]Export!$B$2:$F$417,5,0),"CHURN")</f>
        <v>0.10327042893545932</v>
      </c>
      <c r="O281" s="3">
        <f>(1-N281)*H281</f>
        <v>181.13393199999996</v>
      </c>
      <c r="P281" s="3">
        <f t="shared" si="29"/>
        <v>176.65028414467727</v>
      </c>
      <c r="Q281" s="3">
        <f t="shared" si="28"/>
        <v>0</v>
      </c>
      <c r="R281" s="3" t="str">
        <f>IF(S281&lt;&gt;"Churn",VLOOKUP(A281,[3]Export!$B$2:$O$417,8,0),"CHURN")</f>
        <v>NO RISK</v>
      </c>
      <c r="S281" s="3"/>
      <c r="T281" s="3"/>
      <c r="U281" s="3" t="s">
        <v>551</v>
      </c>
      <c r="V281" s="4" t="str" cm="1">
        <f t="array" ref="V281">IFERROR(
    IF(
        MATCH(2,1/((Y281:BH281&lt;&gt;0)*(Y281:BH281&lt;&gt;"")))-MATCH(1,INDEX((Y281:BH281&lt;&gt;0)*(Y281:BH281&lt;&gt;""),0),0)+1 &lt;= 12,
        "No",
        "Yes"
    ),
    "No"
)</f>
        <v>Yes</v>
      </c>
      <c r="W281" s="4" t="str" cm="1">
        <f t="array" ref="W281">IFERROR(
    IF(
        MATCH(2,1/((Y281:BH281&lt;&gt;0)*(Y281:BH281&lt;&gt;"")))-MATCH(1,INDEX((Y281:BH281&lt;&gt;0)*(Y281:BH281&lt;&gt;""),0),0)+1 &lt;= 24,
        "No",
        "Yes"
    ),
    "No"
)</f>
        <v>No</v>
      </c>
      <c r="X281" s="3"/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D281" s="4">
        <v>0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150</v>
      </c>
      <c r="AO281" s="4">
        <v>150</v>
      </c>
      <c r="AP281" s="4">
        <v>150</v>
      </c>
      <c r="AQ281" s="4">
        <v>150</v>
      </c>
      <c r="AR281" s="4">
        <v>150</v>
      </c>
      <c r="AS281" s="4">
        <v>150</v>
      </c>
      <c r="AT281" s="4">
        <v>150</v>
      </c>
      <c r="AU281" s="4">
        <v>150</v>
      </c>
      <c r="AV281" s="4">
        <v>150</v>
      </c>
      <c r="AW281" s="4">
        <v>179.99393199999997</v>
      </c>
      <c r="AX281" s="4">
        <v>196.99393199999997</v>
      </c>
      <c r="AY281" s="4">
        <v>196.99393199999997</v>
      </c>
      <c r="AZ281" s="4">
        <v>196.99393199999997</v>
      </c>
      <c r="BA281" s="4">
        <v>196.99393199999997</v>
      </c>
      <c r="BB281" s="4">
        <v>196.99393199999997</v>
      </c>
      <c r="BC281" s="4">
        <v>196.99393199999997</v>
      </c>
      <c r="BD281" s="4">
        <v>196.99393199999997</v>
      </c>
      <c r="BE281" s="4">
        <v>196.99393199999997</v>
      </c>
      <c r="BF281" s="4">
        <v>201.99393199999997</v>
      </c>
      <c r="BG281" s="4">
        <v>201.99393199999997</v>
      </c>
      <c r="BH281" s="4">
        <v>201.99393199999997</v>
      </c>
      <c r="BJ281" s="9"/>
    </row>
    <row r="282" spans="1:62" x14ac:dyDescent="0.25">
      <c r="A282" s="8" t="s">
        <v>264</v>
      </c>
      <c r="B282" s="8"/>
      <c r="C282" s="7" t="s">
        <v>526</v>
      </c>
      <c r="D282" s="3"/>
      <c r="E282" s="3">
        <f>VLOOKUP(A282,[2]Sheet1!$A$2:$E$627,5,0)</f>
        <v>140.000001</v>
      </c>
      <c r="F282" s="3">
        <f>VLOOKUP(A282,[2]Sheet1!$A$2:$F$627,6,0)</f>
        <v>140.000001</v>
      </c>
      <c r="G282" s="3">
        <f>VLOOKUP(A282,[2]Sheet1!$A$2:$G$627,7,0)</f>
        <v>0</v>
      </c>
      <c r="H282" s="4">
        <f t="shared" si="24"/>
        <v>140.000001</v>
      </c>
      <c r="I282" s="11">
        <f t="shared" si="25"/>
        <v>0</v>
      </c>
      <c r="J282" s="11">
        <f t="shared" si="26"/>
        <v>-1</v>
      </c>
      <c r="K282" s="11">
        <f t="shared" si="27"/>
        <v>-1</v>
      </c>
      <c r="L282" s="11">
        <f>IF(S282="",((BG282-E282)/E282),((U282-E282)/E282))</f>
        <v>0</v>
      </c>
      <c r="M282" s="3" t="str">
        <f>IF(S282="Churn","Churn",VLOOKUP(A282,'[1]Revenue_Engine_2025 Dec.25'!$C$14:$E$3993,3,0))</f>
        <v>Üretim</v>
      </c>
      <c r="N282" s="3">
        <f>IF(S282="",VLOOKUP(A282,[3]Export!$B$2:$F$417,5,0),"CHURN")</f>
        <v>0.10714285637755103</v>
      </c>
      <c r="O282" s="3">
        <f>(1-N282)*H282</f>
        <v>125.000001</v>
      </c>
      <c r="P282" s="3">
        <f t="shared" si="29"/>
        <v>125.000001</v>
      </c>
      <c r="Q282" s="3">
        <f t="shared" si="28"/>
        <v>0</v>
      </c>
      <c r="R282" s="3" t="str">
        <f>IF(S282&lt;&gt;"Churn",VLOOKUP(A282,[3]Export!$B$2:$O$417,8,0),"CHURN")</f>
        <v>NO RISK</v>
      </c>
      <c r="S282" s="3"/>
      <c r="T282" s="3"/>
      <c r="U282" s="3" t="s">
        <v>551</v>
      </c>
      <c r="V282" s="4" t="str" cm="1">
        <f t="array" ref="V282">IFERROR(
    IF(
        MATCH(2,1/((Y282:BH282&lt;&gt;0)*(Y282:BH282&lt;&gt;"")))-MATCH(1,INDEX((Y282:BH282&lt;&gt;0)*(Y282:BH282&lt;&gt;""),0),0)+1 &lt;= 12,
        "No",
        "Yes"
    ),
    "No"
)</f>
        <v>Yes</v>
      </c>
      <c r="W282" s="4" t="str" cm="1">
        <f t="array" ref="W282">IFERROR(
    IF(
        MATCH(2,1/((Y282:BH282&lt;&gt;0)*(Y282:BH282&lt;&gt;"")))-MATCH(1,INDEX((Y282:BH282&lt;&gt;0)*(Y282:BH282&lt;&gt;""),0),0)+1 &lt;= 24,
        "No",
        "Yes"
    ),
    "No"
)</f>
        <v>No</v>
      </c>
      <c r="X282" s="3"/>
      <c r="Y282" s="4">
        <v>0</v>
      </c>
      <c r="Z282" s="4">
        <v>0</v>
      </c>
      <c r="AA282" s="4">
        <v>0</v>
      </c>
      <c r="AB282" s="4">
        <v>0</v>
      </c>
      <c r="AC282" s="4">
        <v>0</v>
      </c>
      <c r="AD282" s="4">
        <v>0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140.000001</v>
      </c>
      <c r="AO282" s="4">
        <v>140.000001</v>
      </c>
      <c r="AP282" s="4">
        <v>140.000001</v>
      </c>
      <c r="AQ282" s="4">
        <v>140.000001</v>
      </c>
      <c r="AR282" s="4">
        <v>140.000001</v>
      </c>
      <c r="AS282" s="4">
        <v>140.000001</v>
      </c>
      <c r="AT282" s="4">
        <v>140.000001</v>
      </c>
      <c r="AU282" s="4">
        <v>140.000001</v>
      </c>
      <c r="AV282" s="4">
        <v>140.000001</v>
      </c>
      <c r="AW282" s="4">
        <v>140.000001</v>
      </c>
      <c r="AX282" s="4">
        <v>140.000001</v>
      </c>
      <c r="AY282" s="4">
        <v>140.000001</v>
      </c>
      <c r="AZ282" s="4">
        <v>140.000001</v>
      </c>
      <c r="BA282" s="4">
        <v>140.000001</v>
      </c>
      <c r="BB282" s="4">
        <v>140.000001</v>
      </c>
      <c r="BC282" s="4">
        <v>140.000001</v>
      </c>
      <c r="BD282" s="4">
        <v>140.000001</v>
      </c>
      <c r="BE282" s="4">
        <v>140.000001</v>
      </c>
      <c r="BF282" s="4">
        <v>140.000001</v>
      </c>
      <c r="BG282" s="4">
        <v>140.000001</v>
      </c>
      <c r="BH282" s="4">
        <v>140.000001</v>
      </c>
      <c r="BJ282" s="9"/>
    </row>
    <row r="283" spans="1:62" x14ac:dyDescent="0.25">
      <c r="A283" s="8" t="s">
        <v>265</v>
      </c>
      <c r="B283" s="8"/>
      <c r="C283" s="7" t="s">
        <v>526</v>
      </c>
      <c r="D283" s="3"/>
      <c r="E283" s="3">
        <f>VLOOKUP(A283,[2]Sheet1!$A$2:$E$627,5,0)</f>
        <v>86.000882333333337</v>
      </c>
      <c r="F283" s="3">
        <f>VLOOKUP(A283,[2]Sheet1!$A$2:$F$627,6,0)</f>
        <v>103.20079458333333</v>
      </c>
      <c r="G283" s="3">
        <f>VLOOKUP(A283,[2]Sheet1!$A$2:$G$627,7,0)</f>
        <v>0</v>
      </c>
      <c r="H283" s="4">
        <f t="shared" si="24"/>
        <v>103.20079458333333</v>
      </c>
      <c r="I283" s="11">
        <f t="shared" si="25"/>
        <v>0.19999692774469863</v>
      </c>
      <c r="J283" s="11">
        <f t="shared" si="26"/>
        <v>-1</v>
      </c>
      <c r="K283" s="11">
        <f t="shared" si="27"/>
        <v>-1</v>
      </c>
      <c r="L283" s="11">
        <f>IF(S283="",((BG283-E283)/E283),((U283-E283)/E283))</f>
        <v>0.19999692774469863</v>
      </c>
      <c r="M283" s="3" t="str">
        <f>IF(S283="Churn","Churn",VLOOKUP(A283,'[1]Revenue_Engine_2025 Dec.25'!$C$14:$E$3993,3,0))</f>
        <v>Diğer</v>
      </c>
      <c r="N283" s="3">
        <f>IF(S283="",VLOOKUP(A283,[3]Export!$B$2:$F$417,5,0),"CHURN")</f>
        <v>0.30212289749529425</v>
      </c>
      <c r="O283" s="3">
        <f>(1-N283)*H283</f>
        <v>72.02147149999999</v>
      </c>
      <c r="P283" s="3">
        <f t="shared" si="29"/>
        <v>72.02147149999999</v>
      </c>
      <c r="Q283" s="3">
        <f t="shared" si="28"/>
        <v>0</v>
      </c>
      <c r="R283" s="3" t="str">
        <f>IF(S283&lt;&gt;"Churn",VLOOKUP(A283,[3]Export!$B$2:$O$417,8,0),"CHURN")</f>
        <v>NO RISK</v>
      </c>
      <c r="S283" s="3"/>
      <c r="T283" s="3"/>
      <c r="U283" s="3" t="s">
        <v>551</v>
      </c>
      <c r="V283" s="4" t="str" cm="1">
        <f t="array" ref="V283">IFERROR(
    IF(
        MATCH(2,1/((Y283:BH283&lt;&gt;0)*(Y283:BH283&lt;&gt;"")))-MATCH(1,INDEX((Y283:BH283&lt;&gt;0)*(Y283:BH283&lt;&gt;""),0),0)+1 &lt;= 12,
        "No",
        "Yes"
    ),
    "No"
)</f>
        <v>Yes</v>
      </c>
      <c r="W283" s="4" t="str" cm="1">
        <f t="array" ref="W283">IFERROR(
    IF(
        MATCH(2,1/((Y283:BH283&lt;&gt;0)*(Y283:BH283&lt;&gt;"")))-MATCH(1,INDEX((Y283:BH283&lt;&gt;0)*(Y283:BH283&lt;&gt;""),0),0)+1 &lt;= 24,
        "No",
        "Yes"
    ),
    "No"
)</f>
        <v>No</v>
      </c>
      <c r="X283" s="3"/>
      <c r="Y283" s="4">
        <v>0</v>
      </c>
      <c r="Z283" s="4">
        <v>0</v>
      </c>
      <c r="AA283" s="4">
        <v>0</v>
      </c>
      <c r="AB283" s="4">
        <v>0</v>
      </c>
      <c r="AC283" s="4">
        <v>0</v>
      </c>
      <c r="AD283" s="4">
        <v>0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86.000882333333337</v>
      </c>
      <c r="AP283" s="4">
        <v>86.000882333333337</v>
      </c>
      <c r="AQ283" s="4">
        <v>86.000882333333337</v>
      </c>
      <c r="AR283" s="4">
        <v>86.000882333333337</v>
      </c>
      <c r="AS283" s="4">
        <v>86.000882333333337</v>
      </c>
      <c r="AT283" s="4">
        <v>86.000882333333337</v>
      </c>
      <c r="AU283" s="4">
        <v>86.000882333333337</v>
      </c>
      <c r="AV283" s="4">
        <v>86.000882333333337</v>
      </c>
      <c r="AW283" s="4">
        <v>86.000882333333337</v>
      </c>
      <c r="AX283" s="4">
        <v>86.000882333333337</v>
      </c>
      <c r="AY283" s="4">
        <v>86.000882333333337</v>
      </c>
      <c r="AZ283" s="4">
        <v>86.000882333333337</v>
      </c>
      <c r="BA283" s="4">
        <v>103.20079458333333</v>
      </c>
      <c r="BB283" s="4">
        <v>103.20079458333333</v>
      </c>
      <c r="BC283" s="4">
        <v>103.20079458333333</v>
      </c>
      <c r="BD283" s="4">
        <v>103.20079458333333</v>
      </c>
      <c r="BE283" s="4">
        <v>103.20079458333333</v>
      </c>
      <c r="BF283" s="4">
        <v>103.20079458333333</v>
      </c>
      <c r="BG283" s="4">
        <v>103.20079458333333</v>
      </c>
      <c r="BH283" s="4">
        <v>103.20079458333333</v>
      </c>
      <c r="BJ283" s="9"/>
    </row>
    <row r="284" spans="1:62" x14ac:dyDescent="0.25">
      <c r="A284" s="8" t="s">
        <v>516</v>
      </c>
      <c r="B284" s="8"/>
      <c r="C284" s="7" t="s">
        <v>526</v>
      </c>
      <c r="D284" s="3"/>
      <c r="E284" s="3">
        <f>VLOOKUP(A284,[2]Sheet1!$A$2:$E$627,5,0)</f>
        <v>86.000882333333337</v>
      </c>
      <c r="F284" s="3">
        <f>VLOOKUP(A284,[2]Sheet1!$A$2:$F$627,6,0)</f>
        <v>0</v>
      </c>
      <c r="G284" s="3">
        <f>VLOOKUP(A284,[2]Sheet1!$A$2:$G$627,7,0)</f>
        <v>0</v>
      </c>
      <c r="H284" s="4">
        <f t="shared" si="24"/>
        <v>0</v>
      </c>
      <c r="I284" s="11">
        <f t="shared" si="25"/>
        <v>-1</v>
      </c>
      <c r="J284" s="11">
        <f t="shared" si="26"/>
        <v>-1</v>
      </c>
      <c r="K284" s="11" t="e">
        <f t="shared" si="27"/>
        <v>#DIV/0!</v>
      </c>
      <c r="L284" s="11">
        <f>IF(S284="",((BG284-E284)/E284),((U284-E284)/E284))</f>
        <v>0</v>
      </c>
      <c r="M284" s="3" t="str">
        <f>IF(S284="Churn","Churn",VLOOKUP(A284,'[1]Revenue_Engine_2025 Dec.25'!$C$14:$E$3993,3,0))</f>
        <v>Churn</v>
      </c>
      <c r="N284" s="3" t="str">
        <f>IF(S284="",VLOOKUP(A284,[3]Export!$B$2:$F$417,5,0),"CHURN")</f>
        <v>CHURN</v>
      </c>
      <c r="O284" s="3" t="e">
        <f>(1-N284)*H284</f>
        <v>#VALUE!</v>
      </c>
      <c r="P284" s="3" t="e">
        <f t="shared" si="29"/>
        <v>#VALUE!</v>
      </c>
      <c r="Q284" s="3" t="e">
        <f t="shared" si="28"/>
        <v>#VALUE!</v>
      </c>
      <c r="R284" s="3" t="str">
        <f>IF(S284&lt;&gt;"Churn",VLOOKUP(A284,[3]Export!$B$2:$O$417,8,0),"CHURN")</f>
        <v>CHURN</v>
      </c>
      <c r="S284" s="3" t="s">
        <v>372</v>
      </c>
      <c r="T284" s="3" t="s">
        <v>559</v>
      </c>
      <c r="U284" s="3">
        <v>86.000882333333337</v>
      </c>
      <c r="V284" s="4" t="str" cm="1">
        <f t="array" ref="V284">IFERROR(
    IF(
        MATCH(2,1/((Y284:BH284&lt;&gt;0)*(Y284:BH284&lt;&gt;"")))-MATCH(1,INDEX((Y284:BH284&lt;&gt;0)*(Y284:BH284&lt;&gt;""),0),0)+1 &lt;= 12,
        "No",
        "Yes"
    ),
    "No"
)</f>
        <v>No</v>
      </c>
      <c r="W284" s="4" t="str" cm="1">
        <f t="array" ref="W284">IFERROR(
    IF(
        MATCH(2,1/((Y284:BH284&lt;&gt;0)*(Y284:BH284&lt;&gt;"")))-MATCH(1,INDEX((Y284:BH284&lt;&gt;0)*(Y284:BH284&lt;&gt;""),0),0)+1 &lt;= 24,
        "No",
        "Yes"
    ),
    "No"
)</f>
        <v>No</v>
      </c>
      <c r="X284" s="3"/>
      <c r="Y284" s="4">
        <v>0</v>
      </c>
      <c r="Z284" s="4">
        <v>0</v>
      </c>
      <c r="AA284" s="4">
        <v>0</v>
      </c>
      <c r="AB284" s="4">
        <v>0</v>
      </c>
      <c r="AC284" s="4">
        <v>0</v>
      </c>
      <c r="AD284" s="4">
        <v>0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86.000882333333337</v>
      </c>
      <c r="AP284" s="4">
        <v>86.000882333333337</v>
      </c>
      <c r="AQ284" s="4">
        <v>86.000882333333337</v>
      </c>
      <c r="AR284" s="4">
        <v>86.000882333333337</v>
      </c>
      <c r="AS284" s="4">
        <v>86.000882333333337</v>
      </c>
      <c r="AT284" s="4">
        <v>86.000882333333337</v>
      </c>
      <c r="AU284" s="4">
        <v>86.000882333333337</v>
      </c>
      <c r="AV284" s="4">
        <v>86.000882333333337</v>
      </c>
      <c r="AW284" s="4">
        <v>86.000882333333337</v>
      </c>
      <c r="AX284" s="4">
        <v>86.000882333333337</v>
      </c>
      <c r="AY284" s="4">
        <v>86.000882333333337</v>
      </c>
      <c r="AZ284" s="4">
        <v>86.000882333333337</v>
      </c>
      <c r="BA284" s="4">
        <v>0</v>
      </c>
      <c r="BB284" s="4">
        <v>0</v>
      </c>
      <c r="BC284" s="4">
        <v>0</v>
      </c>
      <c r="BD284" s="4">
        <v>0</v>
      </c>
      <c r="BE284" s="4">
        <v>0</v>
      </c>
      <c r="BF284" s="4">
        <v>0</v>
      </c>
      <c r="BG284" s="4">
        <v>0</v>
      </c>
      <c r="BH284" s="4">
        <v>0</v>
      </c>
      <c r="BJ284" s="9"/>
    </row>
    <row r="285" spans="1:62" x14ac:dyDescent="0.25">
      <c r="A285" s="8" t="s">
        <v>514</v>
      </c>
      <c r="B285" s="8"/>
      <c r="C285" s="7" t="s">
        <v>526</v>
      </c>
      <c r="D285" s="3"/>
      <c r="E285" s="3">
        <f>VLOOKUP(A285,[2]Sheet1!$A$2:$E$627,5,0)</f>
        <v>103.20000008333332</v>
      </c>
      <c r="F285" s="3">
        <f>VLOOKUP(A285,[2]Sheet1!$A$2:$F$627,6,0)</f>
        <v>0</v>
      </c>
      <c r="G285" s="3">
        <f>VLOOKUP(A285,[2]Sheet1!$A$2:$G$627,7,0)</f>
        <v>0</v>
      </c>
      <c r="H285" s="4">
        <f t="shared" si="24"/>
        <v>0</v>
      </c>
      <c r="I285" s="11">
        <f t="shared" si="25"/>
        <v>-1</v>
      </c>
      <c r="J285" s="11">
        <f t="shared" si="26"/>
        <v>-1</v>
      </c>
      <c r="K285" s="11" t="e">
        <f t="shared" si="27"/>
        <v>#DIV/0!</v>
      </c>
      <c r="L285" s="11">
        <f>IF(S285="",((BG285-E285)/E285),((U285-E285)/E285))</f>
        <v>0</v>
      </c>
      <c r="M285" s="3" t="str">
        <f>IF(S285="Churn","Churn",VLOOKUP(A285,'[1]Revenue_Engine_2025 Dec.25'!$C$14:$E$3993,3,0))</f>
        <v>Churn</v>
      </c>
      <c r="N285" s="3" t="str">
        <f>IF(S285="",VLOOKUP(A285,[3]Export!$B$2:$F$417,5,0),"CHURN")</f>
        <v>CHURN</v>
      </c>
      <c r="O285" s="3" t="e">
        <f>(1-N285)*H285</f>
        <v>#VALUE!</v>
      </c>
      <c r="P285" s="3" t="e">
        <f t="shared" si="29"/>
        <v>#VALUE!</v>
      </c>
      <c r="Q285" s="3" t="e">
        <f t="shared" si="28"/>
        <v>#VALUE!</v>
      </c>
      <c r="R285" s="3" t="str">
        <f>IF(S285&lt;&gt;"Churn",VLOOKUP(A285,[3]Export!$B$2:$O$417,8,0),"CHURN")</f>
        <v>CHURN</v>
      </c>
      <c r="S285" s="3" t="s">
        <v>372</v>
      </c>
      <c r="T285" s="3" t="s">
        <v>559</v>
      </c>
      <c r="U285" s="3">
        <v>103.20000008333332</v>
      </c>
      <c r="V285" s="4" t="str" cm="1">
        <f t="array" ref="V285">IFERROR(
    IF(
        MATCH(2,1/((Y285:BH285&lt;&gt;0)*(Y285:BH285&lt;&gt;"")))-MATCH(1,INDEX((Y285:BH285&lt;&gt;0)*(Y285:BH285&lt;&gt;""),0),0)+1 &lt;= 12,
        "No",
        "Yes"
    ),
    "No"
)</f>
        <v>No</v>
      </c>
      <c r="W285" s="4" t="str" cm="1">
        <f t="array" ref="W285">IFERROR(
    IF(
        MATCH(2,1/((Y285:BH285&lt;&gt;0)*(Y285:BH285&lt;&gt;"")))-MATCH(1,INDEX((Y285:BH285&lt;&gt;0)*(Y285:BH285&lt;&gt;""),0),0)+1 &lt;= 24,
        "No",
        "Yes"
    ),
    "No"
)</f>
        <v>No</v>
      </c>
      <c r="X285" s="3"/>
      <c r="Y285" s="4">
        <v>0</v>
      </c>
      <c r="Z285" s="4">
        <v>0</v>
      </c>
      <c r="AA285" s="4">
        <v>0</v>
      </c>
      <c r="AB285" s="4">
        <v>0</v>
      </c>
      <c r="AC285" s="4">
        <v>0</v>
      </c>
      <c r="AD285" s="4">
        <v>0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103.20000008333332</v>
      </c>
      <c r="AP285" s="4">
        <v>103.20000008333332</v>
      </c>
      <c r="AQ285" s="4">
        <v>103.20000008333332</v>
      </c>
      <c r="AR285" s="4">
        <v>103.20000008333332</v>
      </c>
      <c r="AS285" s="4">
        <v>103.20000008333332</v>
      </c>
      <c r="AT285" s="4">
        <v>103.20000008333332</v>
      </c>
      <c r="AU285" s="4">
        <v>103.20000008333332</v>
      </c>
      <c r="AV285" s="4">
        <v>103.20000008333332</v>
      </c>
      <c r="AW285" s="4">
        <v>103.20000008333332</v>
      </c>
      <c r="AX285" s="4">
        <v>103.20000008333332</v>
      </c>
      <c r="AY285" s="4">
        <v>103.20000008333332</v>
      </c>
      <c r="AZ285" s="4">
        <v>103.20000008333332</v>
      </c>
      <c r="BA285" s="4">
        <v>0</v>
      </c>
      <c r="BB285" s="4">
        <v>0</v>
      </c>
      <c r="BC285" s="4">
        <v>0</v>
      </c>
      <c r="BD285" s="4">
        <v>0</v>
      </c>
      <c r="BE285" s="4">
        <v>0</v>
      </c>
      <c r="BF285" s="4">
        <v>0</v>
      </c>
      <c r="BG285" s="4">
        <v>0</v>
      </c>
      <c r="BH285" s="4">
        <v>0</v>
      </c>
      <c r="BJ285" s="9"/>
    </row>
    <row r="286" spans="1:62" x14ac:dyDescent="0.25">
      <c r="A286" s="8" t="s">
        <v>517</v>
      </c>
      <c r="B286" s="8"/>
      <c r="C286" s="7" t="s">
        <v>526</v>
      </c>
      <c r="D286" s="3"/>
      <c r="E286" s="3">
        <f>VLOOKUP(A286,[2]Sheet1!$A$2:$E$627,5,0)</f>
        <v>86.000461416666667</v>
      </c>
      <c r="F286" s="3">
        <f>VLOOKUP(A286,[2]Sheet1!$A$2:$F$627,6,0)</f>
        <v>0</v>
      </c>
      <c r="G286" s="3">
        <f>VLOOKUP(A286,[2]Sheet1!$A$2:$G$627,7,0)</f>
        <v>0</v>
      </c>
      <c r="H286" s="4">
        <f t="shared" si="24"/>
        <v>0</v>
      </c>
      <c r="I286" s="11">
        <f t="shared" si="25"/>
        <v>-1</v>
      </c>
      <c r="J286" s="11">
        <f t="shared" si="26"/>
        <v>-1</v>
      </c>
      <c r="K286" s="11" t="e">
        <f t="shared" si="27"/>
        <v>#DIV/0!</v>
      </c>
      <c r="L286" s="11">
        <f>IF(S286="",((BG286-E286)/E286),((U286-E286)/E286))</f>
        <v>0</v>
      </c>
      <c r="M286" s="3" t="str">
        <f>IF(S286="Churn","Churn",VLOOKUP(A286,'[1]Revenue_Engine_2025 Dec.25'!$C$14:$E$3993,3,0))</f>
        <v>Churn</v>
      </c>
      <c r="N286" s="3" t="str">
        <f>IF(S286="",VLOOKUP(A286,[3]Export!$B$2:$F$417,5,0),"CHURN")</f>
        <v>CHURN</v>
      </c>
      <c r="O286" s="3" t="e">
        <f>(1-N286)*H286</f>
        <v>#VALUE!</v>
      </c>
      <c r="P286" s="3" t="e">
        <f t="shared" si="29"/>
        <v>#VALUE!</v>
      </c>
      <c r="Q286" s="3" t="e">
        <f t="shared" si="28"/>
        <v>#VALUE!</v>
      </c>
      <c r="R286" s="3" t="str">
        <f>IF(S286&lt;&gt;"Churn",VLOOKUP(A286,[3]Export!$B$2:$O$417,8,0),"CHURN")</f>
        <v>CHURN</v>
      </c>
      <c r="S286" s="3" t="s">
        <v>372</v>
      </c>
      <c r="T286" s="3" t="s">
        <v>559</v>
      </c>
      <c r="U286" s="3">
        <v>86.000461416666667</v>
      </c>
      <c r="V286" s="4" t="str" cm="1">
        <f t="array" ref="V286">IFERROR(
    IF(
        MATCH(2,1/((Y286:BH286&lt;&gt;0)*(Y286:BH286&lt;&gt;"")))-MATCH(1,INDEX((Y286:BH286&lt;&gt;0)*(Y286:BH286&lt;&gt;""),0),0)+1 &lt;= 12,
        "No",
        "Yes"
    ),
    "No"
)</f>
        <v>No</v>
      </c>
      <c r="W286" s="4" t="str" cm="1">
        <f t="array" ref="W286">IFERROR(
    IF(
        MATCH(2,1/((Y286:BH286&lt;&gt;0)*(Y286:BH286&lt;&gt;"")))-MATCH(1,INDEX((Y286:BH286&lt;&gt;0)*(Y286:BH286&lt;&gt;""),0),0)+1 &lt;= 24,
        "No",
        "Yes"
    ),
    "No"
)</f>
        <v>No</v>
      </c>
      <c r="X286" s="3"/>
      <c r="Y286" s="4">
        <v>0</v>
      </c>
      <c r="Z286" s="4">
        <v>0</v>
      </c>
      <c r="AA286" s="4">
        <v>0</v>
      </c>
      <c r="AB286" s="4">
        <v>0</v>
      </c>
      <c r="AC286" s="4">
        <v>0</v>
      </c>
      <c r="AD286" s="4">
        <v>0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86.000461416666667</v>
      </c>
      <c r="AP286" s="4">
        <v>86.000461416666667</v>
      </c>
      <c r="AQ286" s="4">
        <v>86.000461416666667</v>
      </c>
      <c r="AR286" s="4">
        <v>86.000461416666667</v>
      </c>
      <c r="AS286" s="4">
        <v>86.000461416666667</v>
      </c>
      <c r="AT286" s="4">
        <v>86.000461416666667</v>
      </c>
      <c r="AU286" s="4">
        <v>86.000461416666667</v>
      </c>
      <c r="AV286" s="4">
        <v>86.000461416666667</v>
      </c>
      <c r="AW286" s="4">
        <v>86.000461416666667</v>
      </c>
      <c r="AX286" s="4">
        <v>86.000461416666667</v>
      </c>
      <c r="AY286" s="4">
        <v>86.000461416666667</v>
      </c>
      <c r="AZ286" s="4">
        <v>86.000461416666667</v>
      </c>
      <c r="BA286" s="4">
        <v>0</v>
      </c>
      <c r="BB286" s="4">
        <v>0</v>
      </c>
      <c r="BC286" s="4">
        <v>0</v>
      </c>
      <c r="BD286" s="4">
        <v>0</v>
      </c>
      <c r="BE286" s="4">
        <v>0</v>
      </c>
      <c r="BF286" s="4">
        <v>0</v>
      </c>
      <c r="BG286" s="4">
        <v>0</v>
      </c>
      <c r="BH286" s="4">
        <v>0</v>
      </c>
      <c r="BJ286" s="9"/>
    </row>
    <row r="287" spans="1:62" x14ac:dyDescent="0.25">
      <c r="A287" s="8" t="s">
        <v>266</v>
      </c>
      <c r="B287" s="8"/>
      <c r="C287" s="7" t="s">
        <v>526</v>
      </c>
      <c r="D287" s="3"/>
      <c r="E287" s="3">
        <f>VLOOKUP(A287,[2]Sheet1!$A$2:$E$627,5,0)</f>
        <v>172.00000016666667</v>
      </c>
      <c r="F287" s="3">
        <f>VLOOKUP(A287,[2]Sheet1!$A$2:$F$627,6,0)</f>
        <v>173.25000016666667</v>
      </c>
      <c r="G287" s="3">
        <f>VLOOKUP(A287,[2]Sheet1!$A$2:$G$627,7,0)</f>
        <v>0</v>
      </c>
      <c r="H287" s="4">
        <f t="shared" si="24"/>
        <v>151.25000016666667</v>
      </c>
      <c r="I287" s="11">
        <f t="shared" si="25"/>
        <v>7.2674418534230218E-3</v>
      </c>
      <c r="J287" s="11">
        <f t="shared" si="26"/>
        <v>-1</v>
      </c>
      <c r="K287" s="11">
        <f t="shared" si="27"/>
        <v>-1</v>
      </c>
      <c r="L287" s="11">
        <f>IF(S287="",((BG287-E287)/E287),((U287-E287)/E287))</f>
        <v>-0.12063953476682215</v>
      </c>
      <c r="M287" s="3" t="str">
        <f>IF(S287="Churn","Churn",VLOOKUP(A287,'[1]Revenue_Engine_2025 Dec.25'!$C$14:$E$3993,3,0))</f>
        <v>Lojistik</v>
      </c>
      <c r="N287" s="3">
        <f>IF(S287="",VLOOKUP(A287,[3]Export!$B$2:$F$417,5,0),"CHURN")</f>
        <v>0.13223140481296816</v>
      </c>
      <c r="O287" s="3">
        <f>(1-N287)*H287</f>
        <v>131.25000016666667</v>
      </c>
      <c r="P287" s="3">
        <f t="shared" si="29"/>
        <v>150.34090926078136</v>
      </c>
      <c r="Q287" s="3">
        <f t="shared" si="28"/>
        <v>0</v>
      </c>
      <c r="R287" s="3" t="str">
        <f>IF(S287&lt;&gt;"Churn",VLOOKUP(A287,[3]Export!$B$2:$O$417,8,0),"CHURN")</f>
        <v>NO RISK</v>
      </c>
      <c r="S287" s="3"/>
      <c r="T287" s="3"/>
      <c r="U287" s="3" t="s">
        <v>551</v>
      </c>
      <c r="V287" s="4" t="str" cm="1">
        <f t="array" ref="V287">IFERROR(
    IF(
        MATCH(2,1/((Y287:BH287&lt;&gt;0)*(Y287:BH287&lt;&gt;"")))-MATCH(1,INDEX((Y287:BH287&lt;&gt;0)*(Y287:BH287&lt;&gt;""),0),0)+1 &lt;= 12,
        "No",
        "Yes"
    ),
    "No"
)</f>
        <v>Yes</v>
      </c>
      <c r="W287" s="4" t="str" cm="1">
        <f t="array" ref="W287">IFERROR(
    IF(
        MATCH(2,1/((Y287:BH287&lt;&gt;0)*(Y287:BH287&lt;&gt;"")))-MATCH(1,INDEX((Y287:BH287&lt;&gt;0)*(Y287:BH287&lt;&gt;""),0),0)+1 &lt;= 24,
        "No",
        "Yes"
    ),
    "No"
)</f>
        <v>No</v>
      </c>
      <c r="X287" s="3"/>
      <c r="Y287" s="4">
        <v>0</v>
      </c>
      <c r="Z287" s="4">
        <v>0</v>
      </c>
      <c r="AA287" s="4">
        <v>0</v>
      </c>
      <c r="AB287" s="4">
        <v>0</v>
      </c>
      <c r="AC287" s="4">
        <v>0</v>
      </c>
      <c r="AD287" s="4">
        <v>0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150.00000016666667</v>
      </c>
      <c r="AP287" s="4">
        <v>150.00000016666667</v>
      </c>
      <c r="AQ287" s="4">
        <v>172.00000016666667</v>
      </c>
      <c r="AR287" s="4">
        <v>172.00000016666667</v>
      </c>
      <c r="AS287" s="4">
        <v>172.00000016666667</v>
      </c>
      <c r="AT287" s="4">
        <v>172.00000016666667</v>
      </c>
      <c r="AU287" s="4">
        <v>172.00000016666667</v>
      </c>
      <c r="AV287" s="4">
        <v>172.00000016666667</v>
      </c>
      <c r="AW287" s="4">
        <v>172.00000016666667</v>
      </c>
      <c r="AX287" s="4">
        <v>172.00000016666667</v>
      </c>
      <c r="AY287" s="4">
        <v>172.00000016666667</v>
      </c>
      <c r="AZ287" s="4">
        <v>172.00000016666667</v>
      </c>
      <c r="BA287" s="4">
        <v>173.25000016666667</v>
      </c>
      <c r="BB287" s="4">
        <v>173.25000016666667</v>
      </c>
      <c r="BC287" s="4">
        <v>173.25000016666667</v>
      </c>
      <c r="BD287" s="4">
        <v>151.25000016666667</v>
      </c>
      <c r="BE287" s="4">
        <v>151.25000016666667</v>
      </c>
      <c r="BF287" s="4">
        <v>151.25000016666667</v>
      </c>
      <c r="BG287" s="4">
        <v>151.25000016666667</v>
      </c>
      <c r="BH287" s="4">
        <v>151.25000016666667</v>
      </c>
      <c r="BJ287" s="9"/>
    </row>
    <row r="288" spans="1:62" x14ac:dyDescent="0.25">
      <c r="A288" s="8" t="s">
        <v>267</v>
      </c>
      <c r="B288" s="8"/>
      <c r="C288" s="7" t="s">
        <v>526</v>
      </c>
      <c r="D288" s="3"/>
      <c r="E288" s="3">
        <f>VLOOKUP(A288,[2]Sheet1!$A$2:$E$627,5,0)</f>
        <v>61.083333333333336</v>
      </c>
      <c r="F288" s="3">
        <f>VLOOKUP(A288,[2]Sheet1!$A$2:$F$627,6,0)</f>
        <v>48.5</v>
      </c>
      <c r="G288" s="3">
        <f>VLOOKUP(A288,[2]Sheet1!$A$2:$G$627,7,0)</f>
        <v>0</v>
      </c>
      <c r="H288" s="4">
        <f t="shared" si="24"/>
        <v>48.5</v>
      </c>
      <c r="I288" s="11">
        <f t="shared" si="25"/>
        <v>-0.20600272851296048</v>
      </c>
      <c r="J288" s="11">
        <f t="shared" si="26"/>
        <v>-1</v>
      </c>
      <c r="K288" s="11">
        <f t="shared" si="27"/>
        <v>-1</v>
      </c>
      <c r="L288" s="11">
        <f>IF(S288="",((BG288-E288)/E288),((U288-E288)/E288))</f>
        <v>-0.20600272851296048</v>
      </c>
      <c r="M288" s="3" t="str">
        <f>IF(S288="Churn","Churn",VLOOKUP(A288,'[1]Revenue_Engine_2025 Dec.25'!$C$14:$E$3993,3,0))</f>
        <v>Diğer</v>
      </c>
      <c r="N288" s="3">
        <f>IF(S288="",VLOOKUP(A288,[3]Export!$B$2:$F$417,5,0),"CHURN")</f>
        <v>1</v>
      </c>
      <c r="O288" s="3">
        <f>(1-N288)*H288</f>
        <v>0</v>
      </c>
      <c r="P288" s="3">
        <f t="shared" si="29"/>
        <v>0</v>
      </c>
      <c r="Q288" s="3">
        <f t="shared" si="28"/>
        <v>0</v>
      </c>
      <c r="R288" s="3" t="str">
        <f>IF(S288&lt;&gt;"Churn",VLOOKUP(A288,[3]Export!$B$2:$O$417,8,0),"CHURN")</f>
        <v>NO RISK</v>
      </c>
      <c r="S288" s="3"/>
      <c r="T288" s="3"/>
      <c r="U288" s="3" t="s">
        <v>551</v>
      </c>
      <c r="V288" s="4" t="str" cm="1">
        <f t="array" ref="V288">IFERROR(
    IF(
        MATCH(2,1/((Y288:BH288&lt;&gt;0)*(Y288:BH288&lt;&gt;"")))-MATCH(1,INDEX((Y288:BH288&lt;&gt;0)*(Y288:BH288&lt;&gt;""),0),0)+1 &lt;= 12,
        "No",
        "Yes"
    ),
    "No"
)</f>
        <v>Yes</v>
      </c>
      <c r="W288" s="4" t="str" cm="1">
        <f t="array" ref="W288">IFERROR(
    IF(
        MATCH(2,1/((Y288:BH288&lt;&gt;0)*(Y288:BH288&lt;&gt;"")))-MATCH(1,INDEX((Y288:BH288&lt;&gt;0)*(Y288:BH288&lt;&gt;""),0),0)+1 &lt;= 24,
        "No",
        "Yes"
    ),
    "No"
)</f>
        <v>No</v>
      </c>
      <c r="X288" s="3"/>
      <c r="Y288" s="4">
        <v>0</v>
      </c>
      <c r="Z288" s="4">
        <v>0</v>
      </c>
      <c r="AA288" s="4">
        <v>0</v>
      </c>
      <c r="AB288" s="4">
        <v>0</v>
      </c>
      <c r="AC288" s="4">
        <v>0</v>
      </c>
      <c r="AD288" s="4">
        <v>0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61.083333333333336</v>
      </c>
      <c r="AP288" s="4">
        <v>61.083333333333336</v>
      </c>
      <c r="AQ288" s="4">
        <v>61.083333333333336</v>
      </c>
      <c r="AR288" s="4">
        <v>67.083333333333329</v>
      </c>
      <c r="AS288" s="4">
        <v>67.083333333333329</v>
      </c>
      <c r="AT288" s="4">
        <v>62.583333333333336</v>
      </c>
      <c r="AU288" s="4">
        <v>62.583333333333336</v>
      </c>
      <c r="AV288" s="4">
        <v>74.583333333333343</v>
      </c>
      <c r="AW288" s="4">
        <v>78.583333333333343</v>
      </c>
      <c r="AX288" s="4">
        <v>78.583333333333343</v>
      </c>
      <c r="AY288" s="4">
        <v>78.583333333333343</v>
      </c>
      <c r="AZ288" s="4">
        <v>49.583333333333329</v>
      </c>
      <c r="BA288" s="4">
        <v>48.5</v>
      </c>
      <c r="BB288" s="4">
        <v>48.5</v>
      </c>
      <c r="BC288" s="4">
        <v>48.5</v>
      </c>
      <c r="BD288" s="4">
        <v>48.5</v>
      </c>
      <c r="BE288" s="4">
        <v>48.5</v>
      </c>
      <c r="BF288" s="4">
        <v>48.5</v>
      </c>
      <c r="BG288" s="4">
        <v>48.5</v>
      </c>
      <c r="BH288" s="4">
        <v>48.5</v>
      </c>
      <c r="BJ288" s="9"/>
    </row>
    <row r="289" spans="1:62" x14ac:dyDescent="0.25">
      <c r="A289" s="8" t="s">
        <v>268</v>
      </c>
      <c r="B289" s="8"/>
      <c r="C289" s="7" t="s">
        <v>526</v>
      </c>
      <c r="D289" s="3"/>
      <c r="E289" s="3">
        <f>VLOOKUP(A289,[2]Sheet1!$A$2:$E$627,5,0)</f>
        <v>570.01121200000011</v>
      </c>
      <c r="F289" s="3">
        <f>VLOOKUP(A289,[2]Sheet1!$A$2:$F$627,6,0)</f>
        <v>570.011212</v>
      </c>
      <c r="G289" s="3">
        <f>VLOOKUP(A289,[2]Sheet1!$A$2:$G$627,7,0)</f>
        <v>0</v>
      </c>
      <c r="H289" s="4">
        <f t="shared" si="24"/>
        <v>0</v>
      </c>
      <c r="I289" s="11">
        <f t="shared" si="25"/>
        <v>-1.9944666934308656E-16</v>
      </c>
      <c r="J289" s="11">
        <f t="shared" si="26"/>
        <v>-1</v>
      </c>
      <c r="K289" s="11">
        <f t="shared" si="27"/>
        <v>-1</v>
      </c>
      <c r="L289" s="11">
        <f>IF(S289="",((BG289-E289)/E289),((U289-E289)/E289))</f>
        <v>0</v>
      </c>
      <c r="M289" s="3" t="str">
        <f>IF(S289="Churn","Churn",VLOOKUP(A289,'[1]Revenue_Engine_2025 Dec.25'!$C$14:$E$3993,3,0))</f>
        <v>Churn</v>
      </c>
      <c r="N289" s="3" t="str">
        <f>IF(S289="",VLOOKUP(A289,[3]Export!$B$2:$F$417,5,0),"CHURN")</f>
        <v>CHURN</v>
      </c>
      <c r="O289" s="3" t="e">
        <f>(1-N289)*H289</f>
        <v>#VALUE!</v>
      </c>
      <c r="P289" s="3" t="e">
        <f t="shared" si="29"/>
        <v>#VALUE!</v>
      </c>
      <c r="Q289" s="3" t="e">
        <f t="shared" si="28"/>
        <v>#VALUE!</v>
      </c>
      <c r="R289" s="3" t="str">
        <f>IF(S289&lt;&gt;"Churn",VLOOKUP(A289,[3]Export!$B$2:$O$417,8,0),"CHURN")</f>
        <v>CHURN</v>
      </c>
      <c r="S289" s="3" t="s">
        <v>372</v>
      </c>
      <c r="T289" s="3" t="s">
        <v>555</v>
      </c>
      <c r="U289" s="3">
        <v>570.01121200000011</v>
      </c>
      <c r="V289" s="4" t="str" cm="1">
        <f t="array" ref="V289">IFERROR(
    IF(
        MATCH(2,1/((Y289:BH289&lt;&gt;0)*(Y289:BH289&lt;&gt;"")))-MATCH(1,INDEX((Y289:BH289&lt;&gt;0)*(Y289:BH289&lt;&gt;""),0),0)+1 &lt;= 12,
        "No",
        "Yes"
    ),
    "No"
)</f>
        <v>Yes</v>
      </c>
      <c r="W289" s="4" t="str" cm="1">
        <f t="array" ref="W289">IFERROR(
    IF(
        MATCH(2,1/((Y289:BH289&lt;&gt;0)*(Y289:BH289&lt;&gt;"")))-MATCH(1,INDEX((Y289:BH289&lt;&gt;0)*(Y289:BH289&lt;&gt;""),0),0)+1 &lt;= 24,
        "No",
        "Yes"
    ),
    "No"
)</f>
        <v>No</v>
      </c>
      <c r="X289" s="3"/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570.01121200000011</v>
      </c>
      <c r="AP289" s="4">
        <v>570.01121200000011</v>
      </c>
      <c r="AQ289" s="4">
        <v>570.01121200000011</v>
      </c>
      <c r="AR289" s="4">
        <v>570.01121200000011</v>
      </c>
      <c r="AS289" s="4">
        <v>570.01121200000011</v>
      </c>
      <c r="AT289" s="4">
        <v>570.01121200000011</v>
      </c>
      <c r="AU289" s="4">
        <v>570.01121200000011</v>
      </c>
      <c r="AV289" s="4">
        <v>570.01121200000011</v>
      </c>
      <c r="AW289" s="4">
        <v>570.01121200000011</v>
      </c>
      <c r="AX289" s="4">
        <v>570.01121200000011</v>
      </c>
      <c r="AY289" s="4">
        <v>570.01121200000011</v>
      </c>
      <c r="AZ289" s="4">
        <v>570.011212</v>
      </c>
      <c r="BA289" s="4">
        <v>570.011212</v>
      </c>
      <c r="BB289" s="4">
        <v>0</v>
      </c>
      <c r="BC289" s="4">
        <v>0</v>
      </c>
      <c r="BD289" s="4">
        <v>0</v>
      </c>
      <c r="BE289" s="4">
        <v>0</v>
      </c>
      <c r="BF289" s="4">
        <v>0</v>
      </c>
      <c r="BG289" s="4">
        <v>0</v>
      </c>
      <c r="BH289" s="4">
        <v>0</v>
      </c>
      <c r="BJ289" s="9"/>
    </row>
    <row r="290" spans="1:62" x14ac:dyDescent="0.25">
      <c r="A290" s="8" t="s">
        <v>269</v>
      </c>
      <c r="B290" s="8"/>
      <c r="C290" s="7" t="s">
        <v>526</v>
      </c>
      <c r="D290" s="3"/>
      <c r="E290" s="3">
        <f>VLOOKUP(A290,[2]Sheet1!$A$2:$E$627,5,0)</f>
        <v>175.2</v>
      </c>
      <c r="F290" s="3">
        <f>VLOOKUP(A290,[2]Sheet1!$A$2:$F$627,6,0)</f>
        <v>175.2</v>
      </c>
      <c r="G290" s="3">
        <f>VLOOKUP(A290,[2]Sheet1!$A$2:$G$627,7,0)</f>
        <v>0</v>
      </c>
      <c r="H290" s="4">
        <f t="shared" si="24"/>
        <v>175.2</v>
      </c>
      <c r="I290" s="11">
        <f t="shared" si="25"/>
        <v>0</v>
      </c>
      <c r="J290" s="11">
        <f t="shared" si="26"/>
        <v>-1</v>
      </c>
      <c r="K290" s="11">
        <f t="shared" si="27"/>
        <v>-1</v>
      </c>
      <c r="L290" s="11">
        <f>IF(S290="",((BG290-E290)/E290),((U290-E290)/E290))</f>
        <v>0</v>
      </c>
      <c r="M290" s="3" t="str">
        <f>IF(S290="Churn","Churn",VLOOKUP(A290,'[1]Revenue_Engine_2025 Dec.25'!$C$14:$E$3993,3,0))</f>
        <v>Diğer</v>
      </c>
      <c r="N290" s="3">
        <f>IF(S290="",VLOOKUP(A290,[3]Export!$B$2:$F$417,5,0),"CHURN")</f>
        <v>0.31749732068112629</v>
      </c>
      <c r="O290" s="3">
        <f>(1-N290)*H290</f>
        <v>119.57446941666667</v>
      </c>
      <c r="P290" s="3">
        <f t="shared" si="29"/>
        <v>119.57446941666667</v>
      </c>
      <c r="Q290" s="3">
        <f t="shared" si="28"/>
        <v>0</v>
      </c>
      <c r="R290" s="3" t="str">
        <f>IF(S290&lt;&gt;"Churn",VLOOKUP(A290,[3]Export!$B$2:$O$417,8,0),"CHURN")</f>
        <v>NO RISK</v>
      </c>
      <c r="S290" s="3"/>
      <c r="T290" s="3"/>
      <c r="U290" s="3" t="s">
        <v>551</v>
      </c>
      <c r="V290" s="4" t="str" cm="1">
        <f t="array" ref="V290">IFERROR(
    IF(
        MATCH(2,1/((Y290:BH290&lt;&gt;0)*(Y290:BH290&lt;&gt;"")))-MATCH(1,INDEX((Y290:BH290&lt;&gt;0)*(Y290:BH290&lt;&gt;""),0),0)+1 &lt;= 12,
        "No",
        "Yes"
    ),
    "No"
)</f>
        <v>Yes</v>
      </c>
      <c r="W290" s="4" t="str" cm="1">
        <f t="array" ref="W290">IFERROR(
    IF(
        MATCH(2,1/((Y290:BH290&lt;&gt;0)*(Y290:BH290&lt;&gt;"")))-MATCH(1,INDEX((Y290:BH290&lt;&gt;0)*(Y290:BH290&lt;&gt;""),0),0)+1 &lt;= 24,
        "No",
        "Yes"
    ),
    "No"
)</f>
        <v>No</v>
      </c>
      <c r="X290" s="3"/>
      <c r="Y290" s="4">
        <v>0</v>
      </c>
      <c r="Z290" s="4">
        <v>0</v>
      </c>
      <c r="AA290" s="4">
        <v>0</v>
      </c>
      <c r="AB290" s="4">
        <v>0</v>
      </c>
      <c r="AC290" s="4">
        <v>0</v>
      </c>
      <c r="AD290" s="4">
        <v>0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175.2</v>
      </c>
      <c r="AP290" s="4">
        <v>175.2</v>
      </c>
      <c r="AQ290" s="4">
        <v>175.2</v>
      </c>
      <c r="AR290" s="4">
        <v>175.2</v>
      </c>
      <c r="AS290" s="4">
        <v>175.2</v>
      </c>
      <c r="AT290" s="4">
        <v>175.2</v>
      </c>
      <c r="AU290" s="4">
        <v>175.2</v>
      </c>
      <c r="AV290" s="4">
        <v>175.2</v>
      </c>
      <c r="AW290" s="4">
        <v>175.2</v>
      </c>
      <c r="AX290" s="4">
        <v>175.2</v>
      </c>
      <c r="AY290" s="4">
        <v>175.2</v>
      </c>
      <c r="AZ290" s="4">
        <v>175.2</v>
      </c>
      <c r="BA290" s="4">
        <v>175.2</v>
      </c>
      <c r="BB290" s="4">
        <v>175.2</v>
      </c>
      <c r="BC290" s="4">
        <v>175.2</v>
      </c>
      <c r="BD290" s="4">
        <v>175.2</v>
      </c>
      <c r="BE290" s="4">
        <v>175.2</v>
      </c>
      <c r="BF290" s="4">
        <v>175.2</v>
      </c>
      <c r="BG290" s="4">
        <v>175.2</v>
      </c>
      <c r="BH290" s="4">
        <v>175.2</v>
      </c>
      <c r="BJ290" s="9"/>
    </row>
    <row r="291" spans="1:62" x14ac:dyDescent="0.25">
      <c r="A291" s="8" t="s">
        <v>270</v>
      </c>
      <c r="B291" s="8"/>
      <c r="C291" s="7" t="s">
        <v>526</v>
      </c>
      <c r="D291" s="3"/>
      <c r="E291" s="3">
        <f>VLOOKUP(A291,[2]Sheet1!$A$2:$E$627,5,0)</f>
        <v>119.2</v>
      </c>
      <c r="F291" s="3">
        <f>VLOOKUP(A291,[2]Sheet1!$A$2:$F$627,6,0)</f>
        <v>119.2</v>
      </c>
      <c r="G291" s="3">
        <f>VLOOKUP(A291,[2]Sheet1!$A$2:$G$627,7,0)</f>
        <v>0</v>
      </c>
      <c r="H291" s="4">
        <f t="shared" si="24"/>
        <v>119.2</v>
      </c>
      <c r="I291" s="11">
        <f t="shared" si="25"/>
        <v>0</v>
      </c>
      <c r="J291" s="11">
        <f t="shared" si="26"/>
        <v>-1</v>
      </c>
      <c r="K291" s="11">
        <f t="shared" si="27"/>
        <v>-1</v>
      </c>
      <c r="L291" s="11">
        <f>IF(S291="",((BG291-E291)/E291),((U291-E291)/E291))</f>
        <v>0</v>
      </c>
      <c r="M291" s="3" t="str">
        <f>IF(S291="Churn","Churn",VLOOKUP(A291,'[1]Revenue_Engine_2025 Dec.25'!$C$14:$E$3993,3,0))</f>
        <v>Diğer</v>
      </c>
      <c r="N291" s="3">
        <f>IF(S291="",VLOOKUP(A291,[3]Export!$B$2:$F$417,5,0),"CHURN")</f>
        <v>0.31952409395973153</v>
      </c>
      <c r="O291" s="3">
        <f>(1-N291)*H291</f>
        <v>81.112728000000004</v>
      </c>
      <c r="P291" s="3">
        <f t="shared" si="29"/>
        <v>81.112728000000004</v>
      </c>
      <c r="Q291" s="3">
        <f t="shared" si="28"/>
        <v>0</v>
      </c>
      <c r="R291" s="3" t="str">
        <f>IF(S291&lt;&gt;"Churn",VLOOKUP(A291,[3]Export!$B$2:$O$417,8,0),"CHURN")</f>
        <v>NO RISK</v>
      </c>
      <c r="S291" s="3"/>
      <c r="T291" s="3"/>
      <c r="U291" s="3" t="s">
        <v>551</v>
      </c>
      <c r="V291" s="4" t="str" cm="1">
        <f t="array" ref="V291">IFERROR(
    IF(
        MATCH(2,1/((Y291:BH291&lt;&gt;0)*(Y291:BH291&lt;&gt;"")))-MATCH(1,INDEX((Y291:BH291&lt;&gt;0)*(Y291:BH291&lt;&gt;""),0),0)+1 &lt;= 12,
        "No",
        "Yes"
    ),
    "No"
)</f>
        <v>Yes</v>
      </c>
      <c r="W291" s="4" t="str" cm="1">
        <f t="array" ref="W291">IFERROR(
    IF(
        MATCH(2,1/((Y291:BH291&lt;&gt;0)*(Y291:BH291&lt;&gt;"")))-MATCH(1,INDEX((Y291:BH291&lt;&gt;0)*(Y291:BH291&lt;&gt;""),0),0)+1 &lt;= 24,
        "No",
        "Yes"
    ),
    "No"
)</f>
        <v>No</v>
      </c>
      <c r="X291" s="3"/>
      <c r="Y291" s="4">
        <v>0</v>
      </c>
      <c r="Z291" s="4">
        <v>0</v>
      </c>
      <c r="AA291" s="4">
        <v>0</v>
      </c>
      <c r="AB291" s="4">
        <v>0</v>
      </c>
      <c r="AC291" s="4">
        <v>0</v>
      </c>
      <c r="AD291" s="4">
        <v>0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119.2</v>
      </c>
      <c r="AP291" s="4">
        <v>119.2</v>
      </c>
      <c r="AQ291" s="4">
        <v>119.2</v>
      </c>
      <c r="AR291" s="4">
        <v>119.2</v>
      </c>
      <c r="AS291" s="4">
        <v>119.2</v>
      </c>
      <c r="AT291" s="4">
        <v>119.2</v>
      </c>
      <c r="AU291" s="4">
        <v>119.2</v>
      </c>
      <c r="AV291" s="4">
        <v>119.2</v>
      </c>
      <c r="AW291" s="4">
        <v>119.2</v>
      </c>
      <c r="AX291" s="4">
        <v>119.2</v>
      </c>
      <c r="AY291" s="4">
        <v>119.2</v>
      </c>
      <c r="AZ291" s="4">
        <v>119.2</v>
      </c>
      <c r="BA291" s="4">
        <v>119.2</v>
      </c>
      <c r="BB291" s="4">
        <v>119.2</v>
      </c>
      <c r="BC291" s="4">
        <v>119.2</v>
      </c>
      <c r="BD291" s="4">
        <v>119.2</v>
      </c>
      <c r="BE291" s="4">
        <v>119.2</v>
      </c>
      <c r="BF291" s="4">
        <v>119.2</v>
      </c>
      <c r="BG291" s="4">
        <v>119.2</v>
      </c>
      <c r="BH291" s="4">
        <v>119.2</v>
      </c>
      <c r="BJ291" s="9"/>
    </row>
    <row r="292" spans="1:62" x14ac:dyDescent="0.25">
      <c r="A292" s="8" t="s">
        <v>271</v>
      </c>
      <c r="B292" s="8"/>
      <c r="C292" s="7" t="s">
        <v>526</v>
      </c>
      <c r="D292" s="3"/>
      <c r="E292" s="3">
        <f>VLOOKUP(A292,[2]Sheet1!$A$2:$E$627,5,0)</f>
        <v>70</v>
      </c>
      <c r="F292" s="3">
        <f>VLOOKUP(A292,[2]Sheet1!$A$2:$F$627,6,0)</f>
        <v>70</v>
      </c>
      <c r="G292" s="3">
        <f>VLOOKUP(A292,[2]Sheet1!$A$2:$G$627,7,0)</f>
        <v>0</v>
      </c>
      <c r="H292" s="4">
        <f t="shared" si="24"/>
        <v>70</v>
      </c>
      <c r="I292" s="11">
        <f t="shared" si="25"/>
        <v>0</v>
      </c>
      <c r="J292" s="11">
        <f t="shared" si="26"/>
        <v>-1</v>
      </c>
      <c r="K292" s="11">
        <f t="shared" si="27"/>
        <v>-1</v>
      </c>
      <c r="L292" s="11">
        <f>IF(S292="",((BG292-E292)/E292),((U292-E292)/E292))</f>
        <v>0</v>
      </c>
      <c r="M292" s="3" t="str">
        <f>IF(S292="Churn","Churn",VLOOKUP(A292,'[1]Revenue_Engine_2025 Dec.25'!$C$14:$E$3993,3,0))</f>
        <v>Genel</v>
      </c>
      <c r="N292" s="3">
        <f>IF(S292="",VLOOKUP(A292,[3]Export!$B$2:$F$417,5,0),"CHURN")</f>
        <v>0.21428571428571427</v>
      </c>
      <c r="O292" s="3">
        <f>(1-N292)*H292</f>
        <v>55</v>
      </c>
      <c r="P292" s="3">
        <f t="shared" si="29"/>
        <v>55</v>
      </c>
      <c r="Q292" s="3">
        <f t="shared" si="28"/>
        <v>0</v>
      </c>
      <c r="R292" s="3" t="str">
        <f>IF(S292&lt;&gt;"Churn",VLOOKUP(A292,[3]Export!$B$2:$O$417,8,0),"CHURN")</f>
        <v>NO RISK</v>
      </c>
      <c r="S292" s="3"/>
      <c r="T292" s="3"/>
      <c r="U292" s="3" t="s">
        <v>551</v>
      </c>
      <c r="V292" s="4" t="str" cm="1">
        <f t="array" ref="V292">IFERROR(
    IF(
        MATCH(2,1/((Y292:BH292&lt;&gt;0)*(Y292:BH292&lt;&gt;"")))-MATCH(1,INDEX((Y292:BH292&lt;&gt;0)*(Y292:BH292&lt;&gt;""),0),0)+1 &lt;= 12,
        "No",
        "Yes"
    ),
    "No"
)</f>
        <v>Yes</v>
      </c>
      <c r="W292" s="4" t="str" cm="1">
        <f t="array" ref="W292">IFERROR(
    IF(
        MATCH(2,1/((Y292:BH292&lt;&gt;0)*(Y292:BH292&lt;&gt;"")))-MATCH(1,INDEX((Y292:BH292&lt;&gt;0)*(Y292:BH292&lt;&gt;""),0),0)+1 &lt;= 24,
        "No",
        "Yes"
    ),
    "No"
)</f>
        <v>No</v>
      </c>
      <c r="X292" s="3"/>
      <c r="Y292" s="4">
        <v>0</v>
      </c>
      <c r="Z292" s="4">
        <v>0</v>
      </c>
      <c r="AA292" s="4">
        <v>0</v>
      </c>
      <c r="AB292" s="4">
        <v>0</v>
      </c>
      <c r="AC292" s="4">
        <v>0</v>
      </c>
      <c r="AD292" s="4">
        <v>0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70</v>
      </c>
      <c r="AP292" s="4">
        <v>70</v>
      </c>
      <c r="AQ292" s="4">
        <v>70</v>
      </c>
      <c r="AR292" s="4">
        <v>70</v>
      </c>
      <c r="AS292" s="4">
        <v>70</v>
      </c>
      <c r="AT292" s="4">
        <v>70</v>
      </c>
      <c r="AU292" s="4">
        <v>70</v>
      </c>
      <c r="AV292" s="4">
        <v>70</v>
      </c>
      <c r="AW292" s="4">
        <v>70</v>
      </c>
      <c r="AX292" s="4">
        <v>70</v>
      </c>
      <c r="AY292" s="4">
        <v>70</v>
      </c>
      <c r="AZ292" s="4">
        <v>70</v>
      </c>
      <c r="BA292" s="4">
        <v>70</v>
      </c>
      <c r="BB292" s="4">
        <v>70</v>
      </c>
      <c r="BC292" s="4">
        <v>70</v>
      </c>
      <c r="BD292" s="4">
        <v>70</v>
      </c>
      <c r="BE292" s="4">
        <v>70</v>
      </c>
      <c r="BF292" s="4">
        <v>70</v>
      </c>
      <c r="BG292" s="4">
        <v>70</v>
      </c>
      <c r="BH292" s="4">
        <v>70</v>
      </c>
      <c r="BJ292" s="9"/>
    </row>
    <row r="293" spans="1:62" x14ac:dyDescent="0.25">
      <c r="A293" s="8" t="s">
        <v>504</v>
      </c>
      <c r="B293" s="8"/>
      <c r="C293" s="7" t="s">
        <v>526</v>
      </c>
      <c r="D293" s="3"/>
      <c r="E293" s="3">
        <f>VLOOKUP(A293,[2]Sheet1!$A$2:$E$627,5,0)</f>
        <v>155.01000099999999</v>
      </c>
      <c r="F293" s="3">
        <f>VLOOKUP(A293,[2]Sheet1!$A$2:$F$627,6,0)</f>
        <v>0</v>
      </c>
      <c r="G293" s="3">
        <f>VLOOKUP(A293,[2]Sheet1!$A$2:$G$627,7,0)</f>
        <v>0</v>
      </c>
      <c r="H293" s="4">
        <f t="shared" si="24"/>
        <v>0</v>
      </c>
      <c r="I293" s="11">
        <f t="shared" si="25"/>
        <v>-1</v>
      </c>
      <c r="J293" s="11">
        <f t="shared" si="26"/>
        <v>-1</v>
      </c>
      <c r="K293" s="11" t="e">
        <f t="shared" si="27"/>
        <v>#DIV/0!</v>
      </c>
      <c r="L293" s="11">
        <f>IF(S293="",((BG293-E293)/E293),((U293-E293)/E293))</f>
        <v>1.8335403681730192E-16</v>
      </c>
      <c r="M293" s="3" t="str">
        <f>IF(S293="Churn","Churn",VLOOKUP(A293,'[1]Revenue_Engine_2025 Dec.25'!$C$14:$E$3993,3,0))</f>
        <v>Churn</v>
      </c>
      <c r="N293" s="3" t="str">
        <f>IF(S293="",VLOOKUP(A293,[3]Export!$B$2:$F$417,5,0),"CHURN")</f>
        <v>CHURN</v>
      </c>
      <c r="O293" s="3" t="e">
        <f>(1-N293)*H293</f>
        <v>#VALUE!</v>
      </c>
      <c r="P293" s="3" t="e">
        <f t="shared" si="29"/>
        <v>#VALUE!</v>
      </c>
      <c r="Q293" s="3" t="e">
        <f t="shared" si="28"/>
        <v>#VALUE!</v>
      </c>
      <c r="R293" s="3" t="str">
        <f>IF(S293&lt;&gt;"Churn",VLOOKUP(A293,[3]Export!$B$2:$O$417,8,0),"CHURN")</f>
        <v>CHURN</v>
      </c>
      <c r="S293" s="3" t="s">
        <v>372</v>
      </c>
      <c r="T293" s="3" t="s">
        <v>559</v>
      </c>
      <c r="U293" s="3">
        <v>155.01000100000002</v>
      </c>
      <c r="V293" s="4" t="str" cm="1">
        <f t="array" ref="V293">IFERROR(
    IF(
        MATCH(2,1/((Y293:BH293&lt;&gt;0)*(Y293:BH293&lt;&gt;"")))-MATCH(1,INDEX((Y293:BH293&lt;&gt;0)*(Y293:BH293&lt;&gt;""),0),0)+1 &lt;= 12,
        "No",
        "Yes"
    ),
    "No"
)</f>
        <v>No</v>
      </c>
      <c r="W293" s="4" t="str" cm="1">
        <f t="array" ref="W293">IFERROR(
    IF(
        MATCH(2,1/((Y293:BH293&lt;&gt;0)*(Y293:BH293&lt;&gt;"")))-MATCH(1,INDEX((Y293:BH293&lt;&gt;0)*(Y293:BH293&lt;&gt;""),0),0)+1 &lt;= 24,
        "No",
        "Yes"
    ),
    "No"
)</f>
        <v>No</v>
      </c>
      <c r="X293" s="3"/>
      <c r="Y293" s="4">
        <v>0</v>
      </c>
      <c r="Z293" s="4">
        <v>0</v>
      </c>
      <c r="AA293" s="4">
        <v>0</v>
      </c>
      <c r="AB293" s="4">
        <v>0</v>
      </c>
      <c r="AC293" s="4">
        <v>0</v>
      </c>
      <c r="AD293" s="4">
        <v>0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155.01000099999999</v>
      </c>
      <c r="AP293" s="4">
        <v>155.01000099999999</v>
      </c>
      <c r="AQ293" s="4">
        <v>155.01000099999999</v>
      </c>
      <c r="AR293" s="4">
        <v>155.01000099999999</v>
      </c>
      <c r="AS293" s="4">
        <v>155.01000099999999</v>
      </c>
      <c r="AT293" s="4">
        <v>155.01000099999999</v>
      </c>
      <c r="AU293" s="4">
        <v>155.01000099999999</v>
      </c>
      <c r="AV293" s="4">
        <v>155.01000099999999</v>
      </c>
      <c r="AW293" s="4">
        <v>155.01000099999999</v>
      </c>
      <c r="AX293" s="4">
        <v>155.01000099999999</v>
      </c>
      <c r="AY293" s="4">
        <v>155.01000099999999</v>
      </c>
      <c r="AZ293" s="4">
        <v>155.01000100000002</v>
      </c>
      <c r="BA293" s="4">
        <v>0</v>
      </c>
      <c r="BB293" s="4">
        <v>0</v>
      </c>
      <c r="BC293" s="4">
        <v>0</v>
      </c>
      <c r="BD293" s="4">
        <v>0</v>
      </c>
      <c r="BE293" s="4">
        <v>0</v>
      </c>
      <c r="BF293" s="4">
        <v>0</v>
      </c>
      <c r="BG293" s="4">
        <v>0</v>
      </c>
      <c r="BH293" s="4">
        <v>0</v>
      </c>
      <c r="BJ293" s="9"/>
    </row>
    <row r="294" spans="1:62" x14ac:dyDescent="0.25">
      <c r="A294" s="8" t="s">
        <v>272</v>
      </c>
      <c r="B294" s="8"/>
      <c r="C294" s="7" t="s">
        <v>526</v>
      </c>
      <c r="D294" s="3"/>
      <c r="E294" s="3">
        <f>VLOOKUP(A294,[2]Sheet1!$A$2:$E$627,5,0)</f>
        <v>190.000001</v>
      </c>
      <c r="F294" s="3">
        <f>VLOOKUP(A294,[2]Sheet1!$A$2:$F$627,6,0)</f>
        <v>231.813648</v>
      </c>
      <c r="G294" s="3">
        <f>VLOOKUP(A294,[2]Sheet1!$A$2:$G$627,7,0)</f>
        <v>0</v>
      </c>
      <c r="H294" s="4">
        <f t="shared" si="24"/>
        <v>231.813648</v>
      </c>
      <c r="I294" s="11">
        <f t="shared" si="25"/>
        <v>0.22007182515751672</v>
      </c>
      <c r="J294" s="11">
        <f t="shared" si="26"/>
        <v>-1</v>
      </c>
      <c r="K294" s="11">
        <f t="shared" si="27"/>
        <v>-1</v>
      </c>
      <c r="L294" s="11">
        <f>IF(S294="",((BG294-E294)/E294),((U294-E294)/E294))</f>
        <v>0.22007182515751672</v>
      </c>
      <c r="M294" s="3" t="str">
        <f>IF(S294="Churn","Churn",VLOOKUP(A294,'[1]Revenue_Engine_2025 Dec.25'!$C$14:$E$3993,3,0))</f>
        <v>Diğer</v>
      </c>
      <c r="N294" s="3">
        <f>IF(S294="",VLOOKUP(A294,[3]Export!$B$2:$F$417,5,0),"CHURN")</f>
        <v>0.13157120067408629</v>
      </c>
      <c r="O294" s="3">
        <f>(1-N294)*H294</f>
        <v>201.313648</v>
      </c>
      <c r="P294" s="3">
        <f t="shared" si="29"/>
        <v>201.313648</v>
      </c>
      <c r="Q294" s="3">
        <f t="shared" si="28"/>
        <v>0</v>
      </c>
      <c r="R294" s="3" t="str">
        <f>IF(S294&lt;&gt;"Churn",VLOOKUP(A294,[3]Export!$B$2:$O$417,8,0),"CHURN")</f>
        <v>LOW RISK</v>
      </c>
      <c r="S294" s="3"/>
      <c r="T294" s="3"/>
      <c r="U294" s="3" t="s">
        <v>551</v>
      </c>
      <c r="V294" s="4" t="str" cm="1">
        <f t="array" ref="V294">IFERROR(
    IF(
        MATCH(2,1/((Y294:BH294&lt;&gt;0)*(Y294:BH294&lt;&gt;"")))-MATCH(1,INDEX((Y294:BH294&lt;&gt;0)*(Y294:BH294&lt;&gt;""),0),0)+1 &lt;= 12,
        "No",
        "Yes"
    ),
    "No"
)</f>
        <v>Yes</v>
      </c>
      <c r="W294" s="4" t="str" cm="1">
        <f t="array" ref="W294">IFERROR(
    IF(
        MATCH(2,1/((Y294:BH294&lt;&gt;0)*(Y294:BH294&lt;&gt;"")))-MATCH(1,INDEX((Y294:BH294&lt;&gt;0)*(Y294:BH294&lt;&gt;""),0),0)+1 &lt;= 24,
        "No",
        "Yes"
    ),
    "No"
)</f>
        <v>No</v>
      </c>
      <c r="X294" s="3"/>
      <c r="Y294" s="4">
        <v>0</v>
      </c>
      <c r="Z294" s="4">
        <v>0</v>
      </c>
      <c r="AA294" s="4">
        <v>0</v>
      </c>
      <c r="AB294" s="4">
        <v>0</v>
      </c>
      <c r="AC294" s="4">
        <v>0</v>
      </c>
      <c r="AD294" s="4">
        <v>0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190.000001</v>
      </c>
      <c r="AP294" s="4">
        <v>190.000001</v>
      </c>
      <c r="AQ294" s="4">
        <v>190.000001</v>
      </c>
      <c r="AR294" s="4">
        <v>190.000001</v>
      </c>
      <c r="AS294" s="4">
        <v>190.000001</v>
      </c>
      <c r="AT294" s="4">
        <v>190.000001</v>
      </c>
      <c r="AU294" s="4">
        <v>190.000001</v>
      </c>
      <c r="AV294" s="4">
        <v>190.000001</v>
      </c>
      <c r="AW294" s="4">
        <v>231.813648</v>
      </c>
      <c r="AX294" s="4">
        <v>231.813648</v>
      </c>
      <c r="AY294" s="4">
        <v>231.813648</v>
      </c>
      <c r="AZ294" s="4">
        <v>231.813648</v>
      </c>
      <c r="BA294" s="4">
        <v>231.813648</v>
      </c>
      <c r="BB294" s="4">
        <v>231.813648</v>
      </c>
      <c r="BC294" s="4">
        <v>231.813648</v>
      </c>
      <c r="BD294" s="4">
        <v>231.813648</v>
      </c>
      <c r="BE294" s="4">
        <v>231.813648</v>
      </c>
      <c r="BF294" s="4">
        <v>231.813648</v>
      </c>
      <c r="BG294" s="4">
        <v>231.813648</v>
      </c>
      <c r="BH294" s="4">
        <v>231.813648</v>
      </c>
      <c r="BJ294" s="9"/>
    </row>
    <row r="295" spans="1:62" x14ac:dyDescent="0.25">
      <c r="A295" s="8" t="s">
        <v>518</v>
      </c>
      <c r="B295" s="8"/>
      <c r="C295" s="7" t="s">
        <v>526</v>
      </c>
      <c r="D295" s="3"/>
      <c r="E295" s="3">
        <f>VLOOKUP(A295,[2]Sheet1!$A$2:$E$627,5,0)</f>
        <v>77.177499999999995</v>
      </c>
      <c r="F295" s="3">
        <f>VLOOKUP(A295,[2]Sheet1!$A$2:$F$627,6,0)</f>
        <v>0</v>
      </c>
      <c r="G295" s="3">
        <f>VLOOKUP(A295,[2]Sheet1!$A$2:$G$627,7,0)</f>
        <v>0</v>
      </c>
      <c r="H295" s="4">
        <f t="shared" si="24"/>
        <v>0</v>
      </c>
      <c r="I295" s="11">
        <f t="shared" si="25"/>
        <v>-1</v>
      </c>
      <c r="J295" s="11">
        <f t="shared" si="26"/>
        <v>-1</v>
      </c>
      <c r="K295" s="11" t="e">
        <f t="shared" si="27"/>
        <v>#DIV/0!</v>
      </c>
      <c r="L295" s="11">
        <f>IF(S295="",((BG295-E295)/E295),((U295-E295)/E295))</f>
        <v>0</v>
      </c>
      <c r="M295" s="3" t="str">
        <f>IF(S295="Churn","Churn",VLOOKUP(A295,'[1]Revenue_Engine_2025 Dec.25'!$C$14:$E$3993,3,0))</f>
        <v>Churn</v>
      </c>
      <c r="N295" s="3" t="str">
        <f>IF(S295="",VLOOKUP(A295,[3]Export!$B$2:$F$417,5,0),"CHURN")</f>
        <v>CHURN</v>
      </c>
      <c r="O295" s="3" t="e">
        <f>(1-N295)*H295</f>
        <v>#VALUE!</v>
      </c>
      <c r="P295" s="3" t="e">
        <f t="shared" si="29"/>
        <v>#VALUE!</v>
      </c>
      <c r="Q295" s="3" t="e">
        <f t="shared" si="28"/>
        <v>#VALUE!</v>
      </c>
      <c r="R295" s="3" t="str">
        <f>IF(S295&lt;&gt;"Churn",VLOOKUP(A295,[3]Export!$B$2:$O$417,8,0),"CHURN")</f>
        <v>CHURN</v>
      </c>
      <c r="S295" s="3" t="s">
        <v>372</v>
      </c>
      <c r="T295" s="3" t="s">
        <v>559</v>
      </c>
      <c r="U295" s="3">
        <v>77.177499999999995</v>
      </c>
      <c r="V295" s="4" t="str" cm="1">
        <f t="array" ref="V295">IFERROR(
    IF(
        MATCH(2,1/((Y295:BH295&lt;&gt;0)*(Y295:BH295&lt;&gt;"")))-MATCH(1,INDEX((Y295:BH295&lt;&gt;0)*(Y295:BH295&lt;&gt;""),0),0)+1 &lt;= 12,
        "No",
        "Yes"
    ),
    "No"
)</f>
        <v>No</v>
      </c>
      <c r="W295" s="4" t="str" cm="1">
        <f t="array" ref="W295">IFERROR(
    IF(
        MATCH(2,1/((Y295:BH295&lt;&gt;0)*(Y295:BH295&lt;&gt;"")))-MATCH(1,INDEX((Y295:BH295&lt;&gt;0)*(Y295:BH295&lt;&gt;""),0),0)+1 &lt;= 24,
        "No",
        "Yes"
    ),
    "No"
)</f>
        <v>No</v>
      </c>
      <c r="X295" s="3"/>
      <c r="Y295" s="4">
        <v>0</v>
      </c>
      <c r="Z295" s="4">
        <v>0</v>
      </c>
      <c r="AA295" s="4">
        <v>0</v>
      </c>
      <c r="AB295" s="4">
        <v>0</v>
      </c>
      <c r="AC295" s="4">
        <v>0</v>
      </c>
      <c r="AD295" s="4">
        <v>0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77.177499999999995</v>
      </c>
      <c r="AP295" s="4">
        <v>77.177499999999995</v>
      </c>
      <c r="AQ295" s="4">
        <v>77.177499999999995</v>
      </c>
      <c r="AR295" s="4">
        <v>77.177499999999995</v>
      </c>
      <c r="AS295" s="4">
        <v>77.177499999999995</v>
      </c>
      <c r="AT295" s="4">
        <v>77.177499999999995</v>
      </c>
      <c r="AU295" s="4">
        <v>77.177499999999995</v>
      </c>
      <c r="AV295" s="4">
        <v>77.177499999999995</v>
      </c>
      <c r="AW295" s="4">
        <v>77.177499999999995</v>
      </c>
      <c r="AX295" s="4">
        <v>77.177499999999995</v>
      </c>
      <c r="AY295" s="4">
        <v>77.177499999999995</v>
      </c>
      <c r="AZ295" s="4">
        <v>77.177499999999995</v>
      </c>
      <c r="BA295" s="4">
        <v>0</v>
      </c>
      <c r="BB295" s="4">
        <v>0</v>
      </c>
      <c r="BC295" s="4">
        <v>0</v>
      </c>
      <c r="BD295" s="4">
        <v>0</v>
      </c>
      <c r="BE295" s="4">
        <v>0</v>
      </c>
      <c r="BF295" s="4">
        <v>0</v>
      </c>
      <c r="BG295" s="4">
        <v>0</v>
      </c>
      <c r="BH295" s="4">
        <v>0</v>
      </c>
      <c r="BJ295" s="9"/>
    </row>
    <row r="296" spans="1:62" x14ac:dyDescent="0.25">
      <c r="A296" s="8" t="s">
        <v>273</v>
      </c>
      <c r="B296" s="8"/>
      <c r="C296" s="7" t="s">
        <v>526</v>
      </c>
      <c r="D296" s="3"/>
      <c r="E296" s="3">
        <f>VLOOKUP(A296,[2]Sheet1!$A$2:$E$627,5,0)</f>
        <v>103.19999999999999</v>
      </c>
      <c r="F296" s="3">
        <f>VLOOKUP(A296,[2]Sheet1!$A$2:$F$627,6,0)</f>
        <v>106.19999999999999</v>
      </c>
      <c r="G296" s="3">
        <f>VLOOKUP(A296,[2]Sheet1!$A$2:$G$627,7,0)</f>
        <v>0</v>
      </c>
      <c r="H296" s="4">
        <f t="shared" si="24"/>
        <v>106.19999999999999</v>
      </c>
      <c r="I296" s="11">
        <f t="shared" si="25"/>
        <v>2.9069767441860468E-2</v>
      </c>
      <c r="J296" s="11">
        <f t="shared" si="26"/>
        <v>-1</v>
      </c>
      <c r="K296" s="11">
        <f t="shared" si="27"/>
        <v>-1</v>
      </c>
      <c r="L296" s="11">
        <f>IF(S296="",((BG296-E296)/E296),((U296-E296)/E296))</f>
        <v>2.9069767441860468E-2</v>
      </c>
      <c r="M296" s="3" t="str">
        <f>IF(S296="Churn","Churn",VLOOKUP(A296,'[1]Revenue_Engine_2025 Dec.25'!$C$14:$E$3993,3,0))</f>
        <v>Diğer</v>
      </c>
      <c r="N296" s="3">
        <f>IF(S296="",VLOOKUP(A296,[3]Export!$B$2:$F$417,5,0),"CHURN")</f>
        <v>0.26714195150659126</v>
      </c>
      <c r="O296" s="3">
        <f>(1-N296)*H296</f>
        <v>77.829524750000004</v>
      </c>
      <c r="P296" s="3">
        <f t="shared" si="29"/>
        <v>77.829524750000004</v>
      </c>
      <c r="Q296" s="3">
        <f t="shared" si="28"/>
        <v>0</v>
      </c>
      <c r="R296" s="3" t="str">
        <f>IF(S296&lt;&gt;"Churn",VLOOKUP(A296,[3]Export!$B$2:$O$417,8,0),"CHURN")</f>
        <v>NO RISK</v>
      </c>
      <c r="S296" s="3"/>
      <c r="T296" s="3"/>
      <c r="U296" s="3" t="s">
        <v>551</v>
      </c>
      <c r="V296" s="4" t="str" cm="1">
        <f t="array" ref="V296">IFERROR(
    IF(
        MATCH(2,1/((Y296:BH296&lt;&gt;0)*(Y296:BH296&lt;&gt;"")))-MATCH(1,INDEX((Y296:BH296&lt;&gt;0)*(Y296:BH296&lt;&gt;""),0),0)+1 &lt;= 12,
        "No",
        "Yes"
    ),
    "No"
)</f>
        <v>Yes</v>
      </c>
      <c r="W296" s="4" t="str" cm="1">
        <f t="array" ref="W296">IFERROR(
    IF(
        MATCH(2,1/((Y296:BH296&lt;&gt;0)*(Y296:BH296&lt;&gt;"")))-MATCH(1,INDEX((Y296:BH296&lt;&gt;0)*(Y296:BH296&lt;&gt;""),0),0)+1 &lt;= 24,
        "No",
        "Yes"
    ),
    "No"
)</f>
        <v>No</v>
      </c>
      <c r="X296" s="3"/>
      <c r="Y296" s="4">
        <v>0</v>
      </c>
      <c r="Z296" s="4">
        <v>0</v>
      </c>
      <c r="AA296" s="4">
        <v>0</v>
      </c>
      <c r="AB296" s="4">
        <v>0</v>
      </c>
      <c r="AC296" s="4">
        <v>0</v>
      </c>
      <c r="AD296" s="4">
        <v>0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103.19999999999999</v>
      </c>
      <c r="AP296" s="4">
        <v>103.19999999999999</v>
      </c>
      <c r="AQ296" s="4">
        <v>103.19999999999999</v>
      </c>
      <c r="AR296" s="4">
        <v>103.19999999999999</v>
      </c>
      <c r="AS296" s="4">
        <v>103.19999999999999</v>
      </c>
      <c r="AT296" s="4">
        <v>103.19999999999999</v>
      </c>
      <c r="AU296" s="4">
        <v>103.19999999999999</v>
      </c>
      <c r="AV296" s="4">
        <v>103.19999999999999</v>
      </c>
      <c r="AW296" s="4">
        <v>103.19999999999999</v>
      </c>
      <c r="AX296" s="4">
        <v>106.19999999999999</v>
      </c>
      <c r="AY296" s="4">
        <v>106.19999999999999</v>
      </c>
      <c r="AZ296" s="4">
        <v>106.19999999999999</v>
      </c>
      <c r="BA296" s="4">
        <v>106.19999999999999</v>
      </c>
      <c r="BB296" s="4">
        <v>106.19999999999999</v>
      </c>
      <c r="BC296" s="4">
        <v>106.19999999999999</v>
      </c>
      <c r="BD296" s="4">
        <v>106.19999999999999</v>
      </c>
      <c r="BE296" s="4">
        <v>106.19999999999999</v>
      </c>
      <c r="BF296" s="4">
        <v>106.19999999999999</v>
      </c>
      <c r="BG296" s="4">
        <v>106.19999999999999</v>
      </c>
      <c r="BH296" s="4">
        <v>106.19999999999999</v>
      </c>
      <c r="BJ296" s="9"/>
    </row>
    <row r="297" spans="1:62" x14ac:dyDescent="0.25">
      <c r="A297" s="8" t="s">
        <v>453</v>
      </c>
      <c r="B297" s="8"/>
      <c r="C297" s="7" t="s">
        <v>526</v>
      </c>
      <c r="D297" s="3"/>
      <c r="E297" s="3">
        <f>VLOOKUP(A297,[2]Sheet1!$A$2:$E$627,5,0)</f>
        <v>119.20083333333334</v>
      </c>
      <c r="F297" s="3">
        <f>VLOOKUP(A297,[2]Sheet1!$A$2:$F$627,6,0)</f>
        <v>119.20000533333334</v>
      </c>
      <c r="G297" s="3">
        <f>VLOOKUP(A297,[2]Sheet1!$A$2:$G$627,7,0)</f>
        <v>0</v>
      </c>
      <c r="H297" s="4">
        <f t="shared" si="24"/>
        <v>119.20000533333334</v>
      </c>
      <c r="I297" s="11">
        <f t="shared" si="25"/>
        <v>-6.9462601631573875E-6</v>
      </c>
      <c r="J297" s="11">
        <f t="shared" si="26"/>
        <v>-1</v>
      </c>
      <c r="K297" s="11">
        <f t="shared" si="27"/>
        <v>-1</v>
      </c>
      <c r="L297" s="11">
        <f>IF(S297="",((BG297-E297)/E297),((U297-E297)/E297))</f>
        <v>-6.9462601631573875E-6</v>
      </c>
      <c r="M297" s="3" t="str">
        <f>IF(S297="Churn","Churn",VLOOKUP(A297,'[1]Revenue_Engine_2025 Dec.25'!$C$14:$E$3993,3,0))</f>
        <v>Diğer</v>
      </c>
      <c r="N297" s="3">
        <v>0</v>
      </c>
      <c r="O297" s="3">
        <f>(1-N297)*H297</f>
        <v>119.20000533333334</v>
      </c>
      <c r="P297" s="3">
        <f t="shared" si="29"/>
        <v>119.20000533333334</v>
      </c>
      <c r="Q297" s="3">
        <f t="shared" si="28"/>
        <v>0</v>
      </c>
      <c r="R297" t="s">
        <v>374</v>
      </c>
      <c r="S297" s="3"/>
      <c r="T297" s="3"/>
      <c r="U297" s="3" t="s">
        <v>551</v>
      </c>
      <c r="V297" s="4" t="str" cm="1">
        <f t="array" ref="V297">IFERROR(
    IF(
        MATCH(2,1/((Y297:BH297&lt;&gt;0)*(Y297:BH297&lt;&gt;"")))-MATCH(1,INDEX((Y297:BH297&lt;&gt;0)*(Y297:BH297&lt;&gt;""),0),0)+1 &lt;= 12,
        "No",
        "Yes"
    ),
    "No"
)</f>
        <v>Yes</v>
      </c>
      <c r="W297" s="4" t="str" cm="1">
        <f t="array" ref="W297">IFERROR(
    IF(
        MATCH(2,1/((Y297:BH297&lt;&gt;0)*(Y297:BH297&lt;&gt;"")))-MATCH(1,INDEX((Y297:BH297&lt;&gt;0)*(Y297:BH297&lt;&gt;""),0),0)+1 &lt;= 24,
        "No",
        "Yes"
    ),
    "No"
)</f>
        <v>No</v>
      </c>
      <c r="X297" s="3"/>
      <c r="Y297" s="4">
        <v>0</v>
      </c>
      <c r="Z297" s="4">
        <v>0</v>
      </c>
      <c r="AA297" s="4">
        <v>0</v>
      </c>
      <c r="AB297" s="4">
        <v>0</v>
      </c>
      <c r="AC297" s="4">
        <v>0</v>
      </c>
      <c r="AD297" s="4">
        <v>0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119.20083333333334</v>
      </c>
      <c r="AP297" s="4">
        <v>119.20000533333334</v>
      </c>
      <c r="AQ297" s="4">
        <v>119.20000533333334</v>
      </c>
      <c r="AR297" s="4">
        <v>119.20000533333334</v>
      </c>
      <c r="AS297" s="4">
        <v>119.20000533333334</v>
      </c>
      <c r="AT297" s="4">
        <v>119.20000533333334</v>
      </c>
      <c r="AU297" s="4">
        <v>119.20000533333334</v>
      </c>
      <c r="AV297" s="4">
        <v>119.20000533333334</v>
      </c>
      <c r="AW297" s="4">
        <v>119.20000533333334</v>
      </c>
      <c r="AX297" s="4">
        <v>119.20000533333334</v>
      </c>
      <c r="AY297" s="4">
        <v>119.20000533333334</v>
      </c>
      <c r="AZ297" s="4">
        <v>119.20000533333334</v>
      </c>
      <c r="BA297" s="4">
        <v>119.20000533333334</v>
      </c>
      <c r="BB297" s="4">
        <v>119.20000533333334</v>
      </c>
      <c r="BC297" s="4">
        <v>119.20000533333334</v>
      </c>
      <c r="BD297" s="4">
        <v>119.20000533333334</v>
      </c>
      <c r="BE297" s="4">
        <v>119.20000533333334</v>
      </c>
      <c r="BF297" s="4">
        <v>119.20000533333334</v>
      </c>
      <c r="BG297" s="4">
        <v>119.20000533333334</v>
      </c>
      <c r="BH297" s="4">
        <v>119.20000533333334</v>
      </c>
      <c r="BJ297" s="9"/>
    </row>
    <row r="298" spans="1:62" x14ac:dyDescent="0.25">
      <c r="A298" s="8" t="s">
        <v>274</v>
      </c>
      <c r="B298" s="8"/>
      <c r="C298" s="7" t="s">
        <v>525</v>
      </c>
      <c r="D298" s="3"/>
      <c r="E298" s="3">
        <f>VLOOKUP(A298,[2]Sheet1!$A$2:$E$627,5,0)</f>
        <v>37183.503359423281</v>
      </c>
      <c r="F298" s="3">
        <f>VLOOKUP(A298,[2]Sheet1!$A$2:$F$627,6,0)</f>
        <v>60452.734651856998</v>
      </c>
      <c r="G298" s="3">
        <f>VLOOKUP(A298,[2]Sheet1!$A$2:$G$627,7,0)</f>
        <v>0</v>
      </c>
      <c r="H298" s="4">
        <f t="shared" si="24"/>
        <v>54010.769277735119</v>
      </c>
      <c r="I298" s="11">
        <f t="shared" si="25"/>
        <v>0.62579448384700631</v>
      </c>
      <c r="J298" s="11">
        <f t="shared" si="26"/>
        <v>-1</v>
      </c>
      <c r="K298" s="11">
        <f t="shared" si="27"/>
        <v>-1</v>
      </c>
      <c r="L298" s="11">
        <f>IF(S298="",((BG298-E298)/E298),((U298-E298)/E298))</f>
        <v>0.38503282726973354</v>
      </c>
      <c r="M298" s="3" t="str">
        <f>IF(S298="Churn","Churn",VLOOKUP(A298,'[1]Revenue_Engine_2025 Dec.25'!$C$14:$E$3993,3,0))</f>
        <v>Üretim</v>
      </c>
      <c r="N298" s="3">
        <v>0</v>
      </c>
      <c r="O298" s="3">
        <f>(1-N298)*H298</f>
        <v>54010.769277735119</v>
      </c>
      <c r="P298" s="3">
        <f t="shared" si="29"/>
        <v>60452.734651856998</v>
      </c>
      <c r="Q298" s="3">
        <f t="shared" si="28"/>
        <v>0</v>
      </c>
      <c r="R298" s="3" t="s">
        <v>546</v>
      </c>
      <c r="S298" s="3"/>
      <c r="T298" s="3"/>
      <c r="U298" s="3" t="s">
        <v>551</v>
      </c>
      <c r="V298" s="4" t="str" cm="1">
        <f t="array" ref="V298">IFERROR(
    IF(
        MATCH(2,1/((Y298:BH298&lt;&gt;0)*(Y298:BH298&lt;&gt;"")))-MATCH(1,INDEX((Y298:BH298&lt;&gt;0)*(Y298:BH298&lt;&gt;""),0),0)+1 &lt;= 12,
        "No",
        "Yes"
    ),
    "No"
)</f>
        <v>Yes</v>
      </c>
      <c r="W298" s="4" t="str" cm="1">
        <f t="array" ref="W298">IFERROR(
    IF(
        MATCH(2,1/((Y298:BH298&lt;&gt;0)*(Y298:BH298&lt;&gt;"")))-MATCH(1,INDEX((Y298:BH298&lt;&gt;0)*(Y298:BH298&lt;&gt;""),0),0)+1 &lt;= 24,
        "No",
        "Yes"
    ),
    "No"
)</f>
        <v>No</v>
      </c>
      <c r="X298" s="3"/>
      <c r="Y298" s="4">
        <v>0</v>
      </c>
      <c r="Z298" s="4">
        <v>0</v>
      </c>
      <c r="AA298" s="4">
        <v>0</v>
      </c>
      <c r="AB298" s="4">
        <v>0</v>
      </c>
      <c r="AC298" s="4">
        <v>0</v>
      </c>
      <c r="AD298" s="4">
        <v>0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19597.421759726643</v>
      </c>
      <c r="AP298" s="4">
        <v>32740.533581377014</v>
      </c>
      <c r="AQ298" s="4">
        <v>37183.503359423281</v>
      </c>
      <c r="AR298" s="4">
        <v>46992.87471775899</v>
      </c>
      <c r="AS298" s="4">
        <v>56495.453394347365</v>
      </c>
      <c r="AT298" s="4">
        <v>60344.095965256791</v>
      </c>
      <c r="AU298" s="4">
        <v>61022.814252577838</v>
      </c>
      <c r="AV298" s="4">
        <v>63032.192259646792</v>
      </c>
      <c r="AW298" s="4">
        <v>62259.784970511049</v>
      </c>
      <c r="AX298" s="4">
        <v>58520.385109043084</v>
      </c>
      <c r="AY298" s="4">
        <v>52801.391505545209</v>
      </c>
      <c r="AZ298" s="4">
        <v>49019.096163509275</v>
      </c>
      <c r="BA298" s="4">
        <v>60452.734651856998</v>
      </c>
      <c r="BB298" s="4">
        <v>59288.375954494484</v>
      </c>
      <c r="BC298" s="4">
        <v>52377.057937473823</v>
      </c>
      <c r="BD298" s="4">
        <v>53068.867493664926</v>
      </c>
      <c r="BE298" s="4">
        <v>52640.973836010533</v>
      </c>
      <c r="BF298" s="4">
        <v>51835.846696208384</v>
      </c>
      <c r="BG298" s="4">
        <v>51500.372785695661</v>
      </c>
      <c r="BH298" s="4">
        <v>54010.769277735119</v>
      </c>
      <c r="BJ298" s="9"/>
    </row>
    <row r="299" spans="1:62" x14ac:dyDescent="0.25">
      <c r="A299" s="8" t="s">
        <v>275</v>
      </c>
      <c r="B299" s="8"/>
      <c r="C299" s="7" t="s">
        <v>526</v>
      </c>
      <c r="D299" s="3"/>
      <c r="E299" s="3">
        <f>VLOOKUP(A299,[2]Sheet1!$A$2:$E$627,5,0)</f>
        <v>308.00123923535608</v>
      </c>
      <c r="F299" s="3">
        <f>VLOOKUP(A299,[2]Sheet1!$A$2:$F$627,6,0)</f>
        <v>355.98861853531025</v>
      </c>
      <c r="G299" s="3">
        <f>VLOOKUP(A299,[2]Sheet1!$A$2:$G$627,7,0)</f>
        <v>0</v>
      </c>
      <c r="H299" s="4">
        <f t="shared" si="24"/>
        <v>335.5198040564344</v>
      </c>
      <c r="I299" s="11">
        <f t="shared" si="25"/>
        <v>0.15580255267507248</v>
      </c>
      <c r="J299" s="11">
        <f t="shared" si="26"/>
        <v>-1</v>
      </c>
      <c r="K299" s="11">
        <f t="shared" si="27"/>
        <v>-1</v>
      </c>
      <c r="L299" s="11">
        <f>IF(S299="",((BG299-E299)/E299),((U299-E299)/E299))</f>
        <v>7.7909425628016934E-2</v>
      </c>
      <c r="M299" s="3" t="str">
        <f>IF(S299="Churn","Churn",VLOOKUP(A299,'[1]Revenue_Engine_2025 Dec.25'!$C$14:$E$3993,3,0))</f>
        <v>Diğer</v>
      </c>
      <c r="N299" s="3">
        <f>IF(S299="",VLOOKUP(A299,[3]Export!$B$2:$F$417,5,0),"CHURN")</f>
        <v>0.35979928571428582</v>
      </c>
      <c r="O299" s="3">
        <f>(1-N299)*H299</f>
        <v>214.80001821393219</v>
      </c>
      <c r="P299" s="3">
        <f t="shared" si="29"/>
        <v>227.90416786389028</v>
      </c>
      <c r="Q299" s="3">
        <f t="shared" si="28"/>
        <v>0</v>
      </c>
      <c r="R299" s="3" t="str">
        <f>IF(S299&lt;&gt;"Churn",VLOOKUP(A299,[3]Export!$B$2:$O$417,8,0),"CHURN")</f>
        <v>NO RISK</v>
      </c>
      <c r="S299" s="3"/>
      <c r="T299" s="3"/>
      <c r="U299" s="3" t="s">
        <v>551</v>
      </c>
      <c r="V299" s="4" t="str" cm="1">
        <f t="array" ref="V299">IFERROR(
    IF(
        MATCH(2,1/((Y299:BH299&lt;&gt;0)*(Y299:BH299&lt;&gt;"")))-MATCH(1,INDEX((Y299:BH299&lt;&gt;0)*(Y299:BH299&lt;&gt;""),0),0)+1 &lt;= 12,
        "No",
        "Yes"
    ),
    "No"
)</f>
        <v>Yes</v>
      </c>
      <c r="W299" s="4" t="str" cm="1">
        <f t="array" ref="W299">IFERROR(
    IF(
        MATCH(2,1/((Y299:BH299&lt;&gt;0)*(Y299:BH299&lt;&gt;"")))-MATCH(1,INDEX((Y299:BH299&lt;&gt;0)*(Y299:BH299&lt;&gt;""),0),0)+1 &lt;= 24,
        "No",
        "Yes"
    ),
    "No"
)</f>
        <v>No</v>
      </c>
      <c r="X299" s="3"/>
      <c r="Y299" s="4">
        <v>0</v>
      </c>
      <c r="Z299" s="4">
        <v>0</v>
      </c>
      <c r="AA299" s="4">
        <v>0</v>
      </c>
      <c r="AB299" s="4">
        <v>0</v>
      </c>
      <c r="AC299" s="4">
        <v>0</v>
      </c>
      <c r="AD299" s="4">
        <v>0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4">
        <v>308.00123923535608</v>
      </c>
      <c r="AQ299" s="4">
        <v>304.43344733605494</v>
      </c>
      <c r="AR299" s="4">
        <v>297.87967551220413</v>
      </c>
      <c r="AS299" s="4">
        <v>294.4692613753482</v>
      </c>
      <c r="AT299" s="4">
        <v>292.64836350294257</v>
      </c>
      <c r="AU299" s="4">
        <v>291.03522500662103</v>
      </c>
      <c r="AV299" s="4">
        <v>286.50994862160053</v>
      </c>
      <c r="AW299" s="4">
        <v>282.19091443265512</v>
      </c>
      <c r="AX299" s="4">
        <v>277.21639886867985</v>
      </c>
      <c r="AY299" s="4">
        <v>270.300207178363</v>
      </c>
      <c r="AZ299" s="4">
        <v>263.07964828222134</v>
      </c>
      <c r="BA299" s="4">
        <v>258.66928702333718</v>
      </c>
      <c r="BB299" s="4">
        <v>355.98861853531025</v>
      </c>
      <c r="BC299" s="4">
        <v>349.14111286235863</v>
      </c>
      <c r="BD299" s="4">
        <v>343.76411888345416</v>
      </c>
      <c r="BE299" s="4">
        <v>339.60305254629515</v>
      </c>
      <c r="BF299" s="4">
        <v>335.5198040564344</v>
      </c>
      <c r="BG299" s="4">
        <v>331.99743887690011</v>
      </c>
      <c r="BH299" s="4">
        <v>328.76120429925726</v>
      </c>
      <c r="BJ299" s="9"/>
    </row>
    <row r="300" spans="1:62" x14ac:dyDescent="0.25">
      <c r="A300" s="8" t="s">
        <v>276</v>
      </c>
      <c r="B300" s="8"/>
      <c r="C300" s="7" t="s">
        <v>526</v>
      </c>
      <c r="D300" s="3"/>
      <c r="E300" s="3">
        <f>VLOOKUP(A300,[2]Sheet1!$A$2:$E$627,5,0)</f>
        <v>475</v>
      </c>
      <c r="F300" s="3">
        <f>VLOOKUP(A300,[2]Sheet1!$A$2:$F$627,6,0)</f>
        <v>474.995318</v>
      </c>
      <c r="G300" s="3">
        <f>VLOOKUP(A300,[2]Sheet1!$A$2:$G$627,7,0)</f>
        <v>0</v>
      </c>
      <c r="H300" s="4">
        <f t="shared" si="24"/>
        <v>474.995318</v>
      </c>
      <c r="I300" s="11">
        <f t="shared" si="25"/>
        <v>-9.8568421052684586E-6</v>
      </c>
      <c r="J300" s="11">
        <f t="shared" si="26"/>
        <v>-1</v>
      </c>
      <c r="K300" s="11">
        <f t="shared" si="27"/>
        <v>-1</v>
      </c>
      <c r="L300" s="11">
        <f>IF(S300="",((BG300-E300)/E300),((U300-E300)/E300))</f>
        <v>-9.8568421052684586E-6</v>
      </c>
      <c r="M300" s="3" t="str">
        <f>IF(S300="Churn","Churn",VLOOKUP(A300,'[1]Revenue_Engine_2025 Dec.25'!$C$14:$E$3993,3,0))</f>
        <v>Üretim</v>
      </c>
      <c r="N300" s="3">
        <f>IF(S300="",VLOOKUP(A300,[3]Export!$B$2:$F$417,5,0),"CHURN")</f>
        <v>0.17473856447570291</v>
      </c>
      <c r="O300" s="3">
        <f>(1-N300)*H300</f>
        <v>391.995318</v>
      </c>
      <c r="P300" s="3">
        <f t="shared" si="29"/>
        <v>391.995318</v>
      </c>
      <c r="Q300" s="3">
        <f t="shared" si="28"/>
        <v>0</v>
      </c>
      <c r="R300" s="3" t="str">
        <f>IF(S300&lt;&gt;"Churn",VLOOKUP(A300,[3]Export!$B$2:$O$417,8,0),"CHURN")</f>
        <v>NO RISK</v>
      </c>
      <c r="S300" s="3"/>
      <c r="T300" s="3"/>
      <c r="U300" s="3" t="s">
        <v>551</v>
      </c>
      <c r="V300" s="4" t="str" cm="1">
        <f t="array" ref="V300">IFERROR(
    IF(
        MATCH(2,1/((Y300:BH300&lt;&gt;0)*(Y300:BH300&lt;&gt;"")))-MATCH(1,INDEX((Y300:BH300&lt;&gt;0)*(Y300:BH300&lt;&gt;""),0),0)+1 &lt;= 12,
        "No",
        "Yes"
    ),
    "No"
)</f>
        <v>Yes</v>
      </c>
      <c r="W300" s="4" t="str" cm="1">
        <f t="array" ref="W300">IFERROR(
    IF(
        MATCH(2,1/((Y300:BH300&lt;&gt;0)*(Y300:BH300&lt;&gt;"")))-MATCH(1,INDEX((Y300:BH300&lt;&gt;0)*(Y300:BH300&lt;&gt;""),0),0)+1 &lt;= 24,
        "No",
        "Yes"
    ),
    "No"
)</f>
        <v>No</v>
      </c>
      <c r="X300" s="3"/>
      <c r="Y300" s="4">
        <v>0</v>
      </c>
      <c r="Z300" s="4">
        <v>0</v>
      </c>
      <c r="AA300" s="4">
        <v>0</v>
      </c>
      <c r="AB300" s="4">
        <v>0</v>
      </c>
      <c r="AC300" s="4">
        <v>0</v>
      </c>
      <c r="AD300" s="4">
        <v>0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4">
        <v>475</v>
      </c>
      <c r="AQ300" s="4">
        <v>475</v>
      </c>
      <c r="AR300" s="4">
        <v>475</v>
      </c>
      <c r="AS300" s="4">
        <v>475</v>
      </c>
      <c r="AT300" s="4">
        <v>475</v>
      </c>
      <c r="AU300" s="4">
        <v>475</v>
      </c>
      <c r="AV300" s="4">
        <v>475</v>
      </c>
      <c r="AW300" s="4">
        <v>475</v>
      </c>
      <c r="AX300" s="4">
        <v>475</v>
      </c>
      <c r="AY300" s="4">
        <v>474.995318</v>
      </c>
      <c r="AZ300" s="4">
        <v>474.99531799999994</v>
      </c>
      <c r="BA300" s="4">
        <v>474.995318</v>
      </c>
      <c r="BB300" s="4">
        <v>474.995318</v>
      </c>
      <c r="BC300" s="4">
        <v>474.995318</v>
      </c>
      <c r="BD300" s="4">
        <v>474.995318</v>
      </c>
      <c r="BE300" s="4">
        <v>474.995318</v>
      </c>
      <c r="BF300" s="4">
        <v>474.995318</v>
      </c>
      <c r="BG300" s="4">
        <v>474.995318</v>
      </c>
      <c r="BH300" s="4">
        <v>474.995318</v>
      </c>
      <c r="BJ300" s="9"/>
    </row>
    <row r="301" spans="1:62" x14ac:dyDescent="0.25">
      <c r="A301" s="8" t="s">
        <v>277</v>
      </c>
      <c r="B301" s="8"/>
      <c r="C301" s="7" t="s">
        <v>526</v>
      </c>
      <c r="D301" s="3"/>
      <c r="E301" s="3">
        <f>VLOOKUP(A301,[2]Sheet1!$A$2:$E$627,5,0)</f>
        <v>85.967129</v>
      </c>
      <c r="F301" s="3">
        <f>VLOOKUP(A301,[2]Sheet1!$A$2:$F$627,6,0)</f>
        <v>85.967129</v>
      </c>
      <c r="G301" s="3">
        <f>VLOOKUP(A301,[2]Sheet1!$A$2:$G$627,7,0)</f>
        <v>0</v>
      </c>
      <c r="H301" s="4">
        <f t="shared" si="24"/>
        <v>85.967129</v>
      </c>
      <c r="I301" s="11">
        <f t="shared" si="25"/>
        <v>0</v>
      </c>
      <c r="J301" s="11">
        <f t="shared" si="26"/>
        <v>-1</v>
      </c>
      <c r="K301" s="11">
        <f t="shared" si="27"/>
        <v>-1</v>
      </c>
      <c r="L301" s="11">
        <f>IF(S301="",((BG301-E301)/E301),((U301-E301)/E301))</f>
        <v>0</v>
      </c>
      <c r="M301" s="3" t="str">
        <f>IF(S301="Churn","Churn",VLOOKUP(A301,'[1]Revenue_Engine_2025 Dec.25'!$C$14:$E$3993,3,0))</f>
        <v>Diğer</v>
      </c>
      <c r="N301" s="3">
        <f>IF(S301="",VLOOKUP(A301,[3]Export!$B$2:$F$417,5,0),"CHURN")</f>
        <v>0.30188356063397215</v>
      </c>
      <c r="O301" s="3">
        <f>(1-N301)*H301</f>
        <v>60.015065999999997</v>
      </c>
      <c r="P301" s="3">
        <f t="shared" si="29"/>
        <v>60.015065999999997</v>
      </c>
      <c r="Q301" s="3">
        <f t="shared" si="28"/>
        <v>0</v>
      </c>
      <c r="R301" s="3" t="str">
        <f>IF(S301&lt;&gt;"Churn",VLOOKUP(A301,[3]Export!$B$2:$O$417,8,0),"CHURN")</f>
        <v>NO RISK</v>
      </c>
      <c r="S301" s="3"/>
      <c r="T301" s="3"/>
      <c r="U301" s="3" t="s">
        <v>551</v>
      </c>
      <c r="V301" s="4" t="str" cm="1">
        <f t="array" ref="V301">IFERROR(
    IF(
        MATCH(2,1/((Y301:BH301&lt;&gt;0)*(Y301:BH301&lt;&gt;"")))-MATCH(1,INDEX((Y301:BH301&lt;&gt;0)*(Y301:BH301&lt;&gt;""),0),0)+1 &lt;= 12,
        "No",
        "Yes"
    ),
    "No"
)</f>
        <v>Yes</v>
      </c>
      <c r="W301" s="4" t="str" cm="1">
        <f t="array" ref="W301">IFERROR(
    IF(
        MATCH(2,1/((Y301:BH301&lt;&gt;0)*(Y301:BH301&lt;&gt;"")))-MATCH(1,INDEX((Y301:BH301&lt;&gt;0)*(Y301:BH301&lt;&gt;""),0),0)+1 &lt;= 24,
        "No",
        "Yes"
    ),
    "No"
)</f>
        <v>No</v>
      </c>
      <c r="X301" s="3"/>
      <c r="Y301" s="4">
        <v>0</v>
      </c>
      <c r="Z301" s="4">
        <v>0</v>
      </c>
      <c r="AA301" s="4">
        <v>0</v>
      </c>
      <c r="AB301" s="4">
        <v>0</v>
      </c>
      <c r="AC301" s="4">
        <v>0</v>
      </c>
      <c r="AD301" s="4">
        <v>0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4">
        <v>85.967129</v>
      </c>
      <c r="AQ301" s="4">
        <v>85.967129</v>
      </c>
      <c r="AR301" s="4">
        <v>85.967129</v>
      </c>
      <c r="AS301" s="4">
        <v>85.967129</v>
      </c>
      <c r="AT301" s="4">
        <v>85.967129</v>
      </c>
      <c r="AU301" s="4">
        <v>85.967129</v>
      </c>
      <c r="AV301" s="4">
        <v>85.967129</v>
      </c>
      <c r="AW301" s="4">
        <v>85.967129</v>
      </c>
      <c r="AX301" s="4">
        <v>85.967129</v>
      </c>
      <c r="AY301" s="4">
        <v>85.967129</v>
      </c>
      <c r="AZ301" s="4">
        <v>85.967129</v>
      </c>
      <c r="BA301" s="4">
        <v>85.967129</v>
      </c>
      <c r="BB301" s="4">
        <v>85.967129</v>
      </c>
      <c r="BC301" s="4">
        <v>85.967129</v>
      </c>
      <c r="BD301" s="4">
        <v>85.967129</v>
      </c>
      <c r="BE301" s="4">
        <v>85.967129</v>
      </c>
      <c r="BF301" s="4">
        <v>85.967129</v>
      </c>
      <c r="BG301" s="4">
        <v>85.967129</v>
      </c>
      <c r="BH301" s="4">
        <v>85.967129</v>
      </c>
      <c r="BJ301" s="9"/>
    </row>
    <row r="302" spans="1:62" x14ac:dyDescent="0.25">
      <c r="A302" s="8" t="s">
        <v>468</v>
      </c>
      <c r="B302" s="8"/>
      <c r="C302" s="7" t="s">
        <v>526</v>
      </c>
      <c r="D302" s="3"/>
      <c r="E302" s="3">
        <f>VLOOKUP(A302,[2]Sheet1!$A$2:$E$627,5,0)</f>
        <v>103.19903958333333</v>
      </c>
      <c r="F302" s="3">
        <f>VLOOKUP(A302,[2]Sheet1!$A$2:$F$627,6,0)</f>
        <v>0</v>
      </c>
      <c r="G302" s="3">
        <f>VLOOKUP(A302,[2]Sheet1!$A$2:$G$627,7,0)</f>
        <v>0</v>
      </c>
      <c r="H302" s="4">
        <f t="shared" si="24"/>
        <v>103.19903958333333</v>
      </c>
      <c r="I302" s="11">
        <f t="shared" si="25"/>
        <v>-1</v>
      </c>
      <c r="J302" s="11">
        <f t="shared" si="26"/>
        <v>-1</v>
      </c>
      <c r="K302" s="11" t="e">
        <f t="shared" si="27"/>
        <v>#DIV/0!</v>
      </c>
      <c r="L302" s="11">
        <f>IF(S302="",((BG302-E302)/E302),((U302-E302)/E302))</f>
        <v>0</v>
      </c>
      <c r="M302" s="3" t="str">
        <f>IF(S302="Churn","Churn",VLOOKUP(A302,'[1]Revenue_Engine_2025 Dec.25'!$C$14:$E$3993,3,0))</f>
        <v>Diğer</v>
      </c>
      <c r="N302" s="3">
        <f>IF(S302="",VLOOKUP(A302,[3]Export!$B$2:$F$417,5,0),"CHURN")</f>
        <v>0</v>
      </c>
      <c r="O302" s="3">
        <f>(1-N302)*H302</f>
        <v>103.19903958333333</v>
      </c>
      <c r="P302" s="3">
        <f t="shared" si="29"/>
        <v>0</v>
      </c>
      <c r="Q302" s="3">
        <f t="shared" si="28"/>
        <v>0</v>
      </c>
      <c r="R302" s="3" t="str">
        <f>IF(S302&lt;&gt;"Churn",VLOOKUP(A302,[3]Export!$B$2:$O$417,8,0),"CHURN")</f>
        <v>NO RISK</v>
      </c>
      <c r="S302" s="3"/>
      <c r="T302" s="3"/>
      <c r="U302" s="3" t="s">
        <v>551</v>
      </c>
      <c r="V302" s="4" t="str" cm="1">
        <f t="array" ref="V302">IFERROR(
    IF(
        MATCH(2,1/((Y302:BH302&lt;&gt;0)*(Y302:BH302&lt;&gt;"")))-MATCH(1,INDEX((Y302:BH302&lt;&gt;0)*(Y302:BH302&lt;&gt;""),0),0)+1 &lt;= 12,
        "No",
        "Yes"
    ),
    "No"
)</f>
        <v>Yes</v>
      </c>
      <c r="W302" s="4" t="str" cm="1">
        <f t="array" ref="W302">IFERROR(
    IF(
        MATCH(2,1/((Y302:BH302&lt;&gt;0)*(Y302:BH302&lt;&gt;"")))-MATCH(1,INDEX((Y302:BH302&lt;&gt;0)*(Y302:BH302&lt;&gt;""),0),0)+1 &lt;= 24,
        "No",
        "Yes"
    ),
    "No"
)</f>
        <v>No</v>
      </c>
      <c r="X302" s="3"/>
      <c r="Y302" s="4">
        <v>0</v>
      </c>
      <c r="Z302" s="4">
        <v>0</v>
      </c>
      <c r="AA302" s="4">
        <v>0</v>
      </c>
      <c r="AB302" s="4">
        <v>0</v>
      </c>
      <c r="AC302" s="4">
        <v>0</v>
      </c>
      <c r="AD302" s="4">
        <v>0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4">
        <v>103.19903958333333</v>
      </c>
      <c r="AQ302" s="4">
        <v>103.19903958333333</v>
      </c>
      <c r="AR302" s="4">
        <v>103.19903958333333</v>
      </c>
      <c r="AS302" s="4">
        <v>103.19903958333333</v>
      </c>
      <c r="AT302" s="4">
        <v>103.19903958333333</v>
      </c>
      <c r="AU302" s="4">
        <v>103.19903958333333</v>
      </c>
      <c r="AV302" s="4">
        <v>103.19903958333333</v>
      </c>
      <c r="AW302" s="4">
        <v>103.19903958333333</v>
      </c>
      <c r="AX302" s="4">
        <v>103.19903958333333</v>
      </c>
      <c r="AY302" s="4">
        <v>103.19903958333333</v>
      </c>
      <c r="AZ302" s="4">
        <v>103.19903958333333</v>
      </c>
      <c r="BA302" s="4">
        <v>103.19903958333333</v>
      </c>
      <c r="BB302" s="4">
        <v>0</v>
      </c>
      <c r="BC302" s="4">
        <v>0</v>
      </c>
      <c r="BD302" s="4">
        <v>103.19903958333333</v>
      </c>
      <c r="BE302" s="4">
        <v>103.19903958333333</v>
      </c>
      <c r="BF302" s="4">
        <v>103.19903958333333</v>
      </c>
      <c r="BG302" s="4">
        <v>103.19903958333333</v>
      </c>
      <c r="BH302" s="4">
        <v>103.19903958333333</v>
      </c>
      <c r="BJ302" s="9"/>
    </row>
    <row r="303" spans="1:62" x14ac:dyDescent="0.25">
      <c r="A303" s="8" t="s">
        <v>467</v>
      </c>
      <c r="B303" s="8"/>
      <c r="C303" s="7" t="s">
        <v>526</v>
      </c>
      <c r="D303" s="3"/>
      <c r="E303" s="3">
        <f>VLOOKUP(A303,[2]Sheet1!$A$2:$E$627,5,0)</f>
        <v>103.19916674999999</v>
      </c>
      <c r="F303" s="3">
        <f>VLOOKUP(A303,[2]Sheet1!$A$2:$F$627,6,0)</f>
        <v>0</v>
      </c>
      <c r="G303" s="3">
        <f>VLOOKUP(A303,[2]Sheet1!$A$2:$G$627,7,0)</f>
        <v>0</v>
      </c>
      <c r="H303" s="4">
        <f t="shared" si="24"/>
        <v>103.19916674999999</v>
      </c>
      <c r="I303" s="11">
        <f t="shared" si="25"/>
        <v>-1</v>
      </c>
      <c r="J303" s="11">
        <f t="shared" si="26"/>
        <v>-1</v>
      </c>
      <c r="K303" s="11" t="e">
        <f t="shared" si="27"/>
        <v>#DIV/0!</v>
      </c>
      <c r="L303" s="11">
        <f>IF(S303="",((BG303-E303)/E303),((U303-E303)/E303))</f>
        <v>0</v>
      </c>
      <c r="M303" s="3" t="str">
        <f>IF(S303="Churn","Churn",VLOOKUP(A303,'[1]Revenue_Engine_2025 Dec.25'!$C$14:$E$3993,3,0))</f>
        <v>Diğer</v>
      </c>
      <c r="N303" s="3">
        <f>IF(S303="",VLOOKUP(A303,[3]Export!$B$2:$F$417,5,0),"CHURN")</f>
        <v>0</v>
      </c>
      <c r="O303" s="3">
        <f>(1-N303)*H303</f>
        <v>103.19916674999999</v>
      </c>
      <c r="P303" s="3">
        <f t="shared" si="29"/>
        <v>0</v>
      </c>
      <c r="Q303" s="3">
        <f t="shared" si="28"/>
        <v>0</v>
      </c>
      <c r="R303" s="3" t="str">
        <f>IF(S303&lt;&gt;"Churn",VLOOKUP(A303,[3]Export!$B$2:$O$417,8,0),"CHURN")</f>
        <v>NO RISK</v>
      </c>
      <c r="S303" s="3"/>
      <c r="T303" s="3"/>
      <c r="U303" s="3" t="s">
        <v>551</v>
      </c>
      <c r="V303" s="4" t="str" cm="1">
        <f t="array" ref="V303">IFERROR(
    IF(
        MATCH(2,1/((Y303:BH303&lt;&gt;0)*(Y303:BH303&lt;&gt;"")))-MATCH(1,INDEX((Y303:BH303&lt;&gt;0)*(Y303:BH303&lt;&gt;""),0),0)+1 &lt;= 12,
        "No",
        "Yes"
    ),
    "No"
)</f>
        <v>Yes</v>
      </c>
      <c r="W303" s="4" t="str" cm="1">
        <f t="array" ref="W303">IFERROR(
    IF(
        MATCH(2,1/((Y303:BH303&lt;&gt;0)*(Y303:BH303&lt;&gt;"")))-MATCH(1,INDEX((Y303:BH303&lt;&gt;0)*(Y303:BH303&lt;&gt;""),0),0)+1 &lt;= 24,
        "No",
        "Yes"
    ),
    "No"
)</f>
        <v>No</v>
      </c>
      <c r="X303" s="3"/>
      <c r="Y303" s="4">
        <v>0</v>
      </c>
      <c r="Z303" s="4">
        <v>0</v>
      </c>
      <c r="AA303" s="4">
        <v>0</v>
      </c>
      <c r="AB303" s="4">
        <v>0</v>
      </c>
      <c r="AC303" s="4">
        <v>0</v>
      </c>
      <c r="AD303" s="4">
        <v>0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4">
        <v>0</v>
      </c>
      <c r="AQ303" s="4">
        <v>103.19916674999999</v>
      </c>
      <c r="AR303" s="4">
        <v>103.19916674999999</v>
      </c>
      <c r="AS303" s="4">
        <v>103.19916674999999</v>
      </c>
      <c r="AT303" s="4">
        <v>103.19916674999999</v>
      </c>
      <c r="AU303" s="4">
        <v>103.19916674999999</v>
      </c>
      <c r="AV303" s="4">
        <v>103.19916674999999</v>
      </c>
      <c r="AW303" s="4">
        <v>103.19916674999999</v>
      </c>
      <c r="AX303" s="4">
        <v>103.19916674999999</v>
      </c>
      <c r="AY303" s="4">
        <v>103.19916674999999</v>
      </c>
      <c r="AZ303" s="4">
        <v>103.19916674999999</v>
      </c>
      <c r="BA303" s="4">
        <v>103.19916674999999</v>
      </c>
      <c r="BB303" s="4">
        <v>103.19916674999999</v>
      </c>
      <c r="BC303" s="4">
        <v>0</v>
      </c>
      <c r="BD303" s="4">
        <v>103.19916674999999</v>
      </c>
      <c r="BE303" s="4">
        <v>103.19916674999999</v>
      </c>
      <c r="BF303" s="4">
        <v>103.19916674999999</v>
      </c>
      <c r="BG303" s="4">
        <v>103.19916674999999</v>
      </c>
      <c r="BH303" s="4">
        <v>103.19916674999999</v>
      </c>
      <c r="BJ303" s="9"/>
    </row>
    <row r="304" spans="1:62" x14ac:dyDescent="0.25">
      <c r="A304" s="8" t="s">
        <v>466</v>
      </c>
      <c r="B304" s="8"/>
      <c r="C304" s="7" t="s">
        <v>526</v>
      </c>
      <c r="D304" s="3"/>
      <c r="E304" s="3">
        <f>VLOOKUP(A304,[2]Sheet1!$A$2:$E$627,5,0)</f>
        <v>103.19938716666665</v>
      </c>
      <c r="F304" s="3">
        <f>VLOOKUP(A304,[2]Sheet1!$A$2:$F$627,6,0)</f>
        <v>103.19938716666665</v>
      </c>
      <c r="G304" s="3">
        <f>VLOOKUP(A304,[2]Sheet1!$A$2:$G$627,7,0)</f>
        <v>0</v>
      </c>
      <c r="H304" s="4">
        <f t="shared" si="24"/>
        <v>103.19938716666665</v>
      </c>
      <c r="I304" s="11">
        <f t="shared" si="25"/>
        <v>0</v>
      </c>
      <c r="J304" s="11">
        <f t="shared" si="26"/>
        <v>-1</v>
      </c>
      <c r="K304" s="11">
        <f t="shared" si="27"/>
        <v>-1</v>
      </c>
      <c r="L304" s="11">
        <f>IF(S304="",((BG304-E304)/E304),((U304-E304)/E304))</f>
        <v>0</v>
      </c>
      <c r="M304" s="3" t="str">
        <f>IF(S304="Churn","Churn",VLOOKUP(A304,'[1]Revenue_Engine_2025 Dec.25'!$C$14:$E$3993,3,0))</f>
        <v>Diğer</v>
      </c>
      <c r="N304" s="3">
        <f>IF(S304="",VLOOKUP(A304,[3]Export!$B$2:$F$417,5,0),"CHURN")</f>
        <v>0.30214625725417943</v>
      </c>
      <c r="O304" s="3">
        <f>(1-N304)*H304</f>
        <v>72.018078583333335</v>
      </c>
      <c r="P304" s="3">
        <f t="shared" si="29"/>
        <v>72.018078583333335</v>
      </c>
      <c r="Q304" s="3">
        <f t="shared" si="28"/>
        <v>0</v>
      </c>
      <c r="R304" s="3" t="str">
        <f>IF(S304&lt;&gt;"Churn",VLOOKUP(A304,[3]Export!$B$2:$O$417,8,0),"CHURN")</f>
        <v>NO RISK</v>
      </c>
      <c r="S304" s="3"/>
      <c r="T304" s="3"/>
      <c r="U304" s="3" t="s">
        <v>551</v>
      </c>
      <c r="V304" s="4" t="str" cm="1">
        <f t="array" ref="V304">IFERROR(
    IF(
        MATCH(2,1/((Y304:BH304&lt;&gt;0)*(Y304:BH304&lt;&gt;"")))-MATCH(1,INDEX((Y304:BH304&lt;&gt;0)*(Y304:BH304&lt;&gt;""),0),0)+1 &lt;= 12,
        "No",
        "Yes"
    ),
    "No"
)</f>
        <v>Yes</v>
      </c>
      <c r="W304" s="4" t="str" cm="1">
        <f t="array" ref="W304">IFERROR(
    IF(
        MATCH(2,1/((Y304:BH304&lt;&gt;0)*(Y304:BH304&lt;&gt;"")))-MATCH(1,INDEX((Y304:BH304&lt;&gt;0)*(Y304:BH304&lt;&gt;""),0),0)+1 &lt;= 24,
        "No",
        "Yes"
    ),
    "No"
)</f>
        <v>No</v>
      </c>
      <c r="X304" s="3"/>
      <c r="Y304" s="4">
        <v>0</v>
      </c>
      <c r="Z304" s="4">
        <v>0</v>
      </c>
      <c r="AA304" s="4">
        <v>0</v>
      </c>
      <c r="AB304" s="4">
        <v>0</v>
      </c>
      <c r="AC304" s="4">
        <v>0</v>
      </c>
      <c r="AD304" s="4">
        <v>0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4">
        <v>0</v>
      </c>
      <c r="AQ304" s="4">
        <v>103.19938716666665</v>
      </c>
      <c r="AR304" s="4">
        <v>103.19938716666665</v>
      </c>
      <c r="AS304" s="4">
        <v>103.19938716666665</v>
      </c>
      <c r="AT304" s="4">
        <v>103.19938716666665</v>
      </c>
      <c r="AU304" s="4">
        <v>103.19938716666665</v>
      </c>
      <c r="AV304" s="4">
        <v>103.19938716666665</v>
      </c>
      <c r="AW304" s="4">
        <v>103.19938716666665</v>
      </c>
      <c r="AX304" s="4">
        <v>103.19938716666665</v>
      </c>
      <c r="AY304" s="4">
        <v>103.19938716666665</v>
      </c>
      <c r="AZ304" s="4">
        <v>103.19938716666665</v>
      </c>
      <c r="BA304" s="4">
        <v>103.19938716666665</v>
      </c>
      <c r="BB304" s="4">
        <v>103.19938716666665</v>
      </c>
      <c r="BC304" s="4">
        <v>103.19938716666665</v>
      </c>
      <c r="BD304" s="4">
        <v>103.19938716666665</v>
      </c>
      <c r="BE304" s="4">
        <v>103.19938716666665</v>
      </c>
      <c r="BF304" s="4">
        <v>103.19938716666665</v>
      </c>
      <c r="BG304" s="4">
        <v>103.19938716666665</v>
      </c>
      <c r="BH304" s="4">
        <v>103.19938716666665</v>
      </c>
      <c r="BJ304" s="9"/>
    </row>
    <row r="305" spans="1:62" x14ac:dyDescent="0.25">
      <c r="A305" s="8" t="s">
        <v>469</v>
      </c>
      <c r="B305" s="8"/>
      <c r="C305" s="7" t="s">
        <v>526</v>
      </c>
      <c r="D305" s="3"/>
      <c r="E305" s="3">
        <f>VLOOKUP(A305,[2]Sheet1!$A$2:$E$627,5,0)</f>
        <v>103.19855383333332</v>
      </c>
      <c r="F305" s="3">
        <f>VLOOKUP(A305,[2]Sheet1!$A$2:$F$627,6,0)</f>
        <v>103.19855383333332</v>
      </c>
      <c r="G305" s="3">
        <f>VLOOKUP(A305,[2]Sheet1!$A$2:$G$627,7,0)</f>
        <v>0</v>
      </c>
      <c r="H305" s="4">
        <f t="shared" si="24"/>
        <v>103.19855383333332</v>
      </c>
      <c r="I305" s="11">
        <f t="shared" si="25"/>
        <v>0</v>
      </c>
      <c r="J305" s="11">
        <f t="shared" si="26"/>
        <v>-1</v>
      </c>
      <c r="K305" s="11">
        <f t="shared" si="27"/>
        <v>-1</v>
      </c>
      <c r="L305" s="11">
        <f>IF(S305="",((BG305-E305)/E305),((U305-E305)/E305))</f>
        <v>0</v>
      </c>
      <c r="M305" s="3" t="str">
        <f>IF(S305="Churn","Churn",VLOOKUP(A305,'[1]Revenue_Engine_2025 Dec.25'!$C$14:$E$3993,3,0))</f>
        <v>Diğer</v>
      </c>
      <c r="N305" s="3">
        <f>IF(S305="",VLOOKUP(A305,[3]Export!$B$2:$F$417,5,0),"CHURN")</f>
        <v>0.26714558933188731</v>
      </c>
      <c r="O305" s="3">
        <f>(1-N305)*H305</f>
        <v>75.629515351329005</v>
      </c>
      <c r="P305" s="3">
        <f t="shared" si="29"/>
        <v>75.629515351329005</v>
      </c>
      <c r="Q305" s="3">
        <f t="shared" si="28"/>
        <v>0</v>
      </c>
      <c r="R305" s="3" t="str">
        <f>IF(S305&lt;&gt;"Churn",VLOOKUP(A305,[3]Export!$B$2:$O$417,8,0),"CHURN")</f>
        <v>NO RISK</v>
      </c>
      <c r="S305" s="3"/>
      <c r="T305" s="3"/>
      <c r="U305" s="3" t="s">
        <v>551</v>
      </c>
      <c r="V305" s="4" t="str" cm="1">
        <f t="array" ref="V305">IFERROR(
    IF(
        MATCH(2,1/((Y305:BH305&lt;&gt;0)*(Y305:BH305&lt;&gt;"")))-MATCH(1,INDEX((Y305:BH305&lt;&gt;0)*(Y305:BH305&lt;&gt;""),0),0)+1 &lt;= 12,
        "No",
        "Yes"
    ),
    "No"
)</f>
        <v>Yes</v>
      </c>
      <c r="W305" s="4" t="str" cm="1">
        <f t="array" ref="W305">IFERROR(
    IF(
        MATCH(2,1/((Y305:BH305&lt;&gt;0)*(Y305:BH305&lt;&gt;"")))-MATCH(1,INDEX((Y305:BH305&lt;&gt;0)*(Y305:BH305&lt;&gt;""),0),0)+1 &lt;= 24,
        "No",
        "Yes"
    ),
    "No"
)</f>
        <v>No</v>
      </c>
      <c r="X305" s="3"/>
      <c r="Y305" s="4">
        <v>0</v>
      </c>
      <c r="Z305" s="4">
        <v>0</v>
      </c>
      <c r="AA305" s="4">
        <v>0</v>
      </c>
      <c r="AB305" s="4">
        <v>0</v>
      </c>
      <c r="AC305" s="4">
        <v>0</v>
      </c>
      <c r="AD305" s="4">
        <v>0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4">
        <v>0</v>
      </c>
      <c r="AQ305" s="4">
        <v>103.19855383333332</v>
      </c>
      <c r="AR305" s="4">
        <v>103.19855383333332</v>
      </c>
      <c r="AS305" s="4">
        <v>103.19855383333332</v>
      </c>
      <c r="AT305" s="4">
        <v>103.19855383333332</v>
      </c>
      <c r="AU305" s="4">
        <v>103.19855383333332</v>
      </c>
      <c r="AV305" s="4">
        <v>103.19855383333332</v>
      </c>
      <c r="AW305" s="4">
        <v>103.19855383333332</v>
      </c>
      <c r="AX305" s="4">
        <v>103.19855383333332</v>
      </c>
      <c r="AY305" s="4">
        <v>103.19855383333332</v>
      </c>
      <c r="AZ305" s="4">
        <v>103.19855383333332</v>
      </c>
      <c r="BA305" s="4">
        <v>103.19855383333332</v>
      </c>
      <c r="BB305" s="4">
        <v>103.19855383333332</v>
      </c>
      <c r="BC305" s="4">
        <v>103.19855383333332</v>
      </c>
      <c r="BD305" s="4">
        <v>103.19855383333332</v>
      </c>
      <c r="BE305" s="4">
        <v>103.19855383333332</v>
      </c>
      <c r="BF305" s="4">
        <v>103.19855383333332</v>
      </c>
      <c r="BG305" s="4">
        <v>103.19855383333332</v>
      </c>
      <c r="BH305" s="4">
        <v>103.19855383333332</v>
      </c>
      <c r="BJ305" s="9"/>
    </row>
    <row r="306" spans="1:62" x14ac:dyDescent="0.25">
      <c r="A306" s="8" t="s">
        <v>278</v>
      </c>
      <c r="B306" s="8"/>
      <c r="C306" s="7" t="s">
        <v>526</v>
      </c>
      <c r="D306" s="3"/>
      <c r="E306" s="3">
        <f>VLOOKUP(A306,[2]Sheet1!$A$2:$E$627,5,0)</f>
        <v>380.54183068019563</v>
      </c>
      <c r="F306" s="3">
        <f>VLOOKUP(A306,[2]Sheet1!$A$2:$F$627,6,0)</f>
        <v>317.84698083509841</v>
      </c>
      <c r="G306" s="3">
        <f>VLOOKUP(A306,[2]Sheet1!$A$2:$G$627,7,0)</f>
        <v>0</v>
      </c>
      <c r="H306" s="4">
        <f t="shared" si="24"/>
        <v>0</v>
      </c>
      <c r="I306" s="11">
        <f t="shared" si="25"/>
        <v>-0.16475153265814155</v>
      </c>
      <c r="J306" s="11">
        <f t="shared" si="26"/>
        <v>-1</v>
      </c>
      <c r="K306" s="11">
        <f t="shared" si="27"/>
        <v>-1</v>
      </c>
      <c r="L306" s="11">
        <f>IF(S306="",((BG306-E306)/E306),((U306-E306)/E306))</f>
        <v>-0.13583855327231617</v>
      </c>
      <c r="M306" s="3" t="str">
        <f>IF(S306="Churn","Churn",VLOOKUP(A306,'[1]Revenue_Engine_2025 Dec.25'!$C$14:$E$3993,3,0))</f>
        <v>Churn</v>
      </c>
      <c r="N306" s="3" t="str">
        <f>IF(S306="",VLOOKUP(A306,[3]Export!$B$2:$F$417,5,0),"CHURN")</f>
        <v>CHURN</v>
      </c>
      <c r="O306" s="3" t="e">
        <f>(1-N306)*H306</f>
        <v>#VALUE!</v>
      </c>
      <c r="P306" s="3" t="e">
        <f t="shared" si="29"/>
        <v>#VALUE!</v>
      </c>
      <c r="Q306" s="3" t="e">
        <f t="shared" si="28"/>
        <v>#VALUE!</v>
      </c>
      <c r="R306" s="3" t="str">
        <f>IF(S306&lt;&gt;"Churn",VLOOKUP(A306,[3]Export!$B$2:$O$417,8,0),"CHURN")</f>
        <v>CHURN</v>
      </c>
      <c r="S306" s="3" t="s">
        <v>372</v>
      </c>
      <c r="T306" s="3" t="s">
        <v>550</v>
      </c>
      <c r="U306" s="3">
        <v>328.84957894099915</v>
      </c>
      <c r="V306" s="4" t="str" cm="1">
        <f t="array" ref="V306">IFERROR(
    IF(
        MATCH(2,1/((Y306:BH306&lt;&gt;0)*(Y306:BH306&lt;&gt;"")))-MATCH(1,INDEX((Y306:BH306&lt;&gt;0)*(Y306:BH306&lt;&gt;""),0),0)+1 &lt;= 12,
        "No",
        "Yes"
    ),
    "No"
)</f>
        <v>No</v>
      </c>
      <c r="W306" s="4" t="str" cm="1">
        <f t="array" ref="W306">IFERROR(
    IF(
        MATCH(2,1/((Y306:BH306&lt;&gt;0)*(Y306:BH306&lt;&gt;"")))-MATCH(1,INDEX((Y306:BH306&lt;&gt;0)*(Y306:BH306&lt;&gt;""),0),0)+1 &lt;= 24,
        "No",
        "Yes"
    ),
    "No"
)</f>
        <v>No</v>
      </c>
      <c r="X306" s="3"/>
      <c r="Y306" s="4">
        <v>0</v>
      </c>
      <c r="Z306" s="4">
        <v>0</v>
      </c>
      <c r="AA306" s="4">
        <v>0</v>
      </c>
      <c r="AB306" s="4">
        <v>0</v>
      </c>
      <c r="AC306" s="4">
        <v>0</v>
      </c>
      <c r="AD306" s="4">
        <v>0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4">
        <v>0</v>
      </c>
      <c r="AQ306" s="4">
        <v>380.54183068019563</v>
      </c>
      <c r="AR306" s="4">
        <v>372.3496154373172</v>
      </c>
      <c r="AS306" s="4">
        <v>368.08659752528018</v>
      </c>
      <c r="AT306" s="4">
        <v>365.81047505611537</v>
      </c>
      <c r="AU306" s="4">
        <v>363.79405182173508</v>
      </c>
      <c r="AV306" s="4">
        <v>358.13745602072044</v>
      </c>
      <c r="AW306" s="4">
        <v>352.73866297937184</v>
      </c>
      <c r="AX306" s="4">
        <v>346.5205181729221</v>
      </c>
      <c r="AY306" s="4">
        <v>337.87527807135388</v>
      </c>
      <c r="AZ306" s="4">
        <v>328.84957894099915</v>
      </c>
      <c r="BA306" s="4">
        <v>323.33662705577427</v>
      </c>
      <c r="BB306" s="4">
        <v>317.84698083509841</v>
      </c>
      <c r="BC306" s="4">
        <v>0</v>
      </c>
      <c r="BD306" s="4">
        <v>0</v>
      </c>
      <c r="BE306" s="4">
        <v>0</v>
      </c>
      <c r="BF306" s="4">
        <v>0</v>
      </c>
      <c r="BG306" s="4">
        <v>0</v>
      </c>
      <c r="BH306" s="4">
        <v>0</v>
      </c>
      <c r="BJ306" s="9"/>
    </row>
    <row r="307" spans="1:62" x14ac:dyDescent="0.25">
      <c r="A307" s="8" t="s">
        <v>503</v>
      </c>
      <c r="B307" s="8"/>
      <c r="C307" s="7" t="s">
        <v>526</v>
      </c>
      <c r="D307" s="3"/>
      <c r="E307" s="3">
        <f>VLOOKUP(A307,[2]Sheet1!$A$2:$E$627,5,0)</f>
        <v>175.19977041666664</v>
      </c>
      <c r="F307" s="3">
        <f>VLOOKUP(A307,[2]Sheet1!$A$2:$F$627,6,0)</f>
        <v>0</v>
      </c>
      <c r="G307" s="3">
        <f>VLOOKUP(A307,[2]Sheet1!$A$2:$G$627,7,0)</f>
        <v>0</v>
      </c>
      <c r="H307" s="4">
        <f t="shared" si="24"/>
        <v>0</v>
      </c>
      <c r="I307" s="11">
        <f t="shared" si="25"/>
        <v>-1</v>
      </c>
      <c r="J307" s="11">
        <f t="shared" si="26"/>
        <v>-1</v>
      </c>
      <c r="K307" s="11" t="e">
        <f t="shared" si="27"/>
        <v>#DIV/0!</v>
      </c>
      <c r="L307" s="11">
        <f>IF(S307="",((BG307-E307)/E307),((U307-E307)/E307))</f>
        <v>0</v>
      </c>
      <c r="M307" s="3" t="str">
        <f>IF(S307="Churn","Churn",VLOOKUP(A307,'[1]Revenue_Engine_2025 Dec.25'!$C$14:$E$3993,3,0))</f>
        <v>Churn</v>
      </c>
      <c r="N307" s="3" t="str">
        <f>IF(S307="",VLOOKUP(A307,[3]Export!$B$2:$F$417,5,0),"CHURN")</f>
        <v>CHURN</v>
      </c>
      <c r="O307" s="3" t="e">
        <f>(1-N307)*H307</f>
        <v>#VALUE!</v>
      </c>
      <c r="P307" s="3" t="e">
        <f t="shared" si="29"/>
        <v>#VALUE!</v>
      </c>
      <c r="Q307" s="3" t="e">
        <f t="shared" si="28"/>
        <v>#VALUE!</v>
      </c>
      <c r="R307" s="3" t="str">
        <f>IF(S307&lt;&gt;"Churn",VLOOKUP(A307,[3]Export!$B$2:$O$417,8,0),"CHURN")</f>
        <v>CHURN</v>
      </c>
      <c r="S307" s="3" t="s">
        <v>372</v>
      </c>
      <c r="T307" s="3" t="s">
        <v>550</v>
      </c>
      <c r="U307" s="3">
        <v>175.19977041666664</v>
      </c>
      <c r="V307" s="4" t="str" cm="1">
        <f t="array" ref="V307">IFERROR(
    IF(
        MATCH(2,1/((Y307:BH307&lt;&gt;0)*(Y307:BH307&lt;&gt;"")))-MATCH(1,INDEX((Y307:BH307&lt;&gt;0)*(Y307:BH307&lt;&gt;""),0),0)+1 &lt;= 12,
        "No",
        "Yes"
    ),
    "No"
)</f>
        <v>No</v>
      </c>
      <c r="W307" s="4" t="str" cm="1">
        <f t="array" ref="W307">IFERROR(
    IF(
        MATCH(2,1/((Y307:BH307&lt;&gt;0)*(Y307:BH307&lt;&gt;"")))-MATCH(1,INDEX((Y307:BH307&lt;&gt;0)*(Y307:BH307&lt;&gt;""),0),0)+1 &lt;= 24,
        "No",
        "Yes"
    ),
    "No"
)</f>
        <v>No</v>
      </c>
      <c r="X307" s="3"/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4">
        <v>0</v>
      </c>
      <c r="AQ307" s="4">
        <v>175.19977041666664</v>
      </c>
      <c r="AR307" s="4">
        <v>175.19977041666664</v>
      </c>
      <c r="AS307" s="4">
        <v>175.19977041666664</v>
      </c>
      <c r="AT307" s="4">
        <v>175.19977041666664</v>
      </c>
      <c r="AU307" s="4">
        <v>175.19977041666664</v>
      </c>
      <c r="AV307" s="4">
        <v>175.19977041666664</v>
      </c>
      <c r="AW307" s="4">
        <v>175.19977041666664</v>
      </c>
      <c r="AX307" s="4">
        <v>175.19977041666664</v>
      </c>
      <c r="AY307" s="4">
        <v>175.19977041666664</v>
      </c>
      <c r="AZ307" s="4">
        <v>175.19977041666664</v>
      </c>
      <c r="BA307" s="4">
        <v>175.19977041666664</v>
      </c>
      <c r="BB307" s="4">
        <v>175.19977041666664</v>
      </c>
      <c r="BC307" s="4">
        <v>0</v>
      </c>
      <c r="BD307" s="4">
        <v>0</v>
      </c>
      <c r="BE307" s="4">
        <v>0</v>
      </c>
      <c r="BF307" s="4">
        <v>0</v>
      </c>
      <c r="BG307" s="4">
        <v>0</v>
      </c>
      <c r="BH307" s="4">
        <v>0</v>
      </c>
      <c r="BJ307" s="9"/>
    </row>
    <row r="308" spans="1:62" x14ac:dyDescent="0.25">
      <c r="A308" s="8" t="s">
        <v>378</v>
      </c>
      <c r="B308" s="8"/>
      <c r="C308" s="7" t="s">
        <v>525</v>
      </c>
      <c r="D308" s="3"/>
      <c r="E308" s="3">
        <f>VLOOKUP(A308,[2]Sheet1!$A$2:$E$627,5,0)</f>
        <v>4870.9354327065048</v>
      </c>
      <c r="F308" s="3">
        <f>VLOOKUP(A308,[2]Sheet1!$A$2:$F$627,6,0)</f>
        <v>5179.2590228039026</v>
      </c>
      <c r="G308" s="3">
        <f>VLOOKUP(A308,[2]Sheet1!$A$2:$G$627,7,0)</f>
        <v>0</v>
      </c>
      <c r="H308" s="4">
        <f t="shared" si="24"/>
        <v>4977.1966361743071</v>
      </c>
      <c r="I308" s="11">
        <f t="shared" si="25"/>
        <v>6.3298640344751952E-2</v>
      </c>
      <c r="J308" s="11">
        <f t="shared" si="26"/>
        <v>-1</v>
      </c>
      <c r="K308" s="11">
        <f t="shared" si="27"/>
        <v>-1</v>
      </c>
      <c r="L308" s="11">
        <f>IF(S308="",((BG308-E308)/E308),((U308-E308)/E308))</f>
        <v>1.1088102634636878E-2</v>
      </c>
      <c r="M308" s="3" t="str">
        <f>IF(S308="Churn","Churn",VLOOKUP(A308,'[1]Revenue_Engine_2025 Dec.25'!$C$14:$E$3993,3,0))</f>
        <v>Finans</v>
      </c>
      <c r="N308" s="3">
        <f>IF(S308="",VLOOKUP(A308,[3]Export!$B$2:$F$417,5,0),"CHURN")</f>
        <v>0</v>
      </c>
      <c r="O308" s="3">
        <f>(1-N308)*H308</f>
        <v>4977.1966361743071</v>
      </c>
      <c r="P308" s="3">
        <f t="shared" si="29"/>
        <v>5179.2590228039026</v>
      </c>
      <c r="Q308" s="3">
        <f t="shared" si="28"/>
        <v>0</v>
      </c>
      <c r="R308" s="3" t="str">
        <f>IF(S308&lt;&gt;"Churn",VLOOKUP(A308,[3]Export!$B$2:$O$417,8,0),"CHURN")</f>
        <v>NO RISK</v>
      </c>
      <c r="S308" s="3"/>
      <c r="T308" s="3"/>
      <c r="U308" s="3" t="s">
        <v>551</v>
      </c>
      <c r="V308" s="4" t="str" cm="1">
        <f t="array" ref="V308">IFERROR(
    IF(
        MATCH(2,1/((Y308:BH308&lt;&gt;0)*(Y308:BH308&lt;&gt;"")))-MATCH(1,INDEX((Y308:BH308&lt;&gt;0)*(Y308:BH308&lt;&gt;""),0),0)+1 &lt;= 12,
        "No",
        "Yes"
    ),
    "No"
)</f>
        <v>Yes</v>
      </c>
      <c r="W308" s="4" t="str" cm="1">
        <f t="array" ref="W308">IFERROR(
    IF(
        MATCH(2,1/((Y308:BH308&lt;&gt;0)*(Y308:BH308&lt;&gt;"")))-MATCH(1,INDEX((Y308:BH308&lt;&gt;0)*(Y308:BH308&lt;&gt;""),0),0)+1 &lt;= 24,
        "No",
        "Yes"
    ),
    "No"
)</f>
        <v>No</v>
      </c>
      <c r="X308" s="3"/>
      <c r="Y308" s="4">
        <v>0</v>
      </c>
      <c r="Z308" s="4">
        <v>0</v>
      </c>
      <c r="AA308" s="4">
        <v>0</v>
      </c>
      <c r="AB308" s="4">
        <v>0</v>
      </c>
      <c r="AC308" s="4">
        <v>0</v>
      </c>
      <c r="AD308" s="4">
        <v>0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4">
        <v>0</v>
      </c>
      <c r="AQ308" s="4">
        <v>4870.9354327065048</v>
      </c>
      <c r="AR308" s="4">
        <v>4766.0750775976603</v>
      </c>
      <c r="AS308" s="4">
        <v>4711.508448323586</v>
      </c>
      <c r="AT308" s="4">
        <v>4682.3740807182767</v>
      </c>
      <c r="AU308" s="4">
        <v>4656.5638633182089</v>
      </c>
      <c r="AV308" s="4">
        <v>4584.159437065221</v>
      </c>
      <c r="AW308" s="4">
        <v>4515.0548861359603</v>
      </c>
      <c r="AX308" s="4">
        <v>4435.462632613403</v>
      </c>
      <c r="AY308" s="4">
        <v>4324.8035593133291</v>
      </c>
      <c r="AZ308" s="4">
        <v>4209.2746104447888</v>
      </c>
      <c r="BA308" s="4">
        <v>4138.7088263139112</v>
      </c>
      <c r="BB308" s="4">
        <v>4068.4413546892597</v>
      </c>
      <c r="BC308" s="4">
        <v>5179.2590228039026</v>
      </c>
      <c r="BD308" s="4">
        <v>5099.49515783684</v>
      </c>
      <c r="BE308" s="4">
        <v>5037.7687109153267</v>
      </c>
      <c r="BF308" s="4">
        <v>4977.1966361743071</v>
      </c>
      <c r="BG308" s="4">
        <v>4924.9448647110439</v>
      </c>
      <c r="BH308" s="4">
        <v>4876.9376363478386</v>
      </c>
      <c r="BJ308" s="9"/>
    </row>
    <row r="309" spans="1:62" x14ac:dyDescent="0.25">
      <c r="A309" s="8" t="s">
        <v>279</v>
      </c>
      <c r="B309" s="8"/>
      <c r="C309" s="7" t="s">
        <v>525</v>
      </c>
      <c r="D309" s="3"/>
      <c r="E309" s="3">
        <f>VLOOKUP(A309,[2]Sheet1!$A$2:$E$627,5,0)</f>
        <v>1506.9456494935748</v>
      </c>
      <c r="F309" s="3">
        <f>VLOOKUP(A309,[2]Sheet1!$A$2:$F$627,6,0)</f>
        <v>1258.6740464209158</v>
      </c>
      <c r="G309" s="3">
        <f>VLOOKUP(A309,[2]Sheet1!$A$2:$G$627,7,0)</f>
        <v>0</v>
      </c>
      <c r="H309" s="4">
        <f t="shared" si="24"/>
        <v>1539.820212144379</v>
      </c>
      <c r="I309" s="11">
        <f t="shared" si="25"/>
        <v>-0.16475153112263427</v>
      </c>
      <c r="J309" s="11">
        <f t="shared" si="26"/>
        <v>-1</v>
      </c>
      <c r="K309" s="11">
        <f t="shared" si="27"/>
        <v>-1</v>
      </c>
      <c r="L309" s="11">
        <f>IF(S309="",((BG309-E309)/E309),((U309-E309)/E309))</f>
        <v>4.692317064215365E-2</v>
      </c>
      <c r="M309" s="3" t="str">
        <f>IF(S309="Churn","Churn",VLOOKUP(A309,'[1]Revenue_Engine_2025 Dec.25'!$C$14:$E$3993,3,0))</f>
        <v>Churn</v>
      </c>
      <c r="N309" s="3" t="str">
        <f>IF(S309="",VLOOKUP(A309,[3]Export!$B$2:$F$417,5,0),"CHURN")</f>
        <v>CHURN</v>
      </c>
      <c r="O309" s="3" t="e">
        <f>(1-N309)*H309</f>
        <v>#VALUE!</v>
      </c>
      <c r="P309" s="3" t="e">
        <f t="shared" si="29"/>
        <v>#VALUE!</v>
      </c>
      <c r="Q309" s="3" t="e">
        <f t="shared" si="28"/>
        <v>#VALUE!</v>
      </c>
      <c r="R309" s="3" t="str">
        <f>IF(S309&lt;&gt;"Churn",VLOOKUP(A309,[3]Export!$B$2:$O$417,8,0),"CHURN")</f>
        <v>CHURN</v>
      </c>
      <c r="S309" s="3" t="s">
        <v>372</v>
      </c>
      <c r="T309" s="3" t="s">
        <v>553</v>
      </c>
      <c r="U309" s="3">
        <v>1577.6563173532129</v>
      </c>
      <c r="V309" s="4" t="str" cm="1">
        <f t="array" ref="V309">IFERROR(
    IF(
        MATCH(2,1/((Y309:BH309&lt;&gt;0)*(Y309:BH309&lt;&gt;"")))-MATCH(1,INDEX((Y309:BH309&lt;&gt;0)*(Y309:BH309&lt;&gt;""),0),0)+1 &lt;= 12,
        "No",
        "Yes"
    ),
    "No"
)</f>
        <v>Yes</v>
      </c>
      <c r="W309" s="4" t="str" cm="1">
        <f t="array" ref="W309">IFERROR(
    IF(
        MATCH(2,1/((Y309:BH309&lt;&gt;0)*(Y309:BH309&lt;&gt;"")))-MATCH(1,INDEX((Y309:BH309&lt;&gt;0)*(Y309:BH309&lt;&gt;""),0),0)+1 &lt;= 24,
        "No",
        "Yes"
    ),
    "No"
)</f>
        <v>No</v>
      </c>
      <c r="X309" s="3"/>
      <c r="Y309" s="4">
        <v>0</v>
      </c>
      <c r="Z309" s="4">
        <v>0</v>
      </c>
      <c r="AA309" s="4">
        <v>0</v>
      </c>
      <c r="AB309" s="4">
        <v>0</v>
      </c>
      <c r="AC309" s="4">
        <v>0</v>
      </c>
      <c r="AD309" s="4">
        <v>0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4">
        <v>0</v>
      </c>
      <c r="AQ309" s="4">
        <v>1506.9456494935748</v>
      </c>
      <c r="AR309" s="4">
        <v>1474.504477131776</v>
      </c>
      <c r="AS309" s="4">
        <v>1457.6229262001095</v>
      </c>
      <c r="AT309" s="4">
        <v>1448.6094812222168</v>
      </c>
      <c r="AU309" s="4">
        <v>1440.6244452140709</v>
      </c>
      <c r="AV309" s="4">
        <v>1418.2243284492936</v>
      </c>
      <c r="AW309" s="4">
        <v>1396.84510796625</v>
      </c>
      <c r="AX309" s="4">
        <v>1372.2212544874408</v>
      </c>
      <c r="AY309" s="4">
        <v>1337.9861036222933</v>
      </c>
      <c r="AZ309" s="4">
        <v>1302.2443350003816</v>
      </c>
      <c r="BA309" s="4">
        <v>1280.4130454947569</v>
      </c>
      <c r="BB309" s="4">
        <v>1258.6740464209158</v>
      </c>
      <c r="BC309" s="4">
        <v>1602.3332631227183</v>
      </c>
      <c r="BD309" s="4">
        <v>1577.6563173532129</v>
      </c>
      <c r="BE309" s="4">
        <v>1558.5596978017979</v>
      </c>
      <c r="BF309" s="4">
        <v>1539.820212144379</v>
      </c>
      <c r="BG309" s="4">
        <v>0</v>
      </c>
      <c r="BH309" s="4">
        <v>0</v>
      </c>
      <c r="BJ309" s="9"/>
    </row>
    <row r="310" spans="1:62" x14ac:dyDescent="0.25">
      <c r="A310" s="8" t="s">
        <v>411</v>
      </c>
      <c r="B310" s="8"/>
      <c r="C310" s="7" t="s">
        <v>526</v>
      </c>
      <c r="D310" s="3"/>
      <c r="E310" s="3">
        <f>VLOOKUP(A310,[2]Sheet1!$A$2:$E$627,5,0)</f>
        <v>392.00000100000005</v>
      </c>
      <c r="F310" s="3">
        <f>VLOOKUP(A310,[2]Sheet1!$A$2:$F$627,6,0)</f>
        <v>439.60000100000008</v>
      </c>
      <c r="G310" s="3">
        <f>VLOOKUP(A310,[2]Sheet1!$A$2:$G$627,7,0)</f>
        <v>0</v>
      </c>
      <c r="H310" s="4">
        <f t="shared" si="24"/>
        <v>439.60000100000008</v>
      </c>
      <c r="I310" s="11">
        <f t="shared" si="25"/>
        <v>0.1214285711188047</v>
      </c>
      <c r="J310" s="11">
        <f t="shared" si="26"/>
        <v>-1</v>
      </c>
      <c r="K310" s="11">
        <f t="shared" si="27"/>
        <v>-1</v>
      </c>
      <c r="L310" s="11">
        <f>IF(S310="",((BG310-E310)/E310),((U310-E310)/E310))</f>
        <v>0.1214285711188047</v>
      </c>
      <c r="M310" s="3" t="str">
        <f>IF(S310="Churn","Churn",VLOOKUP(A310,'[1]Revenue_Engine_2025 Dec.25'!$C$14:$E$3993,3,0))</f>
        <v>Diğer</v>
      </c>
      <c r="N310" s="3">
        <f>IF(S310="",VLOOKUP(A310,[3]Export!$B$2:$F$417,5,0),"CHURN")</f>
        <v>0.1182893536890597</v>
      </c>
      <c r="O310" s="3">
        <f>(1-N310)*H310</f>
        <v>387.60000100000008</v>
      </c>
      <c r="P310" s="3">
        <f t="shared" si="29"/>
        <v>387.60000100000008</v>
      </c>
      <c r="Q310" s="3">
        <f t="shared" si="28"/>
        <v>0</v>
      </c>
      <c r="R310" s="3" t="str">
        <f>IF(S310&lt;&gt;"Churn",VLOOKUP(A310,[3]Export!$B$2:$O$417,8,0),"CHURN")</f>
        <v>NO RISK</v>
      </c>
      <c r="S310" s="3"/>
      <c r="T310" s="3"/>
      <c r="U310" s="3" t="s">
        <v>551</v>
      </c>
      <c r="V310" s="4" t="str" cm="1">
        <f t="array" ref="V310">IFERROR(
    IF(
        MATCH(2,1/((Y310:BH310&lt;&gt;0)*(Y310:BH310&lt;&gt;"")))-MATCH(1,INDEX((Y310:BH310&lt;&gt;0)*(Y310:BH310&lt;&gt;""),0),0)+1 &lt;= 12,
        "No",
        "Yes"
    ),
    "No"
)</f>
        <v>Yes</v>
      </c>
      <c r="W310" s="4" t="str" cm="1">
        <f t="array" ref="W310">IFERROR(
    IF(
        MATCH(2,1/((Y310:BH310&lt;&gt;0)*(Y310:BH310&lt;&gt;"")))-MATCH(1,INDEX((Y310:BH310&lt;&gt;0)*(Y310:BH310&lt;&gt;""),0),0)+1 &lt;= 24,
        "No",
        "Yes"
    ),
    "No"
)</f>
        <v>No</v>
      </c>
      <c r="X310" s="3"/>
      <c r="Y310" s="4">
        <v>0</v>
      </c>
      <c r="Z310" s="4">
        <v>0</v>
      </c>
      <c r="AA310" s="4">
        <v>0</v>
      </c>
      <c r="AB310" s="4">
        <v>0</v>
      </c>
      <c r="AC310" s="4">
        <v>0</v>
      </c>
      <c r="AD310" s="4">
        <v>0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4">
        <v>0</v>
      </c>
      <c r="AQ310" s="4">
        <v>392.00000100000005</v>
      </c>
      <c r="AR310" s="4">
        <v>392.00000100000005</v>
      </c>
      <c r="AS310" s="4">
        <v>392.00000100000005</v>
      </c>
      <c r="AT310" s="4">
        <v>392.00000100000005</v>
      </c>
      <c r="AU310" s="4">
        <v>392.00000100000005</v>
      </c>
      <c r="AV310" s="4">
        <v>392.00000100000005</v>
      </c>
      <c r="AW310" s="4">
        <v>392.00000100000005</v>
      </c>
      <c r="AX310" s="4">
        <v>392.00000100000005</v>
      </c>
      <c r="AY310" s="4">
        <v>439.60000100000008</v>
      </c>
      <c r="AZ310" s="4">
        <v>439.60000100000002</v>
      </c>
      <c r="BA310" s="4">
        <v>439.60000100000008</v>
      </c>
      <c r="BB310" s="4">
        <v>439.60000100000008</v>
      </c>
      <c r="BC310" s="4">
        <v>439.60000100000008</v>
      </c>
      <c r="BD310" s="4">
        <v>439.60000100000008</v>
      </c>
      <c r="BE310" s="4">
        <v>439.60000100000008</v>
      </c>
      <c r="BF310" s="4">
        <v>439.60000100000008</v>
      </c>
      <c r="BG310" s="4">
        <v>439.60000100000008</v>
      </c>
      <c r="BH310" s="4">
        <v>439.60000100000008</v>
      </c>
      <c r="BJ310" s="9"/>
    </row>
    <row r="311" spans="1:62" x14ac:dyDescent="0.25">
      <c r="A311" s="8" t="s">
        <v>397</v>
      </c>
      <c r="B311" s="8"/>
      <c r="C311" s="7" t="s">
        <v>526</v>
      </c>
      <c r="D311" s="3"/>
      <c r="E311" s="3">
        <f>VLOOKUP(A311,[2]Sheet1!$A$2:$E$627,5,0)</f>
        <v>824.99999899999989</v>
      </c>
      <c r="F311" s="3">
        <f>VLOOKUP(A311,[2]Sheet1!$A$2:$F$627,6,0)</f>
        <v>907.89999899999998</v>
      </c>
      <c r="G311" s="3">
        <f>VLOOKUP(A311,[2]Sheet1!$A$2:$G$627,7,0)</f>
        <v>0</v>
      </c>
      <c r="H311" s="4">
        <f t="shared" si="24"/>
        <v>907.89999899999998</v>
      </c>
      <c r="I311" s="11">
        <f t="shared" si="25"/>
        <v>0.10048484860664843</v>
      </c>
      <c r="J311" s="11">
        <f t="shared" si="26"/>
        <v>-1</v>
      </c>
      <c r="K311" s="11">
        <f t="shared" si="27"/>
        <v>-1</v>
      </c>
      <c r="L311" s="11">
        <f>IF(S311="",((BG311-E311)/E311),((U311-E311)/E311))</f>
        <v>0.10048484860664843</v>
      </c>
      <c r="M311" s="3" t="str">
        <f>IF(S311="Churn","Churn",VLOOKUP(A311,'[1]Revenue_Engine_2025 Dec.25'!$C$14:$E$3993,3,0))</f>
        <v>Genel</v>
      </c>
      <c r="N311" s="3">
        <f>IF(S311="",VLOOKUP(A311,[3]Export!$B$2:$F$417,5,0),"CHURN")</f>
        <v>0.17072364816689461</v>
      </c>
      <c r="O311" s="3">
        <f>(1-N311)*H311</f>
        <v>752.89999900000009</v>
      </c>
      <c r="P311" s="3">
        <f t="shared" si="29"/>
        <v>752.89999900000009</v>
      </c>
      <c r="Q311" s="3">
        <f t="shared" si="28"/>
        <v>0</v>
      </c>
      <c r="R311" s="3" t="str">
        <f>IF(S311&lt;&gt;"Churn",VLOOKUP(A311,[3]Export!$B$2:$O$417,8,0),"CHURN")</f>
        <v>NO RISK</v>
      </c>
      <c r="S311" s="3"/>
      <c r="T311" s="3"/>
      <c r="U311" s="3" t="s">
        <v>551</v>
      </c>
      <c r="V311" s="4" t="str" cm="1">
        <f t="array" ref="V311">IFERROR(
    IF(
        MATCH(2,1/((Y311:BH311&lt;&gt;0)*(Y311:BH311&lt;&gt;"")))-MATCH(1,INDEX((Y311:BH311&lt;&gt;0)*(Y311:BH311&lt;&gt;""),0),0)+1 &lt;= 12,
        "No",
        "Yes"
    ),
    "No"
)</f>
        <v>Yes</v>
      </c>
      <c r="W311" s="4" t="str" cm="1">
        <f t="array" ref="W311">IFERROR(
    IF(
        MATCH(2,1/((Y311:BH311&lt;&gt;0)*(Y311:BH311&lt;&gt;"")))-MATCH(1,INDEX((Y311:BH311&lt;&gt;0)*(Y311:BH311&lt;&gt;""),0),0)+1 &lt;= 24,
        "No",
        "Yes"
    ),
    "No"
)</f>
        <v>No</v>
      </c>
      <c r="X311" s="3"/>
      <c r="Y311" s="4">
        <v>0</v>
      </c>
      <c r="Z311" s="4">
        <v>0</v>
      </c>
      <c r="AA311" s="4">
        <v>0</v>
      </c>
      <c r="AB311" s="4">
        <v>0</v>
      </c>
      <c r="AC311" s="4">
        <v>0</v>
      </c>
      <c r="AD311" s="4">
        <v>0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4">
        <v>0</v>
      </c>
      <c r="AQ311" s="4">
        <v>824.99999899999989</v>
      </c>
      <c r="AR311" s="4">
        <v>824.99999899999989</v>
      </c>
      <c r="AS311" s="4">
        <v>824.99999899999989</v>
      </c>
      <c r="AT311" s="4">
        <v>827.99999899999989</v>
      </c>
      <c r="AU311" s="4">
        <v>827.99999899999989</v>
      </c>
      <c r="AV311" s="4">
        <v>827.99999899999989</v>
      </c>
      <c r="AW311" s="4">
        <v>827.99999899999989</v>
      </c>
      <c r="AX311" s="4">
        <v>827.99999899999989</v>
      </c>
      <c r="AY311" s="4">
        <v>907.89999899999998</v>
      </c>
      <c r="AZ311" s="4">
        <v>907.89999899999998</v>
      </c>
      <c r="BA311" s="4">
        <v>907.89999899999998</v>
      </c>
      <c r="BB311" s="4">
        <v>907.89999899999998</v>
      </c>
      <c r="BC311" s="4">
        <v>907.89999899999998</v>
      </c>
      <c r="BD311" s="4">
        <v>907.89999899999998</v>
      </c>
      <c r="BE311" s="4">
        <v>907.89999899999998</v>
      </c>
      <c r="BF311" s="4">
        <v>907.89999899999998</v>
      </c>
      <c r="BG311" s="4">
        <v>907.89999899999998</v>
      </c>
      <c r="BH311" s="4">
        <v>907.89999899999998</v>
      </c>
      <c r="BJ311" s="9"/>
    </row>
    <row r="312" spans="1:62" x14ac:dyDescent="0.25">
      <c r="A312" s="8" t="s">
        <v>407</v>
      </c>
      <c r="B312" s="8"/>
      <c r="C312" s="7" t="s">
        <v>526</v>
      </c>
      <c r="D312" s="3"/>
      <c r="E312" s="3">
        <f>VLOOKUP(A312,[2]Sheet1!$A$2:$E$627,5,0)</f>
        <v>539.99999800000001</v>
      </c>
      <c r="F312" s="3">
        <f>VLOOKUP(A312,[2]Sheet1!$A$2:$F$627,6,0)</f>
        <v>539.99999800000001</v>
      </c>
      <c r="G312" s="3">
        <f>VLOOKUP(A312,[2]Sheet1!$A$2:$G$627,7,0)</f>
        <v>0</v>
      </c>
      <c r="H312" s="4">
        <f t="shared" si="24"/>
        <v>539.99999800000001</v>
      </c>
      <c r="I312" s="11">
        <f t="shared" si="25"/>
        <v>0</v>
      </c>
      <c r="J312" s="11">
        <f t="shared" si="26"/>
        <v>-1</v>
      </c>
      <c r="K312" s="11">
        <f t="shared" si="27"/>
        <v>-1</v>
      </c>
      <c r="L312" s="11">
        <f>IF(S312="",((BG312-E312)/E312),((U312-E312)/E312))</f>
        <v>0</v>
      </c>
      <c r="M312" s="3" t="str">
        <f>IF(S312="Churn","Churn",VLOOKUP(A312,'[1]Revenue_Engine_2025 Dec.25'!$C$14:$E$3993,3,0))</f>
        <v>Üretim</v>
      </c>
      <c r="N312" s="3">
        <f>IF(S312="",VLOOKUP(A312,[3]Export!$B$2:$F$417,5,0),"CHURN")</f>
        <v>0.44444444609053496</v>
      </c>
      <c r="O312" s="3">
        <f>(1-N312)*H312</f>
        <v>299.99999800000001</v>
      </c>
      <c r="P312" s="3">
        <f t="shared" si="29"/>
        <v>299.99999800000001</v>
      </c>
      <c r="Q312" s="3">
        <f t="shared" si="28"/>
        <v>0</v>
      </c>
      <c r="R312" s="3" t="str">
        <f>IF(S312&lt;&gt;"Churn",VLOOKUP(A312,[3]Export!$B$2:$O$417,8,0),"CHURN")</f>
        <v>NO RISK</v>
      </c>
      <c r="S312" s="3"/>
      <c r="T312" s="3"/>
      <c r="U312" s="3" t="s">
        <v>551</v>
      </c>
      <c r="V312" s="4" t="str" cm="1">
        <f t="array" ref="V312">IFERROR(
    IF(
        MATCH(2,1/((Y312:BH312&lt;&gt;0)*(Y312:BH312&lt;&gt;"")))-MATCH(1,INDEX((Y312:BH312&lt;&gt;0)*(Y312:BH312&lt;&gt;""),0),0)+1 &lt;= 12,
        "No",
        "Yes"
    ),
    "No"
)</f>
        <v>Yes</v>
      </c>
      <c r="W312" s="4" t="str" cm="1">
        <f t="array" ref="W312">IFERROR(
    IF(
        MATCH(2,1/((Y312:BH312&lt;&gt;0)*(Y312:BH312&lt;&gt;"")))-MATCH(1,INDEX((Y312:BH312&lt;&gt;0)*(Y312:BH312&lt;&gt;""),0),0)+1 &lt;= 24,
        "No",
        "Yes"
    ),
    "No"
)</f>
        <v>No</v>
      </c>
      <c r="X312" s="3"/>
      <c r="Y312" s="4">
        <v>0</v>
      </c>
      <c r="Z312" s="4">
        <v>0</v>
      </c>
      <c r="AA312" s="4">
        <v>0</v>
      </c>
      <c r="AB312" s="4">
        <v>0</v>
      </c>
      <c r="AC312" s="4">
        <v>0</v>
      </c>
      <c r="AD312" s="4">
        <v>0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4">
        <v>0</v>
      </c>
      <c r="AQ312" s="4">
        <v>539.99999800000001</v>
      </c>
      <c r="AR312" s="4">
        <v>539.99999800000001</v>
      </c>
      <c r="AS312" s="4">
        <v>539.99999800000001</v>
      </c>
      <c r="AT312" s="4">
        <v>539.99999800000001</v>
      </c>
      <c r="AU312" s="4">
        <v>539.99999800000001</v>
      </c>
      <c r="AV312" s="4">
        <v>539.99999800000001</v>
      </c>
      <c r="AW312" s="4">
        <v>539.99999800000001</v>
      </c>
      <c r="AX312" s="4">
        <v>539.99999800000001</v>
      </c>
      <c r="AY312" s="4">
        <v>539.99999800000001</v>
      </c>
      <c r="AZ312" s="4">
        <v>539.99999800000001</v>
      </c>
      <c r="BA312" s="4">
        <v>539.99999800000001</v>
      </c>
      <c r="BB312" s="4">
        <v>539.99999800000001</v>
      </c>
      <c r="BC312" s="4">
        <v>539.99999800000001</v>
      </c>
      <c r="BD312" s="4">
        <v>539.99999800000001</v>
      </c>
      <c r="BE312" s="4">
        <v>539.99999800000001</v>
      </c>
      <c r="BF312" s="4">
        <v>539.99999800000001</v>
      </c>
      <c r="BG312" s="4">
        <v>539.99999800000001</v>
      </c>
      <c r="BH312" s="4">
        <v>539.99999800000001</v>
      </c>
      <c r="BJ312" s="9"/>
    </row>
    <row r="313" spans="1:62" x14ac:dyDescent="0.25">
      <c r="A313" s="8" t="s">
        <v>409</v>
      </c>
      <c r="B313" s="8"/>
      <c r="C313" s="7" t="s">
        <v>526</v>
      </c>
      <c r="D313" s="3"/>
      <c r="E313" s="3">
        <f>VLOOKUP(A313,[2]Sheet1!$A$2:$E$627,5,0)</f>
        <v>481.01051000000007</v>
      </c>
      <c r="F313" s="3">
        <f>VLOOKUP(A313,[2]Sheet1!$A$2:$F$627,6,0)</f>
        <v>481.01051000000007</v>
      </c>
      <c r="G313" s="3">
        <f>VLOOKUP(A313,[2]Sheet1!$A$2:$G$627,7,0)</f>
        <v>0</v>
      </c>
      <c r="H313" s="4">
        <f t="shared" si="24"/>
        <v>481.01051000000007</v>
      </c>
      <c r="I313" s="11">
        <f t="shared" si="25"/>
        <v>0</v>
      </c>
      <c r="J313" s="11">
        <f t="shared" si="26"/>
        <v>-1</v>
      </c>
      <c r="K313" s="11">
        <f t="shared" si="27"/>
        <v>-1</v>
      </c>
      <c r="L313" s="11">
        <f>IF(S313="",((BG313-E313)/E313),((U313-E313)/E313))</f>
        <v>0</v>
      </c>
      <c r="M313" s="3" t="str">
        <f>IF(S313="Churn","Churn",VLOOKUP(A313,'[1]Revenue_Engine_2025 Dec.25'!$C$14:$E$3993,3,0))</f>
        <v>Üretim</v>
      </c>
      <c r="N313" s="3">
        <f>IF(S313="",VLOOKUP(A313,[3]Export!$B$2:$F$417,5,0),"CHURN")</f>
        <v>0.3305541078509906</v>
      </c>
      <c r="O313" s="3">
        <f>(1-N313)*H313</f>
        <v>322.01051000000007</v>
      </c>
      <c r="P313" s="3">
        <f t="shared" si="29"/>
        <v>322.01051000000007</v>
      </c>
      <c r="Q313" s="3">
        <f t="shared" si="28"/>
        <v>0</v>
      </c>
      <c r="R313" s="3" t="str">
        <f>IF(S313&lt;&gt;"Churn",VLOOKUP(A313,[3]Export!$B$2:$O$417,8,0),"CHURN")</f>
        <v>NO RISK</v>
      </c>
      <c r="S313" s="3"/>
      <c r="T313" s="3"/>
      <c r="U313" s="3" t="s">
        <v>551</v>
      </c>
      <c r="V313" s="4" t="str" cm="1">
        <f t="array" ref="V313">IFERROR(
    IF(
        MATCH(2,1/((Y313:BH313&lt;&gt;0)*(Y313:BH313&lt;&gt;"")))-MATCH(1,INDEX((Y313:BH313&lt;&gt;0)*(Y313:BH313&lt;&gt;""),0),0)+1 &lt;= 12,
        "No",
        "Yes"
    ),
    "No"
)</f>
        <v>Yes</v>
      </c>
      <c r="W313" s="4" t="str" cm="1">
        <f t="array" ref="W313">IFERROR(
    IF(
        MATCH(2,1/((Y313:BH313&lt;&gt;0)*(Y313:BH313&lt;&gt;"")))-MATCH(1,INDEX((Y313:BH313&lt;&gt;0)*(Y313:BH313&lt;&gt;""),0),0)+1 &lt;= 24,
        "No",
        "Yes"
    ),
    "No"
)</f>
        <v>No</v>
      </c>
      <c r="X313" s="3"/>
      <c r="Y313" s="4">
        <v>0</v>
      </c>
      <c r="Z313" s="4">
        <v>0</v>
      </c>
      <c r="AA313" s="4">
        <v>0</v>
      </c>
      <c r="AB313" s="4">
        <v>0</v>
      </c>
      <c r="AC313" s="4">
        <v>0</v>
      </c>
      <c r="AD313" s="4">
        <v>0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4">
        <v>0</v>
      </c>
      <c r="AQ313" s="4">
        <v>481.01051000000007</v>
      </c>
      <c r="AR313" s="4">
        <v>481.01051000000007</v>
      </c>
      <c r="AS313" s="4">
        <v>481.01051000000007</v>
      </c>
      <c r="AT313" s="4">
        <v>481.01051000000007</v>
      </c>
      <c r="AU313" s="4">
        <v>481.01051000000007</v>
      </c>
      <c r="AV313" s="4">
        <v>481.01051000000007</v>
      </c>
      <c r="AW313" s="4">
        <v>481.01051000000007</v>
      </c>
      <c r="AX313" s="4">
        <v>481.01051000000007</v>
      </c>
      <c r="AY313" s="4">
        <v>481.01051000000007</v>
      </c>
      <c r="AZ313" s="4">
        <v>481.01051000000007</v>
      </c>
      <c r="BA313" s="4">
        <v>481.01051000000007</v>
      </c>
      <c r="BB313" s="4">
        <v>481.01051000000007</v>
      </c>
      <c r="BC313" s="4">
        <v>481.01051000000007</v>
      </c>
      <c r="BD313" s="4">
        <v>481.01051000000007</v>
      </c>
      <c r="BE313" s="4">
        <v>481.01051000000007</v>
      </c>
      <c r="BF313" s="4">
        <v>481.01051000000007</v>
      </c>
      <c r="BG313" s="4">
        <v>481.01051000000007</v>
      </c>
      <c r="BH313" s="4">
        <v>481.01051000000007</v>
      </c>
      <c r="BJ313" s="9"/>
    </row>
    <row r="314" spans="1:62" x14ac:dyDescent="0.25">
      <c r="A314" s="8" t="s">
        <v>498</v>
      </c>
      <c r="B314" s="8"/>
      <c r="C314" s="7" t="s">
        <v>526</v>
      </c>
      <c r="D314" s="3"/>
      <c r="E314" s="3">
        <f>VLOOKUP(A314,[2]Sheet1!$A$2:$E$627,5,0)</f>
        <v>171.66666666666666</v>
      </c>
      <c r="F314" s="3">
        <f>VLOOKUP(A314,[2]Sheet1!$A$2:$F$627,6,0)</f>
        <v>6</v>
      </c>
      <c r="G314" s="3">
        <f>VLOOKUP(A314,[2]Sheet1!$A$2:$G$627,7,0)</f>
        <v>0</v>
      </c>
      <c r="H314" s="4">
        <f t="shared" si="24"/>
        <v>6</v>
      </c>
      <c r="I314" s="11">
        <f t="shared" si="25"/>
        <v>-0.96504854368932036</v>
      </c>
      <c r="J314" s="11">
        <f t="shared" si="26"/>
        <v>-1</v>
      </c>
      <c r="K314" s="11">
        <f t="shared" si="27"/>
        <v>-1</v>
      </c>
      <c r="L314" s="11">
        <f>IF(S314="",((BG314-E314)/E314),((U314-E314)/E314))</f>
        <v>-0.96504854368932036</v>
      </c>
      <c r="M314" s="3" t="str">
        <f>IF(S314="Churn","Churn",VLOOKUP(A314,'[1]Revenue_Engine_2025 Dec.25'!$C$14:$E$3993,3,0))</f>
        <v>Churn</v>
      </c>
      <c r="N314" s="3" t="str">
        <f>IF(S314="",VLOOKUP(A314,[3]Export!$B$2:$F$417,5,0),"CHURN")</f>
        <v>CHURN</v>
      </c>
      <c r="O314" s="3" t="e">
        <f>(1-N314)*H314</f>
        <v>#VALUE!</v>
      </c>
      <c r="P314" s="3" t="e">
        <f t="shared" si="29"/>
        <v>#VALUE!</v>
      </c>
      <c r="Q314" s="3" t="e">
        <f t="shared" si="28"/>
        <v>#VALUE!</v>
      </c>
      <c r="R314" s="3" t="str">
        <f>IF(S314&lt;&gt;"Churn",VLOOKUP(A314,[3]Export!$B$2:$O$417,8,0),"CHURN")</f>
        <v>CHURN</v>
      </c>
      <c r="S314" s="3" t="s">
        <v>372</v>
      </c>
      <c r="T314" s="3" t="s">
        <v>556</v>
      </c>
      <c r="U314" s="3">
        <v>6</v>
      </c>
      <c r="V314" s="4" t="str" cm="1">
        <f t="array" ref="V314">IFERROR(
    IF(
        MATCH(2,1/((Y314:BH314&lt;&gt;0)*(Y314:BH314&lt;&gt;"")))-MATCH(1,INDEX((Y314:BH314&lt;&gt;0)*(Y314:BH314&lt;&gt;""),0),0)+1 &lt;= 12,
        "No",
        "Yes"
    ),
    "No"
)</f>
        <v>Yes</v>
      </c>
      <c r="W314" s="4" t="str" cm="1">
        <f t="array" ref="W314">IFERROR(
    IF(
        MATCH(2,1/((Y314:BH314&lt;&gt;0)*(Y314:BH314&lt;&gt;"")))-MATCH(1,INDEX((Y314:BH314&lt;&gt;0)*(Y314:BH314&lt;&gt;""),0),0)+1 &lt;= 24,
        "No",
        "Yes"
    ),
    "No"
)</f>
        <v>No</v>
      </c>
      <c r="X314" s="3"/>
      <c r="Y314" s="4">
        <v>0</v>
      </c>
      <c r="Z314" s="4">
        <v>0</v>
      </c>
      <c r="AA314" s="4">
        <v>0</v>
      </c>
      <c r="AB314" s="4">
        <v>0</v>
      </c>
      <c r="AC314" s="4">
        <v>0</v>
      </c>
      <c r="AD314" s="4">
        <v>0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4">
        <v>0</v>
      </c>
      <c r="AQ314" s="4">
        <v>171.66666666666666</v>
      </c>
      <c r="AR314" s="4">
        <v>171.66666666666666</v>
      </c>
      <c r="AS314" s="4">
        <v>171.66666666666666</v>
      </c>
      <c r="AT314" s="4">
        <v>171.66666666666666</v>
      </c>
      <c r="AU314" s="4">
        <v>171.66666666666666</v>
      </c>
      <c r="AV314" s="4">
        <v>177.66666666666666</v>
      </c>
      <c r="AW314" s="4">
        <v>177.66666666666666</v>
      </c>
      <c r="AX314" s="4">
        <v>177.66666666666666</v>
      </c>
      <c r="AY314" s="4">
        <v>177.66666666666666</v>
      </c>
      <c r="AZ314" s="4">
        <v>177.66666666666666</v>
      </c>
      <c r="BA314" s="4">
        <v>177.66666666666666</v>
      </c>
      <c r="BB314" s="4">
        <v>177.66666666666666</v>
      </c>
      <c r="BC314" s="4">
        <v>6</v>
      </c>
      <c r="BD314" s="4">
        <v>6</v>
      </c>
      <c r="BE314" s="4">
        <v>6</v>
      </c>
      <c r="BF314" s="4">
        <v>6</v>
      </c>
      <c r="BG314" s="4">
        <v>6</v>
      </c>
      <c r="BH314" s="4">
        <v>0</v>
      </c>
      <c r="BJ314" s="9"/>
    </row>
    <row r="315" spans="1:62" x14ac:dyDescent="0.25">
      <c r="A315" s="8" t="s">
        <v>484</v>
      </c>
      <c r="B315" s="8"/>
      <c r="C315" s="7" t="s">
        <v>526</v>
      </c>
      <c r="D315" s="3"/>
      <c r="E315" s="3">
        <f>VLOOKUP(A315,[2]Sheet1!$A$2:$E$627,5,0)</f>
        <v>85.999999916666667</v>
      </c>
      <c r="F315" s="3">
        <f>VLOOKUP(A315,[2]Sheet1!$A$2:$F$627,6,0)</f>
        <v>86</v>
      </c>
      <c r="G315" s="3">
        <f>VLOOKUP(A315,[2]Sheet1!$A$2:$G$627,7,0)</f>
        <v>0</v>
      </c>
      <c r="H315" s="4">
        <f t="shared" si="24"/>
        <v>0</v>
      </c>
      <c r="I315" s="11">
        <f t="shared" si="25"/>
        <v>9.6899224655449132E-10</v>
      </c>
      <c r="J315" s="11">
        <f t="shared" si="26"/>
        <v>-1</v>
      </c>
      <c r="K315" s="11">
        <f t="shared" si="27"/>
        <v>-1</v>
      </c>
      <c r="L315" s="11">
        <f>IF(S315="",((BG315-E315)/E315),((U315-E315)/E315))</f>
        <v>0</v>
      </c>
      <c r="M315" s="3" t="str">
        <f>IF(S315="Churn","Churn",VLOOKUP(A315,'[1]Revenue_Engine_2025 Dec.25'!$C$14:$E$3993,3,0))</f>
        <v>Churn</v>
      </c>
      <c r="N315" s="3" t="str">
        <f>IF(S315="",VLOOKUP(A315,[3]Export!$B$2:$F$417,5,0),"CHURN")</f>
        <v>CHURN</v>
      </c>
      <c r="O315" s="3" t="e">
        <f>(1-N315)*H315</f>
        <v>#VALUE!</v>
      </c>
      <c r="P315" s="3" t="e">
        <f t="shared" si="29"/>
        <v>#VALUE!</v>
      </c>
      <c r="Q315" s="3" t="e">
        <f t="shared" si="28"/>
        <v>#VALUE!</v>
      </c>
      <c r="R315" s="3" t="str">
        <f>IF(S315&lt;&gt;"Churn",VLOOKUP(A315,[3]Export!$B$2:$O$417,8,0),"CHURN")</f>
        <v>CHURN</v>
      </c>
      <c r="S315" s="3" t="s">
        <v>372</v>
      </c>
      <c r="T315" s="3" t="s">
        <v>550</v>
      </c>
      <c r="U315" s="3">
        <v>85.999999916666667</v>
      </c>
      <c r="V315" s="4" t="str" cm="1">
        <f t="array" ref="V315">IFERROR(
    IF(
        MATCH(2,1/((Y315:BH315&lt;&gt;0)*(Y315:BH315&lt;&gt;"")))-MATCH(1,INDEX((Y315:BH315&lt;&gt;0)*(Y315:BH315&lt;&gt;""),0),0)+1 &lt;= 12,
        "No",
        "Yes"
    ),
    "No"
)</f>
        <v>No</v>
      </c>
      <c r="W315" s="4" t="str" cm="1">
        <f t="array" ref="W315">IFERROR(
    IF(
        MATCH(2,1/((Y315:BH315&lt;&gt;0)*(Y315:BH315&lt;&gt;"")))-MATCH(1,INDEX((Y315:BH315&lt;&gt;0)*(Y315:BH315&lt;&gt;""),0),0)+1 &lt;= 24,
        "No",
        "Yes"
    ),
    "No"
)</f>
        <v>No</v>
      </c>
      <c r="X315" s="3"/>
      <c r="Y315" s="4">
        <v>0</v>
      </c>
      <c r="Z315" s="4">
        <v>0</v>
      </c>
      <c r="AA315" s="4">
        <v>0</v>
      </c>
      <c r="AB315" s="4">
        <v>0</v>
      </c>
      <c r="AC315" s="4">
        <v>0</v>
      </c>
      <c r="AD315" s="4">
        <v>0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4">
        <v>0</v>
      </c>
      <c r="AQ315" s="4">
        <v>85.999999916666667</v>
      </c>
      <c r="AR315" s="4">
        <v>85.999999916666667</v>
      </c>
      <c r="AS315" s="4">
        <v>85.999999916666667</v>
      </c>
      <c r="AT315" s="4">
        <v>85.999999916666667</v>
      </c>
      <c r="AU315" s="4">
        <v>85.999999916666667</v>
      </c>
      <c r="AV315" s="4">
        <v>85.999999916666667</v>
      </c>
      <c r="AW315" s="4">
        <v>85.999999916666667</v>
      </c>
      <c r="AX315" s="4">
        <v>85.999999916666667</v>
      </c>
      <c r="AY315" s="4">
        <v>85.999999916666667</v>
      </c>
      <c r="AZ315" s="4">
        <v>85.999999916666667</v>
      </c>
      <c r="BA315" s="4">
        <v>85.999999916666667</v>
      </c>
      <c r="BB315" s="4">
        <v>85.999999916666667</v>
      </c>
      <c r="BC315" s="4">
        <v>0</v>
      </c>
      <c r="BD315" s="4">
        <v>0</v>
      </c>
      <c r="BE315" s="4">
        <v>0</v>
      </c>
      <c r="BF315" s="4">
        <v>0</v>
      </c>
      <c r="BG315" s="4">
        <v>0</v>
      </c>
      <c r="BH315" s="4">
        <v>0</v>
      </c>
      <c r="BJ315" s="9"/>
    </row>
    <row r="316" spans="1:62" x14ac:dyDescent="0.25">
      <c r="A316" s="8" t="s">
        <v>515</v>
      </c>
      <c r="B316" s="8"/>
      <c r="C316" s="7" t="s">
        <v>526</v>
      </c>
      <c r="D316" s="3"/>
      <c r="E316" s="3">
        <f>VLOOKUP(A316,[2]Sheet1!$A$2:$E$627,5,0)</f>
        <v>103.19883349999998</v>
      </c>
      <c r="F316" s="3">
        <f>VLOOKUP(A316,[2]Sheet1!$A$2:$F$627,6,0)</f>
        <v>0</v>
      </c>
      <c r="G316" s="3">
        <f>VLOOKUP(A316,[2]Sheet1!$A$2:$G$627,7,0)</f>
        <v>0</v>
      </c>
      <c r="H316" s="4">
        <f t="shared" si="24"/>
        <v>0</v>
      </c>
      <c r="I316" s="11">
        <f t="shared" si="25"/>
        <v>-1</v>
      </c>
      <c r="J316" s="11">
        <f t="shared" si="26"/>
        <v>-1</v>
      </c>
      <c r="K316" s="11" t="e">
        <f t="shared" si="27"/>
        <v>#DIV/0!</v>
      </c>
      <c r="L316" s="11">
        <f>IF(S316="",((BG316-E316)/E316),((U316-E316)/E316))</f>
        <v>0</v>
      </c>
      <c r="M316" s="3" t="str">
        <f>IF(S316="Churn","Churn",VLOOKUP(A316,'[1]Revenue_Engine_2025 Dec.25'!$C$14:$E$3993,3,0))</f>
        <v>Churn</v>
      </c>
      <c r="N316" s="3" t="str">
        <f>IF(S316="",VLOOKUP(A316,[3]Export!$B$2:$F$417,5,0),"CHURN")</f>
        <v>CHURN</v>
      </c>
      <c r="O316" s="3" t="e">
        <f>(1-N316)*H316</f>
        <v>#VALUE!</v>
      </c>
      <c r="P316" s="3" t="e">
        <f t="shared" si="29"/>
        <v>#VALUE!</v>
      </c>
      <c r="Q316" s="3" t="e">
        <f t="shared" si="28"/>
        <v>#VALUE!</v>
      </c>
      <c r="R316" s="3" t="str">
        <f>IF(S316&lt;&gt;"Churn",VLOOKUP(A316,[3]Export!$B$2:$O$417,8,0),"CHURN")</f>
        <v>CHURN</v>
      </c>
      <c r="S316" s="3" t="s">
        <v>372</v>
      </c>
      <c r="T316" s="3" t="s">
        <v>555</v>
      </c>
      <c r="U316" s="3">
        <v>103.19883349999998</v>
      </c>
      <c r="V316" s="4" t="str" cm="1">
        <f t="array" ref="V316">IFERROR(
    IF(
        MATCH(2,1/((Y316:BH316&lt;&gt;0)*(Y316:BH316&lt;&gt;"")))-MATCH(1,INDEX((Y316:BH316&lt;&gt;0)*(Y316:BH316&lt;&gt;""),0),0)+1 &lt;= 12,
        "No",
        "Yes"
    ),
    "No"
)</f>
        <v>No</v>
      </c>
      <c r="W316" s="4" t="str" cm="1">
        <f t="array" ref="W316">IFERROR(
    IF(
        MATCH(2,1/((Y316:BH316&lt;&gt;0)*(Y316:BH316&lt;&gt;"")))-MATCH(1,INDEX((Y316:BH316&lt;&gt;0)*(Y316:BH316&lt;&gt;""),0),0)+1 &lt;= 24,
        "No",
        "Yes"
    ),
    "No"
)</f>
        <v>No</v>
      </c>
      <c r="X316" s="3"/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4">
        <v>0</v>
      </c>
      <c r="AQ316" s="4">
        <v>0</v>
      </c>
      <c r="AR316" s="4">
        <v>103.19883349999998</v>
      </c>
      <c r="AS316" s="4">
        <v>103.19883349999998</v>
      </c>
      <c r="AT316" s="4">
        <v>103.19883349999998</v>
      </c>
      <c r="AU316" s="4">
        <v>103.19883349999998</v>
      </c>
      <c r="AV316" s="4">
        <v>103.19883349999998</v>
      </c>
      <c r="AW316" s="4">
        <v>103.19883349999998</v>
      </c>
      <c r="AX316" s="4">
        <v>103.19883349999998</v>
      </c>
      <c r="AY316" s="4">
        <v>103.19883349999998</v>
      </c>
      <c r="AZ316" s="4">
        <v>103.19883349999998</v>
      </c>
      <c r="BA316" s="4">
        <v>103.19883349999998</v>
      </c>
      <c r="BB316" s="4">
        <v>0</v>
      </c>
      <c r="BC316" s="4">
        <v>0</v>
      </c>
      <c r="BD316" s="4">
        <v>0</v>
      </c>
      <c r="BE316" s="4">
        <v>0</v>
      </c>
      <c r="BF316" s="4">
        <v>0</v>
      </c>
      <c r="BG316" s="4">
        <v>0</v>
      </c>
      <c r="BH316" s="4">
        <v>0</v>
      </c>
      <c r="BJ316" s="9"/>
    </row>
    <row r="317" spans="1:62" x14ac:dyDescent="0.25">
      <c r="A317" s="8" t="s">
        <v>434</v>
      </c>
      <c r="B317" s="8"/>
      <c r="C317" s="7" t="s">
        <v>526</v>
      </c>
      <c r="D317" s="3"/>
      <c r="E317" s="3">
        <f>VLOOKUP(A317,[2]Sheet1!$A$2:$E$627,5,0)</f>
        <v>218.33352000000002</v>
      </c>
      <c r="F317" s="3">
        <f>VLOOKUP(A317,[2]Sheet1!$A$2:$F$627,6,0)</f>
        <v>222.33352000000002</v>
      </c>
      <c r="G317" s="3">
        <f>VLOOKUP(A317,[2]Sheet1!$A$2:$G$627,7,0)</f>
        <v>0</v>
      </c>
      <c r="H317" s="4">
        <f t="shared" si="24"/>
        <v>222.33352000000002</v>
      </c>
      <c r="I317" s="11">
        <f t="shared" si="25"/>
        <v>1.8320595023613412E-2</v>
      </c>
      <c r="J317" s="11">
        <f t="shared" si="26"/>
        <v>-1</v>
      </c>
      <c r="K317" s="11">
        <f t="shared" si="27"/>
        <v>-1</v>
      </c>
      <c r="L317" s="11">
        <f>IF(S317="",((BG317-E317)/E317),((U317-E317)/E317))</f>
        <v>1.8320595023613412E-2</v>
      </c>
      <c r="M317" s="3" t="str">
        <f>IF(S317="Churn","Churn",VLOOKUP(A317,'[1]Revenue_Engine_2025 Dec.25'!$C$14:$E$3993,3,0))</f>
        <v>Diğer</v>
      </c>
      <c r="N317" s="3">
        <f>IF(S317="",VLOOKUP(A317,[3]Export!$B$2:$F$417,5,0),"CHURN")</f>
        <v>0.23073443896358947</v>
      </c>
      <c r="O317" s="3">
        <f>(1-N317)*H317</f>
        <v>171.03352000000001</v>
      </c>
      <c r="P317" s="3">
        <f t="shared" si="29"/>
        <v>171.03352000000001</v>
      </c>
      <c r="Q317" s="3">
        <f t="shared" si="28"/>
        <v>0</v>
      </c>
      <c r="R317" s="3" t="str">
        <f>IF(S317&lt;&gt;"Churn",VLOOKUP(A317,[3]Export!$B$2:$O$417,8,0),"CHURN")</f>
        <v>NO RISK</v>
      </c>
      <c r="S317" s="3"/>
      <c r="T317" s="3"/>
      <c r="U317" s="3" t="s">
        <v>551</v>
      </c>
      <c r="V317" s="4" t="str" cm="1">
        <f t="array" ref="V317">IFERROR(
    IF(
        MATCH(2,1/((Y317:BH317&lt;&gt;0)*(Y317:BH317&lt;&gt;"")))-MATCH(1,INDEX((Y317:BH317&lt;&gt;0)*(Y317:BH317&lt;&gt;""),0),0)+1 &lt;= 12,
        "No",
        "Yes"
    ),
    "No"
)</f>
        <v>Yes</v>
      </c>
      <c r="W317" s="4" t="str" cm="1">
        <f t="array" ref="W317">IFERROR(
    IF(
        MATCH(2,1/((Y317:BH317&lt;&gt;0)*(Y317:BH317&lt;&gt;"")))-MATCH(1,INDEX((Y317:BH317&lt;&gt;0)*(Y317:BH317&lt;&gt;""),0),0)+1 &lt;= 24,
        "No",
        "Yes"
    ),
    "No"
)</f>
        <v>No</v>
      </c>
      <c r="X317" s="3"/>
      <c r="Y317" s="4">
        <v>0</v>
      </c>
      <c r="Z317" s="4">
        <v>0</v>
      </c>
      <c r="AA317" s="4">
        <v>0</v>
      </c>
      <c r="AB317" s="4">
        <v>0</v>
      </c>
      <c r="AC317" s="4">
        <v>0</v>
      </c>
      <c r="AD317" s="4">
        <v>0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4">
        <v>0</v>
      </c>
      <c r="AQ317" s="4">
        <v>0</v>
      </c>
      <c r="AR317" s="4">
        <v>181.98952</v>
      </c>
      <c r="AS317" s="4">
        <v>208.33352000000002</v>
      </c>
      <c r="AT317" s="4">
        <v>218.33352000000002</v>
      </c>
      <c r="AU317" s="4">
        <v>218.33352000000002</v>
      </c>
      <c r="AV317" s="4">
        <v>218.33352000000002</v>
      </c>
      <c r="AW317" s="4">
        <v>218.33352000000002</v>
      </c>
      <c r="AX317" s="4">
        <v>218.33352000000002</v>
      </c>
      <c r="AY317" s="4">
        <v>222.33352000000002</v>
      </c>
      <c r="AZ317" s="4">
        <v>222.33352000000005</v>
      </c>
      <c r="BA317" s="4">
        <v>222.33352000000002</v>
      </c>
      <c r="BB317" s="4">
        <v>222.33352000000002</v>
      </c>
      <c r="BC317" s="4">
        <v>222.33352000000002</v>
      </c>
      <c r="BD317" s="4">
        <v>222.33352000000002</v>
      </c>
      <c r="BE317" s="4">
        <v>222.33352000000002</v>
      </c>
      <c r="BF317" s="4">
        <v>222.33352000000002</v>
      </c>
      <c r="BG317" s="4">
        <v>222.33352000000002</v>
      </c>
      <c r="BH317" s="4">
        <v>222.33352000000002</v>
      </c>
      <c r="BJ317" s="9"/>
    </row>
    <row r="318" spans="1:62" x14ac:dyDescent="0.25">
      <c r="A318" s="8" t="s">
        <v>442</v>
      </c>
      <c r="B318" s="8"/>
      <c r="C318" s="7" t="s">
        <v>526</v>
      </c>
      <c r="D318" s="3"/>
      <c r="E318" s="3">
        <f>VLOOKUP(A318,[2]Sheet1!$A$2:$E$627,5,0)</f>
        <v>160.95690114630372</v>
      </c>
      <c r="F318" s="3">
        <f>VLOOKUP(A318,[2]Sheet1!$A$2:$F$627,6,0)</f>
        <v>183.37365819042566</v>
      </c>
      <c r="G318" s="3">
        <f>VLOOKUP(A318,[2]Sheet1!$A$2:$G$627,7,0)</f>
        <v>0</v>
      </c>
      <c r="H318" s="4">
        <f t="shared" si="24"/>
        <v>178.97590378250644</v>
      </c>
      <c r="I318" s="11">
        <f t="shared" si="25"/>
        <v>0.13927179813027063</v>
      </c>
      <c r="J318" s="11">
        <f t="shared" si="26"/>
        <v>-1</v>
      </c>
      <c r="K318" s="11">
        <f t="shared" si="27"/>
        <v>-1</v>
      </c>
      <c r="L318" s="11">
        <f>IF(S318="",((BG318-E318)/E318),((U318-E318)/E318))</f>
        <v>0.10027573672446942</v>
      </c>
      <c r="M318" s="3" t="str">
        <f>IF(S318="Churn","Churn",VLOOKUP(A318,'[1]Revenue_Engine_2025 Dec.25'!$C$14:$E$3993,3,0))</f>
        <v>Teknoloji</v>
      </c>
      <c r="N318" s="3">
        <f>IF(S318="",VLOOKUP(A318,[3]Export!$B$2:$F$417,5,0),"CHURN")</f>
        <v>0.16287855925254413</v>
      </c>
      <c r="O318" s="3">
        <f>(1-N318)*H318</f>
        <v>149.82456643348982</v>
      </c>
      <c r="P318" s="3">
        <f t="shared" si="29"/>
        <v>153.50602093950064</v>
      </c>
      <c r="Q318" s="3">
        <f t="shared" si="28"/>
        <v>0</v>
      </c>
      <c r="R318" s="3" t="str">
        <f>IF(S318&lt;&gt;"Churn",VLOOKUP(A318,[3]Export!$B$2:$O$417,8,0),"CHURN")</f>
        <v>NO RISK</v>
      </c>
      <c r="S318" s="3"/>
      <c r="T318" s="3"/>
      <c r="U318" s="3" t="s">
        <v>551</v>
      </c>
      <c r="V318" s="4" t="str" cm="1">
        <f t="array" ref="V318">IFERROR(
    IF(
        MATCH(2,1/((Y318:BH318&lt;&gt;0)*(Y318:BH318&lt;&gt;"")))-MATCH(1,INDEX((Y318:BH318&lt;&gt;0)*(Y318:BH318&lt;&gt;""),0),0)+1 &lt;= 12,
        "No",
        "Yes"
    ),
    "No"
)</f>
        <v>Yes</v>
      </c>
      <c r="W318" s="4" t="str" cm="1">
        <f t="array" ref="W318">IFERROR(
    IF(
        MATCH(2,1/((Y318:BH318&lt;&gt;0)*(Y318:BH318&lt;&gt;"")))-MATCH(1,INDEX((Y318:BH318&lt;&gt;0)*(Y318:BH318&lt;&gt;""),0),0)+1 &lt;= 24,
        "No",
        "Yes"
    ),
    "No"
)</f>
        <v>No</v>
      </c>
      <c r="X318" s="3"/>
      <c r="Y318" s="4">
        <v>0</v>
      </c>
      <c r="Z318" s="4">
        <v>0</v>
      </c>
      <c r="AA318" s="4">
        <v>0</v>
      </c>
      <c r="AB318" s="4">
        <v>0</v>
      </c>
      <c r="AC318" s="4">
        <v>0</v>
      </c>
      <c r="AD318" s="4">
        <v>0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4">
        <v>0</v>
      </c>
      <c r="AQ318" s="4">
        <v>0</v>
      </c>
      <c r="AR318" s="4">
        <v>148.9401435184358</v>
      </c>
      <c r="AS318" s="4">
        <v>147.23493294934539</v>
      </c>
      <c r="AT318" s="4">
        <v>160.95690114630372</v>
      </c>
      <c r="AU318" s="4">
        <v>160.06967331294146</v>
      </c>
      <c r="AV318" s="4">
        <v>157.58076664336389</v>
      </c>
      <c r="AW318" s="4">
        <v>155.20529339391035</v>
      </c>
      <c r="AX318" s="4">
        <v>152.46930471351072</v>
      </c>
      <c r="AY318" s="4">
        <v>148.66539216507778</v>
      </c>
      <c r="AZ318" s="4">
        <v>162.68872629981078</v>
      </c>
      <c r="BA318" s="4">
        <v>159.96135434072954</v>
      </c>
      <c r="BB318" s="4">
        <v>157.24551217862489</v>
      </c>
      <c r="BC318" s="4">
        <v>154.220866219101</v>
      </c>
      <c r="BD318" s="4">
        <v>183.37365819042566</v>
      </c>
      <c r="BE318" s="4">
        <v>181.15402584864373</v>
      </c>
      <c r="BF318" s="4">
        <v>178.97590378250644</v>
      </c>
      <c r="BG318" s="4">
        <v>177.09697298963692</v>
      </c>
      <c r="BH318" s="4">
        <v>175.37067248104339</v>
      </c>
      <c r="BJ318" s="9"/>
    </row>
    <row r="319" spans="1:62" x14ac:dyDescent="0.25">
      <c r="A319" s="8" t="s">
        <v>454</v>
      </c>
      <c r="B319" s="8"/>
      <c r="C319" s="7" t="s">
        <v>526</v>
      </c>
      <c r="D319" s="3"/>
      <c r="E319" s="3">
        <f>VLOOKUP(A319,[2]Sheet1!$A$2:$E$627,5,0)</f>
        <v>119.2</v>
      </c>
      <c r="F319" s="3">
        <f>VLOOKUP(A319,[2]Sheet1!$A$2:$F$627,6,0)</f>
        <v>119.2</v>
      </c>
      <c r="G319" s="3">
        <f>VLOOKUP(A319,[2]Sheet1!$A$2:$G$627,7,0)</f>
        <v>0</v>
      </c>
      <c r="H319" s="4">
        <f t="shared" si="24"/>
        <v>119.2</v>
      </c>
      <c r="I319" s="11">
        <f t="shared" si="25"/>
        <v>0</v>
      </c>
      <c r="J319" s="11">
        <f t="shared" si="26"/>
        <v>-1</v>
      </c>
      <c r="K319" s="11">
        <f t="shared" si="27"/>
        <v>-1</v>
      </c>
      <c r="L319" s="11">
        <f>IF(S319="",((BG319-E319)/E319),((U319-E319)/E319))</f>
        <v>0</v>
      </c>
      <c r="M319" s="3" t="str">
        <f>IF(S319="Churn","Churn",VLOOKUP(A319,'[1]Revenue_Engine_2025 Dec.25'!$C$14:$E$3993,3,0))</f>
        <v>Diğer</v>
      </c>
      <c r="N319" s="3">
        <f>IF(S319="",VLOOKUP(A319,[3]Export!$B$2:$F$417,5,0),"CHURN")</f>
        <v>0.31952409395973147</v>
      </c>
      <c r="O319" s="3">
        <f>(1-N319)*H319</f>
        <v>81.112728000000004</v>
      </c>
      <c r="P319" s="3">
        <f t="shared" si="29"/>
        <v>81.112728000000004</v>
      </c>
      <c r="Q319" s="3">
        <f t="shared" si="28"/>
        <v>0</v>
      </c>
      <c r="R319" s="3" t="str">
        <f>IF(S319&lt;&gt;"Churn",VLOOKUP(A319,[3]Export!$B$2:$O$417,8,0),"CHURN")</f>
        <v>NO RISK</v>
      </c>
      <c r="S319" s="3"/>
      <c r="T319" s="3"/>
      <c r="U319" s="3" t="s">
        <v>551</v>
      </c>
      <c r="V319" s="4" t="str" cm="1">
        <f t="array" ref="V319">IFERROR(
    IF(
        MATCH(2,1/((Y319:BH319&lt;&gt;0)*(Y319:BH319&lt;&gt;"")))-MATCH(1,INDEX((Y319:BH319&lt;&gt;0)*(Y319:BH319&lt;&gt;""),0),0)+1 &lt;= 12,
        "No",
        "Yes"
    ),
    "No"
)</f>
        <v>Yes</v>
      </c>
      <c r="W319" s="4" t="str" cm="1">
        <f t="array" ref="W319">IFERROR(
    IF(
        MATCH(2,1/((Y319:BH319&lt;&gt;0)*(Y319:BH319&lt;&gt;"")))-MATCH(1,INDEX((Y319:BH319&lt;&gt;0)*(Y319:BH319&lt;&gt;""),0),0)+1 &lt;= 24,
        "No",
        "Yes"
    ),
    "No"
)</f>
        <v>No</v>
      </c>
      <c r="X319" s="3"/>
      <c r="Y319" s="4">
        <v>0</v>
      </c>
      <c r="Z319" s="4">
        <v>0</v>
      </c>
      <c r="AA319" s="4">
        <v>0</v>
      </c>
      <c r="AB319" s="4">
        <v>0</v>
      </c>
      <c r="AC319" s="4">
        <v>0</v>
      </c>
      <c r="AD319" s="4">
        <v>0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4">
        <v>0</v>
      </c>
      <c r="AQ319" s="4">
        <v>0</v>
      </c>
      <c r="AR319" s="4">
        <v>119.2</v>
      </c>
      <c r="AS319" s="4">
        <v>119.2</v>
      </c>
      <c r="AT319" s="4">
        <v>119.2</v>
      </c>
      <c r="AU319" s="4">
        <v>119.2</v>
      </c>
      <c r="AV319" s="4">
        <v>119.2</v>
      </c>
      <c r="AW319" s="4">
        <v>119.2</v>
      </c>
      <c r="AX319" s="4">
        <v>119.2</v>
      </c>
      <c r="AY319" s="4">
        <v>119.2</v>
      </c>
      <c r="AZ319" s="4">
        <v>119.19999999999999</v>
      </c>
      <c r="BA319" s="4">
        <v>119.2</v>
      </c>
      <c r="BB319" s="4">
        <v>119.2</v>
      </c>
      <c r="BC319" s="4">
        <v>119.2</v>
      </c>
      <c r="BD319" s="4">
        <v>119.2</v>
      </c>
      <c r="BE319" s="4">
        <v>119.2</v>
      </c>
      <c r="BF319" s="4">
        <v>119.2</v>
      </c>
      <c r="BG319" s="4">
        <v>119.2</v>
      </c>
      <c r="BH319" s="4">
        <v>119.2</v>
      </c>
      <c r="BJ319" s="9"/>
    </row>
    <row r="320" spans="1:62" x14ac:dyDescent="0.25">
      <c r="A320" s="8" t="s">
        <v>408</v>
      </c>
      <c r="B320" s="8"/>
      <c r="C320" s="7" t="s">
        <v>526</v>
      </c>
      <c r="D320" s="3"/>
      <c r="E320" s="3">
        <f>VLOOKUP(A320,[2]Sheet1!$A$2:$E$627,5,0)</f>
        <v>499.99420299999997</v>
      </c>
      <c r="F320" s="3">
        <f>VLOOKUP(A320,[2]Sheet1!$A$2:$F$627,6,0)</f>
        <v>512.49420299999997</v>
      </c>
      <c r="G320" s="3">
        <f>VLOOKUP(A320,[2]Sheet1!$A$2:$G$627,7,0)</f>
        <v>0</v>
      </c>
      <c r="H320" s="4">
        <f t="shared" si="24"/>
        <v>512.49420299999997</v>
      </c>
      <c r="I320" s="11">
        <f t="shared" si="25"/>
        <v>2.5000289853360561E-2</v>
      </c>
      <c r="J320" s="11">
        <f t="shared" si="26"/>
        <v>-1</v>
      </c>
      <c r="K320" s="11">
        <f t="shared" si="27"/>
        <v>-1</v>
      </c>
      <c r="L320" s="11">
        <f>IF(S320="",((BG320-E320)/E320),((U320-E320)/E320))</f>
        <v>2.5000289853360561E-2</v>
      </c>
      <c r="M320" s="3" t="str">
        <f>IF(S320="Churn","Churn",VLOOKUP(A320,'[1]Revenue_Engine_2025 Dec.25'!$C$14:$E$3993,3,0))</f>
        <v>Genel</v>
      </c>
      <c r="N320" s="3">
        <f>IF(S320="",VLOOKUP(A320,[3]Export!$B$2:$F$417,5,0),"CHURN")</f>
        <v>0.26980292692208269</v>
      </c>
      <c r="O320" s="3">
        <f>(1-N320)*H320</f>
        <v>374.22176699999994</v>
      </c>
      <c r="P320" s="3">
        <f t="shared" si="29"/>
        <v>374.22176699999994</v>
      </c>
      <c r="Q320" s="3">
        <f t="shared" si="28"/>
        <v>0</v>
      </c>
      <c r="R320" s="3" t="str">
        <f>IF(S320&lt;&gt;"Churn",VLOOKUP(A320,[3]Export!$B$2:$O$417,8,0),"CHURN")</f>
        <v>NO RISK</v>
      </c>
      <c r="S320" s="3"/>
      <c r="T320" s="3"/>
      <c r="U320" s="3" t="s">
        <v>551</v>
      </c>
      <c r="V320" s="4" t="str" cm="1">
        <f t="array" ref="V320">IFERROR(
    IF(
        MATCH(2,1/((Y320:BH320&lt;&gt;0)*(Y320:BH320&lt;&gt;"")))-MATCH(1,INDEX((Y320:BH320&lt;&gt;0)*(Y320:BH320&lt;&gt;""),0),0)+1 &lt;= 12,
        "No",
        "Yes"
    ),
    "No"
)</f>
        <v>Yes</v>
      </c>
      <c r="W320" s="4" t="str" cm="1">
        <f t="array" ref="W320">IFERROR(
    IF(
        MATCH(2,1/((Y320:BH320&lt;&gt;0)*(Y320:BH320&lt;&gt;"")))-MATCH(1,INDEX((Y320:BH320&lt;&gt;0)*(Y320:BH320&lt;&gt;""),0),0)+1 &lt;= 24,
        "No",
        "Yes"
    ),
    "No"
)</f>
        <v>No</v>
      </c>
      <c r="X320" s="3"/>
      <c r="Y320" s="4">
        <v>0</v>
      </c>
      <c r="Z320" s="4">
        <v>0</v>
      </c>
      <c r="AA320" s="4">
        <v>0</v>
      </c>
      <c r="AB320" s="4">
        <v>0</v>
      </c>
      <c r="AC320" s="4">
        <v>0</v>
      </c>
      <c r="AD320" s="4">
        <v>0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4">
        <v>0</v>
      </c>
      <c r="AQ320" s="4">
        <v>0</v>
      </c>
      <c r="AR320" s="4">
        <v>499.99420299999997</v>
      </c>
      <c r="AS320" s="4">
        <v>499.99420299999997</v>
      </c>
      <c r="AT320" s="4">
        <v>499.99420299999997</v>
      </c>
      <c r="AU320" s="4">
        <v>499.99420299999997</v>
      </c>
      <c r="AV320" s="4">
        <v>512.5</v>
      </c>
      <c r="AW320" s="4">
        <v>512.49420299999997</v>
      </c>
      <c r="AX320" s="4">
        <v>512.49420299999997</v>
      </c>
      <c r="AY320" s="4">
        <v>512.49420299999997</v>
      </c>
      <c r="AZ320" s="4">
        <v>512.49420299999997</v>
      </c>
      <c r="BA320" s="4">
        <v>512.49420299999997</v>
      </c>
      <c r="BB320" s="4">
        <v>512.49420299999997</v>
      </c>
      <c r="BC320" s="4">
        <v>512.49420299999997</v>
      </c>
      <c r="BD320" s="4">
        <v>512.49420299999997</v>
      </c>
      <c r="BE320" s="4">
        <v>512.49420299999997</v>
      </c>
      <c r="BF320" s="4">
        <v>512.49420299999997</v>
      </c>
      <c r="BG320" s="4">
        <v>512.49420299999997</v>
      </c>
      <c r="BH320" s="4">
        <v>512.49420299999997</v>
      </c>
      <c r="BJ320" s="9"/>
    </row>
    <row r="321" spans="1:62" x14ac:dyDescent="0.25">
      <c r="A321" s="8" t="s">
        <v>435</v>
      </c>
      <c r="B321" s="8"/>
      <c r="C321" s="7" t="s">
        <v>526</v>
      </c>
      <c r="D321" s="3"/>
      <c r="E321" s="3">
        <f>VLOOKUP(A321,[2]Sheet1!$A$2:$E$627,5,0)</f>
        <v>140.00043799999997</v>
      </c>
      <c r="F321" s="3">
        <f>VLOOKUP(A321,[2]Sheet1!$A$2:$F$627,6,0)</f>
        <v>222.000438</v>
      </c>
      <c r="G321" s="3">
        <f>VLOOKUP(A321,[2]Sheet1!$A$2:$G$627,7,0)</f>
        <v>0</v>
      </c>
      <c r="H321" s="4">
        <f t="shared" si="24"/>
        <v>222.000438</v>
      </c>
      <c r="I321" s="11">
        <f t="shared" si="25"/>
        <v>0.58571245327103938</v>
      </c>
      <c r="J321" s="11">
        <f t="shared" si="26"/>
        <v>-1</v>
      </c>
      <c r="K321" s="11">
        <f t="shared" si="27"/>
        <v>-1</v>
      </c>
      <c r="L321" s="11">
        <f>IF(S321="",((BG321-E321)/E321),((U321-E321)/E321))</f>
        <v>0.58571245327103938</v>
      </c>
      <c r="M321" s="3" t="str">
        <f>IF(S321="Churn","Churn",VLOOKUP(A321,'[1]Revenue_Engine_2025 Dec.25'!$C$14:$E$3993,3,0))</f>
        <v>Churn</v>
      </c>
      <c r="N321" s="3" t="str">
        <f>IF(S321="",VLOOKUP(A321,[3]Export!$B$2:$F$417,5,0),"CHURN")</f>
        <v>CHURN</v>
      </c>
      <c r="O321" s="3" t="e">
        <f>(1-N321)*H321</f>
        <v>#VALUE!</v>
      </c>
      <c r="P321" s="3" t="e">
        <f t="shared" si="29"/>
        <v>#VALUE!</v>
      </c>
      <c r="Q321" s="3" t="e">
        <f t="shared" si="28"/>
        <v>#VALUE!</v>
      </c>
      <c r="R321" s="3" t="str">
        <f>IF(S321&lt;&gt;"Churn",VLOOKUP(A321,[3]Export!$B$2:$O$417,8,0),"CHURN")</f>
        <v>CHURN</v>
      </c>
      <c r="S321" s="3" t="s">
        <v>372</v>
      </c>
      <c r="T321" s="3" t="s">
        <v>556</v>
      </c>
      <c r="U321" s="3">
        <v>222.000438</v>
      </c>
      <c r="V321" s="4" t="str" cm="1">
        <f t="array" ref="V321">IFERROR(
    IF(
        MATCH(2,1/((Y321:BH321&lt;&gt;0)*(Y321:BH321&lt;&gt;"")))-MATCH(1,INDEX((Y321:BH321&lt;&gt;0)*(Y321:BH321&lt;&gt;""),0),0)+1 &lt;= 12,
        "No",
        "Yes"
    ),
    "No"
)</f>
        <v>Yes</v>
      </c>
      <c r="W321" s="4" t="str" cm="1">
        <f t="array" ref="W321">IFERROR(
    IF(
        MATCH(2,1/((Y321:BH321&lt;&gt;0)*(Y321:BH321&lt;&gt;"")))-MATCH(1,INDEX((Y321:BH321&lt;&gt;0)*(Y321:BH321&lt;&gt;""),0),0)+1 &lt;= 24,
        "No",
        "Yes"
    ),
    "No"
)</f>
        <v>No</v>
      </c>
      <c r="X321" s="3"/>
      <c r="Y321" s="4">
        <v>0</v>
      </c>
      <c r="Z321" s="4">
        <v>0</v>
      </c>
      <c r="AA321" s="4">
        <v>0</v>
      </c>
      <c r="AB321" s="4">
        <v>0</v>
      </c>
      <c r="AC321" s="4">
        <v>0</v>
      </c>
      <c r="AD321" s="4">
        <v>0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4">
        <v>0</v>
      </c>
      <c r="AQ321" s="4">
        <v>0</v>
      </c>
      <c r="AR321" s="4">
        <v>140.00043799999997</v>
      </c>
      <c r="AS321" s="4">
        <v>140.00043799999997</v>
      </c>
      <c r="AT321" s="4">
        <v>140.00043799999997</v>
      </c>
      <c r="AU321" s="4">
        <v>140.00043799999997</v>
      </c>
      <c r="AV321" s="4">
        <v>140.00043799999997</v>
      </c>
      <c r="AW321" s="4">
        <v>144.00043799999997</v>
      </c>
      <c r="AX321" s="4">
        <v>144.00043799999997</v>
      </c>
      <c r="AY321" s="4">
        <v>144.00043799999997</v>
      </c>
      <c r="AZ321" s="4">
        <v>144.00043799999997</v>
      </c>
      <c r="BA321" s="4">
        <v>144.00043799999997</v>
      </c>
      <c r="BB321" s="4">
        <v>144.00043799999997</v>
      </c>
      <c r="BC321" s="4">
        <v>144.00043799999997</v>
      </c>
      <c r="BD321" s="4">
        <v>222.000438</v>
      </c>
      <c r="BE321" s="4">
        <v>222.000438</v>
      </c>
      <c r="BF321" s="4">
        <v>222.000438</v>
      </c>
      <c r="BG321" s="4">
        <v>222.000438</v>
      </c>
      <c r="BH321" s="4">
        <v>0</v>
      </c>
      <c r="BJ321" s="9"/>
    </row>
    <row r="322" spans="1:62" x14ac:dyDescent="0.25">
      <c r="A322" s="8" t="s">
        <v>493</v>
      </c>
      <c r="B322" s="8"/>
      <c r="C322" s="7" t="s">
        <v>526</v>
      </c>
      <c r="D322" s="3"/>
      <c r="E322" s="3">
        <f>VLOOKUP(A322,[2]Sheet1!$A$2:$E$627,5,0)</f>
        <v>57.499999916666674</v>
      </c>
      <c r="F322" s="3">
        <f>VLOOKUP(A322,[2]Sheet1!$A$2:$F$627,6,0)</f>
        <v>57.499999916666674</v>
      </c>
      <c r="G322" s="3">
        <f>VLOOKUP(A322,[2]Sheet1!$A$2:$G$627,7,0)</f>
        <v>0</v>
      </c>
      <c r="H322" s="4">
        <f t="shared" si="24"/>
        <v>57.499999916666674</v>
      </c>
      <c r="I322" s="11">
        <f t="shared" si="25"/>
        <v>0</v>
      </c>
      <c r="J322" s="11">
        <f t="shared" si="26"/>
        <v>-1</v>
      </c>
      <c r="K322" s="11">
        <f t="shared" si="27"/>
        <v>-1</v>
      </c>
      <c r="L322" s="11">
        <f>IF(S322="",((BG322-E322)/E322),((U322-E322)/E322))</f>
        <v>0</v>
      </c>
      <c r="M322" s="3" t="str">
        <f>IF(S322="Churn","Churn",VLOOKUP(A322,'[1]Revenue_Engine_2025 Dec.25'!$C$14:$E$3993,3,0))</f>
        <v>Diğer</v>
      </c>
      <c r="N322" s="3">
        <f>IF(S322="",VLOOKUP(A322,[3]Export!$B$2:$F$417,5,0),"CHURN")</f>
        <v>0.30214548174836764</v>
      </c>
      <c r="O322" s="3">
        <f>(1-N322)*H322</f>
        <v>40.126634741314319</v>
      </c>
      <c r="P322" s="3">
        <f t="shared" si="29"/>
        <v>40.126634741314319</v>
      </c>
      <c r="Q322" s="3">
        <f t="shared" si="28"/>
        <v>0</v>
      </c>
      <c r="R322" s="3" t="str">
        <f>IF(S322&lt;&gt;"Churn",VLOOKUP(A322,[3]Export!$B$2:$O$417,8,0),"CHURN")</f>
        <v>NO RISK</v>
      </c>
      <c r="S322" s="3"/>
      <c r="T322" s="3"/>
      <c r="U322" s="3" t="s">
        <v>551</v>
      </c>
      <c r="V322" s="4" t="str" cm="1">
        <f t="array" ref="V322">IFERROR(
    IF(
        MATCH(2,1/((Y322:BH322&lt;&gt;0)*(Y322:BH322&lt;&gt;"")))-MATCH(1,INDEX((Y322:BH322&lt;&gt;0)*(Y322:BH322&lt;&gt;""),0),0)+1 &lt;= 12,
        "No",
        "Yes"
    ),
    "No"
)</f>
        <v>Yes</v>
      </c>
      <c r="W322" s="4" t="str" cm="1">
        <f t="array" ref="W322">IFERROR(
    IF(
        MATCH(2,1/((Y322:BH322&lt;&gt;0)*(Y322:BH322&lt;&gt;"")))-MATCH(1,INDEX((Y322:BH322&lt;&gt;0)*(Y322:BH322&lt;&gt;""),0),0)+1 &lt;= 24,
        "No",
        "Yes"
    ),
    "No"
)</f>
        <v>No</v>
      </c>
      <c r="X322" s="3"/>
      <c r="Y322" s="4">
        <v>0</v>
      </c>
      <c r="Z322" s="4">
        <v>0</v>
      </c>
      <c r="AA322" s="4">
        <v>0</v>
      </c>
      <c r="AB322" s="4">
        <v>0</v>
      </c>
      <c r="AC322" s="4">
        <v>0</v>
      </c>
      <c r="AD322" s="4">
        <v>0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4">
        <v>0</v>
      </c>
      <c r="AQ322" s="4">
        <v>0</v>
      </c>
      <c r="AR322" s="4">
        <v>0</v>
      </c>
      <c r="AS322" s="4">
        <v>51.999999916666674</v>
      </c>
      <c r="AT322" s="4">
        <v>51.999999916666674</v>
      </c>
      <c r="AU322" s="4">
        <v>57.499999916666674</v>
      </c>
      <c r="AV322" s="4">
        <v>57.499999916666674</v>
      </c>
      <c r="AW322" s="4">
        <v>57.499999916666674</v>
      </c>
      <c r="AX322" s="4">
        <v>57.499999916666674</v>
      </c>
      <c r="AY322" s="4">
        <v>57.499999916666674</v>
      </c>
      <c r="AZ322" s="4">
        <v>57.499999916666674</v>
      </c>
      <c r="BA322" s="4">
        <v>57.499999916666674</v>
      </c>
      <c r="BB322" s="4">
        <v>57.499999916666674</v>
      </c>
      <c r="BC322" s="4">
        <v>57.499999916666674</v>
      </c>
      <c r="BD322" s="4">
        <v>57.499999916666674</v>
      </c>
      <c r="BE322" s="4">
        <v>57.499999916666674</v>
      </c>
      <c r="BF322" s="4">
        <v>57.499999916666674</v>
      </c>
      <c r="BG322" s="4">
        <v>57.499999916666674</v>
      </c>
      <c r="BH322" s="4">
        <v>57.499999916666674</v>
      </c>
      <c r="BJ322" s="9"/>
    </row>
    <row r="323" spans="1:62" x14ac:dyDescent="0.25">
      <c r="A323" s="8" t="s">
        <v>382</v>
      </c>
      <c r="B323" s="8"/>
      <c r="C323" s="7" t="s">
        <v>525</v>
      </c>
      <c r="D323" s="3"/>
      <c r="E323" s="3">
        <f>VLOOKUP(A323,[2]Sheet1!$A$2:$E$627,5,0)</f>
        <v>2500</v>
      </c>
      <c r="F323" s="3">
        <f>VLOOKUP(A323,[2]Sheet1!$A$2:$F$627,6,0)</f>
        <v>2500</v>
      </c>
      <c r="G323" s="3">
        <f>VLOOKUP(A323,[2]Sheet1!$A$2:$G$627,7,0)</f>
        <v>0</v>
      </c>
      <c r="H323" s="4">
        <f t="shared" ref="H323:H386" si="30">MAX(BF323:BH323)</f>
        <v>2500</v>
      </c>
      <c r="I323" s="11">
        <f t="shared" ref="I323:I386" si="31">(F323-E323)/E323</f>
        <v>0</v>
      </c>
      <c r="J323" s="11">
        <f t="shared" ref="J323:J386" si="32">(G323-E323)/E323</f>
        <v>-1</v>
      </c>
      <c r="K323" s="11">
        <f t="shared" ref="K323:K386" si="33">(G323-F323)/F323</f>
        <v>-1</v>
      </c>
      <c r="L323" s="11">
        <f>IF(S323="",((BG323-E323)/E323),((U323-E323)/E323))</f>
        <v>0</v>
      </c>
      <c r="M323" s="3" t="str">
        <f>IF(S323="Churn","Churn",VLOOKUP(A323,'[1]Revenue_Engine_2025 Dec.25'!$C$14:$E$3993,3,0))</f>
        <v>Eğitim</v>
      </c>
      <c r="N323" s="3">
        <f>IF(S323="",VLOOKUP(A323,[3]Export!$B$2:$F$417,5,0),"CHURN")</f>
        <v>0.30404799999999998</v>
      </c>
      <c r="O323" s="3">
        <f>(1-N323)*H323</f>
        <v>1739.88</v>
      </c>
      <c r="P323" s="3">
        <f t="shared" si="29"/>
        <v>1739.88</v>
      </c>
      <c r="Q323" s="3">
        <f t="shared" ref="Q323:Q386" si="34">(1-N323)*G323</f>
        <v>0</v>
      </c>
      <c r="R323" s="3" t="str">
        <f>IF(S323&lt;&gt;"Churn",VLOOKUP(A323,[3]Export!$B$2:$O$417,8,0),"CHURN")</f>
        <v>NO RISK</v>
      </c>
      <c r="S323" s="3"/>
      <c r="T323" s="3"/>
      <c r="U323" s="3" t="s">
        <v>551</v>
      </c>
      <c r="V323" s="4" t="str" cm="1">
        <f t="array" ref="V323">IFERROR(
    IF(
        MATCH(2,1/((Y323:BH323&lt;&gt;0)*(Y323:BH323&lt;&gt;"")))-MATCH(1,INDEX((Y323:BH323&lt;&gt;0)*(Y323:BH323&lt;&gt;""),0),0)+1 &lt;= 12,
        "No",
        "Yes"
    ),
    "No"
)</f>
        <v>Yes</v>
      </c>
      <c r="W323" s="4" t="str" cm="1">
        <f t="array" ref="W323">IFERROR(
    IF(
        MATCH(2,1/((Y323:BH323&lt;&gt;0)*(Y323:BH323&lt;&gt;"")))-MATCH(1,INDEX((Y323:BH323&lt;&gt;0)*(Y323:BH323&lt;&gt;""),0),0)+1 &lt;= 24,
        "No",
        "Yes"
    ),
    "No"
)</f>
        <v>No</v>
      </c>
      <c r="X323" s="3"/>
      <c r="Y323" s="4">
        <v>0</v>
      </c>
      <c r="Z323" s="4">
        <v>0</v>
      </c>
      <c r="AA323" s="4">
        <v>0</v>
      </c>
      <c r="AB323" s="4">
        <v>0</v>
      </c>
      <c r="AC323" s="4">
        <v>0</v>
      </c>
      <c r="AD323" s="4">
        <v>0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4">
        <v>0</v>
      </c>
      <c r="AQ323" s="4">
        <v>0</v>
      </c>
      <c r="AR323" s="4">
        <v>0</v>
      </c>
      <c r="AS323" s="4">
        <v>2500</v>
      </c>
      <c r="AT323" s="4">
        <v>2500</v>
      </c>
      <c r="AU323" s="4">
        <v>2500</v>
      </c>
      <c r="AV323" s="4">
        <v>2500</v>
      </c>
      <c r="AW323" s="4">
        <v>2500</v>
      </c>
      <c r="AX323" s="4">
        <v>2500</v>
      </c>
      <c r="AY323" s="4">
        <v>2500</v>
      </c>
      <c r="AZ323" s="4">
        <v>2500</v>
      </c>
      <c r="BA323" s="4">
        <v>2500</v>
      </c>
      <c r="BB323" s="4">
        <v>2500</v>
      </c>
      <c r="BC323" s="4">
        <v>2500</v>
      </c>
      <c r="BD323" s="4">
        <v>2500</v>
      </c>
      <c r="BE323" s="4">
        <v>2500</v>
      </c>
      <c r="BF323" s="4">
        <v>2500</v>
      </c>
      <c r="BG323" s="4">
        <v>2500</v>
      </c>
      <c r="BH323" s="4">
        <v>2500</v>
      </c>
      <c r="BJ323" s="9"/>
    </row>
    <row r="324" spans="1:62" x14ac:dyDescent="0.25">
      <c r="A324" s="8" t="s">
        <v>445</v>
      </c>
      <c r="B324" s="8"/>
      <c r="C324" s="7" t="s">
        <v>526</v>
      </c>
      <c r="D324" s="3"/>
      <c r="E324" s="3">
        <f>VLOOKUP(A324,[2]Sheet1!$A$2:$E$627,5,0)</f>
        <v>220.50000100105535</v>
      </c>
      <c r="F324" s="3">
        <f>VLOOKUP(A324,[2]Sheet1!$A$2:$F$627,6,0)</f>
        <v>150</v>
      </c>
      <c r="G324" s="3">
        <f>VLOOKUP(A324,[2]Sheet1!$A$2:$G$627,7,0)</f>
        <v>0</v>
      </c>
      <c r="H324" s="4">
        <f t="shared" si="30"/>
        <v>150</v>
      </c>
      <c r="I324" s="11">
        <f t="shared" si="31"/>
        <v>-0.31972789424485276</v>
      </c>
      <c r="J324" s="11">
        <f t="shared" si="32"/>
        <v>-1</v>
      </c>
      <c r="K324" s="11">
        <f t="shared" si="33"/>
        <v>-1</v>
      </c>
      <c r="L324" s="11">
        <f>IF(S324="",((BG324-E324)/E324),((U324-E324)/E324))</f>
        <v>-0.31972789424485276</v>
      </c>
      <c r="M324" s="3" t="str">
        <f>IF(S324="Churn","Churn",VLOOKUP(A324,'[1]Revenue_Engine_2025 Dec.25'!$C$14:$E$3993,3,0))</f>
        <v>Diğer</v>
      </c>
      <c r="N324" s="3">
        <f>IF(S324="",VLOOKUP(A324,[3]Export!$B$2:$F$417,5,0),"CHURN")</f>
        <v>0.04</v>
      </c>
      <c r="O324" s="3">
        <f>(1-N324)*H324</f>
        <v>144</v>
      </c>
      <c r="P324" s="3">
        <f t="shared" si="29"/>
        <v>144</v>
      </c>
      <c r="Q324" s="3">
        <f t="shared" si="34"/>
        <v>0</v>
      </c>
      <c r="R324" s="3" t="str">
        <f>IF(S324&lt;&gt;"Churn",VLOOKUP(A324,[3]Export!$B$2:$O$417,8,0),"CHURN")</f>
        <v>NO RISK</v>
      </c>
      <c r="S324" s="3"/>
      <c r="T324" s="3"/>
      <c r="U324" s="3" t="s">
        <v>551</v>
      </c>
      <c r="V324" s="4" t="str" cm="1">
        <f t="array" ref="V324">IFERROR(
    IF(
        MATCH(2,1/((Y324:BH324&lt;&gt;0)*(Y324:BH324&lt;&gt;"")))-MATCH(1,INDEX((Y324:BH324&lt;&gt;0)*(Y324:BH324&lt;&gt;""),0),0)+1 &lt;= 12,
        "No",
        "Yes"
    ),
    "No"
)</f>
        <v>Yes</v>
      </c>
      <c r="W324" s="4" t="str" cm="1">
        <f t="array" ref="W324">IFERROR(
    IF(
        MATCH(2,1/((Y324:BH324&lt;&gt;0)*(Y324:BH324&lt;&gt;"")))-MATCH(1,INDEX((Y324:BH324&lt;&gt;0)*(Y324:BH324&lt;&gt;""),0),0)+1 &lt;= 24,
        "No",
        "Yes"
    ),
    "No"
)</f>
        <v>No</v>
      </c>
      <c r="X324" s="3"/>
      <c r="Y324" s="4">
        <v>0</v>
      </c>
      <c r="Z324" s="4">
        <v>0</v>
      </c>
      <c r="AA324" s="4">
        <v>0</v>
      </c>
      <c r="AB324" s="4">
        <v>0</v>
      </c>
      <c r="AC324" s="4">
        <v>0</v>
      </c>
      <c r="AD324" s="4">
        <v>0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-217.33813804143574</v>
      </c>
      <c r="AL324" s="4">
        <v>-1.280568540096283E-9</v>
      </c>
      <c r="AM324" s="4">
        <v>220.50000100105535</v>
      </c>
      <c r="AN324" s="4">
        <v>50.499999999301508</v>
      </c>
      <c r="AO324" s="4">
        <v>0</v>
      </c>
      <c r="AP324" s="4">
        <v>0</v>
      </c>
      <c r="AQ324" s="4">
        <v>0</v>
      </c>
      <c r="AR324" s="4">
        <v>0</v>
      </c>
      <c r="AS324" s="4">
        <v>0</v>
      </c>
      <c r="AT324" s="4">
        <v>0</v>
      </c>
      <c r="AU324" s="4">
        <v>0</v>
      </c>
      <c r="AV324" s="4">
        <v>0</v>
      </c>
      <c r="AW324" s="4">
        <v>542.00243599999999</v>
      </c>
      <c r="AX324" s="4">
        <v>0</v>
      </c>
      <c r="AY324" s="4">
        <v>0</v>
      </c>
      <c r="AZ324" s="4">
        <v>0</v>
      </c>
      <c r="BA324" s="4">
        <v>250</v>
      </c>
      <c r="BB324" s="4">
        <v>150</v>
      </c>
      <c r="BC324" s="4">
        <v>150</v>
      </c>
      <c r="BD324" s="4">
        <v>150</v>
      </c>
      <c r="BE324" s="4">
        <v>150</v>
      </c>
      <c r="BF324" s="4">
        <v>150</v>
      </c>
      <c r="BG324" s="4">
        <v>150</v>
      </c>
      <c r="BH324" s="4">
        <v>150</v>
      </c>
      <c r="BJ324" s="9"/>
    </row>
    <row r="325" spans="1:62" x14ac:dyDescent="0.25">
      <c r="A325" s="8" t="s">
        <v>485</v>
      </c>
      <c r="B325" s="8"/>
      <c r="C325" s="7" t="s">
        <v>526</v>
      </c>
      <c r="D325" s="3"/>
      <c r="E325" s="3">
        <f>VLOOKUP(A325,[2]Sheet1!$A$2:$E$627,5,0)</f>
        <v>85.967129</v>
      </c>
      <c r="F325" s="3">
        <f>VLOOKUP(A325,[2]Sheet1!$A$2:$F$627,6,0)</f>
        <v>85.967129</v>
      </c>
      <c r="G325" s="3">
        <f>VLOOKUP(A325,[2]Sheet1!$A$2:$G$627,7,0)</f>
        <v>0</v>
      </c>
      <c r="H325" s="4">
        <f t="shared" si="30"/>
        <v>85.967129</v>
      </c>
      <c r="I325" s="11">
        <f t="shared" si="31"/>
        <v>0</v>
      </c>
      <c r="J325" s="11">
        <f t="shared" si="32"/>
        <v>-1</v>
      </c>
      <c r="K325" s="11">
        <f t="shared" si="33"/>
        <v>-1</v>
      </c>
      <c r="L325" s="11">
        <f>IF(S325="",((BG325-E325)/E325),((U325-E325)/E325))</f>
        <v>0</v>
      </c>
      <c r="M325" s="3" t="str">
        <f>IF(S325="Churn","Churn",VLOOKUP(A325,'[1]Revenue_Engine_2025 Dec.25'!$C$14:$E$3993,3,0))</f>
        <v>Diğer</v>
      </c>
      <c r="N325" s="3">
        <f>IF(S325="",VLOOKUP(A325,[3]Export!$B$2:$F$417,5,0),"CHURN")</f>
        <v>0.30188356063397209</v>
      </c>
      <c r="O325" s="3">
        <f>(1-N325)*H325</f>
        <v>60.015066000000004</v>
      </c>
      <c r="P325" s="3">
        <f t="shared" si="29"/>
        <v>60.015066000000004</v>
      </c>
      <c r="Q325" s="3">
        <f t="shared" si="34"/>
        <v>0</v>
      </c>
      <c r="R325" s="3" t="str">
        <f>IF(S325&lt;&gt;"Churn",VLOOKUP(A325,[3]Export!$B$2:$O$417,8,0),"CHURN")</f>
        <v>NO RISK</v>
      </c>
      <c r="S325" s="3"/>
      <c r="T325" s="3"/>
      <c r="U325" s="3" t="s">
        <v>551</v>
      </c>
      <c r="V325" s="4" t="str" cm="1">
        <f t="array" ref="V325">IFERROR(
    IF(
        MATCH(2,1/((Y325:BH325&lt;&gt;0)*(Y325:BH325&lt;&gt;"")))-MATCH(1,INDEX((Y325:BH325&lt;&gt;0)*(Y325:BH325&lt;&gt;""),0),0)+1 &lt;= 12,
        "No",
        "Yes"
    ),
    "No"
)</f>
        <v>Yes</v>
      </c>
      <c r="W325" s="4" t="str" cm="1">
        <f t="array" ref="W325">IFERROR(
    IF(
        MATCH(2,1/((Y325:BH325&lt;&gt;0)*(Y325:BH325&lt;&gt;"")))-MATCH(1,INDEX((Y325:BH325&lt;&gt;0)*(Y325:BH325&lt;&gt;""),0),0)+1 &lt;= 24,
        "No",
        "Yes"
    ),
    "No"
)</f>
        <v>No</v>
      </c>
      <c r="X325" s="3"/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4">
        <v>0</v>
      </c>
      <c r="AQ325" s="4">
        <v>0</v>
      </c>
      <c r="AR325" s="4">
        <v>0</v>
      </c>
      <c r="AS325" s="4">
        <v>85.967129</v>
      </c>
      <c r="AT325" s="4">
        <v>85.967129</v>
      </c>
      <c r="AU325" s="4">
        <v>85.967129</v>
      </c>
      <c r="AV325" s="4">
        <v>85.967129</v>
      </c>
      <c r="AW325" s="4">
        <v>85.967129</v>
      </c>
      <c r="AX325" s="4">
        <v>85.967129</v>
      </c>
      <c r="AY325" s="4">
        <v>85.967129</v>
      </c>
      <c r="AZ325" s="4">
        <v>85.967129</v>
      </c>
      <c r="BA325" s="4">
        <v>85.967129</v>
      </c>
      <c r="BB325" s="4">
        <v>85.967129</v>
      </c>
      <c r="BC325" s="4">
        <v>85.967129</v>
      </c>
      <c r="BD325" s="4">
        <v>85.967129</v>
      </c>
      <c r="BE325" s="4">
        <v>85.967129</v>
      </c>
      <c r="BF325" s="4">
        <v>85.967129</v>
      </c>
      <c r="BG325" s="4">
        <v>85.967129</v>
      </c>
      <c r="BH325" s="4">
        <v>85.967129</v>
      </c>
      <c r="BJ325" s="9"/>
    </row>
    <row r="326" spans="1:62" x14ac:dyDescent="0.25">
      <c r="A326" s="8" t="s">
        <v>507</v>
      </c>
      <c r="B326" s="8"/>
      <c r="C326" s="7" t="s">
        <v>526</v>
      </c>
      <c r="D326" s="3"/>
      <c r="E326" s="3">
        <f>VLOOKUP(A326,[2]Sheet1!$A$2:$E$627,5,0)</f>
        <v>110</v>
      </c>
      <c r="F326" s="3">
        <f>VLOOKUP(A326,[2]Sheet1!$A$2:$F$627,6,0)</f>
        <v>0</v>
      </c>
      <c r="G326" s="3">
        <f>VLOOKUP(A326,[2]Sheet1!$A$2:$G$627,7,0)</f>
        <v>0</v>
      </c>
      <c r="H326" s="4">
        <f t="shared" si="30"/>
        <v>0</v>
      </c>
      <c r="I326" s="11">
        <f t="shared" si="31"/>
        <v>-1</v>
      </c>
      <c r="J326" s="11">
        <f t="shared" si="32"/>
        <v>-1</v>
      </c>
      <c r="K326" s="11" t="e">
        <f t="shared" si="33"/>
        <v>#DIV/0!</v>
      </c>
      <c r="L326" s="11">
        <f>IF(S326="",((BG326-E326)/E326),((U326-E326)/E326))</f>
        <v>0</v>
      </c>
      <c r="M326" s="3" t="str">
        <f>IF(S326="Churn","Churn",VLOOKUP(A326,'[1]Revenue_Engine_2025 Dec.25'!$C$14:$E$3993,3,0))</f>
        <v>Churn</v>
      </c>
      <c r="N326" s="3" t="str">
        <f>IF(S326="",VLOOKUP(A326,[3]Export!$B$2:$F$417,5,0),"CHURN")</f>
        <v>CHURN</v>
      </c>
      <c r="O326" s="3" t="e">
        <f>(1-N326)*H326</f>
        <v>#VALUE!</v>
      </c>
      <c r="P326" s="3" t="e">
        <f t="shared" ref="P326:P389" si="35">(1-N326)*F326</f>
        <v>#VALUE!</v>
      </c>
      <c r="Q326" s="3" t="e">
        <f t="shared" si="34"/>
        <v>#VALUE!</v>
      </c>
      <c r="R326" s="3" t="str">
        <f>IF(S326&lt;&gt;"Churn",VLOOKUP(A326,[3]Export!$B$2:$O$417,8,0),"CHURN")</f>
        <v>CHURN</v>
      </c>
      <c r="S326" s="3" t="s">
        <v>372</v>
      </c>
      <c r="T326" s="3" t="s">
        <v>559</v>
      </c>
      <c r="U326" s="3">
        <v>110</v>
      </c>
      <c r="V326" s="4" t="str" cm="1">
        <f t="array" ref="V326">IFERROR(
    IF(
        MATCH(2,1/((Y326:BH326&lt;&gt;0)*(Y326:BH326&lt;&gt;"")))-MATCH(1,INDEX((Y326:BH326&lt;&gt;0)*(Y326:BH326&lt;&gt;""),0),0)+1 &lt;= 12,
        "No",
        "Yes"
    ),
    "No"
)</f>
        <v>No</v>
      </c>
      <c r="W326" s="4" t="str" cm="1">
        <f t="array" ref="W326">IFERROR(
    IF(
        MATCH(2,1/((Y326:BH326&lt;&gt;0)*(Y326:BH326&lt;&gt;"")))-MATCH(1,INDEX((Y326:BH326&lt;&gt;0)*(Y326:BH326&lt;&gt;""),0),0)+1 &lt;= 24,
        "No",
        "Yes"
    ),
    "No"
)</f>
        <v>No</v>
      </c>
      <c r="X326" s="3"/>
      <c r="Y326" s="4">
        <v>0</v>
      </c>
      <c r="Z326" s="4">
        <v>0</v>
      </c>
      <c r="AA326" s="4">
        <v>0</v>
      </c>
      <c r="AB326" s="4">
        <v>0</v>
      </c>
      <c r="AC326" s="4">
        <v>0</v>
      </c>
      <c r="AD326" s="4">
        <v>0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4">
        <v>0</v>
      </c>
      <c r="AQ326" s="4">
        <v>0</v>
      </c>
      <c r="AR326" s="4">
        <v>0</v>
      </c>
      <c r="AS326" s="4">
        <v>110</v>
      </c>
      <c r="AT326" s="4">
        <v>110</v>
      </c>
      <c r="AU326" s="4">
        <v>110</v>
      </c>
      <c r="AV326" s="4">
        <v>110</v>
      </c>
      <c r="AW326" s="4">
        <v>110</v>
      </c>
      <c r="AX326" s="4">
        <v>110</v>
      </c>
      <c r="AY326" s="4">
        <v>110</v>
      </c>
      <c r="AZ326" s="4">
        <v>110</v>
      </c>
      <c r="BA326" s="4">
        <v>0</v>
      </c>
      <c r="BB326" s="4">
        <v>0</v>
      </c>
      <c r="BC326" s="4">
        <v>0</v>
      </c>
      <c r="BD326" s="4">
        <v>0</v>
      </c>
      <c r="BE326" s="4">
        <v>0</v>
      </c>
      <c r="BF326" s="4">
        <v>0</v>
      </c>
      <c r="BG326" s="4">
        <v>0</v>
      </c>
      <c r="BH326" s="4">
        <v>0</v>
      </c>
      <c r="BJ326" s="9"/>
    </row>
    <row r="327" spans="1:62" x14ac:dyDescent="0.25">
      <c r="A327" s="8" t="s">
        <v>502</v>
      </c>
      <c r="B327" s="8"/>
      <c r="C327" s="7" t="s">
        <v>526</v>
      </c>
      <c r="D327" s="3"/>
      <c r="E327" s="3">
        <f>VLOOKUP(A327,[2]Sheet1!$A$2:$E$627,5,0)</f>
        <v>98.999166750000001</v>
      </c>
      <c r="F327" s="3">
        <f>VLOOKUP(A327,[2]Sheet1!$A$2:$F$627,6,0)</f>
        <v>0</v>
      </c>
      <c r="G327" s="3">
        <f>VLOOKUP(A327,[2]Sheet1!$A$2:$G$627,7,0)</f>
        <v>0</v>
      </c>
      <c r="H327" s="4">
        <f t="shared" si="30"/>
        <v>0</v>
      </c>
      <c r="I327" s="11">
        <f t="shared" si="31"/>
        <v>-1</v>
      </c>
      <c r="J327" s="11">
        <f t="shared" si="32"/>
        <v>-1</v>
      </c>
      <c r="K327" s="11" t="e">
        <f t="shared" si="33"/>
        <v>#DIV/0!</v>
      </c>
      <c r="L327" s="11">
        <f>IF(S327="",((BG327-E327)/E327),((U327-E327)/E327))</f>
        <v>0</v>
      </c>
      <c r="M327" s="3" t="str">
        <f>IF(S327="Churn","Churn",VLOOKUP(A327,'[1]Revenue_Engine_2025 Dec.25'!$C$14:$E$3993,3,0))</f>
        <v>Churn</v>
      </c>
      <c r="N327" s="3" t="str">
        <f>IF(S327="",VLOOKUP(A327,[3]Export!$B$2:$F$417,5,0),"CHURN")</f>
        <v>CHURN</v>
      </c>
      <c r="O327" s="3" t="e">
        <f>(1-N327)*H327</f>
        <v>#VALUE!</v>
      </c>
      <c r="P327" s="3" t="e">
        <f t="shared" si="35"/>
        <v>#VALUE!</v>
      </c>
      <c r="Q327" s="3" t="e">
        <f t="shared" si="34"/>
        <v>#VALUE!</v>
      </c>
      <c r="R327" s="3" t="str">
        <f>IF(S327&lt;&gt;"Churn",VLOOKUP(A327,[3]Export!$B$2:$O$417,8,0),"CHURN")</f>
        <v>CHURN</v>
      </c>
      <c r="S327" s="3" t="s">
        <v>372</v>
      </c>
      <c r="T327" s="3" t="s">
        <v>557</v>
      </c>
      <c r="U327" s="3">
        <v>98.999166750000001</v>
      </c>
      <c r="V327" s="4" t="str" cm="1">
        <f t="array" ref="V327">IFERROR(
    IF(
        MATCH(2,1/((Y327:BH327&lt;&gt;0)*(Y327:BH327&lt;&gt;"")))-MATCH(1,INDEX((Y327:BH327&lt;&gt;0)*(Y327:BH327&lt;&gt;""),0),0)+1 &lt;= 12,
        "No",
        "Yes"
    ),
    "No"
)</f>
        <v>No</v>
      </c>
      <c r="W327" s="4" t="str" cm="1">
        <f t="array" ref="W327">IFERROR(
    IF(
        MATCH(2,1/((Y327:BH327&lt;&gt;0)*(Y327:BH327&lt;&gt;"")))-MATCH(1,INDEX((Y327:BH327&lt;&gt;0)*(Y327:BH327&lt;&gt;""),0),0)+1 &lt;= 24,
        "No",
        "Yes"
    ),
    "No"
)</f>
        <v>No</v>
      </c>
      <c r="X327" s="3"/>
      <c r="Y327" s="4">
        <v>0</v>
      </c>
      <c r="Z327" s="4">
        <v>0</v>
      </c>
      <c r="AA327" s="4">
        <v>0</v>
      </c>
      <c r="AB327" s="4">
        <v>0</v>
      </c>
      <c r="AC327" s="4">
        <v>0</v>
      </c>
      <c r="AD327" s="4">
        <v>0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4">
        <v>0</v>
      </c>
      <c r="AQ327" s="4">
        <v>0</v>
      </c>
      <c r="AR327" s="4">
        <v>0</v>
      </c>
      <c r="AS327" s="4">
        <v>98.999166750000001</v>
      </c>
      <c r="AT327" s="4">
        <v>98.999166750000001</v>
      </c>
      <c r="AU327" s="4">
        <v>98.999166750000001</v>
      </c>
      <c r="AV327" s="4">
        <v>98.999166750000001</v>
      </c>
      <c r="AW327" s="4">
        <v>98.999166750000001</v>
      </c>
      <c r="AX327" s="4">
        <v>98.999166750000001</v>
      </c>
      <c r="AY327" s="4">
        <v>98.999166750000001</v>
      </c>
      <c r="AZ327" s="4">
        <v>98.999166750000001</v>
      </c>
      <c r="BA327" s="4">
        <v>98.999166750000001</v>
      </c>
      <c r="BB327" s="4">
        <v>98.999166750000001</v>
      </c>
      <c r="BC327" s="4">
        <v>98.999166750000001</v>
      </c>
      <c r="BD327" s="4">
        <v>0</v>
      </c>
      <c r="BE327" s="4">
        <v>0</v>
      </c>
      <c r="BF327" s="4">
        <v>0</v>
      </c>
      <c r="BG327" s="4">
        <v>0</v>
      </c>
      <c r="BH327" s="4">
        <v>0</v>
      </c>
      <c r="BJ327" s="9"/>
    </row>
    <row r="328" spans="1:62" x14ac:dyDescent="0.25">
      <c r="A328" s="8" t="s">
        <v>400</v>
      </c>
      <c r="B328" s="8"/>
      <c r="C328" s="7" t="s">
        <v>525</v>
      </c>
      <c r="D328" s="3"/>
      <c r="E328" s="3">
        <f>VLOOKUP(A328,[2]Sheet1!$A$2:$E$627,5,0)</f>
        <v>750</v>
      </c>
      <c r="F328" s="3">
        <f>VLOOKUP(A328,[2]Sheet1!$A$2:$F$627,6,0)</f>
        <v>750</v>
      </c>
      <c r="G328" s="3">
        <f>VLOOKUP(A328,[2]Sheet1!$A$2:$G$627,7,0)</f>
        <v>0</v>
      </c>
      <c r="H328" s="4">
        <f t="shared" si="30"/>
        <v>750</v>
      </c>
      <c r="I328" s="11">
        <f t="shared" si="31"/>
        <v>0</v>
      </c>
      <c r="J328" s="11">
        <f t="shared" si="32"/>
        <v>-1</v>
      </c>
      <c r="K328" s="11">
        <f t="shared" si="33"/>
        <v>-1</v>
      </c>
      <c r="L328" s="11">
        <f>IF(S328="",((BG328-E328)/E328),((U328-E328)/E328))</f>
        <v>0</v>
      </c>
      <c r="M328" s="3" t="str">
        <f>IF(S328="Churn","Churn",VLOOKUP(A328,'[1]Revenue_Engine_2025 Dec.25'!$C$14:$E$3993,3,0))</f>
        <v>Lojistik</v>
      </c>
      <c r="N328" s="3">
        <f>IF(S328="",VLOOKUP(A328,[3]Export!$B$2:$F$417,5,0),"CHURN")</f>
        <v>0</v>
      </c>
      <c r="O328" s="3">
        <f>(1-N328)*H328</f>
        <v>750</v>
      </c>
      <c r="P328" s="3">
        <f t="shared" si="35"/>
        <v>750</v>
      </c>
      <c r="Q328" s="3">
        <f t="shared" si="34"/>
        <v>0</v>
      </c>
      <c r="R328" s="3" t="str">
        <f>IF(S328&lt;&gt;"Churn",VLOOKUP(A328,[3]Export!$B$2:$O$417,8,0),"CHURN")</f>
        <v>NO RISK</v>
      </c>
      <c r="S328" s="3"/>
      <c r="T328" s="3"/>
      <c r="U328" s="3" t="s">
        <v>551</v>
      </c>
      <c r="V328" s="4" t="str" cm="1">
        <f t="array" ref="V328">IFERROR(
    IF(
        MATCH(2,1/((Y328:BH328&lt;&gt;0)*(Y328:BH328&lt;&gt;"")))-MATCH(1,INDEX((Y328:BH328&lt;&gt;0)*(Y328:BH328&lt;&gt;""),0),0)+1 &lt;= 12,
        "No",
        "Yes"
    ),
    "No"
)</f>
        <v>Yes</v>
      </c>
      <c r="W328" s="4" t="str" cm="1">
        <f t="array" ref="W328">IFERROR(
    IF(
        MATCH(2,1/((Y328:BH328&lt;&gt;0)*(Y328:BH328&lt;&gt;"")))-MATCH(1,INDEX((Y328:BH328&lt;&gt;0)*(Y328:BH328&lt;&gt;""),0),0)+1 &lt;= 24,
        "No",
        "Yes"
    ),
    "No"
)</f>
        <v>No</v>
      </c>
      <c r="X328" s="3"/>
      <c r="Y328" s="4">
        <v>0</v>
      </c>
      <c r="Z328" s="4">
        <v>0</v>
      </c>
      <c r="AA328" s="4">
        <v>0</v>
      </c>
      <c r="AB328" s="4">
        <v>0</v>
      </c>
      <c r="AC328" s="4">
        <v>0</v>
      </c>
      <c r="AD328" s="4">
        <v>0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4">
        <v>0</v>
      </c>
      <c r="AQ328" s="4">
        <v>0</v>
      </c>
      <c r="AR328" s="4">
        <v>0</v>
      </c>
      <c r="AS328" s="4">
        <v>750</v>
      </c>
      <c r="AT328" s="4">
        <v>750</v>
      </c>
      <c r="AU328" s="4">
        <v>750</v>
      </c>
      <c r="AV328" s="4">
        <v>750</v>
      </c>
      <c r="AW328" s="4">
        <v>750</v>
      </c>
      <c r="AX328" s="4">
        <v>750</v>
      </c>
      <c r="AY328" s="4">
        <v>750</v>
      </c>
      <c r="AZ328" s="4">
        <v>750</v>
      </c>
      <c r="BA328" s="4">
        <v>750</v>
      </c>
      <c r="BB328" s="4">
        <v>750</v>
      </c>
      <c r="BC328" s="4">
        <v>750</v>
      </c>
      <c r="BD328" s="4">
        <v>750</v>
      </c>
      <c r="BE328" s="4">
        <v>750</v>
      </c>
      <c r="BF328" s="4">
        <v>750</v>
      </c>
      <c r="BG328" s="4">
        <v>750</v>
      </c>
      <c r="BH328" s="4">
        <v>750</v>
      </c>
      <c r="BJ328" s="9"/>
    </row>
    <row r="329" spans="1:62" x14ac:dyDescent="0.25">
      <c r="A329" s="8" t="s">
        <v>399</v>
      </c>
      <c r="B329" s="8"/>
      <c r="C329" s="7" t="s">
        <v>526</v>
      </c>
      <c r="D329" s="3"/>
      <c r="E329" s="3">
        <f>VLOOKUP(A329,[2]Sheet1!$A$2:$E$627,5,0)</f>
        <v>772.01673300000004</v>
      </c>
      <c r="F329" s="3">
        <f>VLOOKUP(A329,[2]Sheet1!$A$2:$F$627,6,0)</f>
        <v>772.01673300000004</v>
      </c>
      <c r="G329" s="3">
        <f>VLOOKUP(A329,[2]Sheet1!$A$2:$G$627,7,0)</f>
        <v>0</v>
      </c>
      <c r="H329" s="4">
        <f t="shared" si="30"/>
        <v>772.01673300000004</v>
      </c>
      <c r="I329" s="11">
        <f t="shared" si="31"/>
        <v>0</v>
      </c>
      <c r="J329" s="11">
        <f t="shared" si="32"/>
        <v>-1</v>
      </c>
      <c r="K329" s="11">
        <f t="shared" si="33"/>
        <v>-1</v>
      </c>
      <c r="L329" s="11">
        <f>IF(S329="",((BG329-E329)/E329),((U329-E329)/E329))</f>
        <v>0</v>
      </c>
      <c r="M329" s="3" t="str">
        <f>IF(S329="Churn","Churn",VLOOKUP(A329,'[1]Revenue_Engine_2025 Dec.25'!$C$14:$E$3993,3,0))</f>
        <v>Üretim</v>
      </c>
      <c r="N329" s="3">
        <f>IF(S329="",VLOOKUP(A329,[3]Export!$B$2:$F$417,5,0),"CHURN")</f>
        <v>0.25130852053695057</v>
      </c>
      <c r="O329" s="3">
        <f>(1-N329)*H329</f>
        <v>578.00235000000009</v>
      </c>
      <c r="P329" s="3">
        <f t="shared" si="35"/>
        <v>578.00235000000009</v>
      </c>
      <c r="Q329" s="3">
        <f t="shared" si="34"/>
        <v>0</v>
      </c>
      <c r="R329" s="3" t="str">
        <f>IF(S329&lt;&gt;"Churn",VLOOKUP(A329,[3]Export!$B$2:$O$417,8,0),"CHURN")</f>
        <v>NO RISK</v>
      </c>
      <c r="S329" s="3"/>
      <c r="T329" s="3"/>
      <c r="U329" s="3" t="s">
        <v>551</v>
      </c>
      <c r="V329" s="4" t="str" cm="1">
        <f t="array" ref="V329">IFERROR(
    IF(
        MATCH(2,1/((Y329:BH329&lt;&gt;0)*(Y329:BH329&lt;&gt;"")))-MATCH(1,INDEX((Y329:BH329&lt;&gt;0)*(Y329:BH329&lt;&gt;""),0),0)+1 &lt;= 12,
        "No",
        "Yes"
    ),
    "No"
)</f>
        <v>Yes</v>
      </c>
      <c r="W329" s="4" t="str" cm="1">
        <f t="array" ref="W329">IFERROR(
    IF(
        MATCH(2,1/((Y329:BH329&lt;&gt;0)*(Y329:BH329&lt;&gt;"")))-MATCH(1,INDEX((Y329:BH329&lt;&gt;0)*(Y329:BH329&lt;&gt;""),0),0)+1 &lt;= 24,
        "No",
        "Yes"
    ),
    "No"
)</f>
        <v>No</v>
      </c>
      <c r="X329" s="3"/>
      <c r="Y329" s="4">
        <v>0</v>
      </c>
      <c r="Z329" s="4">
        <v>0</v>
      </c>
      <c r="AA329" s="4">
        <v>0</v>
      </c>
      <c r="AB329" s="4">
        <v>0</v>
      </c>
      <c r="AC329" s="4">
        <v>0</v>
      </c>
      <c r="AD329" s="4">
        <v>0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4">
        <v>0</v>
      </c>
      <c r="AQ329" s="4">
        <v>0</v>
      </c>
      <c r="AR329" s="4">
        <v>0</v>
      </c>
      <c r="AS329" s="4">
        <v>772.0100020000001</v>
      </c>
      <c r="AT329" s="4">
        <v>772.01673300000004</v>
      </c>
      <c r="AU329" s="4">
        <v>772.01673300000004</v>
      </c>
      <c r="AV329" s="4">
        <v>772.01673300000004</v>
      </c>
      <c r="AW329" s="4">
        <v>772.01673300000004</v>
      </c>
      <c r="AX329" s="4">
        <v>772.01673300000004</v>
      </c>
      <c r="AY329" s="4">
        <v>772.01673300000004</v>
      </c>
      <c r="AZ329" s="4">
        <v>772.01673299999993</v>
      </c>
      <c r="BA329" s="4">
        <v>772.01673300000004</v>
      </c>
      <c r="BB329" s="4">
        <v>772.01673300000004</v>
      </c>
      <c r="BC329" s="4">
        <v>772.01673300000004</v>
      </c>
      <c r="BD329" s="4">
        <v>772.01673300000004</v>
      </c>
      <c r="BE329" s="4">
        <v>772.01673300000004</v>
      </c>
      <c r="BF329" s="4">
        <v>772.01673300000004</v>
      </c>
      <c r="BG329" s="4">
        <v>772.01673300000004</v>
      </c>
      <c r="BH329" s="4">
        <v>772.01673300000004</v>
      </c>
      <c r="BJ329" s="9"/>
    </row>
    <row r="330" spans="1:62" x14ac:dyDescent="0.25">
      <c r="A330" s="8" t="s">
        <v>490</v>
      </c>
      <c r="B330" s="8"/>
      <c r="C330" s="7" t="s">
        <v>526</v>
      </c>
      <c r="D330" s="3"/>
      <c r="E330" s="3">
        <f>VLOOKUP(A330,[2]Sheet1!$A$2:$E$627,5,0)</f>
        <v>74.16666808333332</v>
      </c>
      <c r="F330" s="3">
        <f>VLOOKUP(A330,[2]Sheet1!$A$2:$F$627,6,0)</f>
        <v>74.16666808333332</v>
      </c>
      <c r="G330" s="3">
        <f>VLOOKUP(A330,[2]Sheet1!$A$2:$G$627,7,0)</f>
        <v>0</v>
      </c>
      <c r="H330" s="4">
        <f t="shared" si="30"/>
        <v>74.16666808333332</v>
      </c>
      <c r="I330" s="11">
        <f t="shared" si="31"/>
        <v>0</v>
      </c>
      <c r="J330" s="11">
        <f t="shared" si="32"/>
        <v>-1</v>
      </c>
      <c r="K330" s="11">
        <f t="shared" si="33"/>
        <v>-1</v>
      </c>
      <c r="L330" s="11">
        <f>IF(S330="",((BG330-E330)/E330),((U330-E330)/E330))</f>
        <v>0</v>
      </c>
      <c r="M330" s="3" t="str">
        <f>IF(S330="Churn","Churn",VLOOKUP(A330,'[1]Revenue_Engine_2025 Dec.25'!$C$14:$E$3993,3,0))</f>
        <v>Diğer</v>
      </c>
      <c r="N330" s="3">
        <f>IF(S330="",VLOOKUP(A330,[3]Export!$B$2:$F$417,5,0),"CHURN")</f>
        <v>0.30215039310499253</v>
      </c>
      <c r="O330" s="3">
        <f>(1-N330)*H330</f>
        <v>51.757180166666657</v>
      </c>
      <c r="P330" s="3">
        <f t="shared" si="35"/>
        <v>51.757180166666657</v>
      </c>
      <c r="Q330" s="3">
        <f t="shared" si="34"/>
        <v>0</v>
      </c>
      <c r="R330" s="3" t="str">
        <f>IF(S330&lt;&gt;"Churn",VLOOKUP(A330,[3]Export!$B$2:$O$417,8,0),"CHURN")</f>
        <v>NO RISK</v>
      </c>
      <c r="S330" s="3"/>
      <c r="T330" s="3"/>
      <c r="U330" s="3" t="s">
        <v>551</v>
      </c>
      <c r="V330" s="4" t="str" cm="1">
        <f t="array" ref="V330">IFERROR(
    IF(
        MATCH(2,1/((Y330:BH330&lt;&gt;0)*(Y330:BH330&lt;&gt;"")))-MATCH(1,INDEX((Y330:BH330&lt;&gt;0)*(Y330:BH330&lt;&gt;""),0),0)+1 &lt;= 12,
        "No",
        "Yes"
    ),
    "No"
)</f>
        <v>Yes</v>
      </c>
      <c r="W330" s="4" t="str" cm="1">
        <f t="array" ref="W330">IFERROR(
    IF(
        MATCH(2,1/((Y330:BH330&lt;&gt;0)*(Y330:BH330&lt;&gt;"")))-MATCH(1,INDEX((Y330:BH330&lt;&gt;0)*(Y330:BH330&lt;&gt;""),0),0)+1 &lt;= 24,
        "No",
        "Yes"
    ),
    "No"
)</f>
        <v>No</v>
      </c>
      <c r="X330" s="3"/>
      <c r="Y330" s="4">
        <v>0</v>
      </c>
      <c r="Z330" s="4">
        <v>0</v>
      </c>
      <c r="AA330" s="4">
        <v>0</v>
      </c>
      <c r="AB330" s="4">
        <v>0</v>
      </c>
      <c r="AC330" s="4">
        <v>0</v>
      </c>
      <c r="AD330" s="4">
        <v>0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4">
        <v>0</v>
      </c>
      <c r="AQ330" s="4">
        <v>0</v>
      </c>
      <c r="AR330" s="4">
        <v>0</v>
      </c>
      <c r="AS330" s="4">
        <v>74.16666808333332</v>
      </c>
      <c r="AT330" s="4">
        <v>74.16666808333332</v>
      </c>
      <c r="AU330" s="4">
        <v>74.16666808333332</v>
      </c>
      <c r="AV330" s="4">
        <v>74.16666808333332</v>
      </c>
      <c r="AW330" s="4">
        <v>74.16666808333332</v>
      </c>
      <c r="AX330" s="4">
        <v>74.16666808333332</v>
      </c>
      <c r="AY330" s="4">
        <v>74.16666808333332</v>
      </c>
      <c r="AZ330" s="4">
        <v>74.16666808333332</v>
      </c>
      <c r="BA330" s="4">
        <v>74.16666808333332</v>
      </c>
      <c r="BB330" s="4">
        <v>74.16666808333332</v>
      </c>
      <c r="BC330" s="4">
        <v>74.16666808333332</v>
      </c>
      <c r="BD330" s="4">
        <v>74.16666808333332</v>
      </c>
      <c r="BE330" s="4">
        <v>74.16666808333332</v>
      </c>
      <c r="BF330" s="4">
        <v>74.16666808333332</v>
      </c>
      <c r="BG330" s="4">
        <v>74.16666808333332</v>
      </c>
      <c r="BH330" s="4">
        <v>74.16666808333332</v>
      </c>
      <c r="BJ330" s="9"/>
    </row>
    <row r="331" spans="1:62" x14ac:dyDescent="0.25">
      <c r="A331" s="8" t="s">
        <v>486</v>
      </c>
      <c r="B331" s="8"/>
      <c r="C331" s="7" t="s">
        <v>526</v>
      </c>
      <c r="D331" s="3"/>
      <c r="E331" s="3">
        <f>VLOOKUP(A331,[2]Sheet1!$A$2:$E$627,5,0)</f>
        <v>80.010002000000014</v>
      </c>
      <c r="F331" s="3">
        <f>VLOOKUP(A331,[2]Sheet1!$A$2:$F$627,6,0)</f>
        <v>80.010002000000014</v>
      </c>
      <c r="G331" s="3">
        <f>VLOOKUP(A331,[2]Sheet1!$A$2:$G$627,7,0)</f>
        <v>0</v>
      </c>
      <c r="H331" s="4">
        <f t="shared" si="30"/>
        <v>80.010002000000014</v>
      </c>
      <c r="I331" s="11">
        <f t="shared" si="31"/>
        <v>0</v>
      </c>
      <c r="J331" s="11">
        <f t="shared" si="32"/>
        <v>-1</v>
      </c>
      <c r="K331" s="11">
        <f t="shared" si="33"/>
        <v>-1</v>
      </c>
      <c r="L331" s="11">
        <f>IF(S331="",((BG331-E331)/E331),((U331-E331)/E331))</f>
        <v>0</v>
      </c>
      <c r="M331" s="3" t="str">
        <f>IF(S331="Churn","Churn",VLOOKUP(A331,'[1]Revenue_Engine_2025 Dec.25'!$C$14:$E$3993,3,0))</f>
        <v>Bayi</v>
      </c>
      <c r="N331" s="3">
        <f>IF(S331="",VLOOKUP(A331,[3]Export!$B$2:$F$417,5,0),"CHURN")</f>
        <v>0.15620618282199267</v>
      </c>
      <c r="O331" s="3">
        <f>(1-N331)*H331</f>
        <v>67.511945000000011</v>
      </c>
      <c r="P331" s="3">
        <f t="shared" si="35"/>
        <v>67.511945000000011</v>
      </c>
      <c r="Q331" s="3">
        <f t="shared" si="34"/>
        <v>0</v>
      </c>
      <c r="R331" s="3" t="str">
        <f>IF(S331&lt;&gt;"Churn",VLOOKUP(A331,[3]Export!$B$2:$O$417,8,0),"CHURN")</f>
        <v>NO RISK</v>
      </c>
      <c r="S331" s="3"/>
      <c r="T331" s="3"/>
      <c r="U331" s="3" t="s">
        <v>551</v>
      </c>
      <c r="V331" s="4" t="str" cm="1">
        <f t="array" ref="V331">IFERROR(
    IF(
        MATCH(2,1/((Y331:BH331&lt;&gt;0)*(Y331:BH331&lt;&gt;"")))-MATCH(1,INDEX((Y331:BH331&lt;&gt;0)*(Y331:BH331&lt;&gt;""),0),0)+1 &lt;= 12,
        "No",
        "Yes"
    ),
    "No"
)</f>
        <v>Yes</v>
      </c>
      <c r="W331" s="4" t="str" cm="1">
        <f t="array" ref="W331">IFERROR(
    IF(
        MATCH(2,1/((Y331:BH331&lt;&gt;0)*(Y331:BH331&lt;&gt;"")))-MATCH(1,INDEX((Y331:BH331&lt;&gt;0)*(Y331:BH331&lt;&gt;""),0),0)+1 &lt;= 24,
        "No",
        "Yes"
    ),
    "No"
)</f>
        <v>No</v>
      </c>
      <c r="X331" s="3"/>
      <c r="Y331" s="4">
        <v>0</v>
      </c>
      <c r="Z331" s="4">
        <v>0</v>
      </c>
      <c r="AA331" s="4">
        <v>0</v>
      </c>
      <c r="AB331" s="4">
        <v>0</v>
      </c>
      <c r="AC331" s="4">
        <v>0</v>
      </c>
      <c r="AD331" s="4">
        <v>0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4">
        <v>0</v>
      </c>
      <c r="AQ331" s="4">
        <v>0</v>
      </c>
      <c r="AR331" s="4">
        <v>0</v>
      </c>
      <c r="AS331" s="4">
        <v>80.010002000000014</v>
      </c>
      <c r="AT331" s="4">
        <v>80.010002000000014</v>
      </c>
      <c r="AU331" s="4">
        <v>80.010002000000014</v>
      </c>
      <c r="AV331" s="4">
        <v>80.010002000000014</v>
      </c>
      <c r="AW331" s="4">
        <v>80.010002000000014</v>
      </c>
      <c r="AX331" s="4">
        <v>80.010002000000014</v>
      </c>
      <c r="AY331" s="4">
        <v>80.010002000000014</v>
      </c>
      <c r="AZ331" s="4">
        <v>80.010002000000014</v>
      </c>
      <c r="BA331" s="4">
        <v>80.010002000000014</v>
      </c>
      <c r="BB331" s="4">
        <v>80.010002000000014</v>
      </c>
      <c r="BC331" s="4">
        <v>80.010002000000014</v>
      </c>
      <c r="BD331" s="4">
        <v>80.010002000000014</v>
      </c>
      <c r="BE331" s="4">
        <v>80.010002000000014</v>
      </c>
      <c r="BF331" s="4">
        <v>80.010002000000014</v>
      </c>
      <c r="BG331" s="4">
        <v>80.010002000000014</v>
      </c>
      <c r="BH331" s="4">
        <v>80.010002000000014</v>
      </c>
      <c r="BJ331" s="9"/>
    </row>
    <row r="332" spans="1:62" x14ac:dyDescent="0.25">
      <c r="A332" s="8" t="s">
        <v>389</v>
      </c>
      <c r="B332" s="8"/>
      <c r="C332" s="7" t="s">
        <v>525</v>
      </c>
      <c r="D332" s="3"/>
      <c r="E332" s="3">
        <f>VLOOKUP(A332,[2]Sheet1!$A$2:$E$627,5,0)</f>
        <v>1457.6229262001095</v>
      </c>
      <c r="F332" s="3">
        <f>VLOOKUP(A332,[2]Sheet1!$A$2:$F$627,6,0)</f>
        <v>1500.9242054501437</v>
      </c>
      <c r="G332" s="3">
        <f>VLOOKUP(A332,[2]Sheet1!$A$2:$G$627,7,0)</f>
        <v>0</v>
      </c>
      <c r="H332" s="4">
        <f t="shared" si="30"/>
        <v>1482.8777054279915</v>
      </c>
      <c r="I332" s="11">
        <f t="shared" si="31"/>
        <v>2.9706777021487107E-2</v>
      </c>
      <c r="J332" s="11">
        <f t="shared" si="32"/>
        <v>-1</v>
      </c>
      <c r="K332" s="11">
        <f t="shared" si="33"/>
        <v>-1</v>
      </c>
      <c r="L332" s="11">
        <f>IF(S332="",((BG332-E332)/E332),((U332-E332)/E332))</f>
        <v>6.6458773032322975E-3</v>
      </c>
      <c r="M332" s="3" t="str">
        <f>IF(S332="Churn","Churn",VLOOKUP(A332,'[1]Revenue_Engine_2025 Dec.25'!$C$14:$E$3993,3,0))</f>
        <v>Üretim</v>
      </c>
      <c r="N332" s="3">
        <f>IF(S332="",VLOOKUP(A332,[3]Export!$B$2:$F$417,5,0),"CHURN")</f>
        <v>0</v>
      </c>
      <c r="O332" s="3">
        <f>(1-N332)*H332</f>
        <v>1482.8777054279915</v>
      </c>
      <c r="P332" s="3">
        <f t="shared" si="35"/>
        <v>1500.9242054501437</v>
      </c>
      <c r="Q332" s="3">
        <f t="shared" si="34"/>
        <v>0</v>
      </c>
      <c r="R332" s="3" t="str">
        <f>IF(S332&lt;&gt;"Churn",VLOOKUP(A332,[3]Export!$B$2:$O$417,8,0),"CHURN")</f>
        <v>LOW RISK</v>
      </c>
      <c r="S332" s="3"/>
      <c r="T332" s="3"/>
      <c r="U332" s="3" t="s">
        <v>551</v>
      </c>
      <c r="V332" s="4" t="str" cm="1">
        <f t="array" ref="V332">IFERROR(
    IF(
        MATCH(2,1/((Y332:BH332&lt;&gt;0)*(Y332:BH332&lt;&gt;"")))-MATCH(1,INDEX((Y332:BH332&lt;&gt;0)*(Y332:BH332&lt;&gt;""),0),0)+1 &lt;= 12,
        "No",
        "Yes"
    ),
    "No"
)</f>
        <v>Yes</v>
      </c>
      <c r="W332" s="4" t="str" cm="1">
        <f t="array" ref="W332">IFERROR(
    IF(
        MATCH(2,1/((Y332:BH332&lt;&gt;0)*(Y332:BH332&lt;&gt;"")))-MATCH(1,INDEX((Y332:BH332&lt;&gt;0)*(Y332:BH332&lt;&gt;""),0),0)+1 &lt;= 24,
        "No",
        "Yes"
    ),
    "No"
)</f>
        <v>No</v>
      </c>
      <c r="X332" s="3"/>
      <c r="Y332" s="4">
        <v>0</v>
      </c>
      <c r="Z332" s="4">
        <v>0</v>
      </c>
      <c r="AA332" s="4">
        <v>0</v>
      </c>
      <c r="AB332" s="4">
        <v>0</v>
      </c>
      <c r="AC332" s="4">
        <v>0</v>
      </c>
      <c r="AD332" s="4">
        <v>0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4">
        <v>0</v>
      </c>
      <c r="AQ332" s="4">
        <v>0</v>
      </c>
      <c r="AR332" s="4">
        <v>0</v>
      </c>
      <c r="AS332" s="4">
        <v>1457.6229262001095</v>
      </c>
      <c r="AT332" s="4">
        <v>1448.6094812222168</v>
      </c>
      <c r="AU332" s="4">
        <v>1440.6244452140709</v>
      </c>
      <c r="AV332" s="4">
        <v>1418.2243258420528</v>
      </c>
      <c r="AW332" s="4">
        <v>1396.8451053983126</v>
      </c>
      <c r="AX332" s="4">
        <v>1372.2212519647715</v>
      </c>
      <c r="AY332" s="4">
        <v>1337.9861011625612</v>
      </c>
      <c r="AZ332" s="4">
        <v>1302.2443326063567</v>
      </c>
      <c r="BA332" s="4">
        <v>1280.4130431408662</v>
      </c>
      <c r="BB332" s="4">
        <v>1258.6740441069899</v>
      </c>
      <c r="BC332" s="4">
        <v>1234.4632204776251</v>
      </c>
      <c r="BD332" s="4">
        <v>1215.4517060522128</v>
      </c>
      <c r="BE332" s="4">
        <v>1500.9242054501437</v>
      </c>
      <c r="BF332" s="4">
        <v>1482.8777054279915</v>
      </c>
      <c r="BG332" s="4">
        <v>1467.3101093220139</v>
      </c>
      <c r="BH332" s="4">
        <v>1453.0071082868958</v>
      </c>
      <c r="BJ332" s="9"/>
    </row>
    <row r="333" spans="1:62" x14ac:dyDescent="0.25">
      <c r="A333" s="8" t="s">
        <v>429</v>
      </c>
      <c r="B333" s="8"/>
      <c r="C333" s="7" t="s">
        <v>526</v>
      </c>
      <c r="D333" s="3"/>
      <c r="E333" s="3">
        <f>VLOOKUP(A333,[2]Sheet1!$A$2:$E$627,5,0)</f>
        <v>259.990003</v>
      </c>
      <c r="F333" s="3">
        <f>VLOOKUP(A333,[2]Sheet1!$A$2:$F$627,6,0)</f>
        <v>259.990002</v>
      </c>
      <c r="G333" s="3">
        <f>VLOOKUP(A333,[2]Sheet1!$A$2:$G$627,7,0)</f>
        <v>0</v>
      </c>
      <c r="H333" s="4">
        <f t="shared" si="30"/>
        <v>272.990002</v>
      </c>
      <c r="I333" s="11">
        <f t="shared" si="31"/>
        <v>-3.8463017267446347E-9</v>
      </c>
      <c r="J333" s="11">
        <f t="shared" si="32"/>
        <v>-1</v>
      </c>
      <c r="K333" s="11">
        <f t="shared" si="33"/>
        <v>-1</v>
      </c>
      <c r="L333" s="11">
        <f>IF(S333="",((BG333-E333)/E333),((U333-E333)/E333))</f>
        <v>-3.8463017267446347E-9</v>
      </c>
      <c r="M333" s="3" t="str">
        <f>IF(S333="Churn","Churn",VLOOKUP(A333,'[1]Revenue_Engine_2025 Dec.25'!$C$14:$E$3993,3,0))</f>
        <v>Üretim</v>
      </c>
      <c r="N333" s="3">
        <f>IF(S333="",VLOOKUP(A333,[3]Export!$B$2:$F$417,5,0),"CHURN")</f>
        <v>4.1062236411134198E-2</v>
      </c>
      <c r="O333" s="3">
        <f>(1-N333)*H333</f>
        <v>261.78042200000004</v>
      </c>
      <c r="P333" s="3">
        <f t="shared" si="35"/>
        <v>249.31423107334476</v>
      </c>
      <c r="Q333" s="3">
        <f t="shared" si="34"/>
        <v>0</v>
      </c>
      <c r="R333" s="3" t="str">
        <f>IF(S333&lt;&gt;"Churn",VLOOKUP(A333,[3]Export!$B$2:$O$417,8,0),"CHURN")</f>
        <v>NO RISK</v>
      </c>
      <c r="S333" s="3"/>
      <c r="T333" s="3"/>
      <c r="U333" s="3" t="s">
        <v>551</v>
      </c>
      <c r="V333" s="4" t="str" cm="1">
        <f t="array" ref="V333">IFERROR(
    IF(
        MATCH(2,1/((Y333:BH333&lt;&gt;0)*(Y333:BH333&lt;&gt;"")))-MATCH(1,INDEX((Y333:BH333&lt;&gt;0)*(Y333:BH333&lt;&gt;""),0),0)+1 &lt;= 12,
        "No",
        "Yes"
    ),
    "No"
)</f>
        <v>Yes</v>
      </c>
      <c r="W333" s="4" t="str" cm="1">
        <f t="array" ref="W333">IFERROR(
    IF(
        MATCH(2,1/((Y333:BH333&lt;&gt;0)*(Y333:BH333&lt;&gt;"")))-MATCH(1,INDEX((Y333:BH333&lt;&gt;0)*(Y333:BH333&lt;&gt;""),0),0)+1 &lt;= 24,
        "No",
        "Yes"
    ),
    "No"
)</f>
        <v>No</v>
      </c>
      <c r="X333" s="3"/>
      <c r="Y333" s="4">
        <v>0</v>
      </c>
      <c r="Z333" s="4">
        <v>0</v>
      </c>
      <c r="AA333" s="4">
        <v>0</v>
      </c>
      <c r="AB333" s="4">
        <v>0</v>
      </c>
      <c r="AC333" s="4">
        <v>0</v>
      </c>
      <c r="AD333" s="4">
        <v>0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4">
        <v>0</v>
      </c>
      <c r="AQ333" s="4">
        <v>0</v>
      </c>
      <c r="AR333" s="4">
        <v>0</v>
      </c>
      <c r="AS333" s="4">
        <v>259.990003</v>
      </c>
      <c r="AT333" s="4">
        <v>259.990003</v>
      </c>
      <c r="AU333" s="4">
        <v>259.990002</v>
      </c>
      <c r="AV333" s="4">
        <v>259.990002</v>
      </c>
      <c r="AW333" s="4">
        <v>259.990002</v>
      </c>
      <c r="AX333" s="4">
        <v>259.990002</v>
      </c>
      <c r="AY333" s="4">
        <v>259.990002</v>
      </c>
      <c r="AZ333" s="4">
        <v>259.990002</v>
      </c>
      <c r="BA333" s="4">
        <v>259.990002</v>
      </c>
      <c r="BB333" s="4">
        <v>259.990002</v>
      </c>
      <c r="BC333" s="4">
        <v>259.990002</v>
      </c>
      <c r="BD333" s="4">
        <v>259.990002</v>
      </c>
      <c r="BE333" s="4">
        <v>259.990002</v>
      </c>
      <c r="BF333" s="4">
        <v>259.990002</v>
      </c>
      <c r="BG333" s="4">
        <v>259.990002</v>
      </c>
      <c r="BH333" s="4">
        <v>272.990002</v>
      </c>
      <c r="BJ333" s="9"/>
    </row>
    <row r="334" spans="1:62" x14ac:dyDescent="0.25">
      <c r="A334" s="8" t="s">
        <v>492</v>
      </c>
      <c r="B334" s="8"/>
      <c r="C334" s="7" t="s">
        <v>526</v>
      </c>
      <c r="D334" s="3"/>
      <c r="E334" s="3">
        <f>VLOOKUP(A334,[2]Sheet1!$A$2:$E$627,5,0)</f>
        <v>58.999418916666663</v>
      </c>
      <c r="F334" s="3">
        <f>VLOOKUP(A334,[2]Sheet1!$A$2:$F$627,6,0)</f>
        <v>58.999418916666663</v>
      </c>
      <c r="G334" s="3">
        <f>VLOOKUP(A334,[2]Sheet1!$A$2:$G$627,7,0)</f>
        <v>0</v>
      </c>
      <c r="H334" s="4">
        <f t="shared" si="30"/>
        <v>58.999418916666663</v>
      </c>
      <c r="I334" s="11">
        <f t="shared" si="31"/>
        <v>0</v>
      </c>
      <c r="J334" s="11">
        <f t="shared" si="32"/>
        <v>-1</v>
      </c>
      <c r="K334" s="11">
        <f t="shared" si="33"/>
        <v>-1</v>
      </c>
      <c r="L334" s="11">
        <f>IF(S334="",((BG334-E334)/E334),((U334-E334)/E334))</f>
        <v>0</v>
      </c>
      <c r="M334" s="3" t="str">
        <f>IF(S334="Churn","Churn",VLOOKUP(A334,'[1]Revenue_Engine_2025 Dec.25'!$C$14:$E$3993,3,0))</f>
        <v>Diğer</v>
      </c>
      <c r="N334" s="3">
        <f>IF(S334="",VLOOKUP(A334,[3]Export!$B$2:$F$417,5,0),"CHURN")</f>
        <v>0.30215337841173401</v>
      </c>
      <c r="O334" s="3">
        <f>(1-N334)*H334</f>
        <v>41.172545166666659</v>
      </c>
      <c r="P334" s="3">
        <f t="shared" si="35"/>
        <v>41.172545166666659</v>
      </c>
      <c r="Q334" s="3">
        <f t="shared" si="34"/>
        <v>0</v>
      </c>
      <c r="R334" s="3" t="str">
        <f>IF(S334&lt;&gt;"Churn",VLOOKUP(A334,[3]Export!$B$2:$O$417,8,0),"CHURN")</f>
        <v>NO RISK</v>
      </c>
      <c r="S334" s="3"/>
      <c r="T334" s="3"/>
      <c r="U334" s="3" t="s">
        <v>551</v>
      </c>
      <c r="V334" s="4" t="str" cm="1">
        <f t="array" ref="V334">IFERROR(
    IF(
        MATCH(2,1/((Y334:BH334&lt;&gt;0)*(Y334:BH334&lt;&gt;"")))-MATCH(1,INDEX((Y334:BH334&lt;&gt;0)*(Y334:BH334&lt;&gt;""),0),0)+1 &lt;= 12,
        "No",
        "Yes"
    ),
    "No"
)</f>
        <v>Yes</v>
      </c>
      <c r="W334" s="4" t="str" cm="1">
        <f t="array" ref="W334">IFERROR(
    IF(
        MATCH(2,1/((Y334:BH334&lt;&gt;0)*(Y334:BH334&lt;&gt;"")))-MATCH(1,INDEX((Y334:BH334&lt;&gt;0)*(Y334:BH334&lt;&gt;""),0),0)+1 &lt;= 24,
        "No",
        "Yes"
    ),
    "No"
)</f>
        <v>No</v>
      </c>
      <c r="X334" s="3"/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4">
        <v>0</v>
      </c>
      <c r="AQ334" s="4">
        <v>0</v>
      </c>
      <c r="AR334" s="4">
        <v>0</v>
      </c>
      <c r="AS334" s="4">
        <v>0</v>
      </c>
      <c r="AT334" s="4">
        <v>58.999418916666663</v>
      </c>
      <c r="AU334" s="4">
        <v>58.999418916666663</v>
      </c>
      <c r="AV334" s="4">
        <v>58.999418916666663</v>
      </c>
      <c r="AW334" s="4">
        <v>58.999418916666663</v>
      </c>
      <c r="AX334" s="4">
        <v>58.999418916666663</v>
      </c>
      <c r="AY334" s="4">
        <v>58.999418916666663</v>
      </c>
      <c r="AZ334" s="4">
        <v>58.999418916666663</v>
      </c>
      <c r="BA334" s="4">
        <v>58.999418916666663</v>
      </c>
      <c r="BB334" s="4">
        <v>58.999418916666663</v>
      </c>
      <c r="BC334" s="4">
        <v>58.999418916666663</v>
      </c>
      <c r="BD334" s="4">
        <v>58.999418916666663</v>
      </c>
      <c r="BE334" s="4">
        <v>58.999418916666663</v>
      </c>
      <c r="BF334" s="4">
        <v>58.999418916666663</v>
      </c>
      <c r="BG334" s="4">
        <v>58.999418916666663</v>
      </c>
      <c r="BH334" s="4">
        <v>58.999418916666663</v>
      </c>
      <c r="BJ334" s="9"/>
    </row>
    <row r="335" spans="1:62" x14ac:dyDescent="0.25">
      <c r="A335" s="8" t="s">
        <v>427</v>
      </c>
      <c r="B335" s="8"/>
      <c r="C335" s="7" t="s">
        <v>526</v>
      </c>
      <c r="D335" s="3"/>
      <c r="E335" s="3">
        <f>VLOOKUP(A335,[2]Sheet1!$A$2:$E$627,5,0)</f>
        <v>260.00000199999999</v>
      </c>
      <c r="F335" s="3">
        <f>VLOOKUP(A335,[2]Sheet1!$A$2:$F$627,6,0)</f>
        <v>260.00000199999999</v>
      </c>
      <c r="G335" s="3">
        <f>VLOOKUP(A335,[2]Sheet1!$A$2:$G$627,7,0)</f>
        <v>0</v>
      </c>
      <c r="H335" s="4">
        <f t="shared" si="30"/>
        <v>260.00000199999999</v>
      </c>
      <c r="I335" s="11">
        <f t="shared" si="31"/>
        <v>0</v>
      </c>
      <c r="J335" s="11">
        <f t="shared" si="32"/>
        <v>-1</v>
      </c>
      <c r="K335" s="11">
        <f t="shared" si="33"/>
        <v>-1</v>
      </c>
      <c r="L335" s="11">
        <f>IF(S335="",((BG335-E335)/E335),((U335-E335)/E335))</f>
        <v>0</v>
      </c>
      <c r="M335" s="3" t="str">
        <f>IF(S335="Churn","Churn",VLOOKUP(A335,'[1]Revenue_Engine_2025 Dec.25'!$C$14:$E$3993,3,0))</f>
        <v>Genel</v>
      </c>
      <c r="N335" s="3">
        <f>IF(S335="",VLOOKUP(A335,[3]Export!$B$2:$F$417,5,0),"CHURN")</f>
        <v>0.23066245207182728</v>
      </c>
      <c r="O335" s="3">
        <f>(1-N335)*H335</f>
        <v>200.02776400000002</v>
      </c>
      <c r="P335" s="3">
        <f t="shared" si="35"/>
        <v>200.02776400000002</v>
      </c>
      <c r="Q335" s="3">
        <f t="shared" si="34"/>
        <v>0</v>
      </c>
      <c r="R335" s="3" t="str">
        <f>IF(S335&lt;&gt;"Churn",VLOOKUP(A335,[3]Export!$B$2:$O$417,8,0),"CHURN")</f>
        <v>NO RISK</v>
      </c>
      <c r="S335" s="3"/>
      <c r="T335" s="3"/>
      <c r="U335" s="3" t="s">
        <v>551</v>
      </c>
      <c r="V335" s="4" t="str" cm="1">
        <f t="array" ref="V335">IFERROR(
    IF(
        MATCH(2,1/((Y335:BH335&lt;&gt;0)*(Y335:BH335&lt;&gt;"")))-MATCH(1,INDEX((Y335:BH335&lt;&gt;0)*(Y335:BH335&lt;&gt;""),0),0)+1 &lt;= 12,
        "No",
        "Yes"
    ),
    "No"
)</f>
        <v>Yes</v>
      </c>
      <c r="W335" s="4" t="str" cm="1">
        <f t="array" ref="W335">IFERROR(
    IF(
        MATCH(2,1/((Y335:BH335&lt;&gt;0)*(Y335:BH335&lt;&gt;"")))-MATCH(1,INDEX((Y335:BH335&lt;&gt;0)*(Y335:BH335&lt;&gt;""),0),0)+1 &lt;= 24,
        "No",
        "Yes"
    ),
    "No"
)</f>
        <v>No</v>
      </c>
      <c r="X335" s="3"/>
      <c r="Y335" s="4">
        <v>0</v>
      </c>
      <c r="Z335" s="4">
        <v>0</v>
      </c>
      <c r="AA335" s="4">
        <v>0</v>
      </c>
      <c r="AB335" s="4">
        <v>0</v>
      </c>
      <c r="AC335" s="4">
        <v>0</v>
      </c>
      <c r="AD335" s="4">
        <v>0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4">
        <v>0</v>
      </c>
      <c r="AQ335" s="4">
        <v>0</v>
      </c>
      <c r="AR335" s="4">
        <v>0</v>
      </c>
      <c r="AS335" s="4">
        <v>0</v>
      </c>
      <c r="AT335" s="4">
        <v>230.00000199999999</v>
      </c>
      <c r="AU335" s="4">
        <v>260.00000199999999</v>
      </c>
      <c r="AV335" s="4">
        <v>260.00000199999999</v>
      </c>
      <c r="AW335" s="4">
        <v>260.00000199999999</v>
      </c>
      <c r="AX335" s="4">
        <v>260.00000199999999</v>
      </c>
      <c r="AY335" s="4">
        <v>260.00000199999999</v>
      </c>
      <c r="AZ335" s="4">
        <v>260.00000199999999</v>
      </c>
      <c r="BA335" s="4">
        <v>260.00000199999999</v>
      </c>
      <c r="BB335" s="4">
        <v>260.00000199999999</v>
      </c>
      <c r="BC335" s="4">
        <v>260.00000199999999</v>
      </c>
      <c r="BD335" s="4">
        <v>260.00000199999999</v>
      </c>
      <c r="BE335" s="4">
        <v>260.00000199999999</v>
      </c>
      <c r="BF335" s="4">
        <v>260.00000199999999</v>
      </c>
      <c r="BG335" s="4">
        <v>260.00000199999999</v>
      </c>
      <c r="BH335" s="4">
        <v>260.00000199999999</v>
      </c>
      <c r="BJ335" s="9"/>
    </row>
    <row r="336" spans="1:62" x14ac:dyDescent="0.25">
      <c r="A336" s="8" t="s">
        <v>447</v>
      </c>
      <c r="B336" s="8"/>
      <c r="C336" s="7" t="s">
        <v>526</v>
      </c>
      <c r="D336" s="3"/>
      <c r="E336" s="3">
        <f>VLOOKUP(A336,[2]Sheet1!$A$2:$E$627,5,0)</f>
        <v>137.99957366666666</v>
      </c>
      <c r="F336" s="3">
        <f>VLOOKUP(A336,[2]Sheet1!$A$2:$F$627,6,0)</f>
        <v>137.99957366666666</v>
      </c>
      <c r="G336" s="3">
        <f>VLOOKUP(A336,[2]Sheet1!$A$2:$G$627,7,0)</f>
        <v>0</v>
      </c>
      <c r="H336" s="4">
        <f t="shared" si="30"/>
        <v>137.99957366666666</v>
      </c>
      <c r="I336" s="11">
        <f t="shared" si="31"/>
        <v>0</v>
      </c>
      <c r="J336" s="11">
        <f t="shared" si="32"/>
        <v>-1</v>
      </c>
      <c r="K336" s="11">
        <f t="shared" si="33"/>
        <v>-1</v>
      </c>
      <c r="L336" s="11">
        <f>IF(S336="",((BG336-E336)/E336),((U336-E336)/E336))</f>
        <v>0</v>
      </c>
      <c r="M336" s="3" t="str">
        <f>IF(S336="Churn","Churn",VLOOKUP(A336,'[1]Revenue_Engine_2025 Dec.25'!$C$14:$E$3993,3,0))</f>
        <v>Diğer</v>
      </c>
      <c r="N336" s="3">
        <f>IF(S336="",VLOOKUP(A336,[3]Export!$B$2:$F$417,5,0),"CHURN")</f>
        <v>0.31749521274487225</v>
      </c>
      <c r="O336" s="3">
        <f>(1-N336)*H336</f>
        <v>94.185369666666659</v>
      </c>
      <c r="P336" s="3">
        <f t="shared" si="35"/>
        <v>94.185369666666659</v>
      </c>
      <c r="Q336" s="3">
        <f t="shared" si="34"/>
        <v>0</v>
      </c>
      <c r="R336" s="3" t="str">
        <f>IF(S336&lt;&gt;"Churn",VLOOKUP(A336,[3]Export!$B$2:$O$417,8,0),"CHURN")</f>
        <v>NO RISK</v>
      </c>
      <c r="S336" s="3"/>
      <c r="T336" s="3"/>
      <c r="U336" s="3" t="s">
        <v>551</v>
      </c>
      <c r="V336" s="4" t="str" cm="1">
        <f t="array" ref="V336">IFERROR(
    IF(
        MATCH(2,1/((Y336:BH336&lt;&gt;0)*(Y336:BH336&lt;&gt;"")))-MATCH(1,INDEX((Y336:BH336&lt;&gt;0)*(Y336:BH336&lt;&gt;""),0),0)+1 &lt;= 12,
        "No",
        "Yes"
    ),
    "No"
)</f>
        <v>Yes</v>
      </c>
      <c r="W336" s="4" t="str" cm="1">
        <f t="array" ref="W336">IFERROR(
    IF(
        MATCH(2,1/((Y336:BH336&lt;&gt;0)*(Y336:BH336&lt;&gt;"")))-MATCH(1,INDEX((Y336:BH336&lt;&gt;0)*(Y336:BH336&lt;&gt;""),0),0)+1 &lt;= 24,
        "No",
        "Yes"
    ),
    "No"
)</f>
        <v>No</v>
      </c>
      <c r="X336" s="3"/>
      <c r="Y336" s="4">
        <v>0</v>
      </c>
      <c r="Z336" s="4">
        <v>0</v>
      </c>
      <c r="AA336" s="4">
        <v>0</v>
      </c>
      <c r="AB336" s="4">
        <v>0</v>
      </c>
      <c r="AC336" s="4">
        <v>0</v>
      </c>
      <c r="AD336" s="4">
        <v>0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4">
        <v>0</v>
      </c>
      <c r="AQ336" s="4">
        <v>0</v>
      </c>
      <c r="AR336" s="4">
        <v>0</v>
      </c>
      <c r="AS336" s="4">
        <v>0</v>
      </c>
      <c r="AT336" s="4">
        <v>137.99957366666666</v>
      </c>
      <c r="AU336" s="4">
        <v>137.99957366666666</v>
      </c>
      <c r="AV336" s="4">
        <v>137.99957366666666</v>
      </c>
      <c r="AW336" s="4">
        <v>137.99957366666666</v>
      </c>
      <c r="AX336" s="4">
        <v>137.99957366666666</v>
      </c>
      <c r="AY336" s="4">
        <v>137.99957366666666</v>
      </c>
      <c r="AZ336" s="4">
        <v>137.99957366666666</v>
      </c>
      <c r="BA336" s="4">
        <v>137.99957366666666</v>
      </c>
      <c r="BB336" s="4">
        <v>137.99957366666666</v>
      </c>
      <c r="BC336" s="4">
        <v>137.99957366666666</v>
      </c>
      <c r="BD336" s="4">
        <v>137.99957366666666</v>
      </c>
      <c r="BE336" s="4">
        <v>137.99957366666666</v>
      </c>
      <c r="BF336" s="4">
        <v>137.99957366666666</v>
      </c>
      <c r="BG336" s="4">
        <v>137.99957366666666</v>
      </c>
      <c r="BH336" s="4">
        <v>137.99957366666666</v>
      </c>
      <c r="BJ336" s="9"/>
    </row>
    <row r="337" spans="1:62" x14ac:dyDescent="0.25">
      <c r="A337" s="8" t="s">
        <v>404</v>
      </c>
      <c r="B337" s="8"/>
      <c r="C337" s="7" t="s">
        <v>525</v>
      </c>
      <c r="D337" s="3"/>
      <c r="E337" s="3">
        <f>VLOOKUP(A337,[2]Sheet1!$A$2:$E$627,5,0)</f>
        <v>499.99999999999994</v>
      </c>
      <c r="F337" s="3">
        <f>VLOOKUP(A337,[2]Sheet1!$A$2:$F$627,6,0)</f>
        <v>609.99999999999989</v>
      </c>
      <c r="G337" s="3">
        <f>VLOOKUP(A337,[2]Sheet1!$A$2:$G$627,7,0)</f>
        <v>0</v>
      </c>
      <c r="H337" s="4">
        <f t="shared" si="30"/>
        <v>609.99999999999989</v>
      </c>
      <c r="I337" s="11">
        <f t="shared" si="31"/>
        <v>0.21999999999999992</v>
      </c>
      <c r="J337" s="11">
        <f t="shared" si="32"/>
        <v>-1</v>
      </c>
      <c r="K337" s="11">
        <f t="shared" si="33"/>
        <v>-1</v>
      </c>
      <c r="L337" s="11">
        <f>IF(S337="",((BG337-E337)/E337),((U337-E337)/E337))</f>
        <v>0.21999999999999992</v>
      </c>
      <c r="M337" s="3" t="str">
        <f>IF(S337="Churn","Churn",VLOOKUP(A337,'[1]Revenue_Engine_2025 Dec.25'!$C$14:$E$3993,3,0))</f>
        <v>Teknoloji</v>
      </c>
      <c r="N337" s="3">
        <f>IF(S337="",VLOOKUP(A337,[3]Export!$B$2:$F$417,5,0),"CHURN")</f>
        <v>5.3340000000000019E-2</v>
      </c>
      <c r="O337" s="3">
        <f>(1-N337)*H337</f>
        <v>577.46259999999984</v>
      </c>
      <c r="P337" s="3">
        <f t="shared" si="35"/>
        <v>577.46259999999984</v>
      </c>
      <c r="Q337" s="3">
        <f t="shared" si="34"/>
        <v>0</v>
      </c>
      <c r="R337" s="3" t="str">
        <f>IF(S337&lt;&gt;"Churn",VLOOKUP(A337,[3]Export!$B$2:$O$417,8,0),"CHURN")</f>
        <v>NO RISK</v>
      </c>
      <c r="S337" s="3"/>
      <c r="T337" s="3"/>
      <c r="U337" s="3" t="s">
        <v>551</v>
      </c>
      <c r="V337" s="4" t="str" cm="1">
        <f t="array" ref="V337">IFERROR(
    IF(
        MATCH(2,1/((Y337:BH337&lt;&gt;0)*(Y337:BH337&lt;&gt;"")))-MATCH(1,INDEX((Y337:BH337&lt;&gt;0)*(Y337:BH337&lt;&gt;""),0),0)+1 &lt;= 12,
        "No",
        "Yes"
    ),
    "No"
)</f>
        <v>Yes</v>
      </c>
      <c r="W337" s="4" t="str" cm="1">
        <f t="array" ref="W337">IFERROR(
    IF(
        MATCH(2,1/((Y337:BH337&lt;&gt;0)*(Y337:BH337&lt;&gt;"")))-MATCH(1,INDEX((Y337:BH337&lt;&gt;0)*(Y337:BH337&lt;&gt;""),0),0)+1 &lt;= 24,
        "No",
        "Yes"
    ),
    "No"
)</f>
        <v>No</v>
      </c>
      <c r="X337" s="3"/>
      <c r="Y337" s="4">
        <v>0</v>
      </c>
      <c r="Z337" s="4">
        <v>0</v>
      </c>
      <c r="AA337" s="4">
        <v>0</v>
      </c>
      <c r="AB337" s="4">
        <v>0</v>
      </c>
      <c r="AC337" s="4">
        <v>0</v>
      </c>
      <c r="AD337" s="4">
        <v>0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4">
        <v>0</v>
      </c>
      <c r="AQ337" s="4">
        <v>0</v>
      </c>
      <c r="AR337" s="4">
        <v>0</v>
      </c>
      <c r="AS337" s="4">
        <v>0</v>
      </c>
      <c r="AT337" s="4">
        <v>499.99999999999994</v>
      </c>
      <c r="AU337" s="4">
        <v>499.99999999999994</v>
      </c>
      <c r="AV337" s="4">
        <v>499.99999999999994</v>
      </c>
      <c r="AW337" s="4">
        <v>499.99999999999994</v>
      </c>
      <c r="AX337" s="4">
        <v>499.99999999999994</v>
      </c>
      <c r="AY337" s="4">
        <v>499.99999999999994</v>
      </c>
      <c r="AZ337" s="4">
        <v>500.00000000000006</v>
      </c>
      <c r="BA337" s="4">
        <v>499.99999999999994</v>
      </c>
      <c r="BB337" s="4">
        <v>499.99999999999994</v>
      </c>
      <c r="BC337" s="4">
        <v>499.99999999999994</v>
      </c>
      <c r="BD337" s="4">
        <v>609.99999999999989</v>
      </c>
      <c r="BE337" s="4">
        <v>609.99999999999989</v>
      </c>
      <c r="BF337" s="4">
        <v>609.99999999999989</v>
      </c>
      <c r="BG337" s="4">
        <v>609.99999999999989</v>
      </c>
      <c r="BH337" s="4">
        <v>609.99999999999989</v>
      </c>
      <c r="BJ337" s="9"/>
    </row>
    <row r="338" spans="1:62" x14ac:dyDescent="0.25">
      <c r="A338" s="8" t="s">
        <v>477</v>
      </c>
      <c r="B338" s="8"/>
      <c r="C338" s="7" t="s">
        <v>526</v>
      </c>
      <c r="D338" s="3"/>
      <c r="E338" s="3">
        <f>VLOOKUP(A338,[2]Sheet1!$A$2:$E$627,5,0)</f>
        <v>99.333333416666676</v>
      </c>
      <c r="F338" s="3">
        <f>VLOOKUP(A338,[2]Sheet1!$A$2:$F$627,6,0)</f>
        <v>99.333333416666676</v>
      </c>
      <c r="G338" s="3">
        <f>VLOOKUP(A338,[2]Sheet1!$A$2:$G$627,7,0)</f>
        <v>0</v>
      </c>
      <c r="H338" s="4">
        <f t="shared" si="30"/>
        <v>99.333333416666676</v>
      </c>
      <c r="I338" s="11">
        <f t="shared" si="31"/>
        <v>0</v>
      </c>
      <c r="J338" s="11">
        <f t="shared" si="32"/>
        <v>-1</v>
      </c>
      <c r="K338" s="11">
        <f t="shared" si="33"/>
        <v>-1</v>
      </c>
      <c r="L338" s="11">
        <f>IF(S338="",((BG338-E338)/E338),((U338-E338)/E338))</f>
        <v>0</v>
      </c>
      <c r="M338" s="3" t="str">
        <f>IF(S338="Churn","Churn",VLOOKUP(A338,'[1]Revenue_Engine_2025 Dec.25'!$C$14:$E$3993,3,0))</f>
        <v>Diğer</v>
      </c>
      <c r="N338" s="3">
        <f>IF(S338="",VLOOKUP(A338,[3]Export!$B$2:$F$417,5,0),"CHURN")</f>
        <v>0.31952409369167439</v>
      </c>
      <c r="O338" s="3">
        <f>(1-N338)*H338</f>
        <v>67.593940083333351</v>
      </c>
      <c r="P338" s="3">
        <f t="shared" si="35"/>
        <v>67.593940083333351</v>
      </c>
      <c r="Q338" s="3">
        <f t="shared" si="34"/>
        <v>0</v>
      </c>
      <c r="R338" s="3" t="str">
        <f>IF(S338&lt;&gt;"Churn",VLOOKUP(A338,[3]Export!$B$2:$O$417,8,0),"CHURN")</f>
        <v>NO RISK</v>
      </c>
      <c r="S338" s="3"/>
      <c r="T338" s="3"/>
      <c r="U338" s="3" t="s">
        <v>551</v>
      </c>
      <c r="V338" s="4" t="str" cm="1">
        <f t="array" ref="V338">IFERROR(
    IF(
        MATCH(2,1/((Y338:BH338&lt;&gt;0)*(Y338:BH338&lt;&gt;"")))-MATCH(1,INDEX((Y338:BH338&lt;&gt;0)*(Y338:BH338&lt;&gt;""),0),0)+1 &lt;= 12,
        "No",
        "Yes"
    ),
    "No"
)</f>
        <v>Yes</v>
      </c>
      <c r="W338" s="4" t="str" cm="1">
        <f t="array" ref="W338">IFERROR(
    IF(
        MATCH(2,1/((Y338:BH338&lt;&gt;0)*(Y338:BH338&lt;&gt;"")))-MATCH(1,INDEX((Y338:BH338&lt;&gt;0)*(Y338:BH338&lt;&gt;""),0),0)+1 &lt;= 24,
        "No",
        "Yes"
    ),
    "No"
)</f>
        <v>No</v>
      </c>
      <c r="X338" s="3"/>
      <c r="Y338" s="4">
        <v>0</v>
      </c>
      <c r="Z338" s="4">
        <v>0</v>
      </c>
      <c r="AA338" s="4">
        <v>0</v>
      </c>
      <c r="AB338" s="4">
        <v>0</v>
      </c>
      <c r="AC338" s="4">
        <v>0</v>
      </c>
      <c r="AD338" s="4">
        <v>0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4">
        <v>0</v>
      </c>
      <c r="AQ338" s="4">
        <v>0</v>
      </c>
      <c r="AR338" s="4">
        <v>0</v>
      </c>
      <c r="AS338" s="4">
        <v>0</v>
      </c>
      <c r="AT338" s="4">
        <v>99.333333416666676</v>
      </c>
      <c r="AU338" s="4">
        <v>99.333333416666676</v>
      </c>
      <c r="AV338" s="4">
        <v>99.333333416666676</v>
      </c>
      <c r="AW338" s="4">
        <v>99.333333416666676</v>
      </c>
      <c r="AX338" s="4">
        <v>99.333333416666676</v>
      </c>
      <c r="AY338" s="4">
        <v>99.333333416666676</v>
      </c>
      <c r="AZ338" s="4">
        <v>99.333333416666676</v>
      </c>
      <c r="BA338" s="4">
        <v>99.333333416666676</v>
      </c>
      <c r="BB338" s="4">
        <v>99.333333416666676</v>
      </c>
      <c r="BC338" s="4">
        <v>99.333333416666676</v>
      </c>
      <c r="BD338" s="4">
        <v>99.333333416666676</v>
      </c>
      <c r="BE338" s="4">
        <v>99.333333416666676</v>
      </c>
      <c r="BF338" s="4">
        <v>99.333333416666676</v>
      </c>
      <c r="BG338" s="4">
        <v>99.333333416666676</v>
      </c>
      <c r="BH338" s="4">
        <v>99.333333416666676</v>
      </c>
      <c r="BJ338" s="9"/>
    </row>
    <row r="339" spans="1:62" x14ac:dyDescent="0.25">
      <c r="A339" s="8" t="s">
        <v>455</v>
      </c>
      <c r="B339" s="8"/>
      <c r="C339" s="7" t="s">
        <v>526</v>
      </c>
      <c r="D339" s="3"/>
      <c r="E339" s="3">
        <f>VLOOKUP(A339,[2]Sheet1!$A$2:$E$627,5,0)</f>
        <v>86.998993999999982</v>
      </c>
      <c r="F339" s="3">
        <f>VLOOKUP(A339,[2]Sheet1!$A$2:$F$627,6,0)</f>
        <v>111.83333333333333</v>
      </c>
      <c r="G339" s="3">
        <f>VLOOKUP(A339,[2]Sheet1!$A$2:$G$627,7,0)</f>
        <v>0</v>
      </c>
      <c r="H339" s="4">
        <f t="shared" si="30"/>
        <v>111.83333333333333</v>
      </c>
      <c r="I339" s="11">
        <f t="shared" si="31"/>
        <v>0.28545547702923268</v>
      </c>
      <c r="J339" s="11">
        <f t="shared" si="32"/>
        <v>-1</v>
      </c>
      <c r="K339" s="11">
        <f t="shared" si="33"/>
        <v>-1</v>
      </c>
      <c r="L339" s="11">
        <f>IF(S339="",((BG339-E339)/E339),((U339-E339)/E339))</f>
        <v>0.28544084850758933</v>
      </c>
      <c r="M339" s="3" t="str">
        <f>IF(S339="Churn","Churn",VLOOKUP(A339,'[1]Revenue_Engine_2025 Dec.25'!$C$14:$E$3993,3,0))</f>
        <v>Diğer</v>
      </c>
      <c r="N339" s="3">
        <f>IF(S339="",VLOOKUP(A339,[3]Export!$B$2:$F$417,5,0),"CHURN")</f>
        <v>0.30945072257090461</v>
      </c>
      <c r="O339" s="3">
        <f>(1-N339)*H339</f>
        <v>77.226427525820498</v>
      </c>
      <c r="P339" s="3">
        <f t="shared" si="35"/>
        <v>77.226427525820498</v>
      </c>
      <c r="Q339" s="3">
        <f t="shared" si="34"/>
        <v>0</v>
      </c>
      <c r="R339" s="3" t="str">
        <f>IF(S339&lt;&gt;"Churn",VLOOKUP(A339,[3]Export!$B$2:$O$417,8,0),"CHURN")</f>
        <v>NO RISK</v>
      </c>
      <c r="S339" s="3"/>
      <c r="T339" s="3"/>
      <c r="U339" s="3" t="s">
        <v>551</v>
      </c>
      <c r="V339" s="4" t="str" cm="1">
        <f t="array" ref="V339">IFERROR(
    IF(
        MATCH(2,1/((Y339:BH339&lt;&gt;0)*(Y339:BH339&lt;&gt;"")))-MATCH(1,INDEX((Y339:BH339&lt;&gt;0)*(Y339:BH339&lt;&gt;""),0),0)+1 &lt;= 12,
        "No",
        "Yes"
    ),
    "No"
)</f>
        <v>Yes</v>
      </c>
      <c r="W339" s="4" t="str" cm="1">
        <f t="array" ref="W339">IFERROR(
    IF(
        MATCH(2,1/((Y339:BH339&lt;&gt;0)*(Y339:BH339&lt;&gt;"")))-MATCH(1,INDEX((Y339:BH339&lt;&gt;0)*(Y339:BH339&lt;&gt;""),0),0)+1 &lt;= 24,
        "No",
        "Yes"
    ),
    "No"
)</f>
        <v>No</v>
      </c>
      <c r="X339" s="3"/>
      <c r="Y339" s="4">
        <v>0</v>
      </c>
      <c r="Z339" s="4">
        <v>0</v>
      </c>
      <c r="AA339" s="4">
        <v>0</v>
      </c>
      <c r="AB339" s="4">
        <v>0</v>
      </c>
      <c r="AC339" s="4">
        <v>0</v>
      </c>
      <c r="AD339" s="4">
        <v>0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4">
        <v>0</v>
      </c>
      <c r="AQ339" s="4">
        <v>0</v>
      </c>
      <c r="AR339" s="4">
        <v>0</v>
      </c>
      <c r="AS339" s="4">
        <v>0</v>
      </c>
      <c r="AT339" s="4">
        <v>86.998993999999982</v>
      </c>
      <c r="AU339" s="4">
        <v>86.998993999999982</v>
      </c>
      <c r="AV339" s="4">
        <v>86.998993999999982</v>
      </c>
      <c r="AW339" s="4">
        <v>108.99899399999998</v>
      </c>
      <c r="AX339" s="4">
        <v>108.99899399999998</v>
      </c>
      <c r="AY339" s="4">
        <v>108.99899399999998</v>
      </c>
      <c r="AZ339" s="4">
        <v>142.99899399999998</v>
      </c>
      <c r="BA339" s="4">
        <v>142.99899399999998</v>
      </c>
      <c r="BB339" s="4">
        <v>108.99899399999998</v>
      </c>
      <c r="BC339" s="4">
        <v>108.99899399999998</v>
      </c>
      <c r="BD339" s="4">
        <v>108.99899399999998</v>
      </c>
      <c r="BE339" s="4">
        <v>108.99899399999998</v>
      </c>
      <c r="BF339" s="4">
        <v>111.83333333333333</v>
      </c>
      <c r="BG339" s="4">
        <v>111.83206066666665</v>
      </c>
      <c r="BH339" s="4">
        <v>111.83206066666665</v>
      </c>
      <c r="BJ339" s="9"/>
    </row>
    <row r="340" spans="1:62" x14ac:dyDescent="0.25">
      <c r="A340" s="8" t="s">
        <v>436</v>
      </c>
      <c r="B340" s="8"/>
      <c r="C340" s="7" t="s">
        <v>526</v>
      </c>
      <c r="D340" s="3"/>
      <c r="E340" s="3">
        <f>VLOOKUP(A340,[2]Sheet1!$A$2:$E$627,5,0)</f>
        <v>200.00021400000003</v>
      </c>
      <c r="F340" s="3">
        <f>VLOOKUP(A340,[2]Sheet1!$A$2:$F$627,6,0)</f>
        <v>200.00021400000003</v>
      </c>
      <c r="G340" s="3">
        <f>VLOOKUP(A340,[2]Sheet1!$A$2:$G$627,7,0)</f>
        <v>0</v>
      </c>
      <c r="H340" s="4">
        <f t="shared" si="30"/>
        <v>200.00021400000003</v>
      </c>
      <c r="I340" s="11">
        <f t="shared" si="31"/>
        <v>0</v>
      </c>
      <c r="J340" s="11">
        <f t="shared" si="32"/>
        <v>-1</v>
      </c>
      <c r="K340" s="11">
        <f t="shared" si="33"/>
        <v>-1</v>
      </c>
      <c r="L340" s="11">
        <f>IF(S340="",((BG340-E340)/E340),((U340-E340)/E340))</f>
        <v>0</v>
      </c>
      <c r="M340" s="3" t="str">
        <f>IF(S340="Churn","Churn",VLOOKUP(A340,'[1]Revenue_Engine_2025 Dec.25'!$C$14:$E$3993,3,0))</f>
        <v>Üretim</v>
      </c>
      <c r="N340" s="3">
        <f>IF(S340="",VLOOKUP(A340,[3]Export!$B$2:$F$417,5,0),"CHURN")</f>
        <v>0.17310319477958161</v>
      </c>
      <c r="O340" s="3">
        <f>(1-N340)*H340</f>
        <v>165.37953800000003</v>
      </c>
      <c r="P340" s="3">
        <f t="shared" si="35"/>
        <v>165.37953800000003</v>
      </c>
      <c r="Q340" s="3">
        <f t="shared" si="34"/>
        <v>0</v>
      </c>
      <c r="R340" s="3" t="str">
        <f>IF(S340&lt;&gt;"Churn",VLOOKUP(A340,[3]Export!$B$2:$O$417,8,0),"CHURN")</f>
        <v>NO RISK</v>
      </c>
      <c r="S340" s="3"/>
      <c r="T340" s="3"/>
      <c r="U340" s="3" t="s">
        <v>551</v>
      </c>
      <c r="V340" s="4" t="str" cm="1">
        <f t="array" ref="V340">IFERROR(
    IF(
        MATCH(2,1/((Y340:BH340&lt;&gt;0)*(Y340:BH340&lt;&gt;"")))-MATCH(1,INDEX((Y340:BH340&lt;&gt;0)*(Y340:BH340&lt;&gt;""),0),0)+1 &lt;= 12,
        "No",
        "Yes"
    ),
    "No"
)</f>
        <v>Yes</v>
      </c>
      <c r="W340" s="4" t="str" cm="1">
        <f t="array" ref="W340">IFERROR(
    IF(
        MATCH(2,1/((Y340:BH340&lt;&gt;0)*(Y340:BH340&lt;&gt;"")))-MATCH(1,INDEX((Y340:BH340&lt;&gt;0)*(Y340:BH340&lt;&gt;""),0),0)+1 &lt;= 24,
        "No",
        "Yes"
    ),
    "No"
)</f>
        <v>No</v>
      </c>
      <c r="X340" s="3"/>
      <c r="Y340" s="4">
        <v>0</v>
      </c>
      <c r="Z340" s="4">
        <v>0</v>
      </c>
      <c r="AA340" s="4">
        <v>0</v>
      </c>
      <c r="AB340" s="4">
        <v>0</v>
      </c>
      <c r="AC340" s="4">
        <v>0</v>
      </c>
      <c r="AD340" s="4">
        <v>0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4">
        <v>0</v>
      </c>
      <c r="AQ340" s="4">
        <v>0</v>
      </c>
      <c r="AR340" s="4">
        <v>0</v>
      </c>
      <c r="AS340" s="4">
        <v>0</v>
      </c>
      <c r="AT340" s="4">
        <v>200.00021400000003</v>
      </c>
      <c r="AU340" s="4">
        <v>200.00021400000003</v>
      </c>
      <c r="AV340" s="4">
        <v>200.00021400000003</v>
      </c>
      <c r="AW340" s="4">
        <v>200.00021400000003</v>
      </c>
      <c r="AX340" s="4">
        <v>200.00021400000003</v>
      </c>
      <c r="AY340" s="4">
        <v>200.00021400000003</v>
      </c>
      <c r="AZ340" s="4">
        <v>200.00021400000003</v>
      </c>
      <c r="BA340" s="4">
        <v>200.00021400000003</v>
      </c>
      <c r="BB340" s="4">
        <v>200.00021400000003</v>
      </c>
      <c r="BC340" s="4">
        <v>200.00021400000003</v>
      </c>
      <c r="BD340" s="4">
        <v>200.00021400000003</v>
      </c>
      <c r="BE340" s="4">
        <v>200.00021400000003</v>
      </c>
      <c r="BF340" s="4">
        <v>200.00021400000003</v>
      </c>
      <c r="BG340" s="4">
        <v>200.00021400000003</v>
      </c>
      <c r="BH340" s="4">
        <v>200.00021400000003</v>
      </c>
      <c r="BJ340" s="9"/>
    </row>
    <row r="341" spans="1:62" x14ac:dyDescent="0.25">
      <c r="A341" s="8" t="s">
        <v>480</v>
      </c>
      <c r="B341" s="8"/>
      <c r="C341" s="7" t="s">
        <v>526</v>
      </c>
      <c r="D341" s="3"/>
      <c r="E341" s="3">
        <f>VLOOKUP(A341,[2]Sheet1!$A$2:$E$627,5,0)</f>
        <v>94.998424916666664</v>
      </c>
      <c r="F341" s="3">
        <f>VLOOKUP(A341,[2]Sheet1!$A$2:$F$627,6,0)</f>
        <v>0</v>
      </c>
      <c r="G341" s="3">
        <f>VLOOKUP(A341,[2]Sheet1!$A$2:$G$627,7,0)</f>
        <v>0</v>
      </c>
      <c r="H341" s="4">
        <f t="shared" si="30"/>
        <v>94.998424916666664</v>
      </c>
      <c r="I341" s="11">
        <f t="shared" si="31"/>
        <v>-1</v>
      </c>
      <c r="J341" s="11">
        <f t="shared" si="32"/>
        <v>-1</v>
      </c>
      <c r="K341" s="11" t="e">
        <f t="shared" si="33"/>
        <v>#DIV/0!</v>
      </c>
      <c r="L341" s="11">
        <f>IF(S341="",((BG341-E341)/E341),((U341-E341)/E341))</f>
        <v>0</v>
      </c>
      <c r="M341" s="3" t="str">
        <f>IF(S341="Churn","Churn",VLOOKUP(A341,'[1]Revenue_Engine_2025 Dec.25'!$C$14:$E$3993,3,0))</f>
        <v>Churn</v>
      </c>
      <c r="N341" s="3" t="str">
        <f>IF(S341="",VLOOKUP(A341,[3]Export!$B$2:$F$417,5,0),"CHURN")</f>
        <v>CHURN</v>
      </c>
      <c r="O341" s="3" t="e">
        <f>(1-N341)*H341</f>
        <v>#VALUE!</v>
      </c>
      <c r="P341" s="3" t="e">
        <f t="shared" si="35"/>
        <v>#VALUE!</v>
      </c>
      <c r="Q341" s="3" t="e">
        <f t="shared" si="34"/>
        <v>#VALUE!</v>
      </c>
      <c r="R341" s="3" t="str">
        <f>IF(S341&lt;&gt;"Churn",VLOOKUP(A341,[3]Export!$B$2:$O$417,8,0),"CHURN")</f>
        <v>CHURN</v>
      </c>
      <c r="S341" s="3" t="s">
        <v>372</v>
      </c>
      <c r="T341" s="3" t="s">
        <v>553</v>
      </c>
      <c r="U341" s="3">
        <v>94.998424916666664</v>
      </c>
      <c r="V341" s="4" t="str" cm="1">
        <f t="array" ref="V341">IFERROR(
    IF(
        MATCH(2,1/((Y341:BH341&lt;&gt;0)*(Y341:BH341&lt;&gt;"")))-MATCH(1,INDEX((Y341:BH341&lt;&gt;0)*(Y341:BH341&lt;&gt;""),0),0)+1 &lt;= 12,
        "No",
        "Yes"
    ),
    "No"
)</f>
        <v>No</v>
      </c>
      <c r="W341" s="4" t="str" cm="1">
        <f t="array" ref="W341">IFERROR(
    IF(
        MATCH(2,1/((Y341:BH341&lt;&gt;0)*(Y341:BH341&lt;&gt;"")))-MATCH(1,INDEX((Y341:BH341&lt;&gt;0)*(Y341:BH341&lt;&gt;""),0),0)+1 &lt;= 24,
        "No",
        "Yes"
    ),
    "No"
)</f>
        <v>No</v>
      </c>
      <c r="X341" s="3"/>
      <c r="Y341" s="4">
        <v>0</v>
      </c>
      <c r="Z341" s="4">
        <v>0</v>
      </c>
      <c r="AA341" s="4">
        <v>0</v>
      </c>
      <c r="AB341" s="4">
        <v>0</v>
      </c>
      <c r="AC341" s="4">
        <v>0</v>
      </c>
      <c r="AD341" s="4">
        <v>0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4">
        <v>0</v>
      </c>
      <c r="AQ341" s="4">
        <v>0</v>
      </c>
      <c r="AR341" s="4">
        <v>0</v>
      </c>
      <c r="AS341" s="4">
        <v>0</v>
      </c>
      <c r="AT341" s="4">
        <v>0</v>
      </c>
      <c r="AU341" s="4">
        <v>94.998424916666664</v>
      </c>
      <c r="AV341" s="4">
        <v>94.998424916666664</v>
      </c>
      <c r="AW341" s="4">
        <v>94.998424916666664</v>
      </c>
      <c r="AX341" s="4">
        <v>94.998424916666664</v>
      </c>
      <c r="AY341" s="4">
        <v>94.998424916666664</v>
      </c>
      <c r="AZ341" s="4">
        <v>94.998424916666664</v>
      </c>
      <c r="BA341" s="4">
        <v>94.998424916666664</v>
      </c>
      <c r="BB341" s="4">
        <v>94.998424916666664</v>
      </c>
      <c r="BC341" s="4">
        <v>94.998424916666664</v>
      </c>
      <c r="BD341" s="4">
        <v>94.998424916666664</v>
      </c>
      <c r="BE341" s="4">
        <v>94.998424916666664</v>
      </c>
      <c r="BF341" s="4">
        <v>94.998424916666664</v>
      </c>
      <c r="BG341" s="4">
        <v>0</v>
      </c>
      <c r="BH341" s="4">
        <v>0</v>
      </c>
      <c r="BJ341" s="9"/>
    </row>
    <row r="342" spans="1:62" x14ac:dyDescent="0.25">
      <c r="A342" s="8" t="s">
        <v>482</v>
      </c>
      <c r="B342" s="8"/>
      <c r="C342" s="7" t="s">
        <v>526</v>
      </c>
      <c r="D342" s="3"/>
      <c r="E342" s="3">
        <f>VLOOKUP(A342,[2]Sheet1!$A$2:$E$627,5,0)</f>
        <v>86.000461416666667</v>
      </c>
      <c r="F342" s="3">
        <f>VLOOKUP(A342,[2]Sheet1!$A$2:$F$627,6,0)</f>
        <v>0</v>
      </c>
      <c r="G342" s="3">
        <f>VLOOKUP(A342,[2]Sheet1!$A$2:$G$627,7,0)</f>
        <v>0</v>
      </c>
      <c r="H342" s="4">
        <f t="shared" si="30"/>
        <v>86.000461416666667</v>
      </c>
      <c r="I342" s="11">
        <f t="shared" si="31"/>
        <v>-1</v>
      </c>
      <c r="J342" s="11">
        <f t="shared" si="32"/>
        <v>-1</v>
      </c>
      <c r="K342" s="11" t="e">
        <f t="shared" si="33"/>
        <v>#DIV/0!</v>
      </c>
      <c r="L342" s="11">
        <f>IF(S342="",((BG342-E342)/E342),((U342-E342)/E342))</f>
        <v>0</v>
      </c>
      <c r="M342" s="3" t="str">
        <f>IF(S342="Churn","Churn",VLOOKUP(A342,'[1]Revenue_Engine_2025 Dec.25'!$C$14:$E$3993,3,0))</f>
        <v>Diğer</v>
      </c>
      <c r="N342" s="3">
        <f>IF(S342="",VLOOKUP(A342,[3]Export!$B$2:$F$417,5,0),"CHURN")</f>
        <v>0.30215414629117443</v>
      </c>
      <c r="O342" s="3">
        <f>(1-N342)*H342</f>
        <v>60.015065416666665</v>
      </c>
      <c r="P342" s="3">
        <f t="shared" si="35"/>
        <v>0</v>
      </c>
      <c r="Q342" s="3">
        <f t="shared" si="34"/>
        <v>0</v>
      </c>
      <c r="R342" s="3" t="str">
        <f>IF(S342&lt;&gt;"Churn",VLOOKUP(A342,[3]Export!$B$2:$O$417,8,0),"CHURN")</f>
        <v>NO RISK</v>
      </c>
      <c r="S342" s="3"/>
      <c r="T342" s="3"/>
      <c r="U342" s="3" t="s">
        <v>551</v>
      </c>
      <c r="V342" s="4" t="str" cm="1">
        <f t="array" ref="V342">IFERROR(
    IF(
        MATCH(2,1/((Y342:BH342&lt;&gt;0)*(Y342:BH342&lt;&gt;"")))-MATCH(1,INDEX((Y342:BH342&lt;&gt;0)*(Y342:BH342&lt;&gt;""),0),0)+1 &lt;= 12,
        "No",
        "Yes"
    ),
    "No"
)</f>
        <v>Yes</v>
      </c>
      <c r="W342" s="4" t="str" cm="1">
        <f t="array" ref="W342">IFERROR(
    IF(
        MATCH(2,1/((Y342:BH342&lt;&gt;0)*(Y342:BH342&lt;&gt;"")))-MATCH(1,INDEX((Y342:BH342&lt;&gt;0)*(Y342:BH342&lt;&gt;""),0),0)+1 &lt;= 24,
        "No",
        "Yes"
    ),
    "No"
)</f>
        <v>No</v>
      </c>
      <c r="X342" s="3"/>
      <c r="Y342" s="4">
        <v>0</v>
      </c>
      <c r="Z342" s="4">
        <v>0</v>
      </c>
      <c r="AA342" s="4">
        <v>0</v>
      </c>
      <c r="AB342" s="4">
        <v>0</v>
      </c>
      <c r="AC342" s="4">
        <v>0</v>
      </c>
      <c r="AD342" s="4">
        <v>0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4">
        <v>0</v>
      </c>
      <c r="AQ342" s="4">
        <v>0</v>
      </c>
      <c r="AR342" s="4">
        <v>0</v>
      </c>
      <c r="AS342" s="4">
        <v>0</v>
      </c>
      <c r="AT342" s="4">
        <v>0</v>
      </c>
      <c r="AU342" s="4">
        <v>86.000461416666667</v>
      </c>
      <c r="AV342" s="4">
        <v>86.000461416666667</v>
      </c>
      <c r="AW342" s="4">
        <v>86.000461416666667</v>
      </c>
      <c r="AX342" s="4">
        <v>86.000461416666667</v>
      </c>
      <c r="AY342" s="4">
        <v>86.000461416666667</v>
      </c>
      <c r="AZ342" s="4">
        <v>86.000461416666667</v>
      </c>
      <c r="BA342" s="4">
        <v>86.000461416666667</v>
      </c>
      <c r="BB342" s="4">
        <v>86.000461416666667</v>
      </c>
      <c r="BC342" s="4">
        <v>86.000461416666667</v>
      </c>
      <c r="BD342" s="4">
        <v>86.000461416666667</v>
      </c>
      <c r="BE342" s="4">
        <v>86.000461416666667</v>
      </c>
      <c r="BF342" s="4">
        <v>86.000461416666667</v>
      </c>
      <c r="BG342" s="4">
        <v>86.000461416666667</v>
      </c>
      <c r="BH342" s="4">
        <v>86.000461416666667</v>
      </c>
      <c r="BJ342" s="9"/>
    </row>
    <row r="343" spans="1:62" x14ac:dyDescent="0.25">
      <c r="A343" s="8" t="s">
        <v>446</v>
      </c>
      <c r="B343" s="8"/>
      <c r="C343" s="7" t="s">
        <v>526</v>
      </c>
      <c r="D343" s="3"/>
      <c r="E343" s="3">
        <f>VLOOKUP(A343,[2]Sheet1!$A$2:$E$627,5,0)</f>
        <v>125</v>
      </c>
      <c r="F343" s="3">
        <f>VLOOKUP(A343,[2]Sheet1!$A$2:$F$627,6,0)</f>
        <v>0</v>
      </c>
      <c r="G343" s="3">
        <f>VLOOKUP(A343,[2]Sheet1!$A$2:$G$627,7,0)</f>
        <v>0</v>
      </c>
      <c r="H343" s="4">
        <f t="shared" si="30"/>
        <v>138.13</v>
      </c>
      <c r="I343" s="11">
        <f t="shared" si="31"/>
        <v>-1</v>
      </c>
      <c r="J343" s="11">
        <f t="shared" si="32"/>
        <v>-1</v>
      </c>
      <c r="K343" s="11" t="e">
        <f t="shared" si="33"/>
        <v>#DIV/0!</v>
      </c>
      <c r="L343" s="11">
        <f>IF(S343="",((BG343-E343)/E343),((U343-E343)/E343))</f>
        <v>0.10503999999999997</v>
      </c>
      <c r="M343" s="3" t="str">
        <f>IF(S343="Churn","Churn",VLOOKUP(A343,'[1]Revenue_Engine_2025 Dec.25'!$C$14:$E$3993,3,0))</f>
        <v>Bayi</v>
      </c>
      <c r="N343" s="3">
        <f>IF(S343="",VLOOKUP(A343,[3]Export!$B$2:$F$417,5,0),"CHURN")</f>
        <v>1</v>
      </c>
      <c r="O343" s="3">
        <f>(1-N343)*H343</f>
        <v>0</v>
      </c>
      <c r="P343" s="3">
        <f t="shared" si="35"/>
        <v>0</v>
      </c>
      <c r="Q343" s="3">
        <f t="shared" si="34"/>
        <v>0</v>
      </c>
      <c r="R343" s="3" t="str">
        <f>IF(S343&lt;&gt;"Churn",VLOOKUP(A343,[3]Export!$B$2:$O$417,8,0),"CHURN")</f>
        <v>NO RISK</v>
      </c>
      <c r="S343" s="3"/>
      <c r="T343" s="3"/>
      <c r="U343" s="3" t="s">
        <v>551</v>
      </c>
      <c r="V343" s="4" t="str" cm="1">
        <f t="array" ref="V343">IFERROR(
    IF(
        MATCH(2,1/((Y343:BH343&lt;&gt;0)*(Y343:BH343&lt;&gt;"")))-MATCH(1,INDEX((Y343:BH343&lt;&gt;0)*(Y343:BH343&lt;&gt;""),0),0)+1 &lt;= 12,
        "No",
        "Yes"
    ),
    "No"
)</f>
        <v>Yes</v>
      </c>
      <c r="W343" s="4" t="str" cm="1">
        <f t="array" ref="W343">IFERROR(
    IF(
        MATCH(2,1/((Y343:BH343&lt;&gt;0)*(Y343:BH343&lt;&gt;"")))-MATCH(1,INDEX((Y343:BH343&lt;&gt;0)*(Y343:BH343&lt;&gt;""),0),0)+1 &lt;= 24,
        "No",
        "Yes"
    ),
    "No"
)</f>
        <v>No</v>
      </c>
      <c r="X343" s="3"/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4">
        <v>0</v>
      </c>
      <c r="AQ343" s="4">
        <v>0</v>
      </c>
      <c r="AR343" s="4">
        <v>0</v>
      </c>
      <c r="AS343" s="4">
        <v>0</v>
      </c>
      <c r="AT343" s="4">
        <v>0</v>
      </c>
      <c r="AU343" s="4">
        <v>125</v>
      </c>
      <c r="AV343" s="4">
        <v>125</v>
      </c>
      <c r="AW343" s="4">
        <v>125</v>
      </c>
      <c r="AX343" s="4">
        <v>125</v>
      </c>
      <c r="AY343" s="4">
        <v>125</v>
      </c>
      <c r="AZ343" s="4">
        <v>125</v>
      </c>
      <c r="BA343" s="4">
        <v>125</v>
      </c>
      <c r="BB343" s="4">
        <v>125</v>
      </c>
      <c r="BC343" s="4">
        <v>125</v>
      </c>
      <c r="BD343" s="4">
        <v>125</v>
      </c>
      <c r="BE343" s="4">
        <v>138.13</v>
      </c>
      <c r="BF343" s="4">
        <v>138.13</v>
      </c>
      <c r="BG343" s="4">
        <v>138.13</v>
      </c>
      <c r="BH343" s="4">
        <v>138.13</v>
      </c>
      <c r="BJ343" s="9"/>
    </row>
    <row r="344" spans="1:62" x14ac:dyDescent="0.25">
      <c r="A344" s="8" t="s">
        <v>488</v>
      </c>
      <c r="B344" s="8"/>
      <c r="C344" s="7" t="s">
        <v>526</v>
      </c>
      <c r="D344" s="3"/>
      <c r="E344" s="3">
        <f>VLOOKUP(A344,[2]Sheet1!$A$2:$E$627,5,0)</f>
        <v>74.999999916666667</v>
      </c>
      <c r="F344" s="3">
        <f>VLOOKUP(A344,[2]Sheet1!$A$2:$F$627,6,0)</f>
        <v>0</v>
      </c>
      <c r="G344" s="3">
        <f>VLOOKUP(A344,[2]Sheet1!$A$2:$G$627,7,0)</f>
        <v>0</v>
      </c>
      <c r="H344" s="4">
        <f t="shared" si="30"/>
        <v>74.999999916666667</v>
      </c>
      <c r="I344" s="11">
        <f t="shared" si="31"/>
        <v>-1</v>
      </c>
      <c r="J344" s="11">
        <f t="shared" si="32"/>
        <v>-1</v>
      </c>
      <c r="K344" s="11" t="e">
        <f t="shared" si="33"/>
        <v>#DIV/0!</v>
      </c>
      <c r="L344" s="11">
        <f>IF(S344="",((BG344-E344)/E344),((U344-E344)/E344))</f>
        <v>0</v>
      </c>
      <c r="M344" s="3" t="str">
        <f>IF(S344="Churn","Churn",VLOOKUP(A344,'[1]Revenue_Engine_2025 Dec.25'!$C$14:$E$3993,3,0))</f>
        <v>Diğer</v>
      </c>
      <c r="N344" s="3">
        <f>IF(S344="",VLOOKUP(A344,[3]Export!$B$2:$F$417,5,0),"CHURN")</f>
        <v>0.27490770586100854</v>
      </c>
      <c r="O344" s="3">
        <f>(1-N344)*H344</f>
        <v>54.381922000000003</v>
      </c>
      <c r="P344" s="3">
        <f t="shared" si="35"/>
        <v>0</v>
      </c>
      <c r="Q344" s="3">
        <f t="shared" si="34"/>
        <v>0</v>
      </c>
      <c r="R344" s="3" t="str">
        <f>IF(S344&lt;&gt;"Churn",VLOOKUP(A344,[3]Export!$B$2:$O$417,8,0),"CHURN")</f>
        <v>NO RISK</v>
      </c>
      <c r="S344" s="3"/>
      <c r="T344" s="3"/>
      <c r="U344" s="3" t="s">
        <v>551</v>
      </c>
      <c r="V344" s="4" t="str" cm="1">
        <f t="array" ref="V344">IFERROR(
    IF(
        MATCH(2,1/((Y344:BH344&lt;&gt;0)*(Y344:BH344&lt;&gt;"")))-MATCH(1,INDEX((Y344:BH344&lt;&gt;0)*(Y344:BH344&lt;&gt;""),0),0)+1 &lt;= 12,
        "No",
        "Yes"
    ),
    "No"
)</f>
        <v>Yes</v>
      </c>
      <c r="W344" s="4" t="str" cm="1">
        <f t="array" ref="W344">IFERROR(
    IF(
        MATCH(2,1/((Y344:BH344&lt;&gt;0)*(Y344:BH344&lt;&gt;"")))-MATCH(1,INDEX((Y344:BH344&lt;&gt;0)*(Y344:BH344&lt;&gt;""),0),0)+1 &lt;= 24,
        "No",
        "Yes"
    ),
    "No"
)</f>
        <v>No</v>
      </c>
      <c r="X344" s="3"/>
      <c r="Y344" s="4">
        <v>0</v>
      </c>
      <c r="Z344" s="4">
        <v>0</v>
      </c>
      <c r="AA344" s="4">
        <v>0</v>
      </c>
      <c r="AB344" s="4">
        <v>0</v>
      </c>
      <c r="AC344" s="4">
        <v>0</v>
      </c>
      <c r="AD344" s="4">
        <v>0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4">
        <v>0</v>
      </c>
      <c r="AQ344" s="4">
        <v>0</v>
      </c>
      <c r="AR344" s="4">
        <v>0</v>
      </c>
      <c r="AS344" s="4">
        <v>0</v>
      </c>
      <c r="AT344" s="4">
        <v>0</v>
      </c>
      <c r="AU344" s="4">
        <v>74.999999916666667</v>
      </c>
      <c r="AV344" s="4">
        <v>74.999999916666667</v>
      </c>
      <c r="AW344" s="4">
        <v>74.999999916666667</v>
      </c>
      <c r="AX344" s="4">
        <v>74.999999916666667</v>
      </c>
      <c r="AY344" s="4">
        <v>74.999999916666667</v>
      </c>
      <c r="AZ344" s="4">
        <v>74.999999916666667</v>
      </c>
      <c r="BA344" s="4">
        <v>74.999999916666667</v>
      </c>
      <c r="BB344" s="4">
        <v>74.999999916666667</v>
      </c>
      <c r="BC344" s="4">
        <v>74.999999916666667</v>
      </c>
      <c r="BD344" s="4">
        <v>74.999999916666667</v>
      </c>
      <c r="BE344" s="4">
        <v>74.999999916666667</v>
      </c>
      <c r="BF344" s="4">
        <v>74.999999916666667</v>
      </c>
      <c r="BG344" s="4">
        <v>74.999999916666667</v>
      </c>
      <c r="BH344" s="4">
        <v>74.999999916666667</v>
      </c>
      <c r="BJ344" s="9"/>
    </row>
    <row r="345" spans="1:62" x14ac:dyDescent="0.25">
      <c r="A345" s="6" t="s">
        <v>539</v>
      </c>
      <c r="B345" s="6"/>
      <c r="C345" s="7" t="s">
        <v>525</v>
      </c>
      <c r="D345" s="3"/>
      <c r="E345" s="3">
        <f>VLOOKUP(A345,[2]Sheet1!$A$2:$E$627,5,0)</f>
        <v>26825</v>
      </c>
      <c r="F345" s="3">
        <f>VLOOKUP(A345,[2]Sheet1!$A$2:$F$627,6,0)</f>
        <v>29388.319299999999</v>
      </c>
      <c r="G345" s="3">
        <f>VLOOKUP(A345,[2]Sheet1!$A$2:$G$627,7,0)</f>
        <v>0</v>
      </c>
      <c r="H345" s="4">
        <f t="shared" si="30"/>
        <v>29474.8586</v>
      </c>
      <c r="I345" s="11">
        <f t="shared" si="31"/>
        <v>9.5557103448275837E-2</v>
      </c>
      <c r="J345" s="11">
        <f t="shared" si="32"/>
        <v>-1</v>
      </c>
      <c r="K345" s="11">
        <f t="shared" si="33"/>
        <v>-1</v>
      </c>
      <c r="L345" s="11">
        <f>IF(S345="",((BG345-E345)/E345),((U345-E345)/E345))</f>
        <v>8.5379310344827555E-2</v>
      </c>
      <c r="M345" s="3" t="str">
        <f>IF(S345="Churn","Churn",VLOOKUP(A345,'[1]Revenue_Engine_2025 Dec.25'!$C$14:$E$3993,3,0))</f>
        <v>Üretim</v>
      </c>
      <c r="N345" s="3">
        <f>IF(S345="",VLOOKUP(A345,[3]Export!$B$2:$F$417,5,0),"CHURN")</f>
        <v>0</v>
      </c>
      <c r="O345" s="3">
        <f>(1-N345)*H345</f>
        <v>29474.8586</v>
      </c>
      <c r="P345" s="3">
        <f t="shared" si="35"/>
        <v>29388.319299999999</v>
      </c>
      <c r="Q345" s="3">
        <f t="shared" si="34"/>
        <v>0</v>
      </c>
      <c r="R345" s="3" t="str">
        <f>IF(S345&lt;&gt;"Churn",VLOOKUP(A345,[3]Export!$B$2:$O$417,8,0),"CHURN")</f>
        <v>NO RISK</v>
      </c>
      <c r="S345" s="3"/>
      <c r="T345" s="3"/>
      <c r="U345" s="3" t="s">
        <v>551</v>
      </c>
      <c r="V345" s="4" t="str" cm="1">
        <f t="array" ref="V345">IFERROR(
    IF(
        MATCH(2,1/((Y345:BH345&lt;&gt;0)*(Y345:BH345&lt;&gt;"")))-MATCH(1,INDEX((Y345:BH345&lt;&gt;0)*(Y345:BH345&lt;&gt;""),0),0)+1 &lt;= 12,
        "No",
        "Yes"
    ),
    "No"
)</f>
        <v>Yes</v>
      </c>
      <c r="W345" s="4" t="str" cm="1">
        <f t="array" ref="W345">IFERROR(
    IF(
        MATCH(2,1/((Y345:BH345&lt;&gt;0)*(Y345:BH345&lt;&gt;"")))-MATCH(1,INDEX((Y345:BH345&lt;&gt;0)*(Y345:BH345&lt;&gt;""),0),0)+1 &lt;= 24,
        "No",
        "Yes"
    ),
    "No"
)</f>
        <v>No</v>
      </c>
      <c r="X345" s="3"/>
      <c r="Y345" s="4">
        <v>0</v>
      </c>
      <c r="Z345" s="4">
        <v>0</v>
      </c>
      <c r="AA345" s="4">
        <v>0</v>
      </c>
      <c r="AB345" s="4">
        <v>0</v>
      </c>
      <c r="AC345" s="4">
        <v>0</v>
      </c>
      <c r="AD345" s="4">
        <v>0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4">
        <v>0</v>
      </c>
      <c r="AQ345" s="4">
        <v>0</v>
      </c>
      <c r="AR345" s="4">
        <v>0</v>
      </c>
      <c r="AS345" s="4">
        <v>0</v>
      </c>
      <c r="AT345" s="4">
        <v>0</v>
      </c>
      <c r="AU345" s="4">
        <v>2418.85</v>
      </c>
      <c r="AV345" s="4">
        <v>12984.04</v>
      </c>
      <c r="AW345" s="4">
        <v>26825</v>
      </c>
      <c r="AX345" s="4">
        <v>27180.94</v>
      </c>
      <c r="AY345" s="4">
        <v>27897.26</v>
      </c>
      <c r="AZ345" s="4">
        <v>28291.021400000001</v>
      </c>
      <c r="BA345" s="4">
        <v>28297.23</v>
      </c>
      <c r="BB345" s="4">
        <v>28496.097599999997</v>
      </c>
      <c r="BC345" s="4">
        <v>29211.5</v>
      </c>
      <c r="BD345" s="4">
        <v>28949.17</v>
      </c>
      <c r="BE345" s="4">
        <v>29374.3</v>
      </c>
      <c r="BF345" s="4">
        <v>29388.319299999999</v>
      </c>
      <c r="BG345" s="4">
        <v>29115.3</v>
      </c>
      <c r="BH345" s="4">
        <v>29474.8586</v>
      </c>
      <c r="BJ345" s="9"/>
    </row>
    <row r="346" spans="1:62" x14ac:dyDescent="0.25">
      <c r="A346" s="6" t="s">
        <v>489</v>
      </c>
      <c r="B346" s="6"/>
      <c r="C346" s="7" t="s">
        <v>526</v>
      </c>
      <c r="D346" s="3"/>
      <c r="E346" s="3">
        <f>VLOOKUP(A346,[2]Sheet1!$A$2:$E$627,5,0)</f>
        <v>75</v>
      </c>
      <c r="F346" s="3">
        <f>VLOOKUP(A346,[2]Sheet1!$A$2:$F$627,6,0)</f>
        <v>0</v>
      </c>
      <c r="G346" s="3">
        <f>VLOOKUP(A346,[2]Sheet1!$A$2:$G$627,7,0)</f>
        <v>0</v>
      </c>
      <c r="H346" s="4">
        <f t="shared" si="30"/>
        <v>74.99832825</v>
      </c>
      <c r="I346" s="11">
        <f t="shared" si="31"/>
        <v>-1</v>
      </c>
      <c r="J346" s="11">
        <f t="shared" si="32"/>
        <v>-1</v>
      </c>
      <c r="K346" s="11" t="e">
        <f t="shared" si="33"/>
        <v>#DIV/0!</v>
      </c>
      <c r="L346" s="11">
        <f>IF(S346="",((BG346-E346)/E346),((U346-E346)/E346))</f>
        <v>-2.2289999999998145E-5</v>
      </c>
      <c r="M346" s="3" t="str">
        <f>IF(S346="Churn","Churn",VLOOKUP(A346,'[1]Revenue_Engine_2025 Dec.25'!$C$14:$E$3993,3,0))</f>
        <v>Diğer</v>
      </c>
      <c r="N346" s="3">
        <f>IF(S346="",VLOOKUP(A346,[3]Export!$B$2:$F$417,5,0),"CHURN")</f>
        <v>0.3019053372477451</v>
      </c>
      <c r="O346" s="3">
        <f>(1-N346)*H346</f>
        <v>52.355932666666661</v>
      </c>
      <c r="P346" s="3">
        <f t="shared" si="35"/>
        <v>0</v>
      </c>
      <c r="Q346" s="3">
        <f t="shared" si="34"/>
        <v>0</v>
      </c>
      <c r="R346" s="3" t="str">
        <f>IF(S346&lt;&gt;"Churn",VLOOKUP(A346,[3]Export!$B$2:$O$417,8,0),"CHURN")</f>
        <v>NO RISK</v>
      </c>
      <c r="S346" s="3"/>
      <c r="T346" s="3"/>
      <c r="U346" s="3" t="s">
        <v>551</v>
      </c>
      <c r="V346" s="4" t="str" cm="1">
        <f t="array" ref="V346">IFERROR(
    IF(
        MATCH(2,1/((Y346:BH346&lt;&gt;0)*(Y346:BH346&lt;&gt;"")))-MATCH(1,INDEX((Y346:BH346&lt;&gt;0)*(Y346:BH346&lt;&gt;""),0),0)+1 &lt;= 12,
        "No",
        "Yes"
    ),
    "No"
)</f>
        <v>Yes</v>
      </c>
      <c r="W346" s="4" t="str" cm="1">
        <f t="array" ref="W346">IFERROR(
    IF(
        MATCH(2,1/((Y346:BH346&lt;&gt;0)*(Y346:BH346&lt;&gt;"")))-MATCH(1,INDEX((Y346:BH346&lt;&gt;0)*(Y346:BH346&lt;&gt;""),0),0)+1 &lt;= 24,
        "No",
        "Yes"
    ),
    "No"
)</f>
        <v>No</v>
      </c>
      <c r="X346" s="3"/>
      <c r="Y346" s="4">
        <v>0</v>
      </c>
      <c r="Z346" s="4">
        <v>0</v>
      </c>
      <c r="AA346" s="4">
        <v>0</v>
      </c>
      <c r="AB346" s="4">
        <v>0</v>
      </c>
      <c r="AC346" s="4">
        <v>0</v>
      </c>
      <c r="AD346" s="4">
        <v>0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4">
        <v>0</v>
      </c>
      <c r="AQ346" s="4">
        <v>0</v>
      </c>
      <c r="AR346" s="4">
        <v>0</v>
      </c>
      <c r="AS346" s="4">
        <v>0</v>
      </c>
      <c r="AT346" s="4">
        <v>0</v>
      </c>
      <c r="AU346" s="4">
        <v>0</v>
      </c>
      <c r="AV346" s="4">
        <v>75</v>
      </c>
      <c r="AW346" s="4">
        <v>74.99832825</v>
      </c>
      <c r="AX346" s="4">
        <v>74.99832825</v>
      </c>
      <c r="AY346" s="4">
        <v>74.99832825</v>
      </c>
      <c r="AZ346" s="4">
        <v>74.99832825</v>
      </c>
      <c r="BA346" s="4">
        <v>74.99832825</v>
      </c>
      <c r="BB346" s="4">
        <v>74.99832825</v>
      </c>
      <c r="BC346" s="4">
        <v>74.99832825</v>
      </c>
      <c r="BD346" s="4">
        <v>74.99832825</v>
      </c>
      <c r="BE346" s="4">
        <v>74.99832825</v>
      </c>
      <c r="BF346" s="4">
        <v>74.99832825</v>
      </c>
      <c r="BG346" s="4">
        <v>74.99832825</v>
      </c>
      <c r="BH346" s="4">
        <v>74.99832825</v>
      </c>
      <c r="BJ346" s="9"/>
    </row>
    <row r="347" spans="1:62" x14ac:dyDescent="0.25">
      <c r="A347" s="6" t="s">
        <v>410</v>
      </c>
      <c r="B347" s="6"/>
      <c r="C347" s="7" t="s">
        <v>526</v>
      </c>
      <c r="D347" s="3"/>
      <c r="E347" s="3">
        <f>VLOOKUP(A347,[2]Sheet1!$A$2:$E$627,5,0)</f>
        <v>450.01209699999998</v>
      </c>
      <c r="F347" s="3">
        <f>VLOOKUP(A347,[2]Sheet1!$A$2:$F$627,6,0)</f>
        <v>0</v>
      </c>
      <c r="G347" s="3">
        <f>VLOOKUP(A347,[2]Sheet1!$A$2:$G$627,7,0)</f>
        <v>0</v>
      </c>
      <c r="H347" s="4">
        <f t="shared" si="30"/>
        <v>450.01209699999998</v>
      </c>
      <c r="I347" s="11">
        <f t="shared" si="31"/>
        <v>-1</v>
      </c>
      <c r="J347" s="11">
        <f t="shared" si="32"/>
        <v>-1</v>
      </c>
      <c r="K347" s="11" t="e">
        <f t="shared" si="33"/>
        <v>#DIV/0!</v>
      </c>
      <c r="L347" s="11">
        <f>IF(S347="",((BG347-E347)/E347),((U347-E347)/E347))</f>
        <v>0</v>
      </c>
      <c r="M347" s="3" t="str">
        <f>IF(S347="Churn","Churn",VLOOKUP(A347,'[1]Revenue_Engine_2025 Dec.25'!$C$14:$E$3993,3,0))</f>
        <v>Üretim</v>
      </c>
      <c r="N347" s="3">
        <f>IF(S347="",VLOOKUP(A347,[3]Export!$B$2:$F$417,5,0),"CHURN")</f>
        <v>0.1299284250129836</v>
      </c>
      <c r="O347" s="3">
        <f>(1-N347)*H347</f>
        <v>391.542734</v>
      </c>
      <c r="P347" s="3">
        <f t="shared" si="35"/>
        <v>0</v>
      </c>
      <c r="Q347" s="3">
        <f t="shared" si="34"/>
        <v>0</v>
      </c>
      <c r="R347" s="3" t="str">
        <f>IF(S347&lt;&gt;"Churn",VLOOKUP(A347,[3]Export!$B$2:$O$417,8,0),"CHURN")</f>
        <v>NO RISK</v>
      </c>
      <c r="S347" s="3"/>
      <c r="T347" s="3"/>
      <c r="U347" s="3" t="s">
        <v>551</v>
      </c>
      <c r="V347" s="4" t="str" cm="1">
        <f t="array" ref="V347">IFERROR(
    IF(
        MATCH(2,1/((Y347:BH347&lt;&gt;0)*(Y347:BH347&lt;&gt;"")))-MATCH(1,INDEX((Y347:BH347&lt;&gt;0)*(Y347:BH347&lt;&gt;""),0),0)+1 &lt;= 12,
        "No",
        "Yes"
    ),
    "No"
)</f>
        <v>Yes</v>
      </c>
      <c r="W347" s="4" t="str" cm="1">
        <f t="array" ref="W347">IFERROR(
    IF(
        MATCH(2,1/((Y347:BH347&lt;&gt;0)*(Y347:BH347&lt;&gt;"")))-MATCH(1,INDEX((Y347:BH347&lt;&gt;0)*(Y347:BH347&lt;&gt;""),0),0)+1 &lt;= 24,
        "No",
        "Yes"
    ),
    "No"
)</f>
        <v>No</v>
      </c>
      <c r="X347" s="3"/>
      <c r="Y347" s="4">
        <v>0</v>
      </c>
      <c r="Z347" s="4">
        <v>0</v>
      </c>
      <c r="AA347" s="4">
        <v>0</v>
      </c>
      <c r="AB347" s="4">
        <v>0</v>
      </c>
      <c r="AC347" s="4">
        <v>0</v>
      </c>
      <c r="AD347" s="4">
        <v>0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4">
        <v>0</v>
      </c>
      <c r="AQ347" s="4">
        <v>0</v>
      </c>
      <c r="AR347" s="4">
        <v>0</v>
      </c>
      <c r="AS347" s="4">
        <v>0</v>
      </c>
      <c r="AT347" s="4">
        <v>0</v>
      </c>
      <c r="AU347" s="4">
        <v>0</v>
      </c>
      <c r="AV347" s="4">
        <v>450.01209699999998</v>
      </c>
      <c r="AW347" s="4">
        <v>450.01209699999998</v>
      </c>
      <c r="AX347" s="4">
        <v>450.01209699999998</v>
      </c>
      <c r="AY347" s="4">
        <v>450.01209699999998</v>
      </c>
      <c r="AZ347" s="4">
        <v>450.01209699999998</v>
      </c>
      <c r="BA347" s="4">
        <v>450.01209699999998</v>
      </c>
      <c r="BB347" s="4">
        <v>450.01209699999998</v>
      </c>
      <c r="BC347" s="4">
        <v>450.01209699999998</v>
      </c>
      <c r="BD347" s="4">
        <v>450.01209699999998</v>
      </c>
      <c r="BE347" s="4">
        <v>450.01209699999998</v>
      </c>
      <c r="BF347" s="4">
        <v>450.01209699999998</v>
      </c>
      <c r="BG347" s="4">
        <v>450.01209699999998</v>
      </c>
      <c r="BH347" s="4">
        <v>450.01209699999998</v>
      </c>
      <c r="BJ347" s="9"/>
    </row>
    <row r="348" spans="1:62" x14ac:dyDescent="0.25">
      <c r="A348" s="6" t="s">
        <v>432</v>
      </c>
      <c r="B348" s="6"/>
      <c r="C348" s="7" t="s">
        <v>526</v>
      </c>
      <c r="D348" s="3"/>
      <c r="E348" s="3">
        <f>VLOOKUP(A348,[2]Sheet1!$A$2:$E$627,5,0)</f>
        <v>80.500833333333333</v>
      </c>
      <c r="F348" s="3">
        <f>VLOOKUP(A348,[2]Sheet1!$A$2:$F$627,6,0)</f>
        <v>0</v>
      </c>
      <c r="G348" s="3">
        <f>VLOOKUP(A348,[2]Sheet1!$A$2:$G$627,7,0)</f>
        <v>0</v>
      </c>
      <c r="H348" s="4">
        <f t="shared" si="30"/>
        <v>242.16750000000002</v>
      </c>
      <c r="I348" s="11">
        <f t="shared" si="31"/>
        <v>-1</v>
      </c>
      <c r="J348" s="11">
        <f t="shared" si="32"/>
        <v>-1</v>
      </c>
      <c r="K348" s="11" t="e">
        <f t="shared" si="33"/>
        <v>#DIV/0!</v>
      </c>
      <c r="L348" s="11">
        <f>IF(S348="",((BG348-E348)/E348),((U348-E348)/E348))</f>
        <v>2.0082607840498543</v>
      </c>
      <c r="M348" s="3" t="str">
        <f>IF(S348="Churn","Churn",VLOOKUP(A348,'[1]Revenue_Engine_2025 Dec.25'!$C$14:$E$3993,3,0))</f>
        <v>Diğer</v>
      </c>
      <c r="N348" s="3">
        <f>IF(S348="",VLOOKUP(A348,[3]Export!$B$2:$F$417,5,0),"CHURN")</f>
        <v>9.8231366031087286E-2</v>
      </c>
      <c r="O348" s="3">
        <f>(1-N348)*H348</f>
        <v>218.37905566666669</v>
      </c>
      <c r="P348" s="3">
        <f t="shared" si="35"/>
        <v>0</v>
      </c>
      <c r="Q348" s="3">
        <f t="shared" si="34"/>
        <v>0</v>
      </c>
      <c r="R348" s="3" t="str">
        <f>IF(S348&lt;&gt;"Churn",VLOOKUP(A348,[3]Export!$B$2:$O$417,8,0),"CHURN")</f>
        <v>NO RISK</v>
      </c>
      <c r="S348" s="3"/>
      <c r="T348" s="3"/>
      <c r="U348" s="3" t="s">
        <v>551</v>
      </c>
      <c r="V348" s="4" t="str" cm="1">
        <f t="array" ref="V348">IFERROR(
    IF(
        MATCH(2,1/((Y348:BH348&lt;&gt;0)*(Y348:BH348&lt;&gt;"")))-MATCH(1,INDEX((Y348:BH348&lt;&gt;0)*(Y348:BH348&lt;&gt;""),0),0)+1 &lt;= 12,
        "No",
        "Yes"
    ),
    "No"
)</f>
        <v>Yes</v>
      </c>
      <c r="W348" s="4" t="str" cm="1">
        <f t="array" ref="W348">IFERROR(
    IF(
        MATCH(2,1/((Y348:BH348&lt;&gt;0)*(Y348:BH348&lt;&gt;"")))-MATCH(1,INDEX((Y348:BH348&lt;&gt;0)*(Y348:BH348&lt;&gt;""),0),0)+1 &lt;= 24,
        "No",
        "Yes"
    ),
    "No"
)</f>
        <v>No</v>
      </c>
      <c r="X348" s="3"/>
      <c r="Y348" s="4">
        <v>0</v>
      </c>
      <c r="Z348" s="4">
        <v>0</v>
      </c>
      <c r="AA348" s="4">
        <v>0</v>
      </c>
      <c r="AB348" s="4">
        <v>0</v>
      </c>
      <c r="AC348" s="4">
        <v>0</v>
      </c>
      <c r="AD348" s="4">
        <v>0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4">
        <v>0</v>
      </c>
      <c r="AQ348" s="4">
        <v>0</v>
      </c>
      <c r="AR348" s="4">
        <v>0</v>
      </c>
      <c r="AS348" s="4">
        <v>0</v>
      </c>
      <c r="AT348" s="4">
        <v>0</v>
      </c>
      <c r="AU348" s="4">
        <v>0</v>
      </c>
      <c r="AV348" s="4">
        <v>80.500833333333333</v>
      </c>
      <c r="AW348" s="4">
        <v>80.500833333333333</v>
      </c>
      <c r="AX348" s="4">
        <v>80.500833333333333</v>
      </c>
      <c r="AY348" s="4">
        <v>110.50083333333333</v>
      </c>
      <c r="AZ348" s="4">
        <v>242.16749999999999</v>
      </c>
      <c r="BA348" s="4">
        <v>242.16749999999999</v>
      </c>
      <c r="BB348" s="4">
        <v>242.16749999999999</v>
      </c>
      <c r="BC348" s="4">
        <v>212.16749999999999</v>
      </c>
      <c r="BD348" s="4">
        <v>242.16749999999999</v>
      </c>
      <c r="BE348" s="4">
        <v>242.16749999999999</v>
      </c>
      <c r="BF348" s="4">
        <v>242.16749999999999</v>
      </c>
      <c r="BG348" s="4">
        <v>242.16749999999999</v>
      </c>
      <c r="BH348" s="4">
        <v>242.16750000000002</v>
      </c>
      <c r="BJ348" s="9"/>
    </row>
    <row r="349" spans="1:62" x14ac:dyDescent="0.25">
      <c r="A349" s="6" t="s">
        <v>438</v>
      </c>
      <c r="B349" s="6"/>
      <c r="C349" s="7" t="s">
        <v>526</v>
      </c>
      <c r="D349" s="3"/>
      <c r="E349" s="3">
        <f>VLOOKUP(A349,[2]Sheet1!$A$2:$E$627,5,0)</f>
        <v>165.00530000000001</v>
      </c>
      <c r="F349" s="3">
        <f>VLOOKUP(A349,[2]Sheet1!$A$2:$F$627,6,0)</f>
        <v>0</v>
      </c>
      <c r="G349" s="3">
        <f>VLOOKUP(A349,[2]Sheet1!$A$2:$G$627,7,0)</f>
        <v>0</v>
      </c>
      <c r="H349" s="4">
        <f t="shared" si="30"/>
        <v>186.00530000000001</v>
      </c>
      <c r="I349" s="11">
        <f t="shared" si="31"/>
        <v>-1</v>
      </c>
      <c r="J349" s="11">
        <f t="shared" si="32"/>
        <v>-1</v>
      </c>
      <c r="K349" s="11" t="e">
        <f t="shared" si="33"/>
        <v>#DIV/0!</v>
      </c>
      <c r="L349" s="11">
        <f>IF(S349="",((BG349-E349)/E349),((U349-E349)/E349))</f>
        <v>0.12726863924976956</v>
      </c>
      <c r="M349" s="3" t="str">
        <f>IF(S349="Churn","Churn",VLOOKUP(A349,'[1]Revenue_Engine_2025 Dec.25'!$C$14:$E$3993,3,0))</f>
        <v>Diğer</v>
      </c>
      <c r="N349" s="3">
        <f>IF(S349="",VLOOKUP(A349,[3]Export!$B$2:$F$417,5,0),"CHURN")</f>
        <v>0.13523179715846809</v>
      </c>
      <c r="O349" s="3">
        <f>(1-N349)*H349</f>
        <v>160.85146900000001</v>
      </c>
      <c r="P349" s="3">
        <f t="shared" si="35"/>
        <v>0</v>
      </c>
      <c r="Q349" s="3">
        <f t="shared" si="34"/>
        <v>0</v>
      </c>
      <c r="R349" s="3" t="str">
        <f>IF(S349&lt;&gt;"Churn",VLOOKUP(A349,[3]Export!$B$2:$O$417,8,0),"CHURN")</f>
        <v>NO RISK</v>
      </c>
      <c r="S349" s="3"/>
      <c r="T349" s="3"/>
      <c r="U349" s="3" t="s">
        <v>551</v>
      </c>
      <c r="V349" s="4" t="str" cm="1">
        <f t="array" ref="V349">IFERROR(
    IF(
        MATCH(2,1/((Y349:BH349&lt;&gt;0)*(Y349:BH349&lt;&gt;"")))-MATCH(1,INDEX((Y349:BH349&lt;&gt;0)*(Y349:BH349&lt;&gt;""),0),0)+1 &lt;= 12,
        "No",
        "Yes"
    ),
    "No"
)</f>
        <v>Yes</v>
      </c>
      <c r="W349" s="4" t="str" cm="1">
        <f t="array" ref="W349">IFERROR(
    IF(
        MATCH(2,1/((Y349:BH349&lt;&gt;0)*(Y349:BH349&lt;&gt;"")))-MATCH(1,INDEX((Y349:BH349&lt;&gt;0)*(Y349:BH349&lt;&gt;""),0),0)+1 &lt;= 24,
        "No",
        "Yes"
    ),
    "No"
)</f>
        <v>No</v>
      </c>
      <c r="X349" s="3"/>
      <c r="Y349" s="4">
        <v>0</v>
      </c>
      <c r="Z349" s="4">
        <v>0</v>
      </c>
      <c r="AA349" s="4">
        <v>0</v>
      </c>
      <c r="AB349" s="4">
        <v>0</v>
      </c>
      <c r="AC349" s="4">
        <v>0</v>
      </c>
      <c r="AD349" s="4">
        <v>0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4">
        <v>0</v>
      </c>
      <c r="AQ349" s="4">
        <v>0</v>
      </c>
      <c r="AR349" s="4">
        <v>0</v>
      </c>
      <c r="AS349" s="4">
        <v>0</v>
      </c>
      <c r="AT349" s="4">
        <v>0</v>
      </c>
      <c r="AU349" s="4">
        <v>0</v>
      </c>
      <c r="AV349" s="4">
        <v>165.00530000000001</v>
      </c>
      <c r="AW349" s="4">
        <v>165.00530000000001</v>
      </c>
      <c r="AX349" s="4">
        <v>165.00530000000001</v>
      </c>
      <c r="AY349" s="4">
        <v>165.00530000000001</v>
      </c>
      <c r="AZ349" s="4">
        <v>165.00530000000003</v>
      </c>
      <c r="BA349" s="4">
        <v>165.00530000000001</v>
      </c>
      <c r="BB349" s="4">
        <v>165.00530000000001</v>
      </c>
      <c r="BC349" s="4">
        <v>165.00530000000001</v>
      </c>
      <c r="BD349" s="4">
        <v>165.00530000000001</v>
      </c>
      <c r="BE349" s="4">
        <v>165.00530000000001</v>
      </c>
      <c r="BF349" s="4">
        <v>186.00530000000001</v>
      </c>
      <c r="BG349" s="4">
        <v>186.00530000000001</v>
      </c>
      <c r="BH349" s="4">
        <v>186.00530000000001</v>
      </c>
      <c r="BJ349" s="9"/>
    </row>
    <row r="350" spans="1:62" x14ac:dyDescent="0.25">
      <c r="A350" s="6" t="s">
        <v>478</v>
      </c>
      <c r="B350" s="6"/>
      <c r="C350" s="7" t="s">
        <v>526</v>
      </c>
      <c r="D350" s="3"/>
      <c r="E350" s="3">
        <f>VLOOKUP(A350,[2]Sheet1!$A$2:$E$627,5,0)</f>
        <v>98.999135416666661</v>
      </c>
      <c r="F350" s="3">
        <f>VLOOKUP(A350,[2]Sheet1!$A$2:$F$627,6,0)</f>
        <v>0</v>
      </c>
      <c r="G350" s="3">
        <f>VLOOKUP(A350,[2]Sheet1!$A$2:$G$627,7,0)</f>
        <v>0</v>
      </c>
      <c r="H350" s="4">
        <f t="shared" si="30"/>
        <v>98.999135416666661</v>
      </c>
      <c r="I350" s="11">
        <f t="shared" si="31"/>
        <v>-1</v>
      </c>
      <c r="J350" s="11">
        <f t="shared" si="32"/>
        <v>-1</v>
      </c>
      <c r="K350" s="11" t="e">
        <f t="shared" si="33"/>
        <v>#DIV/0!</v>
      </c>
      <c r="L350" s="11">
        <f>IF(S350="",((BG350-E350)/E350),((U350-E350)/E350))</f>
        <v>0</v>
      </c>
      <c r="M350" s="3" t="str">
        <f>IF(S350="Churn","Churn",VLOOKUP(A350,'[1]Revenue_Engine_2025 Dec.25'!$C$14:$E$3993,3,0))</f>
        <v>Diğer</v>
      </c>
      <c r="N350" s="3">
        <f>IF(S350="",VLOOKUP(A350,[3]Export!$B$2:$F$417,5,0),"CHURN")</f>
        <v>0.3195181498323269</v>
      </c>
      <c r="O350" s="3">
        <f>(1-N350)*H350</f>
        <v>67.367114833333332</v>
      </c>
      <c r="P350" s="3">
        <f t="shared" si="35"/>
        <v>0</v>
      </c>
      <c r="Q350" s="3">
        <f t="shared" si="34"/>
        <v>0</v>
      </c>
      <c r="R350" s="3" t="str">
        <f>IF(S350&lt;&gt;"Churn",VLOOKUP(A350,[3]Export!$B$2:$O$417,8,0),"CHURN")</f>
        <v>NO RISK</v>
      </c>
      <c r="S350" s="3"/>
      <c r="T350" s="3"/>
      <c r="U350" s="3" t="s">
        <v>551</v>
      </c>
      <c r="V350" s="4" t="str" cm="1">
        <f t="array" ref="V350">IFERROR(
    IF(
        MATCH(2,1/((Y350:BH350&lt;&gt;0)*(Y350:BH350&lt;&gt;"")))-MATCH(1,INDEX((Y350:BH350&lt;&gt;0)*(Y350:BH350&lt;&gt;""),0),0)+1 &lt;= 12,
        "No",
        "Yes"
    ),
    "No"
)</f>
        <v>Yes</v>
      </c>
      <c r="W350" s="4" t="str" cm="1">
        <f t="array" ref="W350">IFERROR(
    IF(
        MATCH(2,1/((Y350:BH350&lt;&gt;0)*(Y350:BH350&lt;&gt;"")))-MATCH(1,INDEX((Y350:BH350&lt;&gt;0)*(Y350:BH350&lt;&gt;""),0),0)+1 &lt;= 24,
        "No",
        "Yes"
    ),
    "No"
)</f>
        <v>No</v>
      </c>
      <c r="X350" s="3"/>
      <c r="Y350" s="4">
        <v>0</v>
      </c>
      <c r="Z350" s="4">
        <v>0</v>
      </c>
      <c r="AA350" s="4">
        <v>0</v>
      </c>
      <c r="AB350" s="4">
        <v>0</v>
      </c>
      <c r="AC350" s="4">
        <v>0</v>
      </c>
      <c r="AD350" s="4">
        <v>0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4">
        <v>0</v>
      </c>
      <c r="AQ350" s="4">
        <v>0</v>
      </c>
      <c r="AR350" s="4">
        <v>0</v>
      </c>
      <c r="AS350" s="4">
        <v>0</v>
      </c>
      <c r="AT350" s="4">
        <v>0</v>
      </c>
      <c r="AU350" s="4">
        <v>0</v>
      </c>
      <c r="AV350" s="4">
        <v>98.999135416666661</v>
      </c>
      <c r="AW350" s="4">
        <v>98.999135416666661</v>
      </c>
      <c r="AX350" s="4">
        <v>98.999135416666661</v>
      </c>
      <c r="AY350" s="4">
        <v>98.999135416666661</v>
      </c>
      <c r="AZ350" s="4">
        <v>98.999135416666661</v>
      </c>
      <c r="BA350" s="4">
        <v>98.999135416666661</v>
      </c>
      <c r="BB350" s="4">
        <v>98.999135416666661</v>
      </c>
      <c r="BC350" s="4">
        <v>98.999135416666661</v>
      </c>
      <c r="BD350" s="4">
        <v>98.999135416666661</v>
      </c>
      <c r="BE350" s="4">
        <v>98.999135416666661</v>
      </c>
      <c r="BF350" s="4">
        <v>98.999135416666661</v>
      </c>
      <c r="BG350" s="4">
        <v>98.999135416666661</v>
      </c>
      <c r="BH350" s="4">
        <v>98.999135416666661</v>
      </c>
      <c r="BJ350" s="9"/>
    </row>
    <row r="351" spans="1:62" x14ac:dyDescent="0.25">
      <c r="A351" s="6" t="s">
        <v>422</v>
      </c>
      <c r="B351" s="6"/>
      <c r="C351" s="7" t="s">
        <v>526</v>
      </c>
      <c r="D351" s="3"/>
      <c r="E351" s="3">
        <f>VLOOKUP(A351,[2]Sheet1!$A$2:$E$627,5,0)</f>
        <v>289.98968100000002</v>
      </c>
      <c r="F351" s="3">
        <f>VLOOKUP(A351,[2]Sheet1!$A$2:$F$627,6,0)</f>
        <v>0</v>
      </c>
      <c r="G351" s="3">
        <f>VLOOKUP(A351,[2]Sheet1!$A$2:$G$627,7,0)</f>
        <v>0</v>
      </c>
      <c r="H351" s="4">
        <f t="shared" si="30"/>
        <v>311.98968100000002</v>
      </c>
      <c r="I351" s="11">
        <f t="shared" si="31"/>
        <v>-1</v>
      </c>
      <c r="J351" s="11">
        <f t="shared" si="32"/>
        <v>-1</v>
      </c>
      <c r="K351" s="11" t="e">
        <f t="shared" si="33"/>
        <v>#DIV/0!</v>
      </c>
      <c r="L351" s="11">
        <f>IF(S351="",((BG351-E351)/E351),((U351-E351)/E351))</f>
        <v>7.5864768443260566E-2</v>
      </c>
      <c r="M351" s="3" t="str">
        <f>IF(S351="Churn","Churn",VLOOKUP(A351,'[1]Revenue_Engine_2025 Dec.25'!$C$14:$E$3993,3,0))</f>
        <v>Üretim</v>
      </c>
      <c r="N351" s="3">
        <f>IF(S351="",VLOOKUP(A351,[3]Export!$B$2:$F$417,5,0),"CHURN")</f>
        <v>0.22647474997738787</v>
      </c>
      <c r="O351" s="3">
        <f>(1-N351)*H351</f>
        <v>241.33189600000003</v>
      </c>
      <c r="P351" s="3">
        <f t="shared" si="35"/>
        <v>0</v>
      </c>
      <c r="Q351" s="3">
        <f t="shared" si="34"/>
        <v>0</v>
      </c>
      <c r="R351" s="3" t="str">
        <f>IF(S351&lt;&gt;"Churn",VLOOKUP(A351,[3]Export!$B$2:$O$417,8,0),"CHURN")</f>
        <v>NO RISK</v>
      </c>
      <c r="S351" s="3"/>
      <c r="T351" s="3"/>
      <c r="U351" s="3" t="s">
        <v>551</v>
      </c>
      <c r="V351" s="4" t="str" cm="1">
        <f t="array" ref="V351">IFERROR(
    IF(
        MATCH(2,1/((Y351:BH351&lt;&gt;0)*(Y351:BH351&lt;&gt;"")))-MATCH(1,INDEX((Y351:BH351&lt;&gt;0)*(Y351:BH351&lt;&gt;""),0),0)+1 &lt;= 12,
        "No",
        "Yes"
    ),
    "No"
)</f>
        <v>Yes</v>
      </c>
      <c r="W351" s="4" t="str" cm="1">
        <f t="array" ref="W351">IFERROR(
    IF(
        MATCH(2,1/((Y351:BH351&lt;&gt;0)*(Y351:BH351&lt;&gt;"")))-MATCH(1,INDEX((Y351:BH351&lt;&gt;0)*(Y351:BH351&lt;&gt;""),0),0)+1 &lt;= 24,
        "No",
        "Yes"
    ),
    "No"
)</f>
        <v>No</v>
      </c>
      <c r="X351" s="3"/>
      <c r="Y351" s="4">
        <v>0</v>
      </c>
      <c r="Z351" s="4">
        <v>0</v>
      </c>
      <c r="AA351" s="4">
        <v>0</v>
      </c>
      <c r="AB351" s="4">
        <v>0</v>
      </c>
      <c r="AC351" s="4">
        <v>0</v>
      </c>
      <c r="AD351" s="4">
        <v>0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4">
        <v>0</v>
      </c>
      <c r="AQ351" s="4">
        <v>0</v>
      </c>
      <c r="AR351" s="4">
        <v>0</v>
      </c>
      <c r="AS351" s="4">
        <v>0</v>
      </c>
      <c r="AT351" s="4">
        <v>0</v>
      </c>
      <c r="AU351" s="4">
        <v>0</v>
      </c>
      <c r="AV351" s="4">
        <v>289.98968100000002</v>
      </c>
      <c r="AW351" s="4">
        <v>289.98968100000002</v>
      </c>
      <c r="AX351" s="4">
        <v>289.98968100000002</v>
      </c>
      <c r="AY351" s="4">
        <v>311.98968100000002</v>
      </c>
      <c r="AZ351" s="4">
        <v>311.98968100000002</v>
      </c>
      <c r="BA351" s="4">
        <v>311.98968100000002</v>
      </c>
      <c r="BB351" s="4">
        <v>311.98968100000002</v>
      </c>
      <c r="BC351" s="4">
        <v>311.98968100000002</v>
      </c>
      <c r="BD351" s="4">
        <v>311.98968100000002</v>
      </c>
      <c r="BE351" s="4">
        <v>311.98968100000002</v>
      </c>
      <c r="BF351" s="4">
        <v>311.98968100000002</v>
      </c>
      <c r="BG351" s="4">
        <v>311.98968100000002</v>
      </c>
      <c r="BH351" s="4">
        <v>311.98968100000002</v>
      </c>
      <c r="BJ351" s="9"/>
    </row>
    <row r="352" spans="1:62" x14ac:dyDescent="0.25">
      <c r="A352" s="6" t="s">
        <v>439</v>
      </c>
      <c r="B352" s="6"/>
      <c r="C352" s="7" t="s">
        <v>526</v>
      </c>
      <c r="D352" s="3"/>
      <c r="E352" s="3">
        <f>VLOOKUP(A352,[2]Sheet1!$A$2:$E$627,5,0)</f>
        <v>210.94495742417902</v>
      </c>
      <c r="F352" s="3">
        <f>VLOOKUP(A352,[2]Sheet1!$A$2:$F$627,6,0)</f>
        <v>0</v>
      </c>
      <c r="G352" s="3">
        <f>VLOOKUP(A352,[2]Sheet1!$A$2:$G$627,7,0)</f>
        <v>0</v>
      </c>
      <c r="H352" s="4">
        <f t="shared" si="30"/>
        <v>222.50520332119268</v>
      </c>
      <c r="I352" s="11">
        <f t="shared" si="31"/>
        <v>-1</v>
      </c>
      <c r="J352" s="11">
        <f t="shared" si="32"/>
        <v>-1</v>
      </c>
      <c r="K352" s="11" t="e">
        <f t="shared" si="33"/>
        <v>#DIV/0!</v>
      </c>
      <c r="L352" s="11">
        <f>IF(S352="",((BG352-E352)/E352),((U352-E352)/E352))</f>
        <v>-0.13456937878949138</v>
      </c>
      <c r="M352" s="3" t="str">
        <f>IF(S352="Churn","Churn",VLOOKUP(A352,'[1]Revenue_Engine_2025 Dec.25'!$C$14:$E$3993,3,0))</f>
        <v>Enerji</v>
      </c>
      <c r="N352" s="3">
        <f>IF(S352="",VLOOKUP(A352,[3]Export!$B$2:$F$417,5,0),"CHURN")</f>
        <v>0.14773496393056665</v>
      </c>
      <c r="O352" s="3">
        <f>(1-N352)*H352</f>
        <v>189.63340513417288</v>
      </c>
      <c r="P352" s="3">
        <f t="shared" si="35"/>
        <v>0</v>
      </c>
      <c r="Q352" s="3">
        <f t="shared" si="34"/>
        <v>0</v>
      </c>
      <c r="R352" s="3" t="str">
        <f>IF(S352&lt;&gt;"Churn",VLOOKUP(A352,[3]Export!$B$2:$O$417,8,0),"CHURN")</f>
        <v>NO RISK</v>
      </c>
      <c r="S352" s="3"/>
      <c r="T352" s="3"/>
      <c r="U352" s="3" t="s">
        <v>551</v>
      </c>
      <c r="V352" s="4" t="str" cm="1">
        <f t="array" ref="V352">IFERROR(
    IF(
        MATCH(2,1/((Y352:BH352&lt;&gt;0)*(Y352:BH352&lt;&gt;"")))-MATCH(1,INDEX((Y352:BH352&lt;&gt;0)*(Y352:BH352&lt;&gt;""),0),0)+1 &lt;= 12,
        "No",
        "Yes"
    ),
    "No"
)</f>
        <v>Yes</v>
      </c>
      <c r="W352" s="4" t="str" cm="1">
        <f t="array" ref="W352">IFERROR(
    IF(
        MATCH(2,1/((Y352:BH352&lt;&gt;0)*(Y352:BH352&lt;&gt;"")))-MATCH(1,INDEX((Y352:BH352&lt;&gt;0)*(Y352:BH352&lt;&gt;""),0),0)+1 &lt;= 24,
        "No",
        "Yes"
    ),
    "No"
)</f>
        <v>No</v>
      </c>
      <c r="X352" s="3"/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4">
        <v>0</v>
      </c>
      <c r="AQ352" s="4">
        <v>0</v>
      </c>
      <c r="AR352" s="4">
        <v>0</v>
      </c>
      <c r="AS352" s="4">
        <v>0</v>
      </c>
      <c r="AT352" s="4">
        <v>0</v>
      </c>
      <c r="AU352" s="4">
        <v>0</v>
      </c>
      <c r="AV352" s="4">
        <v>202.94455544158828</v>
      </c>
      <c r="AW352" s="4">
        <v>199.88523942959807</v>
      </c>
      <c r="AX352" s="4">
        <v>210.94495742417902</v>
      </c>
      <c r="AY352" s="4">
        <v>206.04598810498823</v>
      </c>
      <c r="AZ352" s="4">
        <v>200.93142533930703</v>
      </c>
      <c r="BA352" s="4">
        <v>197.80741931673367</v>
      </c>
      <c r="BB352" s="4">
        <v>194.6966198372115</v>
      </c>
      <c r="BC352" s="4">
        <v>191.23210808910082</v>
      </c>
      <c r="BD352" s="4">
        <v>188.51160522292287</v>
      </c>
      <c r="BE352" s="4">
        <v>186.40630383314817</v>
      </c>
      <c r="BF352" s="4">
        <v>184.34037456791839</v>
      </c>
      <c r="BG352" s="4">
        <v>182.55822554483154</v>
      </c>
      <c r="BH352" s="4">
        <v>222.50520332119268</v>
      </c>
      <c r="BJ352" s="9"/>
    </row>
    <row r="353" spans="1:62" x14ac:dyDescent="0.25">
      <c r="A353" s="6" t="s">
        <v>544</v>
      </c>
      <c r="B353" s="6"/>
      <c r="C353" s="7" t="s">
        <v>526</v>
      </c>
      <c r="D353" s="3"/>
      <c r="E353" s="3">
        <f>VLOOKUP(A353,[2]Sheet1!$A$2:$E$627,5,0)</f>
        <v>125</v>
      </c>
      <c r="F353" s="3">
        <f>VLOOKUP(A353,[2]Sheet1!$A$2:$F$627,6,0)</f>
        <v>0</v>
      </c>
      <c r="G353" s="3">
        <f>VLOOKUP(A353,[2]Sheet1!$A$2:$G$627,7,0)</f>
        <v>0</v>
      </c>
      <c r="H353" s="4">
        <f t="shared" si="30"/>
        <v>125</v>
      </c>
      <c r="I353" s="11">
        <f t="shared" si="31"/>
        <v>-1</v>
      </c>
      <c r="J353" s="11">
        <f t="shared" si="32"/>
        <v>-1</v>
      </c>
      <c r="K353" s="11" t="e">
        <f t="shared" si="33"/>
        <v>#DIV/0!</v>
      </c>
      <c r="L353" s="11">
        <f>IF(S353="",((BG353-E353)/E353),((U353-E353)/E353))</f>
        <v>0</v>
      </c>
      <c r="M353" s="3" t="str">
        <f>IF(S353="Churn","Churn",VLOOKUP(A353,'[1]Revenue_Engine_2025 Dec.25'!$C$14:$E$3993,3,0))</f>
        <v>Diğer</v>
      </c>
      <c r="N353" s="3">
        <f>IF(S353="",VLOOKUP(A353,[3]Export!$B$2:$F$417,5,0),"CHURN")</f>
        <v>1</v>
      </c>
      <c r="O353" s="3">
        <f>(1-N353)*H353</f>
        <v>0</v>
      </c>
      <c r="P353" s="3">
        <f t="shared" si="35"/>
        <v>0</v>
      </c>
      <c r="Q353" s="3">
        <f t="shared" si="34"/>
        <v>0</v>
      </c>
      <c r="R353" s="3" t="str">
        <f>IF(S353&lt;&gt;"Churn",VLOOKUP(A353,[3]Export!$B$2:$O$417,8,0),"CHURN")</f>
        <v>LOW RISK</v>
      </c>
      <c r="S353" s="3"/>
      <c r="T353" s="3"/>
      <c r="U353" s="3" t="s">
        <v>551</v>
      </c>
      <c r="V353" s="4" t="str" cm="1">
        <f t="array" ref="V353">IFERROR(
    IF(
        MATCH(2,1/((Y353:BH353&lt;&gt;0)*(Y353:BH353&lt;&gt;"")))-MATCH(1,INDEX((Y353:BH353&lt;&gt;0)*(Y353:BH353&lt;&gt;""),0),0)+1 &lt;= 12,
        "No",
        "Yes"
    ),
    "No"
)</f>
        <v>Yes</v>
      </c>
      <c r="W353" s="4" t="str" cm="1">
        <f t="array" ref="W353">IFERROR(
    IF(
        MATCH(2,1/((Y353:BH353&lt;&gt;0)*(Y353:BH353&lt;&gt;"")))-MATCH(1,INDEX((Y353:BH353&lt;&gt;0)*(Y353:BH353&lt;&gt;""),0),0)+1 &lt;= 24,
        "No",
        "Yes"
    ),
    "No"
)</f>
        <v>No</v>
      </c>
      <c r="X353" s="3"/>
      <c r="Y353" s="4">
        <v>0</v>
      </c>
      <c r="Z353" s="4">
        <v>0</v>
      </c>
      <c r="AA353" s="4">
        <v>0</v>
      </c>
      <c r="AB353" s="4">
        <v>0</v>
      </c>
      <c r="AC353" s="4">
        <v>0</v>
      </c>
      <c r="AD353" s="4">
        <v>0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4">
        <v>0</v>
      </c>
      <c r="AQ353" s="4">
        <v>0</v>
      </c>
      <c r="AR353" s="4">
        <v>0</v>
      </c>
      <c r="AS353" s="4">
        <v>0</v>
      </c>
      <c r="AT353" s="4">
        <v>0</v>
      </c>
      <c r="AU353" s="4">
        <v>0</v>
      </c>
      <c r="AV353" s="4">
        <v>125</v>
      </c>
      <c r="AW353" s="4">
        <v>125</v>
      </c>
      <c r="AX353" s="4">
        <v>125</v>
      </c>
      <c r="AY353" s="4">
        <v>125</v>
      </c>
      <c r="AZ353" s="4">
        <v>125</v>
      </c>
      <c r="BA353" s="4">
        <v>125</v>
      </c>
      <c r="BB353" s="4">
        <v>125</v>
      </c>
      <c r="BC353" s="4">
        <v>125</v>
      </c>
      <c r="BD353" s="4">
        <v>125</v>
      </c>
      <c r="BE353" s="4">
        <v>125</v>
      </c>
      <c r="BF353" s="4">
        <v>125</v>
      </c>
      <c r="BG353" s="4">
        <v>125</v>
      </c>
      <c r="BH353" s="4">
        <v>125</v>
      </c>
      <c r="BJ353" s="9"/>
    </row>
    <row r="354" spans="1:62" x14ac:dyDescent="0.25">
      <c r="A354" s="6" t="s">
        <v>494</v>
      </c>
      <c r="B354" s="6"/>
      <c r="C354" s="7" t="s">
        <v>526</v>
      </c>
      <c r="D354" s="3"/>
      <c r="E354" s="3">
        <f>VLOOKUP(A354,[2]Sheet1!$A$2:$E$627,5,0)</f>
        <v>86.000503166666661</v>
      </c>
      <c r="F354" s="3">
        <f>VLOOKUP(A354,[2]Sheet1!$A$2:$F$627,6,0)</f>
        <v>0</v>
      </c>
      <c r="G354" s="3">
        <f>VLOOKUP(A354,[2]Sheet1!$A$2:$G$627,7,0)</f>
        <v>0</v>
      </c>
      <c r="H354" s="4">
        <f t="shared" si="30"/>
        <v>86.000503166666661</v>
      </c>
      <c r="I354" s="11">
        <f t="shared" si="31"/>
        <v>-1</v>
      </c>
      <c r="J354" s="11">
        <f t="shared" si="32"/>
        <v>-1</v>
      </c>
      <c r="K354" s="11" t="e">
        <f t="shared" si="33"/>
        <v>#DIV/0!</v>
      </c>
      <c r="L354" s="11">
        <f>IF(S354="",((BG354-E354)/E354),((U354-E354)/E354))</f>
        <v>-0.50096535191008251</v>
      </c>
      <c r="M354" s="3" t="str">
        <f>IF(S354="Churn","Churn",VLOOKUP(A354,'[1]Revenue_Engine_2025 Dec.25'!$C$14:$E$3993,3,0))</f>
        <v>Diğer</v>
      </c>
      <c r="N354" s="3">
        <f>IF(S354="",VLOOKUP(A354,[3]Export!$B$2:$F$417,5,0),"CHURN")</f>
        <v>0.31952807431151875</v>
      </c>
      <c r="O354" s="3">
        <f>(1-N354)*H354</f>
        <v>58.520927999999991</v>
      </c>
      <c r="P354" s="3">
        <f t="shared" si="35"/>
        <v>0</v>
      </c>
      <c r="Q354" s="3">
        <f t="shared" si="34"/>
        <v>0</v>
      </c>
      <c r="R354" s="3" t="str">
        <f>IF(S354&lt;&gt;"Churn",VLOOKUP(A354,[3]Export!$B$2:$O$417,8,0),"CHURN")</f>
        <v>NO RISK</v>
      </c>
      <c r="S354" s="3"/>
      <c r="T354" s="3"/>
      <c r="U354" s="3" t="s">
        <v>551</v>
      </c>
      <c r="V354" s="4" t="str" cm="1">
        <f t="array" ref="V354">IFERROR(
    IF(
        MATCH(2,1/((Y354:BH354&lt;&gt;0)*(Y354:BH354&lt;&gt;"")))-MATCH(1,INDEX((Y354:BH354&lt;&gt;0)*(Y354:BH354&lt;&gt;""),0),0)+1 &lt;= 12,
        "No",
        "Yes"
    ),
    "No"
)</f>
        <v>Yes</v>
      </c>
      <c r="W354" s="4" t="str" cm="1">
        <f t="array" ref="W354">IFERROR(
    IF(
        MATCH(2,1/((Y354:BH354&lt;&gt;0)*(Y354:BH354&lt;&gt;"")))-MATCH(1,INDEX((Y354:BH354&lt;&gt;0)*(Y354:BH354&lt;&gt;""),0),0)+1 &lt;= 24,
        "No",
        "Yes"
    ),
    "No"
)</f>
        <v>No</v>
      </c>
      <c r="X354" s="3"/>
      <c r="Y354" s="4">
        <v>0</v>
      </c>
      <c r="Z354" s="4">
        <v>0</v>
      </c>
      <c r="AA354" s="4">
        <v>0</v>
      </c>
      <c r="AB354" s="4">
        <v>0</v>
      </c>
      <c r="AC354" s="4">
        <v>0</v>
      </c>
      <c r="AD354" s="4">
        <v>0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4">
        <v>0</v>
      </c>
      <c r="AQ354" s="4">
        <v>0</v>
      </c>
      <c r="AR354" s="4">
        <v>0</v>
      </c>
      <c r="AS354" s="4">
        <v>0</v>
      </c>
      <c r="AT354" s="4">
        <v>0</v>
      </c>
      <c r="AU354" s="4">
        <v>0</v>
      </c>
      <c r="AV354" s="4">
        <v>86.000503166666661</v>
      </c>
      <c r="AW354" s="4">
        <v>43.000251583333352</v>
      </c>
      <c r="AX354" s="4">
        <v>43.000251583333352</v>
      </c>
      <c r="AY354" s="4">
        <v>43.000251583333352</v>
      </c>
      <c r="AZ354" s="4">
        <v>43.000251583333352</v>
      </c>
      <c r="BA354" s="4">
        <v>43.000251583333352</v>
      </c>
      <c r="BB354" s="4">
        <v>43.000251583333352</v>
      </c>
      <c r="BC354" s="4">
        <v>43.000251583333352</v>
      </c>
      <c r="BD354" s="4">
        <v>43.000251583333352</v>
      </c>
      <c r="BE354" s="4">
        <v>43.000251583333352</v>
      </c>
      <c r="BF354" s="4">
        <v>43.000251583333352</v>
      </c>
      <c r="BG354" s="4">
        <v>42.917230833333335</v>
      </c>
      <c r="BH354" s="4">
        <v>86.000503166666661</v>
      </c>
      <c r="BJ354" s="9"/>
    </row>
    <row r="355" spans="1:62" x14ac:dyDescent="0.25">
      <c r="A355" s="6" t="s">
        <v>474</v>
      </c>
      <c r="B355" s="6"/>
      <c r="C355" s="7" t="s">
        <v>526</v>
      </c>
      <c r="D355" s="3"/>
      <c r="E355" s="3">
        <f>VLOOKUP(A355,[2]Sheet1!$A$2:$E$627,5,0)</f>
        <v>100.00088591666666</v>
      </c>
      <c r="F355" s="3">
        <f>VLOOKUP(A355,[2]Sheet1!$A$2:$F$627,6,0)</f>
        <v>0</v>
      </c>
      <c r="G355" s="3">
        <f>VLOOKUP(A355,[2]Sheet1!$A$2:$G$627,7,0)</f>
        <v>0</v>
      </c>
      <c r="H355" s="4">
        <f t="shared" si="30"/>
        <v>100.00088591666666</v>
      </c>
      <c r="I355" s="11">
        <f t="shared" si="31"/>
        <v>-1</v>
      </c>
      <c r="J355" s="11">
        <f t="shared" si="32"/>
        <v>-1</v>
      </c>
      <c r="K355" s="11" t="e">
        <f t="shared" si="33"/>
        <v>#DIV/0!</v>
      </c>
      <c r="L355" s="11">
        <f>IF(S355="",((BG355-E355)/E355),((U355-E355)/E355))</f>
        <v>0</v>
      </c>
      <c r="M355" s="3" t="str">
        <f>IF(S355="Churn","Churn",VLOOKUP(A355,'[1]Revenue_Engine_2025 Dec.25'!$C$14:$E$3993,3,0))</f>
        <v>Diğer</v>
      </c>
      <c r="N355" s="3">
        <f>IF(S355="",VLOOKUP(A355,[3]Export!$B$2:$F$417,5,0),"CHURN")</f>
        <v>0.31953012172939665</v>
      </c>
      <c r="O355" s="3">
        <f>(1-N355)*H355</f>
        <v>68.04759066666665</v>
      </c>
      <c r="P355" s="3">
        <f t="shared" si="35"/>
        <v>0</v>
      </c>
      <c r="Q355" s="3">
        <f t="shared" si="34"/>
        <v>0</v>
      </c>
      <c r="R355" s="3" t="str">
        <f>IF(S355&lt;&gt;"Churn",VLOOKUP(A355,[3]Export!$B$2:$O$417,8,0),"CHURN")</f>
        <v>NO RISK</v>
      </c>
      <c r="S355" s="3"/>
      <c r="T355" s="3"/>
      <c r="U355" s="3" t="s">
        <v>551</v>
      </c>
      <c r="V355" s="4" t="str" cm="1">
        <f t="array" ref="V355">IFERROR(
    IF(
        MATCH(2,1/((Y355:BH355&lt;&gt;0)*(Y355:BH355&lt;&gt;"")))-MATCH(1,INDEX((Y355:BH355&lt;&gt;0)*(Y355:BH355&lt;&gt;""),0),0)+1 &lt;= 12,
        "No",
        "Yes"
    ),
    "No"
)</f>
        <v>Yes</v>
      </c>
      <c r="W355" s="4" t="str" cm="1">
        <f t="array" ref="W355">IFERROR(
    IF(
        MATCH(2,1/((Y355:BH355&lt;&gt;0)*(Y355:BH355&lt;&gt;"")))-MATCH(1,INDEX((Y355:BH355&lt;&gt;0)*(Y355:BH355&lt;&gt;""),0),0)+1 &lt;= 24,
        "No",
        "Yes"
    ),
    "No"
)</f>
        <v>No</v>
      </c>
      <c r="X355" s="3"/>
      <c r="Y355" s="4">
        <v>0</v>
      </c>
      <c r="Z355" s="4">
        <v>0</v>
      </c>
      <c r="AA355" s="4">
        <v>0</v>
      </c>
      <c r="AB355" s="4">
        <v>0</v>
      </c>
      <c r="AC355" s="4">
        <v>0</v>
      </c>
      <c r="AD355" s="4">
        <v>0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4">
        <v>0</v>
      </c>
      <c r="AQ355" s="4">
        <v>0</v>
      </c>
      <c r="AR355" s="4">
        <v>0</v>
      </c>
      <c r="AS355" s="4">
        <v>0</v>
      </c>
      <c r="AT355" s="4">
        <v>0</v>
      </c>
      <c r="AU355" s="4">
        <v>0</v>
      </c>
      <c r="AV355" s="4">
        <v>100.00088591666666</v>
      </c>
      <c r="AW355" s="4">
        <v>100.00088591666666</v>
      </c>
      <c r="AX355" s="4">
        <v>100.00088591666666</v>
      </c>
      <c r="AY355" s="4">
        <v>100.00088591666666</v>
      </c>
      <c r="AZ355" s="4">
        <v>100.00088591666666</v>
      </c>
      <c r="BA355" s="4">
        <v>100.00088591666666</v>
      </c>
      <c r="BB355" s="4">
        <v>100.00088591666666</v>
      </c>
      <c r="BC355" s="4">
        <v>100.00088591666666</v>
      </c>
      <c r="BD355" s="4">
        <v>100.00088591666666</v>
      </c>
      <c r="BE355" s="4">
        <v>100.00088591666666</v>
      </c>
      <c r="BF355" s="4">
        <v>100.00088591666666</v>
      </c>
      <c r="BG355" s="4">
        <v>100.00088591666666</v>
      </c>
      <c r="BH355" s="4">
        <v>100.00088591666666</v>
      </c>
      <c r="BJ355" s="9"/>
    </row>
    <row r="356" spans="1:62" x14ac:dyDescent="0.25">
      <c r="A356" s="6" t="s">
        <v>460</v>
      </c>
      <c r="B356" s="6"/>
      <c r="C356" s="7" t="s">
        <v>526</v>
      </c>
      <c r="D356" s="3"/>
      <c r="E356" s="3">
        <f>VLOOKUP(A356,[2]Sheet1!$A$2:$E$627,5,0)</f>
        <v>107.49944383333334</v>
      </c>
      <c r="F356" s="3">
        <f>VLOOKUP(A356,[2]Sheet1!$A$2:$F$627,6,0)</f>
        <v>0</v>
      </c>
      <c r="G356" s="3">
        <f>VLOOKUP(A356,[2]Sheet1!$A$2:$G$627,7,0)</f>
        <v>0</v>
      </c>
      <c r="H356" s="4">
        <f t="shared" si="30"/>
        <v>107.49944383333334</v>
      </c>
      <c r="I356" s="11">
        <f t="shared" si="31"/>
        <v>-1</v>
      </c>
      <c r="J356" s="11">
        <f t="shared" si="32"/>
        <v>-1</v>
      </c>
      <c r="K356" s="11" t="e">
        <f t="shared" si="33"/>
        <v>#DIV/0!</v>
      </c>
      <c r="L356" s="11">
        <f>IF(S356="",((BG356-E356)/E356),((U356-E356)/E356))</f>
        <v>0</v>
      </c>
      <c r="M356" s="3" t="str">
        <f>IF(S356="Churn","Churn",VLOOKUP(A356,'[1]Revenue_Engine_2025 Dec.25'!$C$14:$E$3993,3,0))</f>
        <v>Churn</v>
      </c>
      <c r="N356" s="3" t="str">
        <f>IF(S356="",VLOOKUP(A356,[3]Export!$B$2:$F$417,5,0),"CHURN")</f>
        <v>CHURN</v>
      </c>
      <c r="O356" s="3" t="e">
        <f>(1-N356)*H356</f>
        <v>#VALUE!</v>
      </c>
      <c r="P356" s="3" t="e">
        <f t="shared" si="35"/>
        <v>#VALUE!</v>
      </c>
      <c r="Q356" s="3" t="e">
        <f t="shared" si="34"/>
        <v>#VALUE!</v>
      </c>
      <c r="R356" s="3" t="str">
        <f>IF(S356&lt;&gt;"Churn",VLOOKUP(A356,[3]Export!$B$2:$O$417,8,0),"CHURN")</f>
        <v>CHURN</v>
      </c>
      <c r="S356" s="3" t="s">
        <v>372</v>
      </c>
      <c r="T356" s="3" t="s">
        <v>556</v>
      </c>
      <c r="U356" s="3">
        <v>107.49944383333334</v>
      </c>
      <c r="V356" s="4" t="str" cm="1">
        <f t="array" ref="V356">IFERROR(
    IF(
        MATCH(2,1/((Y356:BH356&lt;&gt;0)*(Y356:BH356&lt;&gt;"")))-MATCH(1,INDEX((Y356:BH356&lt;&gt;0)*(Y356:BH356&lt;&gt;""),0),0)+1 &lt;= 12,
        "No",
        "Yes"
    ),
    "No"
)</f>
        <v>No</v>
      </c>
      <c r="W356" s="4" t="str" cm="1">
        <f t="array" ref="W356">IFERROR(
    IF(
        MATCH(2,1/((Y356:BH356&lt;&gt;0)*(Y356:BH356&lt;&gt;"")))-MATCH(1,INDEX((Y356:BH356&lt;&gt;0)*(Y356:BH356&lt;&gt;""),0),0)+1 &lt;= 24,
        "No",
        "Yes"
    ),
    "No"
)</f>
        <v>No</v>
      </c>
      <c r="X356" s="3"/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D356" s="4">
        <v>0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4">
        <v>0</v>
      </c>
      <c r="AQ356" s="4">
        <v>0</v>
      </c>
      <c r="AR356" s="4">
        <v>0</v>
      </c>
      <c r="AS356" s="4">
        <v>0</v>
      </c>
      <c r="AT356" s="4">
        <v>0</v>
      </c>
      <c r="AU356" s="4">
        <v>0</v>
      </c>
      <c r="AV356" s="4">
        <v>107.49944383333334</v>
      </c>
      <c r="AW356" s="4">
        <v>107.49944383333334</v>
      </c>
      <c r="AX356" s="4">
        <v>107.49944383333334</v>
      </c>
      <c r="AY356" s="4">
        <v>107.49944383333334</v>
      </c>
      <c r="AZ356" s="4">
        <v>107.49944383333334</v>
      </c>
      <c r="BA356" s="4">
        <v>107.49944383333334</v>
      </c>
      <c r="BB356" s="4">
        <v>107.49944383333334</v>
      </c>
      <c r="BC356" s="4">
        <v>107.49944383333334</v>
      </c>
      <c r="BD356" s="4">
        <v>107.49944383333334</v>
      </c>
      <c r="BE356" s="4">
        <v>107.49944383333334</v>
      </c>
      <c r="BF356" s="4">
        <v>107.49944383333334</v>
      </c>
      <c r="BG356" s="4">
        <v>107.49944383333334</v>
      </c>
      <c r="BH356" s="4">
        <v>0</v>
      </c>
      <c r="BJ356" s="9"/>
    </row>
    <row r="357" spans="1:62" x14ac:dyDescent="0.25">
      <c r="A357" s="6" t="s">
        <v>380</v>
      </c>
      <c r="B357" s="6"/>
      <c r="C357" s="7" t="s">
        <v>525</v>
      </c>
      <c r="D357" s="3"/>
      <c r="E357" s="3">
        <f>VLOOKUP(A357,[2]Sheet1!$A$2:$E$627,5,0)</f>
        <v>5361.6276772864521</v>
      </c>
      <c r="F357" s="3">
        <f>VLOOKUP(A357,[2]Sheet1!$A$2:$F$627,6,0)</f>
        <v>0</v>
      </c>
      <c r="G357" s="3">
        <f>VLOOKUP(A357,[2]Sheet1!$A$2:$G$627,7,0)</f>
        <v>0</v>
      </c>
      <c r="H357" s="4">
        <f t="shared" si="30"/>
        <v>5764.5928879558332</v>
      </c>
      <c r="I357" s="11">
        <f t="shared" si="31"/>
        <v>-1</v>
      </c>
      <c r="J357" s="11">
        <f t="shared" si="32"/>
        <v>-1</v>
      </c>
      <c r="K357" s="11" t="e">
        <f t="shared" si="33"/>
        <v>#DIV/0!</v>
      </c>
      <c r="L357" s="11">
        <f>IF(S357="",((BG357-E357)/E357),((U357-E357)/E357))</f>
        <v>-0.15964333989423501</v>
      </c>
      <c r="M357" s="3" t="str">
        <f>IF(S357="Churn","Churn",VLOOKUP(A357,'[1]Revenue_Engine_2025 Dec.25'!$C$14:$E$3993,3,0))</f>
        <v>Lojistik</v>
      </c>
      <c r="N357" s="3">
        <f>IF(S357="",VLOOKUP(A357,[3]Export!$B$2:$F$417,5,0),"CHURN")</f>
        <v>0</v>
      </c>
      <c r="O357" s="3">
        <f>(1-N357)*H357</f>
        <v>5764.5928879558332</v>
      </c>
      <c r="P357" s="3">
        <f t="shared" si="35"/>
        <v>0</v>
      </c>
      <c r="Q357" s="3">
        <f t="shared" si="34"/>
        <v>0</v>
      </c>
      <c r="R357" s="3" t="str">
        <f>IF(S357&lt;&gt;"Churn",VLOOKUP(A357,[3]Export!$B$2:$O$417,8,0),"CHURN")</f>
        <v>NO RISK</v>
      </c>
      <c r="S357" s="3"/>
      <c r="T357" s="3"/>
      <c r="U357" s="3" t="s">
        <v>551</v>
      </c>
      <c r="V357" s="4" t="str" cm="1">
        <f t="array" ref="V357">IFERROR(
    IF(
        MATCH(2,1/((Y357:BH357&lt;&gt;0)*(Y357:BH357&lt;&gt;"")))-MATCH(1,INDEX((Y357:BH357&lt;&gt;0)*(Y357:BH357&lt;&gt;""),0),0)+1 &lt;= 12,
        "No",
        "Yes"
    ),
    "No"
)</f>
        <v>Yes</v>
      </c>
      <c r="W357" s="4" t="str" cm="1">
        <f t="array" ref="W357">IFERROR(
    IF(
        MATCH(2,1/((Y357:BH357&lt;&gt;0)*(Y357:BH357&lt;&gt;"")))-MATCH(1,INDEX((Y357:BH357&lt;&gt;0)*(Y357:BH357&lt;&gt;""),0),0)+1 &lt;= 24,
        "No",
        "Yes"
    ),
    "No"
)</f>
        <v>No</v>
      </c>
      <c r="X357" s="3"/>
      <c r="Y357" s="4">
        <v>0</v>
      </c>
      <c r="Z357" s="4">
        <v>0</v>
      </c>
      <c r="AA357" s="4">
        <v>0</v>
      </c>
      <c r="AB357" s="4">
        <v>0</v>
      </c>
      <c r="AC357" s="4">
        <v>0</v>
      </c>
      <c r="AD357" s="4">
        <v>0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4">
        <v>0</v>
      </c>
      <c r="AQ357" s="4">
        <v>0</v>
      </c>
      <c r="AR357" s="4">
        <v>0</v>
      </c>
      <c r="AS357" s="4">
        <v>0</v>
      </c>
      <c r="AT357" s="4">
        <v>0</v>
      </c>
      <c r="AU357" s="4">
        <v>0</v>
      </c>
      <c r="AV357" s="4">
        <v>1360.922189623755</v>
      </c>
      <c r="AW357" s="4">
        <v>5361.6276772864521</v>
      </c>
      <c r="AX357" s="4">
        <v>5267.1118762284159</v>
      </c>
      <c r="AY357" s="4">
        <v>5135.7042266845783</v>
      </c>
      <c r="AZ357" s="4">
        <v>4998.5135999031872</v>
      </c>
      <c r="BA357" s="4">
        <v>4914.7167312477695</v>
      </c>
      <c r="BB357" s="4">
        <v>4831.2741086934966</v>
      </c>
      <c r="BC357" s="4">
        <v>4738.3436745605813</v>
      </c>
      <c r="BD357" s="4">
        <v>4665.3701848468772</v>
      </c>
      <c r="BE357" s="4">
        <v>4608.8985702711489</v>
      </c>
      <c r="BF357" s="4">
        <v>4553.4830550516099</v>
      </c>
      <c r="BG357" s="4">
        <v>4505.6795276150733</v>
      </c>
      <c r="BH357" s="4">
        <v>5764.5928879558332</v>
      </c>
      <c r="BJ357" s="9"/>
    </row>
    <row r="358" spans="1:62" x14ac:dyDescent="0.25">
      <c r="A358" s="6" t="s">
        <v>379</v>
      </c>
      <c r="B358" s="6"/>
      <c r="C358" s="7" t="s">
        <v>525</v>
      </c>
      <c r="D358" s="3"/>
      <c r="E358" s="3">
        <f>VLOOKUP(A358,[2]Sheet1!$A$2:$E$627,5,0)</f>
        <v>5644.6931173632083</v>
      </c>
      <c r="F358" s="3">
        <f>VLOOKUP(A358,[2]Sheet1!$A$2:$F$627,6,0)</f>
        <v>0</v>
      </c>
      <c r="G358" s="3">
        <f>VLOOKUP(A358,[2]Sheet1!$A$2:$G$627,7,0)</f>
        <v>0</v>
      </c>
      <c r="H358" s="4">
        <f t="shared" si="30"/>
        <v>6168.076856479297</v>
      </c>
      <c r="I358" s="11">
        <f t="shared" si="31"/>
        <v>-1</v>
      </c>
      <c r="J358" s="11">
        <f t="shared" si="32"/>
        <v>-1</v>
      </c>
      <c r="K358" s="11" t="e">
        <f t="shared" si="33"/>
        <v>#DIV/0!</v>
      </c>
      <c r="L358" s="11">
        <f>IF(S358="",((BG358-E358)/E358),((U358-E358)/E358))</f>
        <v>-0.15699448394564783</v>
      </c>
      <c r="M358" s="3" t="str">
        <f>IF(S358="Churn","Churn",VLOOKUP(A358,'[1]Revenue_Engine_2025 Dec.25'!$C$14:$E$3993,3,0))</f>
        <v>Üretim</v>
      </c>
      <c r="N358" s="3">
        <f>IF(S358="",VLOOKUP(A358,[3]Export!$B$2:$F$417,5,0),"CHURN")</f>
        <v>0</v>
      </c>
      <c r="O358" s="3">
        <f>(1-N358)*H358</f>
        <v>6168.076856479297</v>
      </c>
      <c r="P358" s="3">
        <f t="shared" si="35"/>
        <v>0</v>
      </c>
      <c r="Q358" s="3">
        <f t="shared" si="34"/>
        <v>0</v>
      </c>
      <c r="R358" s="3" t="str">
        <f>IF(S358&lt;&gt;"Churn",VLOOKUP(A358,[3]Export!$B$2:$O$417,8,0),"CHURN")</f>
        <v>NO RISK</v>
      </c>
      <c r="S358" s="3"/>
      <c r="T358" s="3"/>
      <c r="U358" s="3" t="s">
        <v>551</v>
      </c>
      <c r="V358" s="4" t="str" cm="1">
        <f t="array" ref="V358">IFERROR(
    IF(
        MATCH(2,1/((Y358:BH358&lt;&gt;0)*(Y358:BH358&lt;&gt;"")))-MATCH(1,INDEX((Y358:BH358&lt;&gt;0)*(Y358:BH358&lt;&gt;""),0),0)+1 &lt;= 12,
        "No",
        "Yes"
    ),
    "No"
)</f>
        <v>Yes</v>
      </c>
      <c r="W358" s="4" t="str" cm="1">
        <f t="array" ref="W358">IFERROR(
    IF(
        MATCH(2,1/((Y358:BH358&lt;&gt;0)*(Y358:BH358&lt;&gt;"")))-MATCH(1,INDEX((Y358:BH358&lt;&gt;0)*(Y358:BH358&lt;&gt;""),0),0)+1 &lt;= 24,
        "No",
        "Yes"
    ),
    "No"
)</f>
        <v>No</v>
      </c>
      <c r="X358" s="3"/>
      <c r="Y358" s="4">
        <v>0</v>
      </c>
      <c r="Z358" s="4">
        <v>0</v>
      </c>
      <c r="AA358" s="4">
        <v>0</v>
      </c>
      <c r="AB358" s="4">
        <v>0</v>
      </c>
      <c r="AC358" s="4">
        <v>0</v>
      </c>
      <c r="AD358" s="4">
        <v>0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4">
        <v>0</v>
      </c>
      <c r="AQ358" s="4">
        <v>0</v>
      </c>
      <c r="AR358" s="4">
        <v>0</v>
      </c>
      <c r="AS358" s="4">
        <v>0</v>
      </c>
      <c r="AT358" s="4">
        <v>0</v>
      </c>
      <c r="AU358" s="4">
        <v>0</v>
      </c>
      <c r="AV358" s="4">
        <v>4298.7668611114295</v>
      </c>
      <c r="AW358" s="4">
        <v>5644.6931173632083</v>
      </c>
      <c r="AX358" s="4">
        <v>5562.6661565884642</v>
      </c>
      <c r="AY358" s="4">
        <v>5423.8848088571976</v>
      </c>
      <c r="AZ358" s="4">
        <v>5278.9959827735438</v>
      </c>
      <c r="BA358" s="4">
        <v>5342.6592238886278</v>
      </c>
      <c r="BB358" s="4">
        <v>5102.3721555873681</v>
      </c>
      <c r="BC358" s="4">
        <v>5004.2271013307263</v>
      </c>
      <c r="BD358" s="4">
        <v>4927.1588386665881</v>
      </c>
      <c r="BE358" s="4">
        <v>4867.5184234656008</v>
      </c>
      <c r="BF358" s="4">
        <v>4808.9933686907298</v>
      </c>
      <c r="BG358" s="4">
        <v>4758.5074343712213</v>
      </c>
      <c r="BH358" s="4">
        <v>6168.076856479297</v>
      </c>
      <c r="BJ358" s="9"/>
    </row>
    <row r="359" spans="1:62" x14ac:dyDescent="0.25">
      <c r="A359" s="6" t="s">
        <v>479</v>
      </c>
      <c r="B359" s="6"/>
      <c r="C359" s="7" t="s">
        <v>526</v>
      </c>
      <c r="D359" s="3"/>
      <c r="E359" s="3">
        <f>VLOOKUP(A359,[2]Sheet1!$A$2:$E$627,5,0)</f>
        <v>91.712051725597547</v>
      </c>
      <c r="F359" s="3">
        <f>VLOOKUP(A359,[2]Sheet1!$A$2:$F$627,6,0)</f>
        <v>0</v>
      </c>
      <c r="G359" s="3">
        <f>VLOOKUP(A359,[2]Sheet1!$A$2:$G$627,7,0)</f>
        <v>0</v>
      </c>
      <c r="H359" s="4">
        <f t="shared" si="30"/>
        <v>96.221858723794497</v>
      </c>
      <c r="I359" s="11">
        <f t="shared" si="31"/>
        <v>-1</v>
      </c>
      <c r="J359" s="11">
        <f t="shared" si="32"/>
        <v>-1</v>
      </c>
      <c r="K359" s="11" t="e">
        <f t="shared" si="33"/>
        <v>#DIV/0!</v>
      </c>
      <c r="L359" s="11">
        <f>IF(S359="",((BG359-E359)/E359),((U359-E359)/E359))</f>
        <v>4.0257687161474702E-2</v>
      </c>
      <c r="M359" s="3" t="str">
        <f>IF(S359="Churn","Churn",VLOOKUP(A359,'[1]Revenue_Engine_2025 Dec.25'!$C$14:$E$3993,3,0))</f>
        <v>Diğer</v>
      </c>
      <c r="N359" s="3">
        <f>IF(S359="",VLOOKUP(A359,[3]Export!$B$2:$F$417,5,0),"CHURN")</f>
        <v>0.2533667557163749</v>
      </c>
      <c r="O359" s="3">
        <f>(1-N359)*H359</f>
        <v>71.842438549947317</v>
      </c>
      <c r="P359" s="3">
        <f t="shared" si="35"/>
        <v>0</v>
      </c>
      <c r="Q359" s="3">
        <f t="shared" si="34"/>
        <v>0</v>
      </c>
      <c r="R359" s="3" t="str">
        <f>IF(S359&lt;&gt;"Churn",VLOOKUP(A359,[3]Export!$B$2:$O$417,8,0),"CHURN")</f>
        <v>NO RISK</v>
      </c>
      <c r="S359" s="3"/>
      <c r="T359" s="3"/>
      <c r="U359" s="3" t="s">
        <v>551</v>
      </c>
      <c r="V359" s="4" t="str" cm="1">
        <f t="array" ref="V359">IFERROR(
    IF(
        MATCH(2,1/((Y359:BH359&lt;&gt;0)*(Y359:BH359&lt;&gt;"")))-MATCH(1,INDEX((Y359:BH359&lt;&gt;0)*(Y359:BH359&lt;&gt;""),0),0)+1 &lt;= 12,
        "No",
        "Yes"
    ),
    "No"
)</f>
        <v>No</v>
      </c>
      <c r="W359" s="4" t="str" cm="1">
        <f t="array" ref="W359">IFERROR(
    IF(
        MATCH(2,1/((Y359:BH359&lt;&gt;0)*(Y359:BH359&lt;&gt;"")))-MATCH(1,INDEX((Y359:BH359&lt;&gt;0)*(Y359:BH359&lt;&gt;""),0),0)+1 &lt;= 24,
        "No",
        "Yes"
    ),
    "No"
)</f>
        <v>No</v>
      </c>
      <c r="X359" s="3"/>
      <c r="Y359" s="4">
        <v>0</v>
      </c>
      <c r="Z359" s="4">
        <v>0</v>
      </c>
      <c r="AA359" s="4">
        <v>0</v>
      </c>
      <c r="AB359" s="4">
        <v>0</v>
      </c>
      <c r="AC359" s="4">
        <v>0</v>
      </c>
      <c r="AD359" s="4">
        <v>0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4">
        <v>0</v>
      </c>
      <c r="AQ359" s="4">
        <v>0</v>
      </c>
      <c r="AR359" s="4">
        <v>0</v>
      </c>
      <c r="AS359" s="4">
        <v>0</v>
      </c>
      <c r="AT359" s="4">
        <v>0</v>
      </c>
      <c r="AU359" s="4">
        <v>0</v>
      </c>
      <c r="AV359" s="4">
        <v>0</v>
      </c>
      <c r="AW359" s="4">
        <v>91.712051725597547</v>
      </c>
      <c r="AX359" s="4">
        <v>90.095334087361991</v>
      </c>
      <c r="AY359" s="4">
        <v>87.847571676861492</v>
      </c>
      <c r="AZ359" s="4">
        <v>85.500889919576551</v>
      </c>
      <c r="BA359" s="4">
        <v>84.067522439561927</v>
      </c>
      <c r="BB359" s="4">
        <v>82.640214432287152</v>
      </c>
      <c r="BC359" s="4">
        <v>81.050614912315709</v>
      </c>
      <c r="BD359" s="4">
        <v>79.802384176046516</v>
      </c>
      <c r="BE359" s="4">
        <v>78.836422354613504</v>
      </c>
      <c r="BF359" s="4">
        <v>96.221858723794497</v>
      </c>
      <c r="BG359" s="4">
        <v>95.40416681290364</v>
      </c>
      <c r="BH359" s="4">
        <v>94.652898076981785</v>
      </c>
      <c r="BJ359" s="9"/>
    </row>
    <row r="360" spans="1:62" x14ac:dyDescent="0.25">
      <c r="A360" s="6" t="s">
        <v>496</v>
      </c>
      <c r="B360" s="6"/>
      <c r="C360" s="7" t="s">
        <v>526</v>
      </c>
      <c r="D360" s="3"/>
      <c r="E360" s="3">
        <f>VLOOKUP(A360,[2]Sheet1!$A$2:$E$627,5,0)</f>
        <v>42.917008613455145</v>
      </c>
      <c r="F360" s="3">
        <f>VLOOKUP(A360,[2]Sheet1!$A$2:$F$627,6,0)</f>
        <v>0</v>
      </c>
      <c r="G360" s="3">
        <f>VLOOKUP(A360,[2]Sheet1!$A$2:$G$627,7,0)</f>
        <v>0</v>
      </c>
      <c r="H360" s="4">
        <f t="shared" si="30"/>
        <v>42.917008613455145</v>
      </c>
      <c r="I360" s="11">
        <f t="shared" si="31"/>
        <v>-1</v>
      </c>
      <c r="J360" s="11">
        <f t="shared" si="32"/>
        <v>-1</v>
      </c>
      <c r="K360" s="11" t="e">
        <f t="shared" si="33"/>
        <v>#DIV/0!</v>
      </c>
      <c r="L360" s="11">
        <f>IF(S360="",((BG360-E360)/E360),((U360-E360)/E360))</f>
        <v>-5.1307580748072404E-6</v>
      </c>
      <c r="M360" s="3" t="str">
        <f>IF(S360="Churn","Churn",VLOOKUP(A360,'[1]Revenue_Engine_2025 Dec.25'!$C$14:$E$3993,3,0))</f>
        <v>Bayi</v>
      </c>
      <c r="N360" s="3">
        <f>IF(S360="",VLOOKUP(A360,[3]Export!$B$2:$F$417,5,0),"CHURN")</f>
        <v>0.25877459030100924</v>
      </c>
      <c r="O360" s="3">
        <f>(1-N360)*H360</f>
        <v>31.811177292563407</v>
      </c>
      <c r="P360" s="3">
        <f t="shared" si="35"/>
        <v>0</v>
      </c>
      <c r="Q360" s="3">
        <f t="shared" si="34"/>
        <v>0</v>
      </c>
      <c r="R360" s="3" t="str">
        <f>IF(S360&lt;&gt;"Churn",VLOOKUP(A360,[3]Export!$B$2:$O$417,8,0),"CHURN")</f>
        <v>NO RISK</v>
      </c>
      <c r="S360" s="3"/>
      <c r="T360" s="3"/>
      <c r="U360" s="3" t="s">
        <v>551</v>
      </c>
      <c r="V360" s="4" t="str" cm="1">
        <f t="array" ref="V360">IFERROR(
    IF(
        MATCH(2,1/((Y360:BH360&lt;&gt;0)*(Y360:BH360&lt;&gt;"")))-MATCH(1,INDEX((Y360:BH360&lt;&gt;0)*(Y360:BH360&lt;&gt;""),0),0)+1 &lt;= 12,
        "No",
        "Yes"
    ),
    "No"
)</f>
        <v>No</v>
      </c>
      <c r="W360" s="4" t="str" cm="1">
        <f t="array" ref="W360">IFERROR(
    IF(
        MATCH(2,1/((Y360:BH360&lt;&gt;0)*(Y360:BH360&lt;&gt;"")))-MATCH(1,INDEX((Y360:BH360&lt;&gt;0)*(Y360:BH360&lt;&gt;""),0),0)+1 &lt;= 24,
        "No",
        "Yes"
    ),
    "No"
)</f>
        <v>No</v>
      </c>
      <c r="X360" s="3"/>
      <c r="Y360" s="4">
        <v>0</v>
      </c>
      <c r="Z360" s="4">
        <v>0</v>
      </c>
      <c r="AA360" s="4">
        <v>0</v>
      </c>
      <c r="AB360" s="4">
        <v>0</v>
      </c>
      <c r="AC360" s="4">
        <v>0</v>
      </c>
      <c r="AD360" s="4">
        <v>0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4">
        <v>0</v>
      </c>
      <c r="AQ360" s="4">
        <v>0</v>
      </c>
      <c r="AR360" s="4">
        <v>0</v>
      </c>
      <c r="AS360" s="4">
        <v>0</v>
      </c>
      <c r="AT360" s="4">
        <v>0</v>
      </c>
      <c r="AU360" s="4">
        <v>0</v>
      </c>
      <c r="AV360" s="4">
        <v>0</v>
      </c>
      <c r="AW360" s="4">
        <v>42.917008613455145</v>
      </c>
      <c r="AX360" s="4">
        <v>42.917008613455145</v>
      </c>
      <c r="AY360" s="4">
        <v>42.917008613455145</v>
      </c>
      <c r="AZ360" s="4">
        <v>42.917008613455145</v>
      </c>
      <c r="BA360" s="4">
        <v>42.917008613455145</v>
      </c>
      <c r="BB360" s="4">
        <v>42.917008613455145</v>
      </c>
      <c r="BC360" s="4">
        <v>42.917008613455145</v>
      </c>
      <c r="BD360" s="4">
        <v>42.917008613455145</v>
      </c>
      <c r="BE360" s="4">
        <v>42.917008613455145</v>
      </c>
      <c r="BF360" s="4">
        <v>42.917008613455145</v>
      </c>
      <c r="BG360" s="4">
        <v>42.916788416666655</v>
      </c>
      <c r="BH360" s="4">
        <v>42.916788416666655</v>
      </c>
      <c r="BJ360" s="9"/>
    </row>
    <row r="361" spans="1:62" x14ac:dyDescent="0.25">
      <c r="A361" s="6" t="s">
        <v>495</v>
      </c>
      <c r="B361" s="6"/>
      <c r="C361" s="7" t="s">
        <v>526</v>
      </c>
      <c r="D361" s="3"/>
      <c r="E361" s="3">
        <f>VLOOKUP(A361,[2]Sheet1!$A$2:$E$627,5,0)</f>
        <v>42.918033206024987</v>
      </c>
      <c r="F361" s="3">
        <f>VLOOKUP(A361,[2]Sheet1!$A$2:$F$627,6,0)</f>
        <v>0</v>
      </c>
      <c r="G361" s="3">
        <f>VLOOKUP(A361,[2]Sheet1!$A$2:$G$627,7,0)</f>
        <v>0</v>
      </c>
      <c r="H361" s="4">
        <f t="shared" si="30"/>
        <v>42.918033206024987</v>
      </c>
      <c r="I361" s="11">
        <f t="shared" si="31"/>
        <v>-1</v>
      </c>
      <c r="J361" s="11">
        <f t="shared" si="32"/>
        <v>-1</v>
      </c>
      <c r="K361" s="11" t="e">
        <f t="shared" si="33"/>
        <v>#DIV/0!</v>
      </c>
      <c r="L361" s="11">
        <f>IF(S361="",((BG361-E361)/E361),((U361-E361)/E361))</f>
        <v>-1.1639868198991529E-6</v>
      </c>
      <c r="M361" s="3" t="str">
        <f>IF(S361="Churn","Churn",VLOOKUP(A361,'[1]Revenue_Engine_2025 Dec.25'!$C$14:$E$3993,3,0))</f>
        <v>Diğer</v>
      </c>
      <c r="N361" s="3">
        <f>IF(S361="",VLOOKUP(A361,[3]Export!$B$2:$F$417,5,0),"CHURN")</f>
        <v>0.30234640473727109</v>
      </c>
      <c r="O361" s="3">
        <f>(1-N361)*H361</f>
        <v>29.941920167788517</v>
      </c>
      <c r="P361" s="3">
        <f t="shared" si="35"/>
        <v>0</v>
      </c>
      <c r="Q361" s="3">
        <f t="shared" si="34"/>
        <v>0</v>
      </c>
      <c r="R361" s="3" t="str">
        <f>IF(S361&lt;&gt;"Churn",VLOOKUP(A361,[3]Export!$B$2:$O$417,8,0),"CHURN")</f>
        <v>NO RISK</v>
      </c>
      <c r="S361" s="3"/>
      <c r="T361" s="3"/>
      <c r="U361" s="3" t="s">
        <v>551</v>
      </c>
      <c r="V361" s="4" t="str" cm="1">
        <f t="array" ref="V361">IFERROR(
    IF(
        MATCH(2,1/((Y361:BH361&lt;&gt;0)*(Y361:BH361&lt;&gt;"")))-MATCH(1,INDEX((Y361:BH361&lt;&gt;0)*(Y361:BH361&lt;&gt;""),0),0)+1 &lt;= 12,
        "No",
        "Yes"
    ),
    "No"
)</f>
        <v>No</v>
      </c>
      <c r="W361" s="4" t="str" cm="1">
        <f t="array" ref="W361">IFERROR(
    IF(
        MATCH(2,1/((Y361:BH361&lt;&gt;0)*(Y361:BH361&lt;&gt;"")))-MATCH(1,INDEX((Y361:BH361&lt;&gt;0)*(Y361:BH361&lt;&gt;""),0),0)+1 &lt;= 24,
        "No",
        "Yes"
    ),
    "No"
)</f>
        <v>No</v>
      </c>
      <c r="X361" s="3"/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4">
        <v>0</v>
      </c>
      <c r="AQ361" s="4">
        <v>0</v>
      </c>
      <c r="AR361" s="4">
        <v>0</v>
      </c>
      <c r="AS361" s="4">
        <v>0</v>
      </c>
      <c r="AT361" s="4">
        <v>0</v>
      </c>
      <c r="AU361" s="4">
        <v>0</v>
      </c>
      <c r="AV361" s="4">
        <v>0</v>
      </c>
      <c r="AW361" s="4">
        <v>42.918033206024987</v>
      </c>
      <c r="AX361" s="4">
        <v>42.918033206024987</v>
      </c>
      <c r="AY361" s="4">
        <v>42.918033206024987</v>
      </c>
      <c r="AZ361" s="4">
        <v>42.918033206024987</v>
      </c>
      <c r="BA361" s="4">
        <v>42.918033206024987</v>
      </c>
      <c r="BB361" s="4">
        <v>42.918033206024987</v>
      </c>
      <c r="BC361" s="4">
        <v>42.918033206024987</v>
      </c>
      <c r="BD361" s="4">
        <v>42.918033206024987</v>
      </c>
      <c r="BE361" s="4">
        <v>42.918033206024987</v>
      </c>
      <c r="BF361" s="4">
        <v>42.918033206024987</v>
      </c>
      <c r="BG361" s="4">
        <v>42.917983249999999</v>
      </c>
      <c r="BH361" s="4">
        <v>42.917983249999999</v>
      </c>
      <c r="BJ361" s="9"/>
    </row>
    <row r="362" spans="1:62" x14ac:dyDescent="0.25">
      <c r="A362" s="6" t="s">
        <v>497</v>
      </c>
      <c r="B362" s="6"/>
      <c r="C362" s="7" t="s">
        <v>526</v>
      </c>
      <c r="D362" s="3"/>
      <c r="E362" s="3">
        <f>VLOOKUP(A362,[2]Sheet1!$A$2:$E$627,5,0)</f>
        <v>42.914696193061324</v>
      </c>
      <c r="F362" s="3">
        <f>VLOOKUP(A362,[2]Sheet1!$A$2:$F$627,6,0)</f>
        <v>0</v>
      </c>
      <c r="G362" s="3">
        <f>VLOOKUP(A362,[2]Sheet1!$A$2:$G$627,7,0)</f>
        <v>0</v>
      </c>
      <c r="H362" s="4">
        <f t="shared" si="30"/>
        <v>42.916281249999997</v>
      </c>
      <c r="I362" s="11">
        <f t="shared" si="31"/>
        <v>-1</v>
      </c>
      <c r="J362" s="11">
        <f t="shared" si="32"/>
        <v>-1</v>
      </c>
      <c r="K362" s="11" t="e">
        <f t="shared" si="33"/>
        <v>#DIV/0!</v>
      </c>
      <c r="L362" s="11">
        <f>IF(S362="",((BG362-E362)/E362),((U362-E362)/E362))</f>
        <v>3.6935061395800253E-5</v>
      </c>
      <c r="M362" s="3" t="str">
        <f>IF(S362="Churn","Churn",VLOOKUP(A362,'[1]Revenue_Engine_2025 Dec.25'!$C$14:$E$3993,3,0))</f>
        <v>Diğer</v>
      </c>
      <c r="N362" s="3">
        <f>IF(S362="",VLOOKUP(A362,[3]Export!$B$2:$F$417,5,0),"CHURN")</f>
        <v>0.30215038676076034</v>
      </c>
      <c r="O362" s="3">
        <f>(1-N362)*H362</f>
        <v>29.949110271978931</v>
      </c>
      <c r="P362" s="3">
        <f t="shared" si="35"/>
        <v>0</v>
      </c>
      <c r="Q362" s="3">
        <f t="shared" si="34"/>
        <v>0</v>
      </c>
      <c r="R362" s="3" t="str">
        <f>IF(S362&lt;&gt;"Churn",VLOOKUP(A362,[3]Export!$B$2:$O$417,8,0),"CHURN")</f>
        <v>NO RISK</v>
      </c>
      <c r="S362" s="3"/>
      <c r="T362" s="3"/>
      <c r="U362" s="3" t="s">
        <v>551</v>
      </c>
      <c r="V362" s="4" t="str" cm="1">
        <f t="array" ref="V362">IFERROR(
    IF(
        MATCH(2,1/((Y362:BH362&lt;&gt;0)*(Y362:BH362&lt;&gt;"")))-MATCH(1,INDEX((Y362:BH362&lt;&gt;0)*(Y362:BH362&lt;&gt;""),0),0)+1 &lt;= 12,
        "No",
        "Yes"
    ),
    "No"
)</f>
        <v>No</v>
      </c>
      <c r="W362" s="4" t="str" cm="1">
        <f t="array" ref="W362">IFERROR(
    IF(
        MATCH(2,1/((Y362:BH362&lt;&gt;0)*(Y362:BH362&lt;&gt;"")))-MATCH(1,INDEX((Y362:BH362&lt;&gt;0)*(Y362:BH362&lt;&gt;""),0),0)+1 &lt;= 24,
        "No",
        "Yes"
    ),
    "No"
)</f>
        <v>No</v>
      </c>
      <c r="X362" s="3"/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D362" s="4">
        <v>0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4">
        <v>0</v>
      </c>
      <c r="AQ362" s="4">
        <v>0</v>
      </c>
      <c r="AR362" s="4">
        <v>0</v>
      </c>
      <c r="AS362" s="4">
        <v>0</v>
      </c>
      <c r="AT362" s="4">
        <v>0</v>
      </c>
      <c r="AU362" s="4">
        <v>0</v>
      </c>
      <c r="AV362" s="4">
        <v>0</v>
      </c>
      <c r="AW362" s="4">
        <v>42.914696193061324</v>
      </c>
      <c r="AX362" s="4">
        <v>42.914696193061324</v>
      </c>
      <c r="AY362" s="4">
        <v>42.914696193061324</v>
      </c>
      <c r="AZ362" s="4">
        <v>42.914696193061324</v>
      </c>
      <c r="BA362" s="4">
        <v>42.914696193061324</v>
      </c>
      <c r="BB362" s="4">
        <v>42.914696193061324</v>
      </c>
      <c r="BC362" s="4">
        <v>42.914696193061324</v>
      </c>
      <c r="BD362" s="4">
        <v>42.914696193061324</v>
      </c>
      <c r="BE362" s="4">
        <v>42.914696193061324</v>
      </c>
      <c r="BF362" s="4">
        <v>42.914696193061324</v>
      </c>
      <c r="BG362" s="4">
        <v>42.916281249999997</v>
      </c>
      <c r="BH362" s="4">
        <v>42.916281249999997</v>
      </c>
      <c r="BJ362" s="9"/>
    </row>
    <row r="363" spans="1:62" x14ac:dyDescent="0.25">
      <c r="A363" s="6" t="s">
        <v>505</v>
      </c>
      <c r="B363" s="6"/>
      <c r="C363" s="7" t="s">
        <v>526</v>
      </c>
      <c r="D363" s="3"/>
      <c r="E363" s="3">
        <f>VLOOKUP(A363,[2]Sheet1!$A$2:$E$627,5,0)</f>
        <v>129.000001</v>
      </c>
      <c r="F363" s="3">
        <f>VLOOKUP(A363,[2]Sheet1!$A$2:$F$627,6,0)</f>
        <v>0</v>
      </c>
      <c r="G363" s="3">
        <f>VLOOKUP(A363,[2]Sheet1!$A$2:$G$627,7,0)</f>
        <v>0</v>
      </c>
      <c r="H363" s="4">
        <f t="shared" si="30"/>
        <v>0</v>
      </c>
      <c r="I363" s="11">
        <f t="shared" si="31"/>
        <v>-1</v>
      </c>
      <c r="J363" s="11">
        <f t="shared" si="32"/>
        <v>-1</v>
      </c>
      <c r="K363" s="11" t="e">
        <f t="shared" si="33"/>
        <v>#DIV/0!</v>
      </c>
      <c r="L363" s="11">
        <f>IF(S363="",((BG363-E363)/E363),((U363-E363)/E363))</f>
        <v>0</v>
      </c>
      <c r="M363" s="3" t="str">
        <f>IF(S363="Churn","Churn",VLOOKUP(A363,'[1]Revenue_Engine_2025 Dec.25'!$C$14:$E$3993,3,0))</f>
        <v>Churn</v>
      </c>
      <c r="N363" s="3" t="str">
        <f>IF(S363="",VLOOKUP(A363,[3]Export!$B$2:$F$417,5,0),"CHURN")</f>
        <v>CHURN</v>
      </c>
      <c r="O363" s="3" t="e">
        <f>(1-N363)*H363</f>
        <v>#VALUE!</v>
      </c>
      <c r="P363" s="3" t="e">
        <f t="shared" si="35"/>
        <v>#VALUE!</v>
      </c>
      <c r="Q363" s="3" t="e">
        <f t="shared" si="34"/>
        <v>#VALUE!</v>
      </c>
      <c r="R363" s="3" t="str">
        <f>IF(S363&lt;&gt;"Churn",VLOOKUP(A363,[3]Export!$B$2:$O$417,8,0),"CHURN")</f>
        <v>CHURN</v>
      </c>
      <c r="S363" s="3" t="s">
        <v>372</v>
      </c>
      <c r="T363" s="3" t="s">
        <v>563</v>
      </c>
      <c r="U363" s="3">
        <v>129.000001</v>
      </c>
      <c r="V363" s="4" t="str" cm="1">
        <f t="array" ref="V363">IFERROR(
    IF(
        MATCH(2,1/((Y363:BH363&lt;&gt;0)*(Y363:BH363&lt;&gt;"")))-MATCH(1,INDEX((Y363:BH363&lt;&gt;0)*(Y363:BH363&lt;&gt;""),0),0)+1 &lt;= 12,
        "No",
        "Yes"
    ),
    "No"
)</f>
        <v>No</v>
      </c>
      <c r="W363" s="4" t="str" cm="1">
        <f t="array" ref="W363">IFERROR(
    IF(
        MATCH(2,1/((Y363:BH363&lt;&gt;0)*(Y363:BH363&lt;&gt;"")))-MATCH(1,INDEX((Y363:BH363&lt;&gt;0)*(Y363:BH363&lt;&gt;""),0),0)+1 &lt;= 24,
        "No",
        "Yes"
    ),
    "No"
)</f>
        <v>No</v>
      </c>
      <c r="X363" s="3"/>
      <c r="Y363" s="4">
        <v>0</v>
      </c>
      <c r="Z363" s="4">
        <v>0</v>
      </c>
      <c r="AA363" s="4">
        <v>0</v>
      </c>
      <c r="AB363" s="4">
        <v>0</v>
      </c>
      <c r="AC363" s="4">
        <v>0</v>
      </c>
      <c r="AD363" s="4">
        <v>0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4">
        <v>0</v>
      </c>
      <c r="AQ363" s="4">
        <v>0</v>
      </c>
      <c r="AR363" s="4">
        <v>0</v>
      </c>
      <c r="AS363" s="4">
        <v>0</v>
      </c>
      <c r="AT363" s="4">
        <v>0</v>
      </c>
      <c r="AU363" s="4">
        <v>0</v>
      </c>
      <c r="AV363" s="4">
        <v>0</v>
      </c>
      <c r="AW363" s="4">
        <v>129.000001</v>
      </c>
      <c r="AX363" s="4">
        <v>129.000001</v>
      </c>
      <c r="AY363" s="4">
        <v>129.000001</v>
      </c>
      <c r="AZ363" s="4">
        <v>129.000001</v>
      </c>
      <c r="BA363" s="4">
        <v>0</v>
      </c>
      <c r="BB363" s="4">
        <v>0</v>
      </c>
      <c r="BC363" s="4">
        <v>0</v>
      </c>
      <c r="BD363" s="4">
        <v>0</v>
      </c>
      <c r="BE363" s="4">
        <v>0</v>
      </c>
      <c r="BF363" s="4">
        <v>0</v>
      </c>
      <c r="BG363" s="4">
        <v>0</v>
      </c>
      <c r="BH363" s="4">
        <v>0</v>
      </c>
      <c r="BJ363" s="9"/>
    </row>
    <row r="364" spans="1:62" x14ac:dyDescent="0.25">
      <c r="A364" s="6" t="s">
        <v>419</v>
      </c>
      <c r="B364" s="6"/>
      <c r="C364" s="7" t="s">
        <v>526</v>
      </c>
      <c r="D364" s="3"/>
      <c r="E364" s="3">
        <f>VLOOKUP(A364,[2]Sheet1!$A$2:$E$627,5,0)</f>
        <v>380.9575294466236</v>
      </c>
      <c r="F364" s="3">
        <f>VLOOKUP(A364,[2]Sheet1!$A$2:$F$627,6,0)</f>
        <v>0</v>
      </c>
      <c r="G364" s="3">
        <f>VLOOKUP(A364,[2]Sheet1!$A$2:$G$627,7,0)</f>
        <v>0</v>
      </c>
      <c r="H364" s="4">
        <f t="shared" si="30"/>
        <v>334.80064062713444</v>
      </c>
      <c r="I364" s="11">
        <f t="shared" si="31"/>
        <v>-1</v>
      </c>
      <c r="J364" s="11">
        <f t="shared" si="32"/>
        <v>-1</v>
      </c>
      <c r="K364" s="11" t="e">
        <f t="shared" si="33"/>
        <v>#DIV/0!</v>
      </c>
      <c r="L364" s="11">
        <f>IF(S364="",((BG364-E364)/E364),((U364-E364)/E364))</f>
        <v>-0.13038646099399881</v>
      </c>
      <c r="M364" s="3" t="str">
        <f>IF(S364="Churn","Churn",VLOOKUP(A364,'[1]Revenue_Engine_2025 Dec.25'!$C$14:$E$3993,3,0))</f>
        <v>Bayi</v>
      </c>
      <c r="N364" s="3">
        <f>IF(S364="",VLOOKUP(A364,[3]Export!$B$2:$F$417,5,0),"CHURN")</f>
        <v>0.11435183943484897</v>
      </c>
      <c r="O364" s="3">
        <f>(1-N364)*H364</f>
        <v>296.51557152745579</v>
      </c>
      <c r="P364" s="3">
        <f t="shared" si="35"/>
        <v>0</v>
      </c>
      <c r="Q364" s="3">
        <f t="shared" si="34"/>
        <v>0</v>
      </c>
      <c r="R364" s="3" t="str">
        <f>IF(S364&lt;&gt;"Churn",VLOOKUP(A364,[3]Export!$B$2:$O$417,8,0),"CHURN")</f>
        <v>NO RISK</v>
      </c>
      <c r="S364" s="3"/>
      <c r="T364" s="3"/>
      <c r="U364" s="3" t="s">
        <v>551</v>
      </c>
      <c r="V364" s="4" t="str" cm="1">
        <f t="array" ref="V364">IFERROR(
    IF(
        MATCH(2,1/((Y364:BH364&lt;&gt;0)*(Y364:BH364&lt;&gt;"")))-MATCH(1,INDEX((Y364:BH364&lt;&gt;0)*(Y364:BH364&lt;&gt;""),0),0)+1 &lt;= 12,
        "No",
        "Yes"
    ),
    "No"
)</f>
        <v>No</v>
      </c>
      <c r="W364" s="4" t="str" cm="1">
        <f t="array" ref="W364">IFERROR(
    IF(
        MATCH(2,1/((Y364:BH364&lt;&gt;0)*(Y364:BH364&lt;&gt;"")))-MATCH(1,INDEX((Y364:BH364&lt;&gt;0)*(Y364:BH364&lt;&gt;""),0),0)+1 &lt;= 24,
        "No",
        "Yes"
    ),
    "No"
)</f>
        <v>No</v>
      </c>
      <c r="X364" s="3"/>
      <c r="Y364" s="4">
        <v>0</v>
      </c>
      <c r="Z364" s="4">
        <v>0</v>
      </c>
      <c r="AA364" s="4">
        <v>0</v>
      </c>
      <c r="AB364" s="4">
        <v>0</v>
      </c>
      <c r="AC364" s="4">
        <v>0</v>
      </c>
      <c r="AD364" s="4">
        <v>0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4">
        <v>0</v>
      </c>
      <c r="AQ364" s="4">
        <v>0</v>
      </c>
      <c r="AR364" s="4">
        <v>0</v>
      </c>
      <c r="AS364" s="4">
        <v>0</v>
      </c>
      <c r="AT364" s="4">
        <v>0</v>
      </c>
      <c r="AU364" s="4">
        <v>0</v>
      </c>
      <c r="AV364" s="4">
        <v>0</v>
      </c>
      <c r="AW364" s="4">
        <v>380.9575294466236</v>
      </c>
      <c r="AX364" s="4">
        <v>378.40018326777169</v>
      </c>
      <c r="AY364" s="4">
        <v>368.95958662986982</v>
      </c>
      <c r="AZ364" s="4">
        <v>359.1035289769095</v>
      </c>
      <c r="BA364" s="4">
        <v>353.08338905932322</v>
      </c>
      <c r="BB364" s="4">
        <v>347.08869891245473</v>
      </c>
      <c r="BC364" s="4">
        <v>348.3927531023682</v>
      </c>
      <c r="BD364" s="4">
        <v>343.02728433712457</v>
      </c>
      <c r="BE364" s="4">
        <v>338.87513695705957</v>
      </c>
      <c r="BF364" s="4">
        <v>334.80064062713444</v>
      </c>
      <c r="BG364" s="4">
        <v>331.28582539306126</v>
      </c>
      <c r="BH364" s="4">
        <v>328.05659882444382</v>
      </c>
      <c r="BJ364" s="9"/>
    </row>
    <row r="365" spans="1:62" x14ac:dyDescent="0.25">
      <c r="A365" s="6" t="s">
        <v>390</v>
      </c>
      <c r="B365" s="6"/>
      <c r="C365" s="7" t="s">
        <v>526</v>
      </c>
      <c r="D365" s="3"/>
      <c r="E365" s="3">
        <f>VLOOKUP(A365,[2]Sheet1!$A$2:$E$627,5,0)</f>
        <v>1353.138616</v>
      </c>
      <c r="F365" s="3">
        <f>VLOOKUP(A365,[2]Sheet1!$A$2:$F$627,6,0)</f>
        <v>0</v>
      </c>
      <c r="G365" s="3">
        <f>VLOOKUP(A365,[2]Sheet1!$A$2:$G$627,7,0)</f>
        <v>0</v>
      </c>
      <c r="H365" s="4">
        <f t="shared" si="30"/>
        <v>1353.138616</v>
      </c>
      <c r="I365" s="11">
        <f t="shared" si="31"/>
        <v>-1</v>
      </c>
      <c r="J365" s="11">
        <f t="shared" si="32"/>
        <v>-1</v>
      </c>
      <c r="K365" s="11" t="e">
        <f t="shared" si="33"/>
        <v>#DIV/0!</v>
      </c>
      <c r="L365" s="11">
        <f>IF(S365="",((BG365-E365)/E365),((U365-E365)/E365))</f>
        <v>0</v>
      </c>
      <c r="M365" s="3" t="str">
        <f>IF(S365="Churn","Churn",VLOOKUP(A365,'[1]Revenue_Engine_2025 Dec.25'!$C$14:$E$3993,3,0))</f>
        <v>Genel</v>
      </c>
      <c r="N365" s="3">
        <f>IF(S365="",VLOOKUP(A365,[3]Export!$B$2:$F$417,5,0),"CHURN")</f>
        <v>0.37974345120603664</v>
      </c>
      <c r="O365" s="3">
        <f>(1-N365)*H365</f>
        <v>839.2930879999999</v>
      </c>
      <c r="P365" s="3">
        <f t="shared" si="35"/>
        <v>0</v>
      </c>
      <c r="Q365" s="3">
        <f t="shared" si="34"/>
        <v>0</v>
      </c>
      <c r="R365" s="3" t="str">
        <f>IF(S365&lt;&gt;"Churn",VLOOKUP(A365,[3]Export!$B$2:$O$417,8,0),"CHURN")</f>
        <v>NO RISK</v>
      </c>
      <c r="S365" s="3"/>
      <c r="T365" s="3"/>
      <c r="U365" s="3" t="s">
        <v>551</v>
      </c>
      <c r="V365" s="4" t="str" cm="1">
        <f t="array" ref="V365">IFERROR(
    IF(
        MATCH(2,1/((Y365:BH365&lt;&gt;0)*(Y365:BH365&lt;&gt;"")))-MATCH(1,INDEX((Y365:BH365&lt;&gt;0)*(Y365:BH365&lt;&gt;""),0),0)+1 &lt;= 12,
        "No",
        "Yes"
    ),
    "No"
)</f>
        <v>No</v>
      </c>
      <c r="W365" s="4" t="str" cm="1">
        <f t="array" ref="W365">IFERROR(
    IF(
        MATCH(2,1/((Y365:BH365&lt;&gt;0)*(Y365:BH365&lt;&gt;"")))-MATCH(1,INDEX((Y365:BH365&lt;&gt;0)*(Y365:BH365&lt;&gt;""),0),0)+1 &lt;= 24,
        "No",
        "Yes"
    ),
    "No"
)</f>
        <v>No</v>
      </c>
      <c r="X365" s="3"/>
      <c r="Y365" s="4">
        <v>0</v>
      </c>
      <c r="Z365" s="4">
        <v>0</v>
      </c>
      <c r="AA365" s="4">
        <v>0</v>
      </c>
      <c r="AB365" s="4">
        <v>0</v>
      </c>
      <c r="AC365" s="4">
        <v>0</v>
      </c>
      <c r="AD365" s="4">
        <v>0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4">
        <v>0</v>
      </c>
      <c r="AQ365" s="4">
        <v>0</v>
      </c>
      <c r="AR365" s="4">
        <v>0</v>
      </c>
      <c r="AS365" s="4">
        <v>0</v>
      </c>
      <c r="AT365" s="4">
        <v>0</v>
      </c>
      <c r="AU365" s="4">
        <v>0</v>
      </c>
      <c r="AV365" s="4">
        <v>0</v>
      </c>
      <c r="AW365" s="4">
        <v>1349.970016</v>
      </c>
      <c r="AX365" s="4">
        <v>1353.138616</v>
      </c>
      <c r="AY365" s="4">
        <v>1353.138616</v>
      </c>
      <c r="AZ365" s="4">
        <v>1353.138616</v>
      </c>
      <c r="BA365" s="4">
        <v>1353.138616</v>
      </c>
      <c r="BB365" s="4">
        <v>1353.138616</v>
      </c>
      <c r="BC365" s="4">
        <v>1353.138616</v>
      </c>
      <c r="BD365" s="4">
        <v>1353.138616</v>
      </c>
      <c r="BE365" s="4">
        <v>1353.138616</v>
      </c>
      <c r="BF365" s="4">
        <v>1353.138616</v>
      </c>
      <c r="BG365" s="4">
        <v>1353.138616</v>
      </c>
      <c r="BH365" s="4">
        <v>1353.138616</v>
      </c>
      <c r="BJ365" s="9"/>
    </row>
    <row r="366" spans="1:62" x14ac:dyDescent="0.25">
      <c r="A366" s="6" t="s">
        <v>476</v>
      </c>
      <c r="B366" s="6"/>
      <c r="C366" s="7" t="s">
        <v>526</v>
      </c>
      <c r="D366" s="3"/>
      <c r="E366" s="3">
        <f>VLOOKUP(A366,[2]Sheet1!$A$2:$E$627,5,0)</f>
        <v>117.5607390016085</v>
      </c>
      <c r="F366" s="3">
        <f>VLOOKUP(A366,[2]Sheet1!$A$2:$F$627,6,0)</f>
        <v>0</v>
      </c>
      <c r="G366" s="3">
        <f>VLOOKUP(A366,[2]Sheet1!$A$2:$G$627,7,0)</f>
        <v>0</v>
      </c>
      <c r="H366" s="4">
        <f t="shared" si="30"/>
        <v>99.841105202234559</v>
      </c>
      <c r="I366" s="11">
        <f t="shared" si="31"/>
        <v>-1</v>
      </c>
      <c r="J366" s="11">
        <f t="shared" si="32"/>
        <v>-1</v>
      </c>
      <c r="K366" s="11" t="e">
        <f t="shared" si="33"/>
        <v>#DIV/0!</v>
      </c>
      <c r="L366" s="11">
        <f>IF(S366="",((BG366-E366)/E366),((U366-E366)/E366))</f>
        <v>-0.1298593513662169</v>
      </c>
      <c r="M366" s="3" t="str">
        <f>IF(S366="Churn","Churn",VLOOKUP(A366,'[1]Revenue_Engine_2025 Dec.25'!$C$14:$E$3993,3,0))</f>
        <v>Churn</v>
      </c>
      <c r="N366" s="3" t="str">
        <f>IF(S366="",VLOOKUP(A366,[3]Export!$B$2:$F$417,5,0),"CHURN")</f>
        <v>CHURN</v>
      </c>
      <c r="O366" s="3" t="e">
        <f>(1-N366)*H366</f>
        <v>#VALUE!</v>
      </c>
      <c r="P366" s="3" t="e">
        <f t="shared" si="35"/>
        <v>#VALUE!</v>
      </c>
      <c r="Q366" s="3" t="e">
        <f t="shared" si="34"/>
        <v>#VALUE!</v>
      </c>
      <c r="R366" s="3" t="str">
        <f>IF(S366&lt;&gt;"Churn",VLOOKUP(A366,[3]Export!$B$2:$O$417,8,0),"CHURN")</f>
        <v>CHURN</v>
      </c>
      <c r="S366" s="3" t="s">
        <v>372</v>
      </c>
      <c r="T366" s="3" t="s">
        <v>563</v>
      </c>
      <c r="U366" s="3">
        <v>102.2943776887265</v>
      </c>
      <c r="V366" s="4" t="str" cm="1">
        <f t="array" ref="V366">IFERROR(
    IF(
        MATCH(2,1/((Y366:BH366&lt;&gt;0)*(Y366:BH366&lt;&gt;"")))-MATCH(1,INDEX((Y366:BH366&lt;&gt;0)*(Y366:BH366&lt;&gt;""),0),0)+1 &lt;= 12,
        "No",
        "Yes"
    ),
    "No"
)</f>
        <v>No</v>
      </c>
      <c r="W366" s="4" t="str" cm="1">
        <f t="array" ref="W366">IFERROR(
    IF(
        MATCH(2,1/((Y366:BH366&lt;&gt;0)*(Y366:BH366&lt;&gt;"")))-MATCH(1,INDEX((Y366:BH366&lt;&gt;0)*(Y366:BH366&lt;&gt;""),0),0)+1 &lt;= 24,
        "No",
        "Yes"
    ),
    "No"
)</f>
        <v>No</v>
      </c>
      <c r="X366" s="3"/>
      <c r="Y366" s="4">
        <v>0</v>
      </c>
      <c r="Z366" s="4">
        <v>0</v>
      </c>
      <c r="AA366" s="4">
        <v>0</v>
      </c>
      <c r="AB366" s="4">
        <v>0</v>
      </c>
      <c r="AC366" s="4">
        <v>0</v>
      </c>
      <c r="AD366" s="4">
        <v>0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4">
        <v>0</v>
      </c>
      <c r="AQ366" s="4">
        <v>0</v>
      </c>
      <c r="AR366" s="4">
        <v>0</v>
      </c>
      <c r="AS366" s="4">
        <v>0</v>
      </c>
      <c r="AT366" s="4">
        <v>0</v>
      </c>
      <c r="AU366" s="4">
        <v>0</v>
      </c>
      <c r="AV366" s="4">
        <v>0</v>
      </c>
      <c r="AW366" s="4">
        <v>117.5607390016085</v>
      </c>
      <c r="AX366" s="4">
        <v>115.48835574628045</v>
      </c>
      <c r="AY366" s="4">
        <v>112.60707018885876</v>
      </c>
      <c r="AZ366" s="4">
        <v>109.59898524912329</v>
      </c>
      <c r="BA366" s="4">
        <v>107.76162868539087</v>
      </c>
      <c r="BB366" s="4">
        <v>105.93203943336782</v>
      </c>
      <c r="BC366" s="4">
        <v>103.89441743311454</v>
      </c>
      <c r="BD366" s="4">
        <v>102.2943776887265</v>
      </c>
      <c r="BE366" s="4">
        <v>101.05616326174176</v>
      </c>
      <c r="BF366" s="4">
        <v>99.841105202234559</v>
      </c>
      <c r="BG366" s="4">
        <v>0</v>
      </c>
      <c r="BH366" s="4">
        <v>0</v>
      </c>
      <c r="BJ366" s="9"/>
    </row>
    <row r="367" spans="1:62" x14ac:dyDescent="0.25">
      <c r="A367" s="6" t="s">
        <v>441</v>
      </c>
      <c r="B367" s="6"/>
      <c r="C367" s="7" t="s">
        <v>526</v>
      </c>
      <c r="D367" s="3"/>
      <c r="E367" s="3">
        <f>VLOOKUP(A367,[2]Sheet1!$A$2:$E$627,5,0)</f>
        <v>180</v>
      </c>
      <c r="F367" s="3">
        <f>VLOOKUP(A367,[2]Sheet1!$A$2:$F$627,6,0)</f>
        <v>0</v>
      </c>
      <c r="G367" s="3">
        <f>VLOOKUP(A367,[2]Sheet1!$A$2:$G$627,7,0)</f>
        <v>0</v>
      </c>
      <c r="H367" s="4">
        <f t="shared" si="30"/>
        <v>180</v>
      </c>
      <c r="I367" s="11">
        <f t="shared" si="31"/>
        <v>-1</v>
      </c>
      <c r="J367" s="11">
        <f t="shared" si="32"/>
        <v>-1</v>
      </c>
      <c r="K367" s="11" t="e">
        <f t="shared" si="33"/>
        <v>#DIV/0!</v>
      </c>
      <c r="L367" s="11">
        <f>IF(S367="",((BG367-E367)/E367),((U367-E367)/E367))</f>
        <v>0</v>
      </c>
      <c r="M367" s="3" t="str">
        <f>IF(S367="Churn","Churn",VLOOKUP(A367,'[1]Revenue_Engine_2025 Dec.25'!$C$14:$E$3993,3,0))</f>
        <v>Üretim</v>
      </c>
      <c r="N367" s="3">
        <f>IF(S367="",VLOOKUP(A367,[3]Export!$B$2:$F$417,5,0),"CHURN")</f>
        <v>0.15610070555555558</v>
      </c>
      <c r="O367" s="3">
        <f>(1-N367)*H367</f>
        <v>151.90187299999999</v>
      </c>
      <c r="P367" s="3">
        <f t="shared" si="35"/>
        <v>0</v>
      </c>
      <c r="Q367" s="3">
        <f t="shared" si="34"/>
        <v>0</v>
      </c>
      <c r="R367" s="3" t="str">
        <f>IF(S367&lt;&gt;"Churn",VLOOKUP(A367,[3]Export!$B$2:$O$417,8,0),"CHURN")</f>
        <v>NO RISK</v>
      </c>
      <c r="S367" s="3"/>
      <c r="T367" s="3"/>
      <c r="U367" s="3" t="s">
        <v>551</v>
      </c>
      <c r="V367" s="4" t="str" cm="1">
        <f t="array" ref="V367">IFERROR(
    IF(
        MATCH(2,1/((Y367:BH367&lt;&gt;0)*(Y367:BH367&lt;&gt;"")))-MATCH(1,INDEX((Y367:BH367&lt;&gt;0)*(Y367:BH367&lt;&gt;""),0),0)+1 &lt;= 12,
        "No",
        "Yes"
    ),
    "No"
)</f>
        <v>No</v>
      </c>
      <c r="W367" s="4" t="str" cm="1">
        <f t="array" ref="W367">IFERROR(
    IF(
        MATCH(2,1/((Y367:BH367&lt;&gt;0)*(Y367:BH367&lt;&gt;"")))-MATCH(1,INDEX((Y367:BH367&lt;&gt;0)*(Y367:BH367&lt;&gt;""),0),0)+1 &lt;= 24,
        "No",
        "Yes"
    ),
    "No"
)</f>
        <v>No</v>
      </c>
      <c r="X367" s="3"/>
      <c r="Y367" s="4">
        <v>0</v>
      </c>
      <c r="Z367" s="4">
        <v>0</v>
      </c>
      <c r="AA367" s="4">
        <v>0</v>
      </c>
      <c r="AB367" s="4">
        <v>0</v>
      </c>
      <c r="AC367" s="4">
        <v>0</v>
      </c>
      <c r="AD367" s="4">
        <v>0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4">
        <v>0</v>
      </c>
      <c r="AQ367" s="4">
        <v>0</v>
      </c>
      <c r="AR367" s="4">
        <v>0</v>
      </c>
      <c r="AS367" s="4">
        <v>0</v>
      </c>
      <c r="AT367" s="4">
        <v>0</v>
      </c>
      <c r="AU367" s="4">
        <v>0</v>
      </c>
      <c r="AV367" s="4">
        <v>0</v>
      </c>
      <c r="AW367" s="4">
        <v>180</v>
      </c>
      <c r="AX367" s="4">
        <v>180</v>
      </c>
      <c r="AY367" s="4">
        <v>180</v>
      </c>
      <c r="AZ367" s="4">
        <v>179.99999999999994</v>
      </c>
      <c r="BA367" s="4">
        <v>180</v>
      </c>
      <c r="BB367" s="4">
        <v>180</v>
      </c>
      <c r="BC367" s="4">
        <v>180</v>
      </c>
      <c r="BD367" s="4">
        <v>180</v>
      </c>
      <c r="BE367" s="4">
        <v>180</v>
      </c>
      <c r="BF367" s="4">
        <v>180</v>
      </c>
      <c r="BG367" s="4">
        <v>180</v>
      </c>
      <c r="BH367" s="4">
        <v>180</v>
      </c>
      <c r="BJ367" s="9"/>
    </row>
    <row r="368" spans="1:62" x14ac:dyDescent="0.25">
      <c r="A368" s="6" t="s">
        <v>415</v>
      </c>
      <c r="B368" s="6"/>
      <c r="C368" s="7" t="s">
        <v>526</v>
      </c>
      <c r="D368" s="3"/>
      <c r="E368" s="3">
        <f>VLOOKUP(A368,[2]Sheet1!$A$2:$E$627,5,0)</f>
        <v>397.01630900000004</v>
      </c>
      <c r="F368" s="3">
        <f>VLOOKUP(A368,[2]Sheet1!$A$2:$F$627,6,0)</f>
        <v>0</v>
      </c>
      <c r="G368" s="3">
        <f>VLOOKUP(A368,[2]Sheet1!$A$2:$G$627,7,0)</f>
        <v>0</v>
      </c>
      <c r="H368" s="4">
        <f t="shared" si="30"/>
        <v>397.01630900000004</v>
      </c>
      <c r="I368" s="11">
        <f t="shared" si="31"/>
        <v>-1</v>
      </c>
      <c r="J368" s="11">
        <f t="shared" si="32"/>
        <v>-1</v>
      </c>
      <c r="K368" s="11" t="e">
        <f t="shared" si="33"/>
        <v>#DIV/0!</v>
      </c>
      <c r="L368" s="11">
        <f>IF(S368="",((BG368-E368)/E368),((U368-E368)/E368))</f>
        <v>0</v>
      </c>
      <c r="M368" s="3" t="str">
        <f>IF(S368="Churn","Churn",VLOOKUP(A368,'[1]Revenue_Engine_2025 Dec.25'!$C$14:$E$3993,3,0))</f>
        <v>Genel</v>
      </c>
      <c r="N368" s="3">
        <f>IF(S368="",VLOOKUP(A368,[3]Export!$B$2:$F$417,5,0),"CHURN")</f>
        <v>0.25274305293085575</v>
      </c>
      <c r="O368" s="3">
        <f>(1-N368)*H368</f>
        <v>296.67319500000002</v>
      </c>
      <c r="P368" s="3">
        <f t="shared" si="35"/>
        <v>0</v>
      </c>
      <c r="Q368" s="3">
        <f t="shared" si="34"/>
        <v>0</v>
      </c>
      <c r="R368" s="3" t="str">
        <f>IF(S368&lt;&gt;"Churn",VLOOKUP(A368,[3]Export!$B$2:$O$417,8,0),"CHURN")</f>
        <v>NO RISK</v>
      </c>
      <c r="S368" s="3"/>
      <c r="T368" s="3"/>
      <c r="U368" s="3" t="s">
        <v>551</v>
      </c>
      <c r="V368" s="4" t="str" cm="1">
        <f t="array" ref="V368">IFERROR(
    IF(
        MATCH(2,1/((Y368:BH368&lt;&gt;0)*(Y368:BH368&lt;&gt;"")))-MATCH(1,INDEX((Y368:BH368&lt;&gt;0)*(Y368:BH368&lt;&gt;""),0),0)+1 &lt;= 12,
        "No",
        "Yes"
    ),
    "No"
)</f>
        <v>No</v>
      </c>
      <c r="W368" s="4" t="str" cm="1">
        <f t="array" ref="W368">IFERROR(
    IF(
        MATCH(2,1/((Y368:BH368&lt;&gt;0)*(Y368:BH368&lt;&gt;"")))-MATCH(1,INDEX((Y368:BH368&lt;&gt;0)*(Y368:BH368&lt;&gt;""),0),0)+1 &lt;= 24,
        "No",
        "Yes"
    ),
    "No"
)</f>
        <v>No</v>
      </c>
      <c r="X368" s="3"/>
      <c r="Y368" s="4">
        <v>0</v>
      </c>
      <c r="Z368" s="4">
        <v>0</v>
      </c>
      <c r="AA368" s="4">
        <v>0</v>
      </c>
      <c r="AB368" s="4">
        <v>0</v>
      </c>
      <c r="AC368" s="4">
        <v>0</v>
      </c>
      <c r="AD368" s="4">
        <v>0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4">
        <v>0</v>
      </c>
      <c r="AQ368" s="4">
        <v>0</v>
      </c>
      <c r="AR368" s="4">
        <v>0</v>
      </c>
      <c r="AS368" s="4">
        <v>0</v>
      </c>
      <c r="AT368" s="4">
        <v>0</v>
      </c>
      <c r="AU368" s="4">
        <v>0</v>
      </c>
      <c r="AV368" s="4">
        <v>0</v>
      </c>
      <c r="AW368" s="4">
        <v>397.01630900000004</v>
      </c>
      <c r="AX368" s="4">
        <v>397.01630900000004</v>
      </c>
      <c r="AY368" s="4">
        <v>397.01630900000004</v>
      </c>
      <c r="AZ368" s="4">
        <v>397.01630900000009</v>
      </c>
      <c r="BA368" s="4">
        <v>397.01630900000004</v>
      </c>
      <c r="BB368" s="4">
        <v>397.01630900000004</v>
      </c>
      <c r="BC368" s="4">
        <v>397.01630900000004</v>
      </c>
      <c r="BD368" s="4">
        <v>397.01630900000004</v>
      </c>
      <c r="BE368" s="4">
        <v>397.01630900000004</v>
      </c>
      <c r="BF368" s="4">
        <v>397.01630900000004</v>
      </c>
      <c r="BG368" s="4">
        <v>397.01630900000004</v>
      </c>
      <c r="BH368" s="4">
        <v>397.01630900000004</v>
      </c>
      <c r="BJ368" s="9"/>
    </row>
    <row r="369" spans="1:62" x14ac:dyDescent="0.25">
      <c r="A369" s="6" t="s">
        <v>444</v>
      </c>
      <c r="B369" s="6"/>
      <c r="C369" s="7" t="s">
        <v>526</v>
      </c>
      <c r="D369" s="3"/>
      <c r="E369" s="3">
        <f>VLOOKUP(A369,[2]Sheet1!$A$2:$E$627,5,0)</f>
        <v>197.53380983153201</v>
      </c>
      <c r="F369" s="3">
        <f>VLOOKUP(A369,[2]Sheet1!$A$2:$F$627,6,0)</f>
        <v>0</v>
      </c>
      <c r="G369" s="3">
        <f>VLOOKUP(A369,[2]Sheet1!$A$2:$G$627,7,0)</f>
        <v>0</v>
      </c>
      <c r="H369" s="4">
        <f t="shared" si="30"/>
        <v>167.76003669148713</v>
      </c>
      <c r="I369" s="11">
        <f t="shared" si="31"/>
        <v>-1</v>
      </c>
      <c r="J369" s="11">
        <f t="shared" si="32"/>
        <v>-1</v>
      </c>
      <c r="K369" s="11" t="e">
        <f t="shared" si="33"/>
        <v>#DIV/0!</v>
      </c>
      <c r="L369" s="11">
        <f>IF(S369="",((BG369-E369)/E369),((U369-E369)/E369))</f>
        <v>-0.1596433398942351</v>
      </c>
      <c r="M369" s="3" t="str">
        <f>IF(S369="Churn","Churn",VLOOKUP(A369,'[1]Revenue_Engine_2025 Dec.25'!$C$14:$E$3993,3,0))</f>
        <v>Diğer</v>
      </c>
      <c r="N369" s="3">
        <f>IF(S369="",VLOOKUP(A369,[3]Export!$B$2:$F$417,5,0),"CHURN")</f>
        <v>0.28965286492007886</v>
      </c>
      <c r="O369" s="3">
        <f>(1-N369)*H369</f>
        <v>119.16786144470032</v>
      </c>
      <c r="P369" s="3">
        <f t="shared" si="35"/>
        <v>0</v>
      </c>
      <c r="Q369" s="3">
        <f t="shared" si="34"/>
        <v>0</v>
      </c>
      <c r="R369" s="3" t="str">
        <f>IF(S369&lt;&gt;"Churn",VLOOKUP(A369,[3]Export!$B$2:$O$417,8,0),"CHURN")</f>
        <v>NO RISK</v>
      </c>
      <c r="S369" s="3"/>
      <c r="T369" s="3"/>
      <c r="U369" s="3" t="s">
        <v>551</v>
      </c>
      <c r="V369" s="4" t="str" cm="1">
        <f t="array" ref="V369">IFERROR(
    IF(
        MATCH(2,1/((Y369:BH369&lt;&gt;0)*(Y369:BH369&lt;&gt;"")))-MATCH(1,INDEX((Y369:BH369&lt;&gt;0)*(Y369:BH369&lt;&gt;""),0),0)+1 &lt;= 12,
        "No",
        "Yes"
    ),
    "No"
)</f>
        <v>No</v>
      </c>
      <c r="W369" s="4" t="str" cm="1">
        <f t="array" ref="W369">IFERROR(
    IF(
        MATCH(2,1/((Y369:BH369&lt;&gt;0)*(Y369:BH369&lt;&gt;"")))-MATCH(1,INDEX((Y369:BH369&lt;&gt;0)*(Y369:BH369&lt;&gt;""),0),0)+1 &lt;= 24,
        "No",
        "Yes"
    ),
    "No"
)</f>
        <v>No</v>
      </c>
      <c r="X369" s="3"/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D369" s="4">
        <v>0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4">
        <v>0</v>
      </c>
      <c r="AQ369" s="4">
        <v>0</v>
      </c>
      <c r="AR369" s="4">
        <v>0</v>
      </c>
      <c r="AS369" s="4">
        <v>0</v>
      </c>
      <c r="AT369" s="4">
        <v>0</v>
      </c>
      <c r="AU369" s="4">
        <v>0</v>
      </c>
      <c r="AV369" s="4">
        <v>0</v>
      </c>
      <c r="AW369" s="4">
        <v>197.53380983153201</v>
      </c>
      <c r="AX369" s="4">
        <v>194.05164594473968</v>
      </c>
      <c r="AY369" s="4">
        <v>189.21030760165314</v>
      </c>
      <c r="AZ369" s="4">
        <v>184.15591203142225</v>
      </c>
      <c r="BA369" s="4">
        <v>181.06865649751418</v>
      </c>
      <c r="BB369" s="4">
        <v>177.99445214622995</v>
      </c>
      <c r="BC369" s="4">
        <v>174.57069656145882</v>
      </c>
      <c r="BD369" s="4">
        <v>171.88219741391163</v>
      </c>
      <c r="BE369" s="4">
        <v>169.80166257525843</v>
      </c>
      <c r="BF369" s="4">
        <v>167.76003669148713</v>
      </c>
      <c r="BG369" s="4">
        <v>165.99885268799355</v>
      </c>
      <c r="BH369" s="4">
        <v>164.38073410028625</v>
      </c>
      <c r="BJ369" s="9"/>
    </row>
    <row r="370" spans="1:62" x14ac:dyDescent="0.25">
      <c r="A370" s="6" t="s">
        <v>403</v>
      </c>
      <c r="B370" s="6"/>
      <c r="C370" s="7" t="s">
        <v>526</v>
      </c>
      <c r="D370" s="3"/>
      <c r="E370" s="3">
        <f>VLOOKUP(A370,[2]Sheet1!$A$2:$E$627,5,0)</f>
        <v>619.98871399999996</v>
      </c>
      <c r="F370" s="3">
        <f>VLOOKUP(A370,[2]Sheet1!$A$2:$F$627,6,0)</f>
        <v>0</v>
      </c>
      <c r="G370" s="3">
        <f>VLOOKUP(A370,[2]Sheet1!$A$2:$G$627,7,0)</f>
        <v>0</v>
      </c>
      <c r="H370" s="4">
        <f t="shared" si="30"/>
        <v>619.98871399999996</v>
      </c>
      <c r="I370" s="11">
        <f t="shared" si="31"/>
        <v>-1</v>
      </c>
      <c r="J370" s="11">
        <f t="shared" si="32"/>
        <v>-1</v>
      </c>
      <c r="K370" s="11" t="e">
        <f t="shared" si="33"/>
        <v>#DIV/0!</v>
      </c>
      <c r="L370" s="11">
        <f>IF(S370="",((BG370-E370)/E370),((U370-E370)/E370))</f>
        <v>0</v>
      </c>
      <c r="M370" s="3" t="str">
        <f>IF(S370="Churn","Churn",VLOOKUP(A370,'[1]Revenue_Engine_2025 Dec.25'!$C$14:$E$3993,3,0))</f>
        <v>Teknoloji</v>
      </c>
      <c r="N370" s="3">
        <f>IF(S370="",VLOOKUP(A370,[3]Export!$B$2:$F$417,5,0),"CHURN")</f>
        <v>0.24873792783266704</v>
      </c>
      <c r="O370" s="3">
        <f>(1-N370)*H370</f>
        <v>465.77400599999993</v>
      </c>
      <c r="P370" s="3">
        <f t="shared" si="35"/>
        <v>0</v>
      </c>
      <c r="Q370" s="3">
        <f t="shared" si="34"/>
        <v>0</v>
      </c>
      <c r="R370" s="3" t="str">
        <f>IF(S370&lt;&gt;"Churn",VLOOKUP(A370,[3]Export!$B$2:$O$417,8,0),"CHURN")</f>
        <v>NO RISK</v>
      </c>
      <c r="S370" s="3"/>
      <c r="T370" s="3"/>
      <c r="U370" s="3" t="s">
        <v>551</v>
      </c>
      <c r="V370" s="4" t="str" cm="1">
        <f t="array" ref="V370">IFERROR(
    IF(
        MATCH(2,1/((Y370:BH370&lt;&gt;0)*(Y370:BH370&lt;&gt;"")))-MATCH(1,INDEX((Y370:BH370&lt;&gt;0)*(Y370:BH370&lt;&gt;""),0),0)+1 &lt;= 12,
        "No",
        "Yes"
    ),
    "No"
)</f>
        <v>No</v>
      </c>
      <c r="W370" s="4" t="str" cm="1">
        <f t="array" ref="W370">IFERROR(
    IF(
        MATCH(2,1/((Y370:BH370&lt;&gt;0)*(Y370:BH370&lt;&gt;"")))-MATCH(1,INDEX((Y370:BH370&lt;&gt;0)*(Y370:BH370&lt;&gt;""),0),0)+1 &lt;= 24,
        "No",
        "Yes"
    ),
    "No"
)</f>
        <v>No</v>
      </c>
      <c r="X370" s="3"/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0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4">
        <v>0</v>
      </c>
      <c r="AQ370" s="4">
        <v>0</v>
      </c>
      <c r="AR370" s="4">
        <v>0</v>
      </c>
      <c r="AS370" s="4">
        <v>0</v>
      </c>
      <c r="AT370" s="4">
        <v>0</v>
      </c>
      <c r="AU370" s="4">
        <v>0</v>
      </c>
      <c r="AV370" s="4">
        <v>0</v>
      </c>
      <c r="AW370" s="4">
        <v>599.98871399999996</v>
      </c>
      <c r="AX370" s="4">
        <v>619.98871399999996</v>
      </c>
      <c r="AY370" s="4">
        <v>619.98871399999996</v>
      </c>
      <c r="AZ370" s="4">
        <v>619.98871399999996</v>
      </c>
      <c r="BA370" s="4">
        <v>619.98871399999996</v>
      </c>
      <c r="BB370" s="4">
        <v>619.98871399999996</v>
      </c>
      <c r="BC370" s="4">
        <v>619.98871399999996</v>
      </c>
      <c r="BD370" s="4">
        <v>619.98871399999996</v>
      </c>
      <c r="BE370" s="4">
        <v>619.98871399999996</v>
      </c>
      <c r="BF370" s="4">
        <v>619.98871399999996</v>
      </c>
      <c r="BG370" s="4">
        <v>619.98871399999996</v>
      </c>
      <c r="BH370" s="4">
        <v>619.98871399999996</v>
      </c>
      <c r="BJ370" s="9"/>
    </row>
    <row r="371" spans="1:62" x14ac:dyDescent="0.25">
      <c r="A371" s="6" t="s">
        <v>398</v>
      </c>
      <c r="B371" s="6"/>
      <c r="C371" s="7" t="s">
        <v>526</v>
      </c>
      <c r="D371" s="3"/>
      <c r="E371" s="3">
        <f>VLOOKUP(A371,[2]Sheet1!$A$2:$E$627,5,0)</f>
        <v>775.00034000000016</v>
      </c>
      <c r="F371" s="3">
        <f>VLOOKUP(A371,[2]Sheet1!$A$2:$F$627,6,0)</f>
        <v>0</v>
      </c>
      <c r="G371" s="3">
        <f>VLOOKUP(A371,[2]Sheet1!$A$2:$G$627,7,0)</f>
        <v>0</v>
      </c>
      <c r="H371" s="4">
        <f t="shared" si="30"/>
        <v>840.00034000000016</v>
      </c>
      <c r="I371" s="11">
        <f t="shared" si="31"/>
        <v>-1</v>
      </c>
      <c r="J371" s="11">
        <f t="shared" si="32"/>
        <v>-1</v>
      </c>
      <c r="K371" s="11" t="e">
        <f t="shared" si="33"/>
        <v>#DIV/0!</v>
      </c>
      <c r="L371" s="11">
        <f>IF(S371="",((BG371-E371)/E371),((U371-E371)/E371))</f>
        <v>8.3870930946946406E-2</v>
      </c>
      <c r="M371" s="3" t="str">
        <f>IF(S371="Churn","Churn",VLOOKUP(A371,'[1]Revenue_Engine_2025 Dec.25'!$C$14:$E$3993,3,0))</f>
        <v>Üretim</v>
      </c>
      <c r="N371" s="3">
        <f>IF(S371="",VLOOKUP(A371,[3]Export!$B$2:$F$417,5,0),"CHURN")</f>
        <v>0.18907388418438018</v>
      </c>
      <c r="O371" s="3">
        <f>(1-N371)*H371</f>
        <v>681.17821300000014</v>
      </c>
      <c r="P371" s="3">
        <f t="shared" si="35"/>
        <v>0</v>
      </c>
      <c r="Q371" s="3">
        <f t="shared" si="34"/>
        <v>0</v>
      </c>
      <c r="R371" s="3" t="str">
        <f>IF(S371&lt;&gt;"Churn",VLOOKUP(A371,[3]Export!$B$2:$O$417,8,0),"CHURN")</f>
        <v>NO RISK</v>
      </c>
      <c r="S371" s="3"/>
      <c r="T371" s="3"/>
      <c r="U371" s="3" t="s">
        <v>551</v>
      </c>
      <c r="V371" s="4" t="str" cm="1">
        <f t="array" ref="V371">IFERROR(
    IF(
        MATCH(2,1/((Y371:BH371&lt;&gt;0)*(Y371:BH371&lt;&gt;"")))-MATCH(1,INDEX((Y371:BH371&lt;&gt;0)*(Y371:BH371&lt;&gt;""),0),0)+1 &lt;= 12,
        "No",
        "Yes"
    ),
    "No"
)</f>
        <v>No</v>
      </c>
      <c r="W371" s="4" t="str" cm="1">
        <f t="array" ref="W371">IFERROR(
    IF(
        MATCH(2,1/((Y371:BH371&lt;&gt;0)*(Y371:BH371&lt;&gt;"")))-MATCH(1,INDEX((Y371:BH371&lt;&gt;0)*(Y371:BH371&lt;&gt;""),0),0)+1 &lt;= 24,
        "No",
        "Yes"
    ),
    "No"
)</f>
        <v>No</v>
      </c>
      <c r="X371" s="3"/>
      <c r="Y371" s="4">
        <v>0</v>
      </c>
      <c r="Z371" s="4">
        <v>0</v>
      </c>
      <c r="AA371" s="4">
        <v>0</v>
      </c>
      <c r="AB371" s="4">
        <v>0</v>
      </c>
      <c r="AC371" s="4">
        <v>0</v>
      </c>
      <c r="AD371" s="4">
        <v>0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4">
        <v>0</v>
      </c>
      <c r="AQ371" s="4">
        <v>0</v>
      </c>
      <c r="AR371" s="4">
        <v>0</v>
      </c>
      <c r="AS371" s="4">
        <v>0</v>
      </c>
      <c r="AT371" s="4">
        <v>0</v>
      </c>
      <c r="AU371" s="4">
        <v>0</v>
      </c>
      <c r="AV371" s="4">
        <v>0</v>
      </c>
      <c r="AW371" s="4">
        <v>775.00034000000016</v>
      </c>
      <c r="AX371" s="4">
        <v>775.00034000000016</v>
      </c>
      <c r="AY371" s="4">
        <v>775.00034000000016</v>
      </c>
      <c r="AZ371" s="4">
        <v>775.00034000000005</v>
      </c>
      <c r="BA371" s="4">
        <v>775.00034000000016</v>
      </c>
      <c r="BB371" s="4">
        <v>775.00034000000016</v>
      </c>
      <c r="BC371" s="4">
        <v>775.00034000000016</v>
      </c>
      <c r="BD371" s="4">
        <v>775.00034000000016</v>
      </c>
      <c r="BE371" s="4">
        <v>775.00034000000016</v>
      </c>
      <c r="BF371" s="4">
        <v>775.00034000000016</v>
      </c>
      <c r="BG371" s="4">
        <v>840.00034000000016</v>
      </c>
      <c r="BH371" s="4">
        <v>840.00034000000016</v>
      </c>
      <c r="BJ371" s="9"/>
    </row>
    <row r="372" spans="1:62" x14ac:dyDescent="0.25">
      <c r="A372" s="6" t="s">
        <v>500</v>
      </c>
      <c r="B372" s="6"/>
      <c r="C372" s="7" t="s">
        <v>525</v>
      </c>
      <c r="D372" s="3"/>
      <c r="E372" s="3">
        <f>VLOOKUP(A372,[2]Sheet1!$A$2:$E$627,5,0)</f>
        <v>1800</v>
      </c>
      <c r="F372" s="3">
        <f>VLOOKUP(A372,[2]Sheet1!$A$2:$F$627,6,0)</f>
        <v>0</v>
      </c>
      <c r="G372" s="3">
        <f>VLOOKUP(A372,[2]Sheet1!$A$2:$G$627,7,0)</f>
        <v>0</v>
      </c>
      <c r="H372" s="4">
        <f t="shared" si="30"/>
        <v>0</v>
      </c>
      <c r="I372" s="11">
        <f t="shared" si="31"/>
        <v>-1</v>
      </c>
      <c r="J372" s="11">
        <f t="shared" si="32"/>
        <v>-1</v>
      </c>
      <c r="K372" s="11" t="e">
        <f t="shared" si="33"/>
        <v>#DIV/0!</v>
      </c>
      <c r="L372" s="11">
        <f>IF(S372="",((BG372-E372)/E372),((U372-E372)/E372))</f>
        <v>0</v>
      </c>
      <c r="M372" s="3" t="str">
        <f>IF(S372="Churn","Churn",VLOOKUP(A372,'[1]Revenue_Engine_2025 Dec.25'!$C$14:$E$3993,3,0))</f>
        <v>Churn</v>
      </c>
      <c r="N372" s="3" t="str">
        <f>IF(S372="",VLOOKUP(A372,[3]Export!$B$2:$F$417,5,0),"CHURN")</f>
        <v>CHURN</v>
      </c>
      <c r="O372" s="3" t="e">
        <f>(1-N372)*H372</f>
        <v>#VALUE!</v>
      </c>
      <c r="P372" s="3" t="e">
        <f t="shared" si="35"/>
        <v>#VALUE!</v>
      </c>
      <c r="Q372" s="3" t="e">
        <f t="shared" si="34"/>
        <v>#VALUE!</v>
      </c>
      <c r="R372" s="3" t="str">
        <f>IF(S372&lt;&gt;"Churn",VLOOKUP(A372,[3]Export!$B$2:$O$417,8,0),"CHURN")</f>
        <v>CHURN</v>
      </c>
      <c r="S372" s="3" t="s">
        <v>372</v>
      </c>
      <c r="T372" s="3" t="s">
        <v>563</v>
      </c>
      <c r="U372" s="3">
        <v>1800</v>
      </c>
      <c r="V372" s="4" t="str" cm="1">
        <f t="array" ref="V372">IFERROR(
    IF(
        MATCH(2,1/((Y372:BH372&lt;&gt;0)*(Y372:BH372&lt;&gt;"")))-MATCH(1,INDEX((Y372:BH372&lt;&gt;0)*(Y372:BH372&lt;&gt;""),0),0)+1 &lt;= 12,
        "No",
        "Yes"
    ),
    "No"
)</f>
        <v>No</v>
      </c>
      <c r="W372" s="4" t="str" cm="1">
        <f t="array" ref="W372">IFERROR(
    IF(
        MATCH(2,1/((Y372:BH372&lt;&gt;0)*(Y372:BH372&lt;&gt;"")))-MATCH(1,INDEX((Y372:BH372&lt;&gt;0)*(Y372:BH372&lt;&gt;""),0),0)+1 &lt;= 24,
        "No",
        "Yes"
    ),
    "No"
)</f>
        <v>No</v>
      </c>
      <c r="X372" s="3"/>
      <c r="Y372" s="4">
        <v>0</v>
      </c>
      <c r="Z372" s="4">
        <v>0</v>
      </c>
      <c r="AA372" s="4">
        <v>0</v>
      </c>
      <c r="AB372" s="4">
        <v>0</v>
      </c>
      <c r="AC372" s="4">
        <v>0</v>
      </c>
      <c r="AD372" s="4">
        <v>0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4">
        <v>0</v>
      </c>
      <c r="AQ372" s="4">
        <v>0</v>
      </c>
      <c r="AR372" s="4">
        <v>0</v>
      </c>
      <c r="AS372" s="4">
        <v>0</v>
      </c>
      <c r="AT372" s="4">
        <v>0</v>
      </c>
      <c r="AU372" s="4">
        <v>0</v>
      </c>
      <c r="AV372" s="4">
        <v>0</v>
      </c>
      <c r="AW372" s="4">
        <v>1800</v>
      </c>
      <c r="AX372" s="4">
        <v>1800</v>
      </c>
      <c r="AY372" s="4">
        <v>1800</v>
      </c>
      <c r="AZ372" s="4">
        <v>1800</v>
      </c>
      <c r="BA372" s="4">
        <v>1800</v>
      </c>
      <c r="BB372" s="4">
        <v>1800</v>
      </c>
      <c r="BC372" s="4">
        <v>1800</v>
      </c>
      <c r="BD372" s="4">
        <v>1800</v>
      </c>
      <c r="BE372" s="4">
        <v>0</v>
      </c>
      <c r="BF372" s="4">
        <v>0</v>
      </c>
      <c r="BG372" s="4">
        <v>0</v>
      </c>
      <c r="BH372" s="4">
        <v>0</v>
      </c>
      <c r="BJ372" s="9"/>
    </row>
    <row r="373" spans="1:62" x14ac:dyDescent="0.25">
      <c r="A373" s="6" t="s">
        <v>386</v>
      </c>
      <c r="B373" s="6"/>
      <c r="C373" s="7" t="s">
        <v>525</v>
      </c>
      <c r="D373" s="3"/>
      <c r="E373" s="3">
        <f>VLOOKUP(A373,[2]Sheet1!$A$2:$E$627,5,0)</f>
        <v>3062.5</v>
      </c>
      <c r="F373" s="3">
        <f>VLOOKUP(A373,[2]Sheet1!$A$2:$F$627,6,0)</f>
        <v>0</v>
      </c>
      <c r="G373" s="3">
        <f>VLOOKUP(A373,[2]Sheet1!$A$2:$G$627,7,0)</f>
        <v>0</v>
      </c>
      <c r="H373" s="4">
        <f t="shared" si="30"/>
        <v>2000</v>
      </c>
      <c r="I373" s="11">
        <f t="shared" si="31"/>
        <v>-1</v>
      </c>
      <c r="J373" s="11">
        <f t="shared" si="32"/>
        <v>-1</v>
      </c>
      <c r="K373" s="11" t="e">
        <f t="shared" si="33"/>
        <v>#DIV/0!</v>
      </c>
      <c r="L373" s="11">
        <f>IF(S373="",((BG373-E373)/E373),((U373-E373)/E373))</f>
        <v>-0.34693877551020408</v>
      </c>
      <c r="M373" s="3" t="str">
        <f>IF(S373="Churn","Churn",VLOOKUP(A373,'[1]Revenue_Engine_2025 Dec.25'!$C$14:$E$3993,3,0))</f>
        <v>Finans</v>
      </c>
      <c r="N373" s="3">
        <f>IF(S373="",VLOOKUP(A373,[3]Export!$B$2:$F$417,5,0),"CHURN")</f>
        <v>0</v>
      </c>
      <c r="O373" s="3">
        <f>(1-N373)*H373</f>
        <v>2000</v>
      </c>
      <c r="P373" s="3">
        <f t="shared" si="35"/>
        <v>0</v>
      </c>
      <c r="Q373" s="3">
        <f t="shared" si="34"/>
        <v>0</v>
      </c>
      <c r="R373" s="3" t="str">
        <f>IF(S373&lt;&gt;"Churn",VLOOKUP(A373,[3]Export!$B$2:$O$417,8,0),"CHURN")</f>
        <v>NO RISK</v>
      </c>
      <c r="S373" s="3"/>
      <c r="T373" s="3"/>
      <c r="U373" s="3" t="s">
        <v>551</v>
      </c>
      <c r="V373" s="4" t="str" cm="1">
        <f t="array" ref="V373">IFERROR(
    IF(
        MATCH(2,1/((Y373:BH373&lt;&gt;0)*(Y373:BH373&lt;&gt;"")))-MATCH(1,INDEX((Y373:BH373&lt;&gt;0)*(Y373:BH373&lt;&gt;""),0),0)+1 &lt;= 12,
        "No",
        "Yes"
    ),
    "No"
)</f>
        <v>No</v>
      </c>
      <c r="W373" s="4" t="str" cm="1">
        <f t="array" ref="W373">IFERROR(
    IF(
        MATCH(2,1/((Y373:BH373&lt;&gt;0)*(Y373:BH373&lt;&gt;"")))-MATCH(1,INDEX((Y373:BH373&lt;&gt;0)*(Y373:BH373&lt;&gt;""),0),0)+1 &lt;= 24,
        "No",
        "Yes"
    ),
    "No"
)</f>
        <v>No</v>
      </c>
      <c r="X373" s="3"/>
      <c r="Y373" s="4">
        <v>0</v>
      </c>
      <c r="Z373" s="4">
        <v>0</v>
      </c>
      <c r="AA373" s="4">
        <v>0</v>
      </c>
      <c r="AB373" s="4">
        <v>0</v>
      </c>
      <c r="AC373" s="4">
        <v>0</v>
      </c>
      <c r="AD373" s="4">
        <v>0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4">
        <v>0</v>
      </c>
      <c r="AQ373" s="4">
        <v>0</v>
      </c>
      <c r="AR373" s="4">
        <v>0</v>
      </c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2000</v>
      </c>
      <c r="AY373" s="4">
        <v>2000</v>
      </c>
      <c r="AZ373" s="4">
        <v>3062.5</v>
      </c>
      <c r="BA373" s="4">
        <v>3062.5</v>
      </c>
      <c r="BB373" s="4">
        <v>2000</v>
      </c>
      <c r="BC373" s="4">
        <v>2000</v>
      </c>
      <c r="BD373" s="4">
        <v>2000</v>
      </c>
      <c r="BE373" s="4">
        <v>2000</v>
      </c>
      <c r="BF373" s="4">
        <v>2000</v>
      </c>
      <c r="BG373" s="4">
        <v>2000</v>
      </c>
      <c r="BH373" s="4">
        <v>2000</v>
      </c>
      <c r="BJ373" s="9"/>
    </row>
    <row r="374" spans="1:62" x14ac:dyDescent="0.25">
      <c r="A374" s="6" t="s">
        <v>416</v>
      </c>
      <c r="B374" s="6"/>
      <c r="C374" s="7" t="s">
        <v>525</v>
      </c>
      <c r="D374" s="3"/>
      <c r="E374" s="3">
        <f>VLOOKUP(A374,[2]Sheet1!$A$2:$E$627,5,0)</f>
        <v>1049.8499999999999</v>
      </c>
      <c r="F374" s="3">
        <f>VLOOKUP(A374,[2]Sheet1!$A$2:$F$627,6,0)</f>
        <v>0</v>
      </c>
      <c r="G374" s="3">
        <f>VLOOKUP(A374,[2]Sheet1!$A$2:$G$627,7,0)</f>
        <v>0</v>
      </c>
      <c r="H374" s="4">
        <f t="shared" si="30"/>
        <v>1004.8499999999999</v>
      </c>
      <c r="I374" s="11">
        <f t="shared" si="31"/>
        <v>-1</v>
      </c>
      <c r="J374" s="11">
        <f t="shared" si="32"/>
        <v>-1</v>
      </c>
      <c r="K374" s="11" t="e">
        <f t="shared" si="33"/>
        <v>#DIV/0!</v>
      </c>
      <c r="L374" s="11">
        <f>IF(S374="",((BG374-E374)/E374),((U374-E374)/E374))</f>
        <v>-4.2863266180882986E-2</v>
      </c>
      <c r="M374" s="3" t="str">
        <f>IF(S374="Churn","Churn",VLOOKUP(A374,'[1]Revenue_Engine_2025 Dec.25'!$C$14:$E$3993,3,0))</f>
        <v>Perakende</v>
      </c>
      <c r="N374" s="3">
        <f>IF(S374="",VLOOKUP(A374,[3]Export!$B$2:$F$417,5,0),"CHURN")</f>
        <v>0</v>
      </c>
      <c r="O374" s="3">
        <f>(1-N374)*H374</f>
        <v>1004.8499999999999</v>
      </c>
      <c r="P374" s="3">
        <f t="shared" si="35"/>
        <v>0</v>
      </c>
      <c r="Q374" s="3">
        <f t="shared" si="34"/>
        <v>0</v>
      </c>
      <c r="R374" s="3" t="str">
        <f>IF(S374&lt;&gt;"Churn",VLOOKUP(A374,[3]Export!$B$2:$O$417,8,0),"CHURN")</f>
        <v>LOW RISK</v>
      </c>
      <c r="S374" s="3"/>
      <c r="T374" s="3"/>
      <c r="U374" s="3" t="s">
        <v>551</v>
      </c>
      <c r="V374" s="4" t="str" cm="1">
        <f t="array" ref="V374">IFERROR(
    IF(
        MATCH(2,1/((Y374:BH374&lt;&gt;0)*(Y374:BH374&lt;&gt;"")))-MATCH(1,INDEX((Y374:BH374&lt;&gt;0)*(Y374:BH374&lt;&gt;""),0),0)+1 &lt;= 12,
        "No",
        "Yes"
    ),
    "No"
)</f>
        <v>No</v>
      </c>
      <c r="W374" s="4" t="str" cm="1">
        <f t="array" ref="W374">IFERROR(
    IF(
        MATCH(2,1/((Y374:BH374&lt;&gt;0)*(Y374:BH374&lt;&gt;"")))-MATCH(1,INDEX((Y374:BH374&lt;&gt;0)*(Y374:BH374&lt;&gt;""),0),0)+1 &lt;= 24,
        "No",
        "Yes"
    ),
    "No"
)</f>
        <v>No</v>
      </c>
      <c r="X374" s="3"/>
      <c r="Y374" s="4">
        <v>0</v>
      </c>
      <c r="Z374" s="4">
        <v>0</v>
      </c>
      <c r="AA374" s="4">
        <v>0</v>
      </c>
      <c r="AB374" s="4">
        <v>0</v>
      </c>
      <c r="AC374" s="4">
        <v>0</v>
      </c>
      <c r="AD374" s="4">
        <v>0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v>0</v>
      </c>
      <c r="AT374" s="4">
        <v>0</v>
      </c>
      <c r="AU374" s="4">
        <v>0</v>
      </c>
      <c r="AV374" s="4">
        <v>0</v>
      </c>
      <c r="AW374" s="4">
        <v>0</v>
      </c>
      <c r="AX374" s="4">
        <v>1049.8499999999999</v>
      </c>
      <c r="AY374" s="4">
        <v>1049.8499999999999</v>
      </c>
      <c r="AZ374" s="4">
        <v>1049.8499999999999</v>
      </c>
      <c r="BA374" s="4">
        <v>374.84999999999997</v>
      </c>
      <c r="BB374" s="4">
        <v>374.84999999999997</v>
      </c>
      <c r="BC374" s="4">
        <v>1049.8499999999999</v>
      </c>
      <c r="BD374" s="4">
        <v>1049.8499999999999</v>
      </c>
      <c r="BE374" s="4">
        <v>674.84999999999991</v>
      </c>
      <c r="BF374" s="4">
        <v>1004.8499999999999</v>
      </c>
      <c r="BG374" s="4">
        <v>1004.8499999999999</v>
      </c>
      <c r="BH374" s="4">
        <v>1004.8499999999999</v>
      </c>
      <c r="BJ374" s="9"/>
    </row>
    <row r="375" spans="1:62" x14ac:dyDescent="0.25">
      <c r="A375" s="6" t="s">
        <v>413</v>
      </c>
      <c r="B375" s="6"/>
      <c r="C375" s="7" t="s">
        <v>526</v>
      </c>
      <c r="D375" s="3"/>
      <c r="E375" s="3">
        <f>VLOOKUP(A375,[2]Sheet1!$A$2:$E$627,5,0)</f>
        <v>400.00000100000005</v>
      </c>
      <c r="F375" s="3">
        <f>VLOOKUP(A375,[2]Sheet1!$A$2:$F$627,6,0)</f>
        <v>0</v>
      </c>
      <c r="G375" s="3">
        <f>VLOOKUP(A375,[2]Sheet1!$A$2:$G$627,7,0)</f>
        <v>0</v>
      </c>
      <c r="H375" s="4">
        <f t="shared" si="30"/>
        <v>415.000001</v>
      </c>
      <c r="I375" s="11">
        <f t="shared" si="31"/>
        <v>-1</v>
      </c>
      <c r="J375" s="11">
        <f t="shared" si="32"/>
        <v>-1</v>
      </c>
      <c r="K375" s="11" t="e">
        <f t="shared" si="33"/>
        <v>#DIV/0!</v>
      </c>
      <c r="L375" s="11">
        <f>IF(S375="",((BG375-E375)/E375),((U375-E375)/E375))</f>
        <v>3.7499999906249852E-2</v>
      </c>
      <c r="M375" s="3" t="str">
        <f>IF(S375="Churn","Churn",VLOOKUP(A375,'[1]Revenue_Engine_2025 Dec.25'!$C$14:$E$3993,3,0))</f>
        <v>Diğer</v>
      </c>
      <c r="N375" s="3">
        <f>IF(S375="",VLOOKUP(A375,[3]Export!$B$2:$F$417,5,0),"CHURN")</f>
        <v>0.27640545234601099</v>
      </c>
      <c r="O375" s="3">
        <f>(1-N375)*H375</f>
        <v>300.29173800000001</v>
      </c>
      <c r="P375" s="3">
        <f t="shared" si="35"/>
        <v>0</v>
      </c>
      <c r="Q375" s="3">
        <f t="shared" si="34"/>
        <v>0</v>
      </c>
      <c r="R375" s="3" t="str">
        <f>IF(S375&lt;&gt;"Churn",VLOOKUP(A375,[3]Export!$B$2:$O$417,8,0),"CHURN")</f>
        <v>NO RISK</v>
      </c>
      <c r="S375" s="3"/>
      <c r="T375" s="3"/>
      <c r="U375" s="3" t="s">
        <v>551</v>
      </c>
      <c r="V375" s="4" t="str" cm="1">
        <f t="array" ref="V375">IFERROR(
    IF(
        MATCH(2,1/((Y375:BH375&lt;&gt;0)*(Y375:BH375&lt;&gt;"")))-MATCH(1,INDEX((Y375:BH375&lt;&gt;0)*(Y375:BH375&lt;&gt;""),0),0)+1 &lt;= 12,
        "No",
        "Yes"
    ),
    "No"
)</f>
        <v>No</v>
      </c>
      <c r="W375" s="4" t="str" cm="1">
        <f t="array" ref="W375">IFERROR(
    IF(
        MATCH(2,1/((Y375:BH375&lt;&gt;0)*(Y375:BH375&lt;&gt;"")))-MATCH(1,INDEX((Y375:BH375&lt;&gt;0)*(Y375:BH375&lt;&gt;""),0),0)+1 &lt;= 24,
        "No",
        "Yes"
    ),
    "No"
)</f>
        <v>No</v>
      </c>
      <c r="X375" s="3"/>
      <c r="Y375" s="4">
        <v>0</v>
      </c>
      <c r="Z375" s="4">
        <v>0</v>
      </c>
      <c r="AA375" s="4">
        <v>0</v>
      </c>
      <c r="AB375" s="4">
        <v>0</v>
      </c>
      <c r="AC375" s="4">
        <v>0</v>
      </c>
      <c r="AD375" s="4">
        <v>0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4">
        <v>0</v>
      </c>
      <c r="AQ375" s="4">
        <v>0</v>
      </c>
      <c r="AR375" s="4">
        <v>0</v>
      </c>
      <c r="AS375" s="4">
        <v>0</v>
      </c>
      <c r="AT375" s="4">
        <v>0</v>
      </c>
      <c r="AU375" s="4">
        <v>0</v>
      </c>
      <c r="AV375" s="4">
        <v>0</v>
      </c>
      <c r="AW375" s="4">
        <v>0</v>
      </c>
      <c r="AX375" s="4">
        <v>400.000001</v>
      </c>
      <c r="AY375" s="4">
        <v>400.00000100000005</v>
      </c>
      <c r="AZ375" s="4">
        <v>400.00000100000005</v>
      </c>
      <c r="BA375" s="4">
        <v>400.000001</v>
      </c>
      <c r="BB375" s="4">
        <v>400.000001</v>
      </c>
      <c r="BC375" s="4">
        <v>400.000001</v>
      </c>
      <c r="BD375" s="4">
        <v>400.000001</v>
      </c>
      <c r="BE375" s="4">
        <v>400.000001</v>
      </c>
      <c r="BF375" s="4">
        <v>415.000001</v>
      </c>
      <c r="BG375" s="4">
        <v>415.000001</v>
      </c>
      <c r="BH375" s="4">
        <v>415.000001</v>
      </c>
      <c r="BJ375" s="9"/>
    </row>
    <row r="376" spans="1:62" x14ac:dyDescent="0.25">
      <c r="A376" s="6" t="s">
        <v>417</v>
      </c>
      <c r="B376" s="6"/>
      <c r="C376" s="7" t="s">
        <v>526</v>
      </c>
      <c r="D376" s="3"/>
      <c r="E376" s="3">
        <f>VLOOKUP(A376,[2]Sheet1!$A$2:$E$627,5,0)</f>
        <v>415.82445833298692</v>
      </c>
      <c r="F376" s="3">
        <f>VLOOKUP(A376,[2]Sheet1!$A$2:$F$627,6,0)</f>
        <v>0</v>
      </c>
      <c r="G376" s="3">
        <f>VLOOKUP(A376,[2]Sheet1!$A$2:$G$627,7,0)</f>
        <v>0</v>
      </c>
      <c r="H376" s="4">
        <f t="shared" si="30"/>
        <v>364.85850888007496</v>
      </c>
      <c r="I376" s="11">
        <f t="shared" si="31"/>
        <v>-1</v>
      </c>
      <c r="J376" s="11">
        <f t="shared" si="32"/>
        <v>-1</v>
      </c>
      <c r="K376" s="11" t="e">
        <f t="shared" si="33"/>
        <v>#DIV/0!</v>
      </c>
      <c r="L376" s="11">
        <f>IF(S376="",((BG376-E376)/E376),((U376-E376)/E376))</f>
        <v>-0.13354126260516544</v>
      </c>
      <c r="M376" s="3" t="str">
        <f>IF(S376="Churn","Churn",VLOOKUP(A376,'[1]Revenue_Engine_2025 Dec.25'!$C$14:$E$3993,3,0))</f>
        <v>Üretim</v>
      </c>
      <c r="N376" s="3">
        <f>IF(S376="",VLOOKUP(A376,[3]Export!$B$2:$F$417,5,0),"CHURN")</f>
        <v>0.22204596153584172</v>
      </c>
      <c r="O376" s="3">
        <f>(1-N376)*H376</f>
        <v>283.84315045126527</v>
      </c>
      <c r="P376" s="3">
        <f t="shared" si="35"/>
        <v>0</v>
      </c>
      <c r="Q376" s="3">
        <f t="shared" si="34"/>
        <v>0</v>
      </c>
      <c r="R376" s="3" t="str">
        <f>IF(S376&lt;&gt;"Churn",VLOOKUP(A376,[3]Export!$B$2:$O$417,8,0),"CHURN")</f>
        <v>NO RISK</v>
      </c>
      <c r="S376" s="3"/>
      <c r="T376" s="3"/>
      <c r="U376" s="3" t="s">
        <v>551</v>
      </c>
      <c r="V376" s="4" t="str" cm="1">
        <f t="array" ref="V376">IFERROR(
    IF(
        MATCH(2,1/((Y376:BH376&lt;&gt;0)*(Y376:BH376&lt;&gt;"")))-MATCH(1,INDEX((Y376:BH376&lt;&gt;0)*(Y376:BH376&lt;&gt;""),0),0)+1 &lt;= 12,
        "No",
        "Yes"
    ),
    "No"
)</f>
        <v>No</v>
      </c>
      <c r="W376" s="4" t="str" cm="1">
        <f t="array" ref="W376">IFERROR(
    IF(
        MATCH(2,1/((Y376:BH376&lt;&gt;0)*(Y376:BH376&lt;&gt;"")))-MATCH(1,INDEX((Y376:BH376&lt;&gt;0)*(Y376:BH376&lt;&gt;""),0),0)+1 &lt;= 24,
        "No",
        "Yes"
    ),
    "No"
)</f>
        <v>No</v>
      </c>
      <c r="X376" s="3"/>
      <c r="Y376" s="4">
        <v>0</v>
      </c>
      <c r="Z376" s="4">
        <v>0</v>
      </c>
      <c r="AA376" s="4">
        <v>0</v>
      </c>
      <c r="AB376" s="4">
        <v>0</v>
      </c>
      <c r="AC376" s="4">
        <v>0</v>
      </c>
      <c r="AD376" s="4">
        <v>0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4">
        <v>0</v>
      </c>
      <c r="AQ376" s="4">
        <v>0</v>
      </c>
      <c r="AR376" s="4">
        <v>0</v>
      </c>
      <c r="AS376" s="4">
        <v>0</v>
      </c>
      <c r="AT376" s="4">
        <v>0</v>
      </c>
      <c r="AU376" s="4">
        <v>0</v>
      </c>
      <c r="AV376" s="4">
        <v>0</v>
      </c>
      <c r="AW376" s="4">
        <v>0</v>
      </c>
      <c r="AX376" s="4">
        <v>415.82445833298692</v>
      </c>
      <c r="AY376" s="4">
        <v>410.03350762291683</v>
      </c>
      <c r="AZ376" s="4">
        <v>399.20267292445499</v>
      </c>
      <c r="BA376" s="4">
        <v>392.58713326297533</v>
      </c>
      <c r="BB376" s="4">
        <v>385.99956038795983</v>
      </c>
      <c r="BC376" s="4">
        <v>378.66295005120742</v>
      </c>
      <c r="BD376" s="4">
        <v>372.90188733867643</v>
      </c>
      <c r="BE376" s="4">
        <v>368.44360373013529</v>
      </c>
      <c r="BF376" s="4">
        <v>364.06869635377848</v>
      </c>
      <c r="BG376" s="4">
        <v>360.29473514509084</v>
      </c>
      <c r="BH376" s="4">
        <v>364.85850888007496</v>
      </c>
      <c r="BJ376" s="9"/>
    </row>
    <row r="377" spans="1:62" x14ac:dyDescent="0.25">
      <c r="A377" s="6" t="s">
        <v>430</v>
      </c>
      <c r="B377" s="6"/>
      <c r="C377" s="7" t="s">
        <v>526</v>
      </c>
      <c r="D377" s="3"/>
      <c r="E377" s="3">
        <f>VLOOKUP(A377,[2]Sheet1!$A$2:$E$627,5,0)</f>
        <v>250.01000099999999</v>
      </c>
      <c r="F377" s="3">
        <f>VLOOKUP(A377,[2]Sheet1!$A$2:$F$627,6,0)</f>
        <v>0</v>
      </c>
      <c r="G377" s="3">
        <f>VLOOKUP(A377,[2]Sheet1!$A$2:$G$627,7,0)</f>
        <v>0</v>
      </c>
      <c r="H377" s="4">
        <f t="shared" si="30"/>
        <v>250.01000099999999</v>
      </c>
      <c r="I377" s="11">
        <f t="shared" si="31"/>
        <v>-1</v>
      </c>
      <c r="J377" s="11">
        <f t="shared" si="32"/>
        <v>-1</v>
      </c>
      <c r="K377" s="11" t="e">
        <f t="shared" si="33"/>
        <v>#DIV/0!</v>
      </c>
      <c r="L377" s="11">
        <f>IF(S377="",((BG377-E377)/E377),((U377-E377)/E377))</f>
        <v>0</v>
      </c>
      <c r="M377" s="3" t="str">
        <f>IF(S377="Churn","Churn",VLOOKUP(A377,'[1]Revenue_Engine_2025 Dec.25'!$C$14:$E$3993,3,0))</f>
        <v>Finans</v>
      </c>
      <c r="N377" s="3">
        <f>IF(S377="",VLOOKUP(A377,[3]Export!$B$2:$F$417,5,0),"CHURN")</f>
        <v>0.16668004013167456</v>
      </c>
      <c r="O377" s="3">
        <f>(1-N377)*H377</f>
        <v>208.338324</v>
      </c>
      <c r="P377" s="3">
        <f t="shared" si="35"/>
        <v>0</v>
      </c>
      <c r="Q377" s="3">
        <f t="shared" si="34"/>
        <v>0</v>
      </c>
      <c r="R377" s="3" t="str">
        <f>IF(S377&lt;&gt;"Churn",VLOOKUP(A377,[3]Export!$B$2:$O$417,8,0),"CHURN")</f>
        <v>NO RISK</v>
      </c>
      <c r="S377" s="3"/>
      <c r="T377" s="3"/>
      <c r="U377" s="3" t="s">
        <v>551</v>
      </c>
      <c r="V377" s="4" t="str" cm="1">
        <f t="array" ref="V377">IFERROR(
    IF(
        MATCH(2,1/((Y377:BH377&lt;&gt;0)*(Y377:BH377&lt;&gt;"")))-MATCH(1,INDEX((Y377:BH377&lt;&gt;0)*(Y377:BH377&lt;&gt;""),0),0)+1 &lt;= 12,
        "No",
        "Yes"
    ),
    "No"
)</f>
        <v>No</v>
      </c>
      <c r="W377" s="4" t="str" cm="1">
        <f t="array" ref="W377">IFERROR(
    IF(
        MATCH(2,1/((Y377:BH377&lt;&gt;0)*(Y377:BH377&lt;&gt;"")))-MATCH(1,INDEX((Y377:BH377&lt;&gt;0)*(Y377:BH377&lt;&gt;""),0),0)+1 &lt;= 24,
        "No",
        "Yes"
    ),
    "No"
)</f>
        <v>No</v>
      </c>
      <c r="X377" s="3"/>
      <c r="Y377" s="4">
        <v>0</v>
      </c>
      <c r="Z377" s="4">
        <v>0</v>
      </c>
      <c r="AA377" s="4">
        <v>0</v>
      </c>
      <c r="AB377" s="4">
        <v>0</v>
      </c>
      <c r="AC377" s="4">
        <v>0</v>
      </c>
      <c r="AD377" s="4">
        <v>0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4">
        <v>0</v>
      </c>
      <c r="AQ377" s="4">
        <v>0</v>
      </c>
      <c r="AR377" s="4">
        <v>0</v>
      </c>
      <c r="AS377" s="4">
        <v>0</v>
      </c>
      <c r="AT377" s="4">
        <v>0</v>
      </c>
      <c r="AU377" s="4">
        <v>0</v>
      </c>
      <c r="AV377" s="4">
        <v>0</v>
      </c>
      <c r="AW377" s="4">
        <v>0</v>
      </c>
      <c r="AX377" s="4">
        <v>250.01000099999999</v>
      </c>
      <c r="AY377" s="4">
        <v>250.01000099999999</v>
      </c>
      <c r="AZ377" s="4">
        <v>250.01000099999999</v>
      </c>
      <c r="BA377" s="4">
        <v>250.01000099999999</v>
      </c>
      <c r="BB377" s="4">
        <v>250.01000099999999</v>
      </c>
      <c r="BC377" s="4">
        <v>250.01000099999999</v>
      </c>
      <c r="BD377" s="4">
        <v>250.01000099999999</v>
      </c>
      <c r="BE377" s="4">
        <v>250.01000099999999</v>
      </c>
      <c r="BF377" s="4">
        <v>250.01000099999999</v>
      </c>
      <c r="BG377" s="4">
        <v>250.01000099999999</v>
      </c>
      <c r="BH377" s="4">
        <v>250.01000099999999</v>
      </c>
      <c r="BJ377" s="9"/>
    </row>
    <row r="378" spans="1:62" x14ac:dyDescent="0.25">
      <c r="A378" s="6" t="s">
        <v>420</v>
      </c>
      <c r="B378" s="6"/>
      <c r="C378" s="7" t="s">
        <v>526</v>
      </c>
      <c r="D378" s="3"/>
      <c r="E378" s="3">
        <f>VLOOKUP(A378,[2]Sheet1!$A$2:$E$627,5,0)</f>
        <v>332.01773600000001</v>
      </c>
      <c r="F378" s="3">
        <f>VLOOKUP(A378,[2]Sheet1!$A$2:$F$627,6,0)</f>
        <v>0</v>
      </c>
      <c r="G378" s="3">
        <f>VLOOKUP(A378,[2]Sheet1!$A$2:$G$627,7,0)</f>
        <v>0</v>
      </c>
      <c r="H378" s="4">
        <f t="shared" si="30"/>
        <v>372.01773600000001</v>
      </c>
      <c r="I378" s="11">
        <f t="shared" si="31"/>
        <v>-1</v>
      </c>
      <c r="J378" s="11">
        <f t="shared" si="32"/>
        <v>-1</v>
      </c>
      <c r="K378" s="11" t="e">
        <f t="shared" si="33"/>
        <v>#DIV/0!</v>
      </c>
      <c r="L378" s="11">
        <f>IF(S378="",((BG378-E378)/E378),((U378-E378)/E378))</f>
        <v>0.12047549170686471</v>
      </c>
      <c r="M378" s="3" t="str">
        <f>IF(S378="Churn","Churn",VLOOKUP(A378,'[1]Revenue_Engine_2025 Dec.25'!$C$14:$E$3993,3,0))</f>
        <v>Genel</v>
      </c>
      <c r="N378" s="3">
        <f>IF(S378="",VLOOKUP(A378,[3]Export!$B$2:$F$417,5,0),"CHURN")</f>
        <v>0.25987911501079619</v>
      </c>
      <c r="O378" s="3">
        <f>(1-N378)*H378</f>
        <v>275.33809600000001</v>
      </c>
      <c r="P378" s="3">
        <f t="shared" si="35"/>
        <v>0</v>
      </c>
      <c r="Q378" s="3">
        <f t="shared" si="34"/>
        <v>0</v>
      </c>
      <c r="R378" s="3" t="str">
        <f>IF(S378&lt;&gt;"Churn",VLOOKUP(A378,[3]Export!$B$2:$O$417,8,0),"CHURN")</f>
        <v>NO RISK</v>
      </c>
      <c r="S378" s="3"/>
      <c r="T378" s="3"/>
      <c r="U378" s="3" t="s">
        <v>551</v>
      </c>
      <c r="V378" s="4" t="str" cm="1">
        <f t="array" ref="V378">IFERROR(
    IF(
        MATCH(2,1/((Y378:BH378&lt;&gt;0)*(Y378:BH378&lt;&gt;"")))-MATCH(1,INDEX((Y378:BH378&lt;&gt;0)*(Y378:BH378&lt;&gt;""),0),0)+1 &lt;= 12,
        "No",
        "Yes"
    ),
    "No"
)</f>
        <v>No</v>
      </c>
      <c r="W378" s="4" t="str" cm="1">
        <f t="array" ref="W378">IFERROR(
    IF(
        MATCH(2,1/((Y378:BH378&lt;&gt;0)*(Y378:BH378&lt;&gt;"")))-MATCH(1,INDEX((Y378:BH378&lt;&gt;0)*(Y378:BH378&lt;&gt;""),0),0)+1 &lt;= 24,
        "No",
        "Yes"
    ),
    "No"
)</f>
        <v>No</v>
      </c>
      <c r="X378" s="3"/>
      <c r="Y378" s="4">
        <v>0</v>
      </c>
      <c r="Z378" s="4">
        <v>0</v>
      </c>
      <c r="AA378" s="4">
        <v>0</v>
      </c>
      <c r="AB378" s="4">
        <v>0</v>
      </c>
      <c r="AC378" s="4">
        <v>0</v>
      </c>
      <c r="AD378" s="4">
        <v>0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4">
        <v>0</v>
      </c>
      <c r="AQ378" s="4">
        <v>0</v>
      </c>
      <c r="AR378" s="4">
        <v>0</v>
      </c>
      <c r="AS378" s="4">
        <v>0</v>
      </c>
      <c r="AT378" s="4">
        <v>0</v>
      </c>
      <c r="AU378" s="4">
        <v>0</v>
      </c>
      <c r="AV378" s="4">
        <v>0</v>
      </c>
      <c r="AW378" s="4">
        <v>0</v>
      </c>
      <c r="AX378" s="4">
        <v>332.01773600000001</v>
      </c>
      <c r="AY378" s="4">
        <v>332.01773600000001</v>
      </c>
      <c r="AZ378" s="4">
        <v>332.0177359999999</v>
      </c>
      <c r="BA378" s="4">
        <v>332.01773600000001</v>
      </c>
      <c r="BB378" s="4">
        <v>332.01773600000001</v>
      </c>
      <c r="BC378" s="4">
        <v>332.01773600000001</v>
      </c>
      <c r="BD378" s="4">
        <v>332.01773600000001</v>
      </c>
      <c r="BE378" s="4">
        <v>332.01773600000001</v>
      </c>
      <c r="BF378" s="4">
        <v>332.01773600000001</v>
      </c>
      <c r="BG378" s="4">
        <v>372.01773600000001</v>
      </c>
      <c r="BH378" s="4">
        <v>372.01773600000001</v>
      </c>
      <c r="BJ378" s="9"/>
    </row>
    <row r="379" spans="1:62" x14ac:dyDescent="0.25">
      <c r="A379" s="6" t="s">
        <v>387</v>
      </c>
      <c r="B379" s="6"/>
      <c r="C379" s="7" t="s">
        <v>526</v>
      </c>
      <c r="D379" s="3"/>
      <c r="E379" s="3">
        <f>VLOOKUP(A379,[2]Sheet1!$A$2:$E$627,5,0)</f>
        <v>1670.0111699999995</v>
      </c>
      <c r="F379" s="3">
        <f>VLOOKUP(A379,[2]Sheet1!$A$2:$F$627,6,0)</f>
        <v>0</v>
      </c>
      <c r="G379" s="3">
        <f>VLOOKUP(A379,[2]Sheet1!$A$2:$G$627,7,0)</f>
        <v>0</v>
      </c>
      <c r="H379" s="4">
        <f t="shared" si="30"/>
        <v>1670.01117</v>
      </c>
      <c r="I379" s="11">
        <f t="shared" si="31"/>
        <v>-1</v>
      </c>
      <c r="J379" s="11">
        <f t="shared" si="32"/>
        <v>-1</v>
      </c>
      <c r="K379" s="11" t="e">
        <f t="shared" si="33"/>
        <v>#DIV/0!</v>
      </c>
      <c r="L379" s="11">
        <f>IF(S379="",((BG379-E379)/E379),((U379-E379)/E379))</f>
        <v>2.7230198160079628E-16</v>
      </c>
      <c r="M379" s="3" t="str">
        <f>IF(S379="Churn","Churn",VLOOKUP(A379,'[1]Revenue_Engine_2025 Dec.25'!$C$14:$E$3993,3,0))</f>
        <v>Üretim</v>
      </c>
      <c r="N379" s="3">
        <f>IF(S379="",VLOOKUP(A379,[3]Export!$B$2:$F$417,5,0),"CHURN")</f>
        <v>0.31333512278244224</v>
      </c>
      <c r="O379" s="3">
        <f>(1-N379)*H379</f>
        <v>1146.7380149999999</v>
      </c>
      <c r="P379" s="3">
        <f t="shared" si="35"/>
        <v>0</v>
      </c>
      <c r="Q379" s="3">
        <f t="shared" si="34"/>
        <v>0</v>
      </c>
      <c r="R379" s="3" t="str">
        <f>IF(S379&lt;&gt;"Churn",VLOOKUP(A379,[3]Export!$B$2:$O$417,8,0),"CHURN")</f>
        <v>LOW RISK</v>
      </c>
      <c r="S379" s="3"/>
      <c r="T379" s="3"/>
      <c r="U379" s="3" t="s">
        <v>551</v>
      </c>
      <c r="V379" s="4" t="str" cm="1">
        <f t="array" ref="V379">IFERROR(
    IF(
        MATCH(2,1/((Y379:BH379&lt;&gt;0)*(Y379:BH379&lt;&gt;"")))-MATCH(1,INDEX((Y379:BH379&lt;&gt;0)*(Y379:BH379&lt;&gt;""),0),0)+1 &lt;= 12,
        "No",
        "Yes"
    ),
    "No"
)</f>
        <v>No</v>
      </c>
      <c r="W379" s="4" t="str" cm="1">
        <f t="array" ref="W379">IFERROR(
    IF(
        MATCH(2,1/((Y379:BH379&lt;&gt;0)*(Y379:BH379&lt;&gt;"")))-MATCH(1,INDEX((Y379:BH379&lt;&gt;0)*(Y379:BH379&lt;&gt;""),0),0)+1 &lt;= 24,
        "No",
        "Yes"
    ),
    "No"
)</f>
        <v>No</v>
      </c>
      <c r="X379" s="3"/>
      <c r="Y379" s="4">
        <v>0</v>
      </c>
      <c r="Z379" s="4">
        <v>0</v>
      </c>
      <c r="AA379" s="4">
        <v>0</v>
      </c>
      <c r="AB379" s="4">
        <v>0</v>
      </c>
      <c r="AC379" s="4">
        <v>0</v>
      </c>
      <c r="AD379" s="4">
        <v>0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4">
        <v>0</v>
      </c>
      <c r="AQ379" s="4">
        <v>0</v>
      </c>
      <c r="AR379" s="4">
        <v>0</v>
      </c>
      <c r="AS379" s="4">
        <v>0</v>
      </c>
      <c r="AT379" s="4">
        <v>0</v>
      </c>
      <c r="AU379" s="4">
        <v>0</v>
      </c>
      <c r="AV379" s="4">
        <v>0</v>
      </c>
      <c r="AW379" s="4">
        <v>0</v>
      </c>
      <c r="AX379" s="4">
        <v>1650.01117</v>
      </c>
      <c r="AY379" s="4">
        <v>1650.01117</v>
      </c>
      <c r="AZ379" s="4">
        <v>1670.0111699999995</v>
      </c>
      <c r="BA379" s="4">
        <v>1670.01117</v>
      </c>
      <c r="BB379" s="4">
        <v>1670.01117</v>
      </c>
      <c r="BC379" s="4">
        <v>1670.01117</v>
      </c>
      <c r="BD379" s="4">
        <v>1670.01117</v>
      </c>
      <c r="BE379" s="4">
        <v>1670.01117</v>
      </c>
      <c r="BF379" s="4">
        <v>1670.01117</v>
      </c>
      <c r="BG379" s="4">
        <v>1670.01117</v>
      </c>
      <c r="BH379" s="4">
        <v>1670.01117</v>
      </c>
      <c r="BJ379" s="9"/>
    </row>
    <row r="380" spans="1:62" x14ac:dyDescent="0.25">
      <c r="A380" s="6" t="s">
        <v>487</v>
      </c>
      <c r="B380" s="6"/>
      <c r="C380" s="7" t="s">
        <v>526</v>
      </c>
      <c r="D380" s="3"/>
      <c r="E380" s="3">
        <f>VLOOKUP(A380,[2]Sheet1!$A$2:$E$627,5,0)</f>
        <v>90.095334724959741</v>
      </c>
      <c r="F380" s="3">
        <f>VLOOKUP(A380,[2]Sheet1!$A$2:$F$627,6,0)</f>
        <v>0</v>
      </c>
      <c r="G380" s="3">
        <f>VLOOKUP(A380,[2]Sheet1!$A$2:$G$627,7,0)</f>
        <v>0</v>
      </c>
      <c r="H380" s="4">
        <f t="shared" si="30"/>
        <v>77.888525941672285</v>
      </c>
      <c r="I380" s="11">
        <f t="shared" si="31"/>
        <v>-1</v>
      </c>
      <c r="J380" s="11">
        <f t="shared" si="32"/>
        <v>-1</v>
      </c>
      <c r="K380" s="11" t="e">
        <f t="shared" si="33"/>
        <v>#DIV/0!</v>
      </c>
      <c r="L380" s="11">
        <f>IF(S380="",((BG380-E380)/E380),((U380-E380)/E380))</f>
        <v>-0.14456354193839063</v>
      </c>
      <c r="M380" s="3" t="str">
        <f>IF(S380="Churn","Churn",VLOOKUP(A380,'[1]Revenue_Engine_2025 Dec.25'!$C$14:$E$3993,3,0))</f>
        <v>Diğer</v>
      </c>
      <c r="N380" s="3">
        <f>IF(S380="",VLOOKUP(A380,[3]Export!$B$2:$F$417,5,0),"CHURN")</f>
        <v>0.22309140339436773</v>
      </c>
      <c r="O380" s="3">
        <f>(1-N380)*H380</f>
        <v>60.512265381025998</v>
      </c>
      <c r="P380" s="3">
        <f t="shared" si="35"/>
        <v>0</v>
      </c>
      <c r="Q380" s="3">
        <f t="shared" si="34"/>
        <v>0</v>
      </c>
      <c r="R380" s="3" t="str">
        <f>IF(S380&lt;&gt;"Churn",VLOOKUP(A380,[3]Export!$B$2:$O$417,8,0),"CHURN")</f>
        <v>NO RISK</v>
      </c>
      <c r="S380" s="3"/>
      <c r="T380" s="3"/>
      <c r="U380" s="3" t="s">
        <v>551</v>
      </c>
      <c r="V380" s="4" t="str" cm="1">
        <f t="array" ref="V380">IFERROR(
    IF(
        MATCH(2,1/((Y380:BH380&lt;&gt;0)*(Y380:BH380&lt;&gt;"")))-MATCH(1,INDEX((Y380:BH380&lt;&gt;0)*(Y380:BH380&lt;&gt;""),0),0)+1 &lt;= 12,
        "No",
        "Yes"
    ),
    "No"
)</f>
        <v>No</v>
      </c>
      <c r="W380" s="4" t="str" cm="1">
        <f t="array" ref="W380">IFERROR(
    IF(
        MATCH(2,1/((Y380:BH380&lt;&gt;0)*(Y380:BH380&lt;&gt;"")))-MATCH(1,INDEX((Y380:BH380&lt;&gt;0)*(Y380:BH380&lt;&gt;""),0),0)+1 &lt;= 24,
        "No",
        "Yes"
    ),
    "No"
)</f>
        <v>No</v>
      </c>
      <c r="X380" s="3"/>
      <c r="Y380" s="4">
        <v>0</v>
      </c>
      <c r="Z380" s="4">
        <v>0</v>
      </c>
      <c r="AA380" s="4">
        <v>0</v>
      </c>
      <c r="AB380" s="4">
        <v>0</v>
      </c>
      <c r="AC380" s="4">
        <v>0</v>
      </c>
      <c r="AD380" s="4">
        <v>0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4">
        <v>0</v>
      </c>
      <c r="AQ380" s="4">
        <v>0</v>
      </c>
      <c r="AR380" s="4">
        <v>0</v>
      </c>
      <c r="AS380" s="4">
        <v>0</v>
      </c>
      <c r="AT380" s="4">
        <v>0</v>
      </c>
      <c r="AU380" s="4">
        <v>0</v>
      </c>
      <c r="AV380" s="4">
        <v>0</v>
      </c>
      <c r="AW380" s="4">
        <v>0</v>
      </c>
      <c r="AX380" s="4">
        <v>90.095334724959741</v>
      </c>
      <c r="AY380" s="4">
        <v>87.847572298552024</v>
      </c>
      <c r="AZ380" s="4">
        <v>85.500890524659781</v>
      </c>
      <c r="BA380" s="4">
        <v>84.067523034501335</v>
      </c>
      <c r="BB380" s="4">
        <v>82.640215017125598</v>
      </c>
      <c r="BC380" s="4">
        <v>81.050615485904686</v>
      </c>
      <c r="BD380" s="4">
        <v>79.80238474080187</v>
      </c>
      <c r="BE380" s="4">
        <v>78.836422912532811</v>
      </c>
      <c r="BF380" s="4">
        <v>77.888525941672285</v>
      </c>
      <c r="BG380" s="4">
        <v>77.070834024994681</v>
      </c>
      <c r="BH380" s="4">
        <v>76.319565283756162</v>
      </c>
      <c r="BJ380" s="9"/>
    </row>
    <row r="381" spans="1:62" x14ac:dyDescent="0.25">
      <c r="A381" s="6" t="s">
        <v>491</v>
      </c>
      <c r="B381" s="6"/>
      <c r="C381" s="7" t="s">
        <v>526</v>
      </c>
      <c r="D381" s="3"/>
      <c r="E381" s="3">
        <f>VLOOKUP(A381,[2]Sheet1!$A$2:$E$627,5,0)</f>
        <v>62.997877000000003</v>
      </c>
      <c r="F381" s="3">
        <f>VLOOKUP(A381,[2]Sheet1!$A$2:$F$627,6,0)</f>
        <v>0</v>
      </c>
      <c r="G381" s="3">
        <f>VLOOKUP(A381,[2]Sheet1!$A$2:$G$627,7,0)</f>
        <v>0</v>
      </c>
      <c r="H381" s="4">
        <f t="shared" si="30"/>
        <v>62.997877000000003</v>
      </c>
      <c r="I381" s="11">
        <f t="shared" si="31"/>
        <v>-1</v>
      </c>
      <c r="J381" s="11">
        <f t="shared" si="32"/>
        <v>-1</v>
      </c>
      <c r="K381" s="11" t="e">
        <f t="shared" si="33"/>
        <v>#DIV/0!</v>
      </c>
      <c r="L381" s="11">
        <f>IF(S381="",((BG381-E381)/E381),((U381-E381)/E381))</f>
        <v>0</v>
      </c>
      <c r="M381" s="3" t="str">
        <f>IF(S381="Churn","Churn",VLOOKUP(A381,'[1]Revenue_Engine_2025 Dec.25'!$C$14:$E$3993,3,0))</f>
        <v>Diğer</v>
      </c>
      <c r="N381" s="3">
        <f>IF(S381="",VLOOKUP(A381,[3]Export!$B$2:$F$417,5,0),"CHURN")</f>
        <v>0.30212688225456658</v>
      </c>
      <c r="O381" s="3">
        <f>(1-N381)*H381</f>
        <v>43.964524833333329</v>
      </c>
      <c r="P381" s="3">
        <f t="shared" si="35"/>
        <v>0</v>
      </c>
      <c r="Q381" s="3">
        <f t="shared" si="34"/>
        <v>0</v>
      </c>
      <c r="R381" s="3" t="str">
        <f>IF(S381&lt;&gt;"Churn",VLOOKUP(A381,[3]Export!$B$2:$O$417,8,0),"CHURN")</f>
        <v>NO RISK</v>
      </c>
      <c r="S381" s="3"/>
      <c r="T381" s="3"/>
      <c r="U381" s="3" t="s">
        <v>551</v>
      </c>
      <c r="V381" s="4" t="str" cm="1">
        <f t="array" ref="V381">IFERROR(
    IF(
        MATCH(2,1/((Y381:BH381&lt;&gt;0)*(Y381:BH381&lt;&gt;"")))-MATCH(1,INDEX((Y381:BH381&lt;&gt;0)*(Y381:BH381&lt;&gt;""),0),0)+1 &lt;= 12,
        "No",
        "Yes"
    ),
    "No"
)</f>
        <v>No</v>
      </c>
      <c r="W381" s="4" t="str" cm="1">
        <f t="array" ref="W381">IFERROR(
    IF(
        MATCH(2,1/((Y381:BH381&lt;&gt;0)*(Y381:BH381&lt;&gt;"")))-MATCH(1,INDEX((Y381:BH381&lt;&gt;0)*(Y381:BH381&lt;&gt;""),0),0)+1 &lt;= 24,
        "No",
        "Yes"
    ),
    "No"
)</f>
        <v>No</v>
      </c>
      <c r="X381" s="3"/>
      <c r="Y381" s="4">
        <v>0</v>
      </c>
      <c r="Z381" s="4">
        <v>0</v>
      </c>
      <c r="AA381" s="4">
        <v>0</v>
      </c>
      <c r="AB381" s="4">
        <v>0</v>
      </c>
      <c r="AC381" s="4">
        <v>0</v>
      </c>
      <c r="AD381" s="4">
        <v>0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4">
        <v>0</v>
      </c>
      <c r="AQ381" s="4">
        <v>0</v>
      </c>
      <c r="AR381" s="4">
        <v>0</v>
      </c>
      <c r="AS381" s="4">
        <v>0</v>
      </c>
      <c r="AT381" s="4">
        <v>0</v>
      </c>
      <c r="AU381" s="4">
        <v>0</v>
      </c>
      <c r="AV381" s="4">
        <v>0</v>
      </c>
      <c r="AW381" s="4">
        <v>0</v>
      </c>
      <c r="AX381" s="4">
        <v>62.997877000000003</v>
      </c>
      <c r="AY381" s="4">
        <v>62.997877000000003</v>
      </c>
      <c r="AZ381" s="4">
        <v>62.997877000000003</v>
      </c>
      <c r="BA381" s="4">
        <v>62.997877000000003</v>
      </c>
      <c r="BB381" s="4">
        <v>62.997877000000003</v>
      </c>
      <c r="BC381" s="4">
        <v>62.997877000000003</v>
      </c>
      <c r="BD381" s="4">
        <v>62.997877000000003</v>
      </c>
      <c r="BE381" s="4">
        <v>62.997877000000003</v>
      </c>
      <c r="BF381" s="4">
        <v>62.997877000000003</v>
      </c>
      <c r="BG381" s="4">
        <v>62.997877000000003</v>
      </c>
      <c r="BH381" s="4">
        <v>62.997877000000003</v>
      </c>
      <c r="BJ381" s="9"/>
    </row>
    <row r="382" spans="1:62" x14ac:dyDescent="0.25">
      <c r="A382" s="6" t="s">
        <v>461</v>
      </c>
      <c r="B382" s="6"/>
      <c r="C382" s="7" t="s">
        <v>526</v>
      </c>
      <c r="D382" s="3"/>
      <c r="E382" s="3">
        <f>VLOOKUP(A382,[2]Sheet1!$A$2:$E$627,5,0)</f>
        <v>103.185051</v>
      </c>
      <c r="F382" s="3">
        <f>VLOOKUP(A382,[2]Sheet1!$A$2:$F$627,6,0)</f>
        <v>0</v>
      </c>
      <c r="G382" s="3">
        <f>VLOOKUP(A382,[2]Sheet1!$A$2:$G$627,7,0)</f>
        <v>0</v>
      </c>
      <c r="H382" s="4">
        <f t="shared" si="30"/>
        <v>106.18505099999999</v>
      </c>
      <c r="I382" s="11">
        <f t="shared" si="31"/>
        <v>-1</v>
      </c>
      <c r="J382" s="11">
        <f t="shared" si="32"/>
        <v>-1</v>
      </c>
      <c r="K382" s="11" t="e">
        <f t="shared" si="33"/>
        <v>#DIV/0!</v>
      </c>
      <c r="L382" s="11">
        <f>IF(S382="",((BG382-E382)/E382),((U382-E382)/E382))</f>
        <v>2.907397894293802E-2</v>
      </c>
      <c r="M382" s="3" t="str">
        <f>IF(S382="Churn","Churn",VLOOKUP(A382,'[1]Revenue_Engine_2025 Dec.25'!$C$14:$E$3993,3,0))</f>
        <v>Diğer</v>
      </c>
      <c r="N382" s="3">
        <f>IF(S382="",VLOOKUP(A382,[3]Export!$B$2:$F$417,5,0),"CHURN")</f>
        <v>3.4544467092641883E-2</v>
      </c>
      <c r="O382" s="3">
        <f>(1-N382)*H382</f>
        <v>102.51694499999998</v>
      </c>
      <c r="P382" s="3">
        <f t="shared" si="35"/>
        <v>0</v>
      </c>
      <c r="Q382" s="3">
        <f t="shared" si="34"/>
        <v>0</v>
      </c>
      <c r="R382" s="3" t="str">
        <f>IF(S382&lt;&gt;"Churn",VLOOKUP(A382,[3]Export!$B$2:$O$417,8,0),"CHURN")</f>
        <v>NO RISK</v>
      </c>
      <c r="S382" s="3"/>
      <c r="T382" s="3"/>
      <c r="U382" s="3" t="s">
        <v>551</v>
      </c>
      <c r="V382" s="4" t="str" cm="1">
        <f t="array" ref="V382">IFERROR(
    IF(
        MATCH(2,1/((Y382:BH382&lt;&gt;0)*(Y382:BH382&lt;&gt;"")))-MATCH(1,INDEX((Y382:BH382&lt;&gt;0)*(Y382:BH382&lt;&gt;""),0),0)+1 &lt;= 12,
        "No",
        "Yes"
    ),
    "No"
)</f>
        <v>No</v>
      </c>
      <c r="W382" s="4" t="str" cm="1">
        <f t="array" ref="W382">IFERROR(
    IF(
        MATCH(2,1/((Y382:BH382&lt;&gt;0)*(Y382:BH382&lt;&gt;"")))-MATCH(1,INDEX((Y382:BH382&lt;&gt;0)*(Y382:BH382&lt;&gt;""),0),0)+1 &lt;= 24,
        "No",
        "Yes"
    ),
    "No"
)</f>
        <v>No</v>
      </c>
      <c r="X382" s="3"/>
      <c r="Y382" s="4">
        <v>0</v>
      </c>
      <c r="Z382" s="4">
        <v>0</v>
      </c>
      <c r="AA382" s="4">
        <v>0</v>
      </c>
      <c r="AB382" s="4">
        <v>0</v>
      </c>
      <c r="AC382" s="4">
        <v>0</v>
      </c>
      <c r="AD382" s="4">
        <v>0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4">
        <v>0</v>
      </c>
      <c r="AQ382" s="4">
        <v>0</v>
      </c>
      <c r="AR382" s="4">
        <v>0</v>
      </c>
      <c r="AS382" s="4">
        <v>0</v>
      </c>
      <c r="AT382" s="4">
        <v>0</v>
      </c>
      <c r="AU382" s="4">
        <v>0</v>
      </c>
      <c r="AV382" s="4">
        <v>0</v>
      </c>
      <c r="AW382" s="4">
        <v>0</v>
      </c>
      <c r="AX382" s="4">
        <v>103.18505099999999</v>
      </c>
      <c r="AY382" s="4">
        <v>103.18505099999999</v>
      </c>
      <c r="AZ382" s="4">
        <v>103.185051</v>
      </c>
      <c r="BA382" s="4">
        <v>103.18505099999999</v>
      </c>
      <c r="BB382" s="4">
        <v>103.18505099999999</v>
      </c>
      <c r="BC382" s="4">
        <v>103.18505099999999</v>
      </c>
      <c r="BD382" s="4">
        <v>103.18505099999999</v>
      </c>
      <c r="BE382" s="4">
        <v>106.18505099999999</v>
      </c>
      <c r="BF382" s="4">
        <v>106.18505099999999</v>
      </c>
      <c r="BG382" s="4">
        <v>106.18505099999999</v>
      </c>
      <c r="BH382" s="4">
        <v>106.18505099999999</v>
      </c>
      <c r="BJ382" s="9"/>
    </row>
    <row r="383" spans="1:62" x14ac:dyDescent="0.25">
      <c r="A383" s="6" t="s">
        <v>481</v>
      </c>
      <c r="B383" s="6"/>
      <c r="C383" s="7" t="s">
        <v>526</v>
      </c>
      <c r="D383" s="3"/>
      <c r="E383" s="3">
        <f>VLOOKUP(A383,[2]Sheet1!$A$2:$E$627,5,0)</f>
        <v>86.000904750000004</v>
      </c>
      <c r="F383" s="3">
        <f>VLOOKUP(A383,[2]Sheet1!$A$2:$F$627,6,0)</f>
        <v>0</v>
      </c>
      <c r="G383" s="3">
        <f>VLOOKUP(A383,[2]Sheet1!$A$2:$G$627,7,0)</f>
        <v>0</v>
      </c>
      <c r="H383" s="4">
        <f t="shared" si="30"/>
        <v>86.000904750000004</v>
      </c>
      <c r="I383" s="11">
        <f t="shared" si="31"/>
        <v>-1</v>
      </c>
      <c r="J383" s="11">
        <f t="shared" si="32"/>
        <v>-1</v>
      </c>
      <c r="K383" s="11" t="e">
        <f t="shared" si="33"/>
        <v>#DIV/0!</v>
      </c>
      <c r="L383" s="11">
        <f>IF(S383="",((BG383-E383)/E383),((U383-E383)/E383))</f>
        <v>0</v>
      </c>
      <c r="M383" s="3" t="str">
        <f>IF(S383="Churn","Churn",VLOOKUP(A383,'[1]Revenue_Engine_2025 Dec.25'!$C$14:$E$3993,3,0))</f>
        <v>Diğer</v>
      </c>
      <c r="N383" s="3">
        <f>IF(S383="",VLOOKUP(A383,[3]Export!$B$2:$F$417,5,0),"CHURN")</f>
        <v>0.3021472224686102</v>
      </c>
      <c r="O383" s="3">
        <f>(1-N383)*H383</f>
        <v>60.015970250000002</v>
      </c>
      <c r="P383" s="3">
        <f t="shared" si="35"/>
        <v>0</v>
      </c>
      <c r="Q383" s="3">
        <f t="shared" si="34"/>
        <v>0</v>
      </c>
      <c r="R383" s="3" t="str">
        <f>IF(S383&lt;&gt;"Churn",VLOOKUP(A383,[3]Export!$B$2:$O$417,8,0),"CHURN")</f>
        <v>NO RISK</v>
      </c>
      <c r="S383" s="3"/>
      <c r="T383" s="3"/>
      <c r="U383" s="3" t="s">
        <v>551</v>
      </c>
      <c r="V383" s="4" t="str" cm="1">
        <f t="array" ref="V383">IFERROR(
    IF(
        MATCH(2,1/((Y383:BH383&lt;&gt;0)*(Y383:BH383&lt;&gt;"")))-MATCH(1,INDEX((Y383:BH383&lt;&gt;0)*(Y383:BH383&lt;&gt;""),0),0)+1 &lt;= 12,
        "No",
        "Yes"
    ),
    "No"
)</f>
        <v>No</v>
      </c>
      <c r="W383" s="4" t="str" cm="1">
        <f t="array" ref="W383">IFERROR(
    IF(
        MATCH(2,1/((Y383:BH383&lt;&gt;0)*(Y383:BH383&lt;&gt;"")))-MATCH(1,INDEX((Y383:BH383&lt;&gt;0)*(Y383:BH383&lt;&gt;""),0),0)+1 &lt;= 24,
        "No",
        "Yes"
    ),
    "No"
)</f>
        <v>No</v>
      </c>
      <c r="X383" s="3"/>
      <c r="Y383" s="4">
        <v>0</v>
      </c>
      <c r="Z383" s="4">
        <v>0</v>
      </c>
      <c r="AA383" s="4">
        <v>0</v>
      </c>
      <c r="AB383" s="4">
        <v>0</v>
      </c>
      <c r="AC383" s="4">
        <v>0</v>
      </c>
      <c r="AD383" s="4">
        <v>0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4">
        <v>0</v>
      </c>
      <c r="AQ383" s="4">
        <v>0</v>
      </c>
      <c r="AR383" s="4">
        <v>0</v>
      </c>
      <c r="AS383" s="4">
        <v>0</v>
      </c>
      <c r="AT383" s="4">
        <v>0</v>
      </c>
      <c r="AU383" s="4">
        <v>0</v>
      </c>
      <c r="AV383" s="4">
        <v>0</v>
      </c>
      <c r="AW383" s="4">
        <v>0</v>
      </c>
      <c r="AX383" s="4">
        <v>86.000904750000004</v>
      </c>
      <c r="AY383" s="4">
        <v>86.000904750000004</v>
      </c>
      <c r="AZ383" s="4">
        <v>86.000904750000004</v>
      </c>
      <c r="BA383" s="4">
        <v>86.000904750000004</v>
      </c>
      <c r="BB383" s="4">
        <v>86.000904750000004</v>
      </c>
      <c r="BC383" s="4">
        <v>86.000904750000004</v>
      </c>
      <c r="BD383" s="4">
        <v>86.000904750000004</v>
      </c>
      <c r="BE383" s="4">
        <v>86.000904750000004</v>
      </c>
      <c r="BF383" s="4">
        <v>86.000904750000004</v>
      </c>
      <c r="BG383" s="4">
        <v>86.000904750000004</v>
      </c>
      <c r="BH383" s="4">
        <v>86.000904750000004</v>
      </c>
      <c r="BJ383" s="9"/>
    </row>
    <row r="384" spans="1:62" x14ac:dyDescent="0.25">
      <c r="A384" s="6" t="s">
        <v>475</v>
      </c>
      <c r="B384" s="6"/>
      <c r="C384" s="7" t="s">
        <v>526</v>
      </c>
      <c r="D384" s="3"/>
      <c r="E384" s="3">
        <f>VLOOKUP(A384,[2]Sheet1!$A$2:$E$627,5,0)</f>
        <v>115.50686233525259</v>
      </c>
      <c r="F384" s="3">
        <f>VLOOKUP(A384,[2]Sheet1!$A$2:$F$627,6,0)</f>
        <v>0</v>
      </c>
      <c r="G384" s="3">
        <f>VLOOKUP(A384,[2]Sheet1!$A$2:$G$627,7,0)</f>
        <v>0</v>
      </c>
      <c r="H384" s="4">
        <f t="shared" si="30"/>
        <v>99.857104376216739</v>
      </c>
      <c r="I384" s="11">
        <f t="shared" si="31"/>
        <v>-1</v>
      </c>
      <c r="J384" s="11">
        <f t="shared" si="32"/>
        <v>-1</v>
      </c>
      <c r="K384" s="11" t="e">
        <f t="shared" si="33"/>
        <v>#DIV/0!</v>
      </c>
      <c r="L384" s="11">
        <f>IF(S384="",((BG384-E384)/E384),((U384-E384)/E384))</f>
        <v>-0.14456354193839077</v>
      </c>
      <c r="M384" s="3" t="str">
        <f>IF(S384="Churn","Churn",VLOOKUP(A384,'[1]Revenue_Engine_2025 Dec.25'!$C$14:$E$3993,3,0))</f>
        <v>Diğer</v>
      </c>
      <c r="N384" s="3">
        <f>IF(S384="",VLOOKUP(A384,[3]Export!$B$2:$F$417,5,0),"CHURN")</f>
        <v>0.12732585432799232</v>
      </c>
      <c r="O384" s="3">
        <f>(1-N384)*H384</f>
        <v>87.142713250795452</v>
      </c>
      <c r="P384" s="3">
        <f t="shared" si="35"/>
        <v>0</v>
      </c>
      <c r="Q384" s="3">
        <f t="shared" si="34"/>
        <v>0</v>
      </c>
      <c r="R384" s="3" t="str">
        <f>IF(S384&lt;&gt;"Churn",VLOOKUP(A384,[3]Export!$B$2:$O$417,8,0),"CHURN")</f>
        <v>NO RISK</v>
      </c>
      <c r="S384" s="3"/>
      <c r="T384" s="3"/>
      <c r="U384" s="3" t="s">
        <v>551</v>
      </c>
      <c r="V384" s="4" t="str" cm="1">
        <f t="array" ref="V384">IFERROR(
    IF(
        MATCH(2,1/((Y384:BH384&lt;&gt;0)*(Y384:BH384&lt;&gt;"")))-MATCH(1,INDEX((Y384:BH384&lt;&gt;0)*(Y384:BH384&lt;&gt;""),0),0)+1 &lt;= 12,
        "No",
        "Yes"
    ),
    "No"
)</f>
        <v>No</v>
      </c>
      <c r="W384" s="4" t="str" cm="1">
        <f t="array" ref="W384">IFERROR(
    IF(
        MATCH(2,1/((Y384:BH384&lt;&gt;0)*(Y384:BH384&lt;&gt;"")))-MATCH(1,INDEX((Y384:BH384&lt;&gt;0)*(Y384:BH384&lt;&gt;""),0),0)+1 &lt;= 24,
        "No",
        "Yes"
    ),
    "No"
)</f>
        <v>No</v>
      </c>
      <c r="X384" s="3"/>
      <c r="Y384" s="4">
        <v>0</v>
      </c>
      <c r="Z384" s="4">
        <v>0</v>
      </c>
      <c r="AA384" s="4">
        <v>0</v>
      </c>
      <c r="AB384" s="4">
        <v>0</v>
      </c>
      <c r="AC384" s="4">
        <v>0</v>
      </c>
      <c r="AD384" s="4">
        <v>0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4">
        <v>0</v>
      </c>
      <c r="AQ384" s="4">
        <v>0</v>
      </c>
      <c r="AR384" s="4">
        <v>0</v>
      </c>
      <c r="AS384" s="4">
        <v>0</v>
      </c>
      <c r="AT384" s="4">
        <v>0</v>
      </c>
      <c r="AU384" s="4">
        <v>0</v>
      </c>
      <c r="AV384" s="4">
        <v>0</v>
      </c>
      <c r="AW384" s="4">
        <v>0</v>
      </c>
      <c r="AX384" s="4">
        <v>115.50686233525259</v>
      </c>
      <c r="AY384" s="4">
        <v>112.62511506229968</v>
      </c>
      <c r="AZ384" s="4">
        <v>109.61654808789315</v>
      </c>
      <c r="BA384" s="4">
        <v>107.77889709445395</v>
      </c>
      <c r="BB384" s="4">
        <v>105.94901465740756</v>
      </c>
      <c r="BC384" s="4">
        <v>103.91106613563966</v>
      </c>
      <c r="BD384" s="4">
        <v>102.31076999070198</v>
      </c>
      <c r="BE384" s="4">
        <v>101.07235714435878</v>
      </c>
      <c r="BF384" s="4">
        <v>99.857104376216739</v>
      </c>
      <c r="BG384" s="4">
        <v>98.808781197878375</v>
      </c>
      <c r="BH384" s="4">
        <v>97.845615953685368</v>
      </c>
      <c r="BJ384" s="9"/>
    </row>
    <row r="385" spans="1:62" x14ac:dyDescent="0.25">
      <c r="A385" s="6" t="s">
        <v>451</v>
      </c>
      <c r="B385" s="6"/>
      <c r="C385" s="7" t="s">
        <v>526</v>
      </c>
      <c r="D385" s="3"/>
      <c r="E385" s="3">
        <f>VLOOKUP(A385,[2]Sheet1!$A$2:$E$627,5,0)</f>
        <v>113.00000000000003</v>
      </c>
      <c r="F385" s="3">
        <f>VLOOKUP(A385,[2]Sheet1!$A$2:$F$627,6,0)</f>
        <v>0</v>
      </c>
      <c r="G385" s="3">
        <f>VLOOKUP(A385,[2]Sheet1!$A$2:$G$627,7,0)</f>
        <v>0</v>
      </c>
      <c r="H385" s="4">
        <f t="shared" si="30"/>
        <v>122.999</v>
      </c>
      <c r="I385" s="11">
        <f t="shared" si="31"/>
        <v>-1</v>
      </c>
      <c r="J385" s="11">
        <f t="shared" si="32"/>
        <v>-1</v>
      </c>
      <c r="K385" s="11" t="e">
        <f t="shared" si="33"/>
        <v>#DIV/0!</v>
      </c>
      <c r="L385" s="11">
        <f>IF(S385="",((BG385-E385)/E385),((U385-E385)/E385))</f>
        <v>8.8486725663716501E-2</v>
      </c>
      <c r="M385" s="3" t="str">
        <f>IF(S385="Churn","Churn",VLOOKUP(A385,'[1]Revenue_Engine_2025 Dec.25'!$C$14:$E$3993,3,0))</f>
        <v>Bayi</v>
      </c>
      <c r="N385" s="3">
        <f>IF(S385="",VLOOKUP(A385,[3]Export!$B$2:$F$417,5,0),"CHURN")</f>
        <v>0.27796224359547639</v>
      </c>
      <c r="O385" s="3">
        <f>(1-N385)*H385</f>
        <v>88.809922</v>
      </c>
      <c r="P385" s="3">
        <f t="shared" si="35"/>
        <v>0</v>
      </c>
      <c r="Q385" s="3">
        <f t="shared" si="34"/>
        <v>0</v>
      </c>
      <c r="R385" s="3" t="str">
        <f>IF(S385&lt;&gt;"Churn",VLOOKUP(A385,[3]Export!$B$2:$O$417,8,0),"CHURN")</f>
        <v>NO RISK</v>
      </c>
      <c r="S385" s="3"/>
      <c r="T385" s="3"/>
      <c r="U385" s="3" t="s">
        <v>551</v>
      </c>
      <c r="V385" s="4" t="str" cm="1">
        <f t="array" ref="V385">IFERROR(
    IF(
        MATCH(2,1/((Y385:BH385&lt;&gt;0)*(Y385:BH385&lt;&gt;"")))-MATCH(1,INDEX((Y385:BH385&lt;&gt;0)*(Y385:BH385&lt;&gt;""),0),0)+1 &lt;= 12,
        "No",
        "Yes"
    ),
    "No"
)</f>
        <v>No</v>
      </c>
      <c r="W385" s="4" t="str" cm="1">
        <f t="array" ref="W385">IFERROR(
    IF(
        MATCH(2,1/((Y385:BH385&lt;&gt;0)*(Y385:BH385&lt;&gt;"")))-MATCH(1,INDEX((Y385:BH385&lt;&gt;0)*(Y385:BH385&lt;&gt;""),0),0)+1 &lt;= 24,
        "No",
        "Yes"
    ),
    "No"
)</f>
        <v>No</v>
      </c>
      <c r="X385" s="3"/>
      <c r="Y385" s="4">
        <v>0</v>
      </c>
      <c r="Z385" s="4">
        <v>0</v>
      </c>
      <c r="AA385" s="4">
        <v>0</v>
      </c>
      <c r="AB385" s="4">
        <v>0</v>
      </c>
      <c r="AC385" s="4">
        <v>0</v>
      </c>
      <c r="AD385" s="4">
        <v>0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4">
        <v>0</v>
      </c>
      <c r="AQ385" s="4">
        <v>0</v>
      </c>
      <c r="AR385" s="4">
        <v>0</v>
      </c>
      <c r="AS385" s="4">
        <v>0</v>
      </c>
      <c r="AT385" s="4">
        <v>0</v>
      </c>
      <c r="AU385" s="4">
        <v>0</v>
      </c>
      <c r="AV385" s="4">
        <v>0</v>
      </c>
      <c r="AW385" s="4">
        <v>0</v>
      </c>
      <c r="AX385" s="4">
        <v>113</v>
      </c>
      <c r="AY385" s="4">
        <v>113</v>
      </c>
      <c r="AZ385" s="4">
        <v>113.00000000000003</v>
      </c>
      <c r="BA385" s="4">
        <v>113</v>
      </c>
      <c r="BB385" s="4">
        <v>113</v>
      </c>
      <c r="BC385" s="4">
        <v>122.999</v>
      </c>
      <c r="BD385" s="4">
        <v>122.999</v>
      </c>
      <c r="BE385" s="4">
        <v>122.999</v>
      </c>
      <c r="BF385" s="4">
        <v>122.999</v>
      </c>
      <c r="BG385" s="4">
        <v>122.999</v>
      </c>
      <c r="BH385" s="4">
        <v>122.999</v>
      </c>
      <c r="BJ385" s="9"/>
    </row>
    <row r="386" spans="1:62" x14ac:dyDescent="0.25">
      <c r="A386" s="6" t="s">
        <v>471</v>
      </c>
      <c r="B386" s="6"/>
      <c r="C386" s="7" t="s">
        <v>526</v>
      </c>
      <c r="D386" s="3"/>
      <c r="E386" s="3">
        <f>VLOOKUP(A386,[2]Sheet1!$A$2:$E$627,5,0)</f>
        <v>103</v>
      </c>
      <c r="F386" s="3">
        <f>VLOOKUP(A386,[2]Sheet1!$A$2:$F$627,6,0)</f>
        <v>0</v>
      </c>
      <c r="G386" s="3">
        <f>VLOOKUP(A386,[2]Sheet1!$A$2:$G$627,7,0)</f>
        <v>0</v>
      </c>
      <c r="H386" s="4">
        <f t="shared" si="30"/>
        <v>103</v>
      </c>
      <c r="I386" s="11">
        <f t="shared" si="31"/>
        <v>-1</v>
      </c>
      <c r="J386" s="11">
        <f t="shared" si="32"/>
        <v>-1</v>
      </c>
      <c r="K386" s="11" t="e">
        <f t="shared" si="33"/>
        <v>#DIV/0!</v>
      </c>
      <c r="L386" s="11">
        <f>IF(S386="",((BG386-E386)/E386),((U386-E386)/E386))</f>
        <v>0</v>
      </c>
      <c r="M386" s="3" t="str">
        <f>IF(S386="Churn","Churn",VLOOKUP(A386,'[1]Revenue_Engine_2025 Dec.25'!$C$14:$E$3993,3,0))</f>
        <v>Diğer</v>
      </c>
      <c r="N386" s="3">
        <f>IF(S386="",VLOOKUP(A386,[3]Export!$B$2:$F$417,5,0),"CHURN")</f>
        <v>0.30215039805825239</v>
      </c>
      <c r="O386" s="3">
        <f>(1-N386)*H386</f>
        <v>71.878509000000008</v>
      </c>
      <c r="P386" s="3">
        <f t="shared" si="35"/>
        <v>0</v>
      </c>
      <c r="Q386" s="3">
        <f t="shared" si="34"/>
        <v>0</v>
      </c>
      <c r="R386" s="3" t="str">
        <f>IF(S386&lt;&gt;"Churn",VLOOKUP(A386,[3]Export!$B$2:$O$417,8,0),"CHURN")</f>
        <v>NO RISK</v>
      </c>
      <c r="S386" s="3"/>
      <c r="T386" s="3"/>
      <c r="U386" s="3" t="s">
        <v>551</v>
      </c>
      <c r="V386" s="4" t="str" cm="1">
        <f t="array" ref="V386">IFERROR(
    IF(
        MATCH(2,1/((Y386:BH386&lt;&gt;0)*(Y386:BH386&lt;&gt;"")))-MATCH(1,INDEX((Y386:BH386&lt;&gt;0)*(Y386:BH386&lt;&gt;""),0),0)+1 &lt;= 12,
        "No",
        "Yes"
    ),
    "No"
)</f>
        <v>No</v>
      </c>
      <c r="W386" s="4" t="str" cm="1">
        <f t="array" ref="W386">IFERROR(
    IF(
        MATCH(2,1/((Y386:BH386&lt;&gt;0)*(Y386:BH386&lt;&gt;"")))-MATCH(1,INDEX((Y386:BH386&lt;&gt;0)*(Y386:BH386&lt;&gt;""),0),0)+1 &lt;= 24,
        "No",
        "Yes"
    ),
    "No"
)</f>
        <v>No</v>
      </c>
      <c r="X386" s="3"/>
      <c r="Y386" s="4">
        <v>0</v>
      </c>
      <c r="Z386" s="4">
        <v>0</v>
      </c>
      <c r="AA386" s="4">
        <v>0</v>
      </c>
      <c r="AB386" s="4">
        <v>0</v>
      </c>
      <c r="AC386" s="4">
        <v>0</v>
      </c>
      <c r="AD386" s="4">
        <v>0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4">
        <v>0</v>
      </c>
      <c r="AQ386" s="4">
        <v>0</v>
      </c>
      <c r="AR386" s="4">
        <v>0</v>
      </c>
      <c r="AS386" s="4">
        <v>0</v>
      </c>
      <c r="AT386" s="4">
        <v>0</v>
      </c>
      <c r="AU386" s="4">
        <v>0</v>
      </c>
      <c r="AV386" s="4">
        <v>0</v>
      </c>
      <c r="AW386" s="4">
        <v>0</v>
      </c>
      <c r="AX386" s="4">
        <v>103</v>
      </c>
      <c r="AY386" s="4">
        <v>103</v>
      </c>
      <c r="AZ386" s="4">
        <v>103</v>
      </c>
      <c r="BA386" s="4">
        <v>103</v>
      </c>
      <c r="BB386" s="4">
        <v>103</v>
      </c>
      <c r="BC386" s="4">
        <v>103</v>
      </c>
      <c r="BD386" s="4">
        <v>103</v>
      </c>
      <c r="BE386" s="4">
        <v>103</v>
      </c>
      <c r="BF386" s="4">
        <v>103</v>
      </c>
      <c r="BG386" s="4">
        <v>103</v>
      </c>
      <c r="BH386" s="4">
        <v>103</v>
      </c>
      <c r="BJ386" s="9"/>
    </row>
    <row r="387" spans="1:62" x14ac:dyDescent="0.25">
      <c r="A387" s="6" t="s">
        <v>448</v>
      </c>
      <c r="B387" s="6"/>
      <c r="C387" s="7" t="s">
        <v>526</v>
      </c>
      <c r="D387" s="3"/>
      <c r="E387" s="3">
        <f>VLOOKUP(A387,[2]Sheet1!$A$2:$E$627,5,0)</f>
        <v>129.99999900000003</v>
      </c>
      <c r="F387" s="3">
        <f>VLOOKUP(A387,[2]Sheet1!$A$2:$F$627,6,0)</f>
        <v>0</v>
      </c>
      <c r="G387" s="3">
        <f>VLOOKUP(A387,[2]Sheet1!$A$2:$G$627,7,0)</f>
        <v>0</v>
      </c>
      <c r="H387" s="4">
        <f t="shared" ref="H387:H450" si="36">MAX(BF387:BH387)</f>
        <v>129.999999</v>
      </c>
      <c r="I387" s="11">
        <f t="shared" ref="I387:I450" si="37">(F387-E387)/E387</f>
        <v>-1</v>
      </c>
      <c r="J387" s="11">
        <f t="shared" ref="J387:J450" si="38">(G387-E387)/E387</f>
        <v>-1</v>
      </c>
      <c r="K387" s="11" t="e">
        <f t="shared" ref="K387:K450" si="39">(G387-F387)/F387</f>
        <v>#DIV/0!</v>
      </c>
      <c r="L387" s="11">
        <f>IF(S387="",((BG387-E387)/E387),((U387-E387)/E387))</f>
        <v>-2.1862853576178873E-16</v>
      </c>
      <c r="M387" s="3" t="str">
        <f>IF(S387="Churn","Churn",VLOOKUP(A387,'[1]Revenue_Engine_2025 Dec.25'!$C$14:$E$3993,3,0))</f>
        <v>Diğer</v>
      </c>
      <c r="N387" s="3">
        <f>IF(S387="",VLOOKUP(A387,[3]Export!$B$2:$F$417,5,0),"CHURN")</f>
        <v>0.30215039463192606</v>
      </c>
      <c r="O387" s="3">
        <f>(1-N387)*H387</f>
        <v>90.720448000000005</v>
      </c>
      <c r="P387" s="3">
        <f t="shared" si="35"/>
        <v>0</v>
      </c>
      <c r="Q387" s="3">
        <f t="shared" ref="Q387:Q450" si="40">(1-N387)*G387</f>
        <v>0</v>
      </c>
      <c r="R387" s="3" t="str">
        <f>IF(S387&lt;&gt;"Churn",VLOOKUP(A387,[3]Export!$B$2:$O$417,8,0),"CHURN")</f>
        <v>NO RISK</v>
      </c>
      <c r="S387" s="3"/>
      <c r="T387" s="3"/>
      <c r="U387" s="3" t="s">
        <v>551</v>
      </c>
      <c r="V387" s="4" t="str" cm="1">
        <f t="array" ref="V387">IFERROR(
    IF(
        MATCH(2,1/((Y387:BH387&lt;&gt;0)*(Y387:BH387&lt;&gt;"")))-MATCH(1,INDEX((Y387:BH387&lt;&gt;0)*(Y387:BH387&lt;&gt;""),0),0)+1 &lt;= 12,
        "No",
        "Yes"
    ),
    "No"
)</f>
        <v>No</v>
      </c>
      <c r="W387" s="4" t="str" cm="1">
        <f t="array" ref="W387">IFERROR(
    IF(
        MATCH(2,1/((Y387:BH387&lt;&gt;0)*(Y387:BH387&lt;&gt;"")))-MATCH(1,INDEX((Y387:BH387&lt;&gt;0)*(Y387:BH387&lt;&gt;""),0),0)+1 &lt;= 24,
        "No",
        "Yes"
    ),
    "No"
)</f>
        <v>No</v>
      </c>
      <c r="X387" s="3"/>
      <c r="Y387" s="4">
        <v>0</v>
      </c>
      <c r="Z387" s="4">
        <v>0</v>
      </c>
      <c r="AA387" s="4">
        <v>0</v>
      </c>
      <c r="AB387" s="4">
        <v>0</v>
      </c>
      <c r="AC387" s="4">
        <v>0</v>
      </c>
      <c r="AD387" s="4">
        <v>0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4">
        <v>0</v>
      </c>
      <c r="AQ387" s="4">
        <v>0</v>
      </c>
      <c r="AR387" s="4">
        <v>0</v>
      </c>
      <c r="AS387" s="4">
        <v>0</v>
      </c>
      <c r="AT387" s="4">
        <v>0</v>
      </c>
      <c r="AU387" s="4">
        <v>0</v>
      </c>
      <c r="AV387" s="4">
        <v>0</v>
      </c>
      <c r="AW387" s="4">
        <v>0</v>
      </c>
      <c r="AX387" s="4">
        <v>129.999999</v>
      </c>
      <c r="AY387" s="4">
        <v>129.999999</v>
      </c>
      <c r="AZ387" s="4">
        <v>129.99999900000003</v>
      </c>
      <c r="BA387" s="4">
        <v>129.999999</v>
      </c>
      <c r="BB387" s="4">
        <v>129.999999</v>
      </c>
      <c r="BC387" s="4">
        <v>129.999999</v>
      </c>
      <c r="BD387" s="4">
        <v>129.999999</v>
      </c>
      <c r="BE387" s="4">
        <v>129.999999</v>
      </c>
      <c r="BF387" s="4">
        <v>129.999999</v>
      </c>
      <c r="BG387" s="4">
        <v>129.999999</v>
      </c>
      <c r="BH387" s="4">
        <v>129.999999</v>
      </c>
      <c r="BJ387" s="9"/>
    </row>
    <row r="388" spans="1:62" x14ac:dyDescent="0.25">
      <c r="A388" s="6" t="s">
        <v>401</v>
      </c>
      <c r="B388" s="6"/>
      <c r="C388" s="7" t="s">
        <v>526</v>
      </c>
      <c r="D388" s="3"/>
      <c r="E388" s="3">
        <f>VLOOKUP(A388,[2]Sheet1!$A$2:$E$627,5,0)</f>
        <v>700.00000566666677</v>
      </c>
      <c r="F388" s="3">
        <f>VLOOKUP(A388,[2]Sheet1!$A$2:$F$627,6,0)</f>
        <v>0</v>
      </c>
      <c r="G388" s="3">
        <f>VLOOKUP(A388,[2]Sheet1!$A$2:$G$627,7,0)</f>
        <v>0</v>
      </c>
      <c r="H388" s="4">
        <f t="shared" si="36"/>
        <v>700.00000566666677</v>
      </c>
      <c r="I388" s="11">
        <f t="shared" si="37"/>
        <v>-1</v>
      </c>
      <c r="J388" s="11">
        <f t="shared" si="38"/>
        <v>-1</v>
      </c>
      <c r="K388" s="11" t="e">
        <f t="shared" si="39"/>
        <v>#DIV/0!</v>
      </c>
      <c r="L388" s="11">
        <f>IF(S388="",((BG388-E388)/E388),((U388-E388)/E388))</f>
        <v>0</v>
      </c>
      <c r="M388" s="3" t="str">
        <f>IF(S388="Churn","Churn",VLOOKUP(A388,'[1]Revenue_Engine_2025 Dec.25'!$C$14:$E$3993,3,0))</f>
        <v>Diğer</v>
      </c>
      <c r="N388" s="3">
        <f>IF(S388="",VLOOKUP(A388,[3]Export!$B$2:$F$417,5,0),"CHURN")</f>
        <v>9.8886116580445743E-2</v>
      </c>
      <c r="O388" s="3">
        <f>(1-N388)*H388</f>
        <v>630.77972350000005</v>
      </c>
      <c r="P388" s="3">
        <f t="shared" si="35"/>
        <v>0</v>
      </c>
      <c r="Q388" s="3">
        <f t="shared" si="40"/>
        <v>0</v>
      </c>
      <c r="R388" s="3" t="str">
        <f>IF(S388&lt;&gt;"Churn",VLOOKUP(A388,[3]Export!$B$2:$O$417,8,0),"CHURN")</f>
        <v>NO RISK</v>
      </c>
      <c r="S388" s="3"/>
      <c r="T388" s="3"/>
      <c r="U388" s="3" t="s">
        <v>551</v>
      </c>
      <c r="V388" s="4" t="str" cm="1">
        <f t="array" ref="V388">IFERROR(
    IF(
        MATCH(2,1/((Y388:BH388&lt;&gt;0)*(Y388:BH388&lt;&gt;"")))-MATCH(1,INDEX((Y388:BH388&lt;&gt;0)*(Y388:BH388&lt;&gt;""),0),0)+1 &lt;= 12,
        "No",
        "Yes"
    ),
    "No"
)</f>
        <v>No</v>
      </c>
      <c r="W388" s="4" t="str" cm="1">
        <f t="array" ref="W388">IFERROR(
    IF(
        MATCH(2,1/((Y388:BH388&lt;&gt;0)*(Y388:BH388&lt;&gt;"")))-MATCH(1,INDEX((Y388:BH388&lt;&gt;0)*(Y388:BH388&lt;&gt;""),0),0)+1 &lt;= 24,
        "No",
        "Yes"
    ),
    "No"
)</f>
        <v>No</v>
      </c>
      <c r="X388" s="3"/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4">
        <v>0</v>
      </c>
      <c r="AQ388" s="4">
        <v>0</v>
      </c>
      <c r="AR388" s="4">
        <v>0</v>
      </c>
      <c r="AS388" s="4">
        <v>0</v>
      </c>
      <c r="AT388" s="4">
        <v>0</v>
      </c>
      <c r="AU388" s="4">
        <v>0</v>
      </c>
      <c r="AV388" s="4">
        <v>0</v>
      </c>
      <c r="AW388" s="4">
        <v>0</v>
      </c>
      <c r="AX388" s="4">
        <v>0</v>
      </c>
      <c r="AY388" s="4">
        <v>700.00000566666677</v>
      </c>
      <c r="AZ388" s="4">
        <v>700.00000566666677</v>
      </c>
      <c r="BA388" s="4">
        <v>700.00000566666677</v>
      </c>
      <c r="BB388" s="4">
        <v>700.00000566666677</v>
      </c>
      <c r="BC388" s="4">
        <v>700.00000566666677</v>
      </c>
      <c r="BD388" s="4">
        <v>700.00000566666677</v>
      </c>
      <c r="BE388" s="4">
        <v>700.00000566666677</v>
      </c>
      <c r="BF388" s="4">
        <v>700.00000566666677</v>
      </c>
      <c r="BG388" s="4">
        <v>700.00000566666677</v>
      </c>
      <c r="BH388" s="4">
        <v>700.00000566666677</v>
      </c>
      <c r="BJ388" s="9"/>
    </row>
    <row r="389" spans="1:62" x14ac:dyDescent="0.25">
      <c r="A389" s="6" t="s">
        <v>414</v>
      </c>
      <c r="B389" s="6"/>
      <c r="C389" s="7" t="s">
        <v>526</v>
      </c>
      <c r="D389" s="3"/>
      <c r="E389" s="3">
        <f>VLOOKUP(A389,[2]Sheet1!$A$2:$E$627,5,0)</f>
        <v>402.99999500000018</v>
      </c>
      <c r="F389" s="3">
        <f>VLOOKUP(A389,[2]Sheet1!$A$2:$F$627,6,0)</f>
        <v>0</v>
      </c>
      <c r="G389" s="3">
        <f>VLOOKUP(A389,[2]Sheet1!$A$2:$G$627,7,0)</f>
        <v>0</v>
      </c>
      <c r="H389" s="4">
        <f t="shared" si="36"/>
        <v>402.99999499999996</v>
      </c>
      <c r="I389" s="11">
        <f t="shared" si="37"/>
        <v>-1</v>
      </c>
      <c r="J389" s="11">
        <f t="shared" si="38"/>
        <v>-1</v>
      </c>
      <c r="K389" s="11" t="e">
        <f t="shared" si="39"/>
        <v>#DIV/0!</v>
      </c>
      <c r="L389" s="11">
        <f>IF(S389="",((BG389-E389)/E389),((U389-E389)/E389))</f>
        <v>-5.6420267559366091E-16</v>
      </c>
      <c r="M389" s="3" t="str">
        <f>IF(S389="Churn","Churn",VLOOKUP(A389,'[1]Revenue_Engine_2025 Dec.25'!$C$14:$E$3993,3,0))</f>
        <v>Teknoloji</v>
      </c>
      <c r="N389" s="3">
        <f>IF(S389="",VLOOKUP(A389,[3]Export!$B$2:$F$417,5,0),"CHURN")</f>
        <v>0.26407185935573024</v>
      </c>
      <c r="O389" s="3">
        <f>(1-N389)*H389</f>
        <v>296.57903699999997</v>
      </c>
      <c r="P389" s="3">
        <f t="shared" si="35"/>
        <v>0</v>
      </c>
      <c r="Q389" s="3">
        <f t="shared" si="40"/>
        <v>0</v>
      </c>
      <c r="R389" s="3" t="str">
        <f>IF(S389&lt;&gt;"Churn",VLOOKUP(A389,[3]Export!$B$2:$O$417,8,0),"CHURN")</f>
        <v>NO RISK</v>
      </c>
      <c r="S389" s="3"/>
      <c r="T389" s="3"/>
      <c r="U389" s="3" t="s">
        <v>551</v>
      </c>
      <c r="V389" s="4" t="str" cm="1">
        <f t="array" ref="V389">IFERROR(
    IF(
        MATCH(2,1/((Y389:BH389&lt;&gt;0)*(Y389:BH389&lt;&gt;"")))-MATCH(1,INDEX((Y389:BH389&lt;&gt;0)*(Y389:BH389&lt;&gt;""),0),0)+1 &lt;= 12,
        "No",
        "Yes"
    ),
    "No"
)</f>
        <v>No</v>
      </c>
      <c r="W389" s="4" t="str" cm="1">
        <f t="array" ref="W389">IFERROR(
    IF(
        MATCH(2,1/((Y389:BH389&lt;&gt;0)*(Y389:BH389&lt;&gt;"")))-MATCH(1,INDEX((Y389:BH389&lt;&gt;0)*(Y389:BH389&lt;&gt;""),0),0)+1 &lt;= 24,
        "No",
        "Yes"
    ),
    "No"
)</f>
        <v>No</v>
      </c>
      <c r="X389" s="3"/>
      <c r="Y389" s="4">
        <v>0</v>
      </c>
      <c r="Z389" s="4">
        <v>0</v>
      </c>
      <c r="AA389" s="4">
        <v>0</v>
      </c>
      <c r="AB389" s="4">
        <v>0</v>
      </c>
      <c r="AC389" s="4">
        <v>0</v>
      </c>
      <c r="AD389" s="4">
        <v>0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4">
        <v>0</v>
      </c>
      <c r="AQ389" s="4">
        <v>0</v>
      </c>
      <c r="AR389" s="4">
        <v>0</v>
      </c>
      <c r="AS389" s="4">
        <v>0</v>
      </c>
      <c r="AT389" s="4">
        <v>0</v>
      </c>
      <c r="AU389" s="4">
        <v>0</v>
      </c>
      <c r="AV389" s="4">
        <v>0</v>
      </c>
      <c r="AW389" s="4">
        <v>0</v>
      </c>
      <c r="AX389" s="4">
        <v>0</v>
      </c>
      <c r="AY389" s="4">
        <v>399.99999499999996</v>
      </c>
      <c r="AZ389" s="4">
        <v>402.99999500000018</v>
      </c>
      <c r="BA389" s="4">
        <v>402.99999499999996</v>
      </c>
      <c r="BB389" s="4">
        <v>402.99999499999996</v>
      </c>
      <c r="BC389" s="4">
        <v>402.99999499999996</v>
      </c>
      <c r="BD389" s="4">
        <v>402.99999499999996</v>
      </c>
      <c r="BE389" s="4">
        <v>402.99999499999996</v>
      </c>
      <c r="BF389" s="4">
        <v>402.99999499999996</v>
      </c>
      <c r="BG389" s="4">
        <v>402.99999499999996</v>
      </c>
      <c r="BH389" s="4">
        <v>402.99999499999996</v>
      </c>
      <c r="BJ389" s="9"/>
    </row>
    <row r="390" spans="1:62" x14ac:dyDescent="0.25">
      <c r="A390" s="6" t="s">
        <v>391</v>
      </c>
      <c r="B390" s="6"/>
      <c r="C390" s="7" t="s">
        <v>526</v>
      </c>
      <c r="D390" s="3"/>
      <c r="E390" s="3">
        <f>VLOOKUP(A390,[2]Sheet1!$A$2:$E$627,5,0)</f>
        <v>1350.0199480000003</v>
      </c>
      <c r="F390" s="3">
        <f>VLOOKUP(A390,[2]Sheet1!$A$2:$F$627,6,0)</f>
        <v>0</v>
      </c>
      <c r="G390" s="3">
        <f>VLOOKUP(A390,[2]Sheet1!$A$2:$G$627,7,0)</f>
        <v>0</v>
      </c>
      <c r="H390" s="4">
        <f t="shared" si="36"/>
        <v>1355.0199479999997</v>
      </c>
      <c r="I390" s="11">
        <f t="shared" si="37"/>
        <v>-1</v>
      </c>
      <c r="J390" s="11">
        <f t="shared" si="38"/>
        <v>-1</v>
      </c>
      <c r="K390" s="11" t="e">
        <f t="shared" si="39"/>
        <v>#DIV/0!</v>
      </c>
      <c r="L390" s="11">
        <f>IF(S390="",((BG390-E390)/E390),((U390-E390)/E390))</f>
        <v>3.7036489774885288E-3</v>
      </c>
      <c r="M390" s="3" t="str">
        <f>IF(S390="Churn","Churn",VLOOKUP(A390,'[1]Revenue_Engine_2025 Dec.25'!$C$14:$E$3993,3,0))</f>
        <v>Lojistik</v>
      </c>
      <c r="N390" s="3">
        <v>0</v>
      </c>
      <c r="O390" s="3">
        <f>(1-N390)*H390</f>
        <v>1355.0199479999997</v>
      </c>
      <c r="P390" s="3">
        <f t="shared" ref="P390:P453" si="41">(1-N390)*F390</f>
        <v>0</v>
      </c>
      <c r="Q390" s="3">
        <f t="shared" si="40"/>
        <v>0</v>
      </c>
      <c r="R390" s="3" t="e">
        <f>IF(S390&lt;&gt;"Churn",VLOOKUP(A390,[3]Export!$B$2:$O$417,8,0),"CHURN")</f>
        <v>#N/A</v>
      </c>
      <c r="S390" s="3"/>
      <c r="T390" s="3"/>
      <c r="U390" s="3" t="s">
        <v>551</v>
      </c>
      <c r="V390" s="4" t="str" cm="1">
        <f t="array" ref="V390">IFERROR(
    IF(
        MATCH(2,1/((Y390:BH390&lt;&gt;0)*(Y390:BH390&lt;&gt;"")))-MATCH(1,INDEX((Y390:BH390&lt;&gt;0)*(Y390:BH390&lt;&gt;""),0),0)+1 &lt;= 12,
        "No",
        "Yes"
    ),
    "No"
)</f>
        <v>No</v>
      </c>
      <c r="W390" s="4" t="str" cm="1">
        <f t="array" ref="W390">IFERROR(
    IF(
        MATCH(2,1/((Y390:BH390&lt;&gt;0)*(Y390:BH390&lt;&gt;"")))-MATCH(1,INDEX((Y390:BH390&lt;&gt;0)*(Y390:BH390&lt;&gt;""),0),0)+1 &lt;= 24,
        "No",
        "Yes"
    ),
    "No"
)</f>
        <v>No</v>
      </c>
      <c r="X390" s="3"/>
      <c r="Y390" s="4">
        <v>0</v>
      </c>
      <c r="Z390" s="4">
        <v>0</v>
      </c>
      <c r="AA390" s="4">
        <v>0</v>
      </c>
      <c r="AB390" s="4">
        <v>0</v>
      </c>
      <c r="AC390" s="4">
        <v>0</v>
      </c>
      <c r="AD390" s="4">
        <v>0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4">
        <v>0</v>
      </c>
      <c r="AQ390" s="4">
        <v>0</v>
      </c>
      <c r="AR390" s="4">
        <v>0</v>
      </c>
      <c r="AS390" s="4">
        <v>0</v>
      </c>
      <c r="AT390" s="4">
        <v>0</v>
      </c>
      <c r="AU390" s="4">
        <v>0</v>
      </c>
      <c r="AV390" s="4">
        <v>0</v>
      </c>
      <c r="AW390" s="4">
        <v>0</v>
      </c>
      <c r="AX390" s="4">
        <v>0</v>
      </c>
      <c r="AY390" s="4">
        <v>1350.0199479999999</v>
      </c>
      <c r="AZ390" s="4">
        <v>1350.0199480000003</v>
      </c>
      <c r="BA390" s="4">
        <v>1350.0199479999999</v>
      </c>
      <c r="BB390" s="4">
        <v>1350.0199479999999</v>
      </c>
      <c r="BC390" s="4">
        <v>1350.0199479999999</v>
      </c>
      <c r="BD390" s="4">
        <v>1350.0199479999999</v>
      </c>
      <c r="BE390" s="4">
        <v>1350.0199479999999</v>
      </c>
      <c r="BF390" s="4">
        <v>1350.0199479999999</v>
      </c>
      <c r="BG390" s="4">
        <v>1355.0199479999997</v>
      </c>
      <c r="BH390" s="4">
        <v>1355.0199479999997</v>
      </c>
      <c r="BJ390" s="9"/>
    </row>
    <row r="391" spans="1:62" x14ac:dyDescent="0.25">
      <c r="A391" s="6" t="s">
        <v>462</v>
      </c>
      <c r="B391" s="6"/>
      <c r="C391" s="7" t="s">
        <v>526</v>
      </c>
      <c r="D391" s="3"/>
      <c r="E391" s="3">
        <f>VLOOKUP(A391,[2]Sheet1!$A$2:$E$627,5,0)</f>
        <v>105.00742299999999</v>
      </c>
      <c r="F391" s="3">
        <f>VLOOKUP(A391,[2]Sheet1!$A$2:$F$627,6,0)</f>
        <v>0</v>
      </c>
      <c r="G391" s="3">
        <f>VLOOKUP(A391,[2]Sheet1!$A$2:$G$627,7,0)</f>
        <v>0</v>
      </c>
      <c r="H391" s="4">
        <f t="shared" si="36"/>
        <v>105.00742299999999</v>
      </c>
      <c r="I391" s="11">
        <f t="shared" si="37"/>
        <v>-1</v>
      </c>
      <c r="J391" s="11">
        <f t="shared" si="38"/>
        <v>-1</v>
      </c>
      <c r="K391" s="11" t="e">
        <f t="shared" si="39"/>
        <v>#DIV/0!</v>
      </c>
      <c r="L391" s="11">
        <f>IF(S391="",((BG391-E391)/E391),((U391-E391)/E391))</f>
        <v>0</v>
      </c>
      <c r="M391" s="3" t="str">
        <f>IF(S391="Churn","Churn",VLOOKUP(A391,'[1]Revenue_Engine_2025 Dec.25'!$C$14:$E$3993,3,0))</f>
        <v>Diğer</v>
      </c>
      <c r="N391" s="3">
        <f>IF(S391="",VLOOKUP(A391,[3]Export!$B$2:$F$417,5,0),"CHURN")</f>
        <v>0.30219973115614879</v>
      </c>
      <c r="O391" s="3">
        <f>(1-N391)*H391</f>
        <v>73.274207999999987</v>
      </c>
      <c r="P391" s="3">
        <f t="shared" si="41"/>
        <v>0</v>
      </c>
      <c r="Q391" s="3">
        <f t="shared" si="40"/>
        <v>0</v>
      </c>
      <c r="R391" s="3" t="str">
        <f>IF(S391&lt;&gt;"Churn",VLOOKUP(A391,[3]Export!$B$2:$O$417,8,0),"CHURN")</f>
        <v>NO RISK</v>
      </c>
      <c r="S391" s="3"/>
      <c r="T391" s="3"/>
      <c r="U391" s="3" t="s">
        <v>551</v>
      </c>
      <c r="V391" s="4" t="str" cm="1">
        <f t="array" ref="V391">IFERROR(
    IF(
        MATCH(2,1/((Y391:BH391&lt;&gt;0)*(Y391:BH391&lt;&gt;"")))-MATCH(1,INDEX((Y391:BH391&lt;&gt;0)*(Y391:BH391&lt;&gt;""),0),0)+1 &lt;= 12,
        "No",
        "Yes"
    ),
    "No"
)</f>
        <v>No</v>
      </c>
      <c r="W391" s="4" t="str" cm="1">
        <f t="array" ref="W391">IFERROR(
    IF(
        MATCH(2,1/((Y391:BH391&lt;&gt;0)*(Y391:BH391&lt;&gt;"")))-MATCH(1,INDEX((Y391:BH391&lt;&gt;0)*(Y391:BH391&lt;&gt;""),0),0)+1 &lt;= 24,
        "No",
        "Yes"
    ),
    "No"
)</f>
        <v>No</v>
      </c>
      <c r="X391" s="3"/>
      <c r="Y391" s="4">
        <v>0</v>
      </c>
      <c r="Z391" s="4">
        <v>0</v>
      </c>
      <c r="AA391" s="4">
        <v>0</v>
      </c>
      <c r="AB391" s="4">
        <v>0</v>
      </c>
      <c r="AC391" s="4">
        <v>0</v>
      </c>
      <c r="AD391" s="4">
        <v>0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4">
        <v>0</v>
      </c>
      <c r="AQ391" s="4">
        <v>0</v>
      </c>
      <c r="AR391" s="4">
        <v>0</v>
      </c>
      <c r="AS391" s="4">
        <v>0</v>
      </c>
      <c r="AT391" s="4">
        <v>0</v>
      </c>
      <c r="AU391" s="4">
        <v>0</v>
      </c>
      <c r="AV391" s="4">
        <v>0</v>
      </c>
      <c r="AW391" s="4">
        <v>0</v>
      </c>
      <c r="AX391" s="4">
        <v>0</v>
      </c>
      <c r="AY391" s="4">
        <v>105.00742299999999</v>
      </c>
      <c r="AZ391" s="4">
        <v>105.00742299999999</v>
      </c>
      <c r="BA391" s="4">
        <v>105.00742299999999</v>
      </c>
      <c r="BB391" s="4">
        <v>105.00742299999999</v>
      </c>
      <c r="BC391" s="4">
        <v>105.00742299999999</v>
      </c>
      <c r="BD391" s="4">
        <v>105.00742299999999</v>
      </c>
      <c r="BE391" s="4">
        <v>105.00742299999999</v>
      </c>
      <c r="BF391" s="4">
        <v>105.00742299999999</v>
      </c>
      <c r="BG391" s="4">
        <v>105.00742299999999</v>
      </c>
      <c r="BH391" s="4">
        <v>105.00742299999999</v>
      </c>
      <c r="BJ391" s="9"/>
    </row>
    <row r="392" spans="1:62" x14ac:dyDescent="0.25">
      <c r="A392" s="6" t="s">
        <v>440</v>
      </c>
      <c r="B392" s="6"/>
      <c r="C392" s="7" t="s">
        <v>526</v>
      </c>
      <c r="D392" s="3"/>
      <c r="E392" s="3">
        <f>VLOOKUP(A392,[2]Sheet1!$A$2:$E$627,5,0)</f>
        <v>180.000428</v>
      </c>
      <c r="F392" s="3">
        <f>VLOOKUP(A392,[2]Sheet1!$A$2:$F$627,6,0)</f>
        <v>0</v>
      </c>
      <c r="G392" s="3">
        <f>VLOOKUP(A392,[2]Sheet1!$A$2:$G$627,7,0)</f>
        <v>0</v>
      </c>
      <c r="H392" s="4">
        <f t="shared" si="36"/>
        <v>180.000428</v>
      </c>
      <c r="I392" s="11">
        <f t="shared" si="37"/>
        <v>-1</v>
      </c>
      <c r="J392" s="11">
        <f t="shared" si="38"/>
        <v>-1</v>
      </c>
      <c r="K392" s="11" t="e">
        <f t="shared" si="39"/>
        <v>#DIV/0!</v>
      </c>
      <c r="L392" s="11">
        <f>IF(S392="",((BG392-E392)/E392),((U392-E392)/E392))</f>
        <v>0</v>
      </c>
      <c r="M392" s="3" t="str">
        <f>IF(S392="Churn","Churn",VLOOKUP(A392,'[1]Revenue_Engine_2025 Dec.25'!$C$14:$E$3993,3,0))</f>
        <v>Diğer</v>
      </c>
      <c r="N392" s="3">
        <f>IF(S392="",VLOOKUP(A392,[3]Export!$B$2:$F$417,5,0),"CHURN")</f>
        <v>0.10251955623127741</v>
      </c>
      <c r="O392" s="3">
        <f>(1-N392)*H392</f>
        <v>161.546864</v>
      </c>
      <c r="P392" s="3">
        <f t="shared" si="41"/>
        <v>0</v>
      </c>
      <c r="Q392" s="3">
        <f t="shared" si="40"/>
        <v>0</v>
      </c>
      <c r="R392" s="3" t="str">
        <f>IF(S392&lt;&gt;"Churn",VLOOKUP(A392,[3]Export!$B$2:$O$417,8,0),"CHURN")</f>
        <v>NO RISK</v>
      </c>
      <c r="S392" s="3"/>
      <c r="T392" s="3"/>
      <c r="U392" s="3" t="s">
        <v>551</v>
      </c>
      <c r="V392" s="4" t="str" cm="1">
        <f t="array" ref="V392">IFERROR(
    IF(
        MATCH(2,1/((Y392:BH392&lt;&gt;0)*(Y392:BH392&lt;&gt;"")))-MATCH(1,INDEX((Y392:BH392&lt;&gt;0)*(Y392:BH392&lt;&gt;""),0),0)+1 &lt;= 12,
        "No",
        "Yes"
    ),
    "No"
)</f>
        <v>No</v>
      </c>
      <c r="W392" s="4" t="str" cm="1">
        <f t="array" ref="W392">IFERROR(
    IF(
        MATCH(2,1/((Y392:BH392&lt;&gt;0)*(Y392:BH392&lt;&gt;"")))-MATCH(1,INDEX((Y392:BH392&lt;&gt;0)*(Y392:BH392&lt;&gt;""),0),0)+1 &lt;= 24,
        "No",
        "Yes"
    ),
    "No"
)</f>
        <v>No</v>
      </c>
      <c r="X392" s="3"/>
      <c r="Y392" s="4">
        <v>0</v>
      </c>
      <c r="Z392" s="4">
        <v>0</v>
      </c>
      <c r="AA392" s="4">
        <v>0</v>
      </c>
      <c r="AB392" s="4">
        <v>0</v>
      </c>
      <c r="AC392" s="4">
        <v>0</v>
      </c>
      <c r="AD392" s="4">
        <v>0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4">
        <v>0</v>
      </c>
      <c r="AQ392" s="4">
        <v>0</v>
      </c>
      <c r="AR392" s="4">
        <v>0</v>
      </c>
      <c r="AS392" s="4">
        <v>0</v>
      </c>
      <c r="AT392" s="4">
        <v>0</v>
      </c>
      <c r="AU392" s="4">
        <v>0</v>
      </c>
      <c r="AV392" s="4">
        <v>0</v>
      </c>
      <c r="AW392" s="4">
        <v>0</v>
      </c>
      <c r="AX392" s="4">
        <v>0</v>
      </c>
      <c r="AY392" s="4">
        <v>180.000428</v>
      </c>
      <c r="AZ392" s="4">
        <v>180.000428</v>
      </c>
      <c r="BA392" s="4">
        <v>180.000428</v>
      </c>
      <c r="BB392" s="4">
        <v>180.000428</v>
      </c>
      <c r="BC392" s="4">
        <v>180.000428</v>
      </c>
      <c r="BD392" s="4">
        <v>180.000428</v>
      </c>
      <c r="BE392" s="4">
        <v>180.000428</v>
      </c>
      <c r="BF392" s="4">
        <v>180.000428</v>
      </c>
      <c r="BG392" s="4">
        <v>180.000428</v>
      </c>
      <c r="BH392" s="4">
        <v>180.000428</v>
      </c>
      <c r="BJ392" s="9"/>
    </row>
    <row r="393" spans="1:62" x14ac:dyDescent="0.25">
      <c r="A393" s="6" t="s">
        <v>433</v>
      </c>
      <c r="B393" s="6"/>
      <c r="C393" s="7" t="s">
        <v>526</v>
      </c>
      <c r="D393" s="3"/>
      <c r="E393" s="3">
        <f>VLOOKUP(A393,[2]Sheet1!$A$2:$E$627,5,0)</f>
        <v>226.88017393819007</v>
      </c>
      <c r="F393" s="3">
        <f>VLOOKUP(A393,[2]Sheet1!$A$2:$F$627,6,0)</f>
        <v>0</v>
      </c>
      <c r="G393" s="3">
        <f>VLOOKUP(A393,[2]Sheet1!$A$2:$G$627,7,0)</f>
        <v>0</v>
      </c>
      <c r="H393" s="4">
        <f t="shared" si="36"/>
        <v>226.88017393819007</v>
      </c>
      <c r="I393" s="11">
        <f t="shared" si="37"/>
        <v>-1</v>
      </c>
      <c r="J393" s="11">
        <f t="shared" si="38"/>
        <v>-1</v>
      </c>
      <c r="K393" s="11" t="e">
        <f t="shared" si="39"/>
        <v>#DIV/0!</v>
      </c>
      <c r="L393" s="11">
        <f>IF(S393="",((BG393-E393)/E393),((U393-E393)/E393))</f>
        <v>0</v>
      </c>
      <c r="M393" s="3" t="str">
        <f>IF(S393="Churn","Churn",VLOOKUP(A393,'[1]Revenue_Engine_2025 Dec.25'!$C$14:$E$3993,3,0))</f>
        <v>Diğer</v>
      </c>
      <c r="N393" s="3">
        <f>IF(S393="",VLOOKUP(A393,[3]Export!$B$2:$F$417,5,0),"CHURN")</f>
        <v>0.31755805033525203</v>
      </c>
      <c r="O393" s="3">
        <f>(1-N393)*H393</f>
        <v>154.83254824265558</v>
      </c>
      <c r="P393" s="3">
        <f t="shared" si="41"/>
        <v>0</v>
      </c>
      <c r="Q393" s="3">
        <f t="shared" si="40"/>
        <v>0</v>
      </c>
      <c r="R393" s="3" t="str">
        <f>IF(S393&lt;&gt;"Churn",VLOOKUP(A393,[3]Export!$B$2:$O$417,8,0),"CHURN")</f>
        <v>NO RISK</v>
      </c>
      <c r="S393" s="3"/>
      <c r="T393" s="3"/>
      <c r="U393" s="3" t="s">
        <v>551</v>
      </c>
      <c r="V393" s="4" t="str" cm="1">
        <f t="array" ref="V393">IFERROR(
    IF(
        MATCH(2,1/((Y393:BH393&lt;&gt;0)*(Y393:BH393&lt;&gt;"")))-MATCH(1,INDEX((Y393:BH393&lt;&gt;0)*(Y393:BH393&lt;&gt;""),0),0)+1 &lt;= 12,
        "No",
        "Yes"
    ),
    "No"
)</f>
        <v>No</v>
      </c>
      <c r="W393" s="4" t="str" cm="1">
        <f t="array" ref="W393">IFERROR(
    IF(
        MATCH(2,1/((Y393:BH393&lt;&gt;0)*(Y393:BH393&lt;&gt;"")))-MATCH(1,INDEX((Y393:BH393&lt;&gt;0)*(Y393:BH393&lt;&gt;""),0),0)+1 &lt;= 24,
        "No",
        "Yes"
    ),
    "No"
)</f>
        <v>No</v>
      </c>
      <c r="X393" s="3"/>
      <c r="Y393" s="4">
        <v>0</v>
      </c>
      <c r="Z393" s="4">
        <v>0</v>
      </c>
      <c r="AA393" s="4">
        <v>0</v>
      </c>
      <c r="AB393" s="4">
        <v>0</v>
      </c>
      <c r="AC393" s="4">
        <v>0</v>
      </c>
      <c r="AD393" s="4">
        <v>0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4">
        <v>0</v>
      </c>
      <c r="AQ393" s="4">
        <v>0</v>
      </c>
      <c r="AR393" s="4">
        <v>0</v>
      </c>
      <c r="AS393" s="4">
        <v>0</v>
      </c>
      <c r="AT393" s="4">
        <v>0</v>
      </c>
      <c r="AU393" s="4">
        <v>0</v>
      </c>
      <c r="AV393" s="4">
        <v>0</v>
      </c>
      <c r="AW393" s="4">
        <v>0</v>
      </c>
      <c r="AX393" s="4">
        <v>0</v>
      </c>
      <c r="AY393" s="4">
        <v>0</v>
      </c>
      <c r="AZ393" s="4">
        <v>226.88017393819007</v>
      </c>
      <c r="BA393" s="4">
        <v>226.88017393819007</v>
      </c>
      <c r="BB393" s="4">
        <v>226.88017393819007</v>
      </c>
      <c r="BC393" s="4">
        <v>226.88017393819007</v>
      </c>
      <c r="BD393" s="4">
        <v>226.88017393819007</v>
      </c>
      <c r="BE393" s="4">
        <v>226.88017393819007</v>
      </c>
      <c r="BF393" s="4">
        <v>226.88017393819007</v>
      </c>
      <c r="BG393" s="4">
        <v>226.88017393819007</v>
      </c>
      <c r="BH393" s="4">
        <v>226.88017393819007</v>
      </c>
      <c r="BJ393" s="9"/>
    </row>
    <row r="394" spans="1:62" x14ac:dyDescent="0.25">
      <c r="A394" s="6" t="s">
        <v>473</v>
      </c>
      <c r="B394" s="6"/>
      <c r="C394" s="7" t="s">
        <v>526</v>
      </c>
      <c r="D394" s="3"/>
      <c r="E394" s="3">
        <f>VLOOKUP(A394,[2]Sheet1!$A$2:$E$627,5,0)</f>
        <v>102.99908624999999</v>
      </c>
      <c r="F394" s="3">
        <f>VLOOKUP(A394,[2]Sheet1!$A$2:$F$627,6,0)</f>
        <v>0</v>
      </c>
      <c r="G394" s="3">
        <f>VLOOKUP(A394,[2]Sheet1!$A$2:$G$627,7,0)</f>
        <v>0</v>
      </c>
      <c r="H394" s="4">
        <f t="shared" si="36"/>
        <v>102.99908624999999</v>
      </c>
      <c r="I394" s="11">
        <f t="shared" si="37"/>
        <v>-1</v>
      </c>
      <c r="J394" s="11">
        <f t="shared" si="38"/>
        <v>-1</v>
      </c>
      <c r="K394" s="11" t="e">
        <f t="shared" si="39"/>
        <v>#DIV/0!</v>
      </c>
      <c r="L394" s="11">
        <f>IF(S394="",((BG394-E394)/E394),((U394-E394)/E394))</f>
        <v>0</v>
      </c>
      <c r="M394" s="3" t="str">
        <f>IF(S394="Churn","Churn",VLOOKUP(A394,'[1]Revenue_Engine_2025 Dec.25'!$C$14:$E$3993,3,0))</f>
        <v>Diğer</v>
      </c>
      <c r="N394" s="3">
        <f>IF(S394="",VLOOKUP(A394,[3]Export!$B$2:$F$417,5,0),"CHURN")</f>
        <v>0.30215308180302747</v>
      </c>
      <c r="O394" s="3">
        <f>(1-N394)*H394</f>
        <v>71.877594916666666</v>
      </c>
      <c r="P394" s="3">
        <f t="shared" si="41"/>
        <v>0</v>
      </c>
      <c r="Q394" s="3">
        <f t="shared" si="40"/>
        <v>0</v>
      </c>
      <c r="R394" s="3" t="str">
        <f>IF(S394&lt;&gt;"Churn",VLOOKUP(A394,[3]Export!$B$2:$O$417,8,0),"CHURN")</f>
        <v>NO RISK</v>
      </c>
      <c r="S394" s="3"/>
      <c r="T394" s="3"/>
      <c r="U394" s="3" t="s">
        <v>551</v>
      </c>
      <c r="V394" s="4" t="str" cm="1">
        <f t="array" ref="V394">IFERROR(
    IF(
        MATCH(2,1/((Y394:BH394&lt;&gt;0)*(Y394:BH394&lt;&gt;"")))-MATCH(1,INDEX((Y394:BH394&lt;&gt;0)*(Y394:BH394&lt;&gt;""),0),0)+1 &lt;= 12,
        "No",
        "Yes"
    ),
    "No"
)</f>
        <v>No</v>
      </c>
      <c r="W394" s="4" t="str" cm="1">
        <f t="array" ref="W394">IFERROR(
    IF(
        MATCH(2,1/((Y394:BH394&lt;&gt;0)*(Y394:BH394&lt;&gt;"")))-MATCH(1,INDEX((Y394:BH394&lt;&gt;0)*(Y394:BH394&lt;&gt;""),0),0)+1 &lt;= 24,
        "No",
        "Yes"
    ),
    "No"
)</f>
        <v>No</v>
      </c>
      <c r="X394" s="3"/>
      <c r="Y394" s="4">
        <v>0</v>
      </c>
      <c r="Z394" s="4">
        <v>0</v>
      </c>
      <c r="AA394" s="4">
        <v>0</v>
      </c>
      <c r="AB394" s="4">
        <v>0</v>
      </c>
      <c r="AC394" s="4">
        <v>0</v>
      </c>
      <c r="AD394" s="4">
        <v>0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4">
        <v>0</v>
      </c>
      <c r="AQ394" s="4">
        <v>0</v>
      </c>
      <c r="AR394" s="4">
        <v>0</v>
      </c>
      <c r="AS394" s="4">
        <v>0</v>
      </c>
      <c r="AT394" s="4">
        <v>0</v>
      </c>
      <c r="AU394" s="4">
        <v>0</v>
      </c>
      <c r="AV394" s="4">
        <v>0</v>
      </c>
      <c r="AW394" s="4">
        <v>0</v>
      </c>
      <c r="AX394" s="4">
        <v>0</v>
      </c>
      <c r="AY394" s="4">
        <v>0</v>
      </c>
      <c r="AZ394" s="4">
        <v>102.99908624999999</v>
      </c>
      <c r="BA394" s="4">
        <v>102.99908624999999</v>
      </c>
      <c r="BB394" s="4">
        <v>102.99908624999999</v>
      </c>
      <c r="BC394" s="4">
        <v>102.99908624999999</v>
      </c>
      <c r="BD394" s="4">
        <v>102.99908624999999</v>
      </c>
      <c r="BE394" s="4">
        <v>102.99908624999999</v>
      </c>
      <c r="BF394" s="4">
        <v>102.99908624999999</v>
      </c>
      <c r="BG394" s="4">
        <v>102.99908624999999</v>
      </c>
      <c r="BH394" s="4">
        <v>102.99908624999999</v>
      </c>
      <c r="BJ394" s="9"/>
    </row>
    <row r="395" spans="1:62" x14ac:dyDescent="0.25">
      <c r="A395" s="6" t="s">
        <v>472</v>
      </c>
      <c r="B395" s="6"/>
      <c r="C395" s="7" t="s">
        <v>526</v>
      </c>
      <c r="D395" s="3"/>
      <c r="E395" s="3">
        <f>VLOOKUP(A395,[2]Sheet1!$A$2:$E$627,5,0)</f>
        <v>102.99921575</v>
      </c>
      <c r="F395" s="3">
        <f>VLOOKUP(A395,[2]Sheet1!$A$2:$F$627,6,0)</f>
        <v>0</v>
      </c>
      <c r="G395" s="3">
        <f>VLOOKUP(A395,[2]Sheet1!$A$2:$G$627,7,0)</f>
        <v>0</v>
      </c>
      <c r="H395" s="4">
        <f t="shared" si="36"/>
        <v>102.99921575</v>
      </c>
      <c r="I395" s="11">
        <f t="shared" si="37"/>
        <v>-1</v>
      </c>
      <c r="J395" s="11">
        <f t="shared" si="38"/>
        <v>-1</v>
      </c>
      <c r="K395" s="11" t="e">
        <f t="shared" si="39"/>
        <v>#DIV/0!</v>
      </c>
      <c r="L395" s="11">
        <f>IF(S395="",((BG395-E395)/E395),((U395-E395)/E395))</f>
        <v>0</v>
      </c>
      <c r="M395" s="3" t="str">
        <f>IF(S395="Churn","Churn",VLOOKUP(A395,'[1]Revenue_Engine_2025 Dec.25'!$C$14:$E$3993,3,0))</f>
        <v>Diğer</v>
      </c>
      <c r="N395" s="3">
        <f>IF(S395="",VLOOKUP(A395,[3]Export!$B$2:$F$417,5,0),"CHURN")</f>
        <v>0.3021527019086388</v>
      </c>
      <c r="O395" s="3">
        <f>(1-N395)*H395</f>
        <v>71.87772441666668</v>
      </c>
      <c r="P395" s="3">
        <f t="shared" si="41"/>
        <v>0</v>
      </c>
      <c r="Q395" s="3">
        <f t="shared" si="40"/>
        <v>0</v>
      </c>
      <c r="R395" s="3" t="str">
        <f>IF(S395&lt;&gt;"Churn",VLOOKUP(A395,[3]Export!$B$2:$O$417,8,0),"CHURN")</f>
        <v>NO RISK</v>
      </c>
      <c r="S395" s="3"/>
      <c r="T395" s="3"/>
      <c r="U395" s="3" t="s">
        <v>551</v>
      </c>
      <c r="V395" s="4" t="str" cm="1">
        <f t="array" ref="V395">IFERROR(
    IF(
        MATCH(2,1/((Y395:BH395&lt;&gt;0)*(Y395:BH395&lt;&gt;"")))-MATCH(1,INDEX((Y395:BH395&lt;&gt;0)*(Y395:BH395&lt;&gt;""),0),0)+1 &lt;= 12,
        "No",
        "Yes"
    ),
    "No"
)</f>
        <v>No</v>
      </c>
      <c r="W395" s="4" t="str" cm="1">
        <f t="array" ref="W395">IFERROR(
    IF(
        MATCH(2,1/((Y395:BH395&lt;&gt;0)*(Y395:BH395&lt;&gt;"")))-MATCH(1,INDEX((Y395:BH395&lt;&gt;0)*(Y395:BH395&lt;&gt;""),0),0)+1 &lt;= 24,
        "No",
        "Yes"
    ),
    "No"
)</f>
        <v>No</v>
      </c>
      <c r="X395" s="3"/>
      <c r="Y395" s="4">
        <v>0</v>
      </c>
      <c r="Z395" s="4">
        <v>0</v>
      </c>
      <c r="AA395" s="4">
        <v>0</v>
      </c>
      <c r="AB395" s="4">
        <v>0</v>
      </c>
      <c r="AC395" s="4">
        <v>0</v>
      </c>
      <c r="AD395" s="4">
        <v>0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4">
        <v>0</v>
      </c>
      <c r="AQ395" s="4">
        <v>0</v>
      </c>
      <c r="AR395" s="4">
        <v>0</v>
      </c>
      <c r="AS395" s="4">
        <v>0</v>
      </c>
      <c r="AT395" s="4">
        <v>0</v>
      </c>
      <c r="AU395" s="4">
        <v>0</v>
      </c>
      <c r="AV395" s="4">
        <v>0</v>
      </c>
      <c r="AW395" s="4">
        <v>0</v>
      </c>
      <c r="AX395" s="4">
        <v>0</v>
      </c>
      <c r="AY395" s="4">
        <v>0</v>
      </c>
      <c r="AZ395" s="4">
        <v>102.99921575</v>
      </c>
      <c r="BA395" s="4">
        <v>102.99921575</v>
      </c>
      <c r="BB395" s="4">
        <v>102.99921575</v>
      </c>
      <c r="BC395" s="4">
        <v>102.99921575</v>
      </c>
      <c r="BD395" s="4">
        <v>102.99921575</v>
      </c>
      <c r="BE395" s="4">
        <v>102.99921575</v>
      </c>
      <c r="BF395" s="4">
        <v>102.99921575</v>
      </c>
      <c r="BG395" s="4">
        <v>102.99921575</v>
      </c>
      <c r="BH395" s="4">
        <v>102.99921575</v>
      </c>
      <c r="BJ395" s="9"/>
    </row>
    <row r="396" spans="1:62" x14ac:dyDescent="0.25">
      <c r="A396" s="6" t="s">
        <v>459</v>
      </c>
      <c r="B396" s="6"/>
      <c r="C396" s="7" t="s">
        <v>526</v>
      </c>
      <c r="D396" s="3"/>
      <c r="E396" s="3">
        <f>VLOOKUP(A396,[2]Sheet1!$A$2:$E$627,5,0)</f>
        <v>220.50000100105535</v>
      </c>
      <c r="F396" s="3">
        <f>VLOOKUP(A396,[2]Sheet1!$A$2:$F$627,6,0)</f>
        <v>0</v>
      </c>
      <c r="G396" s="3">
        <f>VLOOKUP(A396,[2]Sheet1!$A$2:$G$627,7,0)</f>
        <v>0</v>
      </c>
      <c r="H396" s="4">
        <f t="shared" si="36"/>
        <v>108.33267625000001</v>
      </c>
      <c r="I396" s="11">
        <f t="shared" si="37"/>
        <v>-1</v>
      </c>
      <c r="J396" s="11">
        <f t="shared" si="38"/>
        <v>-1</v>
      </c>
      <c r="K396" s="11" t="e">
        <f t="shared" si="39"/>
        <v>#DIV/0!</v>
      </c>
      <c r="L396" s="11">
        <f>IF(S396="",((BG396-E396)/E396),((U396-E396)/E396))</f>
        <v>-0.50869534803547911</v>
      </c>
      <c r="M396" s="3" t="str">
        <f>IF(S396="Churn","Churn",VLOOKUP(A396,'[1]Revenue_Engine_2025 Dec.25'!$C$14:$E$3993,3,0))</f>
        <v>Diğer</v>
      </c>
      <c r="N396" s="3">
        <f>IF(S396="",VLOOKUP(A396,[3]Export!$B$2:$F$417,5,0),"CHURN")</f>
        <v>0.28727704706116614</v>
      </c>
      <c r="O396" s="3">
        <f>(1-N396)*H396</f>
        <v>77.211184916666681</v>
      </c>
      <c r="P396" s="3">
        <f t="shared" si="41"/>
        <v>0</v>
      </c>
      <c r="Q396" s="3">
        <f t="shared" si="40"/>
        <v>0</v>
      </c>
      <c r="R396" s="3" t="str">
        <f>IF(S396&lt;&gt;"Churn",VLOOKUP(A396,[3]Export!$B$2:$O$417,8,0),"CHURN")</f>
        <v>NO RISK</v>
      </c>
      <c r="S396" s="3"/>
      <c r="T396" s="3"/>
      <c r="U396" s="3" t="s">
        <v>551</v>
      </c>
      <c r="V396" s="4" t="str" cm="1">
        <f t="array" ref="V396">IFERROR(
    IF(
        MATCH(2,1/((Y396:BH396&lt;&gt;0)*(Y396:BH396&lt;&gt;"")))-MATCH(1,INDEX((Y396:BH396&lt;&gt;0)*(Y396:BH396&lt;&gt;""),0),0)+1 &lt;= 12,
        "No",
        "Yes"
    ),
    "No"
)</f>
        <v>Yes</v>
      </c>
      <c r="W396" s="4" t="str" cm="1">
        <f t="array" ref="W396">IFERROR(
    IF(
        MATCH(2,1/((Y396:BH396&lt;&gt;0)*(Y396:BH396&lt;&gt;"")))-MATCH(1,INDEX((Y396:BH396&lt;&gt;0)*(Y396:BH396&lt;&gt;""),0),0)+1 &lt;= 24,
        "No",
        "Yes"
    ),
    "No"
)</f>
        <v>No</v>
      </c>
      <c r="X396" s="3"/>
      <c r="Y396" s="4">
        <v>0</v>
      </c>
      <c r="Z396" s="4">
        <v>0</v>
      </c>
      <c r="AA396" s="4">
        <v>0</v>
      </c>
      <c r="AB396" s="4">
        <v>0</v>
      </c>
      <c r="AC396" s="4">
        <v>0</v>
      </c>
      <c r="AD396" s="4">
        <v>0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-217.33813804143574</v>
      </c>
      <c r="AL396" s="4">
        <v>-1.280568540096283E-9</v>
      </c>
      <c r="AM396" s="4">
        <v>220.50000100105535</v>
      </c>
      <c r="AN396" s="4">
        <v>50.499999999301508</v>
      </c>
      <c r="AO396" s="4">
        <v>0</v>
      </c>
      <c r="AP396" s="4">
        <v>0</v>
      </c>
      <c r="AQ396" s="4">
        <v>0</v>
      </c>
      <c r="AR396" s="4">
        <v>0</v>
      </c>
      <c r="AS396" s="4">
        <v>0</v>
      </c>
      <c r="AT396" s="4">
        <v>0</v>
      </c>
      <c r="AU396" s="4">
        <v>0</v>
      </c>
      <c r="AV396" s="4">
        <v>0</v>
      </c>
      <c r="AW396" s="4">
        <v>0</v>
      </c>
      <c r="AX396" s="4">
        <v>0</v>
      </c>
      <c r="AY396" s="4">
        <v>0</v>
      </c>
      <c r="AZ396" s="4">
        <v>0</v>
      </c>
      <c r="BA396" s="4">
        <v>108.33267625000001</v>
      </c>
      <c r="BB396" s="4">
        <v>108.33267625000001</v>
      </c>
      <c r="BC396" s="4">
        <v>108.33267625000001</v>
      </c>
      <c r="BD396" s="4">
        <v>108.33267625000001</v>
      </c>
      <c r="BE396" s="4">
        <v>108.33267625000001</v>
      </c>
      <c r="BF396" s="4">
        <v>108.33267625000001</v>
      </c>
      <c r="BG396" s="4">
        <v>108.33267625000001</v>
      </c>
      <c r="BH396" s="4">
        <v>108.33267625000001</v>
      </c>
      <c r="BJ396" s="9"/>
    </row>
    <row r="397" spans="1:62" x14ac:dyDescent="0.25">
      <c r="A397" s="6" t="s">
        <v>443</v>
      </c>
      <c r="B397" s="6"/>
      <c r="C397" s="7" t="s">
        <v>526</v>
      </c>
      <c r="D397" s="3"/>
      <c r="E397" s="3">
        <f>VLOOKUP(A397,[2]Sheet1!$A$2:$E$627,5,0)</f>
        <v>220.50000100105535</v>
      </c>
      <c r="F397" s="3">
        <f>VLOOKUP(A397,[2]Sheet1!$A$2:$F$627,6,0)</f>
        <v>0</v>
      </c>
      <c r="G397" s="3">
        <f>VLOOKUP(A397,[2]Sheet1!$A$2:$G$627,7,0)</f>
        <v>0</v>
      </c>
      <c r="H397" s="4">
        <f t="shared" si="36"/>
        <v>175.00150333333332</v>
      </c>
      <c r="I397" s="11">
        <f t="shared" si="37"/>
        <v>-1</v>
      </c>
      <c r="J397" s="11">
        <f t="shared" si="38"/>
        <v>-1</v>
      </c>
      <c r="K397" s="11" t="e">
        <f t="shared" si="39"/>
        <v>#DIV/0!</v>
      </c>
      <c r="L397" s="11">
        <f>IF(S397="",((BG397-E397)/E397),((U397-E397)/E397))</f>
        <v>-0.20634239211411282</v>
      </c>
      <c r="M397" s="3" t="str">
        <f>IF(S397="Churn","Churn",VLOOKUP(A397,'[1]Revenue_Engine_2025 Dec.25'!$C$14:$E$3993,3,0))</f>
        <v>Diğer</v>
      </c>
      <c r="N397" s="3">
        <f>IF(S397="",VLOOKUP(A397,[3]Export!$B$2:$F$417,5,0),"CHURN")</f>
        <v>0.29935202270929068</v>
      </c>
      <c r="O397" s="3">
        <f>(1-N397)*H397</f>
        <v>122.61444933333331</v>
      </c>
      <c r="P397" s="3">
        <f t="shared" si="41"/>
        <v>0</v>
      </c>
      <c r="Q397" s="3">
        <f t="shared" si="40"/>
        <v>0</v>
      </c>
      <c r="R397" s="3" t="str">
        <f>IF(S397&lt;&gt;"Churn",VLOOKUP(A397,[3]Export!$B$2:$O$417,8,0),"CHURN")</f>
        <v>NO RISK</v>
      </c>
      <c r="S397" s="3"/>
      <c r="T397" s="3"/>
      <c r="U397" s="3" t="s">
        <v>551</v>
      </c>
      <c r="V397" s="4" t="str" cm="1">
        <f t="array" ref="V397">IFERROR(
    IF(
        MATCH(2,1/((Y397:BH397&lt;&gt;0)*(Y397:BH397&lt;&gt;"")))-MATCH(1,INDEX((Y397:BH397&lt;&gt;0)*(Y397:BH397&lt;&gt;""),0),0)+1 &lt;= 12,
        "No",
        "Yes"
    ),
    "No"
)</f>
        <v>Yes</v>
      </c>
      <c r="W397" s="4" t="str" cm="1">
        <f t="array" ref="W397">IFERROR(
    IF(
        MATCH(2,1/((Y397:BH397&lt;&gt;0)*(Y397:BH397&lt;&gt;"")))-MATCH(1,INDEX((Y397:BH397&lt;&gt;0)*(Y397:BH397&lt;&gt;""),0),0)+1 &lt;= 24,
        "No",
        "Yes"
    ),
    "No"
)</f>
        <v>No</v>
      </c>
      <c r="X397" s="3"/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-217.33813804143574</v>
      </c>
      <c r="AL397" s="4">
        <v>-1.280568540096283E-9</v>
      </c>
      <c r="AM397" s="4">
        <v>220.50000100105535</v>
      </c>
      <c r="AN397" s="4">
        <v>50.499999999301508</v>
      </c>
      <c r="AO397" s="4">
        <v>0</v>
      </c>
      <c r="AP397" s="4">
        <v>0</v>
      </c>
      <c r="AQ397" s="4">
        <v>0</v>
      </c>
      <c r="AR397" s="4">
        <v>0</v>
      </c>
      <c r="AS397" s="4">
        <v>0</v>
      </c>
      <c r="AT397" s="4">
        <v>0</v>
      </c>
      <c r="AU397" s="4">
        <v>0</v>
      </c>
      <c r="AV397" s="4">
        <v>0</v>
      </c>
      <c r="AW397" s="4">
        <v>0</v>
      </c>
      <c r="AX397" s="4">
        <v>0</v>
      </c>
      <c r="AY397" s="4">
        <v>0</v>
      </c>
      <c r="AZ397" s="4">
        <v>0</v>
      </c>
      <c r="BA397" s="4">
        <v>0</v>
      </c>
      <c r="BB397" s="4">
        <v>175.00150333333332</v>
      </c>
      <c r="BC397" s="4">
        <v>175.00150333333332</v>
      </c>
      <c r="BD397" s="4">
        <v>175.00150333333332</v>
      </c>
      <c r="BE397" s="4">
        <v>175.00150333333332</v>
      </c>
      <c r="BF397" s="4">
        <v>175.00150333333332</v>
      </c>
      <c r="BG397" s="4">
        <v>175.00150333333332</v>
      </c>
      <c r="BH397" s="4">
        <v>175.00150333333332</v>
      </c>
      <c r="BJ397" s="9"/>
    </row>
    <row r="398" spans="1:62" x14ac:dyDescent="0.25">
      <c r="A398" s="6" t="s">
        <v>425</v>
      </c>
      <c r="B398" s="6"/>
      <c r="C398" s="7" t="s">
        <v>526</v>
      </c>
      <c r="D398" s="3"/>
      <c r="E398" s="3">
        <f>VLOOKUP(A398,[2]Sheet1!$A$2:$E$627,5,0)</f>
        <v>220.50000100105535</v>
      </c>
      <c r="F398" s="3">
        <f>VLOOKUP(A398,[2]Sheet1!$A$2:$F$627,6,0)</f>
        <v>0</v>
      </c>
      <c r="G398" s="3">
        <f>VLOOKUP(A398,[2]Sheet1!$A$2:$G$627,7,0)</f>
        <v>0</v>
      </c>
      <c r="H398" s="4">
        <f t="shared" si="36"/>
        <v>275</v>
      </c>
      <c r="I398" s="11">
        <f t="shared" si="37"/>
        <v>-1</v>
      </c>
      <c r="J398" s="11">
        <f t="shared" si="38"/>
        <v>-1</v>
      </c>
      <c r="K398" s="11" t="e">
        <f t="shared" si="39"/>
        <v>#DIV/0!</v>
      </c>
      <c r="L398" s="11">
        <f>IF(S398="",((BG398-E398)/E398),((U398-E398)/E398))</f>
        <v>0.24716552721776994</v>
      </c>
      <c r="M398" s="3" t="str">
        <f>IF(S398="Churn","Churn",VLOOKUP(A398,'[1]Revenue_Engine_2025 Dec.25'!$C$14:$E$3993,3,0))</f>
        <v>Diğer</v>
      </c>
      <c r="N398" s="3">
        <f>IF(S398="",VLOOKUP(A398,[3]Export!$B$2:$F$417,5,0),"CHURN")</f>
        <v>9.2727272727272728E-2</v>
      </c>
      <c r="O398" s="3">
        <f>(1-N398)*H398</f>
        <v>249.5</v>
      </c>
      <c r="P398" s="3">
        <f t="shared" si="41"/>
        <v>0</v>
      </c>
      <c r="Q398" s="3">
        <f t="shared" si="40"/>
        <v>0</v>
      </c>
      <c r="R398" s="3" t="str">
        <f>IF(S398&lt;&gt;"Churn",VLOOKUP(A398,[3]Export!$B$2:$O$417,8,0),"CHURN")</f>
        <v>NO RISK</v>
      </c>
      <c r="S398" s="3"/>
      <c r="T398" s="3"/>
      <c r="U398" s="3" t="s">
        <v>551</v>
      </c>
      <c r="V398" s="4" t="str" cm="1">
        <f t="array" ref="V398">IFERROR(
    IF(
        MATCH(2,1/((Y398:BH398&lt;&gt;0)*(Y398:BH398&lt;&gt;"")))-MATCH(1,INDEX((Y398:BH398&lt;&gt;0)*(Y398:BH398&lt;&gt;""),0),0)+1 &lt;= 12,
        "No",
        "Yes"
    ),
    "No"
)</f>
        <v>Yes</v>
      </c>
      <c r="W398" s="4" t="str" cm="1">
        <f t="array" ref="W398">IFERROR(
    IF(
        MATCH(2,1/((Y398:BH398&lt;&gt;0)*(Y398:BH398&lt;&gt;"")))-MATCH(1,INDEX((Y398:BH398&lt;&gt;0)*(Y398:BH398&lt;&gt;""),0),0)+1 &lt;= 24,
        "No",
        "Yes"
    ),
    "No"
)</f>
        <v>No</v>
      </c>
      <c r="X398" s="3"/>
      <c r="Y398" s="4">
        <v>0</v>
      </c>
      <c r="Z398" s="4">
        <v>0</v>
      </c>
      <c r="AA398" s="4">
        <v>0</v>
      </c>
      <c r="AB398" s="4">
        <v>0</v>
      </c>
      <c r="AC398" s="4">
        <v>0</v>
      </c>
      <c r="AD398" s="4">
        <v>0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-217.33813804143574</v>
      </c>
      <c r="AL398" s="4">
        <v>-1.280568540096283E-9</v>
      </c>
      <c r="AM398" s="4">
        <v>220.50000100105535</v>
      </c>
      <c r="AN398" s="4">
        <v>50.499999999301508</v>
      </c>
      <c r="AO398" s="4">
        <v>0</v>
      </c>
      <c r="AP398" s="4">
        <v>0</v>
      </c>
      <c r="AQ398" s="4">
        <v>0</v>
      </c>
      <c r="AR398" s="4">
        <v>0</v>
      </c>
      <c r="AS398" s="4">
        <v>0</v>
      </c>
      <c r="AT398" s="4">
        <v>0</v>
      </c>
      <c r="AU398" s="4">
        <v>0</v>
      </c>
      <c r="AV398" s="4">
        <v>0</v>
      </c>
      <c r="AW398" s="4">
        <v>0</v>
      </c>
      <c r="AX398" s="4">
        <v>0</v>
      </c>
      <c r="AY398" s="4">
        <v>0</v>
      </c>
      <c r="AZ398" s="4">
        <v>0</v>
      </c>
      <c r="BA398" s="4">
        <v>0</v>
      </c>
      <c r="BB398" s="4">
        <v>275</v>
      </c>
      <c r="BC398" s="4">
        <v>275</v>
      </c>
      <c r="BD398" s="4">
        <v>275</v>
      </c>
      <c r="BE398" s="4">
        <v>275</v>
      </c>
      <c r="BF398" s="4">
        <v>275</v>
      </c>
      <c r="BG398" s="4">
        <v>275</v>
      </c>
      <c r="BH398" s="4">
        <v>275</v>
      </c>
      <c r="BJ398" s="9"/>
    </row>
    <row r="399" spans="1:62" x14ac:dyDescent="0.25">
      <c r="A399" s="6" t="s">
        <v>437</v>
      </c>
      <c r="B399" s="6"/>
      <c r="C399" s="7" t="s">
        <v>526</v>
      </c>
      <c r="D399" s="3"/>
      <c r="E399" s="3">
        <f>VLOOKUP(A399,[2]Sheet1!$A$2:$E$627,5,0)</f>
        <v>220.50000100105535</v>
      </c>
      <c r="F399" s="3">
        <f>VLOOKUP(A399,[2]Sheet1!$A$2:$F$627,6,0)</f>
        <v>0</v>
      </c>
      <c r="G399" s="3">
        <f>VLOOKUP(A399,[2]Sheet1!$A$2:$G$627,7,0)</f>
        <v>0</v>
      </c>
      <c r="H399" s="4">
        <f t="shared" si="36"/>
        <v>200</v>
      </c>
      <c r="I399" s="11">
        <f t="shared" si="37"/>
        <v>-1</v>
      </c>
      <c r="J399" s="11">
        <f t="shared" si="38"/>
        <v>-1</v>
      </c>
      <c r="K399" s="11" t="e">
        <f t="shared" si="39"/>
        <v>#DIV/0!</v>
      </c>
      <c r="L399" s="11">
        <f>IF(S399="",((BG399-E399)/E399),((U399-E399)/E399))</f>
        <v>-9.2970525659803668E-2</v>
      </c>
      <c r="M399" s="3" t="str">
        <f>IF(S399="Churn","Churn",VLOOKUP(A399,'[1]Revenue_Engine_2025 Dec.25'!$C$14:$E$3993,3,0))</f>
        <v>Diğer</v>
      </c>
      <c r="N399" s="3">
        <f>IF(S399="",VLOOKUP(A399,[3]Export!$B$2:$F$417,5,0),"CHURN")</f>
        <v>0.11</v>
      </c>
      <c r="O399" s="3">
        <f>(1-N399)*H399</f>
        <v>178</v>
      </c>
      <c r="P399" s="3">
        <f t="shared" si="41"/>
        <v>0</v>
      </c>
      <c r="Q399" s="3">
        <f t="shared" si="40"/>
        <v>0</v>
      </c>
      <c r="R399" s="3" t="str">
        <f>IF(S399&lt;&gt;"Churn",VLOOKUP(A399,[3]Export!$B$2:$O$417,8,0),"CHURN")</f>
        <v>NO RISK</v>
      </c>
      <c r="S399" s="3"/>
      <c r="T399" s="3"/>
      <c r="U399" s="3" t="s">
        <v>551</v>
      </c>
      <c r="V399" s="4" t="str" cm="1">
        <f t="array" ref="V399">IFERROR(
    IF(
        MATCH(2,1/((Y399:BH399&lt;&gt;0)*(Y399:BH399&lt;&gt;"")))-MATCH(1,INDEX((Y399:BH399&lt;&gt;0)*(Y399:BH399&lt;&gt;""),0),0)+1 &lt;= 12,
        "No",
        "Yes"
    ),
    "No"
)</f>
        <v>Yes</v>
      </c>
      <c r="W399" s="4" t="str" cm="1">
        <f t="array" ref="W399">IFERROR(
    IF(
        MATCH(2,1/((Y399:BH399&lt;&gt;0)*(Y399:BH399&lt;&gt;"")))-MATCH(1,INDEX((Y399:BH399&lt;&gt;0)*(Y399:BH399&lt;&gt;""),0),0)+1 &lt;= 24,
        "No",
        "Yes"
    ),
    "No"
)</f>
        <v>No</v>
      </c>
      <c r="X399" s="3"/>
      <c r="Y399" s="4">
        <v>0</v>
      </c>
      <c r="Z399" s="4">
        <v>0</v>
      </c>
      <c r="AA399" s="4">
        <v>0</v>
      </c>
      <c r="AB399" s="4">
        <v>0</v>
      </c>
      <c r="AC399" s="4">
        <v>0</v>
      </c>
      <c r="AD399" s="4">
        <v>0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-217.33813804143574</v>
      </c>
      <c r="AL399" s="4">
        <v>-1.280568540096283E-9</v>
      </c>
      <c r="AM399" s="4">
        <v>220.50000100105535</v>
      </c>
      <c r="AN399" s="4">
        <v>50.499999999301508</v>
      </c>
      <c r="AO399" s="4">
        <v>0</v>
      </c>
      <c r="AP399" s="4">
        <v>0</v>
      </c>
      <c r="AQ399" s="4">
        <v>0</v>
      </c>
      <c r="AR399" s="4">
        <v>0</v>
      </c>
      <c r="AS399" s="4">
        <v>0</v>
      </c>
      <c r="AT399" s="4">
        <v>0</v>
      </c>
      <c r="AU399" s="4">
        <v>0</v>
      </c>
      <c r="AV399" s="4">
        <v>0</v>
      </c>
      <c r="AW399" s="4">
        <v>0</v>
      </c>
      <c r="AX399" s="4">
        <v>0</v>
      </c>
      <c r="AY399" s="4">
        <v>0</v>
      </c>
      <c r="AZ399" s="4">
        <v>0</v>
      </c>
      <c r="BA399" s="4">
        <v>0</v>
      </c>
      <c r="BB399" s="4">
        <v>200</v>
      </c>
      <c r="BC399" s="4">
        <v>200</v>
      </c>
      <c r="BD399" s="4">
        <v>200</v>
      </c>
      <c r="BE399" s="4">
        <v>200</v>
      </c>
      <c r="BF399" s="4">
        <v>200</v>
      </c>
      <c r="BG399" s="4">
        <v>200</v>
      </c>
      <c r="BH399" s="4">
        <v>200</v>
      </c>
      <c r="BJ399" s="9"/>
    </row>
    <row r="400" spans="1:62" x14ac:dyDescent="0.25">
      <c r="A400" s="6" t="s">
        <v>426</v>
      </c>
      <c r="B400" s="6"/>
      <c r="C400" s="7" t="s">
        <v>526</v>
      </c>
      <c r="D400" s="3"/>
      <c r="E400" s="3">
        <f>VLOOKUP(A400,[2]Sheet1!$A$2:$E$627,5,0)</f>
        <v>220.50000100105535</v>
      </c>
      <c r="F400" s="3">
        <f>VLOOKUP(A400,[2]Sheet1!$A$2:$F$627,6,0)</f>
        <v>0</v>
      </c>
      <c r="G400" s="3">
        <f>VLOOKUP(A400,[2]Sheet1!$A$2:$G$627,7,0)</f>
        <v>0</v>
      </c>
      <c r="H400" s="4">
        <f t="shared" si="36"/>
        <v>275</v>
      </c>
      <c r="I400" s="11">
        <f t="shared" si="37"/>
        <v>-1</v>
      </c>
      <c r="J400" s="11">
        <f t="shared" si="38"/>
        <v>-1</v>
      </c>
      <c r="K400" s="11" t="e">
        <f t="shared" si="39"/>
        <v>#DIV/0!</v>
      </c>
      <c r="L400" s="11">
        <f>IF(S400="",((BG400-E400)/E400),((U400-E400)/E400))</f>
        <v>0.24716552721776994</v>
      </c>
      <c r="M400" s="3" t="str">
        <f>IF(S400="Churn","Churn",VLOOKUP(A400,'[1]Revenue_Engine_2025 Dec.25'!$C$14:$E$3993,3,0))</f>
        <v>Diğer</v>
      </c>
      <c r="N400" s="3">
        <f>IF(S400="",VLOOKUP(A400,[3]Export!$B$2:$F$417,5,0),"CHURN")</f>
        <v>5.4545454545454543E-2</v>
      </c>
      <c r="O400" s="3">
        <f>(1-N400)*H400</f>
        <v>260</v>
      </c>
      <c r="P400" s="3">
        <f t="shared" si="41"/>
        <v>0</v>
      </c>
      <c r="Q400" s="3">
        <f t="shared" si="40"/>
        <v>0</v>
      </c>
      <c r="R400" s="3" t="str">
        <f>IF(S400&lt;&gt;"Churn",VLOOKUP(A400,[3]Export!$B$2:$O$417,8,0),"CHURN")</f>
        <v>NO RISK</v>
      </c>
      <c r="S400" s="3"/>
      <c r="T400" s="3"/>
      <c r="U400" s="3" t="s">
        <v>551</v>
      </c>
      <c r="V400" s="4" t="str" cm="1">
        <f t="array" ref="V400">IFERROR(
    IF(
        MATCH(2,1/((Y400:BH400&lt;&gt;0)*(Y400:BH400&lt;&gt;"")))-MATCH(1,INDEX((Y400:BH400&lt;&gt;0)*(Y400:BH400&lt;&gt;""),0),0)+1 &lt;= 12,
        "No",
        "Yes"
    ),
    "No"
)</f>
        <v>Yes</v>
      </c>
      <c r="W400" s="4" t="str" cm="1">
        <f t="array" ref="W400">IFERROR(
    IF(
        MATCH(2,1/((Y400:BH400&lt;&gt;0)*(Y400:BH400&lt;&gt;"")))-MATCH(1,INDEX((Y400:BH400&lt;&gt;0)*(Y400:BH400&lt;&gt;""),0),0)+1 &lt;= 24,
        "No",
        "Yes"
    ),
    "No"
)</f>
        <v>No</v>
      </c>
      <c r="X400" s="3"/>
      <c r="Y400" s="4">
        <v>0</v>
      </c>
      <c r="Z400" s="4">
        <v>0</v>
      </c>
      <c r="AA400" s="4">
        <v>0</v>
      </c>
      <c r="AB400" s="4">
        <v>0</v>
      </c>
      <c r="AC400" s="4">
        <v>0</v>
      </c>
      <c r="AD400" s="4">
        <v>0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-217.33813804143574</v>
      </c>
      <c r="AL400" s="4">
        <v>-1.280568540096283E-9</v>
      </c>
      <c r="AM400" s="4">
        <v>220.50000100105535</v>
      </c>
      <c r="AN400" s="4">
        <v>50.499999999301508</v>
      </c>
      <c r="AO400" s="4">
        <v>0</v>
      </c>
      <c r="AP400" s="4">
        <v>0</v>
      </c>
      <c r="AQ400" s="4">
        <v>0</v>
      </c>
      <c r="AR400" s="4">
        <v>0</v>
      </c>
      <c r="AS400" s="4">
        <v>0</v>
      </c>
      <c r="AT400" s="4">
        <v>0</v>
      </c>
      <c r="AU400" s="4">
        <v>0</v>
      </c>
      <c r="AV400" s="4">
        <v>0</v>
      </c>
      <c r="AW400" s="4">
        <v>0</v>
      </c>
      <c r="AX400" s="4">
        <v>0</v>
      </c>
      <c r="AY400" s="4">
        <v>0</v>
      </c>
      <c r="AZ400" s="4">
        <v>0</v>
      </c>
      <c r="BA400" s="4">
        <v>0</v>
      </c>
      <c r="BB400" s="4">
        <v>275</v>
      </c>
      <c r="BC400" s="4">
        <v>275</v>
      </c>
      <c r="BD400" s="4">
        <v>275</v>
      </c>
      <c r="BE400" s="4">
        <v>275</v>
      </c>
      <c r="BF400" s="4">
        <v>275</v>
      </c>
      <c r="BG400" s="4">
        <v>275</v>
      </c>
      <c r="BH400" s="4">
        <v>275</v>
      </c>
      <c r="BJ400" s="9"/>
    </row>
    <row r="401" spans="1:62" x14ac:dyDescent="0.25">
      <c r="A401" s="6" t="s">
        <v>412</v>
      </c>
      <c r="B401" s="6"/>
      <c r="C401" s="7" t="s">
        <v>526</v>
      </c>
      <c r="D401" s="3"/>
      <c r="E401" s="3">
        <f>VLOOKUP(A401,[2]Sheet1!$A$2:$E$627,5,0)</f>
        <v>220.50000100105535</v>
      </c>
      <c r="F401" s="3">
        <f>VLOOKUP(A401,[2]Sheet1!$A$2:$F$627,6,0)</f>
        <v>0</v>
      </c>
      <c r="G401" s="3">
        <f>VLOOKUP(A401,[2]Sheet1!$A$2:$G$627,7,0)</f>
        <v>0</v>
      </c>
      <c r="H401" s="4">
        <f t="shared" si="36"/>
        <v>420</v>
      </c>
      <c r="I401" s="11">
        <f t="shared" si="37"/>
        <v>-1</v>
      </c>
      <c r="J401" s="11">
        <f t="shared" si="38"/>
        <v>-1</v>
      </c>
      <c r="K401" s="11" t="e">
        <f t="shared" si="39"/>
        <v>#DIV/0!</v>
      </c>
      <c r="L401" s="11">
        <f>IF(S401="",((BG401-E401)/E401),((U401-E401)/E401))</f>
        <v>0.90476189611441227</v>
      </c>
      <c r="M401" s="3" t="str">
        <f>IF(S401="Churn","Churn",VLOOKUP(A401,'[1]Revenue_Engine_2025 Dec.25'!$C$14:$E$3993,3,0))</f>
        <v>Bayi</v>
      </c>
      <c r="N401" s="3">
        <f>IF(S401="",VLOOKUP(A401,[3]Export!$B$2:$F$417,5,0),"CHURN")</f>
        <v>5.4761904761904762E-2</v>
      </c>
      <c r="O401" s="3">
        <f>(1-N401)*H401</f>
        <v>397</v>
      </c>
      <c r="P401" s="3">
        <f t="shared" si="41"/>
        <v>0</v>
      </c>
      <c r="Q401" s="3">
        <f t="shared" si="40"/>
        <v>0</v>
      </c>
      <c r="R401" s="3" t="str">
        <f>IF(S401&lt;&gt;"Churn",VLOOKUP(A401,[3]Export!$B$2:$O$417,8,0),"CHURN")</f>
        <v>NO RISK</v>
      </c>
      <c r="S401" s="3"/>
      <c r="T401" s="3"/>
      <c r="U401" s="3" t="s">
        <v>551</v>
      </c>
      <c r="V401" s="4" t="str" cm="1">
        <f t="array" ref="V401">IFERROR(
    IF(
        MATCH(2,1/((Y401:BH401&lt;&gt;0)*(Y401:BH401&lt;&gt;"")))-MATCH(1,INDEX((Y401:BH401&lt;&gt;0)*(Y401:BH401&lt;&gt;""),0),0)+1 &lt;= 12,
        "No",
        "Yes"
    ),
    "No"
)</f>
        <v>Yes</v>
      </c>
      <c r="W401" s="4" t="str" cm="1">
        <f t="array" ref="W401">IFERROR(
    IF(
        MATCH(2,1/((Y401:BH401&lt;&gt;0)*(Y401:BH401&lt;&gt;"")))-MATCH(1,INDEX((Y401:BH401&lt;&gt;0)*(Y401:BH401&lt;&gt;""),0),0)+1 &lt;= 24,
        "No",
        "Yes"
    ),
    "No"
)</f>
        <v>No</v>
      </c>
      <c r="X401" s="3"/>
      <c r="Y401" s="4">
        <v>0</v>
      </c>
      <c r="Z401" s="4">
        <v>0</v>
      </c>
      <c r="AA401" s="4">
        <v>0</v>
      </c>
      <c r="AB401" s="4">
        <v>0</v>
      </c>
      <c r="AC401" s="4">
        <v>0</v>
      </c>
      <c r="AD401" s="4">
        <v>0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-217.33813804143574</v>
      </c>
      <c r="AL401" s="4">
        <v>-1.280568540096283E-9</v>
      </c>
      <c r="AM401" s="4">
        <v>220.50000100105535</v>
      </c>
      <c r="AN401" s="4">
        <v>50.499999999301508</v>
      </c>
      <c r="AO401" s="4">
        <v>0</v>
      </c>
      <c r="AP401" s="4">
        <v>0</v>
      </c>
      <c r="AQ401" s="4">
        <v>0</v>
      </c>
      <c r="AR401" s="4">
        <v>0</v>
      </c>
      <c r="AS401" s="4">
        <v>0</v>
      </c>
      <c r="AT401" s="4">
        <v>0</v>
      </c>
      <c r="AU401" s="4">
        <v>0</v>
      </c>
      <c r="AV401" s="4">
        <v>0</v>
      </c>
      <c r="AW401" s="4">
        <v>0</v>
      </c>
      <c r="AX401" s="4">
        <v>0</v>
      </c>
      <c r="AY401" s="4">
        <v>0</v>
      </c>
      <c r="AZ401" s="4">
        <v>0</v>
      </c>
      <c r="BA401" s="4">
        <v>0</v>
      </c>
      <c r="BB401" s="4">
        <v>210</v>
      </c>
      <c r="BC401" s="4">
        <v>420</v>
      </c>
      <c r="BD401" s="4">
        <v>420</v>
      </c>
      <c r="BE401" s="4">
        <v>420</v>
      </c>
      <c r="BF401" s="4">
        <v>420</v>
      </c>
      <c r="BG401" s="4">
        <v>420</v>
      </c>
      <c r="BH401" s="4">
        <v>420</v>
      </c>
      <c r="BJ401" s="9"/>
    </row>
    <row r="402" spans="1:62" x14ac:dyDescent="0.25">
      <c r="A402" s="6" t="s">
        <v>393</v>
      </c>
      <c r="B402" s="6"/>
      <c r="C402" s="7" t="s">
        <v>525</v>
      </c>
      <c r="D402" s="3"/>
      <c r="E402" s="3">
        <f>VLOOKUP(A402,[2]Sheet1!$A$2:$E$627,5,0)</f>
        <v>220.50000100105535</v>
      </c>
      <c r="F402" s="3">
        <f>VLOOKUP(A402,[2]Sheet1!$A$2:$F$627,6,0)</f>
        <v>0</v>
      </c>
      <c r="G402" s="3">
        <f>VLOOKUP(A402,[2]Sheet1!$A$2:$G$627,7,0)</f>
        <v>0</v>
      </c>
      <c r="H402" s="4">
        <f t="shared" si="36"/>
        <v>1198.2850144872657</v>
      </c>
      <c r="I402" s="11">
        <f t="shared" si="37"/>
        <v>-1</v>
      </c>
      <c r="J402" s="11">
        <f t="shared" si="38"/>
        <v>-1</v>
      </c>
      <c r="K402" s="11" t="e">
        <f t="shared" si="39"/>
        <v>#DIV/0!</v>
      </c>
      <c r="L402" s="11">
        <f>IF(S402="",((BG402-E402)/E402),((U402-E402)/E402))</f>
        <v>4.3773475440501102</v>
      </c>
      <c r="M402" s="3" t="str">
        <f>IF(S402="Churn","Churn",VLOOKUP(A402,'[1]Revenue_Engine_2025 Dec.25'!$C$14:$E$3993,3,0))</f>
        <v>Perakende</v>
      </c>
      <c r="N402" s="3">
        <f>IF(S402="",VLOOKUP(A402,[3]Export!$B$2:$F$417,5,0),"CHURN")</f>
        <v>0</v>
      </c>
      <c r="O402" s="3">
        <f>(1-N402)*H402</f>
        <v>1198.2850144872657</v>
      </c>
      <c r="P402" s="3">
        <f t="shared" si="41"/>
        <v>0</v>
      </c>
      <c r="Q402" s="3">
        <f t="shared" si="40"/>
        <v>0</v>
      </c>
      <c r="R402" s="3" t="str">
        <f>IF(S402&lt;&gt;"Churn",VLOOKUP(A402,[3]Export!$B$2:$O$417,8,0),"CHURN")</f>
        <v>MEDIUM RISK</v>
      </c>
      <c r="S402" s="3"/>
      <c r="T402" s="3"/>
      <c r="U402" s="3" t="s">
        <v>551</v>
      </c>
      <c r="V402" s="4" t="str" cm="1">
        <f t="array" ref="V402">IFERROR(
    IF(
        MATCH(2,1/((Y402:BH402&lt;&gt;0)*(Y402:BH402&lt;&gt;"")))-MATCH(1,INDEX((Y402:BH402&lt;&gt;0)*(Y402:BH402&lt;&gt;""),0),0)+1 &lt;= 12,
        "No",
        "Yes"
    ),
    "No"
)</f>
        <v>Yes</v>
      </c>
      <c r="W402" s="4" t="str" cm="1">
        <f t="array" ref="W402">IFERROR(
    IF(
        MATCH(2,1/((Y402:BH402&lt;&gt;0)*(Y402:BH402&lt;&gt;"")))-MATCH(1,INDEX((Y402:BH402&lt;&gt;0)*(Y402:BH402&lt;&gt;""),0),0)+1 &lt;= 24,
        "No",
        "Yes"
    ),
    "No"
)</f>
        <v>No</v>
      </c>
      <c r="X402" s="3"/>
      <c r="Y402" s="4">
        <v>0</v>
      </c>
      <c r="Z402" s="4">
        <v>0</v>
      </c>
      <c r="AA402" s="4">
        <v>0</v>
      </c>
      <c r="AB402" s="4">
        <v>0</v>
      </c>
      <c r="AC402" s="4">
        <v>0</v>
      </c>
      <c r="AD402" s="4">
        <v>0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-217.33813804143574</v>
      </c>
      <c r="AL402" s="4">
        <v>-1.280568540096283E-9</v>
      </c>
      <c r="AM402" s="4">
        <v>220.50000100105535</v>
      </c>
      <c r="AN402" s="4">
        <v>50.499999999301508</v>
      </c>
      <c r="AO402" s="4">
        <v>0</v>
      </c>
      <c r="AP402" s="4">
        <v>0</v>
      </c>
      <c r="AQ402" s="4">
        <v>0</v>
      </c>
      <c r="AR402" s="4">
        <v>0</v>
      </c>
      <c r="AS402" s="4">
        <v>0</v>
      </c>
      <c r="AT402" s="4">
        <v>0</v>
      </c>
      <c r="AU402" s="4">
        <v>0</v>
      </c>
      <c r="AV402" s="4">
        <v>0</v>
      </c>
      <c r="AW402" s="4">
        <v>0</v>
      </c>
      <c r="AX402" s="4">
        <v>0</v>
      </c>
      <c r="AY402" s="4">
        <v>0</v>
      </c>
      <c r="AZ402" s="4">
        <v>0</v>
      </c>
      <c r="BA402" s="4">
        <v>0</v>
      </c>
      <c r="BB402" s="4">
        <v>1271.3879233403936</v>
      </c>
      <c r="BC402" s="4">
        <v>1246.932545936995</v>
      </c>
      <c r="BD402" s="4">
        <v>1227.7289960123362</v>
      </c>
      <c r="BE402" s="4">
        <v>1212.8680448081971</v>
      </c>
      <c r="BF402" s="4">
        <v>1198.2850144872657</v>
      </c>
      <c r="BG402" s="4">
        <v>1185.7051388460718</v>
      </c>
      <c r="BH402" s="4">
        <v>1174.147158211633</v>
      </c>
      <c r="BJ402" s="9"/>
    </row>
    <row r="403" spans="1:62" x14ac:dyDescent="0.25">
      <c r="A403" s="6" t="s">
        <v>458</v>
      </c>
      <c r="B403" s="6"/>
      <c r="C403" s="7" t="s">
        <v>526</v>
      </c>
      <c r="D403" s="3"/>
      <c r="E403" s="3">
        <f>VLOOKUP(A403,[2]Sheet1!$A$2:$E$627,5,0)</f>
        <v>220.50000100105535</v>
      </c>
      <c r="F403" s="3">
        <f>VLOOKUP(A403,[2]Sheet1!$A$2:$F$627,6,0)</f>
        <v>0</v>
      </c>
      <c r="G403" s="3">
        <f>VLOOKUP(A403,[2]Sheet1!$A$2:$G$627,7,0)</f>
        <v>0</v>
      </c>
      <c r="H403" s="4">
        <f t="shared" si="36"/>
        <v>108.33388225</v>
      </c>
      <c r="I403" s="11">
        <f t="shared" si="37"/>
        <v>-1</v>
      </c>
      <c r="J403" s="11">
        <f t="shared" si="38"/>
        <v>-1</v>
      </c>
      <c r="K403" s="11" t="e">
        <f t="shared" si="39"/>
        <v>#DIV/0!</v>
      </c>
      <c r="L403" s="11">
        <f>IF(S403="",((BG403-E403)/E403),((U403-E403)/E403))</f>
        <v>-0.50868987864774884</v>
      </c>
      <c r="M403" s="3" t="str">
        <f>IF(S403="Churn","Churn",VLOOKUP(A403,'[1]Revenue_Engine_2025 Dec.25'!$C$14:$E$3993,3,0))</f>
        <v>Diğer</v>
      </c>
      <c r="N403" s="3">
        <f>IF(S403="",VLOOKUP(A403,[3]Export!$B$2:$F$417,5,0),"CHURN")</f>
        <v>0.26433299218352346</v>
      </c>
      <c r="O403" s="3">
        <f>(1-N403)*H403</f>
        <v>79.697663000000006</v>
      </c>
      <c r="P403" s="3">
        <f t="shared" si="41"/>
        <v>0</v>
      </c>
      <c r="Q403" s="3">
        <f t="shared" si="40"/>
        <v>0</v>
      </c>
      <c r="R403" s="3" t="str">
        <f>IF(S403&lt;&gt;"Churn",VLOOKUP(A403,[3]Export!$B$2:$O$417,8,0),"CHURN")</f>
        <v>NO RISK</v>
      </c>
      <c r="S403" s="3"/>
      <c r="T403" s="3"/>
      <c r="U403" s="3" t="s">
        <v>551</v>
      </c>
      <c r="V403" s="4" t="str" cm="1">
        <f t="array" ref="V403">IFERROR(
    IF(
        MATCH(2,1/((Y403:BH403&lt;&gt;0)*(Y403:BH403&lt;&gt;"")))-MATCH(1,INDEX((Y403:BH403&lt;&gt;0)*(Y403:BH403&lt;&gt;""),0),0)+1 &lt;= 12,
        "No",
        "Yes"
    ),
    "No"
)</f>
        <v>Yes</v>
      </c>
      <c r="W403" s="4" t="str" cm="1">
        <f t="array" ref="W403">IFERROR(
    IF(
        MATCH(2,1/((Y403:BH403&lt;&gt;0)*(Y403:BH403&lt;&gt;"")))-MATCH(1,INDEX((Y403:BH403&lt;&gt;0)*(Y403:BH403&lt;&gt;""),0),0)+1 &lt;= 24,
        "No",
        "Yes"
    ),
    "No"
)</f>
        <v>No</v>
      </c>
      <c r="X403" s="3"/>
      <c r="Y403" s="4">
        <v>0</v>
      </c>
      <c r="Z403" s="4">
        <v>0</v>
      </c>
      <c r="AA403" s="4">
        <v>0</v>
      </c>
      <c r="AB403" s="4">
        <v>0</v>
      </c>
      <c r="AC403" s="4">
        <v>0</v>
      </c>
      <c r="AD403" s="4">
        <v>0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-217.33813804143574</v>
      </c>
      <c r="AL403" s="4">
        <v>-1.280568540096283E-9</v>
      </c>
      <c r="AM403" s="4">
        <v>220.50000100105535</v>
      </c>
      <c r="AN403" s="4">
        <v>50.499999999301508</v>
      </c>
      <c r="AO403" s="4">
        <v>0</v>
      </c>
      <c r="AP403" s="4">
        <v>0</v>
      </c>
      <c r="AQ403" s="4">
        <v>0</v>
      </c>
      <c r="AR403" s="4">
        <v>0</v>
      </c>
      <c r="AS403" s="4">
        <v>0</v>
      </c>
      <c r="AT403" s="4">
        <v>0</v>
      </c>
      <c r="AU403" s="4">
        <v>0</v>
      </c>
      <c r="AV403" s="4">
        <v>0</v>
      </c>
      <c r="AW403" s="4">
        <v>0</v>
      </c>
      <c r="AX403" s="4">
        <v>0</v>
      </c>
      <c r="AY403" s="4">
        <v>0</v>
      </c>
      <c r="AZ403" s="4">
        <v>0</v>
      </c>
      <c r="BA403" s="4">
        <v>0</v>
      </c>
      <c r="BB403" s="4">
        <v>108.33388225</v>
      </c>
      <c r="BC403" s="4">
        <v>108.33388225</v>
      </c>
      <c r="BD403" s="4">
        <v>108.33388225</v>
      </c>
      <c r="BE403" s="4">
        <v>108.33388225</v>
      </c>
      <c r="BF403" s="4">
        <v>108.33388225</v>
      </c>
      <c r="BG403" s="4">
        <v>108.33388225</v>
      </c>
      <c r="BH403" s="4">
        <v>108.33388225</v>
      </c>
      <c r="BJ403" s="9"/>
    </row>
    <row r="404" spans="1:62" x14ac:dyDescent="0.25">
      <c r="A404" s="6" t="s">
        <v>406</v>
      </c>
      <c r="B404" s="6"/>
      <c r="C404" s="7" t="s">
        <v>526</v>
      </c>
      <c r="D404" s="3"/>
      <c r="E404" s="3">
        <f>VLOOKUP(A404,[2]Sheet1!$A$2:$E$627,5,0)</f>
        <v>220.50000100105535</v>
      </c>
      <c r="F404" s="3">
        <f>VLOOKUP(A404,[2]Sheet1!$A$2:$F$627,6,0)</f>
        <v>0</v>
      </c>
      <c r="G404" s="3">
        <f>VLOOKUP(A404,[2]Sheet1!$A$2:$G$627,7,0)</f>
        <v>0</v>
      </c>
      <c r="H404" s="4">
        <f t="shared" si="36"/>
        <v>585</v>
      </c>
      <c r="I404" s="11">
        <f t="shared" si="37"/>
        <v>-1</v>
      </c>
      <c r="J404" s="11">
        <f t="shared" si="38"/>
        <v>-1</v>
      </c>
      <c r="K404" s="11" t="e">
        <f t="shared" si="39"/>
        <v>#DIV/0!</v>
      </c>
      <c r="L404" s="11">
        <f>IF(S404="",((BG404-E404)/E404),((U404-E404)/E404))</f>
        <v>1.6530612124450743</v>
      </c>
      <c r="M404" s="3" t="str">
        <f>IF(S404="Churn","Churn",VLOOKUP(A404,'[1]Revenue_Engine_2025 Dec.25'!$C$14:$E$3993,3,0))</f>
        <v>Üretim</v>
      </c>
      <c r="N404" s="3">
        <f>IF(S404="",VLOOKUP(A404,[3]Export!$B$2:$F$417,5,0),"CHURN")</f>
        <v>0.27863247863247864</v>
      </c>
      <c r="O404" s="3">
        <f>(1-N404)*H404</f>
        <v>422</v>
      </c>
      <c r="P404" s="3">
        <f t="shared" si="41"/>
        <v>0</v>
      </c>
      <c r="Q404" s="3">
        <f t="shared" si="40"/>
        <v>0</v>
      </c>
      <c r="R404" s="3" t="str">
        <f>IF(S404&lt;&gt;"Churn",VLOOKUP(A404,[3]Export!$B$2:$O$417,8,0),"CHURN")</f>
        <v>NO RISK</v>
      </c>
      <c r="S404" s="3"/>
      <c r="T404" s="3"/>
      <c r="U404" s="3" t="s">
        <v>551</v>
      </c>
      <c r="V404" s="4" t="str" cm="1">
        <f t="array" ref="V404">IFERROR(
    IF(
        MATCH(2,1/((Y404:BH404&lt;&gt;0)*(Y404:BH404&lt;&gt;"")))-MATCH(1,INDEX((Y404:BH404&lt;&gt;0)*(Y404:BH404&lt;&gt;""),0),0)+1 &lt;= 12,
        "No",
        "Yes"
    ),
    "No"
)</f>
        <v>Yes</v>
      </c>
      <c r="W404" s="4" t="str" cm="1">
        <f t="array" ref="W404">IFERROR(
    IF(
        MATCH(2,1/((Y404:BH404&lt;&gt;0)*(Y404:BH404&lt;&gt;"")))-MATCH(1,INDEX((Y404:BH404&lt;&gt;0)*(Y404:BH404&lt;&gt;""),0),0)+1 &lt;= 24,
        "No",
        "Yes"
    ),
    "No"
)</f>
        <v>No</v>
      </c>
      <c r="X404" s="3"/>
      <c r="Y404" s="4">
        <v>0</v>
      </c>
      <c r="Z404" s="4">
        <v>0</v>
      </c>
      <c r="AA404" s="4">
        <v>0</v>
      </c>
      <c r="AB404" s="4">
        <v>0</v>
      </c>
      <c r="AC404" s="4">
        <v>0</v>
      </c>
      <c r="AD404" s="4">
        <v>0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-217.33813804143574</v>
      </c>
      <c r="AL404" s="4">
        <v>-1.280568540096283E-9</v>
      </c>
      <c r="AM404" s="4">
        <v>220.50000100105535</v>
      </c>
      <c r="AN404" s="4">
        <v>50.499999999301508</v>
      </c>
      <c r="AO404" s="4">
        <v>0</v>
      </c>
      <c r="AP404" s="4">
        <v>0</v>
      </c>
      <c r="AQ404" s="4">
        <v>0</v>
      </c>
      <c r="AR404" s="4">
        <v>0</v>
      </c>
      <c r="AS404" s="4">
        <v>0</v>
      </c>
      <c r="AT404" s="4">
        <v>0</v>
      </c>
      <c r="AU404" s="4">
        <v>0</v>
      </c>
      <c r="AV404" s="4">
        <v>0</v>
      </c>
      <c r="AW404" s="4">
        <v>0</v>
      </c>
      <c r="AX404" s="4">
        <v>0</v>
      </c>
      <c r="AY404" s="4">
        <v>0</v>
      </c>
      <c r="AZ404" s="4">
        <v>0</v>
      </c>
      <c r="BA404" s="4">
        <v>0</v>
      </c>
      <c r="BB404" s="4">
        <v>585</v>
      </c>
      <c r="BC404" s="4">
        <v>585</v>
      </c>
      <c r="BD404" s="4">
        <v>585</v>
      </c>
      <c r="BE404" s="4">
        <v>585</v>
      </c>
      <c r="BF404" s="4">
        <v>585</v>
      </c>
      <c r="BG404" s="4">
        <v>585</v>
      </c>
      <c r="BH404" s="4">
        <v>585</v>
      </c>
      <c r="BJ404" s="9"/>
    </row>
    <row r="405" spans="1:62" x14ac:dyDescent="0.25">
      <c r="A405" s="6" t="s">
        <v>424</v>
      </c>
      <c r="B405" s="6"/>
      <c r="C405" s="7" t="s">
        <v>526</v>
      </c>
      <c r="D405" s="3"/>
      <c r="E405" s="3">
        <f>VLOOKUP(A405,[2]Sheet1!$A$2:$E$627,5,0)</f>
        <v>220.50000100105535</v>
      </c>
      <c r="F405" s="3">
        <f>VLOOKUP(A405,[2]Sheet1!$A$2:$F$627,6,0)</f>
        <v>0</v>
      </c>
      <c r="G405" s="3">
        <f>VLOOKUP(A405,[2]Sheet1!$A$2:$G$627,7,0)</f>
        <v>0</v>
      </c>
      <c r="H405" s="4">
        <f t="shared" si="36"/>
        <v>285</v>
      </c>
      <c r="I405" s="11">
        <f t="shared" si="37"/>
        <v>-1</v>
      </c>
      <c r="J405" s="11">
        <f t="shared" si="38"/>
        <v>-1</v>
      </c>
      <c r="K405" s="11" t="e">
        <f t="shared" si="39"/>
        <v>#DIV/0!</v>
      </c>
      <c r="L405" s="11">
        <f>IF(S405="",((BG405-E405)/E405),((U405-E405)/E405))</f>
        <v>0.29251700093477978</v>
      </c>
      <c r="M405" s="3" t="str">
        <f>IF(S405="Churn","Churn",VLOOKUP(A405,'[1]Revenue_Engine_2025 Dec.25'!$C$14:$E$3993,3,0))</f>
        <v>Diğer</v>
      </c>
      <c r="N405" s="3">
        <f>IF(S405="",VLOOKUP(A405,[3]Export!$B$2:$F$417,5,0),"CHURN")</f>
        <v>0.15789473684210525</v>
      </c>
      <c r="O405" s="3">
        <f>(1-N405)*H405</f>
        <v>240</v>
      </c>
      <c r="P405" s="3">
        <f t="shared" si="41"/>
        <v>0</v>
      </c>
      <c r="Q405" s="3">
        <f t="shared" si="40"/>
        <v>0</v>
      </c>
      <c r="R405" s="3" t="str">
        <f>IF(S405&lt;&gt;"Churn",VLOOKUP(A405,[3]Export!$B$2:$O$417,8,0),"CHURN")</f>
        <v>NO RISK</v>
      </c>
      <c r="S405" s="3"/>
      <c r="T405" s="3"/>
      <c r="U405" s="3" t="s">
        <v>551</v>
      </c>
      <c r="V405" s="4" t="str" cm="1">
        <f t="array" ref="V405">IFERROR(
    IF(
        MATCH(2,1/((Y405:BH405&lt;&gt;0)*(Y405:BH405&lt;&gt;"")))-MATCH(1,INDEX((Y405:BH405&lt;&gt;0)*(Y405:BH405&lt;&gt;""),0),0)+1 &lt;= 12,
        "No",
        "Yes"
    ),
    "No"
)</f>
        <v>Yes</v>
      </c>
      <c r="W405" s="4" t="str" cm="1">
        <f t="array" ref="W405">IFERROR(
    IF(
        MATCH(2,1/((Y405:BH405&lt;&gt;0)*(Y405:BH405&lt;&gt;"")))-MATCH(1,INDEX((Y405:BH405&lt;&gt;0)*(Y405:BH405&lt;&gt;""),0),0)+1 &lt;= 24,
        "No",
        "Yes"
    ),
    "No"
)</f>
        <v>No</v>
      </c>
      <c r="X405" s="3"/>
      <c r="Y405" s="4">
        <v>0</v>
      </c>
      <c r="Z405" s="4">
        <v>0</v>
      </c>
      <c r="AA405" s="4">
        <v>0</v>
      </c>
      <c r="AB405" s="4">
        <v>0</v>
      </c>
      <c r="AC405" s="4">
        <v>0</v>
      </c>
      <c r="AD405" s="4">
        <v>0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-217.33813804143574</v>
      </c>
      <c r="AL405" s="4">
        <v>-1.280568540096283E-9</v>
      </c>
      <c r="AM405" s="4">
        <v>220.50000100105535</v>
      </c>
      <c r="AN405" s="4">
        <v>50.499999999301508</v>
      </c>
      <c r="AO405" s="4">
        <v>0</v>
      </c>
      <c r="AP405" s="4">
        <v>0</v>
      </c>
      <c r="AQ405" s="4">
        <v>0</v>
      </c>
      <c r="AR405" s="4">
        <v>0</v>
      </c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0</v>
      </c>
      <c r="AY405" s="4">
        <v>0</v>
      </c>
      <c r="AZ405" s="4">
        <v>0</v>
      </c>
      <c r="BA405" s="4">
        <v>0</v>
      </c>
      <c r="BB405" s="4">
        <v>285</v>
      </c>
      <c r="BC405" s="4">
        <v>285</v>
      </c>
      <c r="BD405" s="4">
        <v>285</v>
      </c>
      <c r="BE405" s="4">
        <v>285</v>
      </c>
      <c r="BF405" s="4">
        <v>285</v>
      </c>
      <c r="BG405" s="4">
        <v>285</v>
      </c>
      <c r="BH405" s="4">
        <v>285</v>
      </c>
      <c r="BJ405" s="9"/>
    </row>
    <row r="406" spans="1:62" x14ac:dyDescent="0.25">
      <c r="A406" s="6" t="s">
        <v>428</v>
      </c>
      <c r="B406" s="6"/>
      <c r="C406" s="7" t="s">
        <v>526</v>
      </c>
      <c r="D406" s="3"/>
      <c r="E406" s="3">
        <f>VLOOKUP(A406,[2]Sheet1!$A$2:$E$627,5,0)</f>
        <v>220.50000100105535</v>
      </c>
      <c r="F406" s="3">
        <f>VLOOKUP(A406,[2]Sheet1!$A$2:$F$627,6,0)</f>
        <v>0</v>
      </c>
      <c r="G406" s="3">
        <f>VLOOKUP(A406,[2]Sheet1!$A$2:$G$627,7,0)</f>
        <v>0</v>
      </c>
      <c r="H406" s="4">
        <f t="shared" si="36"/>
        <v>260</v>
      </c>
      <c r="I406" s="11">
        <f t="shared" si="37"/>
        <v>-1</v>
      </c>
      <c r="J406" s="11">
        <f t="shared" si="38"/>
        <v>-1</v>
      </c>
      <c r="K406" s="11" t="e">
        <f t="shared" si="39"/>
        <v>#DIV/0!</v>
      </c>
      <c r="L406" s="11">
        <f>IF(S406="",((BG406-E406)/E406),((U406-E406)/E406))</f>
        <v>0.17913831664225521</v>
      </c>
      <c r="M406" s="3" t="str">
        <f>IF(S406="Churn","Churn",VLOOKUP(A406,'[1]Revenue_Engine_2025 Dec.25'!$C$14:$E$3993,3,0))</f>
        <v>Bayi</v>
      </c>
      <c r="N406" s="3">
        <f>IF(S406="",VLOOKUP(A406,[3]Export!$B$2:$F$417,5,0),"CHURN")</f>
        <v>5.3846153846153849E-2</v>
      </c>
      <c r="O406" s="3">
        <f>(1-N406)*H406</f>
        <v>246</v>
      </c>
      <c r="P406" s="3">
        <f t="shared" si="41"/>
        <v>0</v>
      </c>
      <c r="Q406" s="3">
        <f t="shared" si="40"/>
        <v>0</v>
      </c>
      <c r="R406" s="3" t="str">
        <f>IF(S406&lt;&gt;"Churn",VLOOKUP(A406,[3]Export!$B$2:$O$417,8,0),"CHURN")</f>
        <v>NO RISK</v>
      </c>
      <c r="S406" s="3"/>
      <c r="T406" s="3"/>
      <c r="U406" s="3" t="s">
        <v>551</v>
      </c>
      <c r="V406" s="4" t="str" cm="1">
        <f t="array" ref="V406">IFERROR(
    IF(
        MATCH(2,1/((Y406:BH406&lt;&gt;0)*(Y406:BH406&lt;&gt;"")))-MATCH(1,INDEX((Y406:BH406&lt;&gt;0)*(Y406:BH406&lt;&gt;""),0),0)+1 &lt;= 12,
        "No",
        "Yes"
    ),
    "No"
)</f>
        <v>Yes</v>
      </c>
      <c r="W406" s="4" t="str" cm="1">
        <f t="array" ref="W406">IFERROR(
    IF(
        MATCH(2,1/((Y406:BH406&lt;&gt;0)*(Y406:BH406&lt;&gt;"")))-MATCH(1,INDEX((Y406:BH406&lt;&gt;0)*(Y406:BH406&lt;&gt;""),0),0)+1 &lt;= 24,
        "No",
        "Yes"
    ),
    "No"
)</f>
        <v>No</v>
      </c>
      <c r="X406" s="3"/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-217.33813804143574</v>
      </c>
      <c r="AL406" s="4">
        <v>-1.280568540096283E-9</v>
      </c>
      <c r="AM406" s="4">
        <v>220.50000100105535</v>
      </c>
      <c r="AN406" s="4">
        <v>50.499999999301508</v>
      </c>
      <c r="AO406" s="4">
        <v>0</v>
      </c>
      <c r="AP406" s="4">
        <v>0</v>
      </c>
      <c r="AQ406" s="4">
        <v>0</v>
      </c>
      <c r="AR406" s="4">
        <v>0</v>
      </c>
      <c r="AS406" s="4">
        <v>0</v>
      </c>
      <c r="AT406" s="4">
        <v>0</v>
      </c>
      <c r="AU406" s="4">
        <v>0</v>
      </c>
      <c r="AV406" s="4">
        <v>0</v>
      </c>
      <c r="AW406" s="4">
        <v>0</v>
      </c>
      <c r="AX406" s="4">
        <v>0</v>
      </c>
      <c r="AY406" s="4">
        <v>0</v>
      </c>
      <c r="AZ406" s="4">
        <v>0</v>
      </c>
      <c r="BA406" s="4">
        <v>0</v>
      </c>
      <c r="BB406" s="4">
        <v>260</v>
      </c>
      <c r="BC406" s="4">
        <v>260</v>
      </c>
      <c r="BD406" s="4">
        <v>260</v>
      </c>
      <c r="BE406" s="4">
        <v>260</v>
      </c>
      <c r="BF406" s="4">
        <v>260</v>
      </c>
      <c r="BG406" s="4">
        <v>260</v>
      </c>
      <c r="BH406" s="4">
        <v>260</v>
      </c>
      <c r="BJ406" s="9"/>
    </row>
    <row r="407" spans="1:62" x14ac:dyDescent="0.25">
      <c r="A407" s="6" t="s">
        <v>405</v>
      </c>
      <c r="B407" s="6"/>
      <c r="C407" s="7" t="s">
        <v>526</v>
      </c>
      <c r="D407" s="3"/>
      <c r="E407" s="3">
        <f>VLOOKUP(A407,[2]Sheet1!$A$2:$E$627,5,0)</f>
        <v>607.5</v>
      </c>
      <c r="F407" s="3">
        <f>VLOOKUP(A407,[2]Sheet1!$A$2:$F$627,6,0)</f>
        <v>0</v>
      </c>
      <c r="G407" s="3">
        <f>VLOOKUP(A407,[2]Sheet1!$A$2:$G$627,7,0)</f>
        <v>0</v>
      </c>
      <c r="H407" s="4">
        <f t="shared" si="36"/>
        <v>607.5</v>
      </c>
      <c r="I407" s="11">
        <f t="shared" si="37"/>
        <v>-1</v>
      </c>
      <c r="J407" s="11">
        <f t="shared" si="38"/>
        <v>-1</v>
      </c>
      <c r="K407" s="11" t="e">
        <f t="shared" si="39"/>
        <v>#DIV/0!</v>
      </c>
      <c r="L407" s="11">
        <f>IF(S407="",((BG407-E407)/E407),((U407-E407)/E407))</f>
        <v>0</v>
      </c>
      <c r="M407" s="3" t="str">
        <f>IF(S407="Churn","Churn",VLOOKUP(A407,'[1]Revenue_Engine_2025 Dec.25'!$C$14:$E$3993,3,0))</f>
        <v>Teknoloji</v>
      </c>
      <c r="N407" s="3">
        <f>IF(S407="",VLOOKUP(A407,[3]Export!$B$2:$F$417,5,0),"CHURN")</f>
        <v>0.39613168724279829</v>
      </c>
      <c r="O407" s="3">
        <f>(1-N407)*H407</f>
        <v>366.85000000000008</v>
      </c>
      <c r="P407" s="3">
        <f t="shared" si="41"/>
        <v>0</v>
      </c>
      <c r="Q407" s="3">
        <f t="shared" si="40"/>
        <v>0</v>
      </c>
      <c r="R407" s="3" t="str">
        <f>IF(S407&lt;&gt;"Churn",VLOOKUP(A407,[3]Export!$B$2:$O$417,8,0),"CHURN")</f>
        <v>NO RISK</v>
      </c>
      <c r="S407" s="3"/>
      <c r="T407" s="3"/>
      <c r="U407" s="3" t="s">
        <v>551</v>
      </c>
      <c r="V407" s="4" t="str" cm="1">
        <f t="array" ref="V407">IFERROR(
    IF(
        MATCH(2,1/((Y407:BH407&lt;&gt;0)*(Y407:BH407&lt;&gt;"")))-MATCH(1,INDEX((Y407:BH407&lt;&gt;0)*(Y407:BH407&lt;&gt;""),0),0)+1 &lt;= 12,
        "No",
        "Yes"
    ),
    "No"
)</f>
        <v>No</v>
      </c>
      <c r="W407" s="4" t="str" cm="1">
        <f t="array" ref="W407">IFERROR(
    IF(
        MATCH(2,1/((Y407:BH407&lt;&gt;0)*(Y407:BH407&lt;&gt;"")))-MATCH(1,INDEX((Y407:BH407&lt;&gt;0)*(Y407:BH407&lt;&gt;""),0),0)+1 &lt;= 24,
        "No",
        "Yes"
    ),
    "No"
)</f>
        <v>No</v>
      </c>
      <c r="X407" s="3"/>
      <c r="Y407" s="4">
        <v>0</v>
      </c>
      <c r="Z407" s="4">
        <v>0</v>
      </c>
      <c r="AA407" s="4">
        <v>0</v>
      </c>
      <c r="AB407" s="4">
        <v>0</v>
      </c>
      <c r="AC407" s="4">
        <v>0</v>
      </c>
      <c r="AD407" s="4">
        <v>0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4">
        <v>0</v>
      </c>
      <c r="AQ407" s="4">
        <v>0</v>
      </c>
      <c r="AR407" s="4">
        <v>0</v>
      </c>
      <c r="AS407" s="4">
        <v>0</v>
      </c>
      <c r="AT407" s="4">
        <v>0</v>
      </c>
      <c r="AU407" s="4">
        <v>0</v>
      </c>
      <c r="AV407" s="4">
        <v>0</v>
      </c>
      <c r="AW407" s="4">
        <v>0</v>
      </c>
      <c r="AX407" s="4">
        <v>0</v>
      </c>
      <c r="AY407" s="4">
        <v>0</v>
      </c>
      <c r="AZ407" s="4">
        <v>0</v>
      </c>
      <c r="BA407" s="4">
        <v>0</v>
      </c>
      <c r="BB407" s="4">
        <v>0</v>
      </c>
      <c r="BC407" s="4">
        <v>607.5</v>
      </c>
      <c r="BD407" s="4">
        <v>607.5</v>
      </c>
      <c r="BE407" s="4">
        <v>607.5</v>
      </c>
      <c r="BF407" s="4">
        <v>607.5</v>
      </c>
      <c r="BG407" s="4">
        <v>607.5</v>
      </c>
      <c r="BH407" s="4">
        <v>607.5</v>
      </c>
      <c r="BJ407" s="9"/>
    </row>
    <row r="408" spans="1:62" x14ac:dyDescent="0.25">
      <c r="A408" s="6" t="s">
        <v>381</v>
      </c>
      <c r="B408" s="6"/>
      <c r="C408" s="7" t="s">
        <v>525</v>
      </c>
      <c r="D408" s="3"/>
      <c r="E408" s="3">
        <f>VLOOKUP(A408,[2]Sheet1!$A$2:$E$627,5,0)</f>
        <v>3865.4908924046845</v>
      </c>
      <c r="F408" s="3">
        <f>VLOOKUP(A408,[2]Sheet1!$A$2:$F$627,6,0)</f>
        <v>0</v>
      </c>
      <c r="G408" s="3">
        <f>VLOOKUP(A408,[2]Sheet1!$A$2:$G$627,7,0)</f>
        <v>0</v>
      </c>
      <c r="H408" s="4">
        <f t="shared" si="36"/>
        <v>4890.8424208739434</v>
      </c>
      <c r="I408" s="11">
        <f t="shared" si="37"/>
        <v>-1</v>
      </c>
      <c r="J408" s="11">
        <f t="shared" si="38"/>
        <v>-1</v>
      </c>
      <c r="K408" s="11" t="e">
        <f t="shared" si="39"/>
        <v>#DIV/0!</v>
      </c>
      <c r="L408" s="11">
        <f>IF(S408="",((BG408-E408)/E408),((U408-E408)/E408))</f>
        <v>0.26525777889788216</v>
      </c>
      <c r="M408" s="3" t="str">
        <f>IF(S408="Churn","Churn",VLOOKUP(A408,'[1]Revenue_Engine_2025 Dec.25'!$C$14:$E$3993,3,0))</f>
        <v>Üretim</v>
      </c>
      <c r="N408" s="3">
        <f>IF(S408="",VLOOKUP(A408,[3]Export!$B$2:$F$417,5,0),"CHURN")</f>
        <v>8.3677463243744449E-2</v>
      </c>
      <c r="O408" s="3">
        <f>(1-N408)*H408</f>
        <v>4481.5891339703176</v>
      </c>
      <c r="P408" s="3">
        <f t="shared" si="41"/>
        <v>0</v>
      </c>
      <c r="Q408" s="3">
        <f t="shared" si="40"/>
        <v>0</v>
      </c>
      <c r="R408" s="3" t="str">
        <f>IF(S408&lt;&gt;"Churn",VLOOKUP(A408,[3]Export!$B$2:$O$417,8,0),"CHURN")</f>
        <v>NO RISK</v>
      </c>
      <c r="S408" s="3"/>
      <c r="T408" s="3"/>
      <c r="U408" s="3" t="s">
        <v>551</v>
      </c>
      <c r="V408" s="4" t="str" cm="1">
        <f t="array" ref="V408">IFERROR(
    IF(
        MATCH(2,1/((Y408:BH408&lt;&gt;0)*(Y408:BH408&lt;&gt;"")))-MATCH(1,INDEX((Y408:BH408&lt;&gt;0)*(Y408:BH408&lt;&gt;""),0),0)+1 &lt;= 12,
        "No",
        "Yes"
    ),
    "No"
)</f>
        <v>No</v>
      </c>
      <c r="W408" s="4" t="str" cm="1">
        <f t="array" ref="W408">IFERROR(
    IF(
        MATCH(2,1/((Y408:BH408&lt;&gt;0)*(Y408:BH408&lt;&gt;"")))-MATCH(1,INDEX((Y408:BH408&lt;&gt;0)*(Y408:BH408&lt;&gt;""),0),0)+1 &lt;= 24,
        "No",
        "Yes"
    ),
    "No"
)</f>
        <v>No</v>
      </c>
      <c r="X408" s="3"/>
      <c r="Y408" s="4">
        <v>0</v>
      </c>
      <c r="Z408" s="4">
        <v>0</v>
      </c>
      <c r="AA408" s="4">
        <v>0</v>
      </c>
      <c r="AB408" s="4">
        <v>0</v>
      </c>
      <c r="AC408" s="4">
        <v>0</v>
      </c>
      <c r="AD408" s="4">
        <v>0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4">
        <v>0</v>
      </c>
      <c r="AQ408" s="4">
        <v>0</v>
      </c>
      <c r="AR408" s="4">
        <v>0</v>
      </c>
      <c r="AS408" s="4">
        <v>0</v>
      </c>
      <c r="AT408" s="4">
        <v>0</v>
      </c>
      <c r="AU408" s="4">
        <v>0</v>
      </c>
      <c r="AV408" s="4">
        <v>0</v>
      </c>
      <c r="AW408" s="4">
        <v>0</v>
      </c>
      <c r="AX408" s="4">
        <v>0</v>
      </c>
      <c r="AY408" s="4">
        <v>0</v>
      </c>
      <c r="AZ408" s="4">
        <v>0</v>
      </c>
      <c r="BA408" s="4">
        <v>0</v>
      </c>
      <c r="BB408" s="4">
        <v>0</v>
      </c>
      <c r="BC408" s="4">
        <v>3865.4908924046845</v>
      </c>
      <c r="BD408" s="4">
        <v>3805.9598876382424</v>
      </c>
      <c r="BE408" s="4">
        <v>3762.6198920062293</v>
      </c>
      <c r="BF408" s="4">
        <v>3723.4186595844026</v>
      </c>
      <c r="BG408" s="4">
        <v>4890.8424208739434</v>
      </c>
      <c r="BH408" s="4">
        <v>4854.9404435282186</v>
      </c>
      <c r="BJ408" s="9"/>
    </row>
    <row r="409" spans="1:62" x14ac:dyDescent="0.25">
      <c r="A409" s="6" t="s">
        <v>418</v>
      </c>
      <c r="B409" s="6"/>
      <c r="C409" s="7" t="s">
        <v>526</v>
      </c>
      <c r="D409" s="3"/>
      <c r="E409" s="3">
        <f>VLOOKUP(A409,[2]Sheet1!$A$2:$E$627,5,0)</f>
        <v>350</v>
      </c>
      <c r="F409" s="3">
        <f>VLOOKUP(A409,[2]Sheet1!$A$2:$F$627,6,0)</f>
        <v>0</v>
      </c>
      <c r="G409" s="3">
        <f>VLOOKUP(A409,[2]Sheet1!$A$2:$G$627,7,0)</f>
        <v>0</v>
      </c>
      <c r="H409" s="4">
        <f t="shared" si="36"/>
        <v>350</v>
      </c>
      <c r="I409" s="11">
        <f t="shared" si="37"/>
        <v>-1</v>
      </c>
      <c r="J409" s="11">
        <f t="shared" si="38"/>
        <v>-1</v>
      </c>
      <c r="K409" s="11" t="e">
        <f t="shared" si="39"/>
        <v>#DIV/0!</v>
      </c>
      <c r="L409" s="11">
        <f>IF(S409="",((BG409-E409)/E409),((U409-E409)/E409))</f>
        <v>0</v>
      </c>
      <c r="M409" s="3" t="str">
        <f>IF(S409="Churn","Churn",VLOOKUP(A409,'[1]Revenue_Engine_2025 Dec.25'!$C$14:$E$3993,3,0))</f>
        <v>Teknoloji</v>
      </c>
      <c r="N409" s="3">
        <f>IF(S409="",VLOOKUP(A409,[3]Export!$B$2:$F$417,5,0),"CHURN")</f>
        <v>8.8000000000000023E-2</v>
      </c>
      <c r="O409" s="3">
        <f>(1-N409)*H409</f>
        <v>319.2</v>
      </c>
      <c r="P409" s="3">
        <f t="shared" si="41"/>
        <v>0</v>
      </c>
      <c r="Q409" s="3">
        <f t="shared" si="40"/>
        <v>0</v>
      </c>
      <c r="R409" s="3" t="str">
        <f>IF(S409&lt;&gt;"Churn",VLOOKUP(A409,[3]Export!$B$2:$O$417,8,0),"CHURN")</f>
        <v>NO RISK</v>
      </c>
      <c r="S409" s="3"/>
      <c r="T409" s="3"/>
      <c r="U409" s="3" t="s">
        <v>551</v>
      </c>
      <c r="V409" s="4" t="str" cm="1">
        <f t="array" ref="V409">IFERROR(
    IF(
        MATCH(2,1/((Y409:BH409&lt;&gt;0)*(Y409:BH409&lt;&gt;"")))-MATCH(1,INDEX((Y409:BH409&lt;&gt;0)*(Y409:BH409&lt;&gt;""),0),0)+1 &lt;= 12,
        "No",
        "Yes"
    ),
    "No"
)</f>
        <v>No</v>
      </c>
      <c r="W409" s="4" t="str" cm="1">
        <f t="array" ref="W409">IFERROR(
    IF(
        MATCH(2,1/((Y409:BH409&lt;&gt;0)*(Y409:BH409&lt;&gt;"")))-MATCH(1,INDEX((Y409:BH409&lt;&gt;0)*(Y409:BH409&lt;&gt;""),0),0)+1 &lt;= 24,
        "No",
        "Yes"
    ),
    "No"
)</f>
        <v>No</v>
      </c>
      <c r="X409" s="3"/>
      <c r="Y409" s="4">
        <v>0</v>
      </c>
      <c r="Z409" s="4">
        <v>0</v>
      </c>
      <c r="AA409" s="4">
        <v>0</v>
      </c>
      <c r="AB409" s="4">
        <v>0</v>
      </c>
      <c r="AC409" s="4">
        <v>0</v>
      </c>
      <c r="AD409" s="4">
        <v>0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4">
        <v>0</v>
      </c>
      <c r="AQ409" s="4">
        <v>0</v>
      </c>
      <c r="AR409" s="4">
        <v>0</v>
      </c>
      <c r="AS409" s="4">
        <v>0</v>
      </c>
      <c r="AT409" s="4">
        <v>0</v>
      </c>
      <c r="AU409" s="4">
        <v>0</v>
      </c>
      <c r="AV409" s="4">
        <v>0</v>
      </c>
      <c r="AW409" s="4">
        <v>0</v>
      </c>
      <c r="AX409" s="4">
        <v>0</v>
      </c>
      <c r="AY409" s="4">
        <v>0</v>
      </c>
      <c r="AZ409" s="4">
        <v>0</v>
      </c>
      <c r="BA409" s="4">
        <v>0</v>
      </c>
      <c r="BB409" s="4">
        <v>0</v>
      </c>
      <c r="BC409" s="4">
        <v>350</v>
      </c>
      <c r="BD409" s="4">
        <v>350</v>
      </c>
      <c r="BE409" s="4">
        <v>350</v>
      </c>
      <c r="BF409" s="4">
        <v>350</v>
      </c>
      <c r="BG409" s="4">
        <v>350</v>
      </c>
      <c r="BH409" s="4">
        <v>350</v>
      </c>
      <c r="BJ409" s="9"/>
    </row>
    <row r="410" spans="1:62" x14ac:dyDescent="0.25">
      <c r="A410" s="6" t="s">
        <v>465</v>
      </c>
      <c r="B410" s="6"/>
      <c r="C410" s="7" t="s">
        <v>526</v>
      </c>
      <c r="D410" s="3"/>
      <c r="E410" s="3">
        <f>VLOOKUP(A410,[2]Sheet1!$A$2:$E$627,5,0)</f>
        <v>104.99916466666666</v>
      </c>
      <c r="F410" s="3">
        <f>VLOOKUP(A410,[2]Sheet1!$A$2:$F$627,6,0)</f>
        <v>0</v>
      </c>
      <c r="G410" s="3">
        <f>VLOOKUP(A410,[2]Sheet1!$A$2:$G$627,7,0)</f>
        <v>0</v>
      </c>
      <c r="H410" s="4">
        <f t="shared" si="36"/>
        <v>104.99916466666666</v>
      </c>
      <c r="I410" s="11">
        <f t="shared" si="37"/>
        <v>-1</v>
      </c>
      <c r="J410" s="11">
        <f t="shared" si="38"/>
        <v>-1</v>
      </c>
      <c r="K410" s="11" t="e">
        <f t="shared" si="39"/>
        <v>#DIV/0!</v>
      </c>
      <c r="L410" s="11">
        <f>IF(S410="",((BG410-E410)/E410),((U410-E410)/E410))</f>
        <v>0</v>
      </c>
      <c r="M410" s="3" t="str">
        <f>IF(S410="Churn","Churn",VLOOKUP(A410,'[1]Revenue_Engine_2025 Dec.25'!$C$14:$E$3993,3,0))</f>
        <v>Diğer</v>
      </c>
      <c r="N410" s="3">
        <f>IF(S410="",VLOOKUP(A410,[3]Export!$B$2:$F$417,5,0),"CHURN")</f>
        <v>0.27701553317754329</v>
      </c>
      <c r="O410" s="3">
        <f>(1-N410)*H410</f>
        <v>75.91276508333334</v>
      </c>
      <c r="P410" s="3">
        <f t="shared" si="41"/>
        <v>0</v>
      </c>
      <c r="Q410" s="3">
        <f t="shared" si="40"/>
        <v>0</v>
      </c>
      <c r="R410" s="3" t="str">
        <f>IF(S410&lt;&gt;"Churn",VLOOKUP(A410,[3]Export!$B$2:$O$417,8,0),"CHURN")</f>
        <v>NO RISK</v>
      </c>
      <c r="S410" s="3"/>
      <c r="T410" s="3"/>
      <c r="U410" s="3" t="s">
        <v>551</v>
      </c>
      <c r="V410" s="4" t="str" cm="1">
        <f t="array" ref="V410">IFERROR(
    IF(
        MATCH(2,1/((Y410:BH410&lt;&gt;0)*(Y410:BH410&lt;&gt;"")))-MATCH(1,INDEX((Y410:BH410&lt;&gt;0)*(Y410:BH410&lt;&gt;""),0),0)+1 &lt;= 12,
        "No",
        "Yes"
    ),
    "No"
)</f>
        <v>No</v>
      </c>
      <c r="W410" s="4" t="str" cm="1">
        <f t="array" ref="W410">IFERROR(
    IF(
        MATCH(2,1/((Y410:BH410&lt;&gt;0)*(Y410:BH410&lt;&gt;"")))-MATCH(1,INDEX((Y410:BH410&lt;&gt;0)*(Y410:BH410&lt;&gt;""),0),0)+1 &lt;= 24,
        "No",
        "Yes"
    ),
    "No"
)</f>
        <v>No</v>
      </c>
      <c r="X410" s="3"/>
      <c r="Y410" s="4">
        <v>0</v>
      </c>
      <c r="Z410" s="4">
        <v>0</v>
      </c>
      <c r="AA410" s="4">
        <v>0</v>
      </c>
      <c r="AB410" s="4">
        <v>0</v>
      </c>
      <c r="AC410" s="4">
        <v>0</v>
      </c>
      <c r="AD410" s="4">
        <v>0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4">
        <v>0</v>
      </c>
      <c r="AQ410" s="4">
        <v>0</v>
      </c>
      <c r="AR410" s="4">
        <v>0</v>
      </c>
      <c r="AS410" s="4">
        <v>0</v>
      </c>
      <c r="AT410" s="4">
        <v>0</v>
      </c>
      <c r="AU410" s="4">
        <v>0</v>
      </c>
      <c r="AV410" s="4">
        <v>0</v>
      </c>
      <c r="AW410" s="4">
        <v>0</v>
      </c>
      <c r="AX410" s="4">
        <v>0</v>
      </c>
      <c r="AY410" s="4">
        <v>0</v>
      </c>
      <c r="AZ410" s="4">
        <v>0</v>
      </c>
      <c r="BA410" s="4">
        <v>0</v>
      </c>
      <c r="BB410" s="4">
        <v>0</v>
      </c>
      <c r="BC410" s="4">
        <v>104.99916466666666</v>
      </c>
      <c r="BD410" s="4">
        <v>104.99916466666666</v>
      </c>
      <c r="BE410" s="4">
        <v>104.99916466666666</v>
      </c>
      <c r="BF410" s="4">
        <v>104.99916466666666</v>
      </c>
      <c r="BG410" s="4">
        <v>104.99916466666666</v>
      </c>
      <c r="BH410" s="4">
        <v>104.99916466666666</v>
      </c>
      <c r="BJ410" s="9"/>
    </row>
    <row r="411" spans="1:62" x14ac:dyDescent="0.25">
      <c r="A411" s="6" t="s">
        <v>385</v>
      </c>
      <c r="B411" s="6"/>
      <c r="C411" s="7" t="s">
        <v>525</v>
      </c>
      <c r="D411" s="3"/>
      <c r="E411" s="3">
        <f>VLOOKUP(A411,[2]Sheet1!$A$2:$E$627,5,0)</f>
        <v>2165.9218322925603</v>
      </c>
      <c r="F411" s="3">
        <f>VLOOKUP(A411,[2]Sheet1!$A$2:$F$627,6,0)</f>
        <v>0</v>
      </c>
      <c r="G411" s="3">
        <f>VLOOKUP(A411,[2]Sheet1!$A$2:$G$627,7,0)</f>
        <v>0</v>
      </c>
      <c r="H411" s="4">
        <f t="shared" si="36"/>
        <v>2081.4210701643806</v>
      </c>
      <c r="I411" s="11">
        <f t="shared" si="37"/>
        <v>-1</v>
      </c>
      <c r="J411" s="11">
        <f t="shared" si="38"/>
        <v>-1</v>
      </c>
      <c r="K411" s="11" t="e">
        <f t="shared" si="39"/>
        <v>#DIV/0!</v>
      </c>
      <c r="L411" s="11">
        <f>IF(S411="",((BG411-E411)/E411),((U411-E411)/E411))</f>
        <v>-4.9102421209893381E-2</v>
      </c>
      <c r="M411" s="3" t="str">
        <f>IF(S411="Churn","Churn",VLOOKUP(A411,'[1]Revenue_Engine_2025 Dec.25'!$C$14:$E$3993,3,0))</f>
        <v>Sağlık</v>
      </c>
      <c r="N411" s="3">
        <f>IF(S411="",VLOOKUP(A411,[3]Export!$B$2:$F$417,5,0),"CHURN")</f>
        <v>0</v>
      </c>
      <c r="O411" s="3">
        <f>(1-N411)*H411</f>
        <v>2081.4210701643806</v>
      </c>
      <c r="P411" s="3">
        <f t="shared" si="41"/>
        <v>0</v>
      </c>
      <c r="Q411" s="3">
        <f t="shared" si="40"/>
        <v>0</v>
      </c>
      <c r="R411" s="3" t="str">
        <f>IF(S411&lt;&gt;"Churn",VLOOKUP(A411,[3]Export!$B$2:$O$417,8,0),"CHURN")</f>
        <v>NO RISK</v>
      </c>
      <c r="S411" s="3"/>
      <c r="T411" s="3"/>
      <c r="U411" s="3" t="s">
        <v>551</v>
      </c>
      <c r="V411" s="4" t="str" cm="1">
        <f t="array" ref="V411">IFERROR(
    IF(
        MATCH(2,1/((Y411:BH411&lt;&gt;0)*(Y411:BH411&lt;&gt;"")))-MATCH(1,INDEX((Y411:BH411&lt;&gt;0)*(Y411:BH411&lt;&gt;""),0),0)+1 &lt;= 12,
        "No",
        "Yes"
    ),
    "No"
)</f>
        <v>No</v>
      </c>
      <c r="W411" s="4" t="str" cm="1">
        <f t="array" ref="W411">IFERROR(
    IF(
        MATCH(2,1/((Y411:BH411&lt;&gt;0)*(Y411:BH411&lt;&gt;"")))-MATCH(1,INDEX((Y411:BH411&lt;&gt;0)*(Y411:BH411&lt;&gt;""),0),0)+1 &lt;= 24,
        "No",
        "Yes"
    ),
    "No"
)</f>
        <v>No</v>
      </c>
      <c r="X411" s="3"/>
      <c r="Y411" s="4">
        <v>0</v>
      </c>
      <c r="Z411" s="4">
        <v>0</v>
      </c>
      <c r="AA411" s="4">
        <v>0</v>
      </c>
      <c r="AB411" s="4">
        <v>0</v>
      </c>
      <c r="AC411" s="4">
        <v>0</v>
      </c>
      <c r="AD411" s="4">
        <v>0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0</v>
      </c>
      <c r="AP411" s="4">
        <v>0</v>
      </c>
      <c r="AQ411" s="4">
        <v>0</v>
      </c>
      <c r="AR411" s="4">
        <v>0</v>
      </c>
      <c r="AS411" s="4">
        <v>0</v>
      </c>
      <c r="AT411" s="4">
        <v>0</v>
      </c>
      <c r="AU411" s="4">
        <v>0</v>
      </c>
      <c r="AV411" s="4">
        <v>0</v>
      </c>
      <c r="AW411" s="4">
        <v>0</v>
      </c>
      <c r="AX411" s="4">
        <v>0</v>
      </c>
      <c r="AY411" s="4">
        <v>0</v>
      </c>
      <c r="AZ411" s="4">
        <v>0</v>
      </c>
      <c r="BA411" s="4">
        <v>0</v>
      </c>
      <c r="BB411" s="4">
        <v>0</v>
      </c>
      <c r="BC411" s="4">
        <v>2165.9218322925603</v>
      </c>
      <c r="BD411" s="4">
        <v>2132.5652660734281</v>
      </c>
      <c r="BE411" s="4">
        <v>2106.7517938318383</v>
      </c>
      <c r="BF411" s="4">
        <v>2081.4210701643806</v>
      </c>
      <c r="BG411" s="4">
        <v>2059.569826175627</v>
      </c>
      <c r="BH411" s="4">
        <v>2039.4936138136065</v>
      </c>
      <c r="BJ411" s="9"/>
    </row>
    <row r="412" spans="1:62" x14ac:dyDescent="0.25">
      <c r="A412" s="6" t="s">
        <v>394</v>
      </c>
      <c r="B412" s="6"/>
      <c r="C412" s="7" t="s">
        <v>526</v>
      </c>
      <c r="D412" s="3"/>
      <c r="E412" s="3">
        <f>VLOOKUP(A412,[2]Sheet1!$A$2:$E$627,5,0)</f>
        <v>1000</v>
      </c>
      <c r="F412" s="3">
        <f>VLOOKUP(A412,[2]Sheet1!$A$2:$F$627,6,0)</f>
        <v>0</v>
      </c>
      <c r="G412" s="3">
        <f>VLOOKUP(A412,[2]Sheet1!$A$2:$G$627,7,0)</f>
        <v>0</v>
      </c>
      <c r="H412" s="4">
        <f t="shared" si="36"/>
        <v>1000</v>
      </c>
      <c r="I412" s="11">
        <f t="shared" si="37"/>
        <v>-1</v>
      </c>
      <c r="J412" s="11">
        <f t="shared" si="38"/>
        <v>-1</v>
      </c>
      <c r="K412" s="11" t="e">
        <f t="shared" si="39"/>
        <v>#DIV/0!</v>
      </c>
      <c r="L412" s="11">
        <f>IF(S412="",((BG412-E412)/E412),((U412-E412)/E412))</f>
        <v>0</v>
      </c>
      <c r="M412" s="3" t="str">
        <f>IF(S412="Churn","Churn",VLOOKUP(A412,'[1]Revenue_Engine_2025 Dec.25'!$C$14:$E$3993,3,0))</f>
        <v>Perakende</v>
      </c>
      <c r="N412" s="3">
        <f>IF(S412="",VLOOKUP(A412,[3]Export!$B$2:$F$417,5,0),"CHURN")</f>
        <v>0</v>
      </c>
      <c r="O412" s="3">
        <f>(1-N412)*H412</f>
        <v>1000</v>
      </c>
      <c r="P412" s="3">
        <f t="shared" si="41"/>
        <v>0</v>
      </c>
      <c r="Q412" s="3">
        <f t="shared" si="40"/>
        <v>0</v>
      </c>
      <c r="R412" s="3" t="str">
        <f>IF(S412&lt;&gt;"Churn",VLOOKUP(A412,[3]Export!$B$2:$O$417,8,0),"CHURN")</f>
        <v>NO RISK</v>
      </c>
      <c r="S412" s="3"/>
      <c r="T412" s="3"/>
      <c r="U412" s="3" t="s">
        <v>551</v>
      </c>
      <c r="V412" s="4" t="str" cm="1">
        <f t="array" ref="V412">IFERROR(
    IF(
        MATCH(2,1/((Y412:BH412&lt;&gt;0)*(Y412:BH412&lt;&gt;"")))-MATCH(1,INDEX((Y412:BH412&lt;&gt;0)*(Y412:BH412&lt;&gt;""),0),0)+1 &lt;= 12,
        "No",
        "Yes"
    ),
    "No"
)</f>
        <v>No</v>
      </c>
      <c r="W412" s="4" t="str" cm="1">
        <f t="array" ref="W412">IFERROR(
    IF(
        MATCH(2,1/((Y412:BH412&lt;&gt;0)*(Y412:BH412&lt;&gt;"")))-MATCH(1,INDEX((Y412:BH412&lt;&gt;0)*(Y412:BH412&lt;&gt;""),0),0)+1 &lt;= 24,
        "No",
        "Yes"
    ),
    "No"
)</f>
        <v>No</v>
      </c>
      <c r="X412" s="3"/>
      <c r="Y412" s="4">
        <v>0</v>
      </c>
      <c r="Z412" s="4">
        <v>0</v>
      </c>
      <c r="AA412" s="4">
        <v>0</v>
      </c>
      <c r="AB412" s="4">
        <v>0</v>
      </c>
      <c r="AC412" s="4">
        <v>0</v>
      </c>
      <c r="AD412" s="4">
        <v>0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4">
        <v>0</v>
      </c>
      <c r="AQ412" s="4">
        <v>0</v>
      </c>
      <c r="AR412" s="4">
        <v>0</v>
      </c>
      <c r="AS412" s="4">
        <v>0</v>
      </c>
      <c r="AT412" s="4">
        <v>0</v>
      </c>
      <c r="AU412" s="4">
        <v>0</v>
      </c>
      <c r="AV412" s="4">
        <v>0</v>
      </c>
      <c r="AW412" s="4">
        <v>0</v>
      </c>
      <c r="AX412" s="4">
        <v>0</v>
      </c>
      <c r="AY412" s="4">
        <v>0</v>
      </c>
      <c r="AZ412" s="4">
        <v>0</v>
      </c>
      <c r="BA412" s="4">
        <v>0</v>
      </c>
      <c r="BB412" s="4">
        <v>0</v>
      </c>
      <c r="BC412" s="4">
        <v>0</v>
      </c>
      <c r="BD412" s="4">
        <v>1000</v>
      </c>
      <c r="BE412" s="4">
        <v>1000</v>
      </c>
      <c r="BF412" s="4">
        <v>1000</v>
      </c>
      <c r="BG412" s="4">
        <v>1000</v>
      </c>
      <c r="BH412" s="4">
        <v>1000</v>
      </c>
      <c r="BJ412" s="9"/>
    </row>
    <row r="413" spans="1:62" x14ac:dyDescent="0.25">
      <c r="A413" s="6" t="s">
        <v>464</v>
      </c>
      <c r="B413" s="6"/>
      <c r="C413" s="7" t="s">
        <v>526</v>
      </c>
      <c r="D413" s="3"/>
      <c r="E413" s="3">
        <f>VLOOKUP(A413,[2]Sheet1!$A$2:$E$627,5,0)</f>
        <v>104.99916675</v>
      </c>
      <c r="F413" s="3">
        <f>VLOOKUP(A413,[2]Sheet1!$A$2:$F$627,6,0)</f>
        <v>0</v>
      </c>
      <c r="G413" s="3">
        <f>VLOOKUP(A413,[2]Sheet1!$A$2:$G$627,7,0)</f>
        <v>0</v>
      </c>
      <c r="H413" s="4">
        <f t="shared" si="36"/>
        <v>104.99916675</v>
      </c>
      <c r="I413" s="11">
        <f t="shared" si="37"/>
        <v>-1</v>
      </c>
      <c r="J413" s="11">
        <f t="shared" si="38"/>
        <v>-1</v>
      </c>
      <c r="K413" s="11" t="e">
        <f t="shared" si="39"/>
        <v>#DIV/0!</v>
      </c>
      <c r="L413" s="11">
        <f>IF(S413="",((BG413-E413)/E413),((U413-E413)/E413))</f>
        <v>0</v>
      </c>
      <c r="M413" s="3" t="str">
        <f>IF(S413="Churn","Churn",VLOOKUP(A413,'[1]Revenue_Engine_2025 Dec.25'!$C$14:$E$3993,3,0))</f>
        <v>Diğer</v>
      </c>
      <c r="N413" s="3">
        <f>IF(S413="",VLOOKUP(A413,[3]Export!$B$2:$F$417,5,0),"CHURN")</f>
        <v>0.27702346425207863</v>
      </c>
      <c r="O413" s="3">
        <f>(1-N413)*H413</f>
        <v>75.911933833333336</v>
      </c>
      <c r="P413" s="3">
        <f t="shared" si="41"/>
        <v>0</v>
      </c>
      <c r="Q413" s="3">
        <f t="shared" si="40"/>
        <v>0</v>
      </c>
      <c r="R413" s="3" t="str">
        <f>IF(S413&lt;&gt;"Churn",VLOOKUP(A413,[3]Export!$B$2:$O$417,8,0),"CHURN")</f>
        <v>NO RISK</v>
      </c>
      <c r="S413" s="3"/>
      <c r="T413" s="3"/>
      <c r="U413" s="3" t="s">
        <v>551</v>
      </c>
      <c r="V413" s="4" t="str" cm="1">
        <f t="array" ref="V413">IFERROR(
    IF(
        MATCH(2,1/((Y413:BH413&lt;&gt;0)*(Y413:BH413&lt;&gt;"")))-MATCH(1,INDEX((Y413:BH413&lt;&gt;0)*(Y413:BH413&lt;&gt;""),0),0)+1 &lt;= 12,
        "No",
        "Yes"
    ),
    "No"
)</f>
        <v>No</v>
      </c>
      <c r="W413" s="4" t="str" cm="1">
        <f t="array" ref="W413">IFERROR(
    IF(
        MATCH(2,1/((Y413:BH413&lt;&gt;0)*(Y413:BH413&lt;&gt;"")))-MATCH(1,INDEX((Y413:BH413&lt;&gt;0)*(Y413:BH413&lt;&gt;""),0),0)+1 &lt;= 24,
        "No",
        "Yes"
    ),
    "No"
)</f>
        <v>No</v>
      </c>
      <c r="X413" s="3"/>
      <c r="Y413" s="4">
        <v>0</v>
      </c>
      <c r="Z413" s="4">
        <v>0</v>
      </c>
      <c r="AA413" s="4">
        <v>0</v>
      </c>
      <c r="AB413" s="4">
        <v>0</v>
      </c>
      <c r="AC413" s="4">
        <v>0</v>
      </c>
      <c r="AD413" s="4">
        <v>0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4">
        <v>0</v>
      </c>
      <c r="AQ413" s="4">
        <v>0</v>
      </c>
      <c r="AR413" s="4">
        <v>0</v>
      </c>
      <c r="AS413" s="4">
        <v>0</v>
      </c>
      <c r="AT413" s="4">
        <v>0</v>
      </c>
      <c r="AU413" s="4">
        <v>0</v>
      </c>
      <c r="AV413" s="4">
        <v>0</v>
      </c>
      <c r="AW413" s="4">
        <v>0</v>
      </c>
      <c r="AX413" s="4">
        <v>0</v>
      </c>
      <c r="AY413" s="4">
        <v>0</v>
      </c>
      <c r="AZ413" s="4">
        <v>0</v>
      </c>
      <c r="BA413" s="4">
        <v>0</v>
      </c>
      <c r="BB413" s="4">
        <v>0</v>
      </c>
      <c r="BC413" s="4">
        <v>0</v>
      </c>
      <c r="BD413" s="4">
        <v>104.99916675</v>
      </c>
      <c r="BE413" s="4">
        <v>104.99916675</v>
      </c>
      <c r="BF413" s="4">
        <v>104.99916675</v>
      </c>
      <c r="BG413" s="4">
        <v>104.99916675</v>
      </c>
      <c r="BH413" s="4">
        <v>104.99916675</v>
      </c>
      <c r="BJ413" s="9"/>
    </row>
    <row r="414" spans="1:62" x14ac:dyDescent="0.25">
      <c r="A414" s="6" t="s">
        <v>452</v>
      </c>
      <c r="B414" s="6"/>
      <c r="C414" s="7" t="s">
        <v>526</v>
      </c>
      <c r="D414" s="3"/>
      <c r="E414" s="3">
        <f>VLOOKUP(A414,[2]Sheet1!$A$2:$E$627,5,0)</f>
        <v>120.00000366666666</v>
      </c>
      <c r="F414" s="3">
        <f>VLOOKUP(A414,[2]Sheet1!$A$2:$F$627,6,0)</f>
        <v>0</v>
      </c>
      <c r="G414" s="3">
        <f>VLOOKUP(A414,[2]Sheet1!$A$2:$G$627,7,0)</f>
        <v>0</v>
      </c>
      <c r="H414" s="4">
        <f t="shared" si="36"/>
        <v>120.00000366666666</v>
      </c>
      <c r="I414" s="11">
        <f t="shared" si="37"/>
        <v>-1</v>
      </c>
      <c r="J414" s="11">
        <f t="shared" si="38"/>
        <v>-1</v>
      </c>
      <c r="K414" s="11" t="e">
        <f t="shared" si="39"/>
        <v>#DIV/0!</v>
      </c>
      <c r="L414" s="11">
        <f>IF(S414="",((BG414-E414)/E414),((U414-E414)/E414))</f>
        <v>0</v>
      </c>
      <c r="M414" s="3" t="str">
        <f>IF(S414="Churn","Churn",VLOOKUP(A414,'[1]Revenue_Engine_2025 Dec.25'!$C$14:$E$3993,3,0))</f>
        <v>Diğer</v>
      </c>
      <c r="N414" s="3">
        <f>IF(S414="",VLOOKUP(A414,[3]Export!$B$2:$F$417,5,0),"CHURN")</f>
        <v>0.31952408537565291</v>
      </c>
      <c r="O414" s="3">
        <f>(1-N414)*H414</f>
        <v>81.657112249999997</v>
      </c>
      <c r="P414" s="3">
        <f t="shared" si="41"/>
        <v>0</v>
      </c>
      <c r="Q414" s="3">
        <f t="shared" si="40"/>
        <v>0</v>
      </c>
      <c r="R414" s="3" t="str">
        <f>IF(S414&lt;&gt;"Churn",VLOOKUP(A414,[3]Export!$B$2:$O$417,8,0),"CHURN")</f>
        <v>NO RISK</v>
      </c>
      <c r="S414" s="3"/>
      <c r="T414" s="3"/>
      <c r="U414" s="3" t="s">
        <v>551</v>
      </c>
      <c r="V414" s="4" t="str" cm="1">
        <f t="array" ref="V414">IFERROR(
    IF(
        MATCH(2,1/((Y414:BH414&lt;&gt;0)*(Y414:BH414&lt;&gt;"")))-MATCH(1,INDEX((Y414:BH414&lt;&gt;0)*(Y414:BH414&lt;&gt;""),0),0)+1 &lt;= 12,
        "No",
        "Yes"
    ),
    "No"
)</f>
        <v>No</v>
      </c>
      <c r="W414" s="4" t="str" cm="1">
        <f t="array" ref="W414">IFERROR(
    IF(
        MATCH(2,1/((Y414:BH414&lt;&gt;0)*(Y414:BH414&lt;&gt;"")))-MATCH(1,INDEX((Y414:BH414&lt;&gt;0)*(Y414:BH414&lt;&gt;""),0),0)+1 &lt;= 24,
        "No",
        "Yes"
    ),
    "No"
)</f>
        <v>No</v>
      </c>
      <c r="X414" s="3"/>
      <c r="Y414" s="4">
        <v>0</v>
      </c>
      <c r="Z414" s="4">
        <v>0</v>
      </c>
      <c r="AA414" s="4">
        <v>0</v>
      </c>
      <c r="AB414" s="4">
        <v>0</v>
      </c>
      <c r="AC414" s="4">
        <v>0</v>
      </c>
      <c r="AD414" s="4">
        <v>0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4">
        <v>0</v>
      </c>
      <c r="AQ414" s="4">
        <v>0</v>
      </c>
      <c r="AR414" s="4">
        <v>0</v>
      </c>
      <c r="AS414" s="4">
        <v>0</v>
      </c>
      <c r="AT414" s="4">
        <v>0</v>
      </c>
      <c r="AU414" s="4">
        <v>0</v>
      </c>
      <c r="AV414" s="4">
        <v>0</v>
      </c>
      <c r="AW414" s="4">
        <v>0</v>
      </c>
      <c r="AX414" s="4">
        <v>0</v>
      </c>
      <c r="AY414" s="4">
        <v>0</v>
      </c>
      <c r="AZ414" s="4">
        <v>0</v>
      </c>
      <c r="BA414" s="4">
        <v>0</v>
      </c>
      <c r="BB414" s="4">
        <v>0</v>
      </c>
      <c r="BC414" s="4">
        <v>0</v>
      </c>
      <c r="BD414" s="4">
        <v>120.00000366666666</v>
      </c>
      <c r="BE414" s="4">
        <v>120.00000366666666</v>
      </c>
      <c r="BF414" s="4">
        <v>120.00000366666666</v>
      </c>
      <c r="BG414" s="4">
        <v>120.00000366666666</v>
      </c>
      <c r="BH414" s="4">
        <v>120.00000366666666</v>
      </c>
      <c r="BJ414" s="9"/>
    </row>
    <row r="415" spans="1:62" x14ac:dyDescent="0.25">
      <c r="A415" s="6" t="s">
        <v>463</v>
      </c>
      <c r="B415" s="6"/>
      <c r="C415" s="7" t="s">
        <v>526</v>
      </c>
      <c r="D415" s="3"/>
      <c r="E415" s="3">
        <f>VLOOKUP(A415,[2]Sheet1!$A$2:$E$627,5,0)</f>
        <v>104.99957408333333</v>
      </c>
      <c r="F415" s="3">
        <f>VLOOKUP(A415,[2]Sheet1!$A$2:$F$627,6,0)</f>
        <v>0</v>
      </c>
      <c r="G415" s="3">
        <f>VLOOKUP(A415,[2]Sheet1!$A$2:$G$627,7,0)</f>
        <v>0</v>
      </c>
      <c r="H415" s="4">
        <f t="shared" si="36"/>
        <v>104.99957408333333</v>
      </c>
      <c r="I415" s="11">
        <f t="shared" si="37"/>
        <v>-1</v>
      </c>
      <c r="J415" s="11">
        <f t="shared" si="38"/>
        <v>-1</v>
      </c>
      <c r="K415" s="11" t="e">
        <f t="shared" si="39"/>
        <v>#DIV/0!</v>
      </c>
      <c r="L415" s="11">
        <f>IF(S415="",((BG415-E415)/E415),((U415-E415)/E415))</f>
        <v>0</v>
      </c>
      <c r="M415" s="3" t="str">
        <f>IF(S415="Churn","Churn",VLOOKUP(A415,'[1]Revenue_Engine_2025 Dec.25'!$C$14:$E$3993,3,0))</f>
        <v>Diğer</v>
      </c>
      <c r="N415" s="3">
        <f>IF(S415="",VLOOKUP(A415,[3]Export!$B$2:$F$417,5,0),"CHURN")</f>
        <v>0.277022388778912</v>
      </c>
      <c r="O415" s="3">
        <f>(1-N415)*H415</f>
        <v>75.912341249999983</v>
      </c>
      <c r="P415" s="3">
        <f t="shared" si="41"/>
        <v>0</v>
      </c>
      <c r="Q415" s="3">
        <f t="shared" si="40"/>
        <v>0</v>
      </c>
      <c r="R415" s="3" t="str">
        <f>IF(S415&lt;&gt;"Churn",VLOOKUP(A415,[3]Export!$B$2:$O$417,8,0),"CHURN")</f>
        <v>NO RISK</v>
      </c>
      <c r="S415" s="3"/>
      <c r="T415" s="3"/>
      <c r="U415" s="3" t="s">
        <v>551</v>
      </c>
      <c r="V415" s="4" t="str" cm="1">
        <f t="array" ref="V415">IFERROR(
    IF(
        MATCH(2,1/((Y415:BH415&lt;&gt;0)*(Y415:BH415&lt;&gt;"")))-MATCH(1,INDEX((Y415:BH415&lt;&gt;0)*(Y415:BH415&lt;&gt;""),0),0)+1 &lt;= 12,
        "No",
        "Yes"
    ),
    "No"
)</f>
        <v>No</v>
      </c>
      <c r="W415" s="4" t="str" cm="1">
        <f t="array" ref="W415">IFERROR(
    IF(
        MATCH(2,1/((Y415:BH415&lt;&gt;0)*(Y415:BH415&lt;&gt;"")))-MATCH(1,INDEX((Y415:BH415&lt;&gt;0)*(Y415:BH415&lt;&gt;""),0),0)+1 &lt;= 24,
        "No",
        "Yes"
    ),
    "No"
)</f>
        <v>No</v>
      </c>
      <c r="X415" s="3"/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4">
        <v>0</v>
      </c>
      <c r="AQ415" s="4">
        <v>0</v>
      </c>
      <c r="AR415" s="4">
        <v>0</v>
      </c>
      <c r="AS415" s="4">
        <v>0</v>
      </c>
      <c r="AT415" s="4">
        <v>0</v>
      </c>
      <c r="AU415" s="4">
        <v>0</v>
      </c>
      <c r="AV415" s="4">
        <v>0</v>
      </c>
      <c r="AW415" s="4">
        <v>0</v>
      </c>
      <c r="AX415" s="4">
        <v>0</v>
      </c>
      <c r="AY415" s="4">
        <v>0</v>
      </c>
      <c r="AZ415" s="4">
        <v>0</v>
      </c>
      <c r="BA415" s="4">
        <v>0</v>
      </c>
      <c r="BB415" s="4">
        <v>0</v>
      </c>
      <c r="BC415" s="4">
        <v>0</v>
      </c>
      <c r="BD415" s="4">
        <v>104.99957408333333</v>
      </c>
      <c r="BE415" s="4">
        <v>104.99957408333333</v>
      </c>
      <c r="BF415" s="4">
        <v>104.99957408333333</v>
      </c>
      <c r="BG415" s="4">
        <v>104.99957408333333</v>
      </c>
      <c r="BH415" s="4">
        <v>104.99957408333333</v>
      </c>
      <c r="BJ415" s="9"/>
    </row>
    <row r="416" spans="1:62" x14ac:dyDescent="0.25">
      <c r="A416" s="6" t="s">
        <v>450</v>
      </c>
      <c r="B416" s="6"/>
      <c r="C416" s="7" t="s">
        <v>526</v>
      </c>
      <c r="D416" s="3"/>
      <c r="E416" s="3">
        <f>VLOOKUP(A416,[2]Sheet1!$A$2:$E$627,5,0)</f>
        <v>124.99833083333333</v>
      </c>
      <c r="F416" s="3">
        <f>VLOOKUP(A416,[2]Sheet1!$A$2:$F$627,6,0)</f>
        <v>0</v>
      </c>
      <c r="G416" s="3">
        <f>VLOOKUP(A416,[2]Sheet1!$A$2:$G$627,7,0)</f>
        <v>0</v>
      </c>
      <c r="H416" s="4">
        <f t="shared" si="36"/>
        <v>124.99833083333333</v>
      </c>
      <c r="I416" s="11">
        <f t="shared" si="37"/>
        <v>-1</v>
      </c>
      <c r="J416" s="11">
        <f t="shared" si="38"/>
        <v>-1</v>
      </c>
      <c r="K416" s="11" t="e">
        <f t="shared" si="39"/>
        <v>#DIV/0!</v>
      </c>
      <c r="L416" s="11">
        <f>IF(S416="",((BG416-E416)/E416),((U416-E416)/E416))</f>
        <v>0</v>
      </c>
      <c r="M416" s="3" t="str">
        <f>IF(S416="Churn","Churn",VLOOKUP(A416,'[1]Revenue_Engine_2025 Dec.25'!$C$14:$E$3993,3,0))</f>
        <v>Diğer</v>
      </c>
      <c r="N416" s="3">
        <f>IF(S416="",VLOOKUP(A416,[3]Export!$B$2:$F$417,5,0),"CHURN")</f>
        <v>0.27702496654005321</v>
      </c>
      <c r="O416" s="3">
        <f>(1-N416)*H416</f>
        <v>90.37067241666665</v>
      </c>
      <c r="P416" s="3">
        <f t="shared" si="41"/>
        <v>0</v>
      </c>
      <c r="Q416" s="3">
        <f t="shared" si="40"/>
        <v>0</v>
      </c>
      <c r="R416" s="3" t="str">
        <f>IF(S416&lt;&gt;"Churn",VLOOKUP(A416,[3]Export!$B$2:$O$417,8,0),"CHURN")</f>
        <v>NO RISK</v>
      </c>
      <c r="S416" s="3"/>
      <c r="T416" s="3"/>
      <c r="U416" s="3" t="s">
        <v>551</v>
      </c>
      <c r="V416" s="4" t="str" cm="1">
        <f t="array" ref="V416">IFERROR(
    IF(
        MATCH(2,1/((Y416:BH416&lt;&gt;0)*(Y416:BH416&lt;&gt;"")))-MATCH(1,INDEX((Y416:BH416&lt;&gt;0)*(Y416:BH416&lt;&gt;""),0),0)+1 &lt;= 12,
        "No",
        "Yes"
    ),
    "No"
)</f>
        <v>No</v>
      </c>
      <c r="W416" s="4" t="str" cm="1">
        <f t="array" ref="W416">IFERROR(
    IF(
        MATCH(2,1/((Y416:BH416&lt;&gt;0)*(Y416:BH416&lt;&gt;"")))-MATCH(1,INDEX((Y416:BH416&lt;&gt;0)*(Y416:BH416&lt;&gt;""),0),0)+1 &lt;= 24,
        "No",
        "Yes"
    ),
    "No"
)</f>
        <v>No</v>
      </c>
      <c r="X416" s="3"/>
      <c r="Y416" s="4">
        <v>0</v>
      </c>
      <c r="Z416" s="4">
        <v>0</v>
      </c>
      <c r="AA416" s="4">
        <v>0</v>
      </c>
      <c r="AB416" s="4">
        <v>0</v>
      </c>
      <c r="AC416" s="4">
        <v>0</v>
      </c>
      <c r="AD416" s="4">
        <v>0</v>
      </c>
      <c r="AE416" s="4">
        <v>0</v>
      </c>
      <c r="AF416" s="4">
        <v>0</v>
      </c>
      <c r="AG416" s="4">
        <v>0</v>
      </c>
      <c r="AH416" s="4">
        <v>0</v>
      </c>
      <c r="AI416" s="4">
        <v>0</v>
      </c>
      <c r="AJ416" s="4">
        <v>0</v>
      </c>
      <c r="AK416" s="4">
        <v>0</v>
      </c>
      <c r="AL416" s="4">
        <v>0</v>
      </c>
      <c r="AM416" s="4">
        <v>0</v>
      </c>
      <c r="AN416" s="4">
        <v>0</v>
      </c>
      <c r="AO416" s="4">
        <v>0</v>
      </c>
      <c r="AP416" s="4">
        <v>0</v>
      </c>
      <c r="AQ416" s="4">
        <v>0</v>
      </c>
      <c r="AR416" s="4">
        <v>0</v>
      </c>
      <c r="AS416" s="4">
        <v>0</v>
      </c>
      <c r="AT416" s="4">
        <v>0</v>
      </c>
      <c r="AU416" s="4">
        <v>0</v>
      </c>
      <c r="AV416" s="4">
        <v>0</v>
      </c>
      <c r="AW416" s="4">
        <v>0</v>
      </c>
      <c r="AX416" s="4">
        <v>0</v>
      </c>
      <c r="AY416" s="4">
        <v>0</v>
      </c>
      <c r="AZ416" s="4">
        <v>0</v>
      </c>
      <c r="BA416" s="4">
        <v>0</v>
      </c>
      <c r="BB416" s="4">
        <v>0</v>
      </c>
      <c r="BC416" s="4">
        <v>0</v>
      </c>
      <c r="BD416" s="4">
        <v>124.99833083333333</v>
      </c>
      <c r="BE416" s="4">
        <v>124.99833083333333</v>
      </c>
      <c r="BF416" s="4">
        <v>124.99833083333333</v>
      </c>
      <c r="BG416" s="4">
        <v>124.99833083333333</v>
      </c>
      <c r="BH416" s="4">
        <v>124.99833083333333</v>
      </c>
      <c r="BJ416" s="9"/>
    </row>
    <row r="417" spans="1:62" x14ac:dyDescent="0.25">
      <c r="A417" s="6" t="s">
        <v>456</v>
      </c>
      <c r="B417" s="6"/>
      <c r="C417" s="7" t="s">
        <v>526</v>
      </c>
      <c r="D417" s="3"/>
      <c r="E417" s="3">
        <f>VLOOKUP(A417,[2]Sheet1!$A$2:$E$627,5,0)</f>
        <v>110.00074016666667</v>
      </c>
      <c r="F417" s="3">
        <f>VLOOKUP(A417,[2]Sheet1!$A$2:$F$627,6,0)</f>
        <v>0</v>
      </c>
      <c r="G417" s="3">
        <f>VLOOKUP(A417,[2]Sheet1!$A$2:$G$627,7,0)</f>
        <v>0</v>
      </c>
      <c r="H417" s="4">
        <f t="shared" si="36"/>
        <v>110.00074016666667</v>
      </c>
      <c r="I417" s="11">
        <f t="shared" si="37"/>
        <v>-1</v>
      </c>
      <c r="J417" s="11">
        <f t="shared" si="38"/>
        <v>-1</v>
      </c>
      <c r="K417" s="11" t="e">
        <f t="shared" si="39"/>
        <v>#DIV/0!</v>
      </c>
      <c r="L417" s="11">
        <f>IF(S417="",((BG417-E417)/E417),((U417-E417)/E417))</f>
        <v>0</v>
      </c>
      <c r="M417" s="3" t="str">
        <f>IF(S417="Churn","Churn",VLOOKUP(A417,'[1]Revenue_Engine_2025 Dec.25'!$C$14:$E$3993,3,0))</f>
        <v>Diğer</v>
      </c>
      <c r="N417" s="3">
        <f>IF(S417="",VLOOKUP(A417,[3]Export!$B$2:$F$417,5,0),"CHURN")</f>
        <v>0.28569040037716958</v>
      </c>
      <c r="O417" s="3">
        <f>(1-N417)*H417</f>
        <v>78.574584666666667</v>
      </c>
      <c r="P417" s="3">
        <f t="shared" si="41"/>
        <v>0</v>
      </c>
      <c r="Q417" s="3">
        <f t="shared" si="40"/>
        <v>0</v>
      </c>
      <c r="R417" s="3" t="str">
        <f>IF(S417&lt;&gt;"Churn",VLOOKUP(A417,[3]Export!$B$2:$O$417,8,0),"CHURN")</f>
        <v>NO RISK</v>
      </c>
      <c r="S417" s="3"/>
      <c r="T417" s="3"/>
      <c r="U417" s="3" t="s">
        <v>551</v>
      </c>
      <c r="V417" s="4" t="str" cm="1">
        <f t="array" ref="V417">IFERROR(
    IF(
        MATCH(2,1/((Y417:BH417&lt;&gt;0)*(Y417:BH417&lt;&gt;"")))-MATCH(1,INDEX((Y417:BH417&lt;&gt;0)*(Y417:BH417&lt;&gt;""),0),0)+1 &lt;= 12,
        "No",
        "Yes"
    ),
    "No"
)</f>
        <v>No</v>
      </c>
      <c r="W417" s="4" t="str" cm="1">
        <f t="array" ref="W417">IFERROR(
    IF(
        MATCH(2,1/((Y417:BH417&lt;&gt;0)*(Y417:BH417&lt;&gt;"")))-MATCH(1,INDEX((Y417:BH417&lt;&gt;0)*(Y417:BH417&lt;&gt;""),0),0)+1 &lt;= 24,
        "No",
        "Yes"
    ),
    "No"
)</f>
        <v>No</v>
      </c>
      <c r="X417" s="3"/>
      <c r="Y417" s="4">
        <v>0</v>
      </c>
      <c r="Z417" s="4">
        <v>0</v>
      </c>
      <c r="AA417" s="4">
        <v>0</v>
      </c>
      <c r="AB417" s="4">
        <v>0</v>
      </c>
      <c r="AC417" s="4">
        <v>0</v>
      </c>
      <c r="AD417" s="4">
        <v>0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0</v>
      </c>
      <c r="AM417" s="4">
        <v>0</v>
      </c>
      <c r="AN417" s="4">
        <v>0</v>
      </c>
      <c r="AO417" s="4">
        <v>0</v>
      </c>
      <c r="AP417" s="4">
        <v>0</v>
      </c>
      <c r="AQ417" s="4">
        <v>0</v>
      </c>
      <c r="AR417" s="4">
        <v>0</v>
      </c>
      <c r="AS417" s="4">
        <v>0</v>
      </c>
      <c r="AT417" s="4">
        <v>0</v>
      </c>
      <c r="AU417" s="4">
        <v>0</v>
      </c>
      <c r="AV417" s="4">
        <v>0</v>
      </c>
      <c r="AW417" s="4">
        <v>0</v>
      </c>
      <c r="AX417" s="4">
        <v>0</v>
      </c>
      <c r="AY417" s="4">
        <v>0</v>
      </c>
      <c r="AZ417" s="4">
        <v>0</v>
      </c>
      <c r="BA417" s="4">
        <v>0</v>
      </c>
      <c r="BB417" s="4">
        <v>0</v>
      </c>
      <c r="BC417" s="4">
        <v>0</v>
      </c>
      <c r="BD417" s="4">
        <v>110.00074016666667</v>
      </c>
      <c r="BE417" s="4">
        <v>110.00074016666667</v>
      </c>
      <c r="BF417" s="4">
        <v>110.00074016666667</v>
      </c>
      <c r="BG417" s="4">
        <v>110.00074016666667</v>
      </c>
      <c r="BH417" s="4">
        <v>110.00074016666667</v>
      </c>
      <c r="BJ417" s="9"/>
    </row>
    <row r="418" spans="1:62" x14ac:dyDescent="0.25">
      <c r="A418" s="6" t="s">
        <v>395</v>
      </c>
      <c r="B418" s="6"/>
      <c r="C418" s="7" t="s">
        <v>526</v>
      </c>
      <c r="D418" s="3"/>
      <c r="E418" s="3">
        <f>VLOOKUP(A418,[2]Sheet1!$A$2:$E$627,5,0)</f>
        <v>953.33333333333337</v>
      </c>
      <c r="F418" s="3">
        <f>VLOOKUP(A418,[2]Sheet1!$A$2:$F$627,6,0)</f>
        <v>0</v>
      </c>
      <c r="G418" s="3">
        <f>VLOOKUP(A418,[2]Sheet1!$A$2:$G$627,7,0)</f>
        <v>0</v>
      </c>
      <c r="H418" s="4">
        <f t="shared" si="36"/>
        <v>953.33333333333337</v>
      </c>
      <c r="I418" s="11">
        <f t="shared" si="37"/>
        <v>-1</v>
      </c>
      <c r="J418" s="11">
        <f t="shared" si="38"/>
        <v>-1</v>
      </c>
      <c r="K418" s="11" t="e">
        <f t="shared" si="39"/>
        <v>#DIV/0!</v>
      </c>
      <c r="L418" s="11">
        <f>IF(S418="",((BG418-E418)/E418),((U418-E418)/E418))</f>
        <v>0</v>
      </c>
      <c r="M418" s="3" t="str">
        <f>IF(S418="Churn","Churn",VLOOKUP(A418,'[1]Revenue_Engine_2025 Dec.25'!$C$14:$E$3993,3,0))</f>
        <v>Genel</v>
      </c>
      <c r="N418" s="3">
        <f>IF(S418="",VLOOKUP(A418,[3]Export!$B$2:$F$417,5,0),"CHURN")</f>
        <v>0.3283216783216783</v>
      </c>
      <c r="O418" s="3">
        <f>(1-N418)*H418</f>
        <v>640.33333333333348</v>
      </c>
      <c r="P418" s="3">
        <f t="shared" si="41"/>
        <v>0</v>
      </c>
      <c r="Q418" s="3">
        <f t="shared" si="40"/>
        <v>0</v>
      </c>
      <c r="R418" s="3" t="str">
        <f>IF(S418&lt;&gt;"Churn",VLOOKUP(A418,[3]Export!$B$2:$O$417,8,0),"CHURN")</f>
        <v>NO RISK</v>
      </c>
      <c r="S418" s="3"/>
      <c r="T418" s="3"/>
      <c r="U418" s="3" t="s">
        <v>551</v>
      </c>
      <c r="V418" s="4" t="str" cm="1">
        <f t="array" ref="V418">IFERROR(
    IF(
        MATCH(2,1/((Y418:BH418&lt;&gt;0)*(Y418:BH418&lt;&gt;"")))-MATCH(1,INDEX((Y418:BH418&lt;&gt;0)*(Y418:BH418&lt;&gt;""),0),0)+1 &lt;= 12,
        "No",
        "Yes"
    ),
    "No"
)</f>
        <v>No</v>
      </c>
      <c r="W418" s="4" t="str" cm="1">
        <f t="array" ref="W418">IFERROR(
    IF(
        MATCH(2,1/((Y418:BH418&lt;&gt;0)*(Y418:BH418&lt;&gt;"")))-MATCH(1,INDEX((Y418:BH418&lt;&gt;0)*(Y418:BH418&lt;&gt;""),0),0)+1 &lt;= 24,
        "No",
        "Yes"
    ),
    "No"
)</f>
        <v>No</v>
      </c>
      <c r="X418" s="3"/>
      <c r="Y418" s="4">
        <v>0</v>
      </c>
      <c r="Z418" s="4">
        <v>0</v>
      </c>
      <c r="AA418" s="4">
        <v>0</v>
      </c>
      <c r="AB418" s="4">
        <v>0</v>
      </c>
      <c r="AC418" s="4">
        <v>0</v>
      </c>
      <c r="AD418" s="4">
        <v>0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4">
        <v>0</v>
      </c>
      <c r="AQ418" s="4">
        <v>0</v>
      </c>
      <c r="AR418" s="4">
        <v>0</v>
      </c>
      <c r="AS418" s="4">
        <v>0</v>
      </c>
      <c r="AT418" s="4">
        <v>0</v>
      </c>
      <c r="AU418" s="4">
        <v>0</v>
      </c>
      <c r="AV418" s="4">
        <v>0</v>
      </c>
      <c r="AW418" s="4">
        <v>0</v>
      </c>
      <c r="AX418" s="4">
        <v>0</v>
      </c>
      <c r="AY418" s="4">
        <v>0</v>
      </c>
      <c r="AZ418" s="4">
        <v>0</v>
      </c>
      <c r="BA418" s="4">
        <v>0</v>
      </c>
      <c r="BB418" s="4">
        <v>0</v>
      </c>
      <c r="BC418" s="4">
        <v>0</v>
      </c>
      <c r="BD418" s="4">
        <v>953.33333333333337</v>
      </c>
      <c r="BE418" s="4">
        <v>953.33333333333337</v>
      </c>
      <c r="BF418" s="4">
        <v>953.33333333333337</v>
      </c>
      <c r="BG418" s="4">
        <v>953.33333333333337</v>
      </c>
      <c r="BH418" s="4">
        <v>953.33333333333337</v>
      </c>
      <c r="BJ418" s="9"/>
    </row>
    <row r="419" spans="1:62" x14ac:dyDescent="0.25">
      <c r="A419" s="6" t="s">
        <v>423</v>
      </c>
      <c r="B419" s="6"/>
      <c r="C419" s="7" t="s">
        <v>526</v>
      </c>
      <c r="D419" s="3"/>
      <c r="E419" s="3">
        <f>VLOOKUP(A419,[2]Sheet1!$A$2:$E$627,5,0)</f>
        <v>300</v>
      </c>
      <c r="F419" s="3">
        <f>VLOOKUP(A419,[2]Sheet1!$A$2:$F$627,6,0)</f>
        <v>0</v>
      </c>
      <c r="G419" s="3">
        <f>VLOOKUP(A419,[2]Sheet1!$A$2:$G$627,7,0)</f>
        <v>0</v>
      </c>
      <c r="H419" s="4">
        <f t="shared" si="36"/>
        <v>300</v>
      </c>
      <c r="I419" s="11">
        <f t="shared" si="37"/>
        <v>-1</v>
      </c>
      <c r="J419" s="11">
        <f t="shared" si="38"/>
        <v>-1</v>
      </c>
      <c r="K419" s="11" t="e">
        <f t="shared" si="39"/>
        <v>#DIV/0!</v>
      </c>
      <c r="L419" s="11">
        <f>IF(S419="",((BG419-E419)/E419),((U419-E419)/E419))</f>
        <v>0</v>
      </c>
      <c r="M419" s="3" t="str">
        <f>IF(S419="Churn","Churn",VLOOKUP(A419,'[1]Revenue_Engine_2025 Dec.25'!$C$14:$E$3993,3,0))</f>
        <v>Diğer</v>
      </c>
      <c r="N419" s="3">
        <f>IF(S419="",VLOOKUP(A419,[3]Export!$B$2:$F$417,5,0),"CHURN")</f>
        <v>0.19166666666666668</v>
      </c>
      <c r="O419" s="3">
        <f>(1-N419)*H419</f>
        <v>242.5</v>
      </c>
      <c r="P419" s="3">
        <f t="shared" si="41"/>
        <v>0</v>
      </c>
      <c r="Q419" s="3">
        <f t="shared" si="40"/>
        <v>0</v>
      </c>
      <c r="R419" s="3" t="str">
        <f>IF(S419&lt;&gt;"Churn",VLOOKUP(A419,[3]Export!$B$2:$O$417,8,0),"CHURN")</f>
        <v>HIGH RISK</v>
      </c>
      <c r="S419" s="3"/>
      <c r="T419" s="3"/>
      <c r="U419" s="3" t="s">
        <v>551</v>
      </c>
      <c r="V419" s="4" t="str" cm="1">
        <f t="array" ref="V419">IFERROR(
    IF(
        MATCH(2,1/((Y419:BH419&lt;&gt;0)*(Y419:BH419&lt;&gt;"")))-MATCH(1,INDEX((Y419:BH419&lt;&gt;0)*(Y419:BH419&lt;&gt;""),0),0)+1 &lt;= 12,
        "No",
        "Yes"
    ),
    "No"
)</f>
        <v>No</v>
      </c>
      <c r="W419" s="4" t="str" cm="1">
        <f t="array" ref="W419">IFERROR(
    IF(
        MATCH(2,1/((Y419:BH419&lt;&gt;0)*(Y419:BH419&lt;&gt;"")))-MATCH(1,INDEX((Y419:BH419&lt;&gt;0)*(Y419:BH419&lt;&gt;""),0),0)+1 &lt;= 24,
        "No",
        "Yes"
    ),
    "No"
)</f>
        <v>No</v>
      </c>
      <c r="X419" s="3"/>
      <c r="Y419" s="4">
        <v>0</v>
      </c>
      <c r="Z419" s="4">
        <v>0</v>
      </c>
      <c r="AA419" s="4">
        <v>0</v>
      </c>
      <c r="AB419" s="4">
        <v>0</v>
      </c>
      <c r="AC419" s="4">
        <v>0</v>
      </c>
      <c r="AD419" s="4">
        <v>0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0</v>
      </c>
      <c r="AN419" s="4">
        <v>0</v>
      </c>
      <c r="AO419" s="4">
        <v>0</v>
      </c>
      <c r="AP419" s="4">
        <v>0</v>
      </c>
      <c r="AQ419" s="4">
        <v>0</v>
      </c>
      <c r="AR419" s="4">
        <v>0</v>
      </c>
      <c r="AS419" s="4">
        <v>0</v>
      </c>
      <c r="AT419" s="4">
        <v>0</v>
      </c>
      <c r="AU419" s="4">
        <v>0</v>
      </c>
      <c r="AV419" s="4">
        <v>0</v>
      </c>
      <c r="AW419" s="4">
        <v>0</v>
      </c>
      <c r="AX419" s="4">
        <v>0</v>
      </c>
      <c r="AY419" s="4">
        <v>0</v>
      </c>
      <c r="AZ419" s="4">
        <v>0</v>
      </c>
      <c r="BA419" s="4">
        <v>0</v>
      </c>
      <c r="BB419" s="4">
        <v>0</v>
      </c>
      <c r="BC419" s="4">
        <v>0</v>
      </c>
      <c r="BD419" s="4">
        <v>0</v>
      </c>
      <c r="BE419" s="4">
        <v>300</v>
      </c>
      <c r="BF419" s="4">
        <v>300</v>
      </c>
      <c r="BG419" s="4">
        <v>300</v>
      </c>
      <c r="BH419" s="4">
        <v>300</v>
      </c>
      <c r="BJ419" s="9"/>
    </row>
    <row r="420" spans="1:62" x14ac:dyDescent="0.25">
      <c r="A420" s="6" t="s">
        <v>396</v>
      </c>
      <c r="B420" s="6"/>
      <c r="C420" s="7" t="s">
        <v>525</v>
      </c>
      <c r="D420" s="3"/>
      <c r="E420" s="3">
        <f>VLOOKUP(A420,[2]Sheet1!$A$2:$E$627,5,0)</f>
        <v>924.9</v>
      </c>
      <c r="F420" s="3">
        <f>VLOOKUP(A420,[2]Sheet1!$A$2:$F$627,6,0)</f>
        <v>0</v>
      </c>
      <c r="G420" s="3">
        <f>VLOOKUP(A420,[2]Sheet1!$A$2:$G$627,7,0)</f>
        <v>0</v>
      </c>
      <c r="H420" s="4">
        <f t="shared" si="36"/>
        <v>924.9</v>
      </c>
      <c r="I420" s="11">
        <f t="shared" si="37"/>
        <v>-1</v>
      </c>
      <c r="J420" s="11">
        <f t="shared" si="38"/>
        <v>-1</v>
      </c>
      <c r="K420" s="11" t="e">
        <f t="shared" si="39"/>
        <v>#DIV/0!</v>
      </c>
      <c r="L420" s="11">
        <f>IF(S420="",((BG420-E420)/E420),((U420-E420)/E420))</f>
        <v>0</v>
      </c>
      <c r="M420" s="3" t="str">
        <f>IF(S420="Churn","Churn",VLOOKUP(A420,'[1]Revenue_Engine_2025 Dec.25'!$C$14:$E$3993,3,0))</f>
        <v>Eğitim</v>
      </c>
      <c r="N420" s="3">
        <v>0</v>
      </c>
      <c r="O420" s="3">
        <f>(1-N420)*H420</f>
        <v>924.9</v>
      </c>
      <c r="P420" s="3">
        <f t="shared" si="41"/>
        <v>0</v>
      </c>
      <c r="Q420" s="3">
        <f t="shared" si="40"/>
        <v>0</v>
      </c>
      <c r="R420" s="3" t="e">
        <f>IF(S420&lt;&gt;"Churn",VLOOKUP(A420,[3]Export!$B$2:$O$417,8,0),"CHURN")</f>
        <v>#N/A</v>
      </c>
      <c r="S420" s="3"/>
      <c r="T420" s="3"/>
      <c r="U420" s="3" t="s">
        <v>551</v>
      </c>
      <c r="V420" s="4" t="str" cm="1">
        <f t="array" ref="V420">IFERROR(
    IF(
        MATCH(2,1/((Y420:BH420&lt;&gt;0)*(Y420:BH420&lt;&gt;"")))-MATCH(1,INDEX((Y420:BH420&lt;&gt;0)*(Y420:BH420&lt;&gt;""),0),0)+1 &lt;= 12,
        "No",
        "Yes"
    ),
    "No"
)</f>
        <v>No</v>
      </c>
      <c r="W420" s="4" t="str" cm="1">
        <f t="array" ref="W420">IFERROR(
    IF(
        MATCH(2,1/((Y420:BH420&lt;&gt;0)*(Y420:BH420&lt;&gt;"")))-MATCH(1,INDEX((Y420:BH420&lt;&gt;0)*(Y420:BH420&lt;&gt;""),0),0)+1 &lt;= 24,
        "No",
        "Yes"
    ),
    "No"
)</f>
        <v>No</v>
      </c>
      <c r="X420" s="3"/>
      <c r="Y420" s="4">
        <v>0</v>
      </c>
      <c r="Z420" s="4">
        <v>0</v>
      </c>
      <c r="AA420" s="4">
        <v>0</v>
      </c>
      <c r="AB420" s="4">
        <v>0</v>
      </c>
      <c r="AC420" s="4">
        <v>0</v>
      </c>
      <c r="AD420" s="4">
        <v>0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0</v>
      </c>
      <c r="AL420" s="4">
        <v>0</v>
      </c>
      <c r="AM420" s="4">
        <v>0</v>
      </c>
      <c r="AN420" s="4">
        <v>0</v>
      </c>
      <c r="AO420" s="4">
        <v>0</v>
      </c>
      <c r="AP420" s="4">
        <v>0</v>
      </c>
      <c r="AQ420" s="4">
        <v>0</v>
      </c>
      <c r="AR420" s="4">
        <v>0</v>
      </c>
      <c r="AS420" s="4">
        <v>0</v>
      </c>
      <c r="AT420" s="4">
        <v>0</v>
      </c>
      <c r="AU420" s="4">
        <v>0</v>
      </c>
      <c r="AV420" s="4">
        <v>0</v>
      </c>
      <c r="AW420" s="4">
        <v>0</v>
      </c>
      <c r="AX420" s="4">
        <v>0</v>
      </c>
      <c r="AY420" s="4">
        <v>0</v>
      </c>
      <c r="AZ420" s="4">
        <v>0</v>
      </c>
      <c r="BA420" s="4">
        <v>0</v>
      </c>
      <c r="BB420" s="4">
        <v>0</v>
      </c>
      <c r="BC420" s="4">
        <v>0</v>
      </c>
      <c r="BD420" s="4">
        <v>0</v>
      </c>
      <c r="BE420" s="4">
        <v>924.9</v>
      </c>
      <c r="BF420" s="4">
        <v>924.9</v>
      </c>
      <c r="BG420" s="4">
        <v>924.9</v>
      </c>
      <c r="BH420" s="4">
        <v>0</v>
      </c>
      <c r="BJ420" s="9"/>
    </row>
    <row r="421" spans="1:62" x14ac:dyDescent="0.25">
      <c r="A421" s="6" t="s">
        <v>388</v>
      </c>
      <c r="B421" s="6"/>
      <c r="C421" s="7" t="s">
        <v>526</v>
      </c>
      <c r="D421" s="3"/>
      <c r="E421" s="3">
        <f>VLOOKUP(A421,[2]Sheet1!$A$2:$E$627,5,0)</f>
        <v>1511.2335838310132</v>
      </c>
      <c r="F421" s="3">
        <f>VLOOKUP(A421,[2]Sheet1!$A$2:$F$627,6,0)</f>
        <v>0</v>
      </c>
      <c r="G421" s="3">
        <f>VLOOKUP(A421,[2]Sheet1!$A$2:$G$627,7,0)</f>
        <v>0</v>
      </c>
      <c r="H421" s="4">
        <f t="shared" si="36"/>
        <v>1493.0631280511329</v>
      </c>
      <c r="I421" s="11">
        <f t="shared" si="37"/>
        <v>-1</v>
      </c>
      <c r="J421" s="11">
        <f t="shared" si="38"/>
        <v>-1</v>
      </c>
      <c r="K421" s="11" t="e">
        <f t="shared" si="39"/>
        <v>#DIV/0!</v>
      </c>
      <c r="L421" s="11">
        <f>IF(S421="",((BG421-E421)/E421),((U421-E421)/E421))</f>
        <v>-2.2395598662524416E-2</v>
      </c>
      <c r="M421" s="3" t="str">
        <f>IF(S421="Churn","Churn",VLOOKUP(A421,'[1]Revenue_Engine_2025 Dec.25'!$C$14:$E$3993,3,0))</f>
        <v>Genel</v>
      </c>
      <c r="N421" s="3">
        <f>IF(S421="",VLOOKUP(A421,[3]Export!$B$2:$F$417,5,0),"CHURN")</f>
        <v>0.23675361155698232</v>
      </c>
      <c r="O421" s="3">
        <f>(1-N421)*H421</f>
        <v>1139.5750402024619</v>
      </c>
      <c r="P421" s="3">
        <f t="shared" si="41"/>
        <v>0</v>
      </c>
      <c r="Q421" s="3">
        <f t="shared" si="40"/>
        <v>0</v>
      </c>
      <c r="R421" s="3" t="str">
        <f>IF(S421&lt;&gt;"Churn",VLOOKUP(A421,[3]Export!$B$2:$O$417,8,0),"CHURN")</f>
        <v>NO RISK</v>
      </c>
      <c r="S421" s="3"/>
      <c r="T421" s="3"/>
      <c r="U421" s="3" t="s">
        <v>551</v>
      </c>
      <c r="V421" s="4" t="str" cm="1">
        <f t="array" ref="V421">IFERROR(
    IF(
        MATCH(2,1/((Y421:BH421&lt;&gt;0)*(Y421:BH421&lt;&gt;"")))-MATCH(1,INDEX((Y421:BH421&lt;&gt;0)*(Y421:BH421&lt;&gt;""),0),0)+1 &lt;= 12,
        "No",
        "Yes"
    ),
    "No"
)</f>
        <v>No</v>
      </c>
      <c r="W421" s="4" t="str" cm="1">
        <f t="array" ref="W421">IFERROR(
    IF(
        MATCH(2,1/((Y421:BH421&lt;&gt;0)*(Y421:BH421&lt;&gt;"")))-MATCH(1,INDEX((Y421:BH421&lt;&gt;0)*(Y421:BH421&lt;&gt;""),0),0)+1 &lt;= 24,
        "No",
        "Yes"
    ),
    "No"
)</f>
        <v>No</v>
      </c>
      <c r="X421" s="3"/>
      <c r="Y421" s="4">
        <v>0</v>
      </c>
      <c r="Z421" s="4">
        <v>0</v>
      </c>
      <c r="AA421" s="4">
        <v>0</v>
      </c>
      <c r="AB421" s="4">
        <v>0</v>
      </c>
      <c r="AC421" s="4">
        <v>0</v>
      </c>
      <c r="AD421" s="4">
        <v>0</v>
      </c>
      <c r="AE421" s="4">
        <v>0</v>
      </c>
      <c r="AF421" s="4">
        <v>0</v>
      </c>
      <c r="AG421" s="4">
        <v>0</v>
      </c>
      <c r="AH421" s="4">
        <v>0</v>
      </c>
      <c r="AI421" s="4">
        <v>0</v>
      </c>
      <c r="AJ421" s="4">
        <v>0</v>
      </c>
      <c r="AK421" s="4">
        <v>0</v>
      </c>
      <c r="AL421" s="4">
        <v>0</v>
      </c>
      <c r="AM421" s="4">
        <v>0</v>
      </c>
      <c r="AN421" s="4">
        <v>0</v>
      </c>
      <c r="AO421" s="4">
        <v>0</v>
      </c>
      <c r="AP421" s="4">
        <v>0</v>
      </c>
      <c r="AQ421" s="4">
        <v>0</v>
      </c>
      <c r="AR421" s="4">
        <v>0</v>
      </c>
      <c r="AS421" s="4">
        <v>0</v>
      </c>
      <c r="AT421" s="4">
        <v>0</v>
      </c>
      <c r="AU421" s="4">
        <v>0</v>
      </c>
      <c r="AV421" s="4">
        <v>0</v>
      </c>
      <c r="AW421" s="4">
        <v>0</v>
      </c>
      <c r="AX421" s="4">
        <v>0</v>
      </c>
      <c r="AY421" s="4">
        <v>0</v>
      </c>
      <c r="AZ421" s="4">
        <v>0</v>
      </c>
      <c r="BA421" s="4">
        <v>0</v>
      </c>
      <c r="BB421" s="4">
        <v>0</v>
      </c>
      <c r="BC421" s="4">
        <v>0</v>
      </c>
      <c r="BD421" s="4">
        <v>0</v>
      </c>
      <c r="BE421" s="4">
        <v>1511.2335838310132</v>
      </c>
      <c r="BF421" s="4">
        <v>1493.0631280511329</v>
      </c>
      <c r="BG421" s="4">
        <v>1477.3886030022054</v>
      </c>
      <c r="BH421" s="4">
        <v>1462.9873591316946</v>
      </c>
      <c r="BJ421" s="9"/>
    </row>
    <row r="422" spans="1:62" x14ac:dyDescent="0.25">
      <c r="A422" s="6" t="s">
        <v>376</v>
      </c>
      <c r="B422" s="6"/>
      <c r="C422" s="7" t="s">
        <v>525</v>
      </c>
      <c r="D422" s="3"/>
      <c r="E422" s="3">
        <f>VLOOKUP(A422,[2]Sheet1!$A$2:$E$627,5,0)</f>
        <v>6500</v>
      </c>
      <c r="F422" s="3">
        <f>VLOOKUP(A422,[2]Sheet1!$A$2:$F$627,6,0)</f>
        <v>0</v>
      </c>
      <c r="G422" s="3">
        <f>VLOOKUP(A422,[2]Sheet1!$A$2:$G$627,7,0)</f>
        <v>0</v>
      </c>
      <c r="H422" s="4">
        <f t="shared" si="36"/>
        <v>6500</v>
      </c>
      <c r="I422" s="11">
        <f t="shared" si="37"/>
        <v>-1</v>
      </c>
      <c r="J422" s="11">
        <f t="shared" si="38"/>
        <v>-1</v>
      </c>
      <c r="K422" s="11" t="e">
        <f t="shared" si="39"/>
        <v>#DIV/0!</v>
      </c>
      <c r="L422" s="11">
        <f>IF(S422="",((BG422-E422)/E422),((U422-E422)/E422))</f>
        <v>0</v>
      </c>
      <c r="M422" s="3" t="str">
        <f>IF(S422="Churn","Churn",VLOOKUP(A422,'[1]Revenue_Engine_2025 Dec.25'!$C$14:$E$3993,3,0))</f>
        <v>Üretim</v>
      </c>
      <c r="N422" s="3">
        <f>IF(S422="",VLOOKUP(A422,[3]Export!$B$2:$F$417,5,0),"CHURN")</f>
        <v>0</v>
      </c>
      <c r="O422" s="3">
        <f>(1-N422)*H422</f>
        <v>6500</v>
      </c>
      <c r="P422" s="3">
        <f t="shared" si="41"/>
        <v>0</v>
      </c>
      <c r="Q422" s="3">
        <f t="shared" si="40"/>
        <v>0</v>
      </c>
      <c r="R422" s="3" t="str">
        <f>IF(S422&lt;&gt;"Churn",VLOOKUP(A422,[3]Export!$B$2:$O$417,8,0),"CHURN")</f>
        <v>NO RISK</v>
      </c>
      <c r="S422" s="3"/>
      <c r="T422" s="3"/>
      <c r="U422" s="3" t="s">
        <v>551</v>
      </c>
      <c r="V422" s="4" t="str" cm="1">
        <f t="array" ref="V422">IFERROR(
    IF(
        MATCH(2,1/((Y422:BH422&lt;&gt;0)*(Y422:BH422&lt;&gt;"")))-MATCH(1,INDEX((Y422:BH422&lt;&gt;0)*(Y422:BH422&lt;&gt;""),0),0)+1 &lt;= 12,
        "No",
        "Yes"
    ),
    "No"
)</f>
        <v>No</v>
      </c>
      <c r="W422" s="4" t="str" cm="1">
        <f t="array" ref="W422">IFERROR(
    IF(
        MATCH(2,1/((Y422:BH422&lt;&gt;0)*(Y422:BH422&lt;&gt;"")))-MATCH(1,INDEX((Y422:BH422&lt;&gt;0)*(Y422:BH422&lt;&gt;""),0),0)+1 &lt;= 24,
        "No",
        "Yes"
    ),
    "No"
)</f>
        <v>No</v>
      </c>
      <c r="X422" s="3"/>
      <c r="Y422" s="4">
        <v>0</v>
      </c>
      <c r="Z422" s="4">
        <v>0</v>
      </c>
      <c r="AA422" s="4">
        <v>0</v>
      </c>
      <c r="AB422" s="4">
        <v>0</v>
      </c>
      <c r="AC422" s="4">
        <v>0</v>
      </c>
      <c r="AD422" s="4">
        <v>0</v>
      </c>
      <c r="AE422" s="4">
        <v>0</v>
      </c>
      <c r="AF422" s="4">
        <v>0</v>
      </c>
      <c r="AG422" s="4">
        <v>0</v>
      </c>
      <c r="AH422" s="4">
        <v>0</v>
      </c>
      <c r="AI422" s="4">
        <v>0</v>
      </c>
      <c r="AJ422" s="4">
        <v>0</v>
      </c>
      <c r="AK422" s="4">
        <v>0</v>
      </c>
      <c r="AL422" s="4">
        <v>0</v>
      </c>
      <c r="AM422" s="4">
        <v>0</v>
      </c>
      <c r="AN422" s="4">
        <v>0</v>
      </c>
      <c r="AO422" s="4">
        <v>0</v>
      </c>
      <c r="AP422" s="4">
        <v>0</v>
      </c>
      <c r="AQ422" s="4">
        <v>0</v>
      </c>
      <c r="AR422" s="4">
        <v>0</v>
      </c>
      <c r="AS422" s="4">
        <v>0</v>
      </c>
      <c r="AT422" s="4">
        <v>0</v>
      </c>
      <c r="AU422" s="4">
        <v>0</v>
      </c>
      <c r="AV422" s="4">
        <v>0</v>
      </c>
      <c r="AW422" s="4">
        <v>0</v>
      </c>
      <c r="AX422" s="4">
        <v>0</v>
      </c>
      <c r="AY422" s="4">
        <v>0</v>
      </c>
      <c r="AZ422" s="4">
        <v>0</v>
      </c>
      <c r="BA422" s="4">
        <v>0</v>
      </c>
      <c r="BB422" s="4">
        <v>0</v>
      </c>
      <c r="BC422" s="4">
        <v>0</v>
      </c>
      <c r="BD422" s="4">
        <v>0</v>
      </c>
      <c r="BE422" s="4">
        <v>0</v>
      </c>
      <c r="BF422" s="4">
        <v>6500</v>
      </c>
      <c r="BG422" s="4">
        <v>6500</v>
      </c>
      <c r="BH422" s="4">
        <v>6500</v>
      </c>
      <c r="BJ422" s="9"/>
    </row>
    <row r="423" spans="1:62" x14ac:dyDescent="0.25">
      <c r="A423" s="6" t="s">
        <v>383</v>
      </c>
      <c r="B423" s="6"/>
      <c r="C423" s="7" t="s">
        <v>525</v>
      </c>
      <c r="D423" s="3"/>
      <c r="E423" s="3">
        <f>VLOOKUP(A423,[2]Sheet1!$A$2:$E$627,5,0)</f>
        <v>2396.5700289745314</v>
      </c>
      <c r="F423" s="3">
        <f>VLOOKUP(A423,[2]Sheet1!$A$2:$F$627,6,0)</f>
        <v>0</v>
      </c>
      <c r="G423" s="3">
        <f>VLOOKUP(A423,[2]Sheet1!$A$2:$G$627,7,0)</f>
        <v>0</v>
      </c>
      <c r="H423" s="4">
        <f t="shared" si="36"/>
        <v>2396.5700289745314</v>
      </c>
      <c r="I423" s="11">
        <f t="shared" si="37"/>
        <v>-1</v>
      </c>
      <c r="J423" s="11">
        <f t="shared" si="38"/>
        <v>-1</v>
      </c>
      <c r="K423" s="11" t="e">
        <f t="shared" si="39"/>
        <v>#DIV/0!</v>
      </c>
      <c r="L423" s="11">
        <f>IF(S423="",((BG423-E423)/E423),((U423-E423)/E423))</f>
        <v>-1.0498233299342977E-2</v>
      </c>
      <c r="M423" s="3" t="str">
        <f>IF(S423="Churn","Churn",VLOOKUP(A423,'[1]Revenue_Engine_2025 Dec.25'!$C$14:$E$3993,3,0))</f>
        <v>Digital</v>
      </c>
      <c r="N423" s="3">
        <f>IF(S423="",VLOOKUP(A423,[3]Export!$B$2:$F$417,5,0),"CHURN")</f>
        <v>0</v>
      </c>
      <c r="O423" s="3">
        <f>(1-N423)*H423</f>
        <v>2396.5700289745314</v>
      </c>
      <c r="P423" s="3">
        <f t="shared" si="41"/>
        <v>0</v>
      </c>
      <c r="Q423" s="3">
        <f t="shared" si="40"/>
        <v>0</v>
      </c>
      <c r="R423" s="3" t="str">
        <f>IF(S423&lt;&gt;"Churn",VLOOKUP(A423,[3]Export!$B$2:$O$417,8,0),"CHURN")</f>
        <v>NO RISK</v>
      </c>
      <c r="S423" s="3"/>
      <c r="T423" s="3"/>
      <c r="U423" s="3" t="s">
        <v>551</v>
      </c>
      <c r="V423" s="4" t="str" cm="1">
        <f t="array" ref="V423">IFERROR(
    IF(
        MATCH(2,1/((Y423:BH423&lt;&gt;0)*(Y423:BH423&lt;&gt;"")))-MATCH(1,INDEX((Y423:BH423&lt;&gt;0)*(Y423:BH423&lt;&gt;""),0),0)+1 &lt;= 12,
        "No",
        "Yes"
    ),
    "No"
)</f>
        <v>No</v>
      </c>
      <c r="W423" s="4" t="str" cm="1">
        <f t="array" ref="W423">IFERROR(
    IF(
        MATCH(2,1/((Y423:BH423&lt;&gt;0)*(Y423:BH423&lt;&gt;"")))-MATCH(1,INDEX((Y423:BH423&lt;&gt;0)*(Y423:BH423&lt;&gt;""),0),0)+1 &lt;= 24,
        "No",
        "Yes"
    ),
    "No"
)</f>
        <v>No</v>
      </c>
      <c r="X423" s="3"/>
      <c r="Y423" s="4">
        <v>0</v>
      </c>
      <c r="Z423" s="4">
        <v>0</v>
      </c>
      <c r="AA423" s="4">
        <v>0</v>
      </c>
      <c r="AB423" s="4">
        <v>0</v>
      </c>
      <c r="AC423" s="4">
        <v>0</v>
      </c>
      <c r="AD423" s="4">
        <v>0</v>
      </c>
      <c r="AE423" s="4">
        <v>0</v>
      </c>
      <c r="AF423" s="4">
        <v>0</v>
      </c>
      <c r="AG423" s="4">
        <v>0</v>
      </c>
      <c r="AH423" s="4">
        <v>0</v>
      </c>
      <c r="AI423" s="4">
        <v>0</v>
      </c>
      <c r="AJ423" s="4">
        <v>0</v>
      </c>
      <c r="AK423" s="4">
        <v>0</v>
      </c>
      <c r="AL423" s="4">
        <v>0</v>
      </c>
      <c r="AM423" s="4">
        <v>0</v>
      </c>
      <c r="AN423" s="4">
        <v>0</v>
      </c>
      <c r="AO423" s="4">
        <v>0</v>
      </c>
      <c r="AP423" s="4">
        <v>0</v>
      </c>
      <c r="AQ423" s="4">
        <v>0</v>
      </c>
      <c r="AR423" s="4">
        <v>0</v>
      </c>
      <c r="AS423" s="4">
        <v>0</v>
      </c>
      <c r="AT423" s="4">
        <v>0</v>
      </c>
      <c r="AU423" s="4">
        <v>0</v>
      </c>
      <c r="AV423" s="4">
        <v>0</v>
      </c>
      <c r="AW423" s="4">
        <v>0</v>
      </c>
      <c r="AX423" s="4">
        <v>0</v>
      </c>
      <c r="AY423" s="4">
        <v>0</v>
      </c>
      <c r="AZ423" s="4">
        <v>0</v>
      </c>
      <c r="BA423" s="4">
        <v>0</v>
      </c>
      <c r="BB423" s="4">
        <v>0</v>
      </c>
      <c r="BC423" s="4">
        <v>0</v>
      </c>
      <c r="BD423" s="4">
        <v>0</v>
      </c>
      <c r="BE423" s="4">
        <v>0</v>
      </c>
      <c r="BF423" s="4">
        <v>2396.5700289745314</v>
      </c>
      <c r="BG423" s="4">
        <v>2371.4102776921436</v>
      </c>
      <c r="BH423" s="4">
        <v>2348.2943164232661</v>
      </c>
      <c r="BJ423" s="9"/>
    </row>
    <row r="424" spans="1:62" x14ac:dyDescent="0.25">
      <c r="A424" s="6" t="s">
        <v>421</v>
      </c>
      <c r="B424" s="6"/>
      <c r="C424" s="7" t="s">
        <v>526</v>
      </c>
      <c r="D424" s="3"/>
      <c r="E424" s="3">
        <f>VLOOKUP(A424,[2]Sheet1!$A$2:$E$627,5,0)</f>
        <v>320</v>
      </c>
      <c r="F424" s="3">
        <f>VLOOKUP(A424,[2]Sheet1!$A$2:$F$627,6,0)</f>
        <v>0</v>
      </c>
      <c r="G424" s="3">
        <f>VLOOKUP(A424,[2]Sheet1!$A$2:$G$627,7,0)</f>
        <v>0</v>
      </c>
      <c r="H424" s="4">
        <f t="shared" si="36"/>
        <v>320</v>
      </c>
      <c r="I424" s="11">
        <f t="shared" si="37"/>
        <v>-1</v>
      </c>
      <c r="J424" s="11">
        <f t="shared" si="38"/>
        <v>-1</v>
      </c>
      <c r="K424" s="11" t="e">
        <f t="shared" si="39"/>
        <v>#DIV/0!</v>
      </c>
      <c r="L424" s="11">
        <f>IF(S424="",((BG424-E424)/E424),((U424-E424)/E424))</f>
        <v>0</v>
      </c>
      <c r="M424" s="3" t="str">
        <f>IF(S424="Churn","Churn",VLOOKUP(A424,'[1]Revenue_Engine_2025 Dec.25'!$C$14:$E$3993,3,0))</f>
        <v>Üretim</v>
      </c>
      <c r="N424" s="3">
        <f>IF(S424="",VLOOKUP(A424,[3]Export!$B$2:$F$417,5,0),"CHURN")</f>
        <v>0.14056250000000001</v>
      </c>
      <c r="O424" s="3">
        <f>(1-N424)*H424</f>
        <v>275.02</v>
      </c>
      <c r="P424" s="3">
        <f t="shared" si="41"/>
        <v>0</v>
      </c>
      <c r="Q424" s="3">
        <f t="shared" si="40"/>
        <v>0</v>
      </c>
      <c r="R424" s="3" t="str">
        <f>IF(S424&lt;&gt;"Churn",VLOOKUP(A424,[3]Export!$B$2:$O$417,8,0),"CHURN")</f>
        <v>NO RISK</v>
      </c>
      <c r="S424" s="3"/>
      <c r="T424" s="3"/>
      <c r="U424" s="3" t="s">
        <v>551</v>
      </c>
      <c r="V424" s="4" t="str" cm="1">
        <f t="array" ref="V424">IFERROR(
    IF(
        MATCH(2,1/((Y424:BH424&lt;&gt;0)*(Y424:BH424&lt;&gt;"")))-MATCH(1,INDEX((Y424:BH424&lt;&gt;0)*(Y424:BH424&lt;&gt;""),0),0)+1 &lt;= 12,
        "No",
        "Yes"
    ),
    "No"
)</f>
        <v>No</v>
      </c>
      <c r="W424" s="4" t="str" cm="1">
        <f t="array" ref="W424">IFERROR(
    IF(
        MATCH(2,1/((Y424:BH424&lt;&gt;0)*(Y424:BH424&lt;&gt;"")))-MATCH(1,INDEX((Y424:BH424&lt;&gt;0)*(Y424:BH424&lt;&gt;""),0),0)+1 &lt;= 24,
        "No",
        "Yes"
    ),
    "No"
)</f>
        <v>No</v>
      </c>
      <c r="X424" s="3"/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  <c r="AL424" s="4">
        <v>0</v>
      </c>
      <c r="AM424" s="4">
        <v>0</v>
      </c>
      <c r="AN424" s="4">
        <v>0</v>
      </c>
      <c r="AO424" s="4">
        <v>0</v>
      </c>
      <c r="AP424" s="4">
        <v>0</v>
      </c>
      <c r="AQ424" s="4">
        <v>0</v>
      </c>
      <c r="AR424" s="4">
        <v>0</v>
      </c>
      <c r="AS424" s="4">
        <v>0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Y424" s="4">
        <v>0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E424" s="4">
        <v>0</v>
      </c>
      <c r="BF424" s="4">
        <v>320</v>
      </c>
      <c r="BG424" s="4">
        <v>320</v>
      </c>
      <c r="BH424" s="4">
        <v>320</v>
      </c>
      <c r="BJ424" s="9"/>
    </row>
    <row r="425" spans="1:62" x14ac:dyDescent="0.25">
      <c r="A425" s="6" t="s">
        <v>564</v>
      </c>
      <c r="B425" s="6"/>
      <c r="C425" s="7" t="s">
        <v>526</v>
      </c>
      <c r="D425" s="3"/>
      <c r="E425" s="3" t="e">
        <f>VLOOKUP(A425,[2]Sheet1!$A$2:$E$627,5,0)</f>
        <v>#N/A</v>
      </c>
      <c r="F425" s="3">
        <v>0</v>
      </c>
      <c r="G425" s="3">
        <v>0</v>
      </c>
      <c r="H425" s="4">
        <f t="shared" si="36"/>
        <v>313.02615665536297</v>
      </c>
      <c r="I425" s="11" t="e">
        <f t="shared" si="37"/>
        <v>#N/A</v>
      </c>
      <c r="J425" s="11" t="e">
        <f t="shared" si="38"/>
        <v>#N/A</v>
      </c>
      <c r="K425" s="11" t="e">
        <f t="shared" si="39"/>
        <v>#DIV/0!</v>
      </c>
      <c r="L425" s="11" t="e">
        <f>IF(S425="",((BG425-E425)/E425),((U425-E425)/E425))</f>
        <v>#N/A</v>
      </c>
      <c r="M425" s="3" t="str">
        <f>IF(S425="Churn","Churn",VLOOKUP(A425,'[1]Revenue_Engine_2025 Dec.25'!$C$14:$E$3993,3,0))</f>
        <v>Bayi</v>
      </c>
      <c r="N425" s="3">
        <f>IF(S425="",VLOOKUP(A425,[3]Export!$B$2:$F$417,5,0),"CHURN")</f>
        <v>0.1367272727272727</v>
      </c>
      <c r="O425" s="3">
        <f>(1-N425)*H425</f>
        <v>270.2269439635752</v>
      </c>
      <c r="P425" s="3">
        <f t="shared" si="41"/>
        <v>0</v>
      </c>
      <c r="Q425" s="3">
        <f t="shared" si="40"/>
        <v>0</v>
      </c>
      <c r="R425" s="3" t="str">
        <f>IF(S425&lt;&gt;"Churn",VLOOKUP(A425,[3]Export!$B$2:$O$417,8,0),"CHURN")</f>
        <v>NO RISK</v>
      </c>
      <c r="S425" s="3"/>
      <c r="T425" s="3"/>
      <c r="U425" s="3" t="s">
        <v>551</v>
      </c>
      <c r="V425" s="4" t="str" cm="1">
        <f t="array" ref="V425">IFERROR(
    IF(
        MATCH(2,1/((Y425:BH425&lt;&gt;0)*(Y425:BH425&lt;&gt;"")))-MATCH(1,INDEX((Y425:BH425&lt;&gt;0)*(Y425:BH425&lt;&gt;""),0),0)+1 &lt;= 12,
        "No",
        "Yes"
    ),
    "No"
)</f>
        <v>No</v>
      </c>
      <c r="W425" s="4" t="str" cm="1">
        <f t="array" ref="W425">IFERROR(
    IF(
        MATCH(2,1/((Y425:BH425&lt;&gt;0)*(Y425:BH425&lt;&gt;"")))-MATCH(1,INDEX((Y425:BH425&lt;&gt;0)*(Y425:BH425&lt;&gt;""),0),0)+1 &lt;= 24,
        "No",
        "Yes"
    ),
    "No"
)</f>
        <v>No</v>
      </c>
      <c r="X425" s="3"/>
      <c r="Y425" s="4">
        <v>0</v>
      </c>
      <c r="Z425" s="4">
        <v>0</v>
      </c>
      <c r="AA425" s="4">
        <v>0</v>
      </c>
      <c r="AB425" s="4">
        <v>0</v>
      </c>
      <c r="AC425" s="4">
        <v>0</v>
      </c>
      <c r="AD425" s="4">
        <v>0</v>
      </c>
      <c r="AE425" s="4">
        <v>0</v>
      </c>
      <c r="AF425" s="4">
        <v>0</v>
      </c>
      <c r="AG425" s="4">
        <v>0</v>
      </c>
      <c r="AH425" s="4">
        <v>0</v>
      </c>
      <c r="AI425" s="4">
        <v>0</v>
      </c>
      <c r="AJ425" s="4">
        <v>0</v>
      </c>
      <c r="AK425" s="4">
        <v>0</v>
      </c>
      <c r="AL425" s="4">
        <v>0</v>
      </c>
      <c r="AM425" s="4">
        <v>0</v>
      </c>
      <c r="AN425" s="4">
        <v>0</v>
      </c>
      <c r="AO425" s="4">
        <v>0</v>
      </c>
      <c r="AP425" s="4">
        <v>0</v>
      </c>
      <c r="AQ425" s="4">
        <v>0</v>
      </c>
      <c r="AR425" s="4">
        <v>0</v>
      </c>
      <c r="AS425" s="4">
        <v>0</v>
      </c>
      <c r="AT425" s="4">
        <v>0</v>
      </c>
      <c r="AU425" s="4">
        <v>0</v>
      </c>
      <c r="AV425" s="4">
        <v>0</v>
      </c>
      <c r="AW425" s="3">
        <v>0</v>
      </c>
      <c r="AX425" s="4">
        <v>0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4">
        <v>313.02615665536297</v>
      </c>
      <c r="BH425" s="4">
        <v>309.97484976787109</v>
      </c>
      <c r="BJ425" s="9"/>
    </row>
    <row r="426" spans="1:62" x14ac:dyDescent="0.25">
      <c r="A426" s="6" t="s">
        <v>565</v>
      </c>
      <c r="B426" s="6"/>
      <c r="C426" s="7" t="s">
        <v>526</v>
      </c>
      <c r="D426" s="3"/>
      <c r="E426" s="3" t="e">
        <f>VLOOKUP(A426,[2]Sheet1!$A$2:$E$627,5,0)</f>
        <v>#N/A</v>
      </c>
      <c r="F426" s="3">
        <v>0</v>
      </c>
      <c r="G426" s="3">
        <v>0</v>
      </c>
      <c r="H426" s="4">
        <f t="shared" si="36"/>
        <v>348</v>
      </c>
      <c r="I426" s="11" t="e">
        <f t="shared" si="37"/>
        <v>#N/A</v>
      </c>
      <c r="J426" s="11" t="e">
        <f t="shared" si="38"/>
        <v>#N/A</v>
      </c>
      <c r="K426" s="11" t="e">
        <f t="shared" si="39"/>
        <v>#DIV/0!</v>
      </c>
      <c r="L426" s="11" t="e">
        <f>IF(S426="",((BG426-E426)/E426),((U426-E426)/E426))</f>
        <v>#N/A</v>
      </c>
      <c r="M426" s="3" t="str">
        <f>IF(S426="Churn","Churn",VLOOKUP(A426,'[1]Revenue_Engine_2025 Dec.25'!$C$14:$E$3993,3,0))</f>
        <v>Diğer</v>
      </c>
      <c r="N426" s="3">
        <f>IF(S426="",VLOOKUP(A426,[3]Export!$B$2:$F$417,5,0),"CHURN")</f>
        <v>0.32287356321839078</v>
      </c>
      <c r="O426" s="3">
        <f>(1-N426)*H426</f>
        <v>235.64000000000001</v>
      </c>
      <c r="P426" s="3">
        <f t="shared" si="41"/>
        <v>0</v>
      </c>
      <c r="Q426" s="3">
        <f t="shared" si="40"/>
        <v>0</v>
      </c>
      <c r="R426" s="3" t="str">
        <f>IF(S426&lt;&gt;"Churn",VLOOKUP(A426,[3]Export!$B$2:$O$417,8,0),"CHURN")</f>
        <v>NO RISK</v>
      </c>
      <c r="S426" s="3"/>
      <c r="T426" s="3"/>
      <c r="U426" s="3" t="s">
        <v>551</v>
      </c>
      <c r="V426" s="4" t="str" cm="1">
        <f t="array" ref="V426">IFERROR(
    IF(
        MATCH(2,1/((Y426:BH426&lt;&gt;0)*(Y426:BH426&lt;&gt;"")))-MATCH(1,INDEX((Y426:BH426&lt;&gt;0)*(Y426:BH426&lt;&gt;""),0),0)+1 &lt;= 12,
        "No",
        "Yes"
    ),
    "No"
)</f>
        <v>No</v>
      </c>
      <c r="W426" s="4" t="str" cm="1">
        <f t="array" ref="W426">IFERROR(
    IF(
        MATCH(2,1/((Y426:BH426&lt;&gt;0)*(Y426:BH426&lt;&gt;"")))-MATCH(1,INDEX((Y426:BH426&lt;&gt;0)*(Y426:BH426&lt;&gt;""),0),0)+1 &lt;= 24,
        "No",
        "Yes"
    ),
    "No"
)</f>
        <v>No</v>
      </c>
      <c r="X426" s="3"/>
      <c r="Y426" s="4">
        <v>0</v>
      </c>
      <c r="Z426" s="4">
        <v>0</v>
      </c>
      <c r="AA426" s="4">
        <v>0</v>
      </c>
      <c r="AB426" s="4">
        <v>0</v>
      </c>
      <c r="AC426" s="4">
        <v>0</v>
      </c>
      <c r="AD426" s="4">
        <v>0</v>
      </c>
      <c r="AE426" s="4">
        <v>0</v>
      </c>
      <c r="AF426" s="4">
        <v>0</v>
      </c>
      <c r="AG426" s="4">
        <v>0</v>
      </c>
      <c r="AH426" s="4">
        <v>0</v>
      </c>
      <c r="AI426" s="4">
        <v>0</v>
      </c>
      <c r="AJ426" s="4">
        <v>0</v>
      </c>
      <c r="AK426" s="4">
        <v>0</v>
      </c>
      <c r="AL426" s="4">
        <v>0</v>
      </c>
      <c r="AM426" s="4">
        <v>0</v>
      </c>
      <c r="AN426" s="4">
        <v>0</v>
      </c>
      <c r="AO426" s="4">
        <v>0</v>
      </c>
      <c r="AP426" s="4">
        <v>0</v>
      </c>
      <c r="AQ426" s="4">
        <v>0</v>
      </c>
      <c r="AR426" s="4">
        <v>0</v>
      </c>
      <c r="AS426" s="4">
        <v>0</v>
      </c>
      <c r="AT426" s="4">
        <v>0</v>
      </c>
      <c r="AU426" s="4">
        <v>0</v>
      </c>
      <c r="AV426" s="4">
        <v>0</v>
      </c>
      <c r="AW426" s="3">
        <v>0</v>
      </c>
      <c r="AX426" s="4">
        <v>0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G426" s="4">
        <v>300.00000000000006</v>
      </c>
      <c r="BH426" s="4">
        <v>348</v>
      </c>
      <c r="BJ426" s="9"/>
    </row>
    <row r="427" spans="1:62" x14ac:dyDescent="0.25">
      <c r="A427" s="6" t="s">
        <v>566</v>
      </c>
      <c r="B427" s="6"/>
      <c r="C427" s="7" t="s">
        <v>526</v>
      </c>
      <c r="D427" s="3"/>
      <c r="E427" s="3" t="e">
        <f>VLOOKUP(A427,[2]Sheet1!$A$2:$E$627,5,0)</f>
        <v>#N/A</v>
      </c>
      <c r="F427" s="3">
        <v>0</v>
      </c>
      <c r="G427" s="3">
        <v>0</v>
      </c>
      <c r="H427" s="4">
        <f t="shared" si="36"/>
        <v>265</v>
      </c>
      <c r="I427" s="11" t="e">
        <f t="shared" si="37"/>
        <v>#N/A</v>
      </c>
      <c r="J427" s="11" t="e">
        <f t="shared" si="38"/>
        <v>#N/A</v>
      </c>
      <c r="K427" s="11" t="e">
        <f t="shared" si="39"/>
        <v>#DIV/0!</v>
      </c>
      <c r="L427" s="11" t="e">
        <f>IF(S427="",((BG427-E427)/E427),((U427-E427)/E427))</f>
        <v>#N/A</v>
      </c>
      <c r="M427" s="3" t="str">
        <f>IF(S427="Churn","Churn",VLOOKUP(A427,'[1]Revenue_Engine_2025 Dec.25'!$C$14:$E$3993,3,0))</f>
        <v>Diğer</v>
      </c>
      <c r="N427" s="3">
        <f>IF(S427="",VLOOKUP(A427,[3]Export!$B$2:$F$417,5,0),"CHURN")</f>
        <v>0.19056603773584907</v>
      </c>
      <c r="O427" s="3">
        <f>(1-N427)*H427</f>
        <v>214.49999999999997</v>
      </c>
      <c r="P427" s="3">
        <f t="shared" si="41"/>
        <v>0</v>
      </c>
      <c r="Q427" s="3">
        <f t="shared" si="40"/>
        <v>0</v>
      </c>
      <c r="R427" s="3" t="str">
        <f>IF(S427&lt;&gt;"Churn",VLOOKUP(A427,[3]Export!$B$2:$O$417,8,0),"CHURN")</f>
        <v>NO RISK</v>
      </c>
      <c r="S427" s="3"/>
      <c r="T427" s="3"/>
      <c r="U427" s="3" t="s">
        <v>551</v>
      </c>
      <c r="V427" s="4" t="str" cm="1">
        <f t="array" ref="V427">IFERROR(
    IF(
        MATCH(2,1/((Y427:BH427&lt;&gt;0)*(Y427:BH427&lt;&gt;"")))-MATCH(1,INDEX((Y427:BH427&lt;&gt;0)*(Y427:BH427&lt;&gt;""),0),0)+1 &lt;= 12,
        "No",
        "Yes"
    ),
    "No"
)</f>
        <v>No</v>
      </c>
      <c r="W427" s="4" t="str" cm="1">
        <f t="array" ref="W427">IFERROR(
    IF(
        MATCH(2,1/((Y427:BH427&lt;&gt;0)*(Y427:BH427&lt;&gt;"")))-MATCH(1,INDEX((Y427:BH427&lt;&gt;0)*(Y427:BH427&lt;&gt;""),0),0)+1 &lt;= 24,
        "No",
        "Yes"
    ),
    "No"
)</f>
        <v>No</v>
      </c>
      <c r="X427" s="3"/>
      <c r="Y427" s="4">
        <v>0</v>
      </c>
      <c r="Z427" s="4">
        <v>0</v>
      </c>
      <c r="AA427" s="4">
        <v>0</v>
      </c>
      <c r="AB427" s="4">
        <v>0</v>
      </c>
      <c r="AC427" s="4">
        <v>0</v>
      </c>
      <c r="AD427" s="4">
        <v>0</v>
      </c>
      <c r="AE427" s="4">
        <v>0</v>
      </c>
      <c r="AF427" s="4">
        <v>0</v>
      </c>
      <c r="AG427" s="4">
        <v>0</v>
      </c>
      <c r="AH427" s="4">
        <v>0</v>
      </c>
      <c r="AI427" s="4">
        <v>0</v>
      </c>
      <c r="AJ427" s="4">
        <v>0</v>
      </c>
      <c r="AK427" s="4">
        <v>0</v>
      </c>
      <c r="AL427" s="4">
        <v>0</v>
      </c>
      <c r="AM427" s="4">
        <v>0</v>
      </c>
      <c r="AN427" s="4">
        <v>0</v>
      </c>
      <c r="AO427" s="4">
        <v>0</v>
      </c>
      <c r="AP427" s="4">
        <v>0</v>
      </c>
      <c r="AQ427" s="4">
        <v>0</v>
      </c>
      <c r="AR427" s="4">
        <v>0</v>
      </c>
      <c r="AS427" s="4">
        <v>0</v>
      </c>
      <c r="AT427" s="4">
        <v>0</v>
      </c>
      <c r="AU427" s="4">
        <v>0</v>
      </c>
      <c r="AV427" s="4">
        <v>0</v>
      </c>
      <c r="AW427" s="3">
        <v>0</v>
      </c>
      <c r="AX427" s="4">
        <v>0</v>
      </c>
      <c r="AY427" s="4">
        <v>0</v>
      </c>
      <c r="AZ427" s="4">
        <v>0</v>
      </c>
      <c r="BA427" s="4">
        <v>0</v>
      </c>
      <c r="BB427" s="4">
        <v>0</v>
      </c>
      <c r="BC427" s="4">
        <v>0</v>
      </c>
      <c r="BD427" s="4">
        <v>0</v>
      </c>
      <c r="BE427" s="4">
        <v>0</v>
      </c>
      <c r="BF427" s="4">
        <v>0</v>
      </c>
      <c r="BG427" s="4">
        <v>265</v>
      </c>
      <c r="BH427" s="4">
        <v>265</v>
      </c>
      <c r="BJ427" s="9"/>
    </row>
    <row r="428" spans="1:62" x14ac:dyDescent="0.25">
      <c r="A428" s="6" t="s">
        <v>567</v>
      </c>
      <c r="B428" s="6"/>
      <c r="C428" s="7" t="s">
        <v>526</v>
      </c>
      <c r="D428" s="3"/>
      <c r="E428" s="3" t="e">
        <f>VLOOKUP(A428,[2]Sheet1!$A$2:$E$627,5,0)</f>
        <v>#N/A</v>
      </c>
      <c r="F428" s="3">
        <v>0</v>
      </c>
      <c r="G428" s="3">
        <v>0</v>
      </c>
      <c r="H428" s="4">
        <f t="shared" si="36"/>
        <v>114.99994999999998</v>
      </c>
      <c r="I428" s="11" t="e">
        <f t="shared" si="37"/>
        <v>#N/A</v>
      </c>
      <c r="J428" s="11" t="e">
        <f t="shared" si="38"/>
        <v>#N/A</v>
      </c>
      <c r="K428" s="11" t="e">
        <f t="shared" si="39"/>
        <v>#DIV/0!</v>
      </c>
      <c r="L428" s="11" t="e">
        <f>IF(S428="",((BG428-E428)/E428),((U428-E428)/E428))</f>
        <v>#N/A</v>
      </c>
      <c r="M428" s="3" t="str">
        <f>IF(S428="Churn","Churn",VLOOKUP(A428,'[1]Revenue_Engine_2025 Dec.25'!$C$14:$E$3993,3,0))</f>
        <v>Diğer</v>
      </c>
      <c r="N428" s="3">
        <f>IF(S428="",VLOOKUP(A428,[3]Export!$B$2:$F$417,5,0),"CHURN")</f>
        <v>0.27702139000930004</v>
      </c>
      <c r="O428" s="3">
        <f>(1-N428)*H428</f>
        <v>83.142503999999988</v>
      </c>
      <c r="P428" s="3">
        <f t="shared" si="41"/>
        <v>0</v>
      </c>
      <c r="Q428" s="3">
        <f t="shared" si="40"/>
        <v>0</v>
      </c>
      <c r="R428" s="3" t="str">
        <f>IF(S428&lt;&gt;"Churn",VLOOKUP(A428,[3]Export!$B$2:$O$417,8,0),"CHURN")</f>
        <v>NO RISK</v>
      </c>
      <c r="S428" s="3"/>
      <c r="T428" s="3"/>
      <c r="U428" s="3" t="s">
        <v>551</v>
      </c>
      <c r="V428" s="4" t="str" cm="1">
        <f t="array" ref="V428">IFERROR(
    IF(
        MATCH(2,1/((Y428:BH428&lt;&gt;0)*(Y428:BH428&lt;&gt;"")))-MATCH(1,INDEX((Y428:BH428&lt;&gt;0)*(Y428:BH428&lt;&gt;""),0),0)+1 &lt;= 12,
        "No",
        "Yes"
    ),
    "No"
)</f>
        <v>No</v>
      </c>
      <c r="W428" s="4" t="str" cm="1">
        <f t="array" ref="W428">IFERROR(
    IF(
        MATCH(2,1/((Y428:BH428&lt;&gt;0)*(Y428:BH428&lt;&gt;"")))-MATCH(1,INDEX((Y428:BH428&lt;&gt;0)*(Y428:BH428&lt;&gt;""),0),0)+1 &lt;= 24,
        "No",
        "Yes"
    ),
    "No"
)</f>
        <v>No</v>
      </c>
      <c r="X428" s="3"/>
      <c r="Y428" s="4">
        <v>0</v>
      </c>
      <c r="Z428" s="4">
        <v>0</v>
      </c>
      <c r="AA428" s="4">
        <v>0</v>
      </c>
      <c r="AB428" s="4">
        <v>0</v>
      </c>
      <c r="AC428" s="4">
        <v>0</v>
      </c>
      <c r="AD428" s="4">
        <v>0</v>
      </c>
      <c r="AE428" s="4">
        <v>0</v>
      </c>
      <c r="AF428" s="4">
        <v>0</v>
      </c>
      <c r="AG428" s="4">
        <v>0</v>
      </c>
      <c r="AH428" s="4">
        <v>0</v>
      </c>
      <c r="AI428" s="4">
        <v>0</v>
      </c>
      <c r="AJ428" s="4">
        <v>0</v>
      </c>
      <c r="AK428" s="4">
        <v>0</v>
      </c>
      <c r="AL428" s="4">
        <v>0</v>
      </c>
      <c r="AM428" s="4">
        <v>0</v>
      </c>
      <c r="AN428" s="4">
        <v>0</v>
      </c>
      <c r="AO428" s="4">
        <v>0</v>
      </c>
      <c r="AP428" s="4">
        <v>0</v>
      </c>
      <c r="AQ428" s="4">
        <v>0</v>
      </c>
      <c r="AR428" s="4">
        <v>0</v>
      </c>
      <c r="AS428" s="4">
        <v>0</v>
      </c>
      <c r="AT428" s="4">
        <v>0</v>
      </c>
      <c r="AU428" s="4">
        <v>0</v>
      </c>
      <c r="AV428" s="4">
        <v>0</v>
      </c>
      <c r="AW428" s="3">
        <v>0</v>
      </c>
      <c r="AX428" s="4">
        <v>0</v>
      </c>
      <c r="AY428" s="4">
        <v>0</v>
      </c>
      <c r="AZ428" s="4">
        <v>0</v>
      </c>
      <c r="BA428" s="4">
        <v>0</v>
      </c>
      <c r="BB428" s="4">
        <v>0</v>
      </c>
      <c r="BC428" s="4">
        <v>0</v>
      </c>
      <c r="BD428" s="4">
        <v>0</v>
      </c>
      <c r="BE428" s="4">
        <v>0</v>
      </c>
      <c r="BF428" s="4">
        <v>0</v>
      </c>
      <c r="BG428" s="4">
        <v>114.99994999999998</v>
      </c>
      <c r="BH428" s="4">
        <v>114.99994999999998</v>
      </c>
      <c r="BJ428" s="9"/>
    </row>
    <row r="429" spans="1:62" x14ac:dyDescent="0.25">
      <c r="A429" s="6" t="s">
        <v>568</v>
      </c>
      <c r="B429" s="6"/>
      <c r="C429" s="7" t="s">
        <v>525</v>
      </c>
      <c r="D429" s="3"/>
      <c r="E429" s="3" t="e">
        <f>VLOOKUP(A429,[2]Sheet1!$A$2:$E$627,5,0)</f>
        <v>#N/A</v>
      </c>
      <c r="F429" s="3">
        <v>0</v>
      </c>
      <c r="G429" s="3">
        <v>0</v>
      </c>
      <c r="H429" s="4">
        <f t="shared" si="36"/>
        <v>5950</v>
      </c>
      <c r="I429" s="11" t="e">
        <f t="shared" si="37"/>
        <v>#N/A</v>
      </c>
      <c r="J429" s="11" t="e">
        <f t="shared" si="38"/>
        <v>#N/A</v>
      </c>
      <c r="K429" s="11" t="e">
        <f t="shared" si="39"/>
        <v>#DIV/0!</v>
      </c>
      <c r="L429" s="11" t="e">
        <f>IF(S429="",((BG429-E429)/E429),((U429-E429)/E429))</f>
        <v>#N/A</v>
      </c>
      <c r="M429" s="3" t="str">
        <f>IF(S429="Churn","Churn",VLOOKUP(A429,'[1]Revenue_Engine_2025 Dec.25'!$C$14:$E$3993,3,0))</f>
        <v>Finans</v>
      </c>
      <c r="N429" s="3">
        <v>0</v>
      </c>
      <c r="O429" s="3">
        <f>(1-N429)*H429</f>
        <v>5950</v>
      </c>
      <c r="P429" s="3">
        <f t="shared" si="41"/>
        <v>0</v>
      </c>
      <c r="Q429" s="3">
        <f t="shared" si="40"/>
        <v>0</v>
      </c>
      <c r="R429" s="3" t="s">
        <v>374</v>
      </c>
      <c r="S429" s="3"/>
      <c r="T429" s="3"/>
      <c r="U429" s="3" t="s">
        <v>551</v>
      </c>
      <c r="V429" s="4" t="str" cm="1">
        <f t="array" ref="V429">IFERROR(
    IF(
        MATCH(2,1/((Y429:BH429&lt;&gt;0)*(Y429:BH429&lt;&gt;"")))-MATCH(1,INDEX((Y429:BH429&lt;&gt;0)*(Y429:BH429&lt;&gt;""),0),0)+1 &lt;= 12,
        "No",
        "Yes"
    ),
    "No"
)</f>
        <v>No</v>
      </c>
      <c r="W429" s="4" t="str" cm="1">
        <f t="array" ref="W429">IFERROR(
    IF(
        MATCH(2,1/((Y429:BH429&lt;&gt;0)*(Y429:BH429&lt;&gt;"")))-MATCH(1,INDEX((Y429:BH429&lt;&gt;0)*(Y429:BH429&lt;&gt;""),0),0)+1 &lt;= 24,
        "No",
        "Yes"
    ),
    "No"
)</f>
        <v>No</v>
      </c>
      <c r="X429" s="3"/>
      <c r="Y429" s="4">
        <v>0</v>
      </c>
      <c r="Z429" s="4">
        <v>0</v>
      </c>
      <c r="AA429" s="4">
        <v>0</v>
      </c>
      <c r="AB429" s="4">
        <v>0</v>
      </c>
      <c r="AC429" s="4">
        <v>0</v>
      </c>
      <c r="AD429" s="4">
        <v>0</v>
      </c>
      <c r="AE429" s="4">
        <v>0</v>
      </c>
      <c r="AF429" s="4">
        <v>0</v>
      </c>
      <c r="AG429" s="4">
        <v>0</v>
      </c>
      <c r="AH429" s="4">
        <v>0</v>
      </c>
      <c r="AI429" s="4">
        <v>0</v>
      </c>
      <c r="AJ429" s="4">
        <v>0</v>
      </c>
      <c r="AK429" s="4">
        <v>0</v>
      </c>
      <c r="AL429" s="4">
        <v>0</v>
      </c>
      <c r="AM429" s="4">
        <v>0</v>
      </c>
      <c r="AN429" s="4">
        <v>0</v>
      </c>
      <c r="AO429" s="4">
        <v>0</v>
      </c>
      <c r="AP429" s="4">
        <v>0</v>
      </c>
      <c r="AQ429" s="4">
        <v>0</v>
      </c>
      <c r="AR429" s="4">
        <v>0</v>
      </c>
      <c r="AS429" s="4">
        <v>0</v>
      </c>
      <c r="AT429" s="4">
        <v>0</v>
      </c>
      <c r="AU429" s="4">
        <v>0</v>
      </c>
      <c r="AV429" s="4">
        <v>0</v>
      </c>
      <c r="AW429" s="3">
        <v>0</v>
      </c>
      <c r="AX429" s="4">
        <v>0</v>
      </c>
      <c r="AY429" s="4">
        <v>0</v>
      </c>
      <c r="AZ429" s="4">
        <v>0</v>
      </c>
      <c r="BA429" s="4">
        <v>0</v>
      </c>
      <c r="BB429" s="4">
        <v>0</v>
      </c>
      <c r="BC429" s="4">
        <v>0</v>
      </c>
      <c r="BD429" s="4">
        <v>0</v>
      </c>
      <c r="BE429" s="4">
        <v>0</v>
      </c>
      <c r="BF429" s="4">
        <v>0</v>
      </c>
      <c r="BG429" s="4">
        <v>0</v>
      </c>
      <c r="BH429" s="4">
        <v>5950</v>
      </c>
      <c r="BJ429" s="9"/>
    </row>
    <row r="430" spans="1:62" x14ac:dyDescent="0.25">
      <c r="A430" s="6" t="s">
        <v>569</v>
      </c>
      <c r="B430" s="6"/>
      <c r="C430" s="7" t="s">
        <v>526</v>
      </c>
      <c r="D430" s="3"/>
      <c r="E430" s="3" t="e">
        <f>VLOOKUP(A430,[2]Sheet1!$A$2:$E$627,5,0)</f>
        <v>#N/A</v>
      </c>
      <c r="F430" s="3">
        <v>0</v>
      </c>
      <c r="G430" s="3">
        <v>0</v>
      </c>
      <c r="H430" s="4">
        <f t="shared" si="36"/>
        <v>281.79531797079193</v>
      </c>
      <c r="I430" s="11" t="e">
        <f t="shared" si="37"/>
        <v>#N/A</v>
      </c>
      <c r="J430" s="11" t="e">
        <f t="shared" si="38"/>
        <v>#N/A</v>
      </c>
      <c r="K430" s="11" t="e">
        <f t="shared" si="39"/>
        <v>#DIV/0!</v>
      </c>
      <c r="L430" s="11" t="e">
        <f>IF(S430="",((BG430-E430)/E430),((U430-E430)/E430))</f>
        <v>#N/A</v>
      </c>
      <c r="M430" s="3" t="str">
        <f>IF(S430="Churn","Churn",VLOOKUP(A430,'[1]Revenue_Engine_2025 Dec.25'!$C$14:$E$3993,3,0))</f>
        <v>Diğer</v>
      </c>
      <c r="N430" s="3">
        <v>0</v>
      </c>
      <c r="O430" s="3">
        <f>(1-N430)*H430</f>
        <v>281.79531797079193</v>
      </c>
      <c r="P430" s="3">
        <f t="shared" si="41"/>
        <v>0</v>
      </c>
      <c r="Q430" s="3">
        <f t="shared" si="40"/>
        <v>0</v>
      </c>
      <c r="R430" s="3" t="s">
        <v>374</v>
      </c>
      <c r="S430" s="3"/>
      <c r="T430" s="3"/>
      <c r="U430" s="3" t="s">
        <v>551</v>
      </c>
      <c r="V430" s="4" t="str" cm="1">
        <f t="array" ref="V430">IFERROR(
    IF(
        MATCH(2,1/((Y430:BH430&lt;&gt;0)*(Y430:BH430&lt;&gt;"")))-MATCH(1,INDEX((Y430:BH430&lt;&gt;0)*(Y430:BH430&lt;&gt;""),0),0)+1 &lt;= 12,
        "No",
        "Yes"
    ),
    "No"
)</f>
        <v>No</v>
      </c>
      <c r="W430" s="4" t="str" cm="1">
        <f t="array" ref="W430">IFERROR(
    IF(
        MATCH(2,1/((Y430:BH430&lt;&gt;0)*(Y430:BH430&lt;&gt;"")))-MATCH(1,INDEX((Y430:BH430&lt;&gt;0)*(Y430:BH430&lt;&gt;""),0),0)+1 &lt;= 24,
        "No",
        "Yes"
    ),
    "No"
)</f>
        <v>No</v>
      </c>
      <c r="X430" s="3"/>
      <c r="Y430" s="4">
        <v>0</v>
      </c>
      <c r="Z430" s="4">
        <v>0</v>
      </c>
      <c r="AA430" s="4">
        <v>0</v>
      </c>
      <c r="AB430" s="4">
        <v>0</v>
      </c>
      <c r="AC430" s="4">
        <v>0</v>
      </c>
      <c r="AD430" s="4">
        <v>0</v>
      </c>
      <c r="AE430" s="4">
        <v>0</v>
      </c>
      <c r="AF430" s="4">
        <v>0</v>
      </c>
      <c r="AG430" s="4">
        <v>0</v>
      </c>
      <c r="AH430" s="4">
        <v>0</v>
      </c>
      <c r="AI430" s="4">
        <v>0</v>
      </c>
      <c r="AJ430" s="4">
        <v>0</v>
      </c>
      <c r="AK430" s="4">
        <v>0</v>
      </c>
      <c r="AL430" s="4">
        <v>0</v>
      </c>
      <c r="AM430" s="4">
        <v>0</v>
      </c>
      <c r="AN430" s="4">
        <v>0</v>
      </c>
      <c r="AO430" s="4">
        <v>0</v>
      </c>
      <c r="AP430" s="4">
        <v>0</v>
      </c>
      <c r="AQ430" s="4">
        <v>0</v>
      </c>
      <c r="AR430" s="4">
        <v>0</v>
      </c>
      <c r="AS430" s="4">
        <v>0</v>
      </c>
      <c r="AT430" s="4">
        <v>0</v>
      </c>
      <c r="AU430" s="4">
        <v>0</v>
      </c>
      <c r="AV430" s="4">
        <v>0</v>
      </c>
      <c r="AW430" s="3">
        <v>0</v>
      </c>
      <c r="AX430" s="4">
        <v>0</v>
      </c>
      <c r="AY430" s="4">
        <v>0</v>
      </c>
      <c r="AZ430" s="4">
        <v>0</v>
      </c>
      <c r="BA430" s="4">
        <v>0</v>
      </c>
      <c r="BB430" s="4">
        <v>0</v>
      </c>
      <c r="BC430" s="4">
        <v>0</v>
      </c>
      <c r="BD430" s="4">
        <v>0</v>
      </c>
      <c r="BE430" s="4">
        <v>0</v>
      </c>
      <c r="BF430" s="4">
        <v>0</v>
      </c>
      <c r="BG430" s="4">
        <v>0</v>
      </c>
      <c r="BH430" s="4">
        <v>281.79531797079193</v>
      </c>
      <c r="BJ430" s="9"/>
    </row>
    <row r="431" spans="1:62" x14ac:dyDescent="0.25">
      <c r="A431" s="6" t="s">
        <v>570</v>
      </c>
      <c r="B431" s="6"/>
      <c r="C431" s="7" t="s">
        <v>526</v>
      </c>
      <c r="D431" s="3"/>
      <c r="E431" s="3" t="e">
        <f>VLOOKUP(A431,[2]Sheet1!$A$2:$E$627,5,0)</f>
        <v>#N/A</v>
      </c>
      <c r="F431" s="3">
        <v>0</v>
      </c>
      <c r="G431" s="3">
        <v>0</v>
      </c>
      <c r="H431" s="4">
        <f t="shared" si="36"/>
        <v>200</v>
      </c>
      <c r="I431" s="11" t="e">
        <f t="shared" si="37"/>
        <v>#N/A</v>
      </c>
      <c r="J431" s="11" t="e">
        <f t="shared" si="38"/>
        <v>#N/A</v>
      </c>
      <c r="K431" s="11" t="e">
        <f t="shared" si="39"/>
        <v>#DIV/0!</v>
      </c>
      <c r="L431" s="11" t="e">
        <f>IF(S431="",((BG431-E431)/E431),((U431-E431)/E431))</f>
        <v>#N/A</v>
      </c>
      <c r="M431" s="3" t="str">
        <f>IF(S431="Churn","Churn",VLOOKUP(A431,'[1]Revenue_Engine_2025 Dec.25'!$C$14:$E$3993,3,0))</f>
        <v>Perakende</v>
      </c>
      <c r="N431" s="3">
        <v>0</v>
      </c>
      <c r="O431" s="3">
        <f>(1-N431)*H431</f>
        <v>200</v>
      </c>
      <c r="P431" s="3">
        <f t="shared" si="41"/>
        <v>0</v>
      </c>
      <c r="Q431" s="3">
        <f t="shared" si="40"/>
        <v>0</v>
      </c>
      <c r="R431" s="3" t="s">
        <v>374</v>
      </c>
      <c r="S431" s="3"/>
      <c r="T431" s="3"/>
      <c r="U431" s="3" t="s">
        <v>551</v>
      </c>
      <c r="V431" s="4" t="str" cm="1">
        <f t="array" ref="V431">IFERROR(
    IF(
        MATCH(2,1/((Y431:BH431&lt;&gt;0)*(Y431:BH431&lt;&gt;"")))-MATCH(1,INDEX((Y431:BH431&lt;&gt;0)*(Y431:BH431&lt;&gt;""),0),0)+1 &lt;= 12,
        "No",
        "Yes"
    ),
    "No"
)</f>
        <v>No</v>
      </c>
      <c r="W431" s="4" t="str" cm="1">
        <f t="array" ref="W431">IFERROR(
    IF(
        MATCH(2,1/((Y431:BH431&lt;&gt;0)*(Y431:BH431&lt;&gt;"")))-MATCH(1,INDEX((Y431:BH431&lt;&gt;0)*(Y431:BH431&lt;&gt;""),0),0)+1 &lt;= 24,
        "No",
        "Yes"
    ),
    "No"
)</f>
        <v>No</v>
      </c>
      <c r="X431" s="3"/>
      <c r="Y431" s="4">
        <v>0</v>
      </c>
      <c r="Z431" s="4">
        <v>0</v>
      </c>
      <c r="AA431" s="4">
        <v>0</v>
      </c>
      <c r="AB431" s="4">
        <v>0</v>
      </c>
      <c r="AC431" s="4">
        <v>0</v>
      </c>
      <c r="AD431" s="4">
        <v>0</v>
      </c>
      <c r="AE431" s="4">
        <v>0</v>
      </c>
      <c r="AF431" s="4">
        <v>0</v>
      </c>
      <c r="AG431" s="4">
        <v>0</v>
      </c>
      <c r="AH431" s="4">
        <v>0</v>
      </c>
      <c r="AI431" s="4">
        <v>0</v>
      </c>
      <c r="AJ431" s="4">
        <v>0</v>
      </c>
      <c r="AK431" s="4">
        <v>0</v>
      </c>
      <c r="AL431" s="4">
        <v>0</v>
      </c>
      <c r="AM431" s="4">
        <v>0</v>
      </c>
      <c r="AN431" s="4">
        <v>0</v>
      </c>
      <c r="AO431" s="4">
        <v>0</v>
      </c>
      <c r="AP431" s="4">
        <v>0</v>
      </c>
      <c r="AQ431" s="4">
        <v>0</v>
      </c>
      <c r="AR431" s="4">
        <v>0</v>
      </c>
      <c r="AS431" s="4">
        <v>0</v>
      </c>
      <c r="AT431" s="4">
        <v>0</v>
      </c>
      <c r="AU431" s="4">
        <v>0</v>
      </c>
      <c r="AV431" s="4">
        <v>0</v>
      </c>
      <c r="AW431" s="3">
        <v>0</v>
      </c>
      <c r="AX431" s="4">
        <v>0</v>
      </c>
      <c r="AY431" s="4">
        <v>0</v>
      </c>
      <c r="AZ431" s="4">
        <v>0</v>
      </c>
      <c r="BA431" s="4">
        <v>0</v>
      </c>
      <c r="BB431" s="4">
        <v>0</v>
      </c>
      <c r="BC431" s="4">
        <v>0</v>
      </c>
      <c r="BD431" s="4">
        <v>0</v>
      </c>
      <c r="BE431" s="4">
        <v>0</v>
      </c>
      <c r="BF431" s="4">
        <v>0</v>
      </c>
      <c r="BG431" s="4">
        <v>0</v>
      </c>
      <c r="BH431" s="4">
        <v>200</v>
      </c>
      <c r="BJ431" s="9"/>
    </row>
    <row r="432" spans="1:62" x14ac:dyDescent="0.25">
      <c r="A432" s="6" t="s">
        <v>571</v>
      </c>
      <c r="B432" s="6"/>
      <c r="C432" s="7" t="s">
        <v>526</v>
      </c>
      <c r="D432" s="3"/>
      <c r="E432" s="3" t="e">
        <f>VLOOKUP(A432,[2]Sheet1!$A$2:$E$627,5,0)</f>
        <v>#N/A</v>
      </c>
      <c r="F432" s="3">
        <v>0</v>
      </c>
      <c r="G432" s="3">
        <v>0</v>
      </c>
      <c r="H432" s="4">
        <f t="shared" si="36"/>
        <v>440</v>
      </c>
      <c r="I432" s="11" t="e">
        <f t="shared" si="37"/>
        <v>#N/A</v>
      </c>
      <c r="J432" s="11" t="e">
        <f t="shared" si="38"/>
        <v>#N/A</v>
      </c>
      <c r="K432" s="11" t="e">
        <f t="shared" si="39"/>
        <v>#DIV/0!</v>
      </c>
      <c r="L432" s="11" t="e">
        <f>IF(S432="",((BG432-E432)/E432),((U432-E432)/E432))</f>
        <v>#N/A</v>
      </c>
      <c r="M432" s="3" t="str">
        <f>IF(S432="Churn","Churn",VLOOKUP(A432,'[1]Revenue_Engine_2025 Dec.25'!$C$14:$E$3993,3,0))</f>
        <v>Lojistik</v>
      </c>
      <c r="N432" s="3">
        <v>0</v>
      </c>
      <c r="O432" s="3">
        <f>(1-N432)*H432</f>
        <v>440</v>
      </c>
      <c r="P432" s="3">
        <f t="shared" si="41"/>
        <v>0</v>
      </c>
      <c r="Q432" s="3">
        <f t="shared" si="40"/>
        <v>0</v>
      </c>
      <c r="R432" s="3" t="s">
        <v>374</v>
      </c>
      <c r="S432" s="3"/>
      <c r="T432" s="3"/>
      <c r="U432" s="3" t="s">
        <v>551</v>
      </c>
      <c r="V432" s="4" t="str" cm="1">
        <f t="array" ref="V432">IFERROR(
    IF(
        MATCH(2,1/((Y432:BH432&lt;&gt;0)*(Y432:BH432&lt;&gt;"")))-MATCH(1,INDEX((Y432:BH432&lt;&gt;0)*(Y432:BH432&lt;&gt;""),0),0)+1 &lt;= 12,
        "No",
        "Yes"
    ),
    "No"
)</f>
        <v>No</v>
      </c>
      <c r="W432" s="4" t="str" cm="1">
        <f t="array" ref="W432">IFERROR(
    IF(
        MATCH(2,1/((Y432:BH432&lt;&gt;0)*(Y432:BH432&lt;&gt;"")))-MATCH(1,INDEX((Y432:BH432&lt;&gt;0)*(Y432:BH432&lt;&gt;""),0),0)+1 &lt;= 24,
        "No",
        "Yes"
    ),
    "No"
)</f>
        <v>No</v>
      </c>
      <c r="X432" s="3"/>
      <c r="Y432" s="4">
        <v>0</v>
      </c>
      <c r="Z432" s="4">
        <v>0</v>
      </c>
      <c r="AA432" s="4">
        <v>0</v>
      </c>
      <c r="AB432" s="4">
        <v>0</v>
      </c>
      <c r="AC432" s="4">
        <v>0</v>
      </c>
      <c r="AD432" s="4">
        <v>0</v>
      </c>
      <c r="AE432" s="4">
        <v>0</v>
      </c>
      <c r="AF432" s="4">
        <v>0</v>
      </c>
      <c r="AG432" s="4">
        <v>0</v>
      </c>
      <c r="AH432" s="4">
        <v>0</v>
      </c>
      <c r="AI432" s="4">
        <v>0</v>
      </c>
      <c r="AJ432" s="4">
        <v>0</v>
      </c>
      <c r="AK432" s="4">
        <v>0</v>
      </c>
      <c r="AL432" s="4">
        <v>0</v>
      </c>
      <c r="AM432" s="4">
        <v>0</v>
      </c>
      <c r="AN432" s="4">
        <v>0</v>
      </c>
      <c r="AO432" s="4">
        <v>0</v>
      </c>
      <c r="AP432" s="4">
        <v>0</v>
      </c>
      <c r="AQ432" s="4">
        <v>0</v>
      </c>
      <c r="AR432" s="4">
        <v>0</v>
      </c>
      <c r="AS432" s="4">
        <v>0</v>
      </c>
      <c r="AT432" s="4">
        <v>0</v>
      </c>
      <c r="AU432" s="4">
        <v>0</v>
      </c>
      <c r="AV432" s="4">
        <v>0</v>
      </c>
      <c r="AW432" s="3">
        <v>0</v>
      </c>
      <c r="AX432" s="4">
        <v>0</v>
      </c>
      <c r="AY432" s="4">
        <v>0</v>
      </c>
      <c r="AZ432" s="4">
        <v>0</v>
      </c>
      <c r="BA432" s="4">
        <v>0</v>
      </c>
      <c r="BB432" s="4">
        <v>0</v>
      </c>
      <c r="BC432" s="4">
        <v>0</v>
      </c>
      <c r="BD432" s="4">
        <v>0</v>
      </c>
      <c r="BE432" s="4">
        <v>0</v>
      </c>
      <c r="BF432" s="4">
        <v>0</v>
      </c>
      <c r="BG432" s="4">
        <v>0</v>
      </c>
      <c r="BH432" s="4">
        <v>440</v>
      </c>
      <c r="BJ432" s="9"/>
    </row>
    <row r="433" spans="1:62" x14ac:dyDescent="0.25">
      <c r="A433" s="6" t="s">
        <v>572</v>
      </c>
      <c r="B433" s="6"/>
      <c r="C433" s="7" t="s">
        <v>525</v>
      </c>
      <c r="D433" s="3"/>
      <c r="E433" s="3" t="e">
        <f>VLOOKUP(A433,[2]Sheet1!$A$2:$E$627,5,0)</f>
        <v>#N/A</v>
      </c>
      <c r="F433" s="3">
        <v>0</v>
      </c>
      <c r="G433" s="3">
        <v>0</v>
      </c>
      <c r="H433" s="4">
        <f t="shared" si="36"/>
        <v>2583.1237480655927</v>
      </c>
      <c r="I433" s="11" t="e">
        <f t="shared" si="37"/>
        <v>#N/A</v>
      </c>
      <c r="J433" s="11" t="e">
        <f t="shared" si="38"/>
        <v>#N/A</v>
      </c>
      <c r="K433" s="11" t="e">
        <f t="shared" si="39"/>
        <v>#DIV/0!</v>
      </c>
      <c r="L433" s="11" t="e">
        <f>IF(S433="",((BG433-E433)/E433),((U433-E433)/E433))</f>
        <v>#N/A</v>
      </c>
      <c r="M433" s="3" t="str">
        <f>IF(S433="Churn","Churn",VLOOKUP(A433,'[1]Revenue_Engine_2025 Dec.25'!$C$14:$E$3993,3,0))</f>
        <v>Lojistik</v>
      </c>
      <c r="N433" s="3">
        <v>0</v>
      </c>
      <c r="O433" s="3">
        <f>(1-N433)*H433</f>
        <v>2583.1237480655927</v>
      </c>
      <c r="P433" s="3">
        <f t="shared" si="41"/>
        <v>0</v>
      </c>
      <c r="Q433" s="3">
        <f t="shared" si="40"/>
        <v>0</v>
      </c>
      <c r="R433" s="3" t="s">
        <v>374</v>
      </c>
      <c r="S433" s="3"/>
      <c r="T433" s="3"/>
      <c r="U433" s="3" t="s">
        <v>551</v>
      </c>
      <c r="V433" s="4" t="str" cm="1">
        <f t="array" ref="V433">IFERROR(
    IF(
        MATCH(2,1/((Y433:BH433&lt;&gt;0)*(Y433:BH433&lt;&gt;"")))-MATCH(1,INDEX((Y433:BH433&lt;&gt;0)*(Y433:BH433&lt;&gt;""),0),0)+1 &lt;= 12,
        "No",
        "Yes"
    ),
    "No"
)</f>
        <v>No</v>
      </c>
      <c r="W433" s="4" t="str" cm="1">
        <f t="array" ref="W433">IFERROR(
    IF(
        MATCH(2,1/((Y433:BH433&lt;&gt;0)*(Y433:BH433&lt;&gt;"")))-MATCH(1,INDEX((Y433:BH433&lt;&gt;0)*(Y433:BH433&lt;&gt;""),0),0)+1 &lt;= 24,
        "No",
        "Yes"
    ),
    "No"
)</f>
        <v>No</v>
      </c>
      <c r="X433" s="3"/>
      <c r="Y433" s="4">
        <v>0</v>
      </c>
      <c r="Z433" s="4">
        <v>0</v>
      </c>
      <c r="AA433" s="4">
        <v>0</v>
      </c>
      <c r="AB433" s="4">
        <v>0</v>
      </c>
      <c r="AC433" s="4">
        <v>0</v>
      </c>
      <c r="AD433" s="4">
        <v>0</v>
      </c>
      <c r="AE433" s="4">
        <v>0</v>
      </c>
      <c r="AF433" s="4">
        <v>0</v>
      </c>
      <c r="AG433" s="4">
        <v>0</v>
      </c>
      <c r="AH433" s="4">
        <v>0</v>
      </c>
      <c r="AI433" s="4">
        <v>0</v>
      </c>
      <c r="AJ433" s="4">
        <v>0</v>
      </c>
      <c r="AK433" s="4">
        <v>0</v>
      </c>
      <c r="AL433" s="4">
        <v>0</v>
      </c>
      <c r="AM433" s="4">
        <v>0</v>
      </c>
      <c r="AN433" s="4">
        <v>0</v>
      </c>
      <c r="AO433" s="4">
        <v>0</v>
      </c>
      <c r="AP433" s="4">
        <v>0</v>
      </c>
      <c r="AQ433" s="4">
        <v>0</v>
      </c>
      <c r="AR433" s="4">
        <v>0</v>
      </c>
      <c r="AS433" s="4">
        <v>0</v>
      </c>
      <c r="AT433" s="4">
        <v>0</v>
      </c>
      <c r="AU433" s="4">
        <v>0</v>
      </c>
      <c r="AV433" s="4">
        <v>0</v>
      </c>
      <c r="AW433" s="3">
        <v>0</v>
      </c>
      <c r="AX433" s="4">
        <v>0</v>
      </c>
      <c r="AY433" s="4">
        <v>0</v>
      </c>
      <c r="AZ433" s="4">
        <v>0</v>
      </c>
      <c r="BA433" s="4">
        <v>0</v>
      </c>
      <c r="BB433" s="4">
        <v>0</v>
      </c>
      <c r="BC433" s="4">
        <v>0</v>
      </c>
      <c r="BD433" s="4">
        <v>0</v>
      </c>
      <c r="BE433" s="4">
        <v>0</v>
      </c>
      <c r="BF433" s="4">
        <v>0</v>
      </c>
      <c r="BG433" s="4">
        <v>0</v>
      </c>
      <c r="BH433" s="4">
        <v>2583.1237480655927</v>
      </c>
      <c r="BJ433" s="9"/>
    </row>
    <row r="434" spans="1:62" x14ac:dyDescent="0.25">
      <c r="A434" s="6" t="s">
        <v>280</v>
      </c>
      <c r="B434" s="6"/>
      <c r="C434" s="7" t="s">
        <v>526</v>
      </c>
      <c r="D434" s="3"/>
      <c r="E434" s="3">
        <f>VLOOKUP(A434,[2]Sheet1!$A$2:$E$627,5,0)</f>
        <v>244.32991705813748</v>
      </c>
      <c r="F434" s="3">
        <f>VLOOKUP(A434,[2]Sheet1!$A$2:$F$627,6,0)</f>
        <v>0</v>
      </c>
      <c r="G434" s="3">
        <f>VLOOKUP(A434,[2]Sheet1!$A$2:$G$627,7,0)</f>
        <v>0</v>
      </c>
      <c r="H434" s="4">
        <f t="shared" si="36"/>
        <v>0</v>
      </c>
      <c r="I434" s="11">
        <f t="shared" si="37"/>
        <v>-1</v>
      </c>
      <c r="J434" s="11">
        <f t="shared" si="38"/>
        <v>-1</v>
      </c>
      <c r="K434" s="11" t="e">
        <f t="shared" si="39"/>
        <v>#DIV/0!</v>
      </c>
      <c r="L434" s="11">
        <f>IF(S434="",((BG434-E434)/E434),((U434-E434)/E434))</f>
        <v>-0.13378107627620844</v>
      </c>
      <c r="M434" s="3" t="str">
        <f>IF(S434="Churn","Churn",VLOOKUP(A434,'[1]Revenue_Engine_2025 Dec.25'!$C$14:$E$3993,3,0))</f>
        <v>Churn</v>
      </c>
      <c r="N434" s="3" t="str">
        <f>IF(S434="",VLOOKUP(A434,[3]Export!$B$2:$F$417,5,0),"CHURN")</f>
        <v>CHURN</v>
      </c>
      <c r="O434" s="3" t="e">
        <f>(1-N434)*H434</f>
        <v>#VALUE!</v>
      </c>
      <c r="P434" s="3" t="e">
        <f t="shared" si="41"/>
        <v>#VALUE!</v>
      </c>
      <c r="Q434" s="3" t="e">
        <f t="shared" si="40"/>
        <v>#VALUE!</v>
      </c>
      <c r="R434" s="3" t="str">
        <f>IF(S434&lt;&gt;"Churn",VLOOKUP(A434,[3]Export!$B$2:$O$417,8,0),"CHURN")</f>
        <v>CHURN</v>
      </c>
      <c r="S434" s="3" t="s">
        <v>372</v>
      </c>
      <c r="T434" s="3" t="s">
        <v>562</v>
      </c>
      <c r="U434" s="3">
        <v>211.64319778762311</v>
      </c>
      <c r="V434" s="4" t="str" cm="1">
        <f t="array" ref="V434">IFERROR(
    IF(
        MATCH(2,1/((Y434:BH434&lt;&gt;0)*(Y434:BH434&lt;&gt;"")))-MATCH(1,INDEX((Y434:BH434&lt;&gt;0)*(Y434:BH434&lt;&gt;""),0),0)+1 &lt;= 12,
        "No",
        "Yes"
    ),
    "No"
)</f>
        <v>No</v>
      </c>
      <c r="W434" s="4" t="str" cm="1">
        <f t="array" ref="W434">IFERROR(
    IF(
        MATCH(2,1/((Y434:BH434&lt;&gt;0)*(Y434:BH434&lt;&gt;"")))-MATCH(1,INDEX((Y434:BH434&lt;&gt;0)*(Y434:BH434&lt;&gt;""),0),0)+1 &lt;= 24,
        "No",
        "Yes"
    ),
    "No"
)</f>
        <v>No</v>
      </c>
      <c r="X434" s="3"/>
      <c r="Y434" s="4">
        <v>0</v>
      </c>
      <c r="Z434" s="4">
        <v>0</v>
      </c>
      <c r="AA434" s="4">
        <v>0</v>
      </c>
      <c r="AB434" s="4">
        <v>0</v>
      </c>
      <c r="AC434" s="4">
        <v>0</v>
      </c>
      <c r="AD434" s="4">
        <v>0</v>
      </c>
      <c r="AE434" s="4">
        <v>0</v>
      </c>
      <c r="AF434" s="4">
        <v>0</v>
      </c>
      <c r="AG434" s="4">
        <v>0</v>
      </c>
      <c r="AH434" s="4">
        <v>0</v>
      </c>
      <c r="AI434" s="4">
        <v>0</v>
      </c>
      <c r="AJ434" s="4">
        <v>0</v>
      </c>
      <c r="AK434" s="4">
        <v>0</v>
      </c>
      <c r="AL434" s="4">
        <v>244.32991705813748</v>
      </c>
      <c r="AM434" s="4">
        <v>234.97565652198432</v>
      </c>
      <c r="AN434" s="4">
        <v>232.63532396795216</v>
      </c>
      <c r="AO434" s="4">
        <v>232.9735186767104</v>
      </c>
      <c r="AP434" s="4">
        <v>231.00094248384534</v>
      </c>
      <c r="AQ434" s="4">
        <v>228.32509840811738</v>
      </c>
      <c r="AR434" s="4">
        <v>223.40976926239031</v>
      </c>
      <c r="AS434" s="4">
        <v>220.85195851516809</v>
      </c>
      <c r="AT434" s="4">
        <v>219.48628503366922</v>
      </c>
      <c r="AU434" s="4">
        <v>218.27643109304103</v>
      </c>
      <c r="AV434" s="4">
        <v>214.88247361243225</v>
      </c>
      <c r="AW434" s="4">
        <v>211.64319778762311</v>
      </c>
      <c r="AX434" s="4">
        <v>0</v>
      </c>
      <c r="AY434" s="4">
        <v>0</v>
      </c>
      <c r="AZ434" s="4">
        <v>0</v>
      </c>
      <c r="BA434" s="4">
        <v>0</v>
      </c>
      <c r="BB434" s="4">
        <v>0</v>
      </c>
      <c r="BC434" s="4">
        <v>0</v>
      </c>
      <c r="BD434" s="4">
        <v>0</v>
      </c>
      <c r="BE434" s="4">
        <v>0</v>
      </c>
      <c r="BF434" s="4">
        <v>0</v>
      </c>
      <c r="BG434" s="4">
        <v>0</v>
      </c>
      <c r="BH434" s="4">
        <v>0</v>
      </c>
      <c r="BJ434" s="9"/>
    </row>
    <row r="435" spans="1:62" x14ac:dyDescent="0.25">
      <c r="A435" s="6" t="s">
        <v>281</v>
      </c>
      <c r="B435" s="6"/>
      <c r="C435" s="7" t="s">
        <v>526</v>
      </c>
      <c r="D435" s="3"/>
      <c r="E435" s="3">
        <f>VLOOKUP(A435,[2]Sheet1!$A$2:$E$627,5,0)</f>
        <v>1226.3904511602864</v>
      </c>
      <c r="F435" s="3">
        <f>VLOOKUP(A435,[2]Sheet1!$A$2:$F$627,6,0)</f>
        <v>1008.7059741454908</v>
      </c>
      <c r="G435" s="3">
        <f>VLOOKUP(A435,[2]Sheet1!$A$2:$G$627,7,0)</f>
        <v>1463.3038914129299</v>
      </c>
      <c r="H435" s="4">
        <f t="shared" si="36"/>
        <v>1242.7437850947722</v>
      </c>
      <c r="I435" s="11">
        <f t="shared" si="37"/>
        <v>-0.17750014019502888</v>
      </c>
      <c r="J435" s="11">
        <f t="shared" si="38"/>
        <v>0.19317945604395409</v>
      </c>
      <c r="K435" s="11">
        <f t="shared" si="39"/>
        <v>0.45067435795901228</v>
      </c>
      <c r="L435" s="11">
        <f>IF(S435="",((BG435-E435)/E435),((U435-E435)/E435))</f>
        <v>2.6963025879106362E-3</v>
      </c>
      <c r="M435" s="3" t="str">
        <f>IF(S435="Churn","Churn",VLOOKUP(A435,'[1]Revenue_Engine_2025 Dec.25'!$C$14:$E$3993,3,0))</f>
        <v>Lojistik</v>
      </c>
      <c r="N435" s="3">
        <v>0</v>
      </c>
      <c r="O435" s="3">
        <f>(1-N435)*H435</f>
        <v>1242.7437850947722</v>
      </c>
      <c r="P435" s="3">
        <f t="shared" si="41"/>
        <v>1008.7059741454908</v>
      </c>
      <c r="Q435" s="3">
        <f t="shared" si="40"/>
        <v>1463.3038914129299</v>
      </c>
      <c r="R435" s="3" t="s">
        <v>374</v>
      </c>
      <c r="S435" s="3"/>
      <c r="T435" s="3"/>
      <c r="U435" s="3" t="s">
        <v>551</v>
      </c>
      <c r="V435" s="4" t="str" cm="1">
        <f t="array" ref="V435">IFERROR(
    IF(
        MATCH(2,1/((Y435:BH435&lt;&gt;0)*(Y435:BH435&lt;&gt;"")))-MATCH(1,INDEX((Y435:BH435&lt;&gt;0)*(Y435:BH435&lt;&gt;""),0),0)+1 &lt;= 12,
        "No",
        "Yes"
    ),
    "No"
)</f>
        <v>Yes</v>
      </c>
      <c r="W435" s="4" t="str" cm="1">
        <f t="array" ref="W435">IFERROR(
    IF(
        MATCH(2,1/((Y435:BH435&lt;&gt;0)*(Y435:BH435&lt;&gt;"")))-MATCH(1,INDEX((Y435:BH435&lt;&gt;0)*(Y435:BH435&lt;&gt;""),0),0)+1 &lt;= 24,
        "No",
        "Yes"
    ),
    "No"
)</f>
        <v>Yes</v>
      </c>
      <c r="X435" s="3"/>
      <c r="Y435" s="4">
        <v>1226.3904511602864</v>
      </c>
      <c r="Z435" s="4">
        <v>1222.1295494509582</v>
      </c>
      <c r="AA435" s="4">
        <v>1213.1455300030059</v>
      </c>
      <c r="AB435" s="4">
        <v>1191.5922946633448</v>
      </c>
      <c r="AC435" s="4">
        <v>1169.0007723891215</v>
      </c>
      <c r="AD435" s="4">
        <v>983.08604834022765</v>
      </c>
      <c r="AE435" s="4">
        <v>871.23320873619105</v>
      </c>
      <c r="AF435" s="4">
        <v>854.75007709656199</v>
      </c>
      <c r="AG435" s="4">
        <v>853.95685856722332</v>
      </c>
      <c r="AH435" s="4">
        <v>827.63617682093457</v>
      </c>
      <c r="AI435" s="4">
        <v>804.85185198142949</v>
      </c>
      <c r="AJ435" s="4">
        <v>1041.9041649302746</v>
      </c>
      <c r="AK435" s="4">
        <v>1008.7059741454908</v>
      </c>
      <c r="AL435" s="4">
        <v>1221.6495852906874</v>
      </c>
      <c r="AM435" s="4">
        <v>1174.8782826099216</v>
      </c>
      <c r="AN435" s="4">
        <v>1163.1766198397609</v>
      </c>
      <c r="AO435" s="4">
        <v>1164.867593383552</v>
      </c>
      <c r="AP435" s="4">
        <v>1155.0047124192267</v>
      </c>
      <c r="AQ435" s="4">
        <v>1141.625492040587</v>
      </c>
      <c r="AR435" s="4">
        <v>1117.0488463119516</v>
      </c>
      <c r="AS435" s="4">
        <v>1104.2597925758405</v>
      </c>
      <c r="AT435" s="4">
        <v>1097.4314251683461</v>
      </c>
      <c r="AU435" s="4">
        <v>1091.3821554652052</v>
      </c>
      <c r="AV435" s="4">
        <v>1074.4123680621612</v>
      </c>
      <c r="AW435" s="4">
        <v>1463.3038914129299</v>
      </c>
      <c r="AX435" s="4">
        <v>1437.5084897526954</v>
      </c>
      <c r="AY435" s="4">
        <v>1401.644506553429</v>
      </c>
      <c r="AZ435" s="4">
        <v>1364.2022240754723</v>
      </c>
      <c r="BA435" s="4">
        <v>1341.3322503711904</v>
      </c>
      <c r="BB435" s="4">
        <v>1318.5589580721689</v>
      </c>
      <c r="BC435" s="4">
        <v>1293.1962372563494</v>
      </c>
      <c r="BD435" s="4">
        <v>1273.2801972223858</v>
      </c>
      <c r="BE435" s="4">
        <v>1257.8678750066706</v>
      </c>
      <c r="BF435" s="4">
        <v>1242.7437850947722</v>
      </c>
      <c r="BG435" s="4">
        <v>1229.6971709075387</v>
      </c>
      <c r="BH435" s="4">
        <v>1217.7103660756009</v>
      </c>
      <c r="BJ435" s="9"/>
    </row>
    <row r="436" spans="1:62" x14ac:dyDescent="0.25">
      <c r="A436" s="6" t="s">
        <v>282</v>
      </c>
      <c r="B436" s="6"/>
      <c r="C436" s="7" t="s">
        <v>526</v>
      </c>
      <c r="D436" s="3"/>
      <c r="E436" s="3">
        <f>VLOOKUP(A436,[2]Sheet1!$A$2:$E$627,5,0)</f>
        <v>341.40471851973842</v>
      </c>
      <c r="F436" s="3">
        <f>VLOOKUP(A436,[2]Sheet1!$A$2:$F$627,6,0)</f>
        <v>408.52363820358852</v>
      </c>
      <c r="G436" s="3">
        <f>VLOOKUP(A436,[2]Sheet1!$A$2:$G$627,7,0)</f>
        <v>609.62223317436587</v>
      </c>
      <c r="H436" s="4">
        <f t="shared" si="36"/>
        <v>0</v>
      </c>
      <c r="I436" s="11">
        <f t="shared" si="37"/>
        <v>0.1965963445814812</v>
      </c>
      <c r="J436" s="11">
        <f t="shared" si="38"/>
        <v>0.78562919639061868</v>
      </c>
      <c r="K436" s="11">
        <f t="shared" si="39"/>
        <v>0.4922569373343324</v>
      </c>
      <c r="L436" s="11">
        <f>IF(S436="",((BG436-E436)/E436),((U436-E436)/E436))</f>
        <v>1.0815334923127038</v>
      </c>
      <c r="M436" s="3" t="str">
        <f>IF(S436="Churn","Churn",VLOOKUP(A436,'[1]Revenue_Engine_2025 Dec.25'!$C$14:$E$3993,3,0))</f>
        <v>Churn</v>
      </c>
      <c r="N436" s="3" t="str">
        <f>IF(S436="",VLOOKUP(A436,[3]Export!$B$2:$F$417,5,0),"CHURN")</f>
        <v>CHURN</v>
      </c>
      <c r="O436" s="3" t="e">
        <f>(1-N436)*H436</f>
        <v>#VALUE!</v>
      </c>
      <c r="P436" s="3" t="e">
        <f t="shared" si="41"/>
        <v>#VALUE!</v>
      </c>
      <c r="Q436" s="3" t="e">
        <f t="shared" si="40"/>
        <v>#VALUE!</v>
      </c>
      <c r="R436" s="3" t="str">
        <f>IF(S436&lt;&gt;"Churn",VLOOKUP(A436,[3]Export!$B$2:$O$417,8,0),"CHURN")</f>
        <v>CHURN</v>
      </c>
      <c r="S436" s="3" t="s">
        <v>372</v>
      </c>
      <c r="T436" s="3" t="s">
        <v>557</v>
      </c>
      <c r="U436" s="3">
        <v>710.64535603242678</v>
      </c>
      <c r="V436" s="4" t="str" cm="1">
        <f t="array" ref="V436">IFERROR(
    IF(
        MATCH(2,1/((Y436:BH436&lt;&gt;0)*(Y436:BH436&lt;&gt;"")))-MATCH(1,INDEX((Y436:BH436&lt;&gt;0)*(Y436:BH436&lt;&gt;""),0),0)+1 &lt;= 12,
        "No",
        "Yes"
    ),
    "No"
)</f>
        <v>Yes</v>
      </c>
      <c r="W436" s="4" t="str" cm="1">
        <f t="array" ref="W436">IFERROR(
    IF(
        MATCH(2,1/((Y436:BH436&lt;&gt;0)*(Y436:BH436&lt;&gt;"")))-MATCH(1,INDEX((Y436:BH436&lt;&gt;0)*(Y436:BH436&lt;&gt;""),0),0)+1 &lt;= 24,
        "No",
        "Yes"
    ),
    "No"
)</f>
        <v>Yes</v>
      </c>
      <c r="X436" s="3"/>
      <c r="Y436" s="4">
        <v>269.66729394454723</v>
      </c>
      <c r="Z436" s="4">
        <v>341.40471851973842</v>
      </c>
      <c r="AA436" s="4">
        <v>339.60692080936133</v>
      </c>
      <c r="AB436" s="4">
        <v>341.44648582572347</v>
      </c>
      <c r="AC436" s="4">
        <v>334.97296638074715</v>
      </c>
      <c r="AD436" s="4">
        <v>281.6997709480018</v>
      </c>
      <c r="AE436" s="4">
        <v>249.64874209906418</v>
      </c>
      <c r="AF436" s="4">
        <v>455.22346113404404</v>
      </c>
      <c r="AG436" s="4">
        <v>454.79992356891245</v>
      </c>
      <c r="AH436" s="4">
        <v>440.78206783486718</v>
      </c>
      <c r="AI436" s="4">
        <v>428.64760332226621</v>
      </c>
      <c r="AJ436" s="4">
        <v>421.96883038921595</v>
      </c>
      <c r="AK436" s="4">
        <v>408.52363820358852</v>
      </c>
      <c r="AL436" s="4">
        <v>399.13707823769721</v>
      </c>
      <c r="AM436" s="4">
        <v>446.5161437988358</v>
      </c>
      <c r="AN436" s="4">
        <v>442.06889048459487</v>
      </c>
      <c r="AO436" s="4">
        <v>442.7115502368564</v>
      </c>
      <c r="AP436" s="4">
        <v>438.96313166437722</v>
      </c>
      <c r="AQ436" s="4">
        <v>433.87831736579807</v>
      </c>
      <c r="AR436" s="4">
        <v>643.51495287543275</v>
      </c>
      <c r="AS436" s="4">
        <v>636.14737236229143</v>
      </c>
      <c r="AT436" s="4">
        <v>632.21365312972819</v>
      </c>
      <c r="AU436" s="4">
        <v>628.72876030628549</v>
      </c>
      <c r="AV436" s="4">
        <v>618.95272233173273</v>
      </c>
      <c r="AW436" s="4">
        <v>609.62223317436587</v>
      </c>
      <c r="AX436" s="4">
        <v>598.87569552212335</v>
      </c>
      <c r="AY436" s="4">
        <v>583.93451914941932</v>
      </c>
      <c r="AZ436" s="4">
        <v>568.33581269254148</v>
      </c>
      <c r="BA436" s="4">
        <v>710.64535603242678</v>
      </c>
      <c r="BB436" s="4">
        <v>698.42204324753163</v>
      </c>
      <c r="BC436" s="4">
        <v>684.98776851445461</v>
      </c>
      <c r="BD436" s="4">
        <v>0</v>
      </c>
      <c r="BE436" s="4">
        <v>0</v>
      </c>
      <c r="BF436" s="4">
        <v>0</v>
      </c>
      <c r="BG436" s="4">
        <v>0</v>
      </c>
      <c r="BH436" s="4">
        <v>0</v>
      </c>
      <c r="BJ436" s="9"/>
    </row>
    <row r="437" spans="1:62" x14ac:dyDescent="0.25">
      <c r="A437" s="6" t="s">
        <v>283</v>
      </c>
      <c r="B437" s="6"/>
      <c r="C437" s="7" t="s">
        <v>526</v>
      </c>
      <c r="D437" s="3"/>
      <c r="E437" s="3">
        <f>VLOOKUP(A437,[2]Sheet1!$A$2:$E$627,5,0)</f>
        <v>544.94336373765213</v>
      </c>
      <c r="F437" s="3">
        <f>VLOOKUP(A437,[2]Sheet1!$A$2:$F$627,6,0)</f>
        <v>667.02904453723636</v>
      </c>
      <c r="G437" s="3">
        <f>VLOOKUP(A437,[2]Sheet1!$A$2:$G$627,7,0)</f>
        <v>703.1699354565568</v>
      </c>
      <c r="H437" s="4">
        <f t="shared" si="36"/>
        <v>0</v>
      </c>
      <c r="I437" s="11">
        <f t="shared" si="37"/>
        <v>0.22403370501151562</v>
      </c>
      <c r="J437" s="11">
        <f t="shared" si="38"/>
        <v>0.29035415833612843</v>
      </c>
      <c r="K437" s="11">
        <f t="shared" si="39"/>
        <v>5.4181884904867743E-2</v>
      </c>
      <c r="L437" s="11">
        <f>IF(S437="",((BG437-E437)/E437),((U437-E437)/E437))</f>
        <v>0.2656367548933371</v>
      </c>
      <c r="M437" s="3" t="str">
        <f>IF(S437="Churn","Churn",VLOOKUP(A437,'[1]Revenue_Engine_2025 Dec.25'!$C$14:$E$3993,3,0))</f>
        <v>Churn</v>
      </c>
      <c r="N437" s="3" t="str">
        <f>IF(S437="",VLOOKUP(A437,[3]Export!$B$2:$F$417,5,0),"CHURN")</f>
        <v>CHURN</v>
      </c>
      <c r="O437" s="3" t="e">
        <f>(1-N437)*H437</f>
        <v>#VALUE!</v>
      </c>
      <c r="P437" s="3" t="e">
        <f t="shared" si="41"/>
        <v>#VALUE!</v>
      </c>
      <c r="Q437" s="3" t="e">
        <f t="shared" si="40"/>
        <v>#VALUE!</v>
      </c>
      <c r="R437" s="3" t="str">
        <f>IF(S437&lt;&gt;"Churn",VLOOKUP(A437,[3]Export!$B$2:$O$417,8,0),"CHURN")</f>
        <v>CHURN</v>
      </c>
      <c r="S437" s="3" t="s">
        <v>372</v>
      </c>
      <c r="T437" s="3" t="s">
        <v>560</v>
      </c>
      <c r="U437" s="3">
        <v>689.70035048158149</v>
      </c>
      <c r="V437" s="4" t="str" cm="1">
        <f t="array" ref="V437">IFERROR(
    IF(
        MATCH(2,1/((Y437:BH437&lt;&gt;0)*(Y437:BH437&lt;&gt;"")))-MATCH(1,INDEX((Y437:BH437&lt;&gt;0)*(Y437:BH437&lt;&gt;""),0),0)+1 &lt;= 12,
        "No",
        "Yes"
    ),
    "No"
)</f>
        <v>Yes</v>
      </c>
      <c r="W437" s="4" t="str" cm="1">
        <f t="array" ref="W437">IFERROR(
    IF(
        MATCH(2,1/((Y437:BH437&lt;&gt;0)*(Y437:BH437&lt;&gt;"")))-MATCH(1,INDEX((Y437:BH437&lt;&gt;0)*(Y437:BH437&lt;&gt;""),0),0)+1 &lt;= 24,
        "No",
        "Yes"
    ),
    "No"
)</f>
        <v>Yes</v>
      </c>
      <c r="X437" s="3"/>
      <c r="Y437" s="4">
        <v>544.94336373765213</v>
      </c>
      <c r="Z437" s="4">
        <v>544.49884454172138</v>
      </c>
      <c r="AA437" s="4">
        <v>543.56158539479304</v>
      </c>
      <c r="AB437" s="4">
        <v>541.31304095596727</v>
      </c>
      <c r="AC437" s="4">
        <v>538.9548770803691</v>
      </c>
      <c r="AD437" s="4">
        <v>519.55929621893267</v>
      </c>
      <c r="AE437" s="4">
        <v>530.61311539702558</v>
      </c>
      <c r="AF437" s="4">
        <v>528.4636089889018</v>
      </c>
      <c r="AG437" s="4">
        <v>528.36016818959661</v>
      </c>
      <c r="AH437" s="4">
        <v>524.92778195882647</v>
      </c>
      <c r="AI437" s="4">
        <v>521.95655941944312</v>
      </c>
      <c r="AJ437" s="4">
        <v>670.32120943061045</v>
      </c>
      <c r="AK437" s="4">
        <v>667.02904453723636</v>
      </c>
      <c r="AL437" s="4">
        <v>664.73066882325509</v>
      </c>
      <c r="AM437" s="4">
        <v>660.98896460879382</v>
      </c>
      <c r="AN437" s="4">
        <v>660.052831587181</v>
      </c>
      <c r="AO437" s="4">
        <v>660.18810947068425</v>
      </c>
      <c r="AP437" s="4">
        <v>659.3990789935383</v>
      </c>
      <c r="AQ437" s="4">
        <v>713.90307031578277</v>
      </c>
      <c r="AR437" s="4">
        <v>710.74054754342205</v>
      </c>
      <c r="AS437" s="4">
        <v>709.09485210865921</v>
      </c>
      <c r="AT437" s="4">
        <v>708.21617779066287</v>
      </c>
      <c r="AU437" s="4">
        <v>707.43775776526263</v>
      </c>
      <c r="AV437" s="4">
        <v>705.25408552223894</v>
      </c>
      <c r="AW437" s="4">
        <v>703.1699354565568</v>
      </c>
      <c r="AX437" s="4">
        <v>700.76948283547495</v>
      </c>
      <c r="AY437" s="4">
        <v>697.43207434666556</v>
      </c>
      <c r="AZ437" s="4">
        <v>693.94779345438337</v>
      </c>
      <c r="BA437" s="4">
        <v>691.81957350861126</v>
      </c>
      <c r="BB437" s="4">
        <v>689.70035048158149</v>
      </c>
      <c r="BC437" s="4">
        <v>687.34016200837948</v>
      </c>
      <c r="BD437" s="4">
        <v>685.48682740515062</v>
      </c>
      <c r="BE437" s="4">
        <v>0</v>
      </c>
      <c r="BF437" s="4">
        <v>0</v>
      </c>
      <c r="BG437" s="4">
        <v>0</v>
      </c>
      <c r="BH437" s="4">
        <v>0</v>
      </c>
      <c r="BJ437" s="9"/>
    </row>
    <row r="438" spans="1:62" x14ac:dyDescent="0.25">
      <c r="A438" s="6" t="s">
        <v>284</v>
      </c>
      <c r="B438" s="6"/>
      <c r="C438" s="7" t="s">
        <v>525</v>
      </c>
      <c r="D438" s="3"/>
      <c r="E438" s="3">
        <f>VLOOKUP(A438,[2]Sheet1!$A$2:$E$627,5,0)</f>
        <v>2595.6897870073985</v>
      </c>
      <c r="F438" s="3">
        <f>VLOOKUP(A438,[2]Sheet1!$A$2:$F$627,6,0)</f>
        <v>1167.0207296880053</v>
      </c>
      <c r="G438" s="3">
        <f>VLOOKUP(A438,[2]Sheet1!$A$2:$G$627,7,0)</f>
        <v>1396.8450009030112</v>
      </c>
      <c r="H438" s="4">
        <f t="shared" si="36"/>
        <v>1649.55326038973</v>
      </c>
      <c r="I438" s="11">
        <f t="shared" si="37"/>
        <v>-0.55040053879725082</v>
      </c>
      <c r="J438" s="11">
        <f t="shared" si="38"/>
        <v>-0.4618598077879521</v>
      </c>
      <c r="K438" s="11">
        <f t="shared" si="39"/>
        <v>0.19693246689495203</v>
      </c>
      <c r="L438" s="11">
        <f>IF(S438="",((BG438-E438)/E438),((U438-E438)/E438))</f>
        <v>-0.34888764093634295</v>
      </c>
      <c r="M438" s="3" t="str">
        <f>IF(S438="Churn","Churn",VLOOKUP(A438,'[1]Revenue_Engine_2025 Dec.25'!$C$14:$E$3993,3,0))</f>
        <v>Churn</v>
      </c>
      <c r="N438" s="3" t="str">
        <f>IF(S438="",VLOOKUP(A438,[3]Export!$B$2:$F$417,5,0),"CHURN")</f>
        <v>CHURN</v>
      </c>
      <c r="O438" s="3" t="e">
        <f>(1-N438)*H438</f>
        <v>#VALUE!</v>
      </c>
      <c r="P438" s="3" t="e">
        <f t="shared" si="41"/>
        <v>#VALUE!</v>
      </c>
      <c r="Q438" s="3" t="e">
        <f t="shared" si="40"/>
        <v>#VALUE!</v>
      </c>
      <c r="R438" s="3" t="str">
        <f>IF(S438&lt;&gt;"Churn",VLOOKUP(A438,[3]Export!$B$2:$O$417,8,0),"CHURN")</f>
        <v>CHURN</v>
      </c>
      <c r="S438" s="3" t="s">
        <v>372</v>
      </c>
      <c r="T438" s="3" t="s">
        <v>553</v>
      </c>
      <c r="U438" s="3">
        <v>1690.0857006158287</v>
      </c>
      <c r="V438" s="4" t="str" cm="1">
        <f t="array" ref="V438">IFERROR(
    IF(
        MATCH(2,1/((Y438:BH438&lt;&gt;0)*(Y438:BH438&lt;&gt;"")))-MATCH(1,INDEX((Y438:BH438&lt;&gt;0)*(Y438:BH438&lt;&gt;""),0),0)+1 &lt;= 12,
        "No",
        "Yes"
    ),
    "No"
)</f>
        <v>Yes</v>
      </c>
      <c r="W438" s="4" t="str" cm="1">
        <f t="array" ref="W438">IFERROR(
    IF(
        MATCH(2,1/((Y438:BH438&lt;&gt;0)*(Y438:BH438&lt;&gt;"")))-MATCH(1,INDEX((Y438:BH438&lt;&gt;0)*(Y438:BH438&lt;&gt;""),0),0)+1 &lt;= 24,
        "No",
        "Yes"
    ),
    "No"
)</f>
        <v>Yes</v>
      </c>
      <c r="X438" s="3"/>
      <c r="Y438" s="4">
        <v>750</v>
      </c>
      <c r="Z438" s="4">
        <v>750</v>
      </c>
      <c r="AA438" s="4">
        <v>2595.6897870073985</v>
      </c>
      <c r="AB438" s="4">
        <v>2562.8985139411898</v>
      </c>
      <c r="AC438" s="4">
        <v>2528.5276841538271</v>
      </c>
      <c r="AD438" s="4">
        <v>2245.6754470787323</v>
      </c>
      <c r="AE438" s="4">
        <v>1325.501588783985</v>
      </c>
      <c r="AF438" s="4">
        <v>1300.4240125881038</v>
      </c>
      <c r="AG438" s="4">
        <v>1299.2172031938469</v>
      </c>
      <c r="AH438" s="4">
        <v>1259.17269487765</v>
      </c>
      <c r="AI438" s="4">
        <v>1224.5084299353809</v>
      </c>
      <c r="AJ438" s="4">
        <v>1205.4293223076738</v>
      </c>
      <c r="AK438" s="4">
        <v>1167.0207296880053</v>
      </c>
      <c r="AL438" s="4">
        <v>1140.2063448244407</v>
      </c>
      <c r="AM438" s="4">
        <v>1550.8393330450965</v>
      </c>
      <c r="AN438" s="4">
        <v>1535.3931381884843</v>
      </c>
      <c r="AO438" s="4">
        <v>1537.6250140250054</v>
      </c>
      <c r="AP438" s="4">
        <v>1524.6060129237326</v>
      </c>
      <c r="AQ438" s="4">
        <v>1506.945536761863</v>
      </c>
      <c r="AR438" s="4">
        <v>1474.5043668269261</v>
      </c>
      <c r="AS438" s="4">
        <v>1457.6228171581361</v>
      </c>
      <c r="AT438" s="4">
        <v>1448.6093728545218</v>
      </c>
      <c r="AU438" s="4">
        <v>1440.6243374437211</v>
      </c>
      <c r="AV438" s="4">
        <v>1418.2242197474129</v>
      </c>
      <c r="AW438" s="4">
        <v>1396.8450009030112</v>
      </c>
      <c r="AX438" s="4">
        <v>1372.2211493115333</v>
      </c>
      <c r="AY438" s="4">
        <v>1860.4697874359049</v>
      </c>
      <c r="AZ438" s="4">
        <v>1810.7708552193692</v>
      </c>
      <c r="BA438" s="4">
        <v>1780.4144453612832</v>
      </c>
      <c r="BB438" s="4">
        <v>1750.1863653562045</v>
      </c>
      <c r="BC438" s="4">
        <v>1716.5212130409193</v>
      </c>
      <c r="BD438" s="4">
        <v>1690.0857006158287</v>
      </c>
      <c r="BE438" s="4">
        <v>1669.6281882419717</v>
      </c>
      <c r="BF438" s="4">
        <v>1649.55326038973</v>
      </c>
      <c r="BG438" s="4">
        <v>0</v>
      </c>
      <c r="BH438" s="4">
        <v>0</v>
      </c>
      <c r="BJ438" s="9"/>
    </row>
    <row r="439" spans="1:62" x14ac:dyDescent="0.25">
      <c r="A439" s="6" t="s">
        <v>285</v>
      </c>
      <c r="B439" s="6"/>
      <c r="C439" s="7" t="s">
        <v>525</v>
      </c>
      <c r="D439" s="3"/>
      <c r="E439" s="3">
        <f>VLOOKUP(A439,[2]Sheet1!$A$2:$E$627,5,0)</f>
        <v>1023.5668218803887</v>
      </c>
      <c r="F439" s="3">
        <f>VLOOKUP(A439,[2]Sheet1!$A$2:$F$627,6,0)</f>
        <v>3147.9548790966596</v>
      </c>
      <c r="G439" s="3">
        <f>VLOOKUP(A439,[2]Sheet1!$A$2:$G$627,7,0)</f>
        <v>6351.8923764756237</v>
      </c>
      <c r="H439" s="4">
        <f t="shared" si="36"/>
        <v>6852.45707527986</v>
      </c>
      <c r="I439" s="11">
        <f t="shared" si="37"/>
        <v>2.0754756912827337</v>
      </c>
      <c r="J439" s="11">
        <f t="shared" si="38"/>
        <v>5.2056450450461051</v>
      </c>
      <c r="K439" s="11">
        <f t="shared" si="39"/>
        <v>1.0177838058143862</v>
      </c>
      <c r="L439" s="11">
        <f>IF(S439="",((BG439-E439)/E439),((U439-E439)/E439))</f>
        <v>5.05374097672214</v>
      </c>
      <c r="M439" s="3" t="str">
        <f>IF(S439="Churn","Churn",VLOOKUP(A439,'[1]Revenue_Engine_2025 Dec.25'!$C$14:$E$3993,3,0))</f>
        <v>Genel</v>
      </c>
      <c r="N439" s="3">
        <f>IF(S439="",VLOOKUP(A439,[3]Export!$B$2:$F$417,5,0),"CHURN")</f>
        <v>0</v>
      </c>
      <c r="O439" s="3">
        <f>(1-N439)*H439</f>
        <v>6852.45707527986</v>
      </c>
      <c r="P439" s="3">
        <f t="shared" si="41"/>
        <v>3147.9548790966596</v>
      </c>
      <c r="Q439" s="3">
        <f t="shared" si="40"/>
        <v>6351.8923764756237</v>
      </c>
      <c r="R439" s="3" t="str">
        <f>IF(S439&lt;&gt;"Churn",VLOOKUP(A439,[3]Export!$B$2:$O$417,8,0),"CHURN")</f>
        <v>NO RISK</v>
      </c>
      <c r="S439" s="3"/>
      <c r="T439" s="3"/>
      <c r="U439" s="3" t="s">
        <v>551</v>
      </c>
      <c r="V439" s="4" t="str" cm="1">
        <f t="array" ref="V439">IFERROR(
    IF(
        MATCH(2,1/((Y439:BH439&lt;&gt;0)*(Y439:BH439&lt;&gt;"")))-MATCH(1,INDEX((Y439:BH439&lt;&gt;0)*(Y439:BH439&lt;&gt;""),0),0)+1 &lt;= 12,
        "No",
        "Yes"
    ),
    "No"
)</f>
        <v>Yes</v>
      </c>
      <c r="W439" s="4" t="str" cm="1">
        <f t="array" ref="W439">IFERROR(
    IF(
        MATCH(2,1/((Y439:BH439&lt;&gt;0)*(Y439:BH439&lt;&gt;"")))-MATCH(1,INDEX((Y439:BH439&lt;&gt;0)*(Y439:BH439&lt;&gt;""),0),0)+1 &lt;= 24,
        "No",
        "Yes"
    ),
    "No"
)</f>
        <v>Yes</v>
      </c>
      <c r="X439" s="3"/>
      <c r="Y439" s="4">
        <v>645.93628775884099</v>
      </c>
      <c r="Z439" s="4">
        <v>643.69208320716257</v>
      </c>
      <c r="AA439" s="4">
        <v>1023.5668218803887</v>
      </c>
      <c r="AB439" s="4">
        <v>4890.1642486053624</v>
      </c>
      <c r="AC439" s="4">
        <v>4797.4511150605713</v>
      </c>
      <c r="AD439" s="4">
        <v>4034.4774530571608</v>
      </c>
      <c r="AE439" s="4">
        <v>3575.4456519195155</v>
      </c>
      <c r="AF439" s="4">
        <v>3507.8006852676831</v>
      </c>
      <c r="AG439" s="4">
        <v>3504.5454033141177</v>
      </c>
      <c r="AH439" s="4">
        <v>3396.5282086506604</v>
      </c>
      <c r="AI439" s="4">
        <v>3303.0238353526061</v>
      </c>
      <c r="AJ439" s="4">
        <v>3251.5593082730334</v>
      </c>
      <c r="AK439" s="4">
        <v>3147.9548790966596</v>
      </c>
      <c r="AL439" s="4">
        <v>3075.6249953903089</v>
      </c>
      <c r="AM439" s="4">
        <v>3305.5957670493117</v>
      </c>
      <c r="AN439" s="4">
        <v>6064.296582488867</v>
      </c>
      <c r="AO439" s="4">
        <v>6073.1125824907458</v>
      </c>
      <c r="AP439" s="4">
        <v>6021.6918143070698</v>
      </c>
      <c r="AQ439" s="4">
        <v>5951.9383830270226</v>
      </c>
      <c r="AR439" s="4">
        <v>5823.8064500435903</v>
      </c>
      <c r="AS439" s="4">
        <v>5757.12989074699</v>
      </c>
      <c r="AT439" s="4">
        <v>5721.5297553703422</v>
      </c>
      <c r="AU439" s="4">
        <v>6550.9707522727422</v>
      </c>
      <c r="AV439" s="4">
        <v>6449.1103907184142</v>
      </c>
      <c r="AW439" s="4">
        <v>6351.8923764756237</v>
      </c>
      <c r="AX439" s="4">
        <v>6239.9199993670227</v>
      </c>
      <c r="AY439" s="4">
        <v>6349.2015781928994</v>
      </c>
      <c r="AZ439" s="4">
        <v>7516.5655125361855</v>
      </c>
      <c r="BA439" s="4">
        <v>7390.5551215659507</v>
      </c>
      <c r="BB439" s="4">
        <v>7254.7601948846986</v>
      </c>
      <c r="BC439" s="4">
        <v>7115.2135661335624</v>
      </c>
      <c r="BD439" s="4">
        <v>7005.63477665768</v>
      </c>
      <c r="BE439" s="4">
        <v>6920.835609326713</v>
      </c>
      <c r="BF439" s="4">
        <v>6852.45707527986</v>
      </c>
      <c r="BG439" s="4">
        <v>6196.4084120305606</v>
      </c>
      <c r="BH439" s="4">
        <v>6136.0072498166383</v>
      </c>
      <c r="BJ439" s="9"/>
    </row>
    <row r="440" spans="1:62" x14ac:dyDescent="0.25">
      <c r="A440" s="6" t="s">
        <v>286</v>
      </c>
      <c r="B440" s="6"/>
      <c r="C440" s="7" t="s">
        <v>525</v>
      </c>
      <c r="D440" s="3"/>
      <c r="E440" s="3">
        <f>VLOOKUP(A440,[2]Sheet1!$A$2:$E$627,5,0)</f>
        <v>1800</v>
      </c>
      <c r="F440" s="3">
        <f>VLOOKUP(A440,[2]Sheet1!$A$2:$F$627,6,0)</f>
        <v>1800</v>
      </c>
      <c r="G440" s="3">
        <f>VLOOKUP(A440,[2]Sheet1!$A$2:$G$627,7,0)</f>
        <v>1173.9142703953496</v>
      </c>
      <c r="H440" s="4">
        <f t="shared" si="36"/>
        <v>0</v>
      </c>
      <c r="I440" s="11">
        <f t="shared" si="37"/>
        <v>0</v>
      </c>
      <c r="J440" s="11">
        <f t="shared" si="38"/>
        <v>-0.34782540533591688</v>
      </c>
      <c r="K440" s="11">
        <f t="shared" si="39"/>
        <v>-0.34782540533591688</v>
      </c>
      <c r="L440" s="11">
        <f>IF(S440="",((BG440-E440)/E440),((U440-E440)/E440))</f>
        <v>-0.34782540533591688</v>
      </c>
      <c r="M440" s="3" t="str">
        <f>IF(S440="Churn","Churn",VLOOKUP(A440,'[1]Revenue_Engine_2025 Dec.25'!$C$14:$E$3993,3,0))</f>
        <v>Churn</v>
      </c>
      <c r="N440" s="3" t="str">
        <f>IF(S440="",VLOOKUP(A440,[3]Export!$B$2:$F$417,5,0),"CHURN")</f>
        <v>CHURN</v>
      </c>
      <c r="O440" s="3" t="e">
        <f>(1-N440)*H440</f>
        <v>#VALUE!</v>
      </c>
      <c r="P440" s="3" t="e">
        <f t="shared" si="41"/>
        <v>#VALUE!</v>
      </c>
      <c r="Q440" s="3" t="e">
        <f t="shared" si="40"/>
        <v>#VALUE!</v>
      </c>
      <c r="R440" s="3" t="str">
        <f>IF(S440&lt;&gt;"Churn",VLOOKUP(A440,[3]Export!$B$2:$O$417,8,0),"CHURN")</f>
        <v>CHURN</v>
      </c>
      <c r="S440" s="3" t="s">
        <v>372</v>
      </c>
      <c r="T440" s="3" t="s">
        <v>552</v>
      </c>
      <c r="U440" s="3">
        <v>1173.9142703953496</v>
      </c>
      <c r="V440" s="4" t="str" cm="1">
        <f t="array" ref="V440">IFERROR(
    IF(
        MATCH(2,1/((Y440:BH440&lt;&gt;0)*(Y440:BH440&lt;&gt;"")))-MATCH(1,INDEX((Y440:BH440&lt;&gt;0)*(Y440:BH440&lt;&gt;""),0),0)+1 &lt;= 12,
        "No",
        "Yes"
    ),
    "No"
)</f>
        <v>Yes</v>
      </c>
      <c r="W440" s="4" t="str" cm="1">
        <f t="array" ref="W440">IFERROR(
    IF(
        MATCH(2,1/((Y440:BH440&lt;&gt;0)*(Y440:BH440&lt;&gt;"")))-MATCH(1,INDEX((Y440:BH440&lt;&gt;0)*(Y440:BH440&lt;&gt;""),0),0)+1 &lt;= 24,
        "No",
        "Yes"
    ),
    "No"
)</f>
        <v>Yes</v>
      </c>
      <c r="X440" s="3"/>
      <c r="Y440" s="4">
        <v>1800</v>
      </c>
      <c r="Z440" s="4">
        <v>1800</v>
      </c>
      <c r="AA440" s="4">
        <v>1800</v>
      </c>
      <c r="AB440" s="4">
        <v>1800</v>
      </c>
      <c r="AC440" s="4">
        <v>1800</v>
      </c>
      <c r="AD440" s="4">
        <v>1800</v>
      </c>
      <c r="AE440" s="4">
        <v>1800</v>
      </c>
      <c r="AF440" s="4">
        <v>1800</v>
      </c>
      <c r="AG440" s="4">
        <v>1800</v>
      </c>
      <c r="AH440" s="4">
        <v>1800</v>
      </c>
      <c r="AI440" s="4">
        <v>1800</v>
      </c>
      <c r="AJ440" s="4">
        <v>1800</v>
      </c>
      <c r="AK440" s="4">
        <v>1800</v>
      </c>
      <c r="AL440" s="4">
        <v>1800</v>
      </c>
      <c r="AM440" s="4">
        <v>1303.3316415086065</v>
      </c>
      <c r="AN440" s="4">
        <v>1290.3505969422413</v>
      </c>
      <c r="AO440" s="4">
        <v>1292.2264502601536</v>
      </c>
      <c r="AP440" s="4">
        <v>1281.2852276437288</v>
      </c>
      <c r="AQ440" s="4">
        <v>1266.4432125036913</v>
      </c>
      <c r="AR440" s="4">
        <v>1239.1795201753916</v>
      </c>
      <c r="AS440" s="4">
        <v>1224.9921965641324</v>
      </c>
      <c r="AT440" s="4">
        <v>1217.4172609867519</v>
      </c>
      <c r="AU440" s="4">
        <v>1210.7066044627343</v>
      </c>
      <c r="AV440" s="4">
        <v>1191.8814536369575</v>
      </c>
      <c r="AW440" s="4">
        <v>1173.9142703953496</v>
      </c>
      <c r="AX440" s="4">
        <v>1153.2202844794847</v>
      </c>
      <c r="AY440" s="4">
        <v>0</v>
      </c>
      <c r="AZ440" s="4">
        <v>0</v>
      </c>
      <c r="BA440" s="4">
        <v>0</v>
      </c>
      <c r="BB440" s="4">
        <v>0</v>
      </c>
      <c r="BC440" s="4">
        <v>0</v>
      </c>
      <c r="BD440" s="4">
        <v>0</v>
      </c>
      <c r="BE440" s="4">
        <v>0</v>
      </c>
      <c r="BF440" s="4">
        <v>0</v>
      </c>
      <c r="BG440" s="4">
        <v>0</v>
      </c>
      <c r="BH440" s="4">
        <v>0</v>
      </c>
      <c r="BJ440" s="9"/>
    </row>
    <row r="441" spans="1:62" x14ac:dyDescent="0.25">
      <c r="A441" s="6" t="s">
        <v>431</v>
      </c>
      <c r="B441" s="6"/>
      <c r="C441" s="7" t="s">
        <v>525</v>
      </c>
      <c r="D441" s="3"/>
      <c r="E441" s="3">
        <f>VLOOKUP(A441,[2]Sheet1!$A$2:$E$627,5,0)</f>
        <v>150.00399999999999</v>
      </c>
      <c r="F441" s="3">
        <f>VLOOKUP(A441,[2]Sheet1!$A$2:$F$627,6,0)</f>
        <v>0</v>
      </c>
      <c r="G441" s="3">
        <f>VLOOKUP(A441,[2]Sheet1!$A$2:$G$627,7,0)</f>
        <v>0</v>
      </c>
      <c r="H441" s="4">
        <f t="shared" si="36"/>
        <v>249.99978033333332</v>
      </c>
      <c r="I441" s="11">
        <f t="shared" si="37"/>
        <v>-1</v>
      </c>
      <c r="J441" s="11">
        <f t="shared" si="38"/>
        <v>-1</v>
      </c>
      <c r="K441" s="11" t="e">
        <f t="shared" si="39"/>
        <v>#DIV/0!</v>
      </c>
      <c r="L441" s="11">
        <f>IF(S441="",((BG441-E441)/E441),((U441-E441)/E441))</f>
        <v>0.66662075900198214</v>
      </c>
      <c r="M441" s="3" t="str">
        <f>IF(S441="Churn","Churn",VLOOKUP(A441,'[1]Revenue_Engine_2025 Dec.25'!$C$14:$E$3993,3,0))</f>
        <v>Finans</v>
      </c>
      <c r="N441" s="3">
        <f>IF(S441="",VLOOKUP(A441,[3]Export!$B$2:$F$417,5,0),"CHURN")</f>
        <v>0</v>
      </c>
      <c r="O441" s="3">
        <f>(1-N441)*H441</f>
        <v>249.99978033333332</v>
      </c>
      <c r="P441" s="3">
        <f t="shared" si="41"/>
        <v>0</v>
      </c>
      <c r="Q441" s="3">
        <f t="shared" si="40"/>
        <v>0</v>
      </c>
      <c r="R441" s="3" t="str">
        <f>IF(S441&lt;&gt;"Churn",VLOOKUP(A441,[3]Export!$B$2:$O$417,8,0),"CHURN")</f>
        <v>NO RISK</v>
      </c>
      <c r="S441" s="3"/>
      <c r="T441" s="3"/>
      <c r="U441" s="3" t="s">
        <v>551</v>
      </c>
      <c r="V441" s="4" t="str" cm="1">
        <f t="array" ref="V441">IFERROR(
    IF(
        MATCH(2,1/((Y441:BH441&lt;&gt;0)*(Y441:BH441&lt;&gt;"")))-MATCH(1,INDEX((Y441:BH441&lt;&gt;0)*(Y441:BH441&lt;&gt;""),0),0)+1 &lt;= 12,
        "No",
        "Yes"
    ),
    "No"
)</f>
        <v>Yes</v>
      </c>
      <c r="W441" s="4" t="str" cm="1">
        <f t="array" ref="W441">IFERROR(
    IF(
        MATCH(2,1/((Y441:BH441&lt;&gt;0)*(Y441:BH441&lt;&gt;"")))-MATCH(1,INDEX((Y441:BH441&lt;&gt;0)*(Y441:BH441&lt;&gt;""),0),0)+1 &lt;= 24,
        "No",
        "Yes"
    ),
    "No"
)</f>
        <v>Yes</v>
      </c>
      <c r="X441" s="3"/>
      <c r="Y441" s="4">
        <v>0</v>
      </c>
      <c r="Z441" s="4">
        <v>0</v>
      </c>
      <c r="AA441" s="4">
        <v>150</v>
      </c>
      <c r="AB441" s="4">
        <v>150</v>
      </c>
      <c r="AC441" s="4">
        <v>150.00399999999999</v>
      </c>
      <c r="AD441" s="4">
        <v>150.00399999999999</v>
      </c>
      <c r="AE441" s="4">
        <v>150.00399999999999</v>
      </c>
      <c r="AF441" s="4">
        <v>150.00399999999999</v>
      </c>
      <c r="AG441" s="4">
        <v>150.00399999999999</v>
      </c>
      <c r="AH441" s="4">
        <v>150.00399999999999</v>
      </c>
      <c r="AI441" s="4">
        <v>150.00399999999999</v>
      </c>
      <c r="AJ441" s="4">
        <v>150.00399999999999</v>
      </c>
      <c r="AK441" s="4">
        <v>150.00399999999999</v>
      </c>
      <c r="AL441" s="4">
        <v>150.00399999999999</v>
      </c>
      <c r="AM441" s="4">
        <v>150.00399999999999</v>
      </c>
      <c r="AN441" s="4">
        <v>150.00399999999999</v>
      </c>
      <c r="AO441" s="4">
        <v>150.00399999999999</v>
      </c>
      <c r="AP441" s="4">
        <v>150.00399999999999</v>
      </c>
      <c r="AQ441" s="4">
        <v>150.00399999999999</v>
      </c>
      <c r="AR441" s="4">
        <v>150.00399999999999</v>
      </c>
      <c r="AS441" s="4">
        <v>150.00399999999999</v>
      </c>
      <c r="AT441" s="4">
        <v>150.00399999999999</v>
      </c>
      <c r="AU441" s="4">
        <v>150.00399999999999</v>
      </c>
      <c r="AV441" s="4">
        <v>150.00399999999999</v>
      </c>
      <c r="AW441" s="4">
        <v>150.00399999999999</v>
      </c>
      <c r="AX441" s="4">
        <v>150.00399999999999</v>
      </c>
      <c r="AY441" s="4">
        <v>20.833113666666666</v>
      </c>
      <c r="AZ441" s="4">
        <v>20.833113666666666</v>
      </c>
      <c r="BA441" s="4">
        <v>20.833113666666666</v>
      </c>
      <c r="BB441" s="4">
        <v>20.833113666666666</v>
      </c>
      <c r="BC441" s="4">
        <v>20.833113666666666</v>
      </c>
      <c r="BD441" s="4">
        <v>249.99978033333332</v>
      </c>
      <c r="BE441" s="4">
        <v>249.99978033333332</v>
      </c>
      <c r="BF441" s="4">
        <v>249.99978033333332</v>
      </c>
      <c r="BG441" s="4">
        <v>249.99978033333332</v>
      </c>
      <c r="BH441" s="4">
        <v>249.99978033333332</v>
      </c>
      <c r="BJ441" s="9"/>
    </row>
    <row r="442" spans="1:62" x14ac:dyDescent="0.25">
      <c r="A442" s="6" t="s">
        <v>287</v>
      </c>
      <c r="B442" s="6"/>
      <c r="C442" s="7" t="s">
        <v>525</v>
      </c>
      <c r="D442" s="3"/>
      <c r="E442" s="3">
        <f>VLOOKUP(A442,[2]Sheet1!$A$2:$E$627,5,0)</f>
        <v>266.54867445344195</v>
      </c>
      <c r="F442" s="3">
        <f>VLOOKUP(A442,[2]Sheet1!$A$2:$F$627,6,0)</f>
        <v>958.62411598184781</v>
      </c>
      <c r="G442" s="3">
        <f>VLOOKUP(A442,[2]Sheet1!$A$2:$G$627,7,0)</f>
        <v>510.62448852893874</v>
      </c>
      <c r="H442" s="4">
        <f t="shared" si="36"/>
        <v>2791.6992492503073</v>
      </c>
      <c r="I442" s="11">
        <f t="shared" si="37"/>
        <v>2.5964317509644594</v>
      </c>
      <c r="J442" s="11">
        <f t="shared" si="38"/>
        <v>0.91568946863447831</v>
      </c>
      <c r="K442" s="11">
        <f t="shared" si="39"/>
        <v>-0.46733607050356352</v>
      </c>
      <c r="L442" s="11">
        <f>IF(S442="",((BG442-E442)/E442),((U442-E442)/E442))</f>
        <v>7.496372453698215</v>
      </c>
      <c r="M442" s="3" t="str">
        <f>IF(S442="Churn","Churn",VLOOKUP(A442,'[1]Revenue_Engine_2025 Dec.25'!$C$14:$E$3993,3,0))</f>
        <v>Lojistik</v>
      </c>
      <c r="N442" s="3">
        <f>IF(S442="",VLOOKUP(A442,[3]Export!$B$2:$F$417,5,0),"CHURN")</f>
        <v>0</v>
      </c>
      <c r="O442" s="3">
        <f>(1-N442)*H442</f>
        <v>2791.6992492503073</v>
      </c>
      <c r="P442" s="3">
        <f t="shared" si="41"/>
        <v>958.62411598184781</v>
      </c>
      <c r="Q442" s="3">
        <f t="shared" si="40"/>
        <v>510.62448852893874</v>
      </c>
      <c r="R442" s="3" t="str">
        <f>IF(S442&lt;&gt;"Churn",VLOOKUP(A442,[3]Export!$B$2:$O$417,8,0),"CHURN")</f>
        <v>NO RISK</v>
      </c>
      <c r="S442" s="3"/>
      <c r="T442" s="3"/>
      <c r="U442" s="3" t="s">
        <v>551</v>
      </c>
      <c r="V442" s="4" t="str" cm="1">
        <f t="array" ref="V442">IFERROR(
    IF(
        MATCH(2,1/((Y442:BH442&lt;&gt;0)*(Y442:BH442&lt;&gt;"")))-MATCH(1,INDEX((Y442:BH442&lt;&gt;0)*(Y442:BH442&lt;&gt;""),0),0)+1 &lt;= 12,
        "No",
        "Yes"
    ),
    "No"
)</f>
        <v>Yes</v>
      </c>
      <c r="W442" s="4" t="str" cm="1">
        <f t="array" ref="W442">IFERROR(
    IF(
        MATCH(2,1/((Y442:BH442&lt;&gt;0)*(Y442:BH442&lt;&gt;"")))-MATCH(1,INDEX((Y442:BH442&lt;&gt;0)*(Y442:BH442&lt;&gt;""),0),0)+1 &lt;= 24,
        "No",
        "Yes"
    ),
    "No"
)</f>
        <v>Yes</v>
      </c>
      <c r="X442" s="3"/>
      <c r="Y442" s="4">
        <v>266.54867445344195</v>
      </c>
      <c r="Z442" s="4">
        <v>265.62259279525279</v>
      </c>
      <c r="AA442" s="4">
        <v>263.66996957248551</v>
      </c>
      <c r="AB442" s="4">
        <v>258.98550199159848</v>
      </c>
      <c r="AC442" s="4">
        <v>254.07536891743564</v>
      </c>
      <c r="AD442" s="4">
        <v>961.50558955249392</v>
      </c>
      <c r="AE442" s="4">
        <v>926.90427228073361</v>
      </c>
      <c r="AF442" s="4">
        <v>909.36788250112386</v>
      </c>
      <c r="AG442" s="4">
        <v>908.52397798012566</v>
      </c>
      <c r="AH442" s="4">
        <v>880.52142698075954</v>
      </c>
      <c r="AI442" s="4">
        <v>1604.1059514604888</v>
      </c>
      <c r="AJ442" s="4">
        <v>990.17402954334898</v>
      </c>
      <c r="AK442" s="4">
        <v>958.62411598184781</v>
      </c>
      <c r="AL442" s="4">
        <v>936.59801538952706</v>
      </c>
      <c r="AM442" s="4">
        <v>900.7400166676066</v>
      </c>
      <c r="AN442" s="4">
        <v>891.76874187714998</v>
      </c>
      <c r="AO442" s="4">
        <v>893.06515492738981</v>
      </c>
      <c r="AP442" s="4">
        <v>346.50141372576803</v>
      </c>
      <c r="AQ442" s="4">
        <v>550.87235409265122</v>
      </c>
      <c r="AR442" s="4">
        <v>539.01330330706037</v>
      </c>
      <c r="AS442" s="4">
        <v>532.84215857759557</v>
      </c>
      <c r="AT442" s="4">
        <v>529.54724369123255</v>
      </c>
      <c r="AU442" s="4">
        <v>526.62826941714366</v>
      </c>
      <c r="AV442" s="4">
        <v>518.43978133559483</v>
      </c>
      <c r="AW442" s="4">
        <v>510.62448852893874</v>
      </c>
      <c r="AX442" s="4">
        <v>501.62310210712201</v>
      </c>
      <c r="AY442" s="4">
        <v>489.10825253609187</v>
      </c>
      <c r="AZ442" s="4">
        <v>473.54339367503877</v>
      </c>
      <c r="BA442" s="4">
        <v>465.60474296031498</v>
      </c>
      <c r="BB442" s="4">
        <v>457.69965240254174</v>
      </c>
      <c r="BC442" s="4">
        <v>448.89571653731821</v>
      </c>
      <c r="BD442" s="4">
        <v>441.98243856444105</v>
      </c>
      <c r="BE442" s="4">
        <v>1467.5703342179183</v>
      </c>
      <c r="BF442" s="4">
        <v>1449.9248675295917</v>
      </c>
      <c r="BG442" s="4">
        <v>2264.6968151959973</v>
      </c>
      <c r="BH442" s="4">
        <v>2791.6992492503073</v>
      </c>
      <c r="BJ442" s="9"/>
    </row>
    <row r="443" spans="1:62" x14ac:dyDescent="0.25">
      <c r="A443" s="6" t="s">
        <v>288</v>
      </c>
      <c r="B443" s="6"/>
      <c r="C443" s="7" t="s">
        <v>526</v>
      </c>
      <c r="D443" s="3"/>
      <c r="E443" s="3">
        <f>VLOOKUP(A443,[2]Sheet1!$A$2:$E$627,5,0)</f>
        <v>459.8</v>
      </c>
      <c r="F443" s="3">
        <f>VLOOKUP(A443,[2]Sheet1!$A$2:$F$627,6,0)</f>
        <v>550.12280299999998</v>
      </c>
      <c r="G443" s="3">
        <f>VLOOKUP(A443,[2]Sheet1!$A$2:$G$627,7,0)</f>
        <v>550.12280299999998</v>
      </c>
      <c r="H443" s="4">
        <f t="shared" si="36"/>
        <v>550.12280299999998</v>
      </c>
      <c r="I443" s="11">
        <f t="shared" si="37"/>
        <v>0.19643932796868196</v>
      </c>
      <c r="J443" s="11">
        <f t="shared" si="38"/>
        <v>0.19643932796868196</v>
      </c>
      <c r="K443" s="11">
        <f t="shared" si="39"/>
        <v>0</v>
      </c>
      <c r="L443" s="11">
        <f>IF(S443="",((BG443-E443)/E443),((U443-E443)/E443))</f>
        <v>0.19643932796868196</v>
      </c>
      <c r="M443" s="3" t="str">
        <f>IF(S443="Churn","Churn",VLOOKUP(A443,'[1]Revenue_Engine_2025 Dec.25'!$C$14:$E$3993,3,0))</f>
        <v>Genel</v>
      </c>
      <c r="N443" s="3">
        <f>IF(S443="",VLOOKUP(A443,[3]Export!$B$2:$F$417,5,0),"CHURN")</f>
        <v>0.21813311381677084</v>
      </c>
      <c r="O443" s="3">
        <f>(1-N443)*H443</f>
        <v>430.12280299999998</v>
      </c>
      <c r="P443" s="3">
        <f t="shared" si="41"/>
        <v>430.12280299999998</v>
      </c>
      <c r="Q443" s="3">
        <f t="shared" si="40"/>
        <v>430.12280299999998</v>
      </c>
      <c r="R443" s="3" t="str">
        <f>IF(S443&lt;&gt;"Churn",VLOOKUP(A443,[3]Export!$B$2:$O$417,8,0),"CHURN")</f>
        <v>CHURN</v>
      </c>
      <c r="S443" s="3"/>
      <c r="T443" s="3"/>
      <c r="U443" s="3" t="s">
        <v>551</v>
      </c>
      <c r="V443" s="4" t="str" cm="1">
        <f t="array" ref="V443">IFERROR(
    IF(
        MATCH(2,1/((Y443:BH443&lt;&gt;0)*(Y443:BH443&lt;&gt;"")))-MATCH(1,INDEX((Y443:BH443&lt;&gt;0)*(Y443:BH443&lt;&gt;""),0),0)+1 &lt;= 12,
        "No",
        "Yes"
    ),
    "No"
)</f>
        <v>Yes</v>
      </c>
      <c r="W443" s="4" t="str" cm="1">
        <f t="array" ref="W443">IFERROR(
    IF(
        MATCH(2,1/((Y443:BH443&lt;&gt;0)*(Y443:BH443&lt;&gt;"")))-MATCH(1,INDEX((Y443:BH443&lt;&gt;0)*(Y443:BH443&lt;&gt;""),0),0)+1 &lt;= 24,
        "No",
        "Yes"
    ),
    "No"
)</f>
        <v>Yes</v>
      </c>
      <c r="X443" s="3"/>
      <c r="Y443" s="4">
        <v>459.8</v>
      </c>
      <c r="Z443" s="4">
        <v>459.8</v>
      </c>
      <c r="AA443" s="4">
        <v>459.8</v>
      </c>
      <c r="AB443" s="4">
        <v>488.63</v>
      </c>
      <c r="AC443" s="4">
        <v>488.63119999999998</v>
      </c>
      <c r="AD443" s="4">
        <v>488.63119999999998</v>
      </c>
      <c r="AE443" s="4">
        <v>488.63119999999998</v>
      </c>
      <c r="AF443" s="4">
        <v>488.63119999999998</v>
      </c>
      <c r="AG443" s="4">
        <v>528.97519999999997</v>
      </c>
      <c r="AH443" s="4">
        <v>528.97519999999997</v>
      </c>
      <c r="AI443" s="4">
        <v>529.12279999999998</v>
      </c>
      <c r="AJ443" s="4">
        <v>550.12279999999998</v>
      </c>
      <c r="AK443" s="4">
        <v>550.12280299999998</v>
      </c>
      <c r="AL443" s="4">
        <v>550.12280299999998</v>
      </c>
      <c r="AM443" s="4">
        <v>550.12280299999998</v>
      </c>
      <c r="AN443" s="4">
        <v>550.12280299999998</v>
      </c>
      <c r="AO443" s="4">
        <v>550.12280299999998</v>
      </c>
      <c r="AP443" s="4">
        <v>550.12280299999998</v>
      </c>
      <c r="AQ443" s="4">
        <v>550.12280299999998</v>
      </c>
      <c r="AR443" s="4">
        <v>550.12280299999998</v>
      </c>
      <c r="AS443" s="4">
        <v>550.12280299999998</v>
      </c>
      <c r="AT443" s="4">
        <v>550.12280299999998</v>
      </c>
      <c r="AU443" s="4">
        <v>550.12280299999998</v>
      </c>
      <c r="AV443" s="4">
        <v>550.12280299999998</v>
      </c>
      <c r="AW443" s="4">
        <v>550.12280299999998</v>
      </c>
      <c r="AX443" s="4">
        <v>550.12280299999998</v>
      </c>
      <c r="AY443" s="4">
        <v>550.12280299999998</v>
      </c>
      <c r="AZ443" s="4">
        <v>550.12280299999998</v>
      </c>
      <c r="BA443" s="4">
        <v>550.12280299999998</v>
      </c>
      <c r="BB443" s="4">
        <v>550.12280299999998</v>
      </c>
      <c r="BC443" s="4">
        <v>550.12280299999998</v>
      </c>
      <c r="BD443" s="4">
        <v>550.12280299999998</v>
      </c>
      <c r="BE443" s="4">
        <v>550.12280299999998</v>
      </c>
      <c r="BF443" s="4">
        <v>550.12280299999998</v>
      </c>
      <c r="BG443" s="4">
        <v>550.12280299999998</v>
      </c>
      <c r="BH443" s="4">
        <v>550.12280299999998</v>
      </c>
      <c r="BJ443" s="9"/>
    </row>
    <row r="444" spans="1:62" x14ac:dyDescent="0.25">
      <c r="A444" s="6" t="s">
        <v>289</v>
      </c>
      <c r="B444" s="6"/>
      <c r="C444" s="7" t="s">
        <v>526</v>
      </c>
      <c r="D444" s="3"/>
      <c r="E444" s="3">
        <f>VLOOKUP(A444,[2]Sheet1!$A$2:$E$627,5,0)</f>
        <v>200</v>
      </c>
      <c r="F444" s="3">
        <f>VLOOKUP(A444,[2]Sheet1!$A$2:$F$627,6,0)</f>
        <v>200.00299999999999</v>
      </c>
      <c r="G444" s="3">
        <f>VLOOKUP(A444,[2]Sheet1!$A$2:$G$627,7,0)</f>
        <v>200.00299999999999</v>
      </c>
      <c r="H444" s="4">
        <f t="shared" si="36"/>
        <v>200.00299999999999</v>
      </c>
      <c r="I444" s="11">
        <f t="shared" si="37"/>
        <v>1.4999999999929514E-5</v>
      </c>
      <c r="J444" s="11">
        <f t="shared" si="38"/>
        <v>1.4999999999929514E-5</v>
      </c>
      <c r="K444" s="11">
        <f t="shared" si="39"/>
        <v>0</v>
      </c>
      <c r="L444" s="11">
        <f>IF(S444="",((BG444-E444)/E444),((U444-E444)/E444))</f>
        <v>1.4999999999929514E-5</v>
      </c>
      <c r="M444" s="3" t="str">
        <f>IF(S444="Churn","Churn",VLOOKUP(A444,'[1]Revenue_Engine_2025 Dec.25'!$C$14:$E$3993,3,0))</f>
        <v>Üretim</v>
      </c>
      <c r="N444" s="3">
        <f>IF(S444="",VLOOKUP(A444,[3]Export!$B$2:$F$417,5,0),"CHURN")</f>
        <v>0.35724464133038009</v>
      </c>
      <c r="O444" s="3">
        <f>(1-N444)*H444</f>
        <v>128.553</v>
      </c>
      <c r="P444" s="3">
        <f t="shared" si="41"/>
        <v>128.553</v>
      </c>
      <c r="Q444" s="3">
        <f t="shared" si="40"/>
        <v>128.553</v>
      </c>
      <c r="R444" s="3" t="str">
        <f>IF(S444&lt;&gt;"Churn",VLOOKUP(A444,[3]Export!$B$2:$O$417,8,0),"CHURN")</f>
        <v>NO RISK</v>
      </c>
      <c r="S444" s="3"/>
      <c r="T444" s="3"/>
      <c r="U444" s="3" t="s">
        <v>551</v>
      </c>
      <c r="V444" s="4" t="str" cm="1">
        <f t="array" ref="V444">IFERROR(
    IF(
        MATCH(2,1/((Y444:BH444&lt;&gt;0)*(Y444:BH444&lt;&gt;"")))-MATCH(1,INDEX((Y444:BH444&lt;&gt;0)*(Y444:BH444&lt;&gt;""),0),0)+1 &lt;= 12,
        "No",
        "Yes"
    ),
    "No"
)</f>
        <v>Yes</v>
      </c>
      <c r="W444" s="4" t="str" cm="1">
        <f t="array" ref="W444">IFERROR(
    IF(
        MATCH(2,1/((Y444:BH444&lt;&gt;0)*(Y444:BH444&lt;&gt;"")))-MATCH(1,INDEX((Y444:BH444&lt;&gt;0)*(Y444:BH444&lt;&gt;""),0),0)+1 &lt;= 24,
        "No",
        "Yes"
    ),
    "No"
)</f>
        <v>Yes</v>
      </c>
      <c r="X444" s="3"/>
      <c r="Y444" s="4">
        <v>200</v>
      </c>
      <c r="Z444" s="4">
        <v>200</v>
      </c>
      <c r="AA444" s="4">
        <v>200</v>
      </c>
      <c r="AB444" s="4">
        <v>200</v>
      </c>
      <c r="AC444" s="4">
        <v>200.00299999999999</v>
      </c>
      <c r="AD444" s="4">
        <v>200.00299999999999</v>
      </c>
      <c r="AE444" s="4">
        <v>200.00299999999999</v>
      </c>
      <c r="AF444" s="4">
        <v>200.00299999999999</v>
      </c>
      <c r="AG444" s="4">
        <v>200.00299999999999</v>
      </c>
      <c r="AH444" s="4">
        <v>200.00299999999999</v>
      </c>
      <c r="AI444" s="4">
        <v>200.00299999999999</v>
      </c>
      <c r="AJ444" s="4">
        <v>200.00299999999999</v>
      </c>
      <c r="AK444" s="4">
        <v>200.00299999999999</v>
      </c>
      <c r="AL444" s="4">
        <v>200.00299999999999</v>
      </c>
      <c r="AM444" s="4">
        <v>200.00299999999999</v>
      </c>
      <c r="AN444" s="4">
        <v>200.00299999999999</v>
      </c>
      <c r="AO444" s="4">
        <v>200.00299999999999</v>
      </c>
      <c r="AP444" s="4">
        <v>200.00299999999999</v>
      </c>
      <c r="AQ444" s="4">
        <v>200.00299999999999</v>
      </c>
      <c r="AR444" s="4">
        <v>200.00299999999999</v>
      </c>
      <c r="AS444" s="4">
        <v>200.00299999999999</v>
      </c>
      <c r="AT444" s="4">
        <v>200.00299999999999</v>
      </c>
      <c r="AU444" s="4">
        <v>200.00299999999999</v>
      </c>
      <c r="AV444" s="4">
        <v>200.00299999999999</v>
      </c>
      <c r="AW444" s="4">
        <v>200.00299999999999</v>
      </c>
      <c r="AX444" s="4">
        <v>200.00299999999999</v>
      </c>
      <c r="AY444" s="4">
        <v>200.00299999999999</v>
      </c>
      <c r="AZ444" s="4">
        <v>200.00299999999999</v>
      </c>
      <c r="BA444" s="4">
        <v>200.00299999999999</v>
      </c>
      <c r="BB444" s="4">
        <v>200.00299999999999</v>
      </c>
      <c r="BC444" s="4">
        <v>200.00299999999999</v>
      </c>
      <c r="BD444" s="4">
        <v>200.00299999999999</v>
      </c>
      <c r="BE444" s="4">
        <v>200.00299999999999</v>
      </c>
      <c r="BF444" s="4">
        <v>200.00299999999999</v>
      </c>
      <c r="BG444" s="4">
        <v>200.00299999999999</v>
      </c>
      <c r="BH444" s="4">
        <v>200.00299999999999</v>
      </c>
      <c r="BJ444" s="9"/>
    </row>
    <row r="445" spans="1:62" x14ac:dyDescent="0.25">
      <c r="A445" s="6" t="s">
        <v>290</v>
      </c>
      <c r="B445" s="6"/>
      <c r="C445" s="7" t="s">
        <v>526</v>
      </c>
      <c r="D445" s="3"/>
      <c r="E445" s="3">
        <f>VLOOKUP(A445,[2]Sheet1!$A$2:$E$627,5,0)</f>
        <v>54</v>
      </c>
      <c r="F445" s="3">
        <f>VLOOKUP(A445,[2]Sheet1!$A$2:$F$627,6,0)</f>
        <v>54</v>
      </c>
      <c r="G445" s="3">
        <f>VLOOKUP(A445,[2]Sheet1!$A$2:$G$627,7,0)</f>
        <v>54</v>
      </c>
      <c r="H445" s="4">
        <f t="shared" si="36"/>
        <v>54</v>
      </c>
      <c r="I445" s="11">
        <f t="shared" si="37"/>
        <v>0</v>
      </c>
      <c r="J445" s="11">
        <f t="shared" si="38"/>
        <v>0</v>
      </c>
      <c r="K445" s="11">
        <f t="shared" si="39"/>
        <v>0</v>
      </c>
      <c r="L445" s="11">
        <f>IF(S445="",((BG445-E445)/E445),((U445-E445)/E445))</f>
        <v>0</v>
      </c>
      <c r="M445" s="3" t="str">
        <f>IF(S445="Churn","Churn",VLOOKUP(A445,'[1]Revenue_Engine_2025 Dec.25'!$C$14:$E$3993,3,0))</f>
        <v>Diğer</v>
      </c>
      <c r="N445" s="3">
        <f>IF(S445="",VLOOKUP(A445,[3]Export!$B$2:$F$417,5,0),"CHURN")</f>
        <v>0</v>
      </c>
      <c r="O445" s="3">
        <f>(1-N445)*H445</f>
        <v>54</v>
      </c>
      <c r="P445" s="3">
        <f t="shared" si="41"/>
        <v>54</v>
      </c>
      <c r="Q445" s="3">
        <f t="shared" si="40"/>
        <v>54</v>
      </c>
      <c r="R445" s="3" t="str">
        <f>IF(S445&lt;&gt;"Churn",VLOOKUP(A445,[3]Export!$B$2:$O$417,8,0),"CHURN")</f>
        <v>NO RISK</v>
      </c>
      <c r="S445" s="3"/>
      <c r="T445" s="3"/>
      <c r="U445" s="3" t="s">
        <v>551</v>
      </c>
      <c r="V445" s="4" t="str" cm="1">
        <f t="array" ref="V445">IFERROR(
    IF(
        MATCH(2,1/((Y445:BH445&lt;&gt;0)*(Y445:BH445&lt;&gt;"")))-MATCH(1,INDEX((Y445:BH445&lt;&gt;0)*(Y445:BH445&lt;&gt;""),0),0)+1 &lt;= 12,
        "No",
        "Yes"
    ),
    "No"
)</f>
        <v>Yes</v>
      </c>
      <c r="W445" s="4" t="str" cm="1">
        <f t="array" ref="W445">IFERROR(
    IF(
        MATCH(2,1/((Y445:BH445&lt;&gt;0)*(Y445:BH445&lt;&gt;"")))-MATCH(1,INDEX((Y445:BH445&lt;&gt;0)*(Y445:BH445&lt;&gt;""),0),0)+1 &lt;= 24,
        "No",
        "Yes"
    ),
    "No"
)</f>
        <v>Yes</v>
      </c>
      <c r="X445" s="3"/>
      <c r="Y445" s="4">
        <v>54</v>
      </c>
      <c r="Z445" s="4">
        <v>54</v>
      </c>
      <c r="AA445" s="4">
        <v>54</v>
      </c>
      <c r="AB445" s="4">
        <v>54</v>
      </c>
      <c r="AC445" s="4">
        <v>54</v>
      </c>
      <c r="AD445" s="4">
        <v>54</v>
      </c>
      <c r="AE445" s="4">
        <v>54</v>
      </c>
      <c r="AF445" s="4">
        <v>54</v>
      </c>
      <c r="AG445" s="4">
        <v>54</v>
      </c>
      <c r="AH445" s="4">
        <v>54</v>
      </c>
      <c r="AI445" s="4">
        <v>54</v>
      </c>
      <c r="AJ445" s="4">
        <v>54</v>
      </c>
      <c r="AK445" s="4">
        <v>54</v>
      </c>
      <c r="AL445" s="4">
        <v>54</v>
      </c>
      <c r="AM445" s="4">
        <v>54</v>
      </c>
      <c r="AN445" s="4">
        <v>54</v>
      </c>
      <c r="AO445" s="4">
        <v>54</v>
      </c>
      <c r="AP445" s="4">
        <v>54</v>
      </c>
      <c r="AQ445" s="4">
        <v>54</v>
      </c>
      <c r="AR445" s="4">
        <v>54</v>
      </c>
      <c r="AS445" s="4">
        <v>54</v>
      </c>
      <c r="AT445" s="4">
        <v>54</v>
      </c>
      <c r="AU445" s="4">
        <v>54</v>
      </c>
      <c r="AV445" s="4">
        <v>54</v>
      </c>
      <c r="AW445" s="4">
        <v>54</v>
      </c>
      <c r="AX445" s="4">
        <v>54</v>
      </c>
      <c r="AY445" s="4">
        <v>54</v>
      </c>
      <c r="AZ445" s="4">
        <v>54</v>
      </c>
      <c r="BA445" s="4">
        <v>54</v>
      </c>
      <c r="BB445" s="4">
        <v>54</v>
      </c>
      <c r="BC445" s="4">
        <v>54</v>
      </c>
      <c r="BD445" s="4">
        <v>54</v>
      </c>
      <c r="BE445" s="4">
        <v>54</v>
      </c>
      <c r="BF445" s="4">
        <v>54</v>
      </c>
      <c r="BG445" s="4">
        <v>54</v>
      </c>
      <c r="BH445" s="4">
        <v>54</v>
      </c>
      <c r="BJ445" s="9"/>
    </row>
    <row r="446" spans="1:62" x14ac:dyDescent="0.25">
      <c r="A446" s="6" t="s">
        <v>291</v>
      </c>
      <c r="B446" s="6"/>
      <c r="C446" s="7" t="s">
        <v>526</v>
      </c>
      <c r="D446" s="3"/>
      <c r="E446" s="3">
        <f>VLOOKUP(A446,[2]Sheet1!$A$2:$E$627,5,0)</f>
        <v>79.100990871745651</v>
      </c>
      <c r="F446" s="3">
        <f>VLOOKUP(A446,[2]Sheet1!$A$2:$F$627,6,0)</f>
        <v>73.84501632297561</v>
      </c>
      <c r="G446" s="3">
        <f>VLOOKUP(A446,[2]Sheet1!$A$2:$G$627,7,0)</f>
        <v>0</v>
      </c>
      <c r="H446" s="4">
        <f t="shared" si="36"/>
        <v>0</v>
      </c>
      <c r="I446" s="11">
        <f t="shared" si="37"/>
        <v>-6.6446380643854108E-2</v>
      </c>
      <c r="J446" s="11">
        <f t="shared" si="38"/>
        <v>-1</v>
      </c>
      <c r="K446" s="11">
        <f t="shared" si="39"/>
        <v>-1</v>
      </c>
      <c r="L446" s="11">
        <f>IF(S446="",((BG446-E446)/E446),((U446-E446)/E446))</f>
        <v>-0.15914577607209029</v>
      </c>
      <c r="M446" s="3" t="str">
        <f>IF(S446="Churn","Churn",VLOOKUP(A446,'[1]Revenue_Engine_2025 Dec.25'!$C$14:$E$3993,3,0))</f>
        <v>Churn</v>
      </c>
      <c r="N446" s="3" t="str">
        <f>IF(S446="",VLOOKUP(A446,[3]Export!$B$2:$F$417,5,0),"CHURN")</f>
        <v>CHURN</v>
      </c>
      <c r="O446" s="3" t="e">
        <f>(1-N446)*H446</f>
        <v>#VALUE!</v>
      </c>
      <c r="P446" s="3" t="e">
        <f t="shared" si="41"/>
        <v>#VALUE!</v>
      </c>
      <c r="Q446" s="3" t="e">
        <f t="shared" si="40"/>
        <v>#VALUE!</v>
      </c>
      <c r="R446" s="3" t="str">
        <f>IF(S446&lt;&gt;"Churn",VLOOKUP(A446,[3]Export!$B$2:$O$417,8,0),"CHURN")</f>
        <v>CHURN</v>
      </c>
      <c r="S446" s="3" t="s">
        <v>372</v>
      </c>
      <c r="T446" s="3" t="s">
        <v>552</v>
      </c>
      <c r="U446" s="3">
        <v>66.512402291390359</v>
      </c>
      <c r="V446" s="4" t="str" cm="1">
        <f t="array" ref="V446">IFERROR(
    IF(
        MATCH(2,1/((Y446:BH446&lt;&gt;0)*(Y446:BH446&lt;&gt;"")))-MATCH(1,INDEX((Y446:BH446&lt;&gt;0)*(Y446:BH446&lt;&gt;""),0),0)+1 &lt;= 12,
        "No",
        "Yes"
    ),
    "No"
)</f>
        <v>Yes</v>
      </c>
      <c r="W446" s="4" t="str" cm="1">
        <f t="array" ref="W446">IFERROR(
    IF(
        MATCH(2,1/((Y446:BH446&lt;&gt;0)*(Y446:BH446&lt;&gt;"")))-MATCH(1,INDEX((Y446:BH446&lt;&gt;0)*(Y446:BH446&lt;&gt;""),0),0)+1 &lt;= 24,
        "No",
        "Yes"
    ),
    "No"
)</f>
        <v>No</v>
      </c>
      <c r="X446" s="3"/>
      <c r="Y446" s="4">
        <v>0</v>
      </c>
      <c r="Z446" s="4">
        <v>0</v>
      </c>
      <c r="AA446" s="4">
        <v>79.100990871745651</v>
      </c>
      <c r="AB446" s="4">
        <v>77.695650597479556</v>
      </c>
      <c r="AC446" s="4">
        <v>76.222610675230698</v>
      </c>
      <c r="AD446" s="4">
        <v>64.10037263683293</v>
      </c>
      <c r="AE446" s="4">
        <v>56.807207698512784</v>
      </c>
      <c r="AF446" s="4">
        <v>55.732454494450906</v>
      </c>
      <c r="AG446" s="4">
        <v>55.680734094798304</v>
      </c>
      <c r="AH446" s="4">
        <v>53.96454097941325</v>
      </c>
      <c r="AI446" s="4">
        <v>52.478929709721548</v>
      </c>
      <c r="AJ446" s="4">
        <v>51.661253715305165</v>
      </c>
      <c r="AK446" s="4">
        <v>50.015171268618147</v>
      </c>
      <c r="AL446" s="4">
        <v>48.865983411627496</v>
      </c>
      <c r="AM446" s="4">
        <v>73.84501632297561</v>
      </c>
      <c r="AN446" s="4">
        <v>73.109527812328437</v>
      </c>
      <c r="AO446" s="4">
        <v>73.215811136134192</v>
      </c>
      <c r="AP446" s="4">
        <v>72.595896191256472</v>
      </c>
      <c r="AQ446" s="4">
        <v>71.7549675930577</v>
      </c>
      <c r="AR446" s="4">
        <v>70.210243486860534</v>
      </c>
      <c r="AS446" s="4">
        <v>69.406408829366825</v>
      </c>
      <c r="AT446" s="4">
        <v>68.97722317658112</v>
      </c>
      <c r="AU446" s="4">
        <v>68.597006411506371</v>
      </c>
      <c r="AV446" s="4">
        <v>67.53039870726704</v>
      </c>
      <c r="AW446" s="4">
        <v>66.512402291390359</v>
      </c>
      <c r="AX446" s="4">
        <v>65.33990890668619</v>
      </c>
      <c r="AY446" s="4">
        <v>0</v>
      </c>
      <c r="AZ446" s="4">
        <v>0</v>
      </c>
      <c r="BA446" s="4">
        <v>0</v>
      </c>
      <c r="BB446" s="4">
        <v>0</v>
      </c>
      <c r="BC446" s="4">
        <v>0</v>
      </c>
      <c r="BD446" s="4">
        <v>0</v>
      </c>
      <c r="BE446" s="4">
        <v>0</v>
      </c>
      <c r="BF446" s="4">
        <v>0</v>
      </c>
      <c r="BG446" s="4">
        <v>0</v>
      </c>
      <c r="BH446" s="4">
        <v>0</v>
      </c>
      <c r="BJ446" s="9"/>
    </row>
    <row r="447" spans="1:62" x14ac:dyDescent="0.25">
      <c r="A447" s="6" t="s">
        <v>292</v>
      </c>
      <c r="B447" s="6"/>
      <c r="C447" s="7" t="s">
        <v>526</v>
      </c>
      <c r="D447" s="3"/>
      <c r="E447" s="3">
        <f>VLOOKUP(A447,[2]Sheet1!$A$2:$E$627,5,0)</f>
        <v>64.10037263683293</v>
      </c>
      <c r="F447" s="3">
        <f>VLOOKUP(A447,[2]Sheet1!$A$2:$F$627,6,0)</f>
        <v>76.938713909952753</v>
      </c>
      <c r="G447" s="3">
        <f>VLOOKUP(A447,[2]Sheet1!$A$2:$G$627,7,0)</f>
        <v>0</v>
      </c>
      <c r="H447" s="4">
        <f t="shared" si="36"/>
        <v>0</v>
      </c>
      <c r="I447" s="11">
        <f t="shared" si="37"/>
        <v>0.20028497097601491</v>
      </c>
      <c r="J447" s="11">
        <f t="shared" si="38"/>
        <v>-1</v>
      </c>
      <c r="K447" s="11">
        <f t="shared" si="39"/>
        <v>-1</v>
      </c>
      <c r="L447" s="11">
        <f>IF(S447="",((BG447-E447)/E447),((U447-E447)/E447))</f>
        <v>5.3363542086195204E-2</v>
      </c>
      <c r="M447" s="3" t="str">
        <f>IF(S447="Churn","Churn",VLOOKUP(A447,'[1]Revenue_Engine_2025 Dec.25'!$C$14:$E$3993,3,0))</f>
        <v>Churn</v>
      </c>
      <c r="N447" s="3" t="str">
        <f>IF(S447="",VLOOKUP(A447,[3]Export!$B$2:$F$417,5,0),"CHURN")</f>
        <v>CHURN</v>
      </c>
      <c r="O447" s="3" t="e">
        <f>(1-N447)*H447</f>
        <v>#VALUE!</v>
      </c>
      <c r="P447" s="3" t="e">
        <f t="shared" si="41"/>
        <v>#VALUE!</v>
      </c>
      <c r="Q447" s="3" t="e">
        <f t="shared" si="40"/>
        <v>#VALUE!</v>
      </c>
      <c r="R447" s="3" t="str">
        <f>IF(S447&lt;&gt;"Churn",VLOOKUP(A447,[3]Export!$B$2:$O$417,8,0),"CHURN")</f>
        <v>CHURN</v>
      </c>
      <c r="S447" s="3" t="s">
        <v>372</v>
      </c>
      <c r="T447" s="3" t="s">
        <v>555</v>
      </c>
      <c r="U447" s="3">
        <v>67.520995569779359</v>
      </c>
      <c r="V447" s="4" t="str" cm="1">
        <f t="array" ref="V447">IFERROR(
    IF(
        MATCH(2,1/((Y447:BH447&lt;&gt;0)*(Y447:BH447&lt;&gt;"")))-MATCH(1,INDEX((Y447:BH447&lt;&gt;0)*(Y447:BH447&lt;&gt;""),0),0)+1 &lt;= 12,
        "No",
        "Yes"
    ),
    "No"
)</f>
        <v>Yes</v>
      </c>
      <c r="W447" s="4" t="str" cm="1">
        <f t="array" ref="W447">IFERROR(
    IF(
        MATCH(2,1/((Y447:BH447&lt;&gt;0)*(Y447:BH447&lt;&gt;"")))-MATCH(1,INDEX((Y447:BH447&lt;&gt;0)*(Y447:BH447&lt;&gt;""),0),0)+1 &lt;= 24,
        "No",
        "Yes"
    ),
    "No"
)</f>
        <v>No</v>
      </c>
      <c r="X447" s="3"/>
      <c r="Y447" s="4">
        <v>0</v>
      </c>
      <c r="Z447" s="4">
        <v>0</v>
      </c>
      <c r="AA447" s="4">
        <v>0</v>
      </c>
      <c r="AB447" s="4">
        <v>0</v>
      </c>
      <c r="AC447" s="4">
        <v>0</v>
      </c>
      <c r="AD447" s="4">
        <v>64.10037263683293</v>
      </c>
      <c r="AE447" s="4">
        <v>56.807207698512784</v>
      </c>
      <c r="AF447" s="4">
        <v>55.732454494450906</v>
      </c>
      <c r="AG447" s="4">
        <v>55.680734094798304</v>
      </c>
      <c r="AH447" s="4">
        <v>53.96454097941325</v>
      </c>
      <c r="AI447" s="4">
        <v>52.478929709721548</v>
      </c>
      <c r="AJ447" s="4">
        <v>51.661253715305165</v>
      </c>
      <c r="AK447" s="4">
        <v>50.015171268618147</v>
      </c>
      <c r="AL447" s="4">
        <v>48.865983411627496</v>
      </c>
      <c r="AM447" s="4">
        <v>46.995131304396864</v>
      </c>
      <c r="AN447" s="4">
        <v>46.527064793590434</v>
      </c>
      <c r="AO447" s="4">
        <v>46.59470373534208</v>
      </c>
      <c r="AP447" s="4">
        <v>76.938713909952753</v>
      </c>
      <c r="AQ447" s="4">
        <v>76.0474794431303</v>
      </c>
      <c r="AR447" s="4">
        <v>74.410347148993466</v>
      </c>
      <c r="AS447" s="4">
        <v>73.558425649451991</v>
      </c>
      <c r="AT447" s="4">
        <v>73.1035653352141</v>
      </c>
      <c r="AU447" s="4">
        <v>72.700603316055535</v>
      </c>
      <c r="AV447" s="4">
        <v>71.570189211180761</v>
      </c>
      <c r="AW447" s="4">
        <v>70.491294409797675</v>
      </c>
      <c r="AX447" s="4">
        <v>69.248660351676747</v>
      </c>
      <c r="AY447" s="4">
        <v>67.520995569779359</v>
      </c>
      <c r="AZ447" s="4">
        <v>65.717299855569266</v>
      </c>
      <c r="BA447" s="4">
        <v>64.61559155082594</v>
      </c>
      <c r="BB447" s="4">
        <v>0</v>
      </c>
      <c r="BC447" s="4">
        <v>0</v>
      </c>
      <c r="BD447" s="4">
        <v>0</v>
      </c>
      <c r="BE447" s="4">
        <v>0</v>
      </c>
      <c r="BF447" s="4">
        <v>0</v>
      </c>
      <c r="BG447" s="4">
        <v>0</v>
      </c>
      <c r="BH447" s="4">
        <v>0</v>
      </c>
      <c r="BJ447" s="9"/>
    </row>
    <row r="448" spans="1:62" x14ac:dyDescent="0.25">
      <c r="A448" s="6" t="s">
        <v>293</v>
      </c>
      <c r="B448" s="6"/>
      <c r="C448" s="7" t="s">
        <v>525</v>
      </c>
      <c r="D448" s="3"/>
      <c r="E448" s="3">
        <f>VLOOKUP(A448,[2]Sheet1!$A$2:$E$627,5,0)</f>
        <v>2162.0937504943813</v>
      </c>
      <c r="F448" s="3">
        <f>VLOOKUP(A448,[2]Sheet1!$A$2:$F$627,6,0)</f>
        <v>1367.0814870844156</v>
      </c>
      <c r="G448" s="3">
        <f>VLOOKUP(A448,[2]Sheet1!$A$2:$G$627,7,0)</f>
        <v>1818.5508472782687</v>
      </c>
      <c r="H448" s="4">
        <f t="shared" si="36"/>
        <v>2040.6795225073874</v>
      </c>
      <c r="I448" s="11">
        <f t="shared" si="37"/>
        <v>-0.36770480615291512</v>
      </c>
      <c r="J448" s="11">
        <f t="shared" si="38"/>
        <v>-0.15889362019457229</v>
      </c>
      <c r="K448" s="11">
        <f t="shared" si="39"/>
        <v>0.33024319651691364</v>
      </c>
      <c r="L448" s="11">
        <f>IF(S448="",((BG448-E448)/E448),((U448-E448)/E448))</f>
        <v>-6.6064553246503371E-2</v>
      </c>
      <c r="M448" s="3" t="str">
        <f>IF(S448="Churn","Churn",VLOOKUP(A448,'[1]Revenue_Engine_2025 Dec.25'!$C$14:$E$3993,3,0))</f>
        <v>Teknoloji</v>
      </c>
      <c r="N448" s="3">
        <f>IF(S448="",VLOOKUP(A448,[3]Export!$B$2:$F$417,5,0),"CHURN")</f>
        <v>0</v>
      </c>
      <c r="O448" s="3">
        <f>(1-N448)*H448</f>
        <v>2040.6795225073874</v>
      </c>
      <c r="P448" s="3">
        <f t="shared" si="41"/>
        <v>1367.0814870844156</v>
      </c>
      <c r="Q448" s="3">
        <f t="shared" si="40"/>
        <v>1818.5508472782687</v>
      </c>
      <c r="R448" s="3" t="str">
        <f>IF(S448&lt;&gt;"Churn",VLOOKUP(A448,[3]Export!$B$2:$O$417,8,0),"CHURN")</f>
        <v>NO RISK</v>
      </c>
      <c r="S448" s="3"/>
      <c r="T448" s="3"/>
      <c r="U448" s="3" t="s">
        <v>551</v>
      </c>
      <c r="V448" s="4" t="str" cm="1">
        <f t="array" ref="V448">IFERROR(
    IF(
        MATCH(2,1/((Y448:BH448&lt;&gt;0)*(Y448:BH448&lt;&gt;"")))-MATCH(1,INDEX((Y448:BH448&lt;&gt;0)*(Y448:BH448&lt;&gt;""),0),0)+1 &lt;= 12,
        "No",
        "Yes"
    ),
    "No"
)</f>
        <v>Yes</v>
      </c>
      <c r="W448" s="4" t="str" cm="1">
        <f t="array" ref="W448">IFERROR(
    IF(
        MATCH(2,1/((Y448:BH448&lt;&gt;0)*(Y448:BH448&lt;&gt;"")))-MATCH(1,INDEX((Y448:BH448&lt;&gt;0)*(Y448:BH448&lt;&gt;""),0),0)+1 &lt;= 24,
        "No",
        "Yes"
    ),
    "No"
)</f>
        <v>Yes</v>
      </c>
      <c r="X448" s="3"/>
      <c r="Y448" s="4">
        <v>1380.7221336688294</v>
      </c>
      <c r="Z448" s="4">
        <v>1375.9250306794095</v>
      </c>
      <c r="AA448" s="4">
        <v>2162.0937504943813</v>
      </c>
      <c r="AB448" s="4">
        <v>2123.6811163311077</v>
      </c>
      <c r="AC448" s="4">
        <v>2083.4182370726453</v>
      </c>
      <c r="AD448" s="4">
        <v>1752.0770303152028</v>
      </c>
      <c r="AE448" s="4">
        <v>1552.7305017212584</v>
      </c>
      <c r="AF448" s="4">
        <v>1523.3539111550365</v>
      </c>
      <c r="AG448" s="4">
        <v>1521.9402200873817</v>
      </c>
      <c r="AH448" s="4">
        <v>1475.0309368280291</v>
      </c>
      <c r="AI448" s="4">
        <v>1434.4242246587996</v>
      </c>
      <c r="AJ448" s="4">
        <v>1412.0744118710672</v>
      </c>
      <c r="AK448" s="4">
        <v>1367.0814870844156</v>
      </c>
      <c r="AL448" s="4">
        <v>1335.6703491311628</v>
      </c>
      <c r="AM448" s="4">
        <v>2019.0361611870344</v>
      </c>
      <c r="AN448" s="4">
        <v>1998.9267757054279</v>
      </c>
      <c r="AO448" s="4">
        <v>2001.8327250135899</v>
      </c>
      <c r="AP448" s="4">
        <v>1984.8832983238574</v>
      </c>
      <c r="AQ448" s="4">
        <v>1961.890604117767</v>
      </c>
      <c r="AR448" s="4">
        <v>1919.6554835183169</v>
      </c>
      <c r="AS448" s="4">
        <v>1897.6774140591413</v>
      </c>
      <c r="AT448" s="4">
        <v>1885.9428216278864</v>
      </c>
      <c r="AU448" s="4">
        <v>1875.5471135124753</v>
      </c>
      <c r="AV448" s="4">
        <v>1846.3844268941177</v>
      </c>
      <c r="AW448" s="4">
        <v>1818.5508472782687</v>
      </c>
      <c r="AX448" s="4">
        <v>1786.4930841434987</v>
      </c>
      <c r="AY448" s="4">
        <v>2301.6063942220626</v>
      </c>
      <c r="AZ448" s="4">
        <v>2240.123331746086</v>
      </c>
      <c r="BA448" s="4">
        <v>2202.5691035039345</v>
      </c>
      <c r="BB448" s="4">
        <v>2165.1736334486905</v>
      </c>
      <c r="BC448" s="4">
        <v>2123.5261257307025</v>
      </c>
      <c r="BD448" s="4">
        <v>2090.8226265543053</v>
      </c>
      <c r="BE448" s="4">
        <v>2065.5144248822307</v>
      </c>
      <c r="BF448" s="4">
        <v>2040.6795225073874</v>
      </c>
      <c r="BG448" s="4">
        <v>2019.2559927909131</v>
      </c>
      <c r="BH448" s="4">
        <v>1999.5727503927524</v>
      </c>
      <c r="BJ448" s="9"/>
    </row>
    <row r="449" spans="1:62" x14ac:dyDescent="0.25">
      <c r="A449" s="6" t="s">
        <v>294</v>
      </c>
      <c r="B449" s="6"/>
      <c r="C449" s="7" t="s">
        <v>525</v>
      </c>
      <c r="D449" s="3"/>
      <c r="E449" s="3">
        <f>VLOOKUP(A449,[2]Sheet1!$A$2:$E$627,5,0)</f>
        <v>1570.9001704134528</v>
      </c>
      <c r="F449" s="3">
        <f>VLOOKUP(A449,[2]Sheet1!$A$2:$F$627,6,0)</f>
        <v>1494.5493466351459</v>
      </c>
      <c r="G449" s="3">
        <f>VLOOKUP(A449,[2]Sheet1!$A$2:$G$627,7,0)</f>
        <v>1725.9029921644985</v>
      </c>
      <c r="H449" s="4">
        <f t="shared" si="36"/>
        <v>1545.3343027618869</v>
      </c>
      <c r="I449" s="11">
        <f t="shared" si="37"/>
        <v>-4.8603230947649435E-2</v>
      </c>
      <c r="J449" s="11">
        <f t="shared" si="38"/>
        <v>9.8671338045784165E-2</v>
      </c>
      <c r="K449" s="11">
        <f t="shared" si="39"/>
        <v>0.15479826480820205</v>
      </c>
      <c r="L449" s="11">
        <f>IF(S449="",((BG449-E449)/E449),((U449-E449)/E449))</f>
        <v>-2.6602039056650543E-2</v>
      </c>
      <c r="M449" s="3" t="str">
        <f>IF(S449="Churn","Churn",VLOOKUP(A449,'[1]Revenue_Engine_2025 Dec.25'!$C$14:$E$3993,3,0))</f>
        <v>Finans</v>
      </c>
      <c r="N449" s="3">
        <f>IF(S449="",VLOOKUP(A449,[3]Export!$B$2:$F$417,5,0),"CHURN")</f>
        <v>0</v>
      </c>
      <c r="O449" s="3">
        <f>(1-N449)*H449</f>
        <v>1545.3343027618869</v>
      </c>
      <c r="P449" s="3">
        <f t="shared" si="41"/>
        <v>1494.5493466351459</v>
      </c>
      <c r="Q449" s="3">
        <f t="shared" si="40"/>
        <v>1725.9029921644985</v>
      </c>
      <c r="R449" s="3" t="str">
        <f>IF(S449&lt;&gt;"Churn",VLOOKUP(A449,[3]Export!$B$2:$O$417,8,0),"CHURN")</f>
        <v>NO RISK</v>
      </c>
      <c r="S449" s="3"/>
      <c r="T449" s="3"/>
      <c r="U449" s="3" t="s">
        <v>551</v>
      </c>
      <c r="V449" s="4" t="str" cm="1">
        <f t="array" ref="V449">IFERROR(
    IF(
        MATCH(2,1/((Y449:BH449&lt;&gt;0)*(Y449:BH449&lt;&gt;"")))-MATCH(1,INDEX((Y449:BH449&lt;&gt;0)*(Y449:BH449&lt;&gt;""),0),0)+1 &lt;= 12,
        "No",
        "Yes"
    ),
    "No"
)</f>
        <v>Yes</v>
      </c>
      <c r="W449" s="4" t="str" cm="1">
        <f t="array" ref="W449">IFERROR(
    IF(
        MATCH(2,1/((Y449:BH449&lt;&gt;0)*(Y449:BH449&lt;&gt;"")))-MATCH(1,INDEX((Y449:BH449&lt;&gt;0)*(Y449:BH449&lt;&gt;""),0),0)+1 &lt;= 24,
        "No",
        "Yes"
    ),
    "No"
)</f>
        <v>Yes</v>
      </c>
      <c r="X449" s="3"/>
      <c r="Y449" s="4">
        <v>1570.9001704134528</v>
      </c>
      <c r="Z449" s="4">
        <v>1565.4423235956092</v>
      </c>
      <c r="AA449" s="4">
        <v>1553.9345711759504</v>
      </c>
      <c r="AB449" s="4">
        <v>1526.3267395624525</v>
      </c>
      <c r="AC449" s="4">
        <v>1497.3889668406234</v>
      </c>
      <c r="AD449" s="4">
        <v>1259.2482716937027</v>
      </c>
      <c r="AE449" s="4">
        <v>1115.9744502482474</v>
      </c>
      <c r="AF449" s="4">
        <v>1094.860983055476</v>
      </c>
      <c r="AG449" s="4">
        <v>1093.8449386676714</v>
      </c>
      <c r="AH449" s="4">
        <v>1060.1304199286733</v>
      </c>
      <c r="AI449" s="4">
        <v>1030.9456687827337</v>
      </c>
      <c r="AJ449" s="4">
        <v>1014.8824691410111</v>
      </c>
      <c r="AK449" s="4">
        <v>1494.5493466351459</v>
      </c>
      <c r="AL449" s="4">
        <v>1460.2094070275798</v>
      </c>
      <c r="AM449" s="4">
        <v>1404.3047540274827</v>
      </c>
      <c r="AN449" s="4">
        <v>1390.3180279968858</v>
      </c>
      <c r="AO449" s="4">
        <v>1392.3393241852398</v>
      </c>
      <c r="AP449" s="4">
        <v>1380.5504504159044</v>
      </c>
      <c r="AQ449" s="4">
        <v>1364.5585773773462</v>
      </c>
      <c r="AR449" s="4">
        <v>1335.182680495235</v>
      </c>
      <c r="AS449" s="4">
        <v>1319.8962200107578</v>
      </c>
      <c r="AT449" s="4">
        <v>1311.7344301940943</v>
      </c>
      <c r="AU449" s="4">
        <v>1304.5038778651206</v>
      </c>
      <c r="AV449" s="4">
        <v>1284.2202830097681</v>
      </c>
      <c r="AW449" s="4">
        <v>1725.9029921644985</v>
      </c>
      <c r="AX449" s="4">
        <v>1695.4784431895782</v>
      </c>
      <c r="AY449" s="4">
        <v>1747.4300981099709</v>
      </c>
      <c r="AZ449" s="4">
        <v>1700.7508074353329</v>
      </c>
      <c r="BA449" s="4">
        <v>1667.927663578155</v>
      </c>
      <c r="BB449" s="4">
        <v>1639.6093970146114</v>
      </c>
      <c r="BC449" s="4">
        <v>1608.0712127499683</v>
      </c>
      <c r="BD449" s="4">
        <v>1583.3058989268009</v>
      </c>
      <c r="BE449" s="4">
        <v>1564.1408944497539</v>
      </c>
      <c r="BF449" s="4">
        <v>1545.3343027618869</v>
      </c>
      <c r="BG449" s="4">
        <v>1529.1110227260151</v>
      </c>
      <c r="BH449" s="4">
        <v>1514.2056006193234</v>
      </c>
      <c r="BJ449" s="9"/>
    </row>
    <row r="450" spans="1:62" x14ac:dyDescent="0.25">
      <c r="A450" s="6" t="s">
        <v>295</v>
      </c>
      <c r="B450" s="6"/>
      <c r="C450" s="7" t="s">
        <v>525</v>
      </c>
      <c r="D450" s="3"/>
      <c r="E450" s="3">
        <f>VLOOKUP(A450,[2]Sheet1!$A$2:$E$627,5,0)</f>
        <v>2830</v>
      </c>
      <c r="F450" s="3">
        <f>VLOOKUP(A450,[2]Sheet1!$A$2:$F$627,6,0)</f>
        <v>2830</v>
      </c>
      <c r="G450" s="3">
        <f>VLOOKUP(A450,[2]Sheet1!$A$2:$G$627,7,0)</f>
        <v>2830</v>
      </c>
      <c r="H450" s="4">
        <f t="shared" si="36"/>
        <v>0</v>
      </c>
      <c r="I450" s="11">
        <f t="shared" si="37"/>
        <v>0</v>
      </c>
      <c r="J450" s="11">
        <f t="shared" si="38"/>
        <v>0</v>
      </c>
      <c r="K450" s="11">
        <f t="shared" si="39"/>
        <v>0</v>
      </c>
      <c r="L450" s="11">
        <f>IF(S450="",((BG450-E450)/E450),((U450-E450)/E450))</f>
        <v>0</v>
      </c>
      <c r="M450" s="3" t="str">
        <f>IF(S450="Churn","Churn",VLOOKUP(A450,'[1]Revenue_Engine_2025 Dec.25'!$C$14:$E$3993,3,0))</f>
        <v>Churn</v>
      </c>
      <c r="N450" s="3" t="str">
        <f>IF(S450="",VLOOKUP(A450,[3]Export!$B$2:$F$417,5,0),"CHURN")</f>
        <v>CHURN</v>
      </c>
      <c r="O450" s="3" t="e">
        <f>(1-N450)*H450</f>
        <v>#VALUE!</v>
      </c>
      <c r="P450" s="3" t="e">
        <f t="shared" si="41"/>
        <v>#VALUE!</v>
      </c>
      <c r="Q450" s="3" t="e">
        <f t="shared" si="40"/>
        <v>#VALUE!</v>
      </c>
      <c r="R450" s="3" t="str">
        <f>IF(S450&lt;&gt;"Churn",VLOOKUP(A450,[3]Export!$B$2:$O$417,8,0),"CHURN")</f>
        <v>CHURN</v>
      </c>
      <c r="S450" s="3" t="s">
        <v>372</v>
      </c>
      <c r="T450" s="3" t="s">
        <v>552</v>
      </c>
      <c r="U450" s="3">
        <v>2830</v>
      </c>
      <c r="V450" s="4" t="str" cm="1">
        <f t="array" ref="V450">IFERROR(
    IF(
        MATCH(2,1/((Y450:BH450&lt;&gt;0)*(Y450:BH450&lt;&gt;"")))-MATCH(1,INDEX((Y450:BH450&lt;&gt;0)*(Y450:BH450&lt;&gt;""),0),0)+1 &lt;= 12,
        "No",
        "Yes"
    ),
    "No"
)</f>
        <v>Yes</v>
      </c>
      <c r="W450" s="4" t="str" cm="1">
        <f t="array" ref="W450">IFERROR(
    IF(
        MATCH(2,1/((Y450:BH450&lt;&gt;0)*(Y450:BH450&lt;&gt;"")))-MATCH(1,INDEX((Y450:BH450&lt;&gt;0)*(Y450:BH450&lt;&gt;""),0),0)+1 &lt;= 24,
        "No",
        "Yes"
    ),
    "No"
)</f>
        <v>Yes</v>
      </c>
      <c r="X450" s="3"/>
      <c r="Y450" s="4">
        <v>2830</v>
      </c>
      <c r="Z450" s="4">
        <v>2830</v>
      </c>
      <c r="AA450" s="4">
        <v>2830</v>
      </c>
      <c r="AB450" s="4">
        <v>2830</v>
      </c>
      <c r="AC450" s="4">
        <v>2830</v>
      </c>
      <c r="AD450" s="4">
        <v>2830</v>
      </c>
      <c r="AE450" s="4">
        <v>2830</v>
      </c>
      <c r="AF450" s="4">
        <v>2830</v>
      </c>
      <c r="AG450" s="4">
        <v>2830</v>
      </c>
      <c r="AH450" s="4">
        <v>2830</v>
      </c>
      <c r="AI450" s="4">
        <v>2830</v>
      </c>
      <c r="AJ450" s="4">
        <v>2830</v>
      </c>
      <c r="AK450" s="4">
        <v>2830</v>
      </c>
      <c r="AL450" s="4">
        <v>2830</v>
      </c>
      <c r="AM450" s="4">
        <v>2830</v>
      </c>
      <c r="AN450" s="4">
        <v>2830</v>
      </c>
      <c r="AO450" s="4">
        <v>2830</v>
      </c>
      <c r="AP450" s="4">
        <v>2830</v>
      </c>
      <c r="AQ450" s="4">
        <v>2830</v>
      </c>
      <c r="AR450" s="4">
        <v>2830</v>
      </c>
      <c r="AS450" s="4">
        <v>2830</v>
      </c>
      <c r="AT450" s="4">
        <v>2830</v>
      </c>
      <c r="AU450" s="4">
        <v>2830</v>
      </c>
      <c r="AV450" s="4">
        <v>2830</v>
      </c>
      <c r="AW450" s="4">
        <v>2830</v>
      </c>
      <c r="AX450" s="4">
        <v>2830</v>
      </c>
      <c r="AY450" s="4">
        <v>0</v>
      </c>
      <c r="AZ450" s="4">
        <v>0</v>
      </c>
      <c r="BA450" s="4">
        <v>0</v>
      </c>
      <c r="BB450" s="4">
        <v>0</v>
      </c>
      <c r="BC450" s="4">
        <v>0</v>
      </c>
      <c r="BD450" s="4">
        <v>0</v>
      </c>
      <c r="BE450" s="4">
        <v>0</v>
      </c>
      <c r="BF450" s="4">
        <v>0</v>
      </c>
      <c r="BG450" s="4">
        <v>0</v>
      </c>
      <c r="BH450" s="4">
        <v>0</v>
      </c>
      <c r="BJ450" s="9"/>
    </row>
    <row r="451" spans="1:62" x14ac:dyDescent="0.25">
      <c r="A451" s="6" t="s">
        <v>296</v>
      </c>
      <c r="B451" s="6"/>
      <c r="C451" s="7" t="s">
        <v>525</v>
      </c>
      <c r="D451" s="3"/>
      <c r="E451" s="3">
        <f>VLOOKUP(A451,[2]Sheet1!$A$2:$E$627,5,0)</f>
        <v>11700</v>
      </c>
      <c r="F451" s="3">
        <f>VLOOKUP(A451,[2]Sheet1!$A$2:$F$627,6,0)</f>
        <v>12385.999268</v>
      </c>
      <c r="G451" s="3">
        <f>VLOOKUP(A451,[2]Sheet1!$A$2:$G$627,7,0)</f>
        <v>13914</v>
      </c>
      <c r="H451" s="4">
        <f t="shared" ref="H451:H514" si="42">MAX(BF451:BH451)</f>
        <v>13913.999565000002</v>
      </c>
      <c r="I451" s="11">
        <f t="shared" ref="I451:I514" si="43">(F451-E451)/E451</f>
        <v>5.8632416068376034E-2</v>
      </c>
      <c r="J451" s="11">
        <f t="shared" ref="J451:J514" si="44">(G451-E451)/E451</f>
        <v>0.18923076923076923</v>
      </c>
      <c r="K451" s="11">
        <f t="shared" ref="K451:K514" si="45">(G451-F451)/F451</f>
        <v>0.12336515600704785</v>
      </c>
      <c r="L451" s="11">
        <f>IF(S451="",((BG451-E451)/E451),((U451-E451)/E451))</f>
        <v>0.18923073205128221</v>
      </c>
      <c r="M451" s="3" t="str">
        <f>IF(S451="Churn","Churn",VLOOKUP(A451,'[1]Revenue_Engine_2025 Dec.25'!$C$14:$E$3993,3,0))</f>
        <v>Perakende</v>
      </c>
      <c r="N451" s="3">
        <v>0</v>
      </c>
      <c r="O451" s="3">
        <f>(1-N451)*H451</f>
        <v>13913.999565000002</v>
      </c>
      <c r="P451" s="3">
        <f t="shared" si="41"/>
        <v>12385.999268</v>
      </c>
      <c r="Q451" s="3">
        <f t="shared" ref="Q451:Q514" si="46">(1-N451)*G451</f>
        <v>13914</v>
      </c>
      <c r="R451" s="3" t="s">
        <v>375</v>
      </c>
      <c r="S451" s="3"/>
      <c r="T451" s="3"/>
      <c r="U451" s="3" t="s">
        <v>551</v>
      </c>
      <c r="V451" s="4" t="str" cm="1">
        <f t="array" ref="V451">IFERROR(
    IF(
        MATCH(2,1/((Y451:BH451&lt;&gt;0)*(Y451:BH451&lt;&gt;"")))-MATCH(1,INDEX((Y451:BH451&lt;&gt;0)*(Y451:BH451&lt;&gt;""),0),0)+1 &lt;= 12,
        "No",
        "Yes"
    ),
    "No"
)</f>
        <v>Yes</v>
      </c>
      <c r="W451" s="4" t="str" cm="1">
        <f t="array" ref="W451">IFERROR(
    IF(
        MATCH(2,1/((Y451:BH451&lt;&gt;0)*(Y451:BH451&lt;&gt;"")))-MATCH(1,INDEX((Y451:BH451&lt;&gt;0)*(Y451:BH451&lt;&gt;""),0),0)+1 &lt;= 24,
        "No",
        "Yes"
    ),
    "No"
)</f>
        <v>Yes</v>
      </c>
      <c r="X451" s="3"/>
      <c r="Y451" s="4">
        <v>11700</v>
      </c>
      <c r="Z451" s="4">
        <v>11700</v>
      </c>
      <c r="AA451" s="4">
        <v>11700</v>
      </c>
      <c r="AB451" s="4">
        <v>12066</v>
      </c>
      <c r="AC451" s="4">
        <v>12066</v>
      </c>
      <c r="AD451" s="4">
        <v>12066</v>
      </c>
      <c r="AE451" s="4">
        <v>12066</v>
      </c>
      <c r="AF451" s="4">
        <v>12066</v>
      </c>
      <c r="AG451" s="4">
        <v>12066</v>
      </c>
      <c r="AH451" s="4">
        <v>12066</v>
      </c>
      <c r="AI451" s="4">
        <v>12386</v>
      </c>
      <c r="AJ451" s="4">
        <v>12386</v>
      </c>
      <c r="AK451" s="4">
        <v>12385.999268</v>
      </c>
      <c r="AL451" s="4">
        <v>12385.999268</v>
      </c>
      <c r="AM451" s="4">
        <v>12385.999268</v>
      </c>
      <c r="AN451" s="4">
        <v>12385.999268</v>
      </c>
      <c r="AO451" s="4">
        <v>12829.999268</v>
      </c>
      <c r="AP451" s="4">
        <v>12829.999268</v>
      </c>
      <c r="AQ451" s="4">
        <v>12829.999268</v>
      </c>
      <c r="AR451" s="4">
        <v>12829.999268</v>
      </c>
      <c r="AS451" s="4">
        <v>12829.999268</v>
      </c>
      <c r="AT451" s="4">
        <v>12829.999268</v>
      </c>
      <c r="AU451" s="4">
        <v>13914</v>
      </c>
      <c r="AV451" s="4">
        <v>13914</v>
      </c>
      <c r="AW451" s="4">
        <v>13914</v>
      </c>
      <c r="AX451" s="4">
        <v>13914</v>
      </c>
      <c r="AY451" s="4">
        <v>13914</v>
      </c>
      <c r="AZ451" s="4">
        <v>13913.999565000002</v>
      </c>
      <c r="BA451" s="4">
        <v>13913.999565000002</v>
      </c>
      <c r="BB451" s="4">
        <v>13913.999565000002</v>
      </c>
      <c r="BC451" s="4">
        <v>13913.999565000002</v>
      </c>
      <c r="BD451" s="4">
        <v>13913.999565000002</v>
      </c>
      <c r="BE451" s="4">
        <v>13913.999565000002</v>
      </c>
      <c r="BF451" s="4">
        <v>13913.999565000002</v>
      </c>
      <c r="BG451" s="4">
        <v>13913.999565000002</v>
      </c>
      <c r="BH451" s="4">
        <v>13913.999565000002</v>
      </c>
      <c r="BJ451" s="9"/>
    </row>
    <row r="452" spans="1:62" x14ac:dyDescent="0.25">
      <c r="A452" s="6" t="s">
        <v>297</v>
      </c>
      <c r="B452" s="6"/>
      <c r="C452" s="7" t="s">
        <v>526</v>
      </c>
      <c r="D452" s="3"/>
      <c r="E452" s="3">
        <f>VLOOKUP(A452,[2]Sheet1!$A$2:$E$627,5,0)</f>
        <v>531.24518559050557</v>
      </c>
      <c r="F452" s="3">
        <f>VLOOKUP(A452,[2]Sheet1!$A$2:$F$627,6,0)</f>
        <v>500.15181651767699</v>
      </c>
      <c r="G452" s="3">
        <f>VLOOKUP(A452,[2]Sheet1!$A$2:$G$627,7,0)</f>
        <v>691.36772334001193</v>
      </c>
      <c r="H452" s="4">
        <f t="shared" si="42"/>
        <v>587.15960945494805</v>
      </c>
      <c r="I452" s="11">
        <f t="shared" si="43"/>
        <v>-5.8529225141620338E-2</v>
      </c>
      <c r="J452" s="11">
        <f t="shared" si="44"/>
        <v>0.30140986138353831</v>
      </c>
      <c r="K452" s="11">
        <f t="shared" si="45"/>
        <v>0.38231572995911883</v>
      </c>
      <c r="L452" s="11">
        <f>IF(S452="",((BG452-E452)/E452),((U452-E452)/E452))</f>
        <v>9.3648444540976719E-2</v>
      </c>
      <c r="M452" s="3" t="str">
        <f>IF(S452="Churn","Churn",VLOOKUP(A452,'[1]Revenue_Engine_2025 Dec.25'!$C$14:$E$3993,3,0))</f>
        <v>Perakende</v>
      </c>
      <c r="N452" s="3">
        <f>IF(S452="",VLOOKUP(A452,[3]Export!$B$2:$F$417,5,0),"CHURN")</f>
        <v>0.30292288172288528</v>
      </c>
      <c r="O452" s="3">
        <f>(1-N452)*H452</f>
        <v>409.29552852757132</v>
      </c>
      <c r="P452" s="3">
        <f t="shared" si="41"/>
        <v>348.64438695920649</v>
      </c>
      <c r="Q452" s="3">
        <f t="shared" si="46"/>
        <v>481.93662025566505</v>
      </c>
      <c r="R452" s="3" t="str">
        <f>IF(S452&lt;&gt;"Churn",VLOOKUP(A452,[3]Export!$B$2:$O$417,8,0),"CHURN")</f>
        <v>NO RISK</v>
      </c>
      <c r="S452" s="3"/>
      <c r="T452" s="3"/>
      <c r="U452" s="3" t="s">
        <v>551</v>
      </c>
      <c r="V452" s="4" t="str" cm="1">
        <f t="array" ref="V452">IFERROR(
    IF(
        MATCH(2,1/((Y452:BH452&lt;&gt;0)*(Y452:BH452&lt;&gt;"")))-MATCH(1,INDEX((Y452:BH452&lt;&gt;0)*(Y452:BH452&lt;&gt;""),0),0)+1 &lt;= 12,
        "No",
        "Yes"
    ),
    "No"
)</f>
        <v>Yes</v>
      </c>
      <c r="W452" s="4" t="str" cm="1">
        <f t="array" ref="W452">IFERROR(
    IF(
        MATCH(2,1/((Y452:BH452&lt;&gt;0)*(Y452:BH452&lt;&gt;"")))-MATCH(1,INDEX((Y452:BH452&lt;&gt;0)*(Y452:BH452&lt;&gt;""),0),0)+1 &lt;= 24,
        "No",
        "Yes"
    ),
    "No"
)</f>
        <v>Yes</v>
      </c>
      <c r="X452" s="3"/>
      <c r="Y452" s="4">
        <v>375.35864124147713</v>
      </c>
      <c r="Z452" s="4">
        <v>531.24518559050557</v>
      </c>
      <c r="AA452" s="4">
        <v>527.33993914497103</v>
      </c>
      <c r="AB452" s="4">
        <v>517.97100398319697</v>
      </c>
      <c r="AC452" s="4">
        <v>508.15073783487128</v>
      </c>
      <c r="AD452" s="4">
        <v>427.33581757888618</v>
      </c>
      <c r="AE452" s="4">
        <v>378.71471799008526</v>
      </c>
      <c r="AF452" s="4">
        <v>371.54969662967267</v>
      </c>
      <c r="AG452" s="4">
        <v>371.20489396532207</v>
      </c>
      <c r="AH452" s="4">
        <v>366.9588786600101</v>
      </c>
      <c r="AI452" s="4">
        <v>354.75756483771767</v>
      </c>
      <c r="AJ452" s="4">
        <v>351.29652526407511</v>
      </c>
      <c r="AK452" s="4">
        <v>500.15181651767699</v>
      </c>
      <c r="AL452" s="4">
        <v>488.65993556205649</v>
      </c>
      <c r="AM452" s="4">
        <v>469.95141060586121</v>
      </c>
      <c r="AN452" s="4">
        <v>434.25260474017733</v>
      </c>
      <c r="AO452" s="4">
        <v>403.82073576143506</v>
      </c>
      <c r="AP452" s="4">
        <v>431.20172961185682</v>
      </c>
      <c r="AQ452" s="4">
        <v>426.20682101443316</v>
      </c>
      <c r="AR452" s="4">
        <v>417.03154057419289</v>
      </c>
      <c r="AS452" s="4">
        <v>412.25696084147535</v>
      </c>
      <c r="AT452" s="4">
        <v>409.70770385154538</v>
      </c>
      <c r="AU452" s="4">
        <v>407.44930998454595</v>
      </c>
      <c r="AV452" s="4">
        <v>401.1139231236462</v>
      </c>
      <c r="AW452" s="4">
        <v>691.36772334001193</v>
      </c>
      <c r="AX452" s="4">
        <v>679.18016050830408</v>
      </c>
      <c r="AY452" s="4">
        <v>662.23549128416937</v>
      </c>
      <c r="AZ452" s="4">
        <v>644.54512242412125</v>
      </c>
      <c r="BA452" s="4">
        <v>633.73973760586046</v>
      </c>
      <c r="BB452" s="4">
        <v>622.98003188640905</v>
      </c>
      <c r="BC452" s="4">
        <v>610.99689793108951</v>
      </c>
      <c r="BD452" s="4">
        <v>601.58715923153989</v>
      </c>
      <c r="BE452" s="4">
        <v>594.30529373238301</v>
      </c>
      <c r="BF452" s="4">
        <v>587.15960945494805</v>
      </c>
      <c r="BG452" s="4">
        <v>580.99547089093892</v>
      </c>
      <c r="BH452" s="4">
        <v>575.3320608396092</v>
      </c>
      <c r="BJ452" s="9"/>
    </row>
    <row r="453" spans="1:62" x14ac:dyDescent="0.25">
      <c r="A453" s="6" t="s">
        <v>298</v>
      </c>
      <c r="B453" s="6"/>
      <c r="C453" s="7" t="s">
        <v>525</v>
      </c>
      <c r="D453" s="3"/>
      <c r="E453" s="3">
        <f>VLOOKUP(A453,[2]Sheet1!$A$2:$E$627,5,0)</f>
        <v>600.00096400000007</v>
      </c>
      <c r="F453" s="3">
        <f>VLOOKUP(A453,[2]Sheet1!$A$2:$F$627,6,0)</f>
        <v>667.00096400000007</v>
      </c>
      <c r="G453" s="3">
        <f>VLOOKUP(A453,[2]Sheet1!$A$2:$G$627,7,0)</f>
        <v>800.4011569999999</v>
      </c>
      <c r="H453" s="4">
        <f t="shared" si="42"/>
        <v>0</v>
      </c>
      <c r="I453" s="11">
        <f t="shared" si="43"/>
        <v>0.1116664872558438</v>
      </c>
      <c r="J453" s="11">
        <f t="shared" si="44"/>
        <v>0.33399978504034505</v>
      </c>
      <c r="K453" s="11">
        <f t="shared" si="45"/>
        <v>0.20000000029984938</v>
      </c>
      <c r="L453" s="11">
        <f>IF(S453="",((BG453-E453)/E453),((U453-E453)/E453))</f>
        <v>0.33399978504034505</v>
      </c>
      <c r="M453" s="3" t="str">
        <f>IF(S453="Churn","Churn",VLOOKUP(A453,'[1]Revenue_Engine_2025 Dec.25'!$C$14:$E$3993,3,0))</f>
        <v>Churn</v>
      </c>
      <c r="N453" s="3" t="str">
        <f>IF(S453="",VLOOKUP(A453,[3]Export!$B$2:$F$417,5,0),"CHURN")</f>
        <v>CHURN</v>
      </c>
      <c r="O453" s="3" t="e">
        <f>(1-N453)*H453</f>
        <v>#VALUE!</v>
      </c>
      <c r="P453" s="3" t="e">
        <f t="shared" si="41"/>
        <v>#VALUE!</v>
      </c>
      <c r="Q453" s="3" t="e">
        <f t="shared" si="46"/>
        <v>#VALUE!</v>
      </c>
      <c r="R453" s="3" t="str">
        <f>IF(S453&lt;&gt;"Churn",VLOOKUP(A453,[3]Export!$B$2:$O$417,8,0),"CHURN")</f>
        <v>CHURN</v>
      </c>
      <c r="S453" s="3" t="s">
        <v>372</v>
      </c>
      <c r="T453" s="3" t="s">
        <v>561</v>
      </c>
      <c r="U453" s="3">
        <v>800.4011569999999</v>
      </c>
      <c r="V453" s="4" t="str" cm="1">
        <f t="array" ref="V453">IFERROR(
    IF(
        MATCH(2,1/((Y453:BH453&lt;&gt;0)*(Y453:BH453&lt;&gt;"")))-MATCH(1,INDEX((Y453:BH453&lt;&gt;0)*(Y453:BH453&lt;&gt;""),0),0)+1 &lt;= 12,
        "No",
        "Yes"
    ),
    "No"
)</f>
        <v>Yes</v>
      </c>
      <c r="W453" s="4" t="str" cm="1">
        <f t="array" ref="W453">IFERROR(
    IF(
        MATCH(2,1/((Y453:BH453&lt;&gt;0)*(Y453:BH453&lt;&gt;"")))-MATCH(1,INDEX((Y453:BH453&lt;&gt;0)*(Y453:BH453&lt;&gt;""),0),0)+1 &lt;= 24,
        "No",
        "Yes"
    ),
    "No"
)</f>
        <v>Yes</v>
      </c>
      <c r="X453" s="3"/>
      <c r="Y453" s="4">
        <v>0</v>
      </c>
      <c r="Z453" s="4">
        <v>0</v>
      </c>
      <c r="AA453" s="4">
        <v>0</v>
      </c>
      <c r="AB453" s="4">
        <v>0</v>
      </c>
      <c r="AC453" s="4">
        <v>0</v>
      </c>
      <c r="AD453" s="4">
        <v>600.00096400000007</v>
      </c>
      <c r="AE453" s="4">
        <v>600.00096400000007</v>
      </c>
      <c r="AF453" s="4">
        <v>600.00096400000007</v>
      </c>
      <c r="AG453" s="4">
        <v>650.00096400000007</v>
      </c>
      <c r="AH453" s="4">
        <v>667.00096400000007</v>
      </c>
      <c r="AI453" s="4">
        <v>667.00096400000007</v>
      </c>
      <c r="AJ453" s="4">
        <v>667.00096400000007</v>
      </c>
      <c r="AK453" s="4">
        <v>667.00096400000007</v>
      </c>
      <c r="AL453" s="4">
        <v>667.00096400000007</v>
      </c>
      <c r="AM453" s="4">
        <v>667.00096400000007</v>
      </c>
      <c r="AN453" s="4">
        <v>667.00096400000007</v>
      </c>
      <c r="AO453" s="4">
        <v>667.00096400000007</v>
      </c>
      <c r="AP453" s="4">
        <v>667.00096400000007</v>
      </c>
      <c r="AQ453" s="4">
        <v>667.00096400000007</v>
      </c>
      <c r="AR453" s="4">
        <v>667.00096400000007</v>
      </c>
      <c r="AS453" s="4">
        <v>667.00096400000007</v>
      </c>
      <c r="AT453" s="4">
        <v>667.00096400000007</v>
      </c>
      <c r="AU453" s="4">
        <v>667.00096400000007</v>
      </c>
      <c r="AV453" s="4">
        <v>667.00096400000007</v>
      </c>
      <c r="AW453" s="4">
        <v>800.4011569999999</v>
      </c>
      <c r="AX453" s="4">
        <v>800.4011569999999</v>
      </c>
      <c r="AY453" s="4">
        <v>800.4011569999999</v>
      </c>
      <c r="AZ453" s="4">
        <v>800.4011569999999</v>
      </c>
      <c r="BA453" s="4">
        <v>800.4011569999999</v>
      </c>
      <c r="BB453" s="4">
        <v>800.4011569999999</v>
      </c>
      <c r="BC453" s="4">
        <v>800.4011569999999</v>
      </c>
      <c r="BD453" s="4">
        <v>800.4011569999999</v>
      </c>
      <c r="BE453" s="4">
        <v>800.4011569999999</v>
      </c>
      <c r="BF453" s="4">
        <v>0</v>
      </c>
      <c r="BG453" s="4">
        <v>0</v>
      </c>
      <c r="BH453" s="4">
        <v>0</v>
      </c>
      <c r="BJ453" s="9"/>
    </row>
    <row r="454" spans="1:62" x14ac:dyDescent="0.25">
      <c r="A454" s="6" t="s">
        <v>299</v>
      </c>
      <c r="B454" s="6"/>
      <c r="C454" s="7" t="s">
        <v>525</v>
      </c>
      <c r="D454" s="3"/>
      <c r="E454" s="3">
        <f>VLOOKUP(A454,[2]Sheet1!$A$2:$E$627,5,0)</f>
        <v>7273.19</v>
      </c>
      <c r="F454" s="3">
        <f>VLOOKUP(A454,[2]Sheet1!$A$2:$F$627,6,0)</f>
        <v>4668.0826517376936</v>
      </c>
      <c r="G454" s="3">
        <f>VLOOKUP(A454,[2]Sheet1!$A$2:$G$627,7,0)</f>
        <v>5530.9422270508221</v>
      </c>
      <c r="H454" s="4">
        <f t="shared" si="42"/>
        <v>5991.4250632574658</v>
      </c>
      <c r="I454" s="11">
        <f t="shared" si="43"/>
        <v>-0.35817947121721089</v>
      </c>
      <c r="J454" s="11">
        <f t="shared" si="44"/>
        <v>-0.23954382780446787</v>
      </c>
      <c r="K454" s="11">
        <f t="shared" si="45"/>
        <v>0.18484239455184648</v>
      </c>
      <c r="L454" s="11">
        <f>IF(S454="",((BG454-E454)/E454),((U454-E454)/E454))</f>
        <v>-0.18487958032887106</v>
      </c>
      <c r="M454" s="3" t="str">
        <f>IF(S454="Churn","Churn",VLOOKUP(A454,'[1]Revenue_Engine_2025 Dec.25'!$C$14:$E$3993,3,0))</f>
        <v>Eğitim</v>
      </c>
      <c r="N454" s="3">
        <f>IF(S454="",VLOOKUP(A454,[3]Export!$B$2:$F$417,5,0),"CHURN")</f>
        <v>0.60166649367375302</v>
      </c>
      <c r="O454" s="3">
        <f>(1-N454)*H454</f>
        <v>2386.5853533383024</v>
      </c>
      <c r="P454" s="3">
        <f t="shared" ref="P454:P517" si="47">(1-N454)*F454</f>
        <v>1859.4537304874004</v>
      </c>
      <c r="Q454" s="3">
        <f t="shared" si="46"/>
        <v>2203.1596105890553</v>
      </c>
      <c r="R454" s="3" t="str">
        <f>IF(S454&lt;&gt;"Churn",VLOOKUP(A454,[3]Export!$B$2:$O$417,8,0),"CHURN")</f>
        <v>NO RISK</v>
      </c>
      <c r="S454" s="3"/>
      <c r="T454" s="3"/>
      <c r="U454" s="3" t="s">
        <v>551</v>
      </c>
      <c r="V454" s="4" t="str" cm="1">
        <f t="array" ref="V454">IFERROR(
    IF(
        MATCH(2,1/((Y454:BH454&lt;&gt;0)*(Y454:BH454&lt;&gt;"")))-MATCH(1,INDEX((Y454:BH454&lt;&gt;0)*(Y454:BH454&lt;&gt;""),0),0)+1 &lt;= 12,
        "No",
        "Yes"
    ),
    "No"
)</f>
        <v>Yes</v>
      </c>
      <c r="W454" s="4" t="str" cm="1">
        <f t="array" ref="W454">IFERROR(
    IF(
        MATCH(2,1/((Y454:BH454&lt;&gt;0)*(Y454:BH454&lt;&gt;"")))-MATCH(1,INDEX((Y454:BH454&lt;&gt;0)*(Y454:BH454&lt;&gt;""),0),0)+1 &lt;= 24,
        "No",
        "Yes"
    ),
    "No"
)</f>
        <v>Yes</v>
      </c>
      <c r="X454" s="3"/>
      <c r="Y454" s="4">
        <v>7273.19</v>
      </c>
      <c r="Z454" s="4">
        <v>7273.19</v>
      </c>
      <c r="AA454" s="4">
        <v>7273.19</v>
      </c>
      <c r="AB454" s="4">
        <v>7273.19</v>
      </c>
      <c r="AC454" s="4">
        <v>7273.1900000000005</v>
      </c>
      <c r="AD454" s="4">
        <v>7273.1900000000005</v>
      </c>
      <c r="AE454" s="4">
        <v>7273.1900000000005</v>
      </c>
      <c r="AF454" s="4">
        <v>5201.695752815418</v>
      </c>
      <c r="AG454" s="4">
        <v>5196.8685155145085</v>
      </c>
      <c r="AH454" s="4">
        <v>5036.6904914119032</v>
      </c>
      <c r="AI454" s="4">
        <v>4898.033439574011</v>
      </c>
      <c r="AJ454" s="4">
        <v>4821.7170134284816</v>
      </c>
      <c r="AK454" s="4">
        <v>4668.0826517376936</v>
      </c>
      <c r="AL454" s="4">
        <v>4560.8251184185665</v>
      </c>
      <c r="AM454" s="4">
        <v>4386.2122550770409</v>
      </c>
      <c r="AN454" s="4">
        <v>4342.5260474017732</v>
      </c>
      <c r="AO454" s="4">
        <v>4348.8390152985939</v>
      </c>
      <c r="AP454" s="4">
        <v>4312.0175930317801</v>
      </c>
      <c r="AQ454" s="4">
        <v>4262.0685036181912</v>
      </c>
      <c r="AR454" s="4">
        <v>5838.4419611207422</v>
      </c>
      <c r="AS454" s="4">
        <v>5771.5978403623139</v>
      </c>
      <c r="AT454" s="4">
        <v>5735.9082401004371</v>
      </c>
      <c r="AU454" s="4">
        <v>5704.2907238337484</v>
      </c>
      <c r="AV454" s="4">
        <v>5615.595301809597</v>
      </c>
      <c r="AW454" s="4">
        <v>5530.9422270508221</v>
      </c>
      <c r="AX454" s="4">
        <v>5433.4417166349258</v>
      </c>
      <c r="AY454" s="4">
        <v>5297.8843520498212</v>
      </c>
      <c r="AZ454" s="4">
        <v>5156.3613899024767</v>
      </c>
      <c r="BA454" s="4">
        <v>5069.9183044744614</v>
      </c>
      <c r="BB454" s="4">
        <v>4983.8406518660158</v>
      </c>
      <c r="BC454" s="4">
        <v>4887.9755725914247</v>
      </c>
      <c r="BD454" s="4">
        <v>6138.6449706572766</v>
      </c>
      <c r="BE454" s="4">
        <v>6064.3402147504157</v>
      </c>
      <c r="BF454" s="4">
        <v>5991.4250632574658</v>
      </c>
      <c r="BG454" s="4">
        <v>5928.525685147858</v>
      </c>
      <c r="BH454" s="4">
        <v>5870.7357820641973</v>
      </c>
      <c r="BJ454" s="9"/>
    </row>
    <row r="455" spans="1:62" x14ac:dyDescent="0.25">
      <c r="A455" s="6" t="s">
        <v>300</v>
      </c>
      <c r="B455" s="6"/>
      <c r="C455" s="7" t="s">
        <v>526</v>
      </c>
      <c r="D455" s="3"/>
      <c r="E455" s="3">
        <f>VLOOKUP(A455,[2]Sheet1!$A$2:$E$627,5,0)</f>
        <v>1006.5416519450933</v>
      </c>
      <c r="F455" s="3">
        <f>VLOOKUP(A455,[2]Sheet1!$A$2:$F$627,6,0)</f>
        <v>636.43052802683485</v>
      </c>
      <c r="G455" s="3">
        <f>VLOOKUP(A455,[2]Sheet1!$A$2:$G$627,7,0)</f>
        <v>763.93487033326755</v>
      </c>
      <c r="H455" s="4">
        <f t="shared" si="42"/>
        <v>910.69664973889371</v>
      </c>
      <c r="I455" s="11">
        <f t="shared" si="43"/>
        <v>-0.36770572107278077</v>
      </c>
      <c r="J455" s="11">
        <f t="shared" si="44"/>
        <v>-0.24103004693645796</v>
      </c>
      <c r="K455" s="11">
        <f t="shared" si="45"/>
        <v>0.20034290734252228</v>
      </c>
      <c r="L455" s="11">
        <f>IF(S455="",((BG455-E455)/E455),((U455-E455)/E455))</f>
        <v>-0.104720661977969</v>
      </c>
      <c r="M455" s="3" t="str">
        <f>IF(S455="Churn","Churn",VLOOKUP(A455,'[1]Revenue_Engine_2025 Dec.25'!$C$14:$E$3993,3,0))</f>
        <v>Lojistik</v>
      </c>
      <c r="N455" s="3">
        <f>IF(S455="",VLOOKUP(A455,[3]Export!$B$2:$F$417,5,0),"CHURN")</f>
        <v>0</v>
      </c>
      <c r="O455" s="3">
        <f>(1-N455)*H455</f>
        <v>910.69664973889371</v>
      </c>
      <c r="P455" s="3">
        <f t="shared" si="47"/>
        <v>636.43052802683485</v>
      </c>
      <c r="Q455" s="3">
        <f t="shared" si="46"/>
        <v>763.93487033326755</v>
      </c>
      <c r="R455" s="3" t="str">
        <f>IF(S455&lt;&gt;"Churn",VLOOKUP(A455,[3]Export!$B$2:$O$417,8,0),"CHURN")</f>
        <v>NO RISK</v>
      </c>
      <c r="S455" s="3"/>
      <c r="T455" s="3"/>
      <c r="U455" s="3" t="s">
        <v>551</v>
      </c>
      <c r="V455" s="4" t="str" cm="1">
        <f t="array" ref="V455">IFERROR(
    IF(
        MATCH(2,1/((Y455:BH455&lt;&gt;0)*(Y455:BH455&lt;&gt;"")))-MATCH(1,INDEX((Y455:BH455&lt;&gt;0)*(Y455:BH455&lt;&gt;""),0),0)+1 &lt;= 12,
        "No",
        "Yes"
    ),
    "No"
)</f>
        <v>Yes</v>
      </c>
      <c r="W455" s="4" t="str" cm="1">
        <f t="array" ref="W455">IFERROR(
    IF(
        MATCH(2,1/((Y455:BH455&lt;&gt;0)*(Y455:BH455&lt;&gt;"")))-MATCH(1,INDEX((Y455:BH455&lt;&gt;0)*(Y455:BH455&lt;&gt;""),0),0)+1 &lt;= 24,
        "No",
        "Yes"
    ),
    "No"
)</f>
        <v>Yes</v>
      </c>
      <c r="X455" s="3"/>
      <c r="Y455" s="4">
        <v>527.35695665385458</v>
      </c>
      <c r="Z455" s="4">
        <v>525.52473743206701</v>
      </c>
      <c r="AA455" s="4">
        <v>1006.5416519450933</v>
      </c>
      <c r="AB455" s="4">
        <v>988.65902486778793</v>
      </c>
      <c r="AC455" s="4">
        <v>969.91493556648641</v>
      </c>
      <c r="AD455" s="4">
        <v>815.66228505008382</v>
      </c>
      <c r="AE455" s="4">
        <v>722.85846294844555</v>
      </c>
      <c r="AF455" s="4">
        <v>709.18152517434964</v>
      </c>
      <c r="AG455" s="4">
        <v>708.52339604221345</v>
      </c>
      <c r="AH455" s="4">
        <v>686.6852684717926</v>
      </c>
      <c r="AI455" s="4">
        <v>667.78123713828904</v>
      </c>
      <c r="AJ455" s="4">
        <v>657.37651489738357</v>
      </c>
      <c r="AK455" s="4">
        <v>636.43052802683485</v>
      </c>
      <c r="AL455" s="4">
        <v>1107.6289573302233</v>
      </c>
      <c r="AM455" s="4">
        <v>1065.2229762329957</v>
      </c>
      <c r="AN455" s="4">
        <v>1054.6134686547164</v>
      </c>
      <c r="AO455" s="4">
        <v>1056.1466180010871</v>
      </c>
      <c r="AP455" s="4">
        <v>833.80744993439578</v>
      </c>
      <c r="AQ455" s="4">
        <v>824.14888014150063</v>
      </c>
      <c r="AR455" s="4">
        <v>806.40679642306077</v>
      </c>
      <c r="AS455" s="4">
        <v>797.17427280811796</v>
      </c>
      <c r="AT455" s="4">
        <v>792.24481792881045</v>
      </c>
      <c r="AU455" s="4">
        <v>787.87780012281689</v>
      </c>
      <c r="AV455" s="4">
        <v>775.62717031298359</v>
      </c>
      <c r="AW455" s="4">
        <v>763.93487033326755</v>
      </c>
      <c r="AX455" s="4">
        <v>1053.4224200438557</v>
      </c>
      <c r="AY455" s="4">
        <v>1027.1408890174316</v>
      </c>
      <c r="AZ455" s="4">
        <v>999.70276249431095</v>
      </c>
      <c r="BA455" s="4">
        <v>982.94338805051302</v>
      </c>
      <c r="BB455" s="4">
        <v>966.25486282995701</v>
      </c>
      <c r="BC455" s="4">
        <v>947.66877521297613</v>
      </c>
      <c r="BD455" s="4">
        <v>933.07407664957668</v>
      </c>
      <c r="BE455" s="4">
        <v>921.7797532541249</v>
      </c>
      <c r="BF455" s="4">
        <v>910.69664973889371</v>
      </c>
      <c r="BG455" s="4">
        <v>901.1359438450047</v>
      </c>
      <c r="BH455" s="4">
        <v>892.35187818927727</v>
      </c>
      <c r="BJ455" s="9"/>
    </row>
    <row r="456" spans="1:62" x14ac:dyDescent="0.25">
      <c r="A456" s="6" t="s">
        <v>301</v>
      </c>
      <c r="B456" s="6"/>
      <c r="C456" s="7" t="s">
        <v>525</v>
      </c>
      <c r="D456" s="3"/>
      <c r="E456" s="3">
        <f>VLOOKUP(A456,[2]Sheet1!$A$2:$E$627,5,0)</f>
        <v>978.71471799008532</v>
      </c>
      <c r="F456" s="3">
        <f>VLOOKUP(A456,[2]Sheet1!$A$2:$F$627,6,0)</f>
        <v>910.18043195726955</v>
      </c>
      <c r="G456" s="3">
        <f>VLOOKUP(A456,[2]Sheet1!$A$2:$G$627,7,0)</f>
        <v>1227.7914678924426</v>
      </c>
      <c r="H456" s="4">
        <f t="shared" si="42"/>
        <v>1182.5810399795812</v>
      </c>
      <c r="I456" s="11">
        <f t="shared" si="43"/>
        <v>-7.0024783292888054E-2</v>
      </c>
      <c r="J456" s="11">
        <f t="shared" si="44"/>
        <v>0.25449372051323388</v>
      </c>
      <c r="K456" s="11">
        <f t="shared" si="45"/>
        <v>0.34895392691773891</v>
      </c>
      <c r="L456" s="11">
        <f>IF(S456="",((BG456-E456)/E456),((U456-E456)/E456))</f>
        <v>0.20333809450568305</v>
      </c>
      <c r="M456" s="3" t="str">
        <f>IF(S456="Churn","Churn",VLOOKUP(A456,'[1]Revenue_Engine_2025 Dec.25'!$C$14:$E$3993,3,0))</f>
        <v>Digital</v>
      </c>
      <c r="N456" s="3">
        <f>IF(S456="",VLOOKUP(A456,[3]Export!$B$2:$F$417,5,0),"CHURN")</f>
        <v>0.18865985819474881</v>
      </c>
      <c r="O456" s="3">
        <f>(1-N456)*H456</f>
        <v>959.47546867323479</v>
      </c>
      <c r="P456" s="3">
        <f t="shared" si="47"/>
        <v>738.4659207325758</v>
      </c>
      <c r="Q456" s="3">
        <f t="shared" si="46"/>
        <v>996.1565036671318</v>
      </c>
      <c r="R456" s="3" t="str">
        <f>IF(S456&lt;&gt;"Churn",VLOOKUP(A456,[3]Export!$B$2:$O$417,8,0),"CHURN")</f>
        <v>NO RISK</v>
      </c>
      <c r="S456" s="3"/>
      <c r="T456" s="3"/>
      <c r="U456" s="3" t="s">
        <v>551</v>
      </c>
      <c r="V456" s="4" t="str" cm="1">
        <f t="array" ref="V456">IFERROR(
    IF(
        MATCH(2,1/((Y456:BH456&lt;&gt;0)*(Y456:BH456&lt;&gt;"")))-MATCH(1,INDEX((Y456:BH456&lt;&gt;0)*(Y456:BH456&lt;&gt;""),0),0)+1 &lt;= 12,
        "No",
        "Yes"
    ),
    "No"
)</f>
        <v>Yes</v>
      </c>
      <c r="W456" s="4" t="str" cm="1">
        <f t="array" ref="W456">IFERROR(
    IF(
        MATCH(2,1/((Y456:BH456&lt;&gt;0)*(Y456:BH456&lt;&gt;"")))-MATCH(1,INDEX((Y456:BH456&lt;&gt;0)*(Y456:BH456&lt;&gt;""),0),0)+1 &lt;= 24,
        "No",
        "Yes"
    ),
    "No"
)</f>
        <v>Yes</v>
      </c>
      <c r="X456" s="3"/>
      <c r="Y456" s="4">
        <v>0</v>
      </c>
      <c r="Z456" s="4">
        <v>0</v>
      </c>
      <c r="AA456" s="4">
        <v>0</v>
      </c>
      <c r="AB456" s="4">
        <v>0</v>
      </c>
      <c r="AC456" s="4">
        <v>600</v>
      </c>
      <c r="AD456" s="4">
        <v>600</v>
      </c>
      <c r="AE456" s="4">
        <v>978.71471799008532</v>
      </c>
      <c r="AF456" s="4">
        <v>971.54969662967267</v>
      </c>
      <c r="AG456" s="4">
        <v>971.20489396532207</v>
      </c>
      <c r="AH456" s="4">
        <v>959.76360652942162</v>
      </c>
      <c r="AI456" s="4">
        <v>949.85953139814364</v>
      </c>
      <c r="AJ456" s="4">
        <v>944.40835810203441</v>
      </c>
      <c r="AK456" s="4">
        <v>933.43447512412104</v>
      </c>
      <c r="AL456" s="4">
        <v>925.77322274418339</v>
      </c>
      <c r="AM456" s="4">
        <v>913.3008753626458</v>
      </c>
      <c r="AN456" s="4">
        <v>910.18043195726955</v>
      </c>
      <c r="AO456" s="4">
        <v>910.63135823561379</v>
      </c>
      <c r="AP456" s="4">
        <v>908.00125664512711</v>
      </c>
      <c r="AQ456" s="4">
        <v>1089.6812277192757</v>
      </c>
      <c r="AR456" s="4">
        <v>1079.1394851447399</v>
      </c>
      <c r="AS456" s="4">
        <v>1073.6538336955305</v>
      </c>
      <c r="AT456" s="4">
        <v>1070.7249193022092</v>
      </c>
      <c r="AU456" s="4">
        <v>1068.1301858842087</v>
      </c>
      <c r="AV456" s="4">
        <v>1273.0166452548219</v>
      </c>
      <c r="AW456" s="4">
        <v>1264.680043316308</v>
      </c>
      <c r="AX456" s="4">
        <v>1255.0782309018682</v>
      </c>
      <c r="AY456" s="4">
        <v>1241.7285942631481</v>
      </c>
      <c r="AZ456" s="4">
        <v>1227.7914678924426</v>
      </c>
      <c r="BA456" s="4">
        <v>1219.2785863981335</v>
      </c>
      <c r="BB456" s="4">
        <v>1210.8016925860284</v>
      </c>
      <c r="BC456" s="4">
        <v>1201.3609367954832</v>
      </c>
      <c r="BD456" s="4">
        <v>1193.9475968923723</v>
      </c>
      <c r="BE456" s="4">
        <v>1188.2106741363166</v>
      </c>
      <c r="BF456" s="4">
        <v>1182.5810399795812</v>
      </c>
      <c r="BG456" s="4">
        <v>1177.7247038108562</v>
      </c>
      <c r="BH456" s="4">
        <v>1173.2628600698383</v>
      </c>
      <c r="BJ456" s="9"/>
    </row>
    <row r="457" spans="1:62" x14ac:dyDescent="0.25">
      <c r="A457" s="6" t="s">
        <v>302</v>
      </c>
      <c r="B457" s="6"/>
      <c r="C457" s="7" t="s">
        <v>526</v>
      </c>
      <c r="D457" s="3"/>
      <c r="E457" s="3">
        <f>VLOOKUP(A457,[2]Sheet1!$A$2:$E$627,5,0)</f>
        <v>196.02832879312092</v>
      </c>
      <c r="F457" s="3">
        <f>VLOOKUP(A457,[2]Sheet1!$A$2:$F$627,6,0)</f>
        <v>190.94141009439528</v>
      </c>
      <c r="G457" s="3">
        <f>VLOOKUP(A457,[2]Sheet1!$A$2:$G$627,7,0)</f>
        <v>195.09548500155208</v>
      </c>
      <c r="H457" s="4">
        <f t="shared" si="42"/>
        <v>173.82851827264818</v>
      </c>
      <c r="I457" s="11">
        <f t="shared" si="43"/>
        <v>-2.5949916167954147E-2</v>
      </c>
      <c r="J457" s="11">
        <f t="shared" si="44"/>
        <v>-4.7587192999707815E-3</v>
      </c>
      <c r="K457" s="11">
        <f t="shared" si="45"/>
        <v>2.175575693666008E-2</v>
      </c>
      <c r="L457" s="11">
        <f>IF(S457="",((BG457-E457)/E457),((U457-E457)/E457))</f>
        <v>-0.11966534839956647</v>
      </c>
      <c r="M457" s="3" t="str">
        <f>IF(S457="Churn","Churn",VLOOKUP(A457,'[1]Revenue_Engine_2025 Dec.25'!$C$14:$E$3993,3,0))</f>
        <v>Genel</v>
      </c>
      <c r="N457" s="3">
        <f>IF(S457="",VLOOKUP(A457,[3]Export!$B$2:$F$417,5,0),"CHURN")</f>
        <v>0.31065098256950896</v>
      </c>
      <c r="O457" s="3">
        <f>(1-N457)*H457</f>
        <v>119.82851827264818</v>
      </c>
      <c r="P457" s="3">
        <f t="shared" si="47"/>
        <v>131.62527343536382</v>
      </c>
      <c r="Q457" s="3">
        <f t="shared" si="46"/>
        <v>134.48888089094504</v>
      </c>
      <c r="R457" s="3" t="str">
        <f>IF(S457&lt;&gt;"Churn",VLOOKUP(A457,[3]Export!$B$2:$O$417,8,0),"CHURN")</f>
        <v>NO RISK</v>
      </c>
      <c r="S457" s="3"/>
      <c r="T457" s="3"/>
      <c r="U457" s="3" t="s">
        <v>551</v>
      </c>
      <c r="V457" s="4" t="str" cm="1">
        <f t="array" ref="V457">IFERROR(
    IF(
        MATCH(2,1/((Y457:BH457&lt;&gt;0)*(Y457:BH457&lt;&gt;"")))-MATCH(1,INDEX((Y457:BH457&lt;&gt;0)*(Y457:BH457&lt;&gt;""),0),0)+1 &lt;= 12,
        "No",
        "Yes"
    ),
    "No"
)</f>
        <v>Yes</v>
      </c>
      <c r="W457" s="4" t="str" cm="1">
        <f t="array" ref="W457">IFERROR(
    IF(
        MATCH(2,1/((Y457:BH457&lt;&gt;0)*(Y457:BH457&lt;&gt;"")))-MATCH(1,INDEX((Y457:BH457&lt;&gt;0)*(Y457:BH457&lt;&gt;""),0),0)+1 &lt;= 24,
        "No",
        "Yes"
    ),
    "No"
)</f>
        <v>Yes</v>
      </c>
      <c r="X457" s="3"/>
      <c r="Y457" s="4">
        <v>196.02832879312092</v>
      </c>
      <c r="Z457" s="4">
        <v>195.53487359020809</v>
      </c>
      <c r="AA457" s="4">
        <v>194.49443392694232</v>
      </c>
      <c r="AB457" s="4">
        <v>191.99835285220732</v>
      </c>
      <c r="AC457" s="4">
        <v>189.38202772470424</v>
      </c>
      <c r="AD457" s="4">
        <v>167.85123585518443</v>
      </c>
      <c r="AE457" s="4">
        <v>154.8975538816365</v>
      </c>
      <c r="AF457" s="4">
        <v>152.98864172577402</v>
      </c>
      <c r="AG457" s="4">
        <v>206.45384995155777</v>
      </c>
      <c r="AH457" s="4">
        <v>201.75477418897592</v>
      </c>
      <c r="AI457" s="4">
        <v>197.68717435949466</v>
      </c>
      <c r="AJ457" s="4">
        <v>195.44837959311596</v>
      </c>
      <c r="AK457" s="4">
        <v>190.94141009439528</v>
      </c>
      <c r="AL457" s="4">
        <v>187.79493670226282</v>
      </c>
      <c r="AM457" s="4">
        <v>182.67254845198036</v>
      </c>
      <c r="AN457" s="4">
        <v>181.39098355113168</v>
      </c>
      <c r="AO457" s="4">
        <v>181.57617879940977</v>
      </c>
      <c r="AP457" s="4">
        <v>180.49599709246814</v>
      </c>
      <c r="AQ457" s="4">
        <v>179.03070625519439</v>
      </c>
      <c r="AR457" s="4">
        <v>176.33907454737181</v>
      </c>
      <c r="AS457" s="4">
        <v>201.23465968185539</v>
      </c>
      <c r="AT457" s="4">
        <v>200.32421056636244</v>
      </c>
      <c r="AU457" s="4">
        <v>199.517641159368</v>
      </c>
      <c r="AV457" s="4">
        <v>197.25500252128771</v>
      </c>
      <c r="AW457" s="4">
        <v>195.09548500155208</v>
      </c>
      <c r="AX457" s="4">
        <v>192.60822672976113</v>
      </c>
      <c r="AY457" s="4">
        <v>189.15013020361718</v>
      </c>
      <c r="AZ457" s="4">
        <v>185.53985004459201</v>
      </c>
      <c r="BA457" s="4">
        <v>183.33466898089469</v>
      </c>
      <c r="BB457" s="4">
        <v>181.13881018432582</v>
      </c>
      <c r="BC457" s="4">
        <v>178.69327210063244</v>
      </c>
      <c r="BD457" s="4">
        <v>176.77291683854872</v>
      </c>
      <c r="BE457" s="4">
        <v>175.28682150948705</v>
      </c>
      <c r="BF457" s="4">
        <v>173.82851827264818</v>
      </c>
      <c r="BG457" s="4">
        <v>172.57053053190734</v>
      </c>
      <c r="BH457" s="4">
        <v>171.41473230618942</v>
      </c>
      <c r="BJ457" s="9"/>
    </row>
    <row r="458" spans="1:62" x14ac:dyDescent="0.25">
      <c r="A458" s="6" t="s">
        <v>303</v>
      </c>
      <c r="B458" s="6"/>
      <c r="C458" s="7" t="s">
        <v>526</v>
      </c>
      <c r="D458" s="3"/>
      <c r="E458" s="3">
        <f>VLOOKUP(A458,[2]Sheet1!$A$2:$E$627,5,0)</f>
        <v>620.41999999999996</v>
      </c>
      <c r="F458" s="3">
        <f>VLOOKUP(A458,[2]Sheet1!$A$2:$F$627,6,0)</f>
        <v>840.41949999999997</v>
      </c>
      <c r="G458" s="3">
        <f>VLOOKUP(A458,[2]Sheet1!$A$2:$G$627,7,0)</f>
        <v>1252.4381582526739</v>
      </c>
      <c r="H458" s="4">
        <f t="shared" si="42"/>
        <v>1648.8833973924538</v>
      </c>
      <c r="I458" s="11">
        <f t="shared" si="43"/>
        <v>0.35459769188614171</v>
      </c>
      <c r="J458" s="11">
        <f t="shared" si="44"/>
        <v>1.0186940431525</v>
      </c>
      <c r="K458" s="11">
        <f t="shared" si="45"/>
        <v>0.49025356771549683</v>
      </c>
      <c r="L458" s="11">
        <f>IF(S458="",((BG458-E458)/E458),((U458-E458)/E458))</f>
        <v>1.0601046764699165</v>
      </c>
      <c r="M458" s="3" t="str">
        <f>IF(S458="Churn","Churn",VLOOKUP(A458,'[1]Revenue_Engine_2025 Dec.25'!$C$14:$E$3993,3,0))</f>
        <v>Enerji</v>
      </c>
      <c r="N458" s="3">
        <f>IF(S458="",VLOOKUP(A458,[3]Export!$B$2:$F$417,5,0),"CHURN")</f>
        <v>4.2090365451149601E-2</v>
      </c>
      <c r="O458" s="3">
        <f>(1-N458)*H458</f>
        <v>1579.4812926098723</v>
      </c>
      <c r="P458" s="3">
        <f t="shared" si="47"/>
        <v>805.04593611272753</v>
      </c>
      <c r="Q458" s="3">
        <f t="shared" si="46"/>
        <v>1199.7225784668542</v>
      </c>
      <c r="R458" s="3" t="str">
        <f>IF(S458&lt;&gt;"Churn",VLOOKUP(A458,[3]Export!$B$2:$O$417,8,0),"CHURN")</f>
        <v>NO RISK</v>
      </c>
      <c r="S458" s="3"/>
      <c r="T458" s="3"/>
      <c r="U458" s="3" t="s">
        <v>551</v>
      </c>
      <c r="V458" s="4" t="str" cm="1">
        <f t="array" ref="V458">IFERROR(
    IF(
        MATCH(2,1/((Y458:BH458&lt;&gt;0)*(Y458:BH458&lt;&gt;"")))-MATCH(1,INDEX((Y458:BH458&lt;&gt;0)*(Y458:BH458&lt;&gt;""),0),0)+1 &lt;= 12,
        "No",
        "Yes"
    ),
    "No"
)</f>
        <v>Yes</v>
      </c>
      <c r="W458" s="4" t="str" cm="1">
        <f t="array" ref="W458">IFERROR(
    IF(
        MATCH(2,1/((Y458:BH458&lt;&gt;0)*(Y458:BH458&lt;&gt;"")))-MATCH(1,INDEX((Y458:BH458&lt;&gt;0)*(Y458:BH458&lt;&gt;""),0),0)+1 &lt;= 24,
        "No",
        "Yes"
    ),
    "No"
)</f>
        <v>Yes</v>
      </c>
      <c r="X458" s="3"/>
      <c r="Y458" s="4">
        <v>620.41999999999996</v>
      </c>
      <c r="Z458" s="4">
        <v>620.41999999999996</v>
      </c>
      <c r="AA458" s="4">
        <v>620.41999999999996</v>
      </c>
      <c r="AB458" s="4">
        <v>0</v>
      </c>
      <c r="AC458" s="4">
        <v>0</v>
      </c>
      <c r="AD458" s="4">
        <v>720.42049999999995</v>
      </c>
      <c r="AE458" s="4">
        <v>740.42049999999995</v>
      </c>
      <c r="AF458" s="4">
        <v>740.42049999999995</v>
      </c>
      <c r="AG458" s="4">
        <v>780.41949999999997</v>
      </c>
      <c r="AH458" s="4">
        <v>840.41949999999997</v>
      </c>
      <c r="AI458" s="4">
        <v>840.41949999999997</v>
      </c>
      <c r="AJ458" s="4">
        <v>840.41949999999997</v>
      </c>
      <c r="AK458" s="4">
        <v>840.41949999999997</v>
      </c>
      <c r="AL458" s="4">
        <v>840.41949999999997</v>
      </c>
      <c r="AM458" s="4">
        <v>1121.2797661772906</v>
      </c>
      <c r="AN458" s="4">
        <v>1116.2870630472746</v>
      </c>
      <c r="AO458" s="4">
        <v>1298.1276480080764</v>
      </c>
      <c r="AP458" s="4">
        <v>1293.9023951286522</v>
      </c>
      <c r="AQ458" s="4">
        <v>1288.1707443428652</v>
      </c>
      <c r="AR458" s="4">
        <v>1277.6421225834511</v>
      </c>
      <c r="AS458" s="4">
        <v>1272.163298868649</v>
      </c>
      <c r="AT458" s="4">
        <v>1269.2380299584147</v>
      </c>
      <c r="AU458" s="4">
        <v>1266.6465260840334</v>
      </c>
      <c r="AV458" s="4">
        <v>1259.376678323802</v>
      </c>
      <c r="AW458" s="4">
        <v>1252.4381582526739</v>
      </c>
      <c r="AX458" s="4">
        <v>1244.4466086203217</v>
      </c>
      <c r="AY458" s="4">
        <v>972.8560310493865</v>
      </c>
      <c r="AZ458" s="4">
        <v>957.52919694143588</v>
      </c>
      <c r="BA458" s="4">
        <v>948.16747351485014</v>
      </c>
      <c r="BB458" s="4">
        <v>938.84532619745664</v>
      </c>
      <c r="BC458" s="4">
        <v>928.46320767412158</v>
      </c>
      <c r="BD458" s="4">
        <v>920.31066403932664</v>
      </c>
      <c r="BE458" s="4">
        <v>914.00169753981845</v>
      </c>
      <c r="BF458" s="4">
        <v>907.81071766967113</v>
      </c>
      <c r="BG458" s="4">
        <v>1278.1301433754654</v>
      </c>
      <c r="BH458" s="4">
        <v>1648.8833973924538</v>
      </c>
      <c r="BJ458" s="9"/>
    </row>
    <row r="459" spans="1:62" x14ac:dyDescent="0.25">
      <c r="A459" s="6" t="s">
        <v>304</v>
      </c>
      <c r="B459" s="6"/>
      <c r="C459" s="7" t="s">
        <v>526</v>
      </c>
      <c r="D459" s="3"/>
      <c r="E459" s="3">
        <f>VLOOKUP(A459,[2]Sheet1!$A$2:$E$627,5,0)</f>
        <v>99.333333333333329</v>
      </c>
      <c r="F459" s="3">
        <f>VLOOKUP(A459,[2]Sheet1!$A$2:$F$627,6,0)</f>
        <v>99.33</v>
      </c>
      <c r="G459" s="3">
        <f>VLOOKUP(A459,[2]Sheet1!$A$2:$G$627,7,0)</f>
        <v>102.32954608333334</v>
      </c>
      <c r="H459" s="4">
        <f t="shared" si="42"/>
        <v>102.32954608333334</v>
      </c>
      <c r="I459" s="11">
        <f t="shared" si="43"/>
        <v>-3.3557046979835255E-5</v>
      </c>
      <c r="J459" s="11">
        <f t="shared" si="44"/>
        <v>3.0163215604026971E-2</v>
      </c>
      <c r="K459" s="11">
        <f t="shared" si="45"/>
        <v>3.0197785999530279E-2</v>
      </c>
      <c r="L459" s="11">
        <f>IF(S459="",((BG459-E459)/E459),((U459-E459)/E459))</f>
        <v>3.0163215604026971E-2</v>
      </c>
      <c r="M459" s="3" t="str">
        <f>IF(S459="Churn","Churn",VLOOKUP(A459,'[1]Revenue_Engine_2025 Dec.25'!$C$14:$E$3993,3,0))</f>
        <v>Diğer</v>
      </c>
      <c r="N459" s="3">
        <f>IF(S459="",VLOOKUP(A459,[3]Export!$B$2:$F$417,5,0),"CHURN")</f>
        <v>0.31015355174956555</v>
      </c>
      <c r="O459" s="3">
        <f>(1-N459)*H459</f>
        <v>70.591673916666664</v>
      </c>
      <c r="P459" s="3">
        <f t="shared" si="47"/>
        <v>68.52244770471566</v>
      </c>
      <c r="Q459" s="3">
        <f t="shared" si="46"/>
        <v>70.591673916666664</v>
      </c>
      <c r="R459" s="3" t="str">
        <f>IF(S459&lt;&gt;"Churn",VLOOKUP(A459,[3]Export!$B$2:$O$417,8,0),"CHURN")</f>
        <v>NO RISK</v>
      </c>
      <c r="S459" s="3"/>
      <c r="T459" s="3"/>
      <c r="U459" s="3" t="s">
        <v>551</v>
      </c>
      <c r="V459" s="4" t="str" cm="1">
        <f t="array" ref="V459">IFERROR(
    IF(
        MATCH(2,1/((Y459:BH459&lt;&gt;0)*(Y459:BH459&lt;&gt;"")))-MATCH(1,INDEX((Y459:BH459&lt;&gt;0)*(Y459:BH459&lt;&gt;""),0),0)+1 &lt;= 12,
        "No",
        "Yes"
    ),
    "No"
)</f>
        <v>Yes</v>
      </c>
      <c r="W459" s="4" t="str" cm="1">
        <f t="array" ref="W459">IFERROR(
    IF(
        MATCH(2,1/((Y459:BH459&lt;&gt;0)*(Y459:BH459&lt;&gt;"")))-MATCH(1,INDEX((Y459:BH459&lt;&gt;0)*(Y459:BH459&lt;&gt;""),0),0)+1 &lt;= 24,
        "No",
        "Yes"
    ),
    "No"
)</f>
        <v>Yes</v>
      </c>
      <c r="X459" s="3"/>
      <c r="Y459" s="4">
        <v>0</v>
      </c>
      <c r="Z459" s="4">
        <v>0</v>
      </c>
      <c r="AA459" s="4">
        <v>0</v>
      </c>
      <c r="AB459" s="4">
        <v>0</v>
      </c>
      <c r="AC459" s="4">
        <v>0</v>
      </c>
      <c r="AD459" s="4">
        <v>0</v>
      </c>
      <c r="AE459" s="4">
        <v>0</v>
      </c>
      <c r="AF459" s="4">
        <v>0</v>
      </c>
      <c r="AG459" s="4">
        <v>0</v>
      </c>
      <c r="AH459" s="4">
        <v>99.333333333333329</v>
      </c>
      <c r="AI459" s="4">
        <v>99.333333333333329</v>
      </c>
      <c r="AJ459" s="4">
        <v>99.333333333333329</v>
      </c>
      <c r="AK459" s="4">
        <v>99.333333333333329</v>
      </c>
      <c r="AL459" s="4">
        <v>99.333333333333329</v>
      </c>
      <c r="AM459" s="4">
        <v>99.333333333333329</v>
      </c>
      <c r="AN459" s="4">
        <v>99.333333333333329</v>
      </c>
      <c r="AO459" s="4">
        <v>99.333333333333329</v>
      </c>
      <c r="AP459" s="4">
        <v>99.333333333333329</v>
      </c>
      <c r="AQ459" s="4">
        <v>99.333333333333329</v>
      </c>
      <c r="AR459" s="4">
        <v>99.333333333333329</v>
      </c>
      <c r="AS459" s="4">
        <v>99.333333333333329</v>
      </c>
      <c r="AT459" s="4">
        <v>99.33</v>
      </c>
      <c r="AU459" s="4">
        <v>99.33</v>
      </c>
      <c r="AV459" s="4">
        <v>99.33</v>
      </c>
      <c r="AW459" s="4">
        <v>99.33</v>
      </c>
      <c r="AX459" s="4">
        <v>102.33</v>
      </c>
      <c r="AY459" s="4">
        <v>102.33</v>
      </c>
      <c r="AZ459" s="4">
        <v>102.33</v>
      </c>
      <c r="BA459" s="4">
        <v>102.33</v>
      </c>
      <c r="BB459" s="4">
        <v>102.33</v>
      </c>
      <c r="BC459" s="4">
        <v>102.33</v>
      </c>
      <c r="BD459" s="4">
        <v>102.33</v>
      </c>
      <c r="BE459" s="4">
        <v>102.33</v>
      </c>
      <c r="BF459" s="4">
        <v>102.32954608333334</v>
      </c>
      <c r="BG459" s="4">
        <v>102.32954608333334</v>
      </c>
      <c r="BH459" s="4">
        <v>102.32954608333334</v>
      </c>
      <c r="BJ459" s="9"/>
    </row>
    <row r="460" spans="1:62" x14ac:dyDescent="0.25">
      <c r="A460" s="6" t="s">
        <v>305</v>
      </c>
      <c r="B460" s="6"/>
      <c r="C460" s="7" t="s">
        <v>526</v>
      </c>
      <c r="D460" s="3"/>
      <c r="E460" s="3">
        <f>VLOOKUP(A460,[2]Sheet1!$A$2:$E$627,5,0)</f>
        <v>86.000882333333337</v>
      </c>
      <c r="F460" s="3">
        <f>VLOOKUP(A460,[2]Sheet1!$A$2:$F$627,6,0)</f>
        <v>86.000882333333337</v>
      </c>
      <c r="G460" s="3">
        <f>VLOOKUP(A460,[2]Sheet1!$A$2:$G$627,7,0)</f>
        <v>0</v>
      </c>
      <c r="H460" s="4">
        <f t="shared" si="42"/>
        <v>86.000882333333337</v>
      </c>
      <c r="I460" s="11">
        <f t="shared" si="43"/>
        <v>0</v>
      </c>
      <c r="J460" s="11">
        <f t="shared" si="44"/>
        <v>-1</v>
      </c>
      <c r="K460" s="11">
        <f t="shared" si="45"/>
        <v>-1</v>
      </c>
      <c r="L460" s="11">
        <f>IF(S460="",((BG460-E460)/E460),((U460-E460)/E460))</f>
        <v>0</v>
      </c>
      <c r="M460" s="3" t="str">
        <f>IF(S460="Churn","Churn",VLOOKUP(A460,'[1]Revenue_Engine_2025 Dec.25'!$C$14:$E$3993,3,0))</f>
        <v>Diğer</v>
      </c>
      <c r="N460" s="3">
        <f>IF(S460="",VLOOKUP(A460,[3]Export!$B$2:$F$417,5,0),"CHURN")</f>
        <v>0.27352308591014601</v>
      </c>
      <c r="O460" s="3">
        <f>(1-N460)*H460</f>
        <v>62.477655606524642</v>
      </c>
      <c r="P460" s="3">
        <f t="shared" si="47"/>
        <v>62.477655606524642</v>
      </c>
      <c r="Q460" s="3">
        <f t="shared" si="46"/>
        <v>0</v>
      </c>
      <c r="R460" s="3" t="str">
        <f>IF(S460&lt;&gt;"Churn",VLOOKUP(A460,[3]Export!$B$2:$O$417,8,0),"CHURN")</f>
        <v>NO RISK</v>
      </c>
      <c r="S460" s="3"/>
      <c r="T460" s="3"/>
      <c r="U460" s="3" t="s">
        <v>551</v>
      </c>
      <c r="V460" s="4" t="str" cm="1">
        <f t="array" ref="V460">IFERROR(
    IF(
        MATCH(2,1/((Y460:BH460&lt;&gt;0)*(Y460:BH460&lt;&gt;"")))-MATCH(1,INDEX((Y460:BH460&lt;&gt;0)*(Y460:BH460&lt;&gt;""),0),0)+1 &lt;= 12,
        "No",
        "Yes"
    ),
    "No"
)</f>
        <v>Yes</v>
      </c>
      <c r="W460" s="4" t="str" cm="1">
        <f t="array" ref="W460">IFERROR(
    IF(
        MATCH(2,1/((Y460:BH460&lt;&gt;0)*(Y460:BH460&lt;&gt;"")))-MATCH(1,INDEX((Y460:BH460&lt;&gt;0)*(Y460:BH460&lt;&gt;""),0),0)+1 &lt;= 24,
        "No",
        "Yes"
    ),
    "No"
)</f>
        <v>No</v>
      </c>
      <c r="X460" s="3"/>
      <c r="Y460" s="4">
        <v>0</v>
      </c>
      <c r="Z460" s="4">
        <v>0</v>
      </c>
      <c r="AA460" s="4">
        <v>0</v>
      </c>
      <c r="AB460" s="4">
        <v>0</v>
      </c>
      <c r="AC460" s="4">
        <v>0</v>
      </c>
      <c r="AD460" s="4">
        <v>0</v>
      </c>
      <c r="AE460" s="4">
        <v>0</v>
      </c>
      <c r="AF460" s="4">
        <v>0</v>
      </c>
      <c r="AG460" s="4">
        <v>0</v>
      </c>
      <c r="AH460" s="4">
        <v>0</v>
      </c>
      <c r="AI460" s="4">
        <v>0</v>
      </c>
      <c r="AJ460" s="4">
        <v>0</v>
      </c>
      <c r="AK460" s="4">
        <v>86.000882333333337</v>
      </c>
      <c r="AL460" s="4">
        <v>86.000882333333337</v>
      </c>
      <c r="AM460" s="4">
        <v>86.000882333333337</v>
      </c>
      <c r="AN460" s="4">
        <v>86.000882333333337</v>
      </c>
      <c r="AO460" s="4">
        <v>86.000882333333337</v>
      </c>
      <c r="AP460" s="4">
        <v>86.000882333333337</v>
      </c>
      <c r="AQ460" s="4">
        <v>86.000882333333337</v>
      </c>
      <c r="AR460" s="4">
        <v>86.000882333333337</v>
      </c>
      <c r="AS460" s="4">
        <v>86.000882333333337</v>
      </c>
      <c r="AT460" s="4">
        <v>86.000882333333337</v>
      </c>
      <c r="AU460" s="4">
        <v>86.000882333333337</v>
      </c>
      <c r="AV460" s="4">
        <v>86.000882333333337</v>
      </c>
      <c r="AW460" s="4">
        <v>86.000882333333337</v>
      </c>
      <c r="AX460" s="4">
        <v>86.000882333333337</v>
      </c>
      <c r="AY460" s="4">
        <v>86.000882333333337</v>
      </c>
      <c r="AZ460" s="4">
        <v>86.000882333333337</v>
      </c>
      <c r="BA460" s="4">
        <v>86.000882333333337</v>
      </c>
      <c r="BB460" s="4">
        <v>86.000882333333337</v>
      </c>
      <c r="BC460" s="4">
        <v>86.000882333333337</v>
      </c>
      <c r="BD460" s="4">
        <v>86.000882333333337</v>
      </c>
      <c r="BE460" s="4">
        <v>86.000882333333337</v>
      </c>
      <c r="BF460" s="4">
        <v>86.000882333333337</v>
      </c>
      <c r="BG460" s="4">
        <v>86.000882333333337</v>
      </c>
      <c r="BH460" s="4">
        <v>86.000882333333337</v>
      </c>
      <c r="BJ460" s="9"/>
    </row>
    <row r="461" spans="1:62" x14ac:dyDescent="0.25">
      <c r="A461" s="6" t="s">
        <v>306</v>
      </c>
      <c r="B461" s="6"/>
      <c r="C461" s="7" t="s">
        <v>526</v>
      </c>
      <c r="D461" s="3"/>
      <c r="E461" s="3">
        <f>VLOOKUP(A461,[2]Sheet1!$A$2:$E$627,5,0)</f>
        <v>858.5</v>
      </c>
      <c r="F461" s="3">
        <f>VLOOKUP(A461,[2]Sheet1!$A$2:$F$627,6,0)</f>
        <v>1906.0296289999999</v>
      </c>
      <c r="G461" s="3">
        <f>VLOOKUP(A461,[2]Sheet1!$A$2:$G$627,7,0)</f>
        <v>2305.1187690000002</v>
      </c>
      <c r="H461" s="4">
        <f t="shared" si="42"/>
        <v>2279.1187689999997</v>
      </c>
      <c r="I461" s="11">
        <f t="shared" si="43"/>
        <v>1.2201859394292369</v>
      </c>
      <c r="J461" s="11">
        <f t="shared" si="44"/>
        <v>1.6850538951659875</v>
      </c>
      <c r="K461" s="11">
        <f t="shared" si="45"/>
        <v>0.20938244292109076</v>
      </c>
      <c r="L461" s="11">
        <f>IF(S461="",((BG461-E461)/E461),((U461-E461)/E461))</f>
        <v>1.6547685136866623</v>
      </c>
      <c r="M461" s="3" t="str">
        <f>IF(S461="Churn","Churn",VLOOKUP(A461,'[1]Revenue_Engine_2025 Dec.25'!$C$14:$E$3993,3,0))</f>
        <v>Finans</v>
      </c>
      <c r="N461" s="3">
        <f>IF(S461="",VLOOKUP(A461,[3]Export!$B$2:$F$417,5,0),"CHURN")</f>
        <v>0.20414132509282429</v>
      </c>
      <c r="O461" s="3">
        <f>(1-N461)*H461</f>
        <v>1813.856443452413</v>
      </c>
      <c r="P461" s="3">
        <f t="shared" si="47"/>
        <v>1516.9302148697554</v>
      </c>
      <c r="Q461" s="3">
        <f t="shared" si="46"/>
        <v>1834.548769</v>
      </c>
      <c r="R461" s="3" t="str">
        <f>IF(S461&lt;&gt;"Churn",VLOOKUP(A461,[3]Export!$B$2:$O$417,8,0),"CHURN")</f>
        <v>NO RISK</v>
      </c>
      <c r="S461" s="3"/>
      <c r="T461" s="3"/>
      <c r="U461" s="3" t="s">
        <v>551</v>
      </c>
      <c r="V461" s="4" t="str" cm="1">
        <f t="array" ref="V461">IFERROR(
    IF(
        MATCH(2,1/((Y461:BH461&lt;&gt;0)*(Y461:BH461&lt;&gt;"")))-MATCH(1,INDEX((Y461:BH461&lt;&gt;0)*(Y461:BH461&lt;&gt;""),0),0)+1 &lt;= 12,
        "No",
        "Yes"
    ),
    "No"
)</f>
        <v>Yes</v>
      </c>
      <c r="W461" s="4" t="str" cm="1">
        <f t="array" ref="W461">IFERROR(
    IF(
        MATCH(2,1/((Y461:BH461&lt;&gt;0)*(Y461:BH461&lt;&gt;"")))-MATCH(1,INDEX((Y461:BH461&lt;&gt;0)*(Y461:BH461&lt;&gt;""),0),0)+1 &lt;= 24,
        "No",
        "Yes"
    ),
    "No"
)</f>
        <v>Yes</v>
      </c>
      <c r="X461" s="3"/>
      <c r="Y461" s="4">
        <v>795</v>
      </c>
      <c r="Z461" s="4">
        <v>858.5</v>
      </c>
      <c r="AA461" s="4">
        <v>858.5</v>
      </c>
      <c r="AB461" s="4">
        <v>1084.5</v>
      </c>
      <c r="AC461" s="4">
        <v>1084.5</v>
      </c>
      <c r="AD461" s="4">
        <v>1084.4929549999999</v>
      </c>
      <c r="AE461" s="4">
        <v>1086.2929549999999</v>
      </c>
      <c r="AF461" s="4">
        <v>1096.7929549999999</v>
      </c>
      <c r="AG461" s="4">
        <v>1100.5429549999999</v>
      </c>
      <c r="AH461" s="4">
        <v>1506.0171759999998</v>
      </c>
      <c r="AI461" s="4">
        <v>1506.0171759999998</v>
      </c>
      <c r="AJ461" s="4">
        <v>1506.0171759999998</v>
      </c>
      <c r="AK461" s="4">
        <v>1506.0171759999998</v>
      </c>
      <c r="AL461" s="4">
        <v>1906.0296289999999</v>
      </c>
      <c r="AM461" s="4">
        <v>1906.0296289999999</v>
      </c>
      <c r="AN461" s="4">
        <v>1906.0296289999999</v>
      </c>
      <c r="AO461" s="4">
        <v>1906.0296289999999</v>
      </c>
      <c r="AP461" s="4">
        <v>1906.0296289999999</v>
      </c>
      <c r="AQ461" s="4">
        <v>1906.0296289999999</v>
      </c>
      <c r="AR461" s="4">
        <v>1906.0296289999999</v>
      </c>
      <c r="AS461" s="4">
        <v>1906.0296289999999</v>
      </c>
      <c r="AT461" s="4">
        <v>2156.0416289999998</v>
      </c>
      <c r="AU461" s="4">
        <v>2156.0416289999998</v>
      </c>
      <c r="AV461" s="4">
        <v>2156.0416289999998</v>
      </c>
      <c r="AW461" s="4">
        <v>2286.1187689999997</v>
      </c>
      <c r="AX461" s="4">
        <v>2290.1187689999997</v>
      </c>
      <c r="AY461" s="4">
        <v>2305.1187689999997</v>
      </c>
      <c r="AZ461" s="4">
        <v>2305.1187690000002</v>
      </c>
      <c r="BA461" s="4">
        <v>2279.1187689999997</v>
      </c>
      <c r="BB461" s="4">
        <v>2279.1187689999997</v>
      </c>
      <c r="BC461" s="4">
        <v>2279.1187689999997</v>
      </c>
      <c r="BD461" s="4">
        <v>2279.1187689999997</v>
      </c>
      <c r="BE461" s="4">
        <v>2279.1187689999997</v>
      </c>
      <c r="BF461" s="4">
        <v>2279.1187689999997</v>
      </c>
      <c r="BG461" s="4">
        <v>2279.1187689999997</v>
      </c>
      <c r="BH461" s="4">
        <v>2279.1187689999997</v>
      </c>
      <c r="BJ461" s="9"/>
    </row>
    <row r="462" spans="1:62" x14ac:dyDescent="0.25">
      <c r="A462" s="6" t="s">
        <v>307</v>
      </c>
      <c r="B462" s="6"/>
      <c r="C462" s="7" t="s">
        <v>526</v>
      </c>
      <c r="D462" s="3"/>
      <c r="E462" s="3">
        <f>VLOOKUP(A462,[2]Sheet1!$A$2:$E$627,5,0)</f>
        <v>65</v>
      </c>
      <c r="F462" s="3">
        <f>VLOOKUP(A462,[2]Sheet1!$A$2:$F$627,6,0)</f>
        <v>65</v>
      </c>
      <c r="G462" s="3">
        <f>VLOOKUP(A462,[2]Sheet1!$A$2:$G$627,7,0)</f>
        <v>65</v>
      </c>
      <c r="H462" s="4">
        <f t="shared" si="42"/>
        <v>65</v>
      </c>
      <c r="I462" s="11">
        <f t="shared" si="43"/>
        <v>0</v>
      </c>
      <c r="J462" s="11">
        <f t="shared" si="44"/>
        <v>0</v>
      </c>
      <c r="K462" s="11">
        <f t="shared" si="45"/>
        <v>0</v>
      </c>
      <c r="L462" s="11">
        <f>IF(S462="",((BG462-E462)/E462),((U462-E462)/E462))</f>
        <v>0</v>
      </c>
      <c r="M462" s="3" t="str">
        <f>IF(S462="Churn","Churn",VLOOKUP(A462,'[1]Revenue_Engine_2025 Dec.25'!$C$14:$E$3993,3,0))</f>
        <v>Diğer</v>
      </c>
      <c r="N462" s="3">
        <f>IF(S462="",VLOOKUP(A462,[3]Export!$B$2:$F$417,5,0),"CHURN")</f>
        <v>0.46153846153846156</v>
      </c>
      <c r="O462" s="3">
        <f>(1-N462)*H462</f>
        <v>35</v>
      </c>
      <c r="P462" s="3">
        <f t="shared" si="47"/>
        <v>35</v>
      </c>
      <c r="Q462" s="3">
        <f t="shared" si="46"/>
        <v>35</v>
      </c>
      <c r="R462" s="3" t="str">
        <f>IF(S462&lt;&gt;"Churn",VLOOKUP(A462,[3]Export!$B$2:$O$417,8,0),"CHURN")</f>
        <v>NO RISK</v>
      </c>
      <c r="S462" s="3"/>
      <c r="T462" s="3"/>
      <c r="U462" s="3" t="s">
        <v>551</v>
      </c>
      <c r="V462" s="4" t="str" cm="1">
        <f t="array" ref="V462">IFERROR(
    IF(
        MATCH(2,1/((Y462:BH462&lt;&gt;0)*(Y462:BH462&lt;&gt;"")))-MATCH(1,INDEX((Y462:BH462&lt;&gt;0)*(Y462:BH462&lt;&gt;""),0),0)+1 &lt;= 12,
        "No",
        "Yes"
    ),
    "No"
)</f>
        <v>Yes</v>
      </c>
      <c r="W462" s="4" t="str" cm="1">
        <f t="array" ref="W462">IFERROR(
    IF(
        MATCH(2,1/((Y462:BH462&lt;&gt;0)*(Y462:BH462&lt;&gt;"")))-MATCH(1,INDEX((Y462:BH462&lt;&gt;0)*(Y462:BH462&lt;&gt;""),0),0)+1 &lt;= 24,
        "No",
        "Yes"
    ),
    "No"
)</f>
        <v>Yes</v>
      </c>
      <c r="X462" s="3"/>
      <c r="Y462" s="4">
        <v>0</v>
      </c>
      <c r="Z462" s="4">
        <v>0</v>
      </c>
      <c r="AA462" s="4">
        <v>0</v>
      </c>
      <c r="AB462" s="4">
        <v>0</v>
      </c>
      <c r="AC462" s="4">
        <v>0</v>
      </c>
      <c r="AD462" s="4">
        <v>0</v>
      </c>
      <c r="AE462" s="4">
        <v>50</v>
      </c>
      <c r="AF462" s="4">
        <v>65</v>
      </c>
      <c r="AG462" s="4">
        <v>65</v>
      </c>
      <c r="AH462" s="4">
        <v>65</v>
      </c>
      <c r="AI462" s="4">
        <v>65</v>
      </c>
      <c r="AJ462" s="4">
        <v>65</v>
      </c>
      <c r="AK462" s="4">
        <v>65</v>
      </c>
      <c r="AL462" s="4">
        <v>65</v>
      </c>
      <c r="AM462" s="4">
        <v>65</v>
      </c>
      <c r="AN462" s="4">
        <v>65</v>
      </c>
      <c r="AO462" s="4">
        <v>65</v>
      </c>
      <c r="AP462" s="4">
        <v>65</v>
      </c>
      <c r="AQ462" s="4">
        <v>65</v>
      </c>
      <c r="AR462" s="4">
        <v>65</v>
      </c>
      <c r="AS462" s="4">
        <v>65</v>
      </c>
      <c r="AT462" s="4">
        <v>65</v>
      </c>
      <c r="AU462" s="4">
        <v>65</v>
      </c>
      <c r="AV462" s="4">
        <v>65</v>
      </c>
      <c r="AW462" s="4">
        <v>65</v>
      </c>
      <c r="AX462" s="4">
        <v>65</v>
      </c>
      <c r="AY462" s="4">
        <v>65</v>
      </c>
      <c r="AZ462" s="4">
        <v>65</v>
      </c>
      <c r="BA462" s="4">
        <v>65</v>
      </c>
      <c r="BB462" s="4">
        <v>65</v>
      </c>
      <c r="BC462" s="4">
        <v>65</v>
      </c>
      <c r="BD462" s="4">
        <v>65</v>
      </c>
      <c r="BE462" s="4">
        <v>65</v>
      </c>
      <c r="BF462" s="4">
        <v>65</v>
      </c>
      <c r="BG462" s="4">
        <v>65</v>
      </c>
      <c r="BH462" s="4">
        <v>65</v>
      </c>
      <c r="BJ462" s="9"/>
    </row>
    <row r="463" spans="1:62" x14ac:dyDescent="0.25">
      <c r="A463" s="6" t="s">
        <v>308</v>
      </c>
      <c r="B463" s="6"/>
      <c r="C463" s="7" t="s">
        <v>526</v>
      </c>
      <c r="D463" s="3"/>
      <c r="E463" s="3">
        <f>VLOOKUP(A463,[2]Sheet1!$A$2:$E$627,5,0)</f>
        <v>342.77096044423115</v>
      </c>
      <c r="F463" s="3">
        <f>VLOOKUP(A463,[2]Sheet1!$A$2:$F$627,6,0)</f>
        <v>405.95387665971145</v>
      </c>
      <c r="G463" s="3">
        <f>VLOOKUP(A463,[2]Sheet1!$A$2:$G$627,7,0)</f>
        <v>1229.6315501717756</v>
      </c>
      <c r="H463" s="4">
        <f t="shared" si="42"/>
        <v>1317.9063532352498</v>
      </c>
      <c r="I463" s="11">
        <f t="shared" si="43"/>
        <v>0.18432983976704226</v>
      </c>
      <c r="J463" s="11">
        <f t="shared" si="44"/>
        <v>2.5873270844711382</v>
      </c>
      <c r="K463" s="11">
        <f t="shared" si="45"/>
        <v>2.0289932449703083</v>
      </c>
      <c r="L463" s="11">
        <f>IF(S463="",((BG463-E463)/E463),((U463-E463)/E463))</f>
        <v>2.8044957576984477</v>
      </c>
      <c r="M463" s="3" t="str">
        <f>IF(S463="Churn","Churn",VLOOKUP(A463,'[1]Revenue_Engine_2025 Dec.25'!$C$14:$E$3993,3,0))</f>
        <v>Genel</v>
      </c>
      <c r="N463" s="3">
        <f>IF(S463="",VLOOKUP(A463,[3]Export!$B$2:$F$417,5,0),"CHURN")</f>
        <v>0.18241176981581669</v>
      </c>
      <c r="O463" s="3">
        <f>(1-N463)*H463</f>
        <v>1077.5047228900989</v>
      </c>
      <c r="P463" s="3">
        <f t="shared" si="47"/>
        <v>331.90311155462172</v>
      </c>
      <c r="Q463" s="3">
        <f t="shared" si="46"/>
        <v>1005.3322828835758</v>
      </c>
      <c r="R463" s="3" t="str">
        <f>IF(S463&lt;&gt;"Churn",VLOOKUP(A463,[3]Export!$B$2:$O$417,8,0),"CHURN")</f>
        <v>NO RISK</v>
      </c>
      <c r="S463" s="3"/>
      <c r="T463" s="3"/>
      <c r="U463" s="3" t="s">
        <v>551</v>
      </c>
      <c r="V463" s="4" t="str" cm="1">
        <f t="array" ref="V463">IFERROR(
    IF(
        MATCH(2,1/((Y463:BH463&lt;&gt;0)*(Y463:BH463&lt;&gt;"")))-MATCH(1,INDEX((Y463:BH463&lt;&gt;0)*(Y463:BH463&lt;&gt;""),0),0)+1 &lt;= 12,
        "No",
        "Yes"
    ),
    "No"
)</f>
        <v>Yes</v>
      </c>
      <c r="W463" s="4" t="str" cm="1">
        <f t="array" ref="W463">IFERROR(
    IF(
        MATCH(2,1/((Y463:BH463&lt;&gt;0)*(Y463:BH463&lt;&gt;"")))-MATCH(1,INDEX((Y463:BH463&lt;&gt;0)*(Y463:BH463&lt;&gt;""),0),0)+1 &lt;= 24,
        "No",
        "Yes"
    ),
    "No"
)</f>
        <v>Yes</v>
      </c>
      <c r="X463" s="3"/>
      <c r="Y463" s="4">
        <v>0</v>
      </c>
      <c r="Z463" s="4">
        <v>0</v>
      </c>
      <c r="AA463" s="4">
        <v>342.77096044423115</v>
      </c>
      <c r="AB463" s="4">
        <v>336.68115258907807</v>
      </c>
      <c r="AC463" s="4">
        <v>330.29747144192851</v>
      </c>
      <c r="AD463" s="4">
        <v>277.76785409045846</v>
      </c>
      <c r="AE463" s="4">
        <v>246.16418797883742</v>
      </c>
      <c r="AF463" s="4">
        <v>297.23931144410216</v>
      </c>
      <c r="AG463" s="4">
        <v>306.03304465966085</v>
      </c>
      <c r="AH463" s="4">
        <v>296.60048575282156</v>
      </c>
      <c r="AI463" s="4">
        <v>288.43525324582185</v>
      </c>
      <c r="AJ463" s="4">
        <v>283.94113372343321</v>
      </c>
      <c r="AK463" s="4">
        <v>274.89391782173931</v>
      </c>
      <c r="AL463" s="4">
        <v>268.57773926414347</v>
      </c>
      <c r="AM463" s="4">
        <v>405.95387665971145</v>
      </c>
      <c r="AN463" s="4">
        <v>403.02726876824255</v>
      </c>
      <c r="AO463" s="4">
        <v>403.61317157723079</v>
      </c>
      <c r="AP463" s="4">
        <v>400.1957971996527</v>
      </c>
      <c r="AQ463" s="4">
        <v>1065.31367381172</v>
      </c>
      <c r="AR463" s="4">
        <v>1042.3798510005781</v>
      </c>
      <c r="AS463" s="4">
        <v>1030.4456800179039</v>
      </c>
      <c r="AT463" s="4">
        <v>1024.073754005625</v>
      </c>
      <c r="AU463" s="4">
        <v>1018.4288470056839</v>
      </c>
      <c r="AV463" s="4">
        <v>1002.5934029934563</v>
      </c>
      <c r="AW463" s="4">
        <v>987.47966887716245</v>
      </c>
      <c r="AX463" s="4">
        <v>970.07218787510863</v>
      </c>
      <c r="AY463" s="4">
        <v>1229.6315501717756</v>
      </c>
      <c r="AZ463" s="4">
        <v>1196.7842685464584</v>
      </c>
      <c r="BA463" s="4">
        <v>1176.7209492904701</v>
      </c>
      <c r="BB463" s="4">
        <v>1156.7424464809253</v>
      </c>
      <c r="BC463" s="4">
        <v>1134.4922956277558</v>
      </c>
      <c r="BD463" s="4">
        <v>1117.0203966792385</v>
      </c>
      <c r="BE463" s="4">
        <v>1333.9451654352013</v>
      </c>
      <c r="BF463" s="4">
        <v>1317.9063532352498</v>
      </c>
      <c r="BG463" s="4">
        <v>1304.0706648722999</v>
      </c>
      <c r="BH463" s="4">
        <v>1291.3588843488533</v>
      </c>
      <c r="BJ463" s="9"/>
    </row>
    <row r="464" spans="1:62" x14ac:dyDescent="0.25">
      <c r="A464" s="6" t="s">
        <v>309</v>
      </c>
      <c r="B464" s="6"/>
      <c r="C464" s="7" t="s">
        <v>526</v>
      </c>
      <c r="D464" s="3"/>
      <c r="E464" s="3">
        <f>VLOOKUP(A464,[2]Sheet1!$A$2:$E$627,5,0)</f>
        <v>99.333333333333329</v>
      </c>
      <c r="F464" s="3">
        <f>VLOOKUP(A464,[2]Sheet1!$A$2:$F$627,6,0)</f>
        <v>99.376666666666665</v>
      </c>
      <c r="G464" s="3">
        <f>VLOOKUP(A464,[2]Sheet1!$A$2:$G$627,7,0)</f>
        <v>0</v>
      </c>
      <c r="H464" s="4">
        <f t="shared" si="42"/>
        <v>94.876666666666665</v>
      </c>
      <c r="I464" s="11">
        <f t="shared" si="43"/>
        <v>4.362416107382875E-4</v>
      </c>
      <c r="J464" s="11">
        <f t="shared" si="44"/>
        <v>-1</v>
      </c>
      <c r="K464" s="11">
        <f t="shared" si="45"/>
        <v>-1</v>
      </c>
      <c r="L464" s="11">
        <f>IF(S464="",((BG464-E464)/E464),((U464-E464)/E464))</f>
        <v>-4.4865771812080506E-2</v>
      </c>
      <c r="M464" s="3" t="str">
        <f>IF(S464="Churn","Churn",VLOOKUP(A464,'[1]Revenue_Engine_2025 Dec.25'!$C$14:$E$3993,3,0))</f>
        <v>Diğer</v>
      </c>
      <c r="N464" s="3">
        <f>IF(S464="",VLOOKUP(A464,[3]Export!$B$2:$F$417,5,0),"CHURN")</f>
        <v>0</v>
      </c>
      <c r="O464" s="3">
        <f>(1-N464)*H464</f>
        <v>94.876666666666665</v>
      </c>
      <c r="P464" s="3">
        <f t="shared" si="47"/>
        <v>99.376666666666665</v>
      </c>
      <c r="Q464" s="3">
        <f t="shared" si="46"/>
        <v>0</v>
      </c>
      <c r="R464" s="3" t="str">
        <f>IF(S464&lt;&gt;"Churn",VLOOKUP(A464,[3]Export!$B$2:$O$417,8,0),"CHURN")</f>
        <v>NO RISK</v>
      </c>
      <c r="S464" s="3"/>
      <c r="T464" s="3"/>
      <c r="U464" s="3" t="s">
        <v>551</v>
      </c>
      <c r="V464" s="4" t="str" cm="1">
        <f t="array" ref="V464">IFERROR(
    IF(
        MATCH(2,1/((Y464:BH464&lt;&gt;0)*(Y464:BH464&lt;&gt;"")))-MATCH(1,INDEX((Y464:BH464&lt;&gt;0)*(Y464:BH464&lt;&gt;""),0),0)+1 &lt;= 12,
        "No",
        "Yes"
    ),
    "No"
)</f>
        <v>Yes</v>
      </c>
      <c r="W464" s="4" t="str" cm="1">
        <f t="array" ref="W464">IFERROR(
    IF(
        MATCH(2,1/((Y464:BH464&lt;&gt;0)*(Y464:BH464&lt;&gt;"")))-MATCH(1,INDEX((Y464:BH464&lt;&gt;0)*(Y464:BH464&lt;&gt;""),0),0)+1 &lt;= 24,
        "No",
        "Yes"
    ),
    "No"
)</f>
        <v>Yes</v>
      </c>
      <c r="X464" s="3"/>
      <c r="Y464" s="4">
        <v>0</v>
      </c>
      <c r="Z464" s="4">
        <v>0</v>
      </c>
      <c r="AA464" s="4">
        <v>0</v>
      </c>
      <c r="AB464" s="4">
        <v>0</v>
      </c>
      <c r="AC464" s="4">
        <v>0</v>
      </c>
      <c r="AD464" s="4">
        <v>0</v>
      </c>
      <c r="AE464" s="4">
        <v>0</v>
      </c>
      <c r="AF464" s="4">
        <v>0</v>
      </c>
      <c r="AG464" s="4">
        <v>0</v>
      </c>
      <c r="AH464" s="4">
        <v>0</v>
      </c>
      <c r="AI464" s="4">
        <v>0</v>
      </c>
      <c r="AJ464" s="4">
        <v>99.333333333333329</v>
      </c>
      <c r="AK464" s="4">
        <v>99.333333333333329</v>
      </c>
      <c r="AL464" s="4">
        <v>99.333333333333329</v>
      </c>
      <c r="AM464" s="4">
        <v>99.333333333333329</v>
      </c>
      <c r="AN464" s="4">
        <v>99.333333333333329</v>
      </c>
      <c r="AO464" s="4">
        <v>99.333333333333329</v>
      </c>
      <c r="AP464" s="4">
        <v>99.333333333333329</v>
      </c>
      <c r="AQ464" s="4">
        <v>99.333333333333329</v>
      </c>
      <c r="AR464" s="4">
        <v>99.333333333333329</v>
      </c>
      <c r="AS464" s="4">
        <v>99.333333333333329</v>
      </c>
      <c r="AT464" s="4">
        <v>99.333333333333329</v>
      </c>
      <c r="AU464" s="4">
        <v>99.333333333333329</v>
      </c>
      <c r="AV464" s="4">
        <v>99.376666666666665</v>
      </c>
      <c r="AW464" s="4">
        <v>93.376666666666665</v>
      </c>
      <c r="AX464" s="4">
        <v>93.376666666666665</v>
      </c>
      <c r="AY464" s="4">
        <v>94.876666666666665</v>
      </c>
      <c r="AZ464" s="4">
        <v>94.876666666666665</v>
      </c>
      <c r="BA464" s="4">
        <v>94.876666666666665</v>
      </c>
      <c r="BB464" s="4">
        <v>94.876666666666665</v>
      </c>
      <c r="BC464" s="4">
        <v>94.876666666666665</v>
      </c>
      <c r="BD464" s="4">
        <v>94.876666666666665</v>
      </c>
      <c r="BE464" s="4">
        <v>94.876666666666665</v>
      </c>
      <c r="BF464" s="4">
        <v>94.876666666666665</v>
      </c>
      <c r="BG464" s="4">
        <v>94.876666666666665</v>
      </c>
      <c r="BH464" s="4">
        <v>93.876662166666662</v>
      </c>
      <c r="BJ464" s="9"/>
    </row>
    <row r="465" spans="1:62" x14ac:dyDescent="0.25">
      <c r="A465" s="6" t="s">
        <v>310</v>
      </c>
      <c r="B465" s="6"/>
      <c r="C465" s="7" t="s">
        <v>526</v>
      </c>
      <c r="D465" s="3"/>
      <c r="E465" s="3">
        <f>VLOOKUP(A465,[2]Sheet1!$A$2:$E$627,5,0)</f>
        <v>131.41666658333332</v>
      </c>
      <c r="F465" s="3">
        <f>VLOOKUP(A465,[2]Sheet1!$A$2:$F$627,6,0)</f>
        <v>137.77936266666666</v>
      </c>
      <c r="G465" s="3">
        <f>VLOOKUP(A465,[2]Sheet1!$A$2:$G$627,7,0)</f>
        <v>0</v>
      </c>
      <c r="H465" s="4">
        <f t="shared" si="42"/>
        <v>137.77936266666666</v>
      </c>
      <c r="I465" s="11">
        <f t="shared" si="43"/>
        <v>4.8416203581747752E-2</v>
      </c>
      <c r="J465" s="11">
        <f t="shared" si="44"/>
        <v>-1</v>
      </c>
      <c r="K465" s="11">
        <f t="shared" si="45"/>
        <v>-1</v>
      </c>
      <c r="L465" s="11">
        <f>IF(S465="",((BG465-E465)/E465),((U465-E465)/E465))</f>
        <v>4.8416203581747752E-2</v>
      </c>
      <c r="M465" s="3" t="str">
        <f>IF(S465="Churn","Churn",VLOOKUP(A465,'[1]Revenue_Engine_2025 Dec.25'!$C$14:$E$3993,3,0))</f>
        <v>Diğer</v>
      </c>
      <c r="N465" s="3">
        <f>IF(S465="",VLOOKUP(A465,[3]Export!$B$2:$F$417,5,0),"CHURN")</f>
        <v>0.32737499441377399</v>
      </c>
      <c r="O465" s="3">
        <f>(1-N465)*H465</f>
        <v>92.673844583333306</v>
      </c>
      <c r="P465" s="3">
        <f t="shared" si="47"/>
        <v>92.673844583333306</v>
      </c>
      <c r="Q465" s="3">
        <f t="shared" si="46"/>
        <v>0</v>
      </c>
      <c r="R465" s="3" t="str">
        <f>IF(S465&lt;&gt;"Churn",VLOOKUP(A465,[3]Export!$B$2:$O$417,8,0),"CHURN")</f>
        <v>NO RISK</v>
      </c>
      <c r="S465" s="3"/>
      <c r="T465" s="3"/>
      <c r="U465" s="3" t="s">
        <v>551</v>
      </c>
      <c r="V465" s="4" t="str" cm="1">
        <f t="array" ref="V465">IFERROR(
    IF(
        MATCH(2,1/((Y465:BH465&lt;&gt;0)*(Y465:BH465&lt;&gt;"")))-MATCH(1,INDEX((Y465:BH465&lt;&gt;0)*(Y465:BH465&lt;&gt;""),0),0)+1 &lt;= 12,
        "No",
        "Yes"
    ),
    "No"
)</f>
        <v>Yes</v>
      </c>
      <c r="W465" s="4" t="str" cm="1">
        <f t="array" ref="W465">IFERROR(
    IF(
        MATCH(2,1/((Y465:BH465&lt;&gt;0)*(Y465:BH465&lt;&gt;"")))-MATCH(1,INDEX((Y465:BH465&lt;&gt;0)*(Y465:BH465&lt;&gt;""),0),0)+1 &lt;= 24,
        "No",
        "Yes"
    ),
    "No"
)</f>
        <v>Yes</v>
      </c>
      <c r="X465" s="3"/>
      <c r="Y465" s="4">
        <v>0</v>
      </c>
      <c r="Z465" s="4">
        <v>0</v>
      </c>
      <c r="AA465" s="4">
        <v>0</v>
      </c>
      <c r="AB465" s="4">
        <v>0</v>
      </c>
      <c r="AC465" s="4">
        <v>0</v>
      </c>
      <c r="AD465" s="4">
        <v>0</v>
      </c>
      <c r="AE465" s="4">
        <v>0</v>
      </c>
      <c r="AF465" s="4">
        <v>0</v>
      </c>
      <c r="AG465" s="4">
        <v>0</v>
      </c>
      <c r="AH465" s="4">
        <v>0</v>
      </c>
      <c r="AI465" s="4">
        <v>0</v>
      </c>
      <c r="AJ465" s="4">
        <v>131.41666658333332</v>
      </c>
      <c r="AK465" s="4">
        <v>131.41666658333332</v>
      </c>
      <c r="AL465" s="4">
        <v>131.41666658333332</v>
      </c>
      <c r="AM465" s="4">
        <v>131.41666658333332</v>
      </c>
      <c r="AN465" s="4">
        <v>131.41666658333332</v>
      </c>
      <c r="AO465" s="4">
        <v>131.41666658333332</v>
      </c>
      <c r="AP465" s="4">
        <v>131.41666658333332</v>
      </c>
      <c r="AQ465" s="4">
        <v>131.41666658333332</v>
      </c>
      <c r="AR465" s="4">
        <v>131.41666658333332</v>
      </c>
      <c r="AS465" s="4">
        <v>131.41666658333332</v>
      </c>
      <c r="AT465" s="4">
        <v>131.41666658333332</v>
      </c>
      <c r="AU465" s="4">
        <v>133.41666658333332</v>
      </c>
      <c r="AV465" s="4">
        <v>137.77936266666666</v>
      </c>
      <c r="AW465" s="4">
        <v>137.77936266666666</v>
      </c>
      <c r="AX465" s="4">
        <v>137.77936266666666</v>
      </c>
      <c r="AY465" s="4">
        <v>137.77936266666666</v>
      </c>
      <c r="AZ465" s="4">
        <v>137.77936266666666</v>
      </c>
      <c r="BA465" s="4">
        <v>137.77936266666666</v>
      </c>
      <c r="BB465" s="4">
        <v>137.77936266666666</v>
      </c>
      <c r="BC465" s="4">
        <v>137.77936266666666</v>
      </c>
      <c r="BD465" s="4">
        <v>137.77936266666666</v>
      </c>
      <c r="BE465" s="4">
        <v>137.77936266666666</v>
      </c>
      <c r="BF465" s="4">
        <v>137.77936266666666</v>
      </c>
      <c r="BG465" s="4">
        <v>137.77936266666666</v>
      </c>
      <c r="BH465" s="4">
        <v>137.77936266666666</v>
      </c>
      <c r="BJ465" s="9"/>
    </row>
    <row r="466" spans="1:62" x14ac:dyDescent="0.25">
      <c r="A466" s="6" t="s">
        <v>311</v>
      </c>
      <c r="B466" s="6"/>
      <c r="C466" s="7" t="s">
        <v>526</v>
      </c>
      <c r="D466" s="3"/>
      <c r="E466" s="3">
        <f>VLOOKUP(A466,[2]Sheet1!$A$2:$E$627,5,0)</f>
        <v>99.333333416666676</v>
      </c>
      <c r="F466" s="3">
        <f>VLOOKUP(A466,[2]Sheet1!$A$2:$F$627,6,0)</f>
        <v>93.333596916666664</v>
      </c>
      <c r="G466" s="3">
        <f>VLOOKUP(A466,[2]Sheet1!$A$2:$G$627,7,0)</f>
        <v>0</v>
      </c>
      <c r="H466" s="4">
        <f t="shared" si="42"/>
        <v>93.333596916666664</v>
      </c>
      <c r="I466" s="11">
        <f t="shared" si="43"/>
        <v>-6.0400031828523576E-2</v>
      </c>
      <c r="J466" s="11">
        <f t="shared" si="44"/>
        <v>-1</v>
      </c>
      <c r="K466" s="11">
        <f t="shared" si="45"/>
        <v>-1</v>
      </c>
      <c r="L466" s="11">
        <f>IF(S466="",((BG466-E466)/E466),((U466-E466)/E466))</f>
        <v>-6.0400031828523576E-2</v>
      </c>
      <c r="M466" s="3" t="str">
        <f>IF(S466="Churn","Churn",VLOOKUP(A466,'[1]Revenue_Engine_2025 Dec.25'!$C$14:$E$3993,3,0))</f>
        <v>Diğer</v>
      </c>
      <c r="N466" s="3">
        <f>IF(S466="",VLOOKUP(A466,[3]Export!$B$2:$F$417,5,0),"CHURN")</f>
        <v>0.31952410477255055</v>
      </c>
      <c r="O466" s="3">
        <f>(1-N466)*H466</f>
        <v>63.511262916666666</v>
      </c>
      <c r="P466" s="3">
        <f t="shared" si="47"/>
        <v>63.511262916666666</v>
      </c>
      <c r="Q466" s="3">
        <f t="shared" si="46"/>
        <v>0</v>
      </c>
      <c r="R466" s="3" t="str">
        <f>IF(S466&lt;&gt;"Churn",VLOOKUP(A466,[3]Export!$B$2:$O$417,8,0),"CHURN")</f>
        <v>NO RISK</v>
      </c>
      <c r="S466" s="3"/>
      <c r="T466" s="3"/>
      <c r="U466" s="3" t="s">
        <v>551</v>
      </c>
      <c r="V466" s="4" t="str" cm="1">
        <f t="array" ref="V466">IFERROR(
    IF(
        MATCH(2,1/((Y466:BH466&lt;&gt;0)*(Y466:BH466&lt;&gt;"")))-MATCH(1,INDEX((Y466:BH466&lt;&gt;0)*(Y466:BH466&lt;&gt;""),0),0)+1 &lt;= 12,
        "No",
        "Yes"
    ),
    "No"
)</f>
        <v>Yes</v>
      </c>
      <c r="W466" s="4" t="str" cm="1">
        <f t="array" ref="W466">IFERROR(
    IF(
        MATCH(2,1/((Y466:BH466&lt;&gt;0)*(Y466:BH466&lt;&gt;"")))-MATCH(1,INDEX((Y466:BH466&lt;&gt;0)*(Y466:BH466&lt;&gt;""),0),0)+1 &lt;= 24,
        "No",
        "Yes"
    ),
    "No"
)</f>
        <v>Yes</v>
      </c>
      <c r="X466" s="3"/>
      <c r="Y466" s="4">
        <v>0</v>
      </c>
      <c r="Z466" s="4">
        <v>0</v>
      </c>
      <c r="AA466" s="4">
        <v>0</v>
      </c>
      <c r="AB466" s="4">
        <v>0</v>
      </c>
      <c r="AC466" s="4">
        <v>0</v>
      </c>
      <c r="AD466" s="4">
        <v>0</v>
      </c>
      <c r="AE466" s="4">
        <v>0</v>
      </c>
      <c r="AF466" s="4">
        <v>0</v>
      </c>
      <c r="AG466" s="4">
        <v>0</v>
      </c>
      <c r="AH466" s="4">
        <v>0</v>
      </c>
      <c r="AI466" s="4">
        <v>0</v>
      </c>
      <c r="AJ466" s="4">
        <v>99.333333416666676</v>
      </c>
      <c r="AK466" s="4">
        <v>99.333333416666676</v>
      </c>
      <c r="AL466" s="4">
        <v>99.333333416666676</v>
      </c>
      <c r="AM466" s="4">
        <v>99.333333416666676</v>
      </c>
      <c r="AN466" s="4">
        <v>99.333333416666676</v>
      </c>
      <c r="AO466" s="4">
        <v>99.333333416666676</v>
      </c>
      <c r="AP466" s="4">
        <v>99.333333416666676</v>
      </c>
      <c r="AQ466" s="4">
        <v>99.333333416666676</v>
      </c>
      <c r="AR466" s="4">
        <v>99.333333416666676</v>
      </c>
      <c r="AS466" s="4">
        <v>99.333333416666676</v>
      </c>
      <c r="AT466" s="4">
        <v>99.333333416666676</v>
      </c>
      <c r="AU466" s="4">
        <v>99.333333416666676</v>
      </c>
      <c r="AV466" s="4">
        <v>93.333596916666664</v>
      </c>
      <c r="AW466" s="4">
        <v>93.333596916666664</v>
      </c>
      <c r="AX466" s="4">
        <v>93.333596916666664</v>
      </c>
      <c r="AY466" s="4">
        <v>93.333596916666664</v>
      </c>
      <c r="AZ466" s="4">
        <v>93.333596916666664</v>
      </c>
      <c r="BA466" s="4">
        <v>93.333596916666664</v>
      </c>
      <c r="BB466" s="4">
        <v>93.333596916666664</v>
      </c>
      <c r="BC466" s="4">
        <v>93.333596916666664</v>
      </c>
      <c r="BD466" s="4">
        <v>93.333596916666664</v>
      </c>
      <c r="BE466" s="4">
        <v>93.333596916666664</v>
      </c>
      <c r="BF466" s="4">
        <v>93.333596916666664</v>
      </c>
      <c r="BG466" s="4">
        <v>93.333596916666664</v>
      </c>
      <c r="BH466" s="4">
        <v>93.333596916666664</v>
      </c>
      <c r="BJ466" s="9"/>
    </row>
    <row r="467" spans="1:62" x14ac:dyDescent="0.25">
      <c r="A467" s="6" t="s">
        <v>312</v>
      </c>
      <c r="B467" s="6"/>
      <c r="C467" s="7" t="s">
        <v>526</v>
      </c>
      <c r="D467" s="3"/>
      <c r="E467" s="3">
        <f>VLOOKUP(A467,[2]Sheet1!$A$2:$E$627,5,0)</f>
        <v>3667.9557930929013</v>
      </c>
      <c r="F467" s="3">
        <f>VLOOKUP(A467,[2]Sheet1!$A$2:$F$627,6,0)</f>
        <v>3743.8630713084776</v>
      </c>
      <c r="G467" s="3">
        <f>VLOOKUP(A467,[2]Sheet1!$A$2:$G$627,7,0)</f>
        <v>4645.1913933014084</v>
      </c>
      <c r="H467" s="4">
        <f t="shared" si="42"/>
        <v>3472.0790900143716</v>
      </c>
      <c r="I467" s="11">
        <f t="shared" si="43"/>
        <v>2.0694709123407838E-2</v>
      </c>
      <c r="J467" s="11">
        <f t="shared" si="44"/>
        <v>0.26642513032701531</v>
      </c>
      <c r="K467" s="11">
        <f t="shared" si="45"/>
        <v>0.24074820708598116</v>
      </c>
      <c r="L467" s="11">
        <f>IF(S467="",((BG467-E467)/E467),((U467-E467)/E467))</f>
        <v>-6.0287291509458052E-2</v>
      </c>
      <c r="M467" s="3" t="str">
        <f>IF(S467="Churn","Churn",VLOOKUP(A467,'[1]Revenue_Engine_2025 Dec.25'!$C$14:$E$3993,3,0))</f>
        <v>Genel</v>
      </c>
      <c r="N467" s="3">
        <f>IF(S467="",VLOOKUP(A467,[3]Export!$B$2:$F$417,5,0),"CHURN")</f>
        <v>0</v>
      </c>
      <c r="O467" s="3">
        <f>(1-N467)*H467</f>
        <v>3472.0790900143716</v>
      </c>
      <c r="P467" s="3">
        <f t="shared" si="47"/>
        <v>3743.8630713084776</v>
      </c>
      <c r="Q467" s="3">
        <f t="shared" si="46"/>
        <v>4645.1913933014084</v>
      </c>
      <c r="R467" s="3" t="str">
        <f>IF(S467&lt;&gt;"Churn",VLOOKUP(A467,[3]Export!$B$2:$O$417,8,0),"CHURN")</f>
        <v>BOOKED CHURN</v>
      </c>
      <c r="S467" s="3"/>
      <c r="T467" s="3"/>
      <c r="U467" s="3" t="s">
        <v>551</v>
      </c>
      <c r="V467" s="4" t="str" cm="1">
        <f t="array" ref="V467">IFERROR(
    IF(
        MATCH(2,1/((Y467:BH467&lt;&gt;0)*(Y467:BH467&lt;&gt;"")))-MATCH(1,INDEX((Y467:BH467&lt;&gt;0)*(Y467:BH467&lt;&gt;""),0),0)+1 &lt;= 12,
        "No",
        "Yes"
    ),
    "No"
)</f>
        <v>Yes</v>
      </c>
      <c r="W467" s="4" t="str" cm="1">
        <f t="array" ref="W467">IFERROR(
    IF(
        MATCH(2,1/((Y467:BH467&lt;&gt;0)*(Y467:BH467&lt;&gt;"")))-MATCH(1,INDEX((Y467:BH467&lt;&gt;0)*(Y467:BH467&lt;&gt;""),0),0)+1 &lt;= 24,
        "No",
        "Yes"
    ),
    "No"
)</f>
        <v>Yes</v>
      </c>
      <c r="X467" s="3"/>
      <c r="Y467" s="4">
        <v>1933.9809862834054</v>
      </c>
      <c r="Z467" s="4">
        <v>3531.2336310077189</v>
      </c>
      <c r="AA467" s="4">
        <v>3667.9557930929013</v>
      </c>
      <c r="AB467" s="4">
        <v>3636.1014135428695</v>
      </c>
      <c r="AC467" s="4">
        <v>3656.7128943125331</v>
      </c>
      <c r="AD467" s="4">
        <v>3401.9421686747805</v>
      </c>
      <c r="AE467" s="4">
        <v>3236.6304320177014</v>
      </c>
      <c r="AF467" s="4">
        <v>3225.2693596788995</v>
      </c>
      <c r="AG467" s="4">
        <v>3905.6292079362051</v>
      </c>
      <c r="AH467" s="4">
        <v>3845.7226276266142</v>
      </c>
      <c r="AI467" s="4">
        <v>3793.8648908493333</v>
      </c>
      <c r="AJ467" s="4">
        <v>3765.3225478066979</v>
      </c>
      <c r="AK467" s="4">
        <v>3743.8630713084776</v>
      </c>
      <c r="AL467" s="4">
        <v>3980.7900154304834</v>
      </c>
      <c r="AM467" s="4">
        <v>4035.4521390446789</v>
      </c>
      <c r="AN467" s="4">
        <v>4015.6870447917854</v>
      </c>
      <c r="AO467" s="4">
        <v>4018.5432415672904</v>
      </c>
      <c r="AP467" s="4">
        <v>4001.8840046969494</v>
      </c>
      <c r="AQ467" s="4">
        <v>3979.2853743135502</v>
      </c>
      <c r="AR467" s="4">
        <v>3937.7733491605836</v>
      </c>
      <c r="AS467" s="4">
        <v>4772.6765440844965</v>
      </c>
      <c r="AT467" s="4">
        <v>4757.8465204196636</v>
      </c>
      <c r="AU467" s="4">
        <v>4742.9367555837716</v>
      </c>
      <c r="AV467" s="4">
        <v>4701.110956452495</v>
      </c>
      <c r="AW467" s="4">
        <v>4645.1913933014084</v>
      </c>
      <c r="AX467" s="4">
        <v>4599.2134085217458</v>
      </c>
      <c r="AY467" s="4">
        <v>3755.3053428533071</v>
      </c>
      <c r="AZ467" s="4">
        <v>3688.5678399230405</v>
      </c>
      <c r="BA467" s="4">
        <v>3645.8041675159643</v>
      </c>
      <c r="BB467" s="4">
        <v>3605.2128210233313</v>
      </c>
      <c r="BC467" s="4">
        <v>3560.0060509563141</v>
      </c>
      <c r="BD467" s="4">
        <v>3524.5074997953784</v>
      </c>
      <c r="BE467" s="4">
        <v>3501.0364208183141</v>
      </c>
      <c r="BF467" s="4">
        <v>3472.0790900143716</v>
      </c>
      <c r="BG467" s="4">
        <v>3446.8246729509042</v>
      </c>
      <c r="BH467" s="4">
        <v>3425.4592707998213</v>
      </c>
      <c r="BJ467" s="9"/>
    </row>
    <row r="468" spans="1:62" x14ac:dyDescent="0.25">
      <c r="A468" s="6" t="s">
        <v>313</v>
      </c>
      <c r="B468" s="6"/>
      <c r="C468" s="7" t="s">
        <v>526</v>
      </c>
      <c r="D468" s="3"/>
      <c r="E468" s="3">
        <f>VLOOKUP(A468,[2]Sheet1!$A$2:$E$627,5,0)</f>
        <v>450</v>
      </c>
      <c r="F468" s="3">
        <f>VLOOKUP(A468,[2]Sheet1!$A$2:$F$627,6,0)</f>
        <v>469.50000000000006</v>
      </c>
      <c r="G468" s="3">
        <f>VLOOKUP(A468,[2]Sheet1!$A$2:$G$627,7,0)</f>
        <v>847.50823100000002</v>
      </c>
      <c r="H468" s="4">
        <f t="shared" si="42"/>
        <v>830.00823100000002</v>
      </c>
      <c r="I468" s="11">
        <f t="shared" si="43"/>
        <v>4.333333333333346E-2</v>
      </c>
      <c r="J468" s="11">
        <f t="shared" si="44"/>
        <v>0.88335162444444448</v>
      </c>
      <c r="K468" s="11">
        <f t="shared" si="45"/>
        <v>0.80512935250266227</v>
      </c>
      <c r="L468" s="11">
        <f>IF(S468="",((BG468-E468)/E468),((U468-E468)/E468))</f>
        <v>0.84446273555555562</v>
      </c>
      <c r="M468" s="3" t="str">
        <f>IF(S468="Churn","Churn",VLOOKUP(A468,'[1]Revenue_Engine_2025 Dec.25'!$C$14:$E$3993,3,0))</f>
        <v>Genel</v>
      </c>
      <c r="N468" s="3">
        <f>IF(S468="",VLOOKUP(A468,[3]Export!$B$2:$F$417,5,0),"CHURN")</f>
        <v>0.14973598014837036</v>
      </c>
      <c r="O468" s="3">
        <f>(1-N468)*H468</f>
        <v>705.726135</v>
      </c>
      <c r="P468" s="3">
        <f t="shared" si="47"/>
        <v>399.19895732034013</v>
      </c>
      <c r="Q468" s="3">
        <f t="shared" si="46"/>
        <v>720.60575534740349</v>
      </c>
      <c r="R468" s="3" t="str">
        <f>IF(S468&lt;&gt;"Churn",VLOOKUP(A468,[3]Export!$B$2:$O$417,8,0),"CHURN")</f>
        <v>BOOKED CHURN</v>
      </c>
      <c r="S468" s="3"/>
      <c r="T468" s="3"/>
      <c r="U468" s="3" t="s">
        <v>551</v>
      </c>
      <c r="V468" s="4" t="str" cm="1">
        <f t="array" ref="V468">IFERROR(
    IF(
        MATCH(2,1/((Y468:BH468&lt;&gt;0)*(Y468:BH468&lt;&gt;"")))-MATCH(1,INDEX((Y468:BH468&lt;&gt;0)*(Y468:BH468&lt;&gt;""),0),0)+1 &lt;= 12,
        "No",
        "Yes"
    ),
    "No"
)</f>
        <v>Yes</v>
      </c>
      <c r="W468" s="4" t="str" cm="1">
        <f t="array" ref="W468">IFERROR(
    IF(
        MATCH(2,1/((Y468:BH468&lt;&gt;0)*(Y468:BH468&lt;&gt;"")))-MATCH(1,INDEX((Y468:BH468&lt;&gt;0)*(Y468:BH468&lt;&gt;""),0),0)+1 &lt;= 24,
        "No",
        "Yes"
    ),
    "No"
)</f>
        <v>Yes</v>
      </c>
      <c r="X468" s="3"/>
      <c r="Y468" s="4">
        <v>205</v>
      </c>
      <c r="Z468" s="4">
        <v>450</v>
      </c>
      <c r="AA468" s="4">
        <v>450</v>
      </c>
      <c r="AB468" s="4">
        <v>459</v>
      </c>
      <c r="AC468" s="4">
        <v>459.00000000000006</v>
      </c>
      <c r="AD468" s="4">
        <v>459.00000000000006</v>
      </c>
      <c r="AE468" s="4">
        <v>459.00000000000006</v>
      </c>
      <c r="AF468" s="4">
        <v>459.00000000000006</v>
      </c>
      <c r="AG468" s="4">
        <v>469.50000000000006</v>
      </c>
      <c r="AH468" s="4">
        <v>469.50000000000006</v>
      </c>
      <c r="AI468" s="4">
        <v>469.50000000000006</v>
      </c>
      <c r="AJ468" s="4">
        <v>469.50000000000006</v>
      </c>
      <c r="AK468" s="4">
        <v>469.50000000000006</v>
      </c>
      <c r="AL468" s="4">
        <v>469.50000000000006</v>
      </c>
      <c r="AM468" s="4">
        <v>469.50000000000006</v>
      </c>
      <c r="AN468" s="4">
        <v>469.50000000000006</v>
      </c>
      <c r="AO468" s="4">
        <v>469.50000000000006</v>
      </c>
      <c r="AP468" s="4">
        <v>469.50000000000006</v>
      </c>
      <c r="AQ468" s="4">
        <v>487.00000000000006</v>
      </c>
      <c r="AR468" s="4">
        <v>487.00000000000006</v>
      </c>
      <c r="AS468" s="4">
        <v>717.51015400000006</v>
      </c>
      <c r="AT468" s="4">
        <v>717.51015400000006</v>
      </c>
      <c r="AU468" s="4">
        <v>717.51015400000006</v>
      </c>
      <c r="AV468" s="4">
        <v>717.51015400000006</v>
      </c>
      <c r="AW468" s="4">
        <v>847.50823100000002</v>
      </c>
      <c r="AX468" s="4">
        <v>847.50823100000002</v>
      </c>
      <c r="AY468" s="4">
        <v>847.50823100000002</v>
      </c>
      <c r="AZ468" s="4">
        <v>830.00823100000025</v>
      </c>
      <c r="BA468" s="4">
        <v>830.00823100000002</v>
      </c>
      <c r="BB468" s="4">
        <v>830.00823100000002</v>
      </c>
      <c r="BC468" s="4">
        <v>830.00823100000002</v>
      </c>
      <c r="BD468" s="4">
        <v>830.00823100000002</v>
      </c>
      <c r="BE468" s="4">
        <v>830.00823100000002</v>
      </c>
      <c r="BF468" s="4">
        <v>830.00823100000002</v>
      </c>
      <c r="BG468" s="4">
        <v>830.00823100000002</v>
      </c>
      <c r="BH468" s="4">
        <v>830.00823100000002</v>
      </c>
      <c r="BJ468" s="9"/>
    </row>
    <row r="469" spans="1:62" x14ac:dyDescent="0.25">
      <c r="A469" s="6" t="s">
        <v>314</v>
      </c>
      <c r="B469" s="6"/>
      <c r="C469" s="7" t="s">
        <v>526</v>
      </c>
      <c r="D469" s="3"/>
      <c r="E469" s="3">
        <f>VLOOKUP(A469,[2]Sheet1!$A$2:$E$627,5,0)</f>
        <v>325.21680957559249</v>
      </c>
      <c r="F469" s="3">
        <f>VLOOKUP(A469,[2]Sheet1!$A$2:$F$627,6,0)</f>
        <v>350.81028189795757</v>
      </c>
      <c r="G469" s="3">
        <f>VLOOKUP(A469,[2]Sheet1!$A$2:$G$627,7,0)</f>
        <v>1378.5288159864406</v>
      </c>
      <c r="H469" s="4">
        <f t="shared" si="42"/>
        <v>1343.3560717608534</v>
      </c>
      <c r="I469" s="11">
        <f t="shared" si="43"/>
        <v>7.8696646571757845E-2</v>
      </c>
      <c r="J469" s="11">
        <f t="shared" si="44"/>
        <v>3.2387993959642452</v>
      </c>
      <c r="K469" s="11">
        <f t="shared" si="45"/>
        <v>2.9295564785852601</v>
      </c>
      <c r="L469" s="11">
        <f>IF(S469="",((BG469-E469)/E469),((U469-E469)/E469))</f>
        <v>3.116335562850276</v>
      </c>
      <c r="M469" s="3" t="str">
        <f>IF(S469="Churn","Churn",VLOOKUP(A469,'[1]Revenue_Engine_2025 Dec.25'!$C$14:$E$3993,3,0))</f>
        <v>Genel</v>
      </c>
      <c r="N469" s="3">
        <f>IF(S469="",VLOOKUP(A469,[3]Export!$B$2:$F$417,5,0),"CHURN")</f>
        <v>0.13073158150430464</v>
      </c>
      <c r="O469" s="3">
        <f>(1-N469)*H469</f>
        <v>1167.737007976147</v>
      </c>
      <c r="P469" s="3">
        <f t="shared" si="47"/>
        <v>304.94829893746663</v>
      </c>
      <c r="Q469" s="3">
        <f t="shared" si="46"/>
        <v>1198.3115637232765</v>
      </c>
      <c r="R469" s="3" t="str">
        <f>IF(S469&lt;&gt;"Churn",VLOOKUP(A469,[3]Export!$B$2:$O$417,8,0),"CHURN")</f>
        <v>NO RISK</v>
      </c>
      <c r="S469" s="3"/>
      <c r="T469" s="3"/>
      <c r="U469" s="3" t="s">
        <v>551</v>
      </c>
      <c r="V469" s="4" t="str" cm="1">
        <f t="array" ref="V469">IFERROR(
    IF(
        MATCH(2,1/((Y469:BH469&lt;&gt;0)*(Y469:BH469&lt;&gt;"")))-MATCH(1,INDEX((Y469:BH469&lt;&gt;0)*(Y469:BH469&lt;&gt;""),0),0)+1 &lt;= 12,
        "No",
        "Yes"
    ),
    "No"
)</f>
        <v>Yes</v>
      </c>
      <c r="W469" s="4" t="str" cm="1">
        <f t="array" ref="W469">IFERROR(
    IF(
        MATCH(2,1/((Y469:BH469&lt;&gt;0)*(Y469:BH469&lt;&gt;"")))-MATCH(1,INDEX((Y469:BH469&lt;&gt;0)*(Y469:BH469&lt;&gt;""),0),0)+1 &lt;= 24,
        "No",
        "Yes"
    ),
    "No"
)</f>
        <v>Yes</v>
      </c>
      <c r="X469" s="3"/>
      <c r="Y469" s="4">
        <v>0</v>
      </c>
      <c r="Z469" s="4">
        <v>0</v>
      </c>
      <c r="AA469" s="4">
        <v>0</v>
      </c>
      <c r="AB469" s="4">
        <v>0</v>
      </c>
      <c r="AC469" s="4">
        <v>325.21680957559249</v>
      </c>
      <c r="AD469" s="4">
        <v>273.49520695873645</v>
      </c>
      <c r="AE469" s="4">
        <v>262.82826571382043</v>
      </c>
      <c r="AF469" s="4">
        <v>257.85573613283645</v>
      </c>
      <c r="AG469" s="4">
        <v>257.61644285486261</v>
      </c>
      <c r="AH469" s="4">
        <v>249.67618177847703</v>
      </c>
      <c r="AI469" s="4">
        <v>242.80274706205461</v>
      </c>
      <c r="AJ469" s="4">
        <v>239.01962917552083</v>
      </c>
      <c r="AK469" s="4">
        <v>231.403747103288</v>
      </c>
      <c r="AL469" s="4">
        <v>226.08683286530581</v>
      </c>
      <c r="AM469" s="4">
        <v>217.43101550212734</v>
      </c>
      <c r="AN469" s="4">
        <v>215.26542570713386</v>
      </c>
      <c r="AO469" s="4">
        <v>350.81028189795757</v>
      </c>
      <c r="AP469" s="4">
        <v>347.83933431688399</v>
      </c>
      <c r="AQ469" s="4">
        <v>343.81007014147019</v>
      </c>
      <c r="AR469" s="4">
        <v>336.40860762095406</v>
      </c>
      <c r="AS469" s="4">
        <v>332.55707706849938</v>
      </c>
      <c r="AT469" s="4">
        <v>1230.4913800834076</v>
      </c>
      <c r="AU469" s="4">
        <v>1228.6695918915341</v>
      </c>
      <c r="AV469" s="4">
        <v>1223.5589984105688</v>
      </c>
      <c r="AW469" s="4">
        <v>1218.6813233047662</v>
      </c>
      <c r="AX469" s="4">
        <v>1215.0033842775797</v>
      </c>
      <c r="AY469" s="4">
        <v>1207.1926250756355</v>
      </c>
      <c r="AZ469" s="4">
        <v>1197.0981306129993</v>
      </c>
      <c r="BA469" s="4">
        <v>1378.5288159864406</v>
      </c>
      <c r="BB469" s="4">
        <v>1370.4041415332761</v>
      </c>
      <c r="BC469" s="4">
        <v>1361.355654069569</v>
      </c>
      <c r="BD469" s="4">
        <v>1354.2503423057929</v>
      </c>
      <c r="BE469" s="4">
        <v>1348.7517916822917</v>
      </c>
      <c r="BF469" s="4">
        <v>1343.3560717608534</v>
      </c>
      <c r="BG469" s="4">
        <v>1338.7015188927176</v>
      </c>
      <c r="BH469" s="4">
        <v>1334.4250670861729</v>
      </c>
      <c r="BJ469" s="9"/>
    </row>
    <row r="470" spans="1:62" x14ac:dyDescent="0.25">
      <c r="A470" s="6" t="s">
        <v>315</v>
      </c>
      <c r="B470" s="6"/>
      <c r="C470" s="7" t="s">
        <v>526</v>
      </c>
      <c r="D470" s="3"/>
      <c r="E470" s="3">
        <f>VLOOKUP(A470,[2]Sheet1!$A$2:$E$627,5,0)</f>
        <v>110</v>
      </c>
      <c r="F470" s="3">
        <f>VLOOKUP(A470,[2]Sheet1!$A$2:$F$627,6,0)</f>
        <v>157.64000000000001</v>
      </c>
      <c r="G470" s="3">
        <f>VLOOKUP(A470,[2]Sheet1!$A$2:$G$627,7,0)</f>
        <v>199.49759999999998</v>
      </c>
      <c r="H470" s="4">
        <f t="shared" si="42"/>
        <v>207.49759999999998</v>
      </c>
      <c r="I470" s="11">
        <f t="shared" si="43"/>
        <v>0.43309090909090925</v>
      </c>
      <c r="J470" s="11">
        <f t="shared" si="44"/>
        <v>0.81361454545454526</v>
      </c>
      <c r="K470" s="11">
        <f t="shared" si="45"/>
        <v>0.26552651611266148</v>
      </c>
      <c r="L470" s="11">
        <f>IF(S470="",((BG470-E470)/E470),((U470-E470)/E470))</f>
        <v>0.88634181818181801</v>
      </c>
      <c r="M470" s="3" t="str">
        <f>IF(S470="Churn","Churn",VLOOKUP(A470,'[1]Revenue_Engine_2025 Dec.25'!$C$14:$E$3993,3,0))</f>
        <v>Churn</v>
      </c>
      <c r="N470" s="3" t="str">
        <f>IF(S470="",VLOOKUP(A470,[3]Export!$B$2:$F$417,5,0),"CHURN")</f>
        <v>CHURN</v>
      </c>
      <c r="O470" s="3" t="e">
        <f>(1-N470)*H470</f>
        <v>#VALUE!</v>
      </c>
      <c r="P470" s="3" t="e">
        <f t="shared" si="47"/>
        <v>#VALUE!</v>
      </c>
      <c r="Q470" s="3" t="e">
        <f t="shared" si="46"/>
        <v>#VALUE!</v>
      </c>
      <c r="R470" s="3" t="str">
        <f>IF(S470&lt;&gt;"Churn",VLOOKUP(A470,[3]Export!$B$2:$O$417,8,0),"CHURN")</f>
        <v>CHURN</v>
      </c>
      <c r="S470" s="3" t="s">
        <v>372</v>
      </c>
      <c r="T470" s="3" t="s">
        <v>556</v>
      </c>
      <c r="U470" s="3">
        <v>207.49759999999998</v>
      </c>
      <c r="V470" s="4" t="str" cm="1">
        <f t="array" ref="V470">IFERROR(
    IF(
        MATCH(2,1/((Y470:BH470&lt;&gt;0)*(Y470:BH470&lt;&gt;"")))-MATCH(1,INDEX((Y470:BH470&lt;&gt;0)*(Y470:BH470&lt;&gt;""),0),0)+1 &lt;= 12,
        "No",
        "Yes"
    ),
    "No"
)</f>
        <v>Yes</v>
      </c>
      <c r="W470" s="4" t="str" cm="1">
        <f t="array" ref="W470">IFERROR(
    IF(
        MATCH(2,1/((Y470:BH470&lt;&gt;0)*(Y470:BH470&lt;&gt;"")))-MATCH(1,INDEX((Y470:BH470&lt;&gt;0)*(Y470:BH470&lt;&gt;""),0),0)+1 &lt;= 24,
        "No",
        "Yes"
    ),
    "No"
)</f>
        <v>Yes</v>
      </c>
      <c r="X470" s="3"/>
      <c r="Y470" s="4">
        <v>110</v>
      </c>
      <c r="Z470" s="4">
        <v>110</v>
      </c>
      <c r="AA470" s="4">
        <v>110</v>
      </c>
      <c r="AB470" s="4">
        <v>119</v>
      </c>
      <c r="AC470" s="4">
        <v>119</v>
      </c>
      <c r="AD470" s="4">
        <v>119</v>
      </c>
      <c r="AE470" s="4">
        <v>126.13999999999999</v>
      </c>
      <c r="AF470" s="4">
        <v>154.13999999999999</v>
      </c>
      <c r="AG470" s="4">
        <v>157.63999999999999</v>
      </c>
      <c r="AH470" s="4">
        <v>157.63999999999999</v>
      </c>
      <c r="AI470" s="4">
        <v>157.64000000000001</v>
      </c>
      <c r="AJ470" s="4">
        <v>157.64000000000001</v>
      </c>
      <c r="AK470" s="4">
        <v>157.64000000000001</v>
      </c>
      <c r="AL470" s="4">
        <v>157.64000000000001</v>
      </c>
      <c r="AM470" s="4">
        <v>157.64000000000001</v>
      </c>
      <c r="AN470" s="4">
        <v>157.64000000000001</v>
      </c>
      <c r="AO470" s="4">
        <v>157.64000000000001</v>
      </c>
      <c r="AP470" s="4">
        <v>157.64000000000001</v>
      </c>
      <c r="AQ470" s="4">
        <v>157.64000000000001</v>
      </c>
      <c r="AR470" s="4">
        <v>157.64000000000004</v>
      </c>
      <c r="AS470" s="4">
        <v>157.64000000000004</v>
      </c>
      <c r="AT470" s="4">
        <v>157.64000000000004</v>
      </c>
      <c r="AU470" s="4">
        <v>157.64000000000004</v>
      </c>
      <c r="AV470" s="4">
        <v>167.64000000000001</v>
      </c>
      <c r="AW470" s="4">
        <v>199.49759999999998</v>
      </c>
      <c r="AX470" s="4">
        <v>207.49759999999998</v>
      </c>
      <c r="AY470" s="4">
        <v>207.49759999999998</v>
      </c>
      <c r="AZ470" s="4">
        <v>207.49760000000001</v>
      </c>
      <c r="BA470" s="4">
        <v>207.49759999999998</v>
      </c>
      <c r="BB470" s="4">
        <v>207.49759999999998</v>
      </c>
      <c r="BC470" s="4">
        <v>207.49759999999998</v>
      </c>
      <c r="BD470" s="4">
        <v>207.49759999999998</v>
      </c>
      <c r="BE470" s="4">
        <v>207.49759999999998</v>
      </c>
      <c r="BF470" s="4">
        <v>207.49759999999998</v>
      </c>
      <c r="BG470" s="4">
        <v>207.49759999999998</v>
      </c>
      <c r="BH470" s="4">
        <v>0</v>
      </c>
      <c r="BJ470" s="9"/>
    </row>
    <row r="471" spans="1:62" x14ac:dyDescent="0.25">
      <c r="A471" s="6" t="s">
        <v>316</v>
      </c>
      <c r="B471" s="6"/>
      <c r="C471" s="7" t="s">
        <v>526</v>
      </c>
      <c r="D471" s="3"/>
      <c r="E471" s="3">
        <f>VLOOKUP(A471,[2]Sheet1!$A$2:$E$627,5,0)</f>
        <v>135</v>
      </c>
      <c r="F471" s="3">
        <f>VLOOKUP(A471,[2]Sheet1!$A$2:$F$627,6,0)</f>
        <v>160.99999999999997</v>
      </c>
      <c r="G471" s="3">
        <f>VLOOKUP(A471,[2]Sheet1!$A$2:$G$627,7,0)</f>
        <v>180.99999999999997</v>
      </c>
      <c r="H471" s="4">
        <f t="shared" si="42"/>
        <v>180.99999999999997</v>
      </c>
      <c r="I471" s="11">
        <f t="shared" si="43"/>
        <v>0.19259259259259237</v>
      </c>
      <c r="J471" s="11">
        <f t="shared" si="44"/>
        <v>0.34074074074074051</v>
      </c>
      <c r="K471" s="11">
        <f t="shared" si="45"/>
        <v>0.12422360248447208</v>
      </c>
      <c r="L471" s="11">
        <f>IF(S471="",((BG471-E471)/E471),((U471-E471)/E471))</f>
        <v>0.34074074074074051</v>
      </c>
      <c r="M471" s="3" t="str">
        <f>IF(S471="Churn","Churn",VLOOKUP(A471,'[1]Revenue_Engine_2025 Dec.25'!$C$14:$E$3993,3,0))</f>
        <v>Genel</v>
      </c>
      <c r="N471" s="3">
        <f>IF(S471="",VLOOKUP(A471,[3]Export!$B$2:$F$417,5,0),"CHURN")</f>
        <v>0.17679558011049726</v>
      </c>
      <c r="O471" s="3">
        <f>(1-N471)*H471</f>
        <v>148.99999999999997</v>
      </c>
      <c r="P471" s="3">
        <f t="shared" si="47"/>
        <v>132.53591160220992</v>
      </c>
      <c r="Q471" s="3">
        <f t="shared" si="46"/>
        <v>148.99999999999997</v>
      </c>
      <c r="R471" s="3" t="str">
        <f>IF(S471&lt;&gt;"Churn",VLOOKUP(A471,[3]Export!$B$2:$O$417,8,0),"CHURN")</f>
        <v>NO RISK</v>
      </c>
      <c r="S471" s="3"/>
      <c r="T471" s="3"/>
      <c r="U471" s="3" t="s">
        <v>551</v>
      </c>
      <c r="V471" s="4" t="str" cm="1">
        <f t="array" ref="V471">IFERROR(
    IF(
        MATCH(2,1/((Y471:BH471&lt;&gt;0)*(Y471:BH471&lt;&gt;"")))-MATCH(1,INDEX((Y471:BH471&lt;&gt;0)*(Y471:BH471&lt;&gt;""),0),0)+1 &lt;= 12,
        "No",
        "Yes"
    ),
    "No"
)</f>
        <v>Yes</v>
      </c>
      <c r="W471" s="4" t="str" cm="1">
        <f t="array" ref="W471">IFERROR(
    IF(
        MATCH(2,1/((Y471:BH471&lt;&gt;0)*(Y471:BH471&lt;&gt;"")))-MATCH(1,INDEX((Y471:BH471&lt;&gt;0)*(Y471:BH471&lt;&gt;""),0),0)+1 &lt;= 24,
        "No",
        "Yes"
    ),
    "No"
)</f>
        <v>Yes</v>
      </c>
      <c r="X471" s="3"/>
      <c r="Y471" s="4">
        <v>135</v>
      </c>
      <c r="Z471" s="4">
        <v>135</v>
      </c>
      <c r="AA471" s="4">
        <v>135</v>
      </c>
      <c r="AB471" s="4">
        <v>144</v>
      </c>
      <c r="AC471" s="4">
        <v>143.99999999999997</v>
      </c>
      <c r="AD471" s="4">
        <v>143.99999999999997</v>
      </c>
      <c r="AE471" s="4">
        <v>143.99999999999997</v>
      </c>
      <c r="AF471" s="4">
        <v>143.99999999999997</v>
      </c>
      <c r="AG471" s="4">
        <v>160.99999999999997</v>
      </c>
      <c r="AH471" s="4">
        <v>160.99999999999997</v>
      </c>
      <c r="AI471" s="4">
        <v>160.99999999999997</v>
      </c>
      <c r="AJ471" s="4">
        <v>160.99999999999997</v>
      </c>
      <c r="AK471" s="4">
        <v>160.99999999999997</v>
      </c>
      <c r="AL471" s="4">
        <v>160.99999999999997</v>
      </c>
      <c r="AM471" s="4">
        <v>180.99999999999997</v>
      </c>
      <c r="AN471" s="4">
        <v>180.99999999999997</v>
      </c>
      <c r="AO471" s="4">
        <v>180.99999999999997</v>
      </c>
      <c r="AP471" s="4">
        <v>180.99999999999997</v>
      </c>
      <c r="AQ471" s="4">
        <v>180.99999999999997</v>
      </c>
      <c r="AR471" s="4">
        <v>180.99999999999997</v>
      </c>
      <c r="AS471" s="4">
        <v>180.99999999999997</v>
      </c>
      <c r="AT471" s="4">
        <v>180.99999999999997</v>
      </c>
      <c r="AU471" s="4">
        <v>180.99999999999997</v>
      </c>
      <c r="AV471" s="4">
        <v>180.99999999999997</v>
      </c>
      <c r="AW471" s="4">
        <v>180.99999999999997</v>
      </c>
      <c r="AX471" s="4">
        <v>180.99999999999997</v>
      </c>
      <c r="AY471" s="4">
        <v>180.99999999999997</v>
      </c>
      <c r="AZ471" s="4">
        <v>181.00000000000003</v>
      </c>
      <c r="BA471" s="4">
        <v>180.99999999999997</v>
      </c>
      <c r="BB471" s="4">
        <v>180.99999999999997</v>
      </c>
      <c r="BC471" s="4">
        <v>180.99999999999997</v>
      </c>
      <c r="BD471" s="4">
        <v>180.99999999999997</v>
      </c>
      <c r="BE471" s="4">
        <v>180.99999999999997</v>
      </c>
      <c r="BF471" s="4">
        <v>180.99999999999997</v>
      </c>
      <c r="BG471" s="4">
        <v>180.99999999999997</v>
      </c>
      <c r="BH471" s="4">
        <v>180.99999999999997</v>
      </c>
      <c r="BJ471" s="9"/>
    </row>
    <row r="472" spans="1:62" x14ac:dyDescent="0.25">
      <c r="A472" s="6" t="s">
        <v>317</v>
      </c>
      <c r="B472" s="6"/>
      <c r="C472" s="7" t="s">
        <v>526</v>
      </c>
      <c r="D472" s="3"/>
      <c r="E472" s="3">
        <f>VLOOKUP(A472,[2]Sheet1!$A$2:$E$627,5,0)</f>
        <v>130</v>
      </c>
      <c r="F472" s="3">
        <f>VLOOKUP(A472,[2]Sheet1!$A$2:$F$627,6,0)</f>
        <v>140.67199999999997</v>
      </c>
      <c r="G472" s="3">
        <f>VLOOKUP(A472,[2]Sheet1!$A$2:$G$627,7,0)</f>
        <v>170.67226000000002</v>
      </c>
      <c r="H472" s="4">
        <f t="shared" si="42"/>
        <v>170.67226000000002</v>
      </c>
      <c r="I472" s="11">
        <f t="shared" si="43"/>
        <v>8.2092307692307451E-2</v>
      </c>
      <c r="J472" s="11">
        <f t="shared" si="44"/>
        <v>0.31286353846153864</v>
      </c>
      <c r="K472" s="11">
        <f t="shared" si="45"/>
        <v>0.2132639046860787</v>
      </c>
      <c r="L472" s="11">
        <f>IF(S472="",((BG472-E472)/E472),((U472-E472)/E472))</f>
        <v>0.31286353846153864</v>
      </c>
      <c r="M472" s="3" t="str">
        <f>IF(S472="Churn","Churn",VLOOKUP(A472,'[1]Revenue_Engine_2025 Dec.25'!$C$14:$E$3993,3,0))</f>
        <v>Enerji</v>
      </c>
      <c r="N472" s="3">
        <f>IF(S472="",VLOOKUP(A472,[3]Export!$B$2:$F$417,5,0),"CHURN")</f>
        <v>0.2931935160406266</v>
      </c>
      <c r="O472" s="3">
        <f>(1-N472)*H472</f>
        <v>120.63226000000002</v>
      </c>
      <c r="P472" s="3">
        <f t="shared" si="47"/>
        <v>99.427881711532947</v>
      </c>
      <c r="Q472" s="3">
        <f t="shared" si="46"/>
        <v>120.63226000000002</v>
      </c>
      <c r="R472" s="3" t="str">
        <f>IF(S472&lt;&gt;"Churn",VLOOKUP(A472,[3]Export!$B$2:$O$417,8,0),"CHURN")</f>
        <v>NO RISK</v>
      </c>
      <c r="S472" s="3"/>
      <c r="T472" s="3"/>
      <c r="U472" s="3" t="s">
        <v>551</v>
      </c>
      <c r="V472" s="4" t="str" cm="1">
        <f t="array" ref="V472">IFERROR(
    IF(
        MATCH(2,1/((Y472:BH472&lt;&gt;0)*(Y472:BH472&lt;&gt;"")))-MATCH(1,INDEX((Y472:BH472&lt;&gt;0)*(Y472:BH472&lt;&gt;""),0),0)+1 &lt;= 12,
        "No",
        "Yes"
    ),
    "No"
)</f>
        <v>Yes</v>
      </c>
      <c r="W472" s="4" t="str" cm="1">
        <f t="array" ref="W472">IFERROR(
    IF(
        MATCH(2,1/((Y472:BH472&lt;&gt;0)*(Y472:BH472&lt;&gt;"")))-MATCH(1,INDEX((Y472:BH472&lt;&gt;0)*(Y472:BH472&lt;&gt;""),0),0)+1 &lt;= 24,
        "No",
        "Yes"
    ),
    "No"
)</f>
        <v>Yes</v>
      </c>
      <c r="X472" s="3"/>
      <c r="Y472" s="4">
        <v>130</v>
      </c>
      <c r="Z472" s="4">
        <v>130</v>
      </c>
      <c r="AA472" s="4">
        <v>130</v>
      </c>
      <c r="AB472" s="4">
        <v>139</v>
      </c>
      <c r="AC472" s="4">
        <v>139</v>
      </c>
      <c r="AD472" s="4">
        <v>139</v>
      </c>
      <c r="AE472" s="4">
        <v>159</v>
      </c>
      <c r="AF472" s="4">
        <v>159</v>
      </c>
      <c r="AG472" s="4">
        <v>159</v>
      </c>
      <c r="AH472" s="4">
        <v>159</v>
      </c>
      <c r="AI472" s="4">
        <v>159</v>
      </c>
      <c r="AJ472" s="4">
        <v>140.67199999999997</v>
      </c>
      <c r="AK472" s="4">
        <v>140.67199999999997</v>
      </c>
      <c r="AL472" s="4">
        <v>140.67199999999997</v>
      </c>
      <c r="AM472" s="4">
        <v>140.67199999999997</v>
      </c>
      <c r="AN472" s="4">
        <v>140.67225999999999</v>
      </c>
      <c r="AO472" s="4">
        <v>170.67226000000002</v>
      </c>
      <c r="AP472" s="4">
        <v>170.67226000000002</v>
      </c>
      <c r="AQ472" s="4">
        <v>170.67226000000002</v>
      </c>
      <c r="AR472" s="4">
        <v>170.67226000000002</v>
      </c>
      <c r="AS472" s="4">
        <v>170.67226000000002</v>
      </c>
      <c r="AT472" s="4">
        <v>170.67226000000002</v>
      </c>
      <c r="AU472" s="4">
        <v>170.67226000000002</v>
      </c>
      <c r="AV472" s="4">
        <v>170.67226000000002</v>
      </c>
      <c r="AW472" s="4">
        <v>170.67226000000002</v>
      </c>
      <c r="AX472" s="4">
        <v>170.67226000000002</v>
      </c>
      <c r="AY472" s="4">
        <v>170.67226000000002</v>
      </c>
      <c r="AZ472" s="4">
        <v>170.67226000000002</v>
      </c>
      <c r="BA472" s="4">
        <v>170.67226000000002</v>
      </c>
      <c r="BB472" s="4">
        <v>170.67226000000002</v>
      </c>
      <c r="BC472" s="4">
        <v>170.67226000000002</v>
      </c>
      <c r="BD472" s="4">
        <v>170.67226000000002</v>
      </c>
      <c r="BE472" s="4">
        <v>170.67226000000002</v>
      </c>
      <c r="BF472" s="4">
        <v>170.67226000000002</v>
      </c>
      <c r="BG472" s="4">
        <v>170.67226000000002</v>
      </c>
      <c r="BH472" s="4">
        <v>170.67226000000002</v>
      </c>
      <c r="BJ472" s="9"/>
    </row>
    <row r="473" spans="1:62" x14ac:dyDescent="0.25">
      <c r="A473" s="6" t="s">
        <v>318</v>
      </c>
      <c r="B473" s="6"/>
      <c r="C473" s="7" t="s">
        <v>526</v>
      </c>
      <c r="D473" s="3"/>
      <c r="E473" s="3">
        <f>VLOOKUP(A473,[2]Sheet1!$A$2:$E$627,5,0)</f>
        <v>120</v>
      </c>
      <c r="F473" s="3">
        <f>VLOOKUP(A473,[2]Sheet1!$A$2:$F$627,6,0)</f>
        <v>177</v>
      </c>
      <c r="G473" s="3">
        <f>VLOOKUP(A473,[2]Sheet1!$A$2:$G$627,7,0)</f>
        <v>197</v>
      </c>
      <c r="H473" s="4">
        <f t="shared" si="42"/>
        <v>197</v>
      </c>
      <c r="I473" s="11">
        <f t="shared" si="43"/>
        <v>0.47499999999999998</v>
      </c>
      <c r="J473" s="11">
        <f t="shared" si="44"/>
        <v>0.64166666666666672</v>
      </c>
      <c r="K473" s="11">
        <f t="shared" si="45"/>
        <v>0.11299435028248588</v>
      </c>
      <c r="L473" s="11">
        <f>IF(S473="",((BG473-E473)/E473),((U473-E473)/E473))</f>
        <v>0.64166666666666672</v>
      </c>
      <c r="M473" s="3" t="str">
        <f>IF(S473="Churn","Churn",VLOOKUP(A473,'[1]Revenue_Engine_2025 Dec.25'!$C$14:$E$3993,3,0))</f>
        <v>Churn</v>
      </c>
      <c r="N473" s="3" t="str">
        <f>IF(S473="",VLOOKUP(A473,[3]Export!$B$2:$F$417,5,0),"CHURN")</f>
        <v>CHURN</v>
      </c>
      <c r="O473" s="3" t="e">
        <f>(1-N473)*H473</f>
        <v>#VALUE!</v>
      </c>
      <c r="P473" s="3" t="e">
        <f t="shared" si="47"/>
        <v>#VALUE!</v>
      </c>
      <c r="Q473" s="3" t="e">
        <f t="shared" si="46"/>
        <v>#VALUE!</v>
      </c>
      <c r="R473" s="3" t="str">
        <f>IF(S473&lt;&gt;"Churn",VLOOKUP(A473,[3]Export!$B$2:$O$417,8,0),"CHURN")</f>
        <v>CHURN</v>
      </c>
      <c r="S473" s="3" t="s">
        <v>372</v>
      </c>
      <c r="T473" s="3" t="s">
        <v>556</v>
      </c>
      <c r="U473" s="3">
        <v>197</v>
      </c>
      <c r="V473" s="4" t="str" cm="1">
        <f t="array" ref="V473">IFERROR(
    IF(
        MATCH(2,1/((Y473:BH473&lt;&gt;0)*(Y473:BH473&lt;&gt;"")))-MATCH(1,INDEX((Y473:BH473&lt;&gt;0)*(Y473:BH473&lt;&gt;""),0),0)+1 &lt;= 12,
        "No",
        "Yes"
    ),
    "No"
)</f>
        <v>Yes</v>
      </c>
      <c r="W473" s="4" t="str" cm="1">
        <f t="array" ref="W473">IFERROR(
    IF(
        MATCH(2,1/((Y473:BH473&lt;&gt;0)*(Y473:BH473&lt;&gt;"")))-MATCH(1,INDEX((Y473:BH473&lt;&gt;0)*(Y473:BH473&lt;&gt;""),0),0)+1 &lt;= 24,
        "No",
        "Yes"
    ),
    "No"
)</f>
        <v>Yes</v>
      </c>
      <c r="X473" s="3"/>
      <c r="Y473" s="4">
        <v>120</v>
      </c>
      <c r="Z473" s="4">
        <v>120</v>
      </c>
      <c r="AA473" s="4">
        <v>120</v>
      </c>
      <c r="AB473" s="4">
        <v>129</v>
      </c>
      <c r="AC473" s="4">
        <v>129</v>
      </c>
      <c r="AD473" s="4">
        <v>129</v>
      </c>
      <c r="AE473" s="4">
        <v>129</v>
      </c>
      <c r="AF473" s="4">
        <v>165.00000000000003</v>
      </c>
      <c r="AG473" s="4">
        <v>177.00000000000003</v>
      </c>
      <c r="AH473" s="4">
        <v>177.00000000000003</v>
      </c>
      <c r="AI473" s="4">
        <v>177</v>
      </c>
      <c r="AJ473" s="4">
        <v>177</v>
      </c>
      <c r="AK473" s="4">
        <v>177</v>
      </c>
      <c r="AL473" s="4">
        <v>177</v>
      </c>
      <c r="AM473" s="4">
        <v>197</v>
      </c>
      <c r="AN473" s="4">
        <v>197</v>
      </c>
      <c r="AO473" s="4">
        <v>197</v>
      </c>
      <c r="AP473" s="4">
        <v>197</v>
      </c>
      <c r="AQ473" s="4">
        <v>197</v>
      </c>
      <c r="AR473" s="4">
        <v>197</v>
      </c>
      <c r="AS473" s="4">
        <v>197</v>
      </c>
      <c r="AT473" s="4">
        <v>197</v>
      </c>
      <c r="AU473" s="4">
        <v>197</v>
      </c>
      <c r="AV473" s="4">
        <v>197</v>
      </c>
      <c r="AW473" s="4">
        <v>197</v>
      </c>
      <c r="AX473" s="4">
        <v>197</v>
      </c>
      <c r="AY473" s="4">
        <v>197</v>
      </c>
      <c r="AZ473" s="4">
        <v>197</v>
      </c>
      <c r="BA473" s="4">
        <v>197</v>
      </c>
      <c r="BB473" s="4">
        <v>197</v>
      </c>
      <c r="BC473" s="4">
        <v>197</v>
      </c>
      <c r="BD473" s="4">
        <v>197</v>
      </c>
      <c r="BE473" s="4">
        <v>197</v>
      </c>
      <c r="BF473" s="4">
        <v>197</v>
      </c>
      <c r="BG473" s="4">
        <v>197</v>
      </c>
      <c r="BH473" s="4">
        <v>0</v>
      </c>
      <c r="BJ473" s="9"/>
    </row>
    <row r="474" spans="1:62" x14ac:dyDescent="0.25">
      <c r="A474" s="6" t="s">
        <v>319</v>
      </c>
      <c r="B474" s="6"/>
      <c r="C474" s="7" t="s">
        <v>526</v>
      </c>
      <c r="D474" s="3"/>
      <c r="E474" s="3">
        <f>VLOOKUP(A474,[2]Sheet1!$A$2:$E$627,5,0)</f>
        <v>300</v>
      </c>
      <c r="F474" s="3">
        <f>VLOOKUP(A474,[2]Sheet1!$A$2:$F$627,6,0)</f>
        <v>300</v>
      </c>
      <c r="G474" s="3">
        <f>VLOOKUP(A474,[2]Sheet1!$A$2:$G$627,7,0)</f>
        <v>365.99985399999997</v>
      </c>
      <c r="H474" s="4">
        <f t="shared" si="42"/>
        <v>365.99985399999997</v>
      </c>
      <c r="I474" s="11">
        <f t="shared" si="43"/>
        <v>0</v>
      </c>
      <c r="J474" s="11">
        <f t="shared" si="44"/>
        <v>0.21999951333333323</v>
      </c>
      <c r="K474" s="11">
        <f t="shared" si="45"/>
        <v>0.21999951333333323</v>
      </c>
      <c r="L474" s="11">
        <f>IF(S474="",((BG474-E474)/E474),((U474-E474)/E474))</f>
        <v>0.21999951333333323</v>
      </c>
      <c r="M474" s="3" t="str">
        <f>IF(S474="Churn","Churn",VLOOKUP(A474,'[1]Revenue_Engine_2025 Dec.25'!$C$14:$E$3993,3,0))</f>
        <v>Diğer</v>
      </c>
      <c r="N474" s="3">
        <f>IF(S474="",VLOOKUP(A474,[3]Export!$B$2:$F$417,5,0),"CHURN")</f>
        <v>0.19666674511842838</v>
      </c>
      <c r="O474" s="3">
        <f>(1-N474)*H474</f>
        <v>294.01985399999995</v>
      </c>
      <c r="P474" s="3">
        <f t="shared" si="47"/>
        <v>240.99997646447147</v>
      </c>
      <c r="Q474" s="3">
        <f t="shared" si="46"/>
        <v>294.01985399999995</v>
      </c>
      <c r="R474" s="3" t="str">
        <f>IF(S474&lt;&gt;"Churn",VLOOKUP(A474,[3]Export!$B$2:$O$417,8,0),"CHURN")</f>
        <v>NO RISK</v>
      </c>
      <c r="S474" s="3"/>
      <c r="T474" s="3"/>
      <c r="U474" s="3" t="s">
        <v>551</v>
      </c>
      <c r="V474" s="4" t="str" cm="1">
        <f t="array" ref="V474">IFERROR(
    IF(
        MATCH(2,1/((Y474:BH474&lt;&gt;0)*(Y474:BH474&lt;&gt;"")))-MATCH(1,INDEX((Y474:BH474&lt;&gt;0)*(Y474:BH474&lt;&gt;""),0),0)+1 &lt;= 12,
        "No",
        "Yes"
    ),
    "No"
)</f>
        <v>Yes</v>
      </c>
      <c r="W474" s="4" t="str" cm="1">
        <f t="array" ref="W474">IFERROR(
    IF(
        MATCH(2,1/((Y474:BH474&lt;&gt;0)*(Y474:BH474&lt;&gt;"")))-MATCH(1,INDEX((Y474:BH474&lt;&gt;0)*(Y474:BH474&lt;&gt;""),0),0)+1 &lt;= 24,
        "No",
        "Yes"
    ),
    "No"
)</f>
        <v>Yes</v>
      </c>
      <c r="X474" s="3"/>
      <c r="Y474" s="4">
        <v>0</v>
      </c>
      <c r="Z474" s="4">
        <v>0</v>
      </c>
      <c r="AA474" s="4">
        <v>0</v>
      </c>
      <c r="AB474" s="4">
        <v>0</v>
      </c>
      <c r="AC474" s="4">
        <v>300</v>
      </c>
      <c r="AD474" s="4">
        <v>300</v>
      </c>
      <c r="AE474" s="4">
        <v>300</v>
      </c>
      <c r="AF474" s="4">
        <v>300</v>
      </c>
      <c r="AG474" s="4">
        <v>300</v>
      </c>
      <c r="AH474" s="4">
        <v>300</v>
      </c>
      <c r="AI474" s="4">
        <v>300</v>
      </c>
      <c r="AJ474" s="4">
        <v>300</v>
      </c>
      <c r="AK474" s="4">
        <v>300</v>
      </c>
      <c r="AL474" s="4">
        <v>300</v>
      </c>
      <c r="AM474" s="4">
        <v>300</v>
      </c>
      <c r="AN474" s="4">
        <v>300</v>
      </c>
      <c r="AO474" s="4">
        <v>300</v>
      </c>
      <c r="AP474" s="4">
        <v>300</v>
      </c>
      <c r="AQ474" s="4">
        <v>300</v>
      </c>
      <c r="AR474" s="4">
        <v>300</v>
      </c>
      <c r="AS474" s="4">
        <v>300</v>
      </c>
      <c r="AT474" s="4">
        <v>300</v>
      </c>
      <c r="AU474" s="4">
        <v>300</v>
      </c>
      <c r="AV474" s="4">
        <v>300</v>
      </c>
      <c r="AW474" s="4">
        <v>365.99985399999997</v>
      </c>
      <c r="AX474" s="4">
        <v>365.99985399999997</v>
      </c>
      <c r="AY474" s="4">
        <v>365.99985399999997</v>
      </c>
      <c r="AZ474" s="4">
        <v>365.99985399999991</v>
      </c>
      <c r="BA474" s="4">
        <v>365.99985399999997</v>
      </c>
      <c r="BB474" s="4">
        <v>365.99985399999997</v>
      </c>
      <c r="BC474" s="4">
        <v>365.99985399999997</v>
      </c>
      <c r="BD474" s="4">
        <v>365.99985399999997</v>
      </c>
      <c r="BE474" s="4">
        <v>365.99985399999997</v>
      </c>
      <c r="BF474" s="4">
        <v>365.99985399999997</v>
      </c>
      <c r="BG474" s="4">
        <v>365.99985399999997</v>
      </c>
      <c r="BH474" s="4">
        <v>365.99985399999997</v>
      </c>
      <c r="BJ474" s="9"/>
    </row>
    <row r="475" spans="1:62" x14ac:dyDescent="0.25">
      <c r="A475" s="6" t="s">
        <v>320</v>
      </c>
      <c r="B475" s="6"/>
      <c r="C475" s="7" t="s">
        <v>526</v>
      </c>
      <c r="D475" s="3"/>
      <c r="E475" s="3">
        <f>VLOOKUP(A475,[2]Sheet1!$A$2:$E$627,5,0)</f>
        <v>86</v>
      </c>
      <c r="F475" s="3">
        <f>VLOOKUP(A475,[2]Sheet1!$A$2:$F$627,6,0)</f>
        <v>79.666666666666671</v>
      </c>
      <c r="G475" s="3">
        <f>VLOOKUP(A475,[2]Sheet1!$A$2:$G$627,7,0)</f>
        <v>0</v>
      </c>
      <c r="H475" s="4">
        <f t="shared" si="42"/>
        <v>0</v>
      </c>
      <c r="I475" s="11">
        <f t="shared" si="43"/>
        <v>-7.3643410852713129E-2</v>
      </c>
      <c r="J475" s="11">
        <f t="shared" si="44"/>
        <v>-1</v>
      </c>
      <c r="K475" s="11">
        <f t="shared" si="45"/>
        <v>-1</v>
      </c>
      <c r="L475" s="11">
        <f>IF(S475="",((BG475-E475)/E475),((U475-E475)/E475))</f>
        <v>-7.3643410852713129E-2</v>
      </c>
      <c r="M475" s="3" t="str">
        <f>IF(S475="Churn","Churn",VLOOKUP(A475,'[1]Revenue_Engine_2025 Dec.25'!$C$14:$E$3993,3,0))</f>
        <v>Churn</v>
      </c>
      <c r="N475" s="3" t="str">
        <f>IF(S475="",VLOOKUP(A475,[3]Export!$B$2:$F$417,5,0),"CHURN")</f>
        <v>CHURN</v>
      </c>
      <c r="O475" s="3" t="e">
        <f>(1-N475)*H475</f>
        <v>#VALUE!</v>
      </c>
      <c r="P475" s="3" t="e">
        <f t="shared" si="47"/>
        <v>#VALUE!</v>
      </c>
      <c r="Q475" s="3" t="e">
        <f t="shared" si="46"/>
        <v>#VALUE!</v>
      </c>
      <c r="R475" s="3" t="str">
        <f>IF(S475&lt;&gt;"Churn",VLOOKUP(A475,[3]Export!$B$2:$O$417,8,0),"CHURN")</f>
        <v>CHURN</v>
      </c>
      <c r="S475" s="3" t="s">
        <v>372</v>
      </c>
      <c r="T475" s="3" t="s">
        <v>561</v>
      </c>
      <c r="U475" s="3">
        <v>79.666666666666671</v>
      </c>
      <c r="V475" s="4" t="str" cm="1">
        <f t="array" ref="V475">IFERROR(
    IF(
        MATCH(2,1/((Y475:BH475&lt;&gt;0)*(Y475:BH475&lt;&gt;"")))-MATCH(1,INDEX((Y475:BH475&lt;&gt;0)*(Y475:BH475&lt;&gt;""),0),0)+1 &lt;= 12,
        "No",
        "Yes"
    ),
    "No"
)</f>
        <v>Yes</v>
      </c>
      <c r="W475" s="4" t="str" cm="1">
        <f t="array" ref="W475">IFERROR(
    IF(
        MATCH(2,1/((Y475:BH475&lt;&gt;0)*(Y475:BH475&lt;&gt;"")))-MATCH(1,INDEX((Y475:BH475&lt;&gt;0)*(Y475:BH475&lt;&gt;""),0),0)+1 &lt;= 24,
        "No",
        "Yes"
    ),
    "No"
)</f>
        <v>No</v>
      </c>
      <c r="X475" s="3"/>
      <c r="Y475" s="4">
        <v>0</v>
      </c>
      <c r="Z475" s="4">
        <v>0</v>
      </c>
      <c r="AA475" s="4">
        <v>0</v>
      </c>
      <c r="AB475" s="4">
        <v>0</v>
      </c>
      <c r="AC475" s="4">
        <v>0</v>
      </c>
      <c r="AD475" s="4">
        <v>0</v>
      </c>
      <c r="AE475" s="4">
        <v>0</v>
      </c>
      <c r="AF475" s="4">
        <v>0</v>
      </c>
      <c r="AG475" s="4">
        <v>0</v>
      </c>
      <c r="AH475" s="4">
        <v>86</v>
      </c>
      <c r="AI475" s="4">
        <v>86</v>
      </c>
      <c r="AJ475" s="4">
        <v>86</v>
      </c>
      <c r="AK475" s="4">
        <v>86</v>
      </c>
      <c r="AL475" s="4">
        <v>86</v>
      </c>
      <c r="AM475" s="4">
        <v>86</v>
      </c>
      <c r="AN475" s="4">
        <v>86</v>
      </c>
      <c r="AO475" s="4">
        <v>86</v>
      </c>
      <c r="AP475" s="4">
        <v>86</v>
      </c>
      <c r="AQ475" s="4">
        <v>86</v>
      </c>
      <c r="AR475" s="4">
        <v>86</v>
      </c>
      <c r="AS475" s="4">
        <v>86</v>
      </c>
      <c r="AT475" s="4">
        <v>79.666666666666671</v>
      </c>
      <c r="AU475" s="4">
        <v>79.666666666666671</v>
      </c>
      <c r="AV475" s="4">
        <v>79.666666666666671</v>
      </c>
      <c r="AW475" s="4">
        <v>79.666666666666671</v>
      </c>
      <c r="AX475" s="4">
        <v>79.666666666666671</v>
      </c>
      <c r="AY475" s="4">
        <v>79.666666666666671</v>
      </c>
      <c r="AZ475" s="4">
        <v>79.666666666666671</v>
      </c>
      <c r="BA475" s="4">
        <v>79.666666666666671</v>
      </c>
      <c r="BB475" s="4">
        <v>79.666666666666671</v>
      </c>
      <c r="BC475" s="4">
        <v>79.666666666666671</v>
      </c>
      <c r="BD475" s="4">
        <v>79.666666666666671</v>
      </c>
      <c r="BE475" s="4">
        <v>79.666666666666671</v>
      </c>
      <c r="BF475" s="4">
        <v>0</v>
      </c>
      <c r="BG475" s="4">
        <v>0</v>
      </c>
      <c r="BH475" s="4">
        <v>0</v>
      </c>
      <c r="BJ475" s="9"/>
    </row>
    <row r="476" spans="1:62" x14ac:dyDescent="0.25">
      <c r="A476" s="6" t="s">
        <v>321</v>
      </c>
      <c r="B476" s="6"/>
      <c r="C476" s="7" t="s">
        <v>526</v>
      </c>
      <c r="D476" s="3"/>
      <c r="E476" s="3">
        <f>VLOOKUP(A476,[2]Sheet1!$A$2:$E$627,5,0)</f>
        <v>99.333333333333329</v>
      </c>
      <c r="F476" s="3">
        <f>VLOOKUP(A476,[2]Sheet1!$A$2:$F$627,6,0)</f>
        <v>91.083333333333329</v>
      </c>
      <c r="G476" s="3">
        <f>VLOOKUP(A476,[2]Sheet1!$A$2:$G$627,7,0)</f>
        <v>94.083333333333329</v>
      </c>
      <c r="H476" s="4">
        <f t="shared" si="42"/>
        <v>94.083333333333329</v>
      </c>
      <c r="I476" s="11">
        <f t="shared" si="43"/>
        <v>-8.305369127516779E-2</v>
      </c>
      <c r="J476" s="11">
        <f t="shared" si="44"/>
        <v>-5.2852348993288591E-2</v>
      </c>
      <c r="K476" s="11">
        <f t="shared" si="45"/>
        <v>3.2936870997255265E-2</v>
      </c>
      <c r="L476" s="11">
        <f>IF(S476="",((BG476-E476)/E476),((U476-E476)/E476))</f>
        <v>-0.13087248322147652</v>
      </c>
      <c r="M476" s="3" t="str">
        <f>IF(S476="Churn","Churn",VLOOKUP(A476,'[1]Revenue_Engine_2025 Dec.25'!$C$14:$E$3993,3,0))</f>
        <v>Diğer</v>
      </c>
      <c r="N476" s="3">
        <f>IF(S476="",VLOOKUP(A476,[3]Export!$B$2:$F$417,5,0),"CHURN")</f>
        <v>0</v>
      </c>
      <c r="O476" s="3">
        <f>(1-N476)*H476</f>
        <v>94.083333333333329</v>
      </c>
      <c r="P476" s="3">
        <f t="shared" si="47"/>
        <v>91.083333333333329</v>
      </c>
      <c r="Q476" s="3">
        <f t="shared" si="46"/>
        <v>94.083333333333329</v>
      </c>
      <c r="R476" s="3" t="str">
        <f>IF(S476&lt;&gt;"Churn",VLOOKUP(A476,[3]Export!$B$2:$O$417,8,0),"CHURN")</f>
        <v>NO RISK</v>
      </c>
      <c r="S476" s="3"/>
      <c r="T476" s="3"/>
      <c r="U476" s="3" t="s">
        <v>551</v>
      </c>
      <c r="V476" s="4" t="str" cm="1">
        <f t="array" ref="V476">IFERROR(
    IF(
        MATCH(2,1/((Y476:BH476&lt;&gt;0)*(Y476:BH476&lt;&gt;"")))-MATCH(1,INDEX((Y476:BH476&lt;&gt;0)*(Y476:BH476&lt;&gt;""),0),0)+1 &lt;= 12,
        "No",
        "Yes"
    ),
    "No"
)</f>
        <v>Yes</v>
      </c>
      <c r="W476" s="4" t="str" cm="1">
        <f t="array" ref="W476">IFERROR(
    IF(
        MATCH(2,1/((Y476:BH476&lt;&gt;0)*(Y476:BH476&lt;&gt;"")))-MATCH(1,INDEX((Y476:BH476&lt;&gt;0)*(Y476:BH476&lt;&gt;""),0),0)+1 &lt;= 24,
        "No",
        "Yes"
    ),
    "No"
)</f>
        <v>Yes</v>
      </c>
      <c r="X476" s="3"/>
      <c r="Y476" s="4">
        <v>0</v>
      </c>
      <c r="Z476" s="4">
        <v>0</v>
      </c>
      <c r="AA476" s="4">
        <v>0</v>
      </c>
      <c r="AB476" s="4">
        <v>0</v>
      </c>
      <c r="AC476" s="4">
        <v>0</v>
      </c>
      <c r="AD476" s="4">
        <v>0</v>
      </c>
      <c r="AE476" s="4">
        <v>0</v>
      </c>
      <c r="AF476" s="4">
        <v>0</v>
      </c>
      <c r="AG476" s="4">
        <v>0</v>
      </c>
      <c r="AH476" s="4">
        <v>99.333333333333329</v>
      </c>
      <c r="AI476" s="4">
        <v>99.333333333333329</v>
      </c>
      <c r="AJ476" s="4">
        <v>99.333333333333329</v>
      </c>
      <c r="AK476" s="4">
        <v>99.333333333333329</v>
      </c>
      <c r="AL476" s="4">
        <v>99.333333333333329</v>
      </c>
      <c r="AM476" s="4">
        <v>99.333333333333329</v>
      </c>
      <c r="AN476" s="4">
        <v>99.333333333333329</v>
      </c>
      <c r="AO476" s="4">
        <v>99.333333333333329</v>
      </c>
      <c r="AP476" s="4">
        <v>99.333333333333329</v>
      </c>
      <c r="AQ476" s="4">
        <v>99.333333333333329</v>
      </c>
      <c r="AR476" s="4">
        <v>99.333333333333329</v>
      </c>
      <c r="AS476" s="4">
        <v>99.333333333333329</v>
      </c>
      <c r="AT476" s="4">
        <v>91.083333333333329</v>
      </c>
      <c r="AU476" s="4">
        <v>91.083333333333329</v>
      </c>
      <c r="AV476" s="4">
        <v>91.083333333333329</v>
      </c>
      <c r="AW476" s="4">
        <v>91.083333333333329</v>
      </c>
      <c r="AX476" s="4">
        <v>91.083333333333329</v>
      </c>
      <c r="AY476" s="4">
        <v>94.083333333333329</v>
      </c>
      <c r="AZ476" s="4">
        <v>94.083333333333329</v>
      </c>
      <c r="BA476" s="4">
        <v>94.083333333333329</v>
      </c>
      <c r="BB476" s="4">
        <v>94.083333333333329</v>
      </c>
      <c r="BC476" s="4">
        <v>94.083333333333329</v>
      </c>
      <c r="BD476" s="4">
        <v>94.083333333333329</v>
      </c>
      <c r="BE476" s="4">
        <v>94.083333333333329</v>
      </c>
      <c r="BF476" s="4">
        <v>94.083333333333329</v>
      </c>
      <c r="BG476" s="4">
        <v>86.333333333333329</v>
      </c>
      <c r="BH476" s="4">
        <v>86.333333333333329</v>
      </c>
      <c r="BJ476" s="9"/>
    </row>
    <row r="477" spans="1:62" x14ac:dyDescent="0.25">
      <c r="A477" s="6" t="s">
        <v>322</v>
      </c>
      <c r="B477" s="6"/>
      <c r="C477" s="7" t="s">
        <v>526</v>
      </c>
      <c r="D477" s="3"/>
      <c r="E477" s="3">
        <f>VLOOKUP(A477,[2]Sheet1!$A$2:$E$627,5,0)</f>
        <v>1077.4000000000001</v>
      </c>
      <c r="F477" s="3">
        <f>VLOOKUP(A477,[2]Sheet1!$A$2:$F$627,6,0)</f>
        <v>1095.0019199999999</v>
      </c>
      <c r="G477" s="3">
        <f>VLOOKUP(A477,[2]Sheet1!$A$2:$G$627,7,0)</f>
        <v>350</v>
      </c>
      <c r="H477" s="4">
        <f t="shared" si="42"/>
        <v>350</v>
      </c>
      <c r="I477" s="11">
        <f t="shared" si="43"/>
        <v>1.6337404863560268E-2</v>
      </c>
      <c r="J477" s="11">
        <f t="shared" si="44"/>
        <v>-0.67514386485984779</v>
      </c>
      <c r="K477" s="11">
        <f t="shared" si="45"/>
        <v>-0.68036585725804022</v>
      </c>
      <c r="L477" s="11">
        <f>IF(S477="",((BG477-E477)/E477),((U477-E477)/E477))</f>
        <v>-0.67514386485984779</v>
      </c>
      <c r="M477" s="3" t="str">
        <f>IF(S477="Churn","Churn",VLOOKUP(A477,'[1]Revenue_Engine_2025 Dec.25'!$C$14:$E$3993,3,0))</f>
        <v>Üretim</v>
      </c>
      <c r="N477" s="3">
        <f>IF(S477="",VLOOKUP(A477,[3]Export!$B$2:$F$417,5,0),"CHURN")</f>
        <v>8.5714285714285715E-2</v>
      </c>
      <c r="O477" s="3">
        <f>(1-N477)*H477</f>
        <v>320</v>
      </c>
      <c r="P477" s="3">
        <f t="shared" si="47"/>
        <v>1001.1446125714285</v>
      </c>
      <c r="Q477" s="3">
        <f t="shared" si="46"/>
        <v>320</v>
      </c>
      <c r="R477" s="3" t="str">
        <f>IF(S477&lt;&gt;"Churn",VLOOKUP(A477,[3]Export!$B$2:$O$417,8,0),"CHURN")</f>
        <v>BOOKED CHURN</v>
      </c>
      <c r="S477" s="3"/>
      <c r="T477" s="3"/>
      <c r="U477" s="3" t="s">
        <v>551</v>
      </c>
      <c r="V477" s="4" t="str" cm="1">
        <f t="array" ref="V477">IFERROR(
    IF(
        MATCH(2,1/((Y477:BH477&lt;&gt;0)*(Y477:BH477&lt;&gt;"")))-MATCH(1,INDEX((Y477:BH477&lt;&gt;0)*(Y477:BH477&lt;&gt;""),0),0)+1 &lt;= 12,
        "No",
        "Yes"
    ),
    "No"
)</f>
        <v>Yes</v>
      </c>
      <c r="W477" s="4" t="str" cm="1">
        <f t="array" ref="W477">IFERROR(
    IF(
        MATCH(2,1/((Y477:BH477&lt;&gt;0)*(Y477:BH477&lt;&gt;"")))-MATCH(1,INDEX((Y477:BH477&lt;&gt;0)*(Y477:BH477&lt;&gt;""),0),0)+1 &lt;= 24,
        "No",
        "Yes"
    ),
    "No"
)</f>
        <v>Yes</v>
      </c>
      <c r="X477" s="3"/>
      <c r="Y477" s="4">
        <v>1077.4000000000001</v>
      </c>
      <c r="Z477" s="4">
        <v>1053.4000000000001</v>
      </c>
      <c r="AA477" s="4">
        <v>1053.4000000000001</v>
      </c>
      <c r="AB477" s="4">
        <v>1053.4000000000001</v>
      </c>
      <c r="AC477" s="4">
        <v>1053.4000000000001</v>
      </c>
      <c r="AD477" s="4">
        <v>1053.4000000000001</v>
      </c>
      <c r="AE477" s="4">
        <v>1053.4000000000001</v>
      </c>
      <c r="AF477" s="4">
        <v>1116.604</v>
      </c>
      <c r="AG477" s="4">
        <v>1095.0019199999999</v>
      </c>
      <c r="AH477" s="4">
        <v>1113.4819199999999</v>
      </c>
      <c r="AI477" s="4">
        <v>1095.0019199999999</v>
      </c>
      <c r="AJ477" s="4">
        <v>1095.0019199999999</v>
      </c>
      <c r="AK477" s="4">
        <v>1095.0019199999999</v>
      </c>
      <c r="AL477" s="4">
        <v>1095.0019199999999</v>
      </c>
      <c r="AM477" s="4">
        <v>1095.0019199999999</v>
      </c>
      <c r="AN477" s="4">
        <v>350</v>
      </c>
      <c r="AO477" s="4">
        <v>350</v>
      </c>
      <c r="AP477" s="4">
        <v>350</v>
      </c>
      <c r="AQ477" s="4">
        <v>350</v>
      </c>
      <c r="AR477" s="4">
        <v>350</v>
      </c>
      <c r="AS477" s="4">
        <v>350</v>
      </c>
      <c r="AT477" s="4">
        <v>350</v>
      </c>
      <c r="AU477" s="4">
        <v>350</v>
      </c>
      <c r="AV477" s="4">
        <v>350</v>
      </c>
      <c r="AW477" s="4">
        <v>350</v>
      </c>
      <c r="AX477" s="4">
        <v>350</v>
      </c>
      <c r="AY477" s="4">
        <v>350</v>
      </c>
      <c r="AZ477" s="4">
        <v>350</v>
      </c>
      <c r="BA477" s="4">
        <v>350</v>
      </c>
      <c r="BB477" s="4">
        <v>350</v>
      </c>
      <c r="BC477" s="4">
        <v>350</v>
      </c>
      <c r="BD477" s="4">
        <v>350</v>
      </c>
      <c r="BE477" s="4">
        <v>350</v>
      </c>
      <c r="BF477" s="4">
        <v>350</v>
      </c>
      <c r="BG477" s="4">
        <v>350</v>
      </c>
      <c r="BH477" s="4">
        <v>350</v>
      </c>
      <c r="BJ477" s="9"/>
    </row>
    <row r="478" spans="1:62" x14ac:dyDescent="0.25">
      <c r="A478" s="6" t="s">
        <v>323</v>
      </c>
      <c r="B478" s="6"/>
      <c r="C478" s="7" t="s">
        <v>526</v>
      </c>
      <c r="D478" s="3"/>
      <c r="E478" s="3">
        <f>VLOOKUP(A478,[2]Sheet1!$A$2:$E$627,5,0)</f>
        <v>492.65</v>
      </c>
      <c r="F478" s="3">
        <f>VLOOKUP(A478,[2]Sheet1!$A$2:$F$627,6,0)</f>
        <v>512.65211999999997</v>
      </c>
      <c r="G478" s="3">
        <f>VLOOKUP(A478,[2]Sheet1!$A$2:$G$627,7,0)</f>
        <v>512.652064</v>
      </c>
      <c r="H478" s="4">
        <f t="shared" si="42"/>
        <v>529.99862299999995</v>
      </c>
      <c r="I478" s="11">
        <f t="shared" si="43"/>
        <v>4.0601075814472733E-2</v>
      </c>
      <c r="J478" s="11">
        <f t="shared" si="44"/>
        <v>4.0600962143509632E-2</v>
      </c>
      <c r="K478" s="11">
        <f t="shared" si="45"/>
        <v>-1.0923586929144159E-7</v>
      </c>
      <c r="L478" s="11">
        <f>IF(S478="",((BG478-E478)/E478),((U478-E478)/E478))</f>
        <v>7.5811677661625859E-2</v>
      </c>
      <c r="M478" s="3" t="str">
        <f>IF(S478="Churn","Churn",VLOOKUP(A478,'[1]Revenue_Engine_2025 Dec.25'!$C$14:$E$3993,3,0))</f>
        <v>Sağlık</v>
      </c>
      <c r="N478" s="3">
        <f>IF(S478="",VLOOKUP(A478,[3]Export!$B$2:$F$417,5,0),"CHURN")</f>
        <v>0.31770825054368534</v>
      </c>
      <c r="O478" s="3">
        <f>(1-N478)*H478</f>
        <v>361.61368769610772</v>
      </c>
      <c r="P478" s="3">
        <f t="shared" si="47"/>
        <v>349.77831181728851</v>
      </c>
      <c r="Q478" s="3">
        <f t="shared" si="46"/>
        <v>349.7782736089506</v>
      </c>
      <c r="R478" s="3" t="str">
        <f>IF(S478&lt;&gt;"Churn",VLOOKUP(A478,[3]Export!$B$2:$O$417,8,0),"CHURN")</f>
        <v>NO RISK</v>
      </c>
      <c r="S478" s="3"/>
      <c r="T478" s="3"/>
      <c r="U478" s="3" t="s">
        <v>551</v>
      </c>
      <c r="V478" s="4" t="str" cm="1">
        <f t="array" ref="V478">IFERROR(
    IF(
        MATCH(2,1/((Y478:BH478&lt;&gt;0)*(Y478:BH478&lt;&gt;"")))-MATCH(1,INDEX((Y478:BH478&lt;&gt;0)*(Y478:BH478&lt;&gt;""),0),0)+1 &lt;= 12,
        "No",
        "Yes"
    ),
    "No"
)</f>
        <v>Yes</v>
      </c>
      <c r="W478" s="4" t="str" cm="1">
        <f t="array" ref="W478">IFERROR(
    IF(
        MATCH(2,1/((Y478:BH478&lt;&gt;0)*(Y478:BH478&lt;&gt;"")))-MATCH(1,INDEX((Y478:BH478&lt;&gt;0)*(Y478:BH478&lt;&gt;""),0),0)+1 &lt;= 24,
        "No",
        "Yes"
    ),
    "No"
)</f>
        <v>Yes</v>
      </c>
      <c r="X478" s="3"/>
      <c r="Y478" s="4">
        <v>492.65</v>
      </c>
      <c r="Z478" s="4">
        <v>492.65</v>
      </c>
      <c r="AA478" s="4">
        <v>492.65</v>
      </c>
      <c r="AB478" s="4">
        <v>492.65</v>
      </c>
      <c r="AC478" s="4">
        <v>492.65211999999997</v>
      </c>
      <c r="AD478" s="4">
        <v>492.65211999999997</v>
      </c>
      <c r="AE478" s="4">
        <v>492.65211999999997</v>
      </c>
      <c r="AF478" s="4">
        <v>492.65211999999997</v>
      </c>
      <c r="AG478" s="4">
        <v>492.65211999999997</v>
      </c>
      <c r="AH478" s="4">
        <v>512.65211999999997</v>
      </c>
      <c r="AI478" s="4">
        <v>512.65211999999997</v>
      </c>
      <c r="AJ478" s="4">
        <v>512.65211999999997</v>
      </c>
      <c r="AK478" s="4">
        <v>512.65211999999997</v>
      </c>
      <c r="AL478" s="4">
        <v>512.652064</v>
      </c>
      <c r="AM478" s="4">
        <v>512.652064</v>
      </c>
      <c r="AN478" s="4">
        <v>512.652064</v>
      </c>
      <c r="AO478" s="4">
        <v>512.652064</v>
      </c>
      <c r="AP478" s="4">
        <v>512.652064</v>
      </c>
      <c r="AQ478" s="4">
        <v>512.652064</v>
      </c>
      <c r="AR478" s="4">
        <v>512.652064</v>
      </c>
      <c r="AS478" s="4">
        <v>512.652064</v>
      </c>
      <c r="AT478" s="4">
        <v>512.652064</v>
      </c>
      <c r="AU478" s="4">
        <v>512.652064</v>
      </c>
      <c r="AV478" s="4">
        <v>512.652064</v>
      </c>
      <c r="AW478" s="4">
        <v>512.652064</v>
      </c>
      <c r="AX478" s="4">
        <v>529.99862299999995</v>
      </c>
      <c r="AY478" s="4">
        <v>529.99862299999995</v>
      </c>
      <c r="AZ478" s="4">
        <v>529.99862299999995</v>
      </c>
      <c r="BA478" s="4">
        <v>529.99862299999995</v>
      </c>
      <c r="BB478" s="4">
        <v>529.99862299999995</v>
      </c>
      <c r="BC478" s="4">
        <v>529.99862299999995</v>
      </c>
      <c r="BD478" s="4">
        <v>529.99862299999995</v>
      </c>
      <c r="BE478" s="4">
        <v>529.99862299999995</v>
      </c>
      <c r="BF478" s="4">
        <v>529.99862299999995</v>
      </c>
      <c r="BG478" s="4">
        <v>529.99862299999995</v>
      </c>
      <c r="BH478" s="4">
        <v>529.99862299999995</v>
      </c>
      <c r="BJ478" s="9"/>
    </row>
    <row r="479" spans="1:62" x14ac:dyDescent="0.25">
      <c r="A479" s="6" t="s">
        <v>324</v>
      </c>
      <c r="B479" s="6"/>
      <c r="C479" s="7" t="s">
        <v>526</v>
      </c>
      <c r="D479" s="3"/>
      <c r="E479" s="3">
        <f>VLOOKUP(A479,[2]Sheet1!$A$2:$E$627,5,0)</f>
        <v>454.45</v>
      </c>
      <c r="F479" s="3">
        <f>VLOOKUP(A479,[2]Sheet1!$A$2:$F$627,6,0)</f>
        <v>535.00096499999995</v>
      </c>
      <c r="G479" s="3">
        <f>VLOOKUP(A479,[2]Sheet1!$A$2:$G$627,7,0)</f>
        <v>555.00096499999995</v>
      </c>
      <c r="H479" s="4">
        <f t="shared" si="42"/>
        <v>774.00083999999993</v>
      </c>
      <c r="I479" s="11">
        <f t="shared" si="43"/>
        <v>0.17724934536252604</v>
      </c>
      <c r="J479" s="11">
        <f t="shared" si="44"/>
        <v>0.22125858730333361</v>
      </c>
      <c r="K479" s="11">
        <f t="shared" si="45"/>
        <v>3.7383110140745267E-2</v>
      </c>
      <c r="L479" s="11">
        <f>IF(S479="",((BG479-E479)/E479),((U479-E479)/E479))</f>
        <v>0.70315951149741429</v>
      </c>
      <c r="M479" s="3" t="str">
        <f>IF(S479="Churn","Churn",VLOOKUP(A479,'[1]Revenue_Engine_2025 Dec.25'!$C$14:$E$3993,3,0))</f>
        <v>Churn</v>
      </c>
      <c r="N479" s="3" t="str">
        <f>IF(S479="",VLOOKUP(A479,[3]Export!$B$2:$F$417,5,0),"CHURN")</f>
        <v>CHURN</v>
      </c>
      <c r="O479" s="3" t="e">
        <f>(1-N479)*H479</f>
        <v>#VALUE!</v>
      </c>
      <c r="P479" s="3" t="e">
        <f t="shared" si="47"/>
        <v>#VALUE!</v>
      </c>
      <c r="Q479" s="3" t="e">
        <f t="shared" si="46"/>
        <v>#VALUE!</v>
      </c>
      <c r="R479" s="3" t="str">
        <f>IF(S479&lt;&gt;"Churn",VLOOKUP(A479,[3]Export!$B$2:$O$417,8,0),"CHURN")</f>
        <v>CHURN</v>
      </c>
      <c r="S479" s="3" t="s">
        <v>372</v>
      </c>
      <c r="T479" s="3" t="s">
        <v>556</v>
      </c>
      <c r="U479" s="3">
        <v>774.00083999999993</v>
      </c>
      <c r="V479" s="4" t="str" cm="1">
        <f t="array" ref="V479">IFERROR(
    IF(
        MATCH(2,1/((Y479:BH479&lt;&gt;0)*(Y479:BH479&lt;&gt;"")))-MATCH(1,INDEX((Y479:BH479&lt;&gt;0)*(Y479:BH479&lt;&gt;""),0),0)+1 &lt;= 12,
        "No",
        "Yes"
    ),
    "No"
)</f>
        <v>Yes</v>
      </c>
      <c r="W479" s="4" t="str" cm="1">
        <f t="array" ref="W479">IFERROR(
    IF(
        MATCH(2,1/((Y479:BH479&lt;&gt;0)*(Y479:BH479&lt;&gt;"")))-MATCH(1,INDEX((Y479:BH479&lt;&gt;0)*(Y479:BH479&lt;&gt;""),0),0)+1 &lt;= 24,
        "No",
        "Yes"
    ),
    "No"
)</f>
        <v>Yes</v>
      </c>
      <c r="X479" s="3"/>
      <c r="Y479" s="4">
        <v>295.76667395233045</v>
      </c>
      <c r="Z479" s="4">
        <v>294.73907892709724</v>
      </c>
      <c r="AA479" s="4">
        <v>454.45</v>
      </c>
      <c r="AB479" s="4">
        <v>454.45</v>
      </c>
      <c r="AC479" s="4">
        <v>454.45</v>
      </c>
      <c r="AD479" s="4">
        <v>419</v>
      </c>
      <c r="AE479" s="4">
        <v>419.00096500000001</v>
      </c>
      <c r="AF479" s="4">
        <v>419.00096500000001</v>
      </c>
      <c r="AG479" s="4">
        <v>419.00096500000001</v>
      </c>
      <c r="AH479" s="4">
        <v>457.00096500000001</v>
      </c>
      <c r="AI479" s="4">
        <v>535.00096499999995</v>
      </c>
      <c r="AJ479" s="4">
        <v>535.00096499999995</v>
      </c>
      <c r="AK479" s="4">
        <v>535.00096499999995</v>
      </c>
      <c r="AL479" s="4">
        <v>555.00096499999995</v>
      </c>
      <c r="AM479" s="4">
        <v>555.00096499999995</v>
      </c>
      <c r="AN479" s="4">
        <v>555.00096499999995</v>
      </c>
      <c r="AO479" s="4">
        <v>555.00096499999995</v>
      </c>
      <c r="AP479" s="4">
        <v>555.00096499999995</v>
      </c>
      <c r="AQ479" s="4">
        <v>555.00096499999995</v>
      </c>
      <c r="AR479" s="4">
        <v>555.00096499999995</v>
      </c>
      <c r="AS479" s="4">
        <v>555.00096499999995</v>
      </c>
      <c r="AT479" s="4">
        <v>555.00096499999995</v>
      </c>
      <c r="AU479" s="4">
        <v>555.00096499999995</v>
      </c>
      <c r="AV479" s="4">
        <v>555.00096499999995</v>
      </c>
      <c r="AW479" s="4">
        <v>555.00096499999995</v>
      </c>
      <c r="AX479" s="4">
        <v>774.00083999999993</v>
      </c>
      <c r="AY479" s="4">
        <v>774.00083999999993</v>
      </c>
      <c r="AZ479" s="4">
        <v>774.00083999999993</v>
      </c>
      <c r="BA479" s="4">
        <v>774.00083999999993</v>
      </c>
      <c r="BB479" s="4">
        <v>774.00083999999993</v>
      </c>
      <c r="BC479" s="4">
        <v>774.00083999999993</v>
      </c>
      <c r="BD479" s="4">
        <v>774.00083999999993</v>
      </c>
      <c r="BE479" s="4">
        <v>774.00083999999993</v>
      </c>
      <c r="BF479" s="4">
        <v>774.00083999999993</v>
      </c>
      <c r="BG479" s="4">
        <v>774.00083999999993</v>
      </c>
      <c r="BH479" s="4">
        <v>0</v>
      </c>
      <c r="BJ479" s="9"/>
    </row>
    <row r="480" spans="1:62" x14ac:dyDescent="0.25">
      <c r="A480" s="6" t="s">
        <v>325</v>
      </c>
      <c r="B480" s="6"/>
      <c r="C480" s="7" t="s">
        <v>526</v>
      </c>
      <c r="D480" s="3"/>
      <c r="E480" s="3">
        <f>VLOOKUP(A480,[2]Sheet1!$A$2:$E$627,5,0)</f>
        <v>75</v>
      </c>
      <c r="F480" s="3">
        <f>VLOOKUP(A480,[2]Sheet1!$A$2:$F$627,6,0)</f>
        <v>96.057199999999995</v>
      </c>
      <c r="G480" s="3">
        <f>VLOOKUP(A480,[2]Sheet1!$A$2:$G$627,7,0)</f>
        <v>96.057199999999995</v>
      </c>
      <c r="H480" s="4">
        <f t="shared" si="42"/>
        <v>96.057199999999995</v>
      </c>
      <c r="I480" s="11">
        <f t="shared" si="43"/>
        <v>0.2807626666666666</v>
      </c>
      <c r="J480" s="11">
        <f t="shared" si="44"/>
        <v>0.2807626666666666</v>
      </c>
      <c r="K480" s="11">
        <f t="shared" si="45"/>
        <v>0</v>
      </c>
      <c r="L480" s="11">
        <f>IF(S480="",((BG480-E480)/E480),((U480-E480)/E480))</f>
        <v>0.2807626666666666</v>
      </c>
      <c r="M480" s="3" t="str">
        <f>IF(S480="Churn","Churn",VLOOKUP(A480,'[1]Revenue_Engine_2025 Dec.25'!$C$14:$E$3993,3,0))</f>
        <v>Diğer</v>
      </c>
      <c r="N480" s="3">
        <f>IF(S480="",VLOOKUP(A480,[3]Export!$B$2:$F$417,5,0),"CHURN")</f>
        <v>0.36614433899801363</v>
      </c>
      <c r="O480" s="3">
        <f>(1-N480)*H480</f>
        <v>60.886399999999995</v>
      </c>
      <c r="P480" s="3">
        <f t="shared" si="47"/>
        <v>60.886399999999995</v>
      </c>
      <c r="Q480" s="3">
        <f t="shared" si="46"/>
        <v>60.886399999999995</v>
      </c>
      <c r="R480" s="3" t="str">
        <f>IF(S480&lt;&gt;"Churn",VLOOKUP(A480,[3]Export!$B$2:$O$417,8,0),"CHURN")</f>
        <v>NO RISK</v>
      </c>
      <c r="S480" s="3"/>
      <c r="T480" s="3"/>
      <c r="U480" s="3" t="s">
        <v>551</v>
      </c>
      <c r="V480" s="4" t="str" cm="1">
        <f t="array" ref="V480">IFERROR(
    IF(
        MATCH(2,1/((Y480:BH480&lt;&gt;0)*(Y480:BH480&lt;&gt;"")))-MATCH(1,INDEX((Y480:BH480&lt;&gt;0)*(Y480:BH480&lt;&gt;""),0),0)+1 &lt;= 12,
        "No",
        "Yes"
    ),
    "No"
)</f>
        <v>Yes</v>
      </c>
      <c r="W480" s="4" t="str" cm="1">
        <f t="array" ref="W480">IFERROR(
    IF(
        MATCH(2,1/((Y480:BH480&lt;&gt;0)*(Y480:BH480&lt;&gt;"")))-MATCH(1,INDEX((Y480:BH480&lt;&gt;0)*(Y480:BH480&lt;&gt;""),0),0)+1 &lt;= 24,
        "No",
        "Yes"
    ),
    "No"
)</f>
        <v>Yes</v>
      </c>
      <c r="X480" s="3"/>
      <c r="Y480" s="4">
        <v>75</v>
      </c>
      <c r="Z480" s="4">
        <v>75</v>
      </c>
      <c r="AA480" s="4">
        <v>75</v>
      </c>
      <c r="AB480" s="4">
        <v>84</v>
      </c>
      <c r="AC480" s="4">
        <v>84</v>
      </c>
      <c r="AD480" s="4">
        <v>84</v>
      </c>
      <c r="AE480" s="4">
        <v>89.057199999999995</v>
      </c>
      <c r="AF480" s="4">
        <v>89.057199999999995</v>
      </c>
      <c r="AG480" s="4">
        <v>96.057199999999995</v>
      </c>
      <c r="AH480" s="4">
        <v>96.057199999999995</v>
      </c>
      <c r="AI480" s="4">
        <v>96.057199999999995</v>
      </c>
      <c r="AJ480" s="4">
        <v>96.057199999999995</v>
      </c>
      <c r="AK480" s="4">
        <v>96.057199999999995</v>
      </c>
      <c r="AL480" s="4">
        <v>96.057199999999995</v>
      </c>
      <c r="AM480" s="4">
        <v>96.057199999999995</v>
      </c>
      <c r="AN480" s="4">
        <v>96.057199999999995</v>
      </c>
      <c r="AO480" s="4">
        <v>96.057199999999995</v>
      </c>
      <c r="AP480" s="4">
        <v>96.057199999999995</v>
      </c>
      <c r="AQ480" s="4">
        <v>96.057199999999995</v>
      </c>
      <c r="AR480" s="4">
        <v>96.057199999999995</v>
      </c>
      <c r="AS480" s="4">
        <v>96.057199999999995</v>
      </c>
      <c r="AT480" s="4">
        <v>96.057199999999995</v>
      </c>
      <c r="AU480" s="4">
        <v>96.057199999999995</v>
      </c>
      <c r="AV480" s="4">
        <v>96.057199999999995</v>
      </c>
      <c r="AW480" s="4">
        <v>96.057199999999995</v>
      </c>
      <c r="AX480" s="4">
        <v>96.057199999999995</v>
      </c>
      <c r="AY480" s="4">
        <v>96.057199999999995</v>
      </c>
      <c r="AZ480" s="4">
        <v>96.057199999999995</v>
      </c>
      <c r="BA480" s="4">
        <v>96.057199999999995</v>
      </c>
      <c r="BB480" s="4">
        <v>96.057199999999995</v>
      </c>
      <c r="BC480" s="4">
        <v>96.057199999999995</v>
      </c>
      <c r="BD480" s="4">
        <v>96.057199999999995</v>
      </c>
      <c r="BE480" s="4">
        <v>96.057199999999995</v>
      </c>
      <c r="BF480" s="4">
        <v>96.057199999999995</v>
      </c>
      <c r="BG480" s="4">
        <v>96.057199999999995</v>
      </c>
      <c r="BH480" s="4">
        <v>96.057199999999995</v>
      </c>
      <c r="BJ480" s="9"/>
    </row>
    <row r="481" spans="1:62" x14ac:dyDescent="0.25">
      <c r="A481" s="6" t="s">
        <v>326</v>
      </c>
      <c r="B481" s="6"/>
      <c r="C481" s="7" t="s">
        <v>526</v>
      </c>
      <c r="D481" s="3"/>
      <c r="E481" s="3">
        <f>VLOOKUP(A481,[2]Sheet1!$A$2:$E$627,5,0)</f>
        <v>451.00566682481895</v>
      </c>
      <c r="F481" s="3">
        <f>VLOOKUP(A481,[2]Sheet1!$A$2:$F$627,6,0)</f>
        <v>682.90586711302421</v>
      </c>
      <c r="G481" s="3">
        <f>VLOOKUP(A481,[2]Sheet1!$A$2:$G$627,7,0)</f>
        <v>846.69708680193025</v>
      </c>
      <c r="H481" s="4">
        <f t="shared" si="42"/>
        <v>770.50280217695467</v>
      </c>
      <c r="I481" s="11">
        <f t="shared" si="43"/>
        <v>0.51418467071785301</v>
      </c>
      <c r="J481" s="11">
        <f t="shared" si="44"/>
        <v>0.87735354361036666</v>
      </c>
      <c r="K481" s="11">
        <f t="shared" si="45"/>
        <v>0.23984450504332511</v>
      </c>
      <c r="L481" s="11">
        <f>IF(S481="",((BG481-E481)/E481),((U481-E481)/E481))</f>
        <v>0.7084104676587929</v>
      </c>
      <c r="M481" s="3" t="str">
        <f>IF(S481="Churn","Churn",VLOOKUP(A481,'[1]Revenue_Engine_2025 Dec.25'!$C$14:$E$3993,3,0))</f>
        <v>Diğer</v>
      </c>
      <c r="N481" s="3">
        <f>IF(S481="",VLOOKUP(A481,[3]Export!$B$2:$F$417,5,0),"CHURN")</f>
        <v>0.20863093878808334</v>
      </c>
      <c r="O481" s="3">
        <f>(1-N481)*H481</f>
        <v>609.75207921992774</v>
      </c>
      <c r="P481" s="3">
        <f t="shared" si="47"/>
        <v>540.43057495334392</v>
      </c>
      <c r="Q481" s="3">
        <f t="shared" si="46"/>
        <v>670.0498787133082</v>
      </c>
      <c r="R481" s="3" t="str">
        <f>IF(S481&lt;&gt;"Churn",VLOOKUP(A481,[3]Export!$B$2:$O$417,8,0),"CHURN")</f>
        <v>NO RISK</v>
      </c>
      <c r="S481" s="3"/>
      <c r="T481" s="3"/>
      <c r="U481" s="3" t="s">
        <v>551</v>
      </c>
      <c r="V481" s="4" t="str" cm="1">
        <f t="array" ref="V481">IFERROR(
    IF(
        MATCH(2,1/((Y481:BH481&lt;&gt;0)*(Y481:BH481&lt;&gt;"")))-MATCH(1,INDEX((Y481:BH481&lt;&gt;0)*(Y481:BH481&lt;&gt;""),0),0)+1 &lt;= 12,
        "No",
        "Yes"
    ),
    "No"
)</f>
        <v>Yes</v>
      </c>
      <c r="W481" s="4" t="str" cm="1">
        <f t="array" ref="W481">IFERROR(
    IF(
        MATCH(2,1/((Y481:BH481&lt;&gt;0)*(Y481:BH481&lt;&gt;"")))-MATCH(1,INDEX((Y481:BH481&lt;&gt;0)*(Y481:BH481&lt;&gt;""),0),0)+1 &lt;= 24,
        "No",
        "Yes"
    ),
    "No"
)</f>
        <v>Yes</v>
      </c>
      <c r="X481" s="3"/>
      <c r="Y481" s="4">
        <v>451.00566682481895</v>
      </c>
      <c r="Z481" s="4">
        <v>449.48041033378138</v>
      </c>
      <c r="AA481" s="4">
        <v>446.26443988588363</v>
      </c>
      <c r="AB481" s="4">
        <v>438.54912178016275</v>
      </c>
      <c r="AC481" s="4">
        <v>430.46213260701649</v>
      </c>
      <c r="AD481" s="4">
        <v>363.9110457762128</v>
      </c>
      <c r="AE481" s="4">
        <v>429.90790415487919</v>
      </c>
      <c r="AF481" s="4">
        <v>422.00137473387758</v>
      </c>
      <c r="AG481" s="4">
        <v>421.62088844179328</v>
      </c>
      <c r="AH481" s="4">
        <v>408.99554216915158</v>
      </c>
      <c r="AI481" s="4">
        <v>398.06649430253759</v>
      </c>
      <c r="AJ481" s="4">
        <v>454.55117908201402</v>
      </c>
      <c r="AK481" s="4">
        <v>682.90586711302421</v>
      </c>
      <c r="AL481" s="4">
        <v>669.84572748418361</v>
      </c>
      <c r="AM481" s="4">
        <v>648.58411251261032</v>
      </c>
      <c r="AN481" s="4">
        <v>643.2646915410694</v>
      </c>
      <c r="AO481" s="4">
        <v>644.03338572648897</v>
      </c>
      <c r="AP481" s="4">
        <v>689.54985061939055</v>
      </c>
      <c r="AQ481" s="4">
        <v>683.46783416900314</v>
      </c>
      <c r="AR481" s="4">
        <v>672.29561640244742</v>
      </c>
      <c r="AS481" s="4">
        <v>666.48188189426196</v>
      </c>
      <c r="AT481" s="4">
        <v>665.37779647475759</v>
      </c>
      <c r="AU481" s="4">
        <v>662.62787855681438</v>
      </c>
      <c r="AV481" s="4">
        <v>669.91363787432522</v>
      </c>
      <c r="AW481" s="4">
        <v>846.69708680193025</v>
      </c>
      <c r="AX481" s="4">
        <v>834.97086497065675</v>
      </c>
      <c r="AY481" s="4">
        <v>818.66760951889273</v>
      </c>
      <c r="AZ481" s="4">
        <v>801.64688171675266</v>
      </c>
      <c r="BA481" s="4">
        <v>791.25051772660731</v>
      </c>
      <c r="BB481" s="4">
        <v>780.8981037249124</v>
      </c>
      <c r="BC481" s="4">
        <v>769.36857243680549</v>
      </c>
      <c r="BD481" s="4">
        <v>760.3150245791345</v>
      </c>
      <c r="BE481" s="4">
        <v>753.30880263240886</v>
      </c>
      <c r="BF481" s="4">
        <v>746.43360698168783</v>
      </c>
      <c r="BG481" s="4">
        <v>770.50280217695467</v>
      </c>
      <c r="BH481" s="4">
        <v>765.05377159550164</v>
      </c>
      <c r="BJ481" s="9"/>
    </row>
    <row r="482" spans="1:62" x14ac:dyDescent="0.25">
      <c r="A482" s="6" t="s">
        <v>327</v>
      </c>
      <c r="B482" s="6"/>
      <c r="C482" s="7" t="s">
        <v>526</v>
      </c>
      <c r="D482" s="3"/>
      <c r="E482" s="3">
        <f>VLOOKUP(A482,[2]Sheet1!$A$2:$E$627,5,0)</f>
        <v>85.295575825101423</v>
      </c>
      <c r="F482" s="3">
        <f>VLOOKUP(A482,[2]Sheet1!$A$2:$F$627,6,0)</f>
        <v>117.92904851138177</v>
      </c>
      <c r="G482" s="3">
        <f>VLOOKUP(A482,[2]Sheet1!$A$2:$G$627,7,0)</f>
        <v>156.68452693512432</v>
      </c>
      <c r="H482" s="4">
        <f t="shared" si="42"/>
        <v>136.30850401305651</v>
      </c>
      <c r="I482" s="11">
        <f t="shared" si="43"/>
        <v>0.38259279418190784</v>
      </c>
      <c r="J482" s="11">
        <f t="shared" si="44"/>
        <v>0.83695960100446409</v>
      </c>
      <c r="K482" s="11">
        <f t="shared" si="45"/>
        <v>0.32863386004511114</v>
      </c>
      <c r="L482" s="11">
        <f>IF(S482="",((BG482-E482)/E482),((U482-E482)/E482))</f>
        <v>0.6144531853628098</v>
      </c>
      <c r="M482" s="3" t="str">
        <f>IF(S482="Churn","Churn",VLOOKUP(A482,'[1]Revenue_Engine_2025 Dec.25'!$C$14:$E$3993,3,0))</f>
        <v>Churn</v>
      </c>
      <c r="N482" s="3" t="str">
        <f>IF(S482="",VLOOKUP(A482,[3]Export!$B$2:$F$417,5,0),"CHURN")</f>
        <v>CHURN</v>
      </c>
      <c r="O482" s="3" t="e">
        <f>(1-N482)*H482</f>
        <v>#VALUE!</v>
      </c>
      <c r="P482" s="3" t="e">
        <f t="shared" si="47"/>
        <v>#VALUE!</v>
      </c>
      <c r="Q482" s="3" t="e">
        <f t="shared" si="46"/>
        <v>#VALUE!</v>
      </c>
      <c r="R482" s="3" t="str">
        <f>IF(S482&lt;&gt;"Churn",VLOOKUP(A482,[3]Export!$B$2:$O$417,8,0),"CHURN")</f>
        <v>CHURN</v>
      </c>
      <c r="S482" s="3" t="s">
        <v>372</v>
      </c>
      <c r="T482" s="3" t="s">
        <v>556</v>
      </c>
      <c r="U482" s="3">
        <v>137.70571408819006</v>
      </c>
      <c r="V482" s="4" t="str" cm="1">
        <f t="array" ref="V482">IFERROR(
    IF(
        MATCH(2,1/((Y482:BH482&lt;&gt;0)*(Y482:BH482&lt;&gt;"")))-MATCH(1,INDEX((Y482:BH482&lt;&gt;0)*(Y482:BH482&lt;&gt;""),0),0)+1 &lt;= 12,
        "No",
        "Yes"
    ),
    "No"
)</f>
        <v>Yes</v>
      </c>
      <c r="W482" s="4" t="str" cm="1">
        <f t="array" ref="W482">IFERROR(
    IF(
        MATCH(2,1/((Y482:BH482&lt;&gt;0)*(Y482:BH482&lt;&gt;"")))-MATCH(1,INDEX((Y482:BH482&lt;&gt;0)*(Y482:BH482&lt;&gt;""),0),0)+1 &lt;= 24,
        "No",
        "Yes"
    ),
    "No"
)</f>
        <v>Yes</v>
      </c>
      <c r="X482" s="3"/>
      <c r="Y482" s="4">
        <v>85.295575825101423</v>
      </c>
      <c r="Z482" s="4">
        <v>84.999229694480903</v>
      </c>
      <c r="AA482" s="4">
        <v>84.374390263195366</v>
      </c>
      <c r="AB482" s="4">
        <v>102.32536063731152</v>
      </c>
      <c r="AC482" s="4">
        <v>90.304626204317259</v>
      </c>
      <c r="AD482" s="4">
        <v>77.374158148439378</v>
      </c>
      <c r="AE482" s="4">
        <v>92.166140897023681</v>
      </c>
      <c r="AF482" s="4">
        <v>90.592694849949652</v>
      </c>
      <c r="AG482" s="4">
        <v>106.99786746500466</v>
      </c>
      <c r="AH482" s="4">
        <v>103.97737450276173</v>
      </c>
      <c r="AI482" s="4">
        <v>110.17916485031259</v>
      </c>
      <c r="AJ482" s="4">
        <v>121.10268883049253</v>
      </c>
      <c r="AK482" s="4">
        <v>117.92904851138177</v>
      </c>
      <c r="AL482" s="4">
        <v>115.71341895739536</v>
      </c>
      <c r="AM482" s="4">
        <v>127.77146740730993</v>
      </c>
      <c r="AN482" s="4">
        <v>126.71301489176253</v>
      </c>
      <c r="AO482" s="4">
        <v>126.86596881261161</v>
      </c>
      <c r="AP482" s="4">
        <v>125.97383994406697</v>
      </c>
      <c r="AQ482" s="4">
        <v>124.76364702157518</v>
      </c>
      <c r="AR482" s="4">
        <v>122.54061145764447</v>
      </c>
      <c r="AS482" s="4">
        <v>121.38380097999374</v>
      </c>
      <c r="AT482" s="4">
        <v>161.69420383544971</v>
      </c>
      <c r="AU482" s="4">
        <v>160.92142429736819</v>
      </c>
      <c r="AV482" s="4">
        <v>158.75357509999199</v>
      </c>
      <c r="AW482" s="4">
        <v>156.68452693512432</v>
      </c>
      <c r="AX482" s="4">
        <v>154.30146816585307</v>
      </c>
      <c r="AY482" s="4">
        <v>150.98824277825383</v>
      </c>
      <c r="AZ482" s="4">
        <v>147.5292092351485</v>
      </c>
      <c r="BA482" s="4">
        <v>145.4164105237019</v>
      </c>
      <c r="BB482" s="4">
        <v>143.31254353867945</v>
      </c>
      <c r="BC482" s="4">
        <v>140.96945716038547</v>
      </c>
      <c r="BD482" s="4">
        <v>139.12955195258021</v>
      </c>
      <c r="BE482" s="4">
        <v>137.70571408819006</v>
      </c>
      <c r="BF482" s="4">
        <v>136.30850401305651</v>
      </c>
      <c r="BG482" s="4">
        <v>135.10321755317889</v>
      </c>
      <c r="BH482" s="4">
        <v>0</v>
      </c>
      <c r="BJ482" s="9"/>
    </row>
    <row r="483" spans="1:62" x14ac:dyDescent="0.25">
      <c r="A483" s="6" t="s">
        <v>328</v>
      </c>
      <c r="B483" s="6"/>
      <c r="C483" s="7" t="s">
        <v>526</v>
      </c>
      <c r="D483" s="3"/>
      <c r="E483" s="3">
        <f>VLOOKUP(A483,[2]Sheet1!$A$2:$E$627,5,0)</f>
        <v>170</v>
      </c>
      <c r="F483" s="3">
        <f>VLOOKUP(A483,[2]Sheet1!$A$2:$F$627,6,0)</f>
        <v>177.5</v>
      </c>
      <c r="G483" s="3">
        <f>VLOOKUP(A483,[2]Sheet1!$A$2:$G$627,7,0)</f>
        <v>176.19444444444443</v>
      </c>
      <c r="H483" s="4">
        <f t="shared" si="42"/>
        <v>193.75000000000003</v>
      </c>
      <c r="I483" s="11">
        <f t="shared" si="43"/>
        <v>4.4117647058823532E-2</v>
      </c>
      <c r="J483" s="11">
        <f t="shared" si="44"/>
        <v>3.6437908496731931E-2</v>
      </c>
      <c r="K483" s="11">
        <f t="shared" si="45"/>
        <v>-7.3552425665102611E-3</v>
      </c>
      <c r="L483" s="11">
        <f>IF(S483="",((BG483-E483)/E483),((U483-E483)/E483))</f>
        <v>0.13970588235294135</v>
      </c>
      <c r="M483" s="3" t="str">
        <f>IF(S483="Churn","Churn",VLOOKUP(A483,'[1]Revenue_Engine_2025 Dec.25'!$C$14:$E$3993,3,0))</f>
        <v>Diğer</v>
      </c>
      <c r="N483" s="3">
        <f>IF(S483="",VLOOKUP(A483,[3]Export!$B$2:$F$417,5,0),"CHURN")</f>
        <v>4.5411066226706417E-2</v>
      </c>
      <c r="O483" s="3">
        <f>(1-N483)*H483</f>
        <v>184.95160591857567</v>
      </c>
      <c r="P483" s="3">
        <f t="shared" si="47"/>
        <v>169.43953574475961</v>
      </c>
      <c r="Q483" s="3">
        <f t="shared" si="46"/>
        <v>168.193266859</v>
      </c>
      <c r="R483" s="3" t="str">
        <f>IF(S483&lt;&gt;"Churn",VLOOKUP(A483,[3]Export!$B$2:$O$417,8,0),"CHURN")</f>
        <v>BOOKED CHURN</v>
      </c>
      <c r="S483" s="3"/>
      <c r="T483" s="3"/>
      <c r="U483" s="3" t="s">
        <v>551</v>
      </c>
      <c r="V483" s="4" t="str" cm="1">
        <f t="array" ref="V483">IFERROR(
    IF(
        MATCH(2,1/((Y483:BH483&lt;&gt;0)*(Y483:BH483&lt;&gt;"")))-MATCH(1,INDEX((Y483:BH483&lt;&gt;0)*(Y483:BH483&lt;&gt;""),0),0)+1 &lt;= 12,
        "No",
        "Yes"
    ),
    "No"
)</f>
        <v>Yes</v>
      </c>
      <c r="W483" s="4" t="str" cm="1">
        <f t="array" ref="W483">IFERROR(
    IF(
        MATCH(2,1/((Y483:BH483&lt;&gt;0)*(Y483:BH483&lt;&gt;"")))-MATCH(1,INDEX((Y483:BH483&lt;&gt;0)*(Y483:BH483&lt;&gt;""),0),0)+1 &lt;= 24,
        "No",
        "Yes"
    ),
    "No"
)</f>
        <v>Yes</v>
      </c>
      <c r="X483" s="3"/>
      <c r="Y483" s="4">
        <v>0</v>
      </c>
      <c r="Z483" s="4">
        <v>0</v>
      </c>
      <c r="AA483" s="4">
        <v>170</v>
      </c>
      <c r="AB483" s="4">
        <v>170</v>
      </c>
      <c r="AC483" s="4">
        <v>170</v>
      </c>
      <c r="AD483" s="4">
        <v>180</v>
      </c>
      <c r="AE483" s="4">
        <v>180</v>
      </c>
      <c r="AF483" s="4">
        <v>180</v>
      </c>
      <c r="AG483" s="4">
        <v>180</v>
      </c>
      <c r="AH483" s="4">
        <v>180</v>
      </c>
      <c r="AI483" s="4">
        <v>180</v>
      </c>
      <c r="AJ483" s="4">
        <v>180</v>
      </c>
      <c r="AK483" s="4">
        <v>180</v>
      </c>
      <c r="AL483" s="4">
        <v>180</v>
      </c>
      <c r="AM483" s="4">
        <v>177.5</v>
      </c>
      <c r="AN483" s="4">
        <v>177.5</v>
      </c>
      <c r="AO483" s="4">
        <v>369</v>
      </c>
      <c r="AP483" s="4">
        <v>369</v>
      </c>
      <c r="AQ483" s="4">
        <v>369</v>
      </c>
      <c r="AR483" s="4">
        <v>369</v>
      </c>
      <c r="AS483" s="4">
        <v>369</v>
      </c>
      <c r="AT483" s="4">
        <v>369</v>
      </c>
      <c r="AU483" s="4">
        <v>369</v>
      </c>
      <c r="AV483" s="4">
        <v>369</v>
      </c>
      <c r="AW483" s="4">
        <v>369</v>
      </c>
      <c r="AX483" s="4">
        <v>369</v>
      </c>
      <c r="AY483" s="4">
        <v>176.19444444444443</v>
      </c>
      <c r="AZ483" s="4">
        <v>176.19444444444443</v>
      </c>
      <c r="BA483" s="4">
        <v>176.19444444444443</v>
      </c>
      <c r="BB483" s="4">
        <v>193.75000000000003</v>
      </c>
      <c r="BC483" s="4">
        <v>193.75000000000003</v>
      </c>
      <c r="BD483" s="4">
        <v>193.75000000000003</v>
      </c>
      <c r="BE483" s="4">
        <v>193.75000000000003</v>
      </c>
      <c r="BF483" s="4">
        <v>193.75000000000003</v>
      </c>
      <c r="BG483" s="4">
        <v>193.75000000000003</v>
      </c>
      <c r="BH483" s="4">
        <v>193.75000000000003</v>
      </c>
      <c r="BJ483" s="9"/>
    </row>
    <row r="484" spans="1:62" x14ac:dyDescent="0.25">
      <c r="A484" s="6" t="s">
        <v>329</v>
      </c>
      <c r="B484" s="6"/>
      <c r="C484" s="7" t="s">
        <v>526</v>
      </c>
      <c r="D484" s="3"/>
      <c r="E484" s="3">
        <f>VLOOKUP(A484,[2]Sheet1!$A$2:$E$627,5,0)</f>
        <v>683.43783453127389</v>
      </c>
      <c r="F484" s="3">
        <f>VLOOKUP(A484,[2]Sheet1!$A$2:$F$627,6,0)</f>
        <v>579.06013890880229</v>
      </c>
      <c r="G484" s="3">
        <f>VLOOKUP(A484,[2]Sheet1!$A$2:$G$627,7,0)</f>
        <v>939.71157217033033</v>
      </c>
      <c r="H484" s="4">
        <f t="shared" si="42"/>
        <v>0</v>
      </c>
      <c r="I484" s="11">
        <f t="shared" si="43"/>
        <v>-0.15272449131245061</v>
      </c>
      <c r="J484" s="11">
        <f t="shared" si="44"/>
        <v>0.37497739324721191</v>
      </c>
      <c r="K484" s="11">
        <f t="shared" si="45"/>
        <v>0.62282206808631324</v>
      </c>
      <c r="L484" s="11">
        <f>IF(S484="",((BG484-E484)/E484),((U484-E484)/E484))</f>
        <v>0.51393019248343874</v>
      </c>
      <c r="M484" s="3" t="str">
        <f>IF(S484="Churn","Churn",VLOOKUP(A484,'[1]Revenue_Engine_2025 Dec.25'!$C$14:$E$3993,3,0))</f>
        <v>Churn</v>
      </c>
      <c r="N484" s="3" t="str">
        <f>IF(S484="",VLOOKUP(A484,[3]Export!$B$2:$F$417,5,0),"CHURN")</f>
        <v>CHURN</v>
      </c>
      <c r="O484" s="3" t="e">
        <f>(1-N484)*H484</f>
        <v>#VALUE!</v>
      </c>
      <c r="P484" s="3" t="e">
        <f t="shared" si="47"/>
        <v>#VALUE!</v>
      </c>
      <c r="Q484" s="3" t="e">
        <f t="shared" si="46"/>
        <v>#VALUE!</v>
      </c>
      <c r="R484" s="3" t="str">
        <f>IF(S484&lt;&gt;"Churn",VLOOKUP(A484,[3]Export!$B$2:$O$417,8,0),"CHURN")</f>
        <v>CHURN</v>
      </c>
      <c r="S484" s="3" t="s">
        <v>372</v>
      </c>
      <c r="T484" s="3" t="s">
        <v>557</v>
      </c>
      <c r="U484" s="3">
        <v>1034.6771723823961</v>
      </c>
      <c r="V484" s="4" t="str" cm="1">
        <f t="array" ref="V484">IFERROR(
    IF(
        MATCH(2,1/((Y484:BH484&lt;&gt;0)*(Y484:BH484&lt;&gt;"")))-MATCH(1,INDEX((Y484:BH484&lt;&gt;0)*(Y484:BH484&lt;&gt;""),0),0)+1 &lt;= 12,
        "No",
        "Yes"
    ),
    "No"
)</f>
        <v>Yes</v>
      </c>
      <c r="W484" s="4" t="str" cm="1">
        <f t="array" ref="W484">IFERROR(
    IF(
        MATCH(2,1/((Y484:BH484&lt;&gt;0)*(Y484:BH484&lt;&gt;"")))-MATCH(1,INDEX((Y484:BH484&lt;&gt;0)*(Y484:BH484&lt;&gt;""),0),0)+1 &lt;= 24,
        "No",
        "Yes"
    ),
    "No"
)</f>
        <v>Yes</v>
      </c>
      <c r="X484" s="3"/>
      <c r="Y484" s="4">
        <v>416.45564896605771</v>
      </c>
      <c r="Z484" s="4">
        <v>415.00873898330298</v>
      </c>
      <c r="AA484" s="4">
        <v>683.43783453127389</v>
      </c>
      <c r="AB484" s="4">
        <v>671.29560087226321</v>
      </c>
      <c r="AC484" s="4">
        <v>658.56843774137155</v>
      </c>
      <c r="AD484" s="4">
        <v>553.83149294041232</v>
      </c>
      <c r="AE484" s="4">
        <v>657.69605114163551</v>
      </c>
      <c r="AF484" s="4">
        <v>645.25289530101088</v>
      </c>
      <c r="AG484" s="4">
        <v>644.65409271955843</v>
      </c>
      <c r="AH484" s="4">
        <v>624.7845465701397</v>
      </c>
      <c r="AI484" s="4">
        <v>607.58460478118036</v>
      </c>
      <c r="AJ484" s="4">
        <v>598.11780832297234</v>
      </c>
      <c r="AK484" s="4">
        <v>579.06013890880229</v>
      </c>
      <c r="AL484" s="4">
        <v>565.75519836331534</v>
      </c>
      <c r="AM484" s="4">
        <v>855.17141254832666</v>
      </c>
      <c r="AN484" s="4">
        <v>846.65399620959511</v>
      </c>
      <c r="AO484" s="4">
        <v>847.88482348373054</v>
      </c>
      <c r="AP484" s="4">
        <v>840.7058212237506</v>
      </c>
      <c r="AQ484" s="4">
        <v>830.96734281339127</v>
      </c>
      <c r="AR484" s="4">
        <v>813.07847283039325</v>
      </c>
      <c r="AS484" s="4">
        <v>803.76956542223934</v>
      </c>
      <c r="AT484" s="4">
        <v>798.79932749402269</v>
      </c>
      <c r="AU484" s="4">
        <v>794.39617987142049</v>
      </c>
      <c r="AV484" s="4">
        <v>782.0441964541526</v>
      </c>
      <c r="AW484" s="4">
        <v>939.71157217033033</v>
      </c>
      <c r="AX484" s="4">
        <v>923.14615633896904</v>
      </c>
      <c r="AY484" s="4">
        <v>1081.2008540946429</v>
      </c>
      <c r="AZ484" s="4">
        <v>1052.3186178320657</v>
      </c>
      <c r="BA484" s="4">
        <v>1034.6771723823961</v>
      </c>
      <c r="BB484" s="4">
        <v>1017.1103050568182</v>
      </c>
      <c r="BC484" s="4">
        <v>997.54600378069938</v>
      </c>
      <c r="BD484" s="4">
        <v>0</v>
      </c>
      <c r="BE484" s="4">
        <v>0</v>
      </c>
      <c r="BF484" s="4">
        <v>0</v>
      </c>
      <c r="BG484" s="4">
        <v>0</v>
      </c>
      <c r="BH484" s="4">
        <v>0</v>
      </c>
      <c r="BJ484" s="9"/>
    </row>
    <row r="485" spans="1:62" x14ac:dyDescent="0.25">
      <c r="A485" s="6" t="s">
        <v>330</v>
      </c>
      <c r="B485" s="6"/>
      <c r="C485" s="7" t="s">
        <v>526</v>
      </c>
      <c r="D485" s="3"/>
      <c r="E485" s="3">
        <f>VLOOKUP(A485,[2]Sheet1!$A$2:$E$627,5,0)</f>
        <v>154.44034949862197</v>
      </c>
      <c r="F485" s="3">
        <f>VLOOKUP(A485,[2]Sheet1!$A$2:$F$627,6,0)</f>
        <v>166.7524616813767</v>
      </c>
      <c r="G485" s="3">
        <f>VLOOKUP(A485,[2]Sheet1!$A$2:$G$627,7,0)</f>
        <v>294.53702468055985</v>
      </c>
      <c r="H485" s="4">
        <f t="shared" si="42"/>
        <v>408.45145968757595</v>
      </c>
      <c r="I485" s="11">
        <f t="shared" si="43"/>
        <v>7.9720825695648853E-2</v>
      </c>
      <c r="J485" s="11">
        <f t="shared" si="44"/>
        <v>0.90712482610114742</v>
      </c>
      <c r="K485" s="11">
        <f t="shared" si="45"/>
        <v>0.76631290303436894</v>
      </c>
      <c r="L485" s="11">
        <f>IF(S485="",((BG485-E485)/E485),((U485-E485)/E485))</f>
        <v>1.6375488240512002</v>
      </c>
      <c r="M485" s="3" t="str">
        <f>IF(S485="Churn","Churn",VLOOKUP(A485,'[1]Revenue_Engine_2025 Dec.25'!$C$14:$E$3993,3,0))</f>
        <v>Perakende</v>
      </c>
      <c r="N485" s="3">
        <f>IF(S485="",VLOOKUP(A485,[3]Export!$B$2:$F$417,5,0),"CHURN")</f>
        <v>0.48656539266047977</v>
      </c>
      <c r="O485" s="3">
        <f>(1-N485)*H485</f>
        <v>209.7131148219444</v>
      </c>
      <c r="P485" s="3">
        <f t="shared" si="47"/>
        <v>85.616484686276024</v>
      </c>
      <c r="Q485" s="3">
        <f t="shared" si="46"/>
        <v>151.2255016138138</v>
      </c>
      <c r="R485" s="3" t="str">
        <f>IF(S485&lt;&gt;"Churn",VLOOKUP(A485,[3]Export!$B$2:$O$417,8,0),"CHURN")</f>
        <v>NO RISK</v>
      </c>
      <c r="S485" s="3"/>
      <c r="T485" s="3"/>
      <c r="U485" s="3" t="s">
        <v>551</v>
      </c>
      <c r="V485" s="4" t="str" cm="1">
        <f t="array" ref="V485">IFERROR(
    IF(
        MATCH(2,1/((Y485:BH485&lt;&gt;0)*(Y485:BH485&lt;&gt;"")))-MATCH(1,INDEX((Y485:BH485&lt;&gt;0)*(Y485:BH485&lt;&gt;""),0),0)+1 &lt;= 12,
        "No",
        "Yes"
    ),
    "No"
)</f>
        <v>Yes</v>
      </c>
      <c r="W485" s="4" t="str" cm="1">
        <f t="array" ref="W485">IFERROR(
    IF(
        MATCH(2,1/((Y485:BH485&lt;&gt;0)*(Y485:BH485&lt;&gt;"")))-MATCH(1,INDEX((Y485:BH485&lt;&gt;0)*(Y485:BH485&lt;&gt;""),0),0)+1 &lt;= 24,
        "No",
        "Yes"
    ),
    "No"
)</f>
        <v>Yes</v>
      </c>
      <c r="X485" s="3"/>
      <c r="Y485" s="4">
        <v>154.44034949862197</v>
      </c>
      <c r="Z485" s="4">
        <v>154.20867905884603</v>
      </c>
      <c r="AA485" s="4">
        <v>153.72020692819211</v>
      </c>
      <c r="AB485" s="4">
        <v>152.54833114922226</v>
      </c>
      <c r="AC485" s="4">
        <v>160.32051058986136</v>
      </c>
      <c r="AD485" s="4">
        <v>150.21201873440222</v>
      </c>
      <c r="AE485" s="4">
        <v>144.13039435563581</v>
      </c>
      <c r="AF485" s="4">
        <v>170.37422775550544</v>
      </c>
      <c r="AG485" s="4">
        <v>170.31130051931564</v>
      </c>
      <c r="AH485" s="4">
        <v>204.19960133040581</v>
      </c>
      <c r="AI485" s="4">
        <v>169.91432073862345</v>
      </c>
      <c r="AJ485" s="4">
        <v>168.8649580228205</v>
      </c>
      <c r="AK485" s="4">
        <v>166.7524616813767</v>
      </c>
      <c r="AL485" s="4">
        <v>165.27765393501477</v>
      </c>
      <c r="AM485" s="4">
        <v>162.87669993671324</v>
      </c>
      <c r="AN485" s="4">
        <v>162.27600779421391</v>
      </c>
      <c r="AO485" s="4">
        <v>237.37517108355985</v>
      </c>
      <c r="AP485" s="4">
        <v>236.86887080692017</v>
      </c>
      <c r="AQ485" s="4">
        <v>236.18206306753552</v>
      </c>
      <c r="AR485" s="4">
        <v>264.49710980457309</v>
      </c>
      <c r="AS485" s="4">
        <v>263.5019754431645</v>
      </c>
      <c r="AT485" s="4">
        <v>262.97065051641613</v>
      </c>
      <c r="AU485" s="4">
        <v>262.49994828408239</v>
      </c>
      <c r="AV485" s="4">
        <v>261.17950512237417</v>
      </c>
      <c r="AW485" s="4">
        <v>294.53702468055985</v>
      </c>
      <c r="AX485" s="4">
        <v>292.76616070453167</v>
      </c>
      <c r="AY485" s="4">
        <v>290.30408483841455</v>
      </c>
      <c r="AZ485" s="4">
        <v>287.73365813625162</v>
      </c>
      <c r="BA485" s="4">
        <v>286.16362588402819</v>
      </c>
      <c r="BB485" s="4">
        <v>287.48343084645194</v>
      </c>
      <c r="BC485" s="4">
        <v>285.74227057229217</v>
      </c>
      <c r="BD485" s="4">
        <v>411.04378626467872</v>
      </c>
      <c r="BE485" s="4">
        <v>409.73530937040988</v>
      </c>
      <c r="BF485" s="4">
        <v>408.45145968757595</v>
      </c>
      <c r="BG485" s="4">
        <v>407.34396220614673</v>
      </c>
      <c r="BH485" s="4">
        <v>406.32642953665572</v>
      </c>
      <c r="BJ485" s="9"/>
    </row>
    <row r="486" spans="1:62" x14ac:dyDescent="0.25">
      <c r="A486" s="6" t="s">
        <v>331</v>
      </c>
      <c r="B486" s="6"/>
      <c r="C486" s="7" t="s">
        <v>526</v>
      </c>
      <c r="D486" s="3"/>
      <c r="E486" s="3">
        <f>VLOOKUP(A486,[2]Sheet1!$A$2:$E$627,5,0)</f>
        <v>100</v>
      </c>
      <c r="F486" s="3">
        <f>VLOOKUP(A486,[2]Sheet1!$A$2:$F$627,6,0)</f>
        <v>105.99380299999999</v>
      </c>
      <c r="G486" s="3">
        <f>VLOOKUP(A486,[2]Sheet1!$A$2:$G$627,7,0)</f>
        <v>105.99380299999999</v>
      </c>
      <c r="H486" s="4">
        <f t="shared" si="42"/>
        <v>0</v>
      </c>
      <c r="I486" s="11">
        <f t="shared" si="43"/>
        <v>5.9938029999999858E-2</v>
      </c>
      <c r="J486" s="11">
        <f t="shared" si="44"/>
        <v>5.9938029999999858E-2</v>
      </c>
      <c r="K486" s="11">
        <f t="shared" si="45"/>
        <v>0</v>
      </c>
      <c r="L486" s="11">
        <f>IF(S486="",((BG486-E486)/E486),((U486-E486)/E486))</f>
        <v>5.9938029999999858E-2</v>
      </c>
      <c r="M486" s="3" t="str">
        <f>IF(S486="Churn","Churn",VLOOKUP(A486,'[1]Revenue_Engine_2025 Dec.25'!$C$14:$E$3993,3,0))</f>
        <v>Churn</v>
      </c>
      <c r="N486" s="3" t="str">
        <f>IF(S486="",VLOOKUP(A486,[3]Export!$B$2:$F$417,5,0),"CHURN")</f>
        <v>CHURN</v>
      </c>
      <c r="O486" s="3" t="e">
        <f>(1-N486)*H486</f>
        <v>#VALUE!</v>
      </c>
      <c r="P486" s="3" t="e">
        <f t="shared" si="47"/>
        <v>#VALUE!</v>
      </c>
      <c r="Q486" s="3" t="e">
        <f t="shared" si="46"/>
        <v>#VALUE!</v>
      </c>
      <c r="R486" s="3" t="str">
        <f>IF(S486&lt;&gt;"Churn",VLOOKUP(A486,[3]Export!$B$2:$O$417,8,0),"CHURN")</f>
        <v>CHURN</v>
      </c>
      <c r="S486" s="3" t="s">
        <v>372</v>
      </c>
      <c r="T486" s="3" t="s">
        <v>557</v>
      </c>
      <c r="U486" s="3">
        <v>105.99380299999999</v>
      </c>
      <c r="V486" s="4" t="str" cm="1">
        <f t="array" ref="V486">IFERROR(
    IF(
        MATCH(2,1/((Y486:BH486&lt;&gt;0)*(Y486:BH486&lt;&gt;"")))-MATCH(1,INDEX((Y486:BH486&lt;&gt;0)*(Y486:BH486&lt;&gt;""),0),0)+1 &lt;= 12,
        "No",
        "Yes"
    ),
    "No"
)</f>
        <v>Yes</v>
      </c>
      <c r="W486" s="4" t="str" cm="1">
        <f t="array" ref="W486">IFERROR(
    IF(
        MATCH(2,1/((Y486:BH486&lt;&gt;0)*(Y486:BH486&lt;&gt;"")))-MATCH(1,INDEX((Y486:BH486&lt;&gt;0)*(Y486:BH486&lt;&gt;""),0),0)+1 &lt;= 24,
        "No",
        "Yes"
    ),
    "No"
)</f>
        <v>Yes</v>
      </c>
      <c r="X486" s="3"/>
      <c r="Y486" s="4">
        <v>100</v>
      </c>
      <c r="Z486" s="4">
        <v>100</v>
      </c>
      <c r="AA486" s="4">
        <v>100</v>
      </c>
      <c r="AB486" s="4">
        <v>100</v>
      </c>
      <c r="AC486" s="4">
        <v>100.00358800000001</v>
      </c>
      <c r="AD486" s="4">
        <v>100.00358800000001</v>
      </c>
      <c r="AE486" s="4">
        <v>105.99380299999999</v>
      </c>
      <c r="AF486" s="4">
        <v>105.99380299999999</v>
      </c>
      <c r="AG486" s="4">
        <v>105.99380299999999</v>
      </c>
      <c r="AH486" s="4">
        <v>105.99380299999999</v>
      </c>
      <c r="AI486" s="4">
        <v>105.99380299999999</v>
      </c>
      <c r="AJ486" s="4">
        <v>105.99380299999999</v>
      </c>
      <c r="AK486" s="4">
        <v>105.99380299999999</v>
      </c>
      <c r="AL486" s="4">
        <v>105.99380299999999</v>
      </c>
      <c r="AM486" s="4">
        <v>105.99380299999999</v>
      </c>
      <c r="AN486" s="4">
        <v>105.99380299999999</v>
      </c>
      <c r="AO486" s="4">
        <v>105.99380299999999</v>
      </c>
      <c r="AP486" s="4">
        <v>105.99380299999999</v>
      </c>
      <c r="AQ486" s="4">
        <v>105.99380299999999</v>
      </c>
      <c r="AR486" s="4">
        <v>105.99380299999999</v>
      </c>
      <c r="AS486" s="4">
        <v>105.99380299999999</v>
      </c>
      <c r="AT486" s="4">
        <v>105.99380299999999</v>
      </c>
      <c r="AU486" s="4">
        <v>105.99380299999999</v>
      </c>
      <c r="AV486" s="4">
        <v>105.99380299999999</v>
      </c>
      <c r="AW486" s="4">
        <v>105.99380299999999</v>
      </c>
      <c r="AX486" s="4">
        <v>105.99380299999999</v>
      </c>
      <c r="AY486" s="4">
        <v>105.99380299999999</v>
      </c>
      <c r="AZ486" s="4">
        <v>105.993803</v>
      </c>
      <c r="BA486" s="4">
        <v>105.99380299999999</v>
      </c>
      <c r="BB486" s="4">
        <v>105.99380299999999</v>
      </c>
      <c r="BC486" s="4">
        <v>105.99380299999999</v>
      </c>
      <c r="BD486" s="4">
        <v>0</v>
      </c>
      <c r="BE486" s="4">
        <v>0</v>
      </c>
      <c r="BF486" s="4">
        <v>0</v>
      </c>
      <c r="BG486" s="4">
        <v>0</v>
      </c>
      <c r="BH486" s="4">
        <v>0</v>
      </c>
      <c r="BJ486" s="9"/>
    </row>
    <row r="487" spans="1:62" x14ac:dyDescent="0.25">
      <c r="A487" s="6" t="s">
        <v>332</v>
      </c>
      <c r="B487" s="6"/>
      <c r="C487" s="7" t="s">
        <v>526</v>
      </c>
      <c r="D487" s="3"/>
      <c r="E487" s="3">
        <f>VLOOKUP(A487,[2]Sheet1!$A$2:$E$627,5,0)</f>
        <v>140.000001</v>
      </c>
      <c r="F487" s="3">
        <f>VLOOKUP(A487,[2]Sheet1!$A$2:$F$627,6,0)</f>
        <v>151.000001</v>
      </c>
      <c r="G487" s="3">
        <f>VLOOKUP(A487,[2]Sheet1!$A$2:$G$627,7,0)</f>
        <v>184.20624499999997</v>
      </c>
      <c r="H487" s="4">
        <f t="shared" si="42"/>
        <v>184.20624499999997</v>
      </c>
      <c r="I487" s="11">
        <f t="shared" si="43"/>
        <v>7.8571428010204086E-2</v>
      </c>
      <c r="J487" s="11">
        <f t="shared" si="44"/>
        <v>0.31575888345886488</v>
      </c>
      <c r="K487" s="11">
        <f t="shared" si="45"/>
        <v>0.21990889920590112</v>
      </c>
      <c r="L487" s="11">
        <f>IF(S487="",((BG487-E487)/E487),((U487-E487)/E487))</f>
        <v>0.31575888345886488</v>
      </c>
      <c r="M487" s="3" t="str">
        <f>IF(S487="Churn","Churn",VLOOKUP(A487,'[1]Revenue_Engine_2025 Dec.25'!$C$14:$E$3993,3,0))</f>
        <v>Perakende</v>
      </c>
      <c r="N487" s="3">
        <f>IF(S487="",VLOOKUP(A487,[3]Export!$B$2:$F$417,5,0),"CHURN")</f>
        <v>6.6230110710958814E-2</v>
      </c>
      <c r="O487" s="3">
        <f>(1-N487)*H487</f>
        <v>172.00624499999995</v>
      </c>
      <c r="P487" s="3">
        <f t="shared" si="47"/>
        <v>140.9992542164151</v>
      </c>
      <c r="Q487" s="3">
        <f t="shared" si="46"/>
        <v>172.00624499999995</v>
      </c>
      <c r="R487" s="3" t="str">
        <f>IF(S487&lt;&gt;"Churn",VLOOKUP(A487,[3]Export!$B$2:$O$417,8,0),"CHURN")</f>
        <v>NO RISK</v>
      </c>
      <c r="S487" s="3"/>
      <c r="T487" s="3"/>
      <c r="U487" s="3" t="s">
        <v>551</v>
      </c>
      <c r="V487" s="4" t="str" cm="1">
        <f t="array" ref="V487">IFERROR(
    IF(
        MATCH(2,1/((Y487:BH487&lt;&gt;0)*(Y487:BH487&lt;&gt;"")))-MATCH(1,INDEX((Y487:BH487&lt;&gt;0)*(Y487:BH487&lt;&gt;""),0),0)+1 &lt;= 12,
        "No",
        "Yes"
    ),
    "No"
)</f>
        <v>Yes</v>
      </c>
      <c r="W487" s="4" t="str" cm="1">
        <f t="array" ref="W487">IFERROR(
    IF(
        MATCH(2,1/((Y487:BH487&lt;&gt;0)*(Y487:BH487&lt;&gt;"")))-MATCH(1,INDEX((Y487:BH487&lt;&gt;0)*(Y487:BH487&lt;&gt;""),0),0)+1 &lt;= 24,
        "No",
        "Yes"
    ),
    "No"
)</f>
        <v>Yes</v>
      </c>
      <c r="X487" s="3"/>
      <c r="Y487" s="4">
        <v>0</v>
      </c>
      <c r="Z487" s="4">
        <v>0</v>
      </c>
      <c r="AA487" s="4">
        <v>0</v>
      </c>
      <c r="AB487" s="4">
        <v>0</v>
      </c>
      <c r="AC487" s="4">
        <v>140.000001</v>
      </c>
      <c r="AD487" s="4">
        <v>140.000001</v>
      </c>
      <c r="AE487" s="4">
        <v>140.000001</v>
      </c>
      <c r="AF487" s="4">
        <v>140.000001</v>
      </c>
      <c r="AG487" s="4">
        <v>151.000001</v>
      </c>
      <c r="AH487" s="4">
        <v>151.000001</v>
      </c>
      <c r="AI487" s="4">
        <v>151.000001</v>
      </c>
      <c r="AJ487" s="4">
        <v>151.000001</v>
      </c>
      <c r="AK487" s="4">
        <v>151.000001</v>
      </c>
      <c r="AL487" s="4">
        <v>151.000001</v>
      </c>
      <c r="AM487" s="4">
        <v>151.000001</v>
      </c>
      <c r="AN487" s="4">
        <v>151.000001</v>
      </c>
      <c r="AO487" s="4">
        <v>151.000001</v>
      </c>
      <c r="AP487" s="4">
        <v>151.000001</v>
      </c>
      <c r="AQ487" s="4">
        <v>151.000001</v>
      </c>
      <c r="AR487" s="4">
        <v>151.000001</v>
      </c>
      <c r="AS487" s="4">
        <v>151.000001</v>
      </c>
      <c r="AT487" s="4">
        <v>151.000001</v>
      </c>
      <c r="AU487" s="4">
        <v>151.000001</v>
      </c>
      <c r="AV487" s="4">
        <v>151.000001</v>
      </c>
      <c r="AW487" s="4">
        <v>184.20624499999997</v>
      </c>
      <c r="AX487" s="4">
        <v>184.20624499999997</v>
      </c>
      <c r="AY487" s="4">
        <v>184.20624499999997</v>
      </c>
      <c r="AZ487" s="4">
        <v>184.206245</v>
      </c>
      <c r="BA487" s="4">
        <v>184.20624499999997</v>
      </c>
      <c r="BB487" s="4">
        <v>184.20624499999997</v>
      </c>
      <c r="BC487" s="4">
        <v>184.20624499999997</v>
      </c>
      <c r="BD487" s="4">
        <v>184.20624499999997</v>
      </c>
      <c r="BE487" s="4">
        <v>184.20624499999997</v>
      </c>
      <c r="BF487" s="4">
        <v>184.20624499999997</v>
      </c>
      <c r="BG487" s="4">
        <v>184.20624499999997</v>
      </c>
      <c r="BH487" s="4">
        <v>184.20624499999997</v>
      </c>
      <c r="BJ487" s="9"/>
    </row>
    <row r="488" spans="1:62" x14ac:dyDescent="0.25">
      <c r="A488" s="6" t="s">
        <v>333</v>
      </c>
      <c r="B488" s="6"/>
      <c r="C488" s="7" t="s">
        <v>526</v>
      </c>
      <c r="D488" s="3"/>
      <c r="E488" s="3">
        <f>VLOOKUP(A488,[2]Sheet1!$A$2:$E$627,5,0)</f>
        <v>152.49959999999996</v>
      </c>
      <c r="F488" s="3">
        <f>VLOOKUP(A488,[2]Sheet1!$A$2:$F$627,6,0)</f>
        <v>152.49959999999996</v>
      </c>
      <c r="G488" s="3">
        <f>VLOOKUP(A488,[2]Sheet1!$A$2:$G$627,7,0)</f>
        <v>222.64951199999996</v>
      </c>
      <c r="H488" s="4">
        <f t="shared" si="42"/>
        <v>222.64951199999996</v>
      </c>
      <c r="I488" s="11">
        <f t="shared" si="43"/>
        <v>0</v>
      </c>
      <c r="J488" s="11">
        <f t="shared" si="44"/>
        <v>0.46000062950984805</v>
      </c>
      <c r="K488" s="11">
        <f t="shared" si="45"/>
        <v>0.46000062950984805</v>
      </c>
      <c r="L488" s="11">
        <f>IF(S488="",((BG488-E488)/E488),((U488-E488)/E488))</f>
        <v>0.46000062950984805</v>
      </c>
      <c r="M488" s="3" t="str">
        <f>IF(S488="Churn","Churn",VLOOKUP(A488,'[1]Revenue_Engine_2025 Dec.25'!$C$14:$E$3993,3,0))</f>
        <v>Perakende</v>
      </c>
      <c r="N488" s="3">
        <f>IF(S488="",VLOOKUP(A488,[3]Export!$B$2:$F$417,5,0),"CHURN")</f>
        <v>5.4794640645787721E-2</v>
      </c>
      <c r="O488" s="3">
        <f>(1-N488)*H488</f>
        <v>210.44951199999994</v>
      </c>
      <c r="P488" s="3">
        <f t="shared" si="47"/>
        <v>144.14343921937359</v>
      </c>
      <c r="Q488" s="3">
        <f t="shared" si="46"/>
        <v>210.44951199999994</v>
      </c>
      <c r="R488" s="3" t="str">
        <f>IF(S488&lt;&gt;"Churn",VLOOKUP(A488,[3]Export!$B$2:$O$417,8,0),"CHURN")</f>
        <v>NO RISK</v>
      </c>
      <c r="S488" s="3"/>
      <c r="T488" s="3"/>
      <c r="U488" s="3" t="s">
        <v>551</v>
      </c>
      <c r="V488" s="4" t="str" cm="1">
        <f t="array" ref="V488">IFERROR(
    IF(
        MATCH(2,1/((Y488:BH488&lt;&gt;0)*(Y488:BH488&lt;&gt;"")))-MATCH(1,INDEX((Y488:BH488&lt;&gt;0)*(Y488:BH488&lt;&gt;""),0),0)+1 &lt;= 12,
        "No",
        "Yes"
    ),
    "No"
)</f>
        <v>Yes</v>
      </c>
      <c r="W488" s="4" t="str" cm="1">
        <f t="array" ref="W488">IFERROR(
    IF(
        MATCH(2,1/((Y488:BH488&lt;&gt;0)*(Y488:BH488&lt;&gt;"")))-MATCH(1,INDEX((Y488:BH488&lt;&gt;0)*(Y488:BH488&lt;&gt;""),0),0)+1 &lt;= 24,
        "No",
        "Yes"
    ),
    "No"
)</f>
        <v>Yes</v>
      </c>
      <c r="X488" s="3"/>
      <c r="Y488" s="4">
        <v>0</v>
      </c>
      <c r="Z488" s="4">
        <v>0</v>
      </c>
      <c r="AA488" s="4">
        <v>143.5</v>
      </c>
      <c r="AB488" s="4">
        <v>143.5</v>
      </c>
      <c r="AC488" s="4">
        <v>152.49959999999996</v>
      </c>
      <c r="AD488" s="4">
        <v>152.49959999999996</v>
      </c>
      <c r="AE488" s="4">
        <v>152.49959999999996</v>
      </c>
      <c r="AF488" s="4">
        <v>152.49959999999996</v>
      </c>
      <c r="AG488" s="4">
        <v>152.49959999999996</v>
      </c>
      <c r="AH488" s="4">
        <v>152.49959999999996</v>
      </c>
      <c r="AI488" s="4">
        <v>152.49959999999996</v>
      </c>
      <c r="AJ488" s="4">
        <v>152.49959999999996</v>
      </c>
      <c r="AK488" s="4">
        <v>152.49959999999996</v>
      </c>
      <c r="AL488" s="4">
        <v>152.49959999999996</v>
      </c>
      <c r="AM488" s="4">
        <v>182.49959999999996</v>
      </c>
      <c r="AN488" s="4">
        <v>182.49959999999996</v>
      </c>
      <c r="AO488" s="4">
        <v>182.49959999999996</v>
      </c>
      <c r="AP488" s="4">
        <v>182.49959999999996</v>
      </c>
      <c r="AQ488" s="4">
        <v>182.49959999999996</v>
      </c>
      <c r="AR488" s="4">
        <v>182.49959999999996</v>
      </c>
      <c r="AS488" s="4">
        <v>182.49959999999996</v>
      </c>
      <c r="AT488" s="4">
        <v>182.49959999999996</v>
      </c>
      <c r="AU488" s="4">
        <v>182.49959999999996</v>
      </c>
      <c r="AV488" s="4">
        <v>182.49959999999996</v>
      </c>
      <c r="AW488" s="4">
        <v>222.64951199999996</v>
      </c>
      <c r="AX488" s="4">
        <v>222.64951199999996</v>
      </c>
      <c r="AY488" s="4">
        <v>222.64951199999996</v>
      </c>
      <c r="AZ488" s="4">
        <v>222.64951199999996</v>
      </c>
      <c r="BA488" s="4">
        <v>222.64951199999996</v>
      </c>
      <c r="BB488" s="4">
        <v>222.64951199999996</v>
      </c>
      <c r="BC488" s="4">
        <v>222.64951199999996</v>
      </c>
      <c r="BD488" s="4">
        <v>222.64951199999996</v>
      </c>
      <c r="BE488" s="4">
        <v>222.64951199999996</v>
      </c>
      <c r="BF488" s="4">
        <v>222.64951199999996</v>
      </c>
      <c r="BG488" s="4">
        <v>222.64951199999996</v>
      </c>
      <c r="BH488" s="4">
        <v>222.64951199999996</v>
      </c>
      <c r="BJ488" s="9"/>
    </row>
    <row r="489" spans="1:62" x14ac:dyDescent="0.25">
      <c r="A489" s="6" t="s">
        <v>334</v>
      </c>
      <c r="B489" s="6"/>
      <c r="C489" s="7" t="s">
        <v>526</v>
      </c>
      <c r="D489" s="3"/>
      <c r="E489" s="3">
        <f>VLOOKUP(A489,[2]Sheet1!$A$2:$E$627,5,0)</f>
        <v>179.65950006130623</v>
      </c>
      <c r="F489" s="3">
        <f>VLOOKUP(A489,[2]Sheet1!$A$2:$F$627,6,0)</f>
        <v>196.99449999999999</v>
      </c>
      <c r="G489" s="3">
        <f>VLOOKUP(A489,[2]Sheet1!$A$2:$G$627,7,0)</f>
        <v>364.49450000000002</v>
      </c>
      <c r="H489" s="4">
        <f t="shared" si="42"/>
        <v>364.49450000000002</v>
      </c>
      <c r="I489" s="11">
        <f t="shared" si="43"/>
        <v>9.6488078463863231E-2</v>
      </c>
      <c r="J489" s="11">
        <f t="shared" si="44"/>
        <v>1.0288072708407932</v>
      </c>
      <c r="K489" s="11">
        <f t="shared" si="45"/>
        <v>0.8502775458198073</v>
      </c>
      <c r="L489" s="11">
        <f>IF(S489="",((BG489-E489)/E489),((U489-E489)/E489))</f>
        <v>1.0288072708407932</v>
      </c>
      <c r="M489" s="3" t="str">
        <f>IF(S489="Churn","Churn",VLOOKUP(A489,'[1]Revenue_Engine_2025 Dec.25'!$C$14:$E$3993,3,0))</f>
        <v>Üretim</v>
      </c>
      <c r="N489" s="3">
        <f>IF(S489="",VLOOKUP(A489,[3]Export!$B$2:$F$417,5,0),"CHURN")</f>
        <v>0.27575011684888029</v>
      </c>
      <c r="O489" s="3">
        <f>(1-N489)*H489</f>
        <v>263.98509903422581</v>
      </c>
      <c r="P489" s="3">
        <f t="shared" si="47"/>
        <v>142.67324360641325</v>
      </c>
      <c r="Q489" s="3">
        <f t="shared" si="46"/>
        <v>263.98509903422581</v>
      </c>
      <c r="R489" s="3" t="str">
        <f>IF(S489&lt;&gt;"Churn",VLOOKUP(A489,[3]Export!$B$2:$O$417,8,0),"CHURN")</f>
        <v>NO RISK</v>
      </c>
      <c r="S489" s="3"/>
      <c r="T489" s="3"/>
      <c r="U489" s="3" t="s">
        <v>551</v>
      </c>
      <c r="V489" s="4" t="str" cm="1">
        <f t="array" ref="V489">IFERROR(
    IF(
        MATCH(2,1/((Y489:BH489&lt;&gt;0)*(Y489:BH489&lt;&gt;"")))-MATCH(1,INDEX((Y489:BH489&lt;&gt;0)*(Y489:BH489&lt;&gt;""),0),0)+1 &lt;= 12,
        "No",
        "Yes"
    ),
    "No"
)</f>
        <v>Yes</v>
      </c>
      <c r="W489" s="4" t="str" cm="1">
        <f t="array" ref="W489">IFERROR(
    IF(
        MATCH(2,1/((Y489:BH489&lt;&gt;0)*(Y489:BH489&lt;&gt;"")))-MATCH(1,INDEX((Y489:BH489&lt;&gt;0)*(Y489:BH489&lt;&gt;""),0),0)+1 &lt;= 24,
        "No",
        "Yes"
    ),
    "No"
)</f>
        <v>Yes</v>
      </c>
      <c r="X489" s="3"/>
      <c r="Y489" s="4">
        <v>179.65950006130623</v>
      </c>
      <c r="Z489" s="4">
        <v>179.03530124258253</v>
      </c>
      <c r="AA489" s="4">
        <v>177.71919148240531</v>
      </c>
      <c r="AB489" s="4">
        <v>174.56176027265997</v>
      </c>
      <c r="AC489" s="4">
        <v>179.4503841619578</v>
      </c>
      <c r="AD489" s="4">
        <v>150.91107996307818</v>
      </c>
      <c r="AE489" s="4">
        <v>133.74083036989066</v>
      </c>
      <c r="AF489" s="4">
        <v>197.4867486800697</v>
      </c>
      <c r="AG489" s="4">
        <v>195.53106428155149</v>
      </c>
      <c r="AH489" s="4">
        <v>194.3774704517156</v>
      </c>
      <c r="AI489" s="4">
        <v>195.43958100822519</v>
      </c>
      <c r="AJ489" s="4">
        <v>197</v>
      </c>
      <c r="AK489" s="4">
        <v>196.99449999999999</v>
      </c>
      <c r="AL489" s="4">
        <v>351.99450000000002</v>
      </c>
      <c r="AM489" s="4">
        <v>364.49450000000002</v>
      </c>
      <c r="AN489" s="4">
        <v>364.49450000000002</v>
      </c>
      <c r="AO489" s="4">
        <v>364.49450000000002</v>
      </c>
      <c r="AP489" s="4">
        <v>364.49450000000002</v>
      </c>
      <c r="AQ489" s="4">
        <v>364.49450000000002</v>
      </c>
      <c r="AR489" s="4">
        <v>364.49450000000002</v>
      </c>
      <c r="AS489" s="4">
        <v>364.49450000000002</v>
      </c>
      <c r="AT489" s="4">
        <v>364.49450000000002</v>
      </c>
      <c r="AU489" s="4">
        <v>364.49450000000002</v>
      </c>
      <c r="AV489" s="4">
        <v>364.49450000000002</v>
      </c>
      <c r="AW489" s="4">
        <v>364.49450000000002</v>
      </c>
      <c r="AX489" s="4">
        <v>364.49450000000002</v>
      </c>
      <c r="AY489" s="4">
        <v>364.49450000000002</v>
      </c>
      <c r="AZ489" s="4">
        <v>364.49450000000002</v>
      </c>
      <c r="BA489" s="4">
        <v>364.49450000000002</v>
      </c>
      <c r="BB489" s="4">
        <v>364.49450000000002</v>
      </c>
      <c r="BC489" s="4">
        <v>364.49450000000002</v>
      </c>
      <c r="BD489" s="4">
        <v>364.49450000000002</v>
      </c>
      <c r="BE489" s="4">
        <v>364.49450000000002</v>
      </c>
      <c r="BF489" s="4">
        <v>364.49450000000002</v>
      </c>
      <c r="BG489" s="4">
        <v>364.49450000000002</v>
      </c>
      <c r="BH489" s="4">
        <v>364.49450000000002</v>
      </c>
      <c r="BJ489" s="9"/>
    </row>
    <row r="490" spans="1:62" x14ac:dyDescent="0.25">
      <c r="A490" s="6" t="s">
        <v>335</v>
      </c>
      <c r="B490" s="6"/>
      <c r="C490" s="7" t="s">
        <v>526</v>
      </c>
      <c r="D490" s="3"/>
      <c r="E490" s="3">
        <f>VLOOKUP(A490,[2]Sheet1!$A$2:$E$627,5,0)</f>
        <v>120</v>
      </c>
      <c r="F490" s="3">
        <f>VLOOKUP(A490,[2]Sheet1!$A$2:$F$627,6,0)</f>
        <v>161.74</v>
      </c>
      <c r="G490" s="3">
        <f>VLOOKUP(A490,[2]Sheet1!$A$2:$G$627,7,0)</f>
        <v>190.17395400000004</v>
      </c>
      <c r="H490" s="4">
        <f t="shared" si="42"/>
        <v>190.17395400000004</v>
      </c>
      <c r="I490" s="11">
        <f t="shared" si="43"/>
        <v>0.34783333333333338</v>
      </c>
      <c r="J490" s="11">
        <f t="shared" si="44"/>
        <v>0.58478295000000036</v>
      </c>
      <c r="K490" s="11">
        <f t="shared" si="45"/>
        <v>0.17580038333127257</v>
      </c>
      <c r="L490" s="11">
        <f>IF(S490="",((BG490-E490)/E490),((U490-E490)/E490))</f>
        <v>0.58478295000000036</v>
      </c>
      <c r="M490" s="3" t="str">
        <f>IF(S490="Churn","Churn",VLOOKUP(A490,'[1]Revenue_Engine_2025 Dec.25'!$C$14:$E$3993,3,0))</f>
        <v>Diğer</v>
      </c>
      <c r="N490" s="3">
        <f>IF(S490="",VLOOKUP(A490,[3]Export!$B$2:$F$417,5,0),"CHURN")</f>
        <v>0.18912053540202459</v>
      </c>
      <c r="O490" s="3">
        <f>(1-N490)*H490</f>
        <v>154.20815400000004</v>
      </c>
      <c r="P490" s="3">
        <f t="shared" si="47"/>
        <v>131.15164460407655</v>
      </c>
      <c r="Q490" s="3">
        <f t="shared" si="46"/>
        <v>154.20815400000004</v>
      </c>
      <c r="R490" s="3" t="str">
        <f>IF(S490&lt;&gt;"Churn",VLOOKUP(A490,[3]Export!$B$2:$O$417,8,0),"CHURN")</f>
        <v>NO RISK</v>
      </c>
      <c r="S490" s="3"/>
      <c r="T490" s="3"/>
      <c r="U490" s="3" t="s">
        <v>551</v>
      </c>
      <c r="V490" s="4" t="str" cm="1">
        <f t="array" ref="V490">IFERROR(
    IF(
        MATCH(2,1/((Y490:BH490&lt;&gt;0)*(Y490:BH490&lt;&gt;"")))-MATCH(1,INDEX((Y490:BH490&lt;&gt;0)*(Y490:BH490&lt;&gt;""),0),0)+1 &lt;= 12,
        "No",
        "Yes"
    ),
    "No"
)</f>
        <v>Yes</v>
      </c>
      <c r="W490" s="4" t="str" cm="1">
        <f t="array" ref="W490">IFERROR(
    IF(
        MATCH(2,1/((Y490:BH490&lt;&gt;0)*(Y490:BH490&lt;&gt;"")))-MATCH(1,INDEX((Y490:BH490&lt;&gt;0)*(Y490:BH490&lt;&gt;""),0),0)+1 &lt;= 24,
        "No",
        "Yes"
    ),
    "No"
)</f>
        <v>Yes</v>
      </c>
      <c r="X490" s="3"/>
      <c r="Y490" s="4">
        <v>120</v>
      </c>
      <c r="Z490" s="4">
        <v>120</v>
      </c>
      <c r="AA490" s="4">
        <v>120</v>
      </c>
      <c r="AB490" s="4">
        <v>129</v>
      </c>
      <c r="AC490" s="4">
        <v>129</v>
      </c>
      <c r="AD490" s="4">
        <v>129</v>
      </c>
      <c r="AE490" s="4">
        <v>136.74</v>
      </c>
      <c r="AF490" s="4">
        <v>136.74</v>
      </c>
      <c r="AG490" s="4">
        <v>141.74</v>
      </c>
      <c r="AH490" s="4">
        <v>141.74</v>
      </c>
      <c r="AI490" s="4">
        <v>141.74</v>
      </c>
      <c r="AJ490" s="4">
        <v>141.74</v>
      </c>
      <c r="AK490" s="4">
        <v>161.74</v>
      </c>
      <c r="AL490" s="4">
        <v>161.74</v>
      </c>
      <c r="AM490" s="4">
        <v>163.24</v>
      </c>
      <c r="AN490" s="4">
        <v>163.24</v>
      </c>
      <c r="AO490" s="4">
        <v>163.24</v>
      </c>
      <c r="AP490" s="4">
        <v>163.24</v>
      </c>
      <c r="AQ490" s="4">
        <v>163.24</v>
      </c>
      <c r="AR490" s="4">
        <v>163.24</v>
      </c>
      <c r="AS490" s="4">
        <v>163.24</v>
      </c>
      <c r="AT490" s="4">
        <v>163.24</v>
      </c>
      <c r="AU490" s="4">
        <v>163.24</v>
      </c>
      <c r="AV490" s="4">
        <v>163.24</v>
      </c>
      <c r="AW490" s="4">
        <v>190.17395400000004</v>
      </c>
      <c r="AX490" s="4">
        <v>190.17395400000004</v>
      </c>
      <c r="AY490" s="4">
        <v>190.17395400000004</v>
      </c>
      <c r="AZ490" s="4">
        <v>190.17395400000004</v>
      </c>
      <c r="BA490" s="4">
        <v>190.17395400000004</v>
      </c>
      <c r="BB490" s="4">
        <v>190.17395400000004</v>
      </c>
      <c r="BC490" s="4">
        <v>190.17395400000004</v>
      </c>
      <c r="BD490" s="4">
        <v>190.17395400000004</v>
      </c>
      <c r="BE490" s="4">
        <v>190.17395400000004</v>
      </c>
      <c r="BF490" s="4">
        <v>190.17395400000004</v>
      </c>
      <c r="BG490" s="4">
        <v>190.17395400000004</v>
      </c>
      <c r="BH490" s="4">
        <v>190.17395400000004</v>
      </c>
      <c r="BJ490" s="9"/>
    </row>
    <row r="491" spans="1:62" x14ac:dyDescent="0.25">
      <c r="A491" s="6" t="s">
        <v>336</v>
      </c>
      <c r="B491" s="6"/>
      <c r="C491" s="7" t="s">
        <v>526</v>
      </c>
      <c r="D491" s="3"/>
      <c r="E491" s="3">
        <f>VLOOKUP(A491,[2]Sheet1!$A$2:$E$627,5,0)</f>
        <v>106</v>
      </c>
      <c r="F491" s="3">
        <f>VLOOKUP(A491,[2]Sheet1!$A$2:$F$627,6,0)</f>
        <v>105.99999999999999</v>
      </c>
      <c r="G491" s="3">
        <f>VLOOKUP(A491,[2]Sheet1!$A$2:$G$627,7,0)</f>
        <v>105.99999999999999</v>
      </c>
      <c r="H491" s="4">
        <f t="shared" si="42"/>
        <v>105.99999999999999</v>
      </c>
      <c r="I491" s="11">
        <f t="shared" si="43"/>
        <v>-1.340646671245472E-16</v>
      </c>
      <c r="J491" s="11">
        <f t="shared" si="44"/>
        <v>-1.340646671245472E-16</v>
      </c>
      <c r="K491" s="11">
        <f t="shared" si="45"/>
        <v>0</v>
      </c>
      <c r="L491" s="11">
        <f>IF(S491="",((BG491-E491)/E491),((U491-E491)/E491))</f>
        <v>-1.340646671245472E-16</v>
      </c>
      <c r="M491" s="3" t="str">
        <f>IF(S491="Churn","Churn",VLOOKUP(A491,'[1]Revenue_Engine_2025 Dec.25'!$C$14:$E$3993,3,0))</f>
        <v>Bayi</v>
      </c>
      <c r="N491" s="3">
        <f>IF(S491="",VLOOKUP(A491,[3]Export!$B$2:$F$417,5,0),"CHURN")</f>
        <v>9.4339622641509455E-2</v>
      </c>
      <c r="O491" s="3">
        <f>(1-N491)*H491</f>
        <v>95.999999999999986</v>
      </c>
      <c r="P491" s="3">
        <f t="shared" si="47"/>
        <v>95.999999999999986</v>
      </c>
      <c r="Q491" s="3">
        <f t="shared" si="46"/>
        <v>95.999999999999986</v>
      </c>
      <c r="R491" s="3" t="str">
        <f>IF(S491&lt;&gt;"Churn",VLOOKUP(A491,[3]Export!$B$2:$O$417,8,0),"CHURN")</f>
        <v>NO RISK</v>
      </c>
      <c r="S491" s="3"/>
      <c r="T491" s="3"/>
      <c r="U491" s="3" t="s">
        <v>551</v>
      </c>
      <c r="V491" s="4" t="str" cm="1">
        <f t="array" ref="V491">IFERROR(
    IF(
        MATCH(2,1/((Y491:BH491&lt;&gt;0)*(Y491:BH491&lt;&gt;"")))-MATCH(1,INDEX((Y491:BH491&lt;&gt;0)*(Y491:BH491&lt;&gt;""),0),0)+1 &lt;= 12,
        "No",
        "Yes"
    ),
    "No"
)</f>
        <v>Yes</v>
      </c>
      <c r="W491" s="4" t="str" cm="1">
        <f t="array" ref="W491">IFERROR(
    IF(
        MATCH(2,1/((Y491:BH491&lt;&gt;0)*(Y491:BH491&lt;&gt;"")))-MATCH(1,INDEX((Y491:BH491&lt;&gt;0)*(Y491:BH491&lt;&gt;""),0),0)+1 &lt;= 24,
        "No",
        "Yes"
    ),
    "No"
)</f>
        <v>Yes</v>
      </c>
      <c r="X491" s="3"/>
      <c r="Y491" s="4">
        <v>0</v>
      </c>
      <c r="Z491" s="4">
        <v>0</v>
      </c>
      <c r="AA491" s="4">
        <v>97</v>
      </c>
      <c r="AB491" s="4">
        <v>106</v>
      </c>
      <c r="AC491" s="4">
        <v>105.99999999999999</v>
      </c>
      <c r="AD491" s="4">
        <v>105.99999999999999</v>
      </c>
      <c r="AE491" s="4">
        <v>105.99999999999999</v>
      </c>
      <c r="AF491" s="4">
        <v>105.99999999999999</v>
      </c>
      <c r="AG491" s="4">
        <v>106</v>
      </c>
      <c r="AH491" s="4">
        <v>106</v>
      </c>
      <c r="AI491" s="4">
        <v>106</v>
      </c>
      <c r="AJ491" s="4">
        <v>106</v>
      </c>
      <c r="AK491" s="4">
        <v>105.99999999999999</v>
      </c>
      <c r="AL491" s="4">
        <v>105.99999999999999</v>
      </c>
      <c r="AM491" s="4">
        <v>105.99999999999999</v>
      </c>
      <c r="AN491" s="4">
        <v>105.99999999999999</v>
      </c>
      <c r="AO491" s="4">
        <v>105.99999999999999</v>
      </c>
      <c r="AP491" s="4">
        <v>105.99999999999999</v>
      </c>
      <c r="AQ491" s="4">
        <v>105.99999999999999</v>
      </c>
      <c r="AR491" s="4">
        <v>105.99999999999999</v>
      </c>
      <c r="AS491" s="4">
        <v>105.99999999999999</v>
      </c>
      <c r="AT491" s="4">
        <v>105.99999999999999</v>
      </c>
      <c r="AU491" s="4">
        <v>105.99999999999999</v>
      </c>
      <c r="AV491" s="4">
        <v>105.99999999999999</v>
      </c>
      <c r="AW491" s="4">
        <v>105.99999999999999</v>
      </c>
      <c r="AX491" s="4">
        <v>105.99999999999999</v>
      </c>
      <c r="AY491" s="4">
        <v>105.99999999999999</v>
      </c>
      <c r="AZ491" s="4">
        <v>106</v>
      </c>
      <c r="BA491" s="4">
        <v>105.99999999999999</v>
      </c>
      <c r="BB491" s="4">
        <v>105.99999999999999</v>
      </c>
      <c r="BC491" s="4">
        <v>105.99999999999999</v>
      </c>
      <c r="BD491" s="4">
        <v>105.99999999999999</v>
      </c>
      <c r="BE491" s="4">
        <v>105.99999999999999</v>
      </c>
      <c r="BF491" s="4">
        <v>105.99999999999999</v>
      </c>
      <c r="BG491" s="4">
        <v>105.99999999999999</v>
      </c>
      <c r="BH491" s="4">
        <v>105.99999999999999</v>
      </c>
      <c r="BJ491" s="9"/>
    </row>
    <row r="492" spans="1:62" x14ac:dyDescent="0.25">
      <c r="A492" s="6" t="s">
        <v>337</v>
      </c>
      <c r="B492" s="6"/>
      <c r="C492" s="7" t="s">
        <v>526</v>
      </c>
      <c r="D492" s="3"/>
      <c r="E492" s="3">
        <f>VLOOKUP(A492,[2]Sheet1!$A$2:$E$627,5,0)</f>
        <v>155</v>
      </c>
      <c r="F492" s="3">
        <f>VLOOKUP(A492,[2]Sheet1!$A$2:$F$627,6,0)</f>
        <v>164</v>
      </c>
      <c r="G492" s="3">
        <f>VLOOKUP(A492,[2]Sheet1!$A$2:$G$627,7,0)</f>
        <v>164</v>
      </c>
      <c r="H492" s="4">
        <f t="shared" si="42"/>
        <v>179</v>
      </c>
      <c r="I492" s="11">
        <f t="shared" si="43"/>
        <v>5.8064516129032261E-2</v>
      </c>
      <c r="J492" s="11">
        <f t="shared" si="44"/>
        <v>5.8064516129032261E-2</v>
      </c>
      <c r="K492" s="11">
        <f t="shared" si="45"/>
        <v>0</v>
      </c>
      <c r="L492" s="11">
        <f>IF(S492="",((BG492-E492)/E492),((U492-E492)/E492))</f>
        <v>0.15483870967741936</v>
      </c>
      <c r="M492" s="3" t="str">
        <f>IF(S492="Churn","Churn",VLOOKUP(A492,'[1]Revenue_Engine_2025 Dec.25'!$C$14:$E$3993,3,0))</f>
        <v>Üretim</v>
      </c>
      <c r="N492" s="3">
        <f>IF(S492="",VLOOKUP(A492,[3]Export!$B$2:$F$417,5,0),"CHURN")</f>
        <v>0.16201117318435754</v>
      </c>
      <c r="O492" s="3">
        <f>(1-N492)*H492</f>
        <v>150</v>
      </c>
      <c r="P492" s="3">
        <f t="shared" si="47"/>
        <v>137.43016759776538</v>
      </c>
      <c r="Q492" s="3">
        <f t="shared" si="46"/>
        <v>137.43016759776538</v>
      </c>
      <c r="R492" s="3" t="str">
        <f>IF(S492&lt;&gt;"Churn",VLOOKUP(A492,[3]Export!$B$2:$O$417,8,0),"CHURN")</f>
        <v>NO RISK</v>
      </c>
      <c r="S492" s="3"/>
      <c r="T492" s="3"/>
      <c r="U492" s="3" t="s">
        <v>551</v>
      </c>
      <c r="V492" s="4" t="str" cm="1">
        <f t="array" ref="V492">IFERROR(
    IF(
        MATCH(2,1/((Y492:BH492&lt;&gt;0)*(Y492:BH492&lt;&gt;"")))-MATCH(1,INDEX((Y492:BH492&lt;&gt;0)*(Y492:BH492&lt;&gt;""),0),0)+1 &lt;= 12,
        "No",
        "Yes"
    ),
    "No"
)</f>
        <v>Yes</v>
      </c>
      <c r="W492" s="4" t="str" cm="1">
        <f t="array" ref="W492">IFERROR(
    IF(
        MATCH(2,1/((Y492:BH492&lt;&gt;0)*(Y492:BH492&lt;&gt;"")))-MATCH(1,INDEX((Y492:BH492&lt;&gt;0)*(Y492:BH492&lt;&gt;""),0),0)+1 &lt;= 24,
        "No",
        "Yes"
    ),
    "No"
)</f>
        <v>Yes</v>
      </c>
      <c r="X492" s="3"/>
      <c r="Y492" s="4">
        <v>155</v>
      </c>
      <c r="Z492" s="4">
        <v>155</v>
      </c>
      <c r="AA492" s="4">
        <v>155</v>
      </c>
      <c r="AB492" s="4">
        <v>164</v>
      </c>
      <c r="AC492" s="4">
        <v>164</v>
      </c>
      <c r="AD492" s="4">
        <v>164</v>
      </c>
      <c r="AE492" s="4">
        <v>164</v>
      </c>
      <c r="AF492" s="4">
        <v>164</v>
      </c>
      <c r="AG492" s="4">
        <v>164</v>
      </c>
      <c r="AH492" s="4">
        <v>164</v>
      </c>
      <c r="AI492" s="4">
        <v>164</v>
      </c>
      <c r="AJ492" s="4">
        <v>164</v>
      </c>
      <c r="AK492" s="4">
        <v>164</v>
      </c>
      <c r="AL492" s="4">
        <v>164</v>
      </c>
      <c r="AM492" s="4">
        <v>164</v>
      </c>
      <c r="AN492" s="4">
        <v>164</v>
      </c>
      <c r="AO492" s="4">
        <v>164</v>
      </c>
      <c r="AP492" s="4">
        <v>164</v>
      </c>
      <c r="AQ492" s="4">
        <v>164</v>
      </c>
      <c r="AR492" s="4">
        <v>164</v>
      </c>
      <c r="AS492" s="4">
        <v>164</v>
      </c>
      <c r="AT492" s="4">
        <v>164</v>
      </c>
      <c r="AU492" s="4">
        <v>164</v>
      </c>
      <c r="AV492" s="4">
        <v>164</v>
      </c>
      <c r="AW492" s="4">
        <v>164</v>
      </c>
      <c r="AX492" s="4">
        <v>164</v>
      </c>
      <c r="AY492" s="4">
        <v>164</v>
      </c>
      <c r="AZ492" s="4">
        <v>164</v>
      </c>
      <c r="BA492" s="4">
        <v>164</v>
      </c>
      <c r="BB492" s="4">
        <v>164</v>
      </c>
      <c r="BC492" s="4">
        <v>179</v>
      </c>
      <c r="BD492" s="4">
        <v>179</v>
      </c>
      <c r="BE492" s="4">
        <v>179</v>
      </c>
      <c r="BF492" s="4">
        <v>179</v>
      </c>
      <c r="BG492" s="4">
        <v>179</v>
      </c>
      <c r="BH492" s="4">
        <v>179</v>
      </c>
      <c r="BJ492" s="9"/>
    </row>
    <row r="493" spans="1:62" x14ac:dyDescent="0.25">
      <c r="A493" s="6" t="s">
        <v>338</v>
      </c>
      <c r="B493" s="6"/>
      <c r="C493" s="7" t="s">
        <v>526</v>
      </c>
      <c r="D493" s="3"/>
      <c r="E493" s="3">
        <f>VLOOKUP(A493,[2]Sheet1!$A$2:$E$627,5,0)</f>
        <v>160</v>
      </c>
      <c r="F493" s="3">
        <f>VLOOKUP(A493,[2]Sheet1!$A$2:$F$627,6,0)</f>
        <v>186.13999500000003</v>
      </c>
      <c r="G493" s="3">
        <f>VLOOKUP(A493,[2]Sheet1!$A$2:$G$627,7,0)</f>
        <v>186.13999500000003</v>
      </c>
      <c r="H493" s="4">
        <f t="shared" si="42"/>
        <v>186.13999500000003</v>
      </c>
      <c r="I493" s="11">
        <f t="shared" si="43"/>
        <v>0.16337496875000018</v>
      </c>
      <c r="J493" s="11">
        <f t="shared" si="44"/>
        <v>0.16337496875000018</v>
      </c>
      <c r="K493" s="11">
        <f t="shared" si="45"/>
        <v>0</v>
      </c>
      <c r="L493" s="11">
        <f>IF(S493="",((BG493-E493)/E493),((U493-E493)/E493))</f>
        <v>0.16337496875000018</v>
      </c>
      <c r="M493" s="3" t="str">
        <f>IF(S493="Churn","Churn",VLOOKUP(A493,'[1]Revenue_Engine_2025 Dec.25'!$C$14:$E$3993,3,0))</f>
        <v>Diğer</v>
      </c>
      <c r="N493" s="3">
        <f>IF(S493="",VLOOKUP(A493,[3]Export!$B$2:$F$417,5,0),"CHURN")</f>
        <v>0.11958741054011526</v>
      </c>
      <c r="O493" s="3">
        <f>(1-N493)*H493</f>
        <v>163.87999500000004</v>
      </c>
      <c r="P493" s="3">
        <f t="shared" si="47"/>
        <v>163.87999500000004</v>
      </c>
      <c r="Q493" s="3">
        <f t="shared" si="46"/>
        <v>163.87999500000004</v>
      </c>
      <c r="R493" s="3" t="str">
        <f>IF(S493&lt;&gt;"Churn",VLOOKUP(A493,[3]Export!$B$2:$O$417,8,0),"CHURN")</f>
        <v>NO RISK</v>
      </c>
      <c r="S493" s="3"/>
      <c r="T493" s="3"/>
      <c r="U493" s="3" t="s">
        <v>551</v>
      </c>
      <c r="V493" s="4" t="str" cm="1">
        <f t="array" ref="V493">IFERROR(
    IF(
        MATCH(2,1/((Y493:BH493&lt;&gt;0)*(Y493:BH493&lt;&gt;"")))-MATCH(1,INDEX((Y493:BH493&lt;&gt;0)*(Y493:BH493&lt;&gt;""),0),0)+1 &lt;= 12,
        "No",
        "Yes"
    ),
    "No"
)</f>
        <v>Yes</v>
      </c>
      <c r="W493" s="4" t="str" cm="1">
        <f t="array" ref="W493">IFERROR(
    IF(
        MATCH(2,1/((Y493:BH493&lt;&gt;0)*(Y493:BH493&lt;&gt;"")))-MATCH(1,INDEX((Y493:BH493&lt;&gt;0)*(Y493:BH493&lt;&gt;""),0),0)+1 &lt;= 24,
        "No",
        "Yes"
    ),
    "No"
)</f>
        <v>Yes</v>
      </c>
      <c r="X493" s="3"/>
      <c r="Y493" s="4">
        <v>160</v>
      </c>
      <c r="Z493" s="4">
        <v>160</v>
      </c>
      <c r="AA493" s="4">
        <v>160</v>
      </c>
      <c r="AB493" s="4">
        <v>169</v>
      </c>
      <c r="AC493" s="4">
        <v>169</v>
      </c>
      <c r="AD493" s="4">
        <v>169</v>
      </c>
      <c r="AE493" s="4">
        <v>179.13999500000003</v>
      </c>
      <c r="AF493" s="4">
        <v>179.13999500000003</v>
      </c>
      <c r="AG493" s="4">
        <v>186.13999500000003</v>
      </c>
      <c r="AH493" s="4">
        <v>186.13999500000003</v>
      </c>
      <c r="AI493" s="4">
        <v>186.13999500000003</v>
      </c>
      <c r="AJ493" s="4">
        <v>186.13999500000003</v>
      </c>
      <c r="AK493" s="4">
        <v>186.13999500000003</v>
      </c>
      <c r="AL493" s="4">
        <v>186.13999500000003</v>
      </c>
      <c r="AM493" s="4">
        <v>186.13999500000003</v>
      </c>
      <c r="AN493" s="4">
        <v>186.13999500000003</v>
      </c>
      <c r="AO493" s="4">
        <v>186.13999500000003</v>
      </c>
      <c r="AP493" s="4">
        <v>186.13999500000003</v>
      </c>
      <c r="AQ493" s="4">
        <v>186.13999500000003</v>
      </c>
      <c r="AR493" s="4">
        <v>186.13999500000003</v>
      </c>
      <c r="AS493" s="4">
        <v>186.13999500000003</v>
      </c>
      <c r="AT493" s="4">
        <v>186.13999500000003</v>
      </c>
      <c r="AU493" s="4">
        <v>186.13999500000003</v>
      </c>
      <c r="AV493" s="4">
        <v>186.13999500000003</v>
      </c>
      <c r="AW493" s="4">
        <v>186.13999500000003</v>
      </c>
      <c r="AX493" s="4">
        <v>186.13999500000003</v>
      </c>
      <c r="AY493" s="4">
        <v>186.13999500000003</v>
      </c>
      <c r="AZ493" s="4">
        <v>186.139995</v>
      </c>
      <c r="BA493" s="4">
        <v>186.13999500000003</v>
      </c>
      <c r="BB493" s="4">
        <v>186.13999500000003</v>
      </c>
      <c r="BC493" s="4">
        <v>186.13999500000003</v>
      </c>
      <c r="BD493" s="4">
        <v>186.13999500000003</v>
      </c>
      <c r="BE493" s="4">
        <v>186.13999500000003</v>
      </c>
      <c r="BF493" s="4">
        <v>186.13999500000003</v>
      </c>
      <c r="BG493" s="4">
        <v>186.13999500000003</v>
      </c>
      <c r="BH493" s="4">
        <v>186.13999500000003</v>
      </c>
      <c r="BJ493" s="9"/>
    </row>
    <row r="494" spans="1:62" x14ac:dyDescent="0.25">
      <c r="A494" s="6" t="s">
        <v>339</v>
      </c>
      <c r="B494" s="6"/>
      <c r="C494" s="7" t="s">
        <v>526</v>
      </c>
      <c r="D494" s="3"/>
      <c r="E494" s="3">
        <f>VLOOKUP(A494,[2]Sheet1!$A$2:$E$627,5,0)</f>
        <v>140.00181500000002</v>
      </c>
      <c r="F494" s="3">
        <f>VLOOKUP(A494,[2]Sheet1!$A$2:$F$627,6,0)</f>
        <v>140.00181500000002</v>
      </c>
      <c r="G494" s="3">
        <f>VLOOKUP(A494,[2]Sheet1!$A$2:$G$627,7,0)</f>
        <v>140.00181500000002</v>
      </c>
      <c r="H494" s="4">
        <f t="shared" si="42"/>
        <v>140.00181500000002</v>
      </c>
      <c r="I494" s="11">
        <f t="shared" si="43"/>
        <v>0</v>
      </c>
      <c r="J494" s="11">
        <f t="shared" si="44"/>
        <v>0</v>
      </c>
      <c r="K494" s="11">
        <f t="shared" si="45"/>
        <v>0</v>
      </c>
      <c r="L494" s="11">
        <f>IF(S494="",((BG494-E494)/E494),((U494-E494)/E494))</f>
        <v>0</v>
      </c>
      <c r="M494" s="3" t="str">
        <f>IF(S494="Churn","Churn",VLOOKUP(A494,'[1]Revenue_Engine_2025 Dec.25'!$C$14:$E$3993,3,0))</f>
        <v>Churn</v>
      </c>
      <c r="N494" s="3" t="str">
        <f>IF(S494="",VLOOKUP(A494,[3]Export!$B$2:$F$417,5,0),"CHURN")</f>
        <v>CHURN</v>
      </c>
      <c r="O494" s="3" t="e">
        <f>(1-N494)*H494</f>
        <v>#VALUE!</v>
      </c>
      <c r="P494" s="3" t="e">
        <f t="shared" si="47"/>
        <v>#VALUE!</v>
      </c>
      <c r="Q494" s="3" t="e">
        <f t="shared" si="46"/>
        <v>#VALUE!</v>
      </c>
      <c r="R494" s="3" t="str">
        <f>IF(S494&lt;&gt;"Churn",VLOOKUP(A494,[3]Export!$B$2:$O$417,8,0),"CHURN")</f>
        <v>CHURN</v>
      </c>
      <c r="S494" s="3" t="s">
        <v>372</v>
      </c>
      <c r="T494" s="3" t="s">
        <v>553</v>
      </c>
      <c r="U494" s="3">
        <v>140.00181500000002</v>
      </c>
      <c r="V494" s="4" t="str" cm="1">
        <f t="array" ref="V494">IFERROR(
    IF(
        MATCH(2,1/((Y494:BH494&lt;&gt;0)*(Y494:BH494&lt;&gt;"")))-MATCH(1,INDEX((Y494:BH494&lt;&gt;0)*(Y494:BH494&lt;&gt;""),0),0)+1 &lt;= 12,
        "No",
        "Yes"
    ),
    "No"
)</f>
        <v>Yes</v>
      </c>
      <c r="W494" s="4" t="str" cm="1">
        <f t="array" ref="W494">IFERROR(
    IF(
        MATCH(2,1/((Y494:BH494&lt;&gt;0)*(Y494:BH494&lt;&gt;"")))-MATCH(1,INDEX((Y494:BH494&lt;&gt;0)*(Y494:BH494&lt;&gt;""),0),0)+1 &lt;= 24,
        "No",
        "Yes"
    ),
    "No"
)</f>
        <v>Yes</v>
      </c>
      <c r="X494" s="3"/>
      <c r="Y494" s="4">
        <v>0</v>
      </c>
      <c r="Z494" s="4">
        <v>0</v>
      </c>
      <c r="AA494" s="4">
        <v>0</v>
      </c>
      <c r="AB494" s="4">
        <v>0</v>
      </c>
      <c r="AC494" s="4">
        <v>0</v>
      </c>
      <c r="AD494" s="4">
        <v>0</v>
      </c>
      <c r="AE494" s="4">
        <v>0</v>
      </c>
      <c r="AF494" s="4">
        <v>0</v>
      </c>
      <c r="AG494" s="4">
        <v>0</v>
      </c>
      <c r="AH494" s="4">
        <v>140.00181500000002</v>
      </c>
      <c r="AI494" s="4">
        <v>140.00181500000002</v>
      </c>
      <c r="AJ494" s="4">
        <v>140.00181500000002</v>
      </c>
      <c r="AK494" s="4">
        <v>140.00181500000002</v>
      </c>
      <c r="AL494" s="4">
        <v>140.00181500000002</v>
      </c>
      <c r="AM494" s="4">
        <v>140.00181500000002</v>
      </c>
      <c r="AN494" s="4">
        <v>140.00181500000002</v>
      </c>
      <c r="AO494" s="4">
        <v>140.00181500000002</v>
      </c>
      <c r="AP494" s="4">
        <v>140.00181500000002</v>
      </c>
      <c r="AQ494" s="4">
        <v>140.00181500000002</v>
      </c>
      <c r="AR494" s="4">
        <v>140.00181500000002</v>
      </c>
      <c r="AS494" s="4">
        <v>140.00181500000002</v>
      </c>
      <c r="AT494" s="4">
        <v>140.00181500000002</v>
      </c>
      <c r="AU494" s="4">
        <v>140.00181500000002</v>
      </c>
      <c r="AV494" s="4">
        <v>140.00181500000002</v>
      </c>
      <c r="AW494" s="4">
        <v>140.00181500000002</v>
      </c>
      <c r="AX494" s="4">
        <v>140.00181500000002</v>
      </c>
      <c r="AY494" s="4">
        <v>140.00181500000002</v>
      </c>
      <c r="AZ494" s="4">
        <v>140.00181499999999</v>
      </c>
      <c r="BA494" s="4">
        <v>140.00181500000002</v>
      </c>
      <c r="BB494" s="4">
        <v>140.00181500000002</v>
      </c>
      <c r="BC494" s="4">
        <v>140.00181500000002</v>
      </c>
      <c r="BD494" s="4">
        <v>140.00181500000002</v>
      </c>
      <c r="BE494" s="4">
        <v>140.00181500000002</v>
      </c>
      <c r="BF494" s="4">
        <v>140.00181500000002</v>
      </c>
      <c r="BG494" s="4">
        <v>0</v>
      </c>
      <c r="BH494" s="4">
        <v>0</v>
      </c>
      <c r="BJ494" s="9"/>
    </row>
    <row r="495" spans="1:62" x14ac:dyDescent="0.25">
      <c r="A495" s="6" t="s">
        <v>340</v>
      </c>
      <c r="B495" s="6"/>
      <c r="C495" s="7" t="s">
        <v>526</v>
      </c>
      <c r="D495" s="3"/>
      <c r="E495" s="3">
        <f>VLOOKUP(A495,[2]Sheet1!$A$2:$E$627,5,0)</f>
        <v>275.006665</v>
      </c>
      <c r="F495" s="3">
        <f>VLOOKUP(A495,[2]Sheet1!$A$2:$F$627,6,0)</f>
        <v>401.006665</v>
      </c>
      <c r="G495" s="3">
        <f>VLOOKUP(A495,[2]Sheet1!$A$2:$G$627,7,0)</f>
        <v>0</v>
      </c>
      <c r="H495" s="4">
        <f t="shared" si="42"/>
        <v>425.006665</v>
      </c>
      <c r="I495" s="11">
        <f t="shared" si="43"/>
        <v>0.45817071378979124</v>
      </c>
      <c r="J495" s="11">
        <f t="shared" si="44"/>
        <v>-1</v>
      </c>
      <c r="K495" s="11">
        <f t="shared" si="45"/>
        <v>-1</v>
      </c>
      <c r="L495" s="11">
        <f>IF(S495="",((BG495-E495)/E495),((U495-E495)/E495))</f>
        <v>0.54544132594022765</v>
      </c>
      <c r="M495" s="3" t="str">
        <f>IF(S495="Churn","Churn",VLOOKUP(A495,'[1]Revenue_Engine_2025 Dec.25'!$C$14:$E$3993,3,0))</f>
        <v>Üretim</v>
      </c>
      <c r="N495" s="3">
        <f>IF(S495="",VLOOKUP(A495,[3]Export!$B$2:$F$417,5,0),"CHURN")</f>
        <v>0.12940973525674004</v>
      </c>
      <c r="O495" s="3">
        <f>(1-N495)*H495</f>
        <v>370.006665</v>
      </c>
      <c r="P495" s="3">
        <f t="shared" si="47"/>
        <v>349.11249864616178</v>
      </c>
      <c r="Q495" s="3">
        <f t="shared" si="46"/>
        <v>0</v>
      </c>
      <c r="R495" s="3" t="str">
        <f>IF(S495&lt;&gt;"Churn",VLOOKUP(A495,[3]Export!$B$2:$O$417,8,0),"CHURN")</f>
        <v>CHURN</v>
      </c>
      <c r="S495" s="3"/>
      <c r="T495" s="3"/>
      <c r="U495" s="3" t="s">
        <v>551</v>
      </c>
      <c r="V495" s="4" t="str" cm="1">
        <f t="array" ref="V495">IFERROR(
    IF(
        MATCH(2,1/((Y495:BH495&lt;&gt;0)*(Y495:BH495&lt;&gt;"")))-MATCH(1,INDEX((Y495:BH495&lt;&gt;0)*(Y495:BH495&lt;&gt;""),0),0)+1 &lt;= 12,
        "No",
        "Yes"
    ),
    "No"
)</f>
        <v>Yes</v>
      </c>
      <c r="W495" s="4" t="str" cm="1">
        <f t="array" ref="W495">IFERROR(
    IF(
        MATCH(2,1/((Y495:BH495&lt;&gt;0)*(Y495:BH495&lt;&gt;"")))-MATCH(1,INDEX((Y495:BH495&lt;&gt;0)*(Y495:BH495&lt;&gt;""),0),0)+1 &lt;= 24,
        "No",
        "Yes"
    ),
    "No"
)</f>
        <v>Yes</v>
      </c>
      <c r="X495" s="3"/>
      <c r="Y495" s="4">
        <v>0</v>
      </c>
      <c r="Z495" s="4">
        <v>0</v>
      </c>
      <c r="AA495" s="4">
        <v>0</v>
      </c>
      <c r="AB495" s="4">
        <v>0</v>
      </c>
      <c r="AC495" s="4">
        <v>0</v>
      </c>
      <c r="AD495" s="4">
        <v>0</v>
      </c>
      <c r="AE495" s="4">
        <v>0</v>
      </c>
      <c r="AF495" s="4">
        <v>0</v>
      </c>
      <c r="AG495" s="4">
        <v>0</v>
      </c>
      <c r="AH495" s="4">
        <v>0</v>
      </c>
      <c r="AI495" s="4">
        <v>0</v>
      </c>
      <c r="AJ495" s="4">
        <v>275.006665</v>
      </c>
      <c r="AK495" s="4">
        <v>275.006665</v>
      </c>
      <c r="AL495" s="4">
        <v>275.006665</v>
      </c>
      <c r="AM495" s="4">
        <v>375.00666500000005</v>
      </c>
      <c r="AN495" s="4">
        <v>375.00666500000005</v>
      </c>
      <c r="AO495" s="4">
        <v>375.00666500000005</v>
      </c>
      <c r="AP495" s="4">
        <v>375.00666500000005</v>
      </c>
      <c r="AQ495" s="4">
        <v>375.00666500000005</v>
      </c>
      <c r="AR495" s="4">
        <v>375.00666500000005</v>
      </c>
      <c r="AS495" s="4">
        <v>375.00666500000005</v>
      </c>
      <c r="AT495" s="4">
        <v>401.006665</v>
      </c>
      <c r="AU495" s="4">
        <v>401.006665</v>
      </c>
      <c r="AV495" s="4">
        <v>401.006665</v>
      </c>
      <c r="AW495" s="4">
        <v>425.006665</v>
      </c>
      <c r="AX495" s="4">
        <v>425.006665</v>
      </c>
      <c r="AY495" s="4">
        <v>425.006665</v>
      </c>
      <c r="AZ495" s="4">
        <v>425.00666500000011</v>
      </c>
      <c r="BA495" s="4">
        <v>425.006665</v>
      </c>
      <c r="BB495" s="4">
        <v>425.006665</v>
      </c>
      <c r="BC495" s="4">
        <v>425.006665</v>
      </c>
      <c r="BD495" s="4">
        <v>425.006665</v>
      </c>
      <c r="BE495" s="4">
        <v>425.006665</v>
      </c>
      <c r="BF495" s="4">
        <v>425.006665</v>
      </c>
      <c r="BG495" s="4">
        <v>425.006665</v>
      </c>
      <c r="BH495" s="4">
        <v>425.006665</v>
      </c>
      <c r="BJ495" s="9"/>
    </row>
    <row r="496" spans="1:62" x14ac:dyDescent="0.25">
      <c r="A496" s="6" t="s">
        <v>341</v>
      </c>
      <c r="B496" s="6"/>
      <c r="C496" s="7" t="s">
        <v>526</v>
      </c>
      <c r="D496" s="3"/>
      <c r="E496" s="3">
        <f>VLOOKUP(A496,[2]Sheet1!$A$2:$E$627,5,0)</f>
        <v>1116</v>
      </c>
      <c r="F496" s="3">
        <f>VLOOKUP(A496,[2]Sheet1!$A$2:$F$627,6,0)</f>
        <v>1116</v>
      </c>
      <c r="G496" s="3">
        <f>VLOOKUP(A496,[2]Sheet1!$A$2:$G$627,7,0)</f>
        <v>1141.0039999999999</v>
      </c>
      <c r="H496" s="4">
        <f t="shared" si="42"/>
        <v>1232.6706666666666</v>
      </c>
      <c r="I496" s="11">
        <f t="shared" si="43"/>
        <v>0</v>
      </c>
      <c r="J496" s="11">
        <f t="shared" si="44"/>
        <v>2.240501792114687E-2</v>
      </c>
      <c r="K496" s="11">
        <f t="shared" si="45"/>
        <v>2.240501792114687E-2</v>
      </c>
      <c r="L496" s="11">
        <f>IF(S496="",((BG496-E496)/E496),((U496-E496)/E496))</f>
        <v>0.10454360812425327</v>
      </c>
      <c r="M496" s="3" t="str">
        <f>IF(S496="Churn","Churn",VLOOKUP(A496,'[1]Revenue_Engine_2025 Dec.25'!$C$14:$E$3993,3,0))</f>
        <v>Sağlık</v>
      </c>
      <c r="N496" s="3">
        <f>IF(S496="",VLOOKUP(A496,[3]Export!$B$2:$F$417,5,0),"CHURN")</f>
        <v>0.151432715740241</v>
      </c>
      <c r="O496" s="3">
        <f>(1-N496)*H496</f>
        <v>1046.0039999999999</v>
      </c>
      <c r="P496" s="3">
        <f t="shared" si="47"/>
        <v>947.00108923389109</v>
      </c>
      <c r="Q496" s="3">
        <f t="shared" si="46"/>
        <v>968.21866560952196</v>
      </c>
      <c r="R496" s="3" t="str">
        <f>IF(S496&lt;&gt;"Churn",VLOOKUP(A496,[3]Export!$B$2:$O$417,8,0),"CHURN")</f>
        <v>NO RISK</v>
      </c>
      <c r="S496" s="3"/>
      <c r="T496" s="3"/>
      <c r="U496" s="3" t="s">
        <v>551</v>
      </c>
      <c r="V496" s="4" t="str" cm="1">
        <f t="array" ref="V496">IFERROR(
    IF(
        MATCH(2,1/((Y496:BH496&lt;&gt;0)*(Y496:BH496&lt;&gt;"")))-MATCH(1,INDEX((Y496:BH496&lt;&gt;0)*(Y496:BH496&lt;&gt;""),0),0)+1 &lt;= 12,
        "No",
        "Yes"
    ),
    "No"
)</f>
        <v>Yes</v>
      </c>
      <c r="W496" s="4" t="str" cm="1">
        <f t="array" ref="W496">IFERROR(
    IF(
        MATCH(2,1/((Y496:BH496&lt;&gt;0)*(Y496:BH496&lt;&gt;"")))-MATCH(1,INDEX((Y496:BH496&lt;&gt;0)*(Y496:BH496&lt;&gt;""),0),0)+1 &lt;= 24,
        "No",
        "Yes"
    ),
    "No"
)</f>
        <v>Yes</v>
      </c>
      <c r="X496" s="3"/>
      <c r="Y496" s="4">
        <v>616</v>
      </c>
      <c r="Z496" s="4">
        <v>1116</v>
      </c>
      <c r="AA496" s="4">
        <v>1116</v>
      </c>
      <c r="AB496" s="4">
        <v>1116</v>
      </c>
      <c r="AC496" s="4">
        <v>1116</v>
      </c>
      <c r="AD496" s="4">
        <v>1116</v>
      </c>
      <c r="AE496" s="4">
        <v>1116</v>
      </c>
      <c r="AF496" s="4">
        <v>1116</v>
      </c>
      <c r="AG496" s="4">
        <v>1116</v>
      </c>
      <c r="AH496" s="4">
        <v>1116</v>
      </c>
      <c r="AI496" s="4">
        <v>1116</v>
      </c>
      <c r="AJ496" s="4">
        <v>1116</v>
      </c>
      <c r="AK496" s="4">
        <v>1116</v>
      </c>
      <c r="AL496" s="4">
        <v>1116</v>
      </c>
      <c r="AM496" s="4">
        <v>1116</v>
      </c>
      <c r="AN496" s="4">
        <v>1116</v>
      </c>
      <c r="AO496" s="4">
        <v>1116</v>
      </c>
      <c r="AP496" s="4">
        <v>1116</v>
      </c>
      <c r="AQ496" s="4">
        <v>1116</v>
      </c>
      <c r="AR496" s="4">
        <v>1116</v>
      </c>
      <c r="AS496" s="4">
        <v>1116</v>
      </c>
      <c r="AT496" s="4">
        <v>1116</v>
      </c>
      <c r="AU496" s="4">
        <v>1141.0039999999999</v>
      </c>
      <c r="AV496" s="4">
        <v>1141.0039999999999</v>
      </c>
      <c r="AW496" s="4">
        <v>1141.0039999999999</v>
      </c>
      <c r="AX496" s="4">
        <v>1141.0039999999999</v>
      </c>
      <c r="AY496" s="4">
        <v>1141.0039999999999</v>
      </c>
      <c r="AZ496" s="4">
        <v>1232.6706666666666</v>
      </c>
      <c r="BA496" s="4">
        <v>1232.6706666666666</v>
      </c>
      <c r="BB496" s="4">
        <v>1232.6706666666666</v>
      </c>
      <c r="BC496" s="4">
        <v>1232.6706666666666</v>
      </c>
      <c r="BD496" s="4">
        <v>1232.6706666666666</v>
      </c>
      <c r="BE496" s="4">
        <v>1232.6706666666666</v>
      </c>
      <c r="BF496" s="4">
        <v>1232.6706666666666</v>
      </c>
      <c r="BG496" s="4">
        <v>1232.6706666666666</v>
      </c>
      <c r="BH496" s="4">
        <v>1232.6706666666666</v>
      </c>
      <c r="BJ496" s="9"/>
    </row>
    <row r="497" spans="1:62" x14ac:dyDescent="0.25">
      <c r="A497" s="6" t="s">
        <v>342</v>
      </c>
      <c r="B497" s="6"/>
      <c r="C497" s="7" t="s">
        <v>526</v>
      </c>
      <c r="D497" s="3"/>
      <c r="E497" s="3">
        <f>VLOOKUP(A497,[2]Sheet1!$A$2:$E$627,5,0)</f>
        <v>1331.36</v>
      </c>
      <c r="F497" s="3">
        <f>VLOOKUP(A497,[2]Sheet1!$A$2:$F$627,6,0)</f>
        <v>3262.3450060000005</v>
      </c>
      <c r="G497" s="3">
        <f>VLOOKUP(A497,[2]Sheet1!$A$2:$G$627,7,0)</f>
        <v>3656.4362290000008</v>
      </c>
      <c r="H497" s="4">
        <f t="shared" si="42"/>
        <v>3656.4362290000008</v>
      </c>
      <c r="I497" s="11">
        <f t="shared" si="43"/>
        <v>1.4503853247806759</v>
      </c>
      <c r="J497" s="11">
        <f t="shared" si="44"/>
        <v>1.7463918316608591</v>
      </c>
      <c r="K497" s="11">
        <f t="shared" si="45"/>
        <v>0.12079998353184608</v>
      </c>
      <c r="L497" s="11">
        <f>IF(S497="",((BG497-E497)/E497),((U497-E497)/E497))</f>
        <v>1.7463918316608591</v>
      </c>
      <c r="M497" s="3" t="str">
        <f>IF(S497="Churn","Churn",VLOOKUP(A497,'[1]Revenue_Engine_2025 Dec.25'!$C$14:$E$3993,3,0))</f>
        <v>Üretim</v>
      </c>
      <c r="N497" s="3">
        <f>IF(S497="",VLOOKUP(A497,[3]Export!$B$2:$F$417,5,0),"CHURN")</f>
        <v>0.16280776270737127</v>
      </c>
      <c r="O497" s="3">
        <f>(1-N497)*H497</f>
        <v>3061.1400270743334</v>
      </c>
      <c r="P497" s="3">
        <f t="shared" si="47"/>
        <v>2731.2099143935748</v>
      </c>
      <c r="Q497" s="3">
        <f t="shared" si="46"/>
        <v>3061.1400270743334</v>
      </c>
      <c r="R497" s="3" t="str">
        <f>IF(S497&lt;&gt;"Churn",VLOOKUP(A497,[3]Export!$B$2:$O$417,8,0),"CHURN")</f>
        <v>HIGH RISK</v>
      </c>
      <c r="S497" s="3"/>
      <c r="T497" s="3"/>
      <c r="U497" s="3" t="s">
        <v>551</v>
      </c>
      <c r="V497" s="4" t="str" cm="1">
        <f t="array" ref="V497">IFERROR(
    IF(
        MATCH(2,1/((Y497:BH497&lt;&gt;0)*(Y497:BH497&lt;&gt;"")))-MATCH(1,INDEX((Y497:BH497&lt;&gt;0)*(Y497:BH497&lt;&gt;""),0),0)+1 &lt;= 12,
        "No",
        "Yes"
    ),
    "No"
)</f>
        <v>Yes</v>
      </c>
      <c r="W497" s="4" t="str" cm="1">
        <f t="array" ref="W497">IFERROR(
    IF(
        MATCH(2,1/((Y497:BH497&lt;&gt;0)*(Y497:BH497&lt;&gt;"")))-MATCH(1,INDEX((Y497:BH497&lt;&gt;0)*(Y497:BH497&lt;&gt;""),0),0)+1 &lt;= 24,
        "No",
        "Yes"
    ),
    "No"
)</f>
        <v>Yes</v>
      </c>
      <c r="X497" s="3"/>
      <c r="Y497" s="4">
        <v>1300</v>
      </c>
      <c r="Z497" s="4">
        <v>1300</v>
      </c>
      <c r="AA497" s="4">
        <v>1331.36</v>
      </c>
      <c r="AB497" s="4">
        <v>1340.36</v>
      </c>
      <c r="AC497" s="4">
        <v>1340.3600000000001</v>
      </c>
      <c r="AD497" s="4">
        <v>1340.3600000000001</v>
      </c>
      <c r="AE497" s="4">
        <v>2420.36</v>
      </c>
      <c r="AF497" s="4">
        <v>3040.36</v>
      </c>
      <c r="AG497" s="4">
        <v>3102.86</v>
      </c>
      <c r="AH497" s="4">
        <v>3262.3450060000005</v>
      </c>
      <c r="AI497" s="4">
        <v>3262.3450060000005</v>
      </c>
      <c r="AJ497" s="4">
        <v>3262.3450060000005</v>
      </c>
      <c r="AK497" s="4">
        <v>3262.3450060000005</v>
      </c>
      <c r="AL497" s="4">
        <v>3342.3450060000005</v>
      </c>
      <c r="AM497" s="4">
        <v>3342.3450060000005</v>
      </c>
      <c r="AN497" s="4">
        <v>3342.3450060000005</v>
      </c>
      <c r="AO497" s="4">
        <v>3342.3450060000005</v>
      </c>
      <c r="AP497" s="4">
        <v>3342.3450060000005</v>
      </c>
      <c r="AQ497" s="4">
        <v>3342.3450060000005</v>
      </c>
      <c r="AR497" s="4">
        <v>3342.3450060000005</v>
      </c>
      <c r="AS497" s="4">
        <v>3279.8450060000005</v>
      </c>
      <c r="AT497" s="4">
        <v>3399.8450060000005</v>
      </c>
      <c r="AU497" s="4">
        <v>3399.8450060000005</v>
      </c>
      <c r="AV497" s="4">
        <v>3399.8450060000005</v>
      </c>
      <c r="AW497" s="4">
        <v>3656.4362290000008</v>
      </c>
      <c r="AX497" s="4">
        <v>3656.4362290000008</v>
      </c>
      <c r="AY497" s="4">
        <v>3656.4362290000008</v>
      </c>
      <c r="AZ497" s="4">
        <v>3656.4362290000013</v>
      </c>
      <c r="BA497" s="4">
        <v>3656.4362290000008</v>
      </c>
      <c r="BB497" s="4">
        <v>3656.4362290000008</v>
      </c>
      <c r="BC497" s="4">
        <v>3656.4362290000008</v>
      </c>
      <c r="BD497" s="4">
        <v>3656.4362290000008</v>
      </c>
      <c r="BE497" s="4">
        <v>3656.4362290000008</v>
      </c>
      <c r="BF497" s="4">
        <v>3656.4362290000008</v>
      </c>
      <c r="BG497" s="4">
        <v>3656.4362290000008</v>
      </c>
      <c r="BH497" s="4">
        <v>1022.989209</v>
      </c>
      <c r="BJ497" s="9"/>
    </row>
    <row r="498" spans="1:62" x14ac:dyDescent="0.25">
      <c r="A498" s="6" t="s">
        <v>343</v>
      </c>
      <c r="B498" s="6"/>
      <c r="C498" s="7" t="s">
        <v>526</v>
      </c>
      <c r="D498" s="3"/>
      <c r="E498" s="3">
        <f>VLOOKUP(A498,[2]Sheet1!$A$2:$E$627,5,0)</f>
        <v>874.999999</v>
      </c>
      <c r="F498" s="3">
        <f>VLOOKUP(A498,[2]Sheet1!$A$2:$F$627,6,0)</f>
        <v>874.999999</v>
      </c>
      <c r="G498" s="3">
        <f>VLOOKUP(A498,[2]Sheet1!$A$2:$G$627,7,0)</f>
        <v>0</v>
      </c>
      <c r="H498" s="4">
        <f t="shared" si="42"/>
        <v>874.999999</v>
      </c>
      <c r="I498" s="11">
        <f t="shared" si="43"/>
        <v>0</v>
      </c>
      <c r="J498" s="11">
        <f t="shared" si="44"/>
        <v>-1</v>
      </c>
      <c r="K498" s="11">
        <f t="shared" si="45"/>
        <v>-1</v>
      </c>
      <c r="L498" s="11">
        <f>IF(S498="",((BG498-E498)/E498),((U498-E498)/E498))</f>
        <v>0</v>
      </c>
      <c r="M498" s="3" t="str">
        <f>IF(S498="Churn","Churn",VLOOKUP(A498,'[1]Revenue_Engine_2025 Dec.25'!$C$14:$E$3993,3,0))</f>
        <v>Diğer</v>
      </c>
      <c r="N498" s="3">
        <f>IF(S498="",VLOOKUP(A498,[3]Export!$B$2:$F$417,5,0),"CHURN")</f>
        <v>6.0571428640653062E-2</v>
      </c>
      <c r="O498" s="3">
        <f>(1-N498)*H498</f>
        <v>821.999999</v>
      </c>
      <c r="P498" s="3">
        <f t="shared" si="47"/>
        <v>821.999999</v>
      </c>
      <c r="Q498" s="3">
        <f t="shared" si="46"/>
        <v>0</v>
      </c>
      <c r="R498" s="3" t="str">
        <f>IF(S498&lt;&gt;"Churn",VLOOKUP(A498,[3]Export!$B$2:$O$417,8,0),"CHURN")</f>
        <v>NO RISK</v>
      </c>
      <c r="S498" s="3"/>
      <c r="T498" s="3"/>
      <c r="U498" s="3" t="s">
        <v>551</v>
      </c>
      <c r="V498" s="4" t="str" cm="1">
        <f t="array" ref="V498">IFERROR(
    IF(
        MATCH(2,1/((Y498:BH498&lt;&gt;0)*(Y498:BH498&lt;&gt;"")))-MATCH(1,INDEX((Y498:BH498&lt;&gt;0)*(Y498:BH498&lt;&gt;""),0),0)+1 &lt;= 12,
        "No",
        "Yes"
    ),
    "No"
)</f>
        <v>Yes</v>
      </c>
      <c r="W498" s="4" t="str" cm="1">
        <f t="array" ref="W498">IFERROR(
    IF(
        MATCH(2,1/((Y498:BH498&lt;&gt;0)*(Y498:BH498&lt;&gt;"")))-MATCH(1,INDEX((Y498:BH498&lt;&gt;0)*(Y498:BH498&lt;&gt;""),0),0)+1 &lt;= 24,
        "No",
        "Yes"
    ),
    "No"
)</f>
        <v>Yes</v>
      </c>
      <c r="X498" s="3"/>
      <c r="Y498" s="4">
        <v>0</v>
      </c>
      <c r="Z498" s="4">
        <v>0</v>
      </c>
      <c r="AA498" s="4">
        <v>0</v>
      </c>
      <c r="AB498" s="4">
        <v>0</v>
      </c>
      <c r="AC498" s="4">
        <v>0</v>
      </c>
      <c r="AD498" s="4">
        <v>0</v>
      </c>
      <c r="AE498" s="4">
        <v>0</v>
      </c>
      <c r="AF498" s="4">
        <v>0</v>
      </c>
      <c r="AG498" s="4">
        <v>0</v>
      </c>
      <c r="AH498" s="4">
        <v>0</v>
      </c>
      <c r="AI498" s="4">
        <v>0</v>
      </c>
      <c r="AJ498" s="4">
        <v>874.999999</v>
      </c>
      <c r="AK498" s="4">
        <v>874.999999</v>
      </c>
      <c r="AL498" s="4">
        <v>874.999999</v>
      </c>
      <c r="AM498" s="4">
        <v>874.999999</v>
      </c>
      <c r="AN498" s="4">
        <v>874.999999</v>
      </c>
      <c r="AO498" s="4">
        <v>874.999999</v>
      </c>
      <c r="AP498" s="4">
        <v>874.999999</v>
      </c>
      <c r="AQ498" s="4">
        <v>874.999999</v>
      </c>
      <c r="AR498" s="4">
        <v>874.999999</v>
      </c>
      <c r="AS498" s="4">
        <v>874.999999</v>
      </c>
      <c r="AT498" s="4">
        <v>874.999999</v>
      </c>
      <c r="AU498" s="4">
        <v>874.999999</v>
      </c>
      <c r="AV498" s="4">
        <v>874.999999</v>
      </c>
      <c r="AW498" s="4">
        <v>874.999999</v>
      </c>
      <c r="AX498" s="4">
        <v>874.999999</v>
      </c>
      <c r="AY498" s="4">
        <v>874.999999</v>
      </c>
      <c r="AZ498" s="4">
        <v>874.99999900000012</v>
      </c>
      <c r="BA498" s="4">
        <v>874.999999</v>
      </c>
      <c r="BB498" s="4">
        <v>874.999999</v>
      </c>
      <c r="BC498" s="4">
        <v>874.999999</v>
      </c>
      <c r="BD498" s="4">
        <v>874.999999</v>
      </c>
      <c r="BE498" s="4">
        <v>874.999999</v>
      </c>
      <c r="BF498" s="4">
        <v>874.999999</v>
      </c>
      <c r="BG498" s="4">
        <v>874.999999</v>
      </c>
      <c r="BH498" s="4">
        <v>874.999999</v>
      </c>
      <c r="BJ498" s="9"/>
    </row>
    <row r="499" spans="1:62" x14ac:dyDescent="0.25">
      <c r="A499" s="6" t="s">
        <v>344</v>
      </c>
      <c r="B499" s="6"/>
      <c r="C499" s="7" t="s">
        <v>526</v>
      </c>
      <c r="D499" s="3"/>
      <c r="E499" s="3">
        <f>VLOOKUP(A499,[2]Sheet1!$A$2:$E$627,5,0)</f>
        <v>100.83333333333333</v>
      </c>
      <c r="F499" s="3">
        <f>VLOOKUP(A499,[2]Sheet1!$A$2:$F$627,6,0)</f>
        <v>140.04666666666668</v>
      </c>
      <c r="G499" s="3">
        <f>VLOOKUP(A499,[2]Sheet1!$A$2:$G$627,7,0)</f>
        <v>144.04666666666668</v>
      </c>
      <c r="H499" s="4">
        <f t="shared" si="42"/>
        <v>144.04666666666668</v>
      </c>
      <c r="I499" s="11">
        <f t="shared" si="43"/>
        <v>0.38889256198347127</v>
      </c>
      <c r="J499" s="11">
        <f t="shared" si="44"/>
        <v>0.4285619834710746</v>
      </c>
      <c r="K499" s="11">
        <f t="shared" si="45"/>
        <v>2.8561907935450086E-2</v>
      </c>
      <c r="L499" s="11">
        <f>IF(S499="",((BG499-E499)/E499),((U499-E499)/E499))</f>
        <v>0.4285619834710746</v>
      </c>
      <c r="M499" s="3" t="str">
        <f>IF(S499="Churn","Churn",VLOOKUP(A499,'[1]Revenue_Engine_2025 Dec.25'!$C$14:$E$3993,3,0))</f>
        <v>Diğer</v>
      </c>
      <c r="N499" s="3">
        <f>IF(S499="",VLOOKUP(A499,[3]Export!$B$2:$F$417,5,0),"CHURN")</f>
        <v>9.7190725227935398E-2</v>
      </c>
      <c r="O499" s="3">
        <f>(1-N499)*H499</f>
        <v>130.04666666666668</v>
      </c>
      <c r="P499" s="3">
        <f t="shared" si="47"/>
        <v>126.43542956757842</v>
      </c>
      <c r="Q499" s="3">
        <f t="shared" si="46"/>
        <v>130.04666666666668</v>
      </c>
      <c r="R499" s="3" t="str">
        <f>IF(S499&lt;&gt;"Churn",VLOOKUP(A499,[3]Export!$B$2:$O$417,8,0),"CHURN")</f>
        <v>NO RISK</v>
      </c>
      <c r="S499" s="3"/>
      <c r="T499" s="3"/>
      <c r="U499" s="3" t="s">
        <v>551</v>
      </c>
      <c r="V499" s="4" t="str" cm="1">
        <f t="array" ref="V499">IFERROR(
    IF(
        MATCH(2,1/((Y499:BH499&lt;&gt;0)*(Y499:BH499&lt;&gt;"")))-MATCH(1,INDEX((Y499:BH499&lt;&gt;0)*(Y499:BH499&lt;&gt;""),0),0)+1 &lt;= 12,
        "No",
        "Yes"
    ),
    "No"
)</f>
        <v>Yes</v>
      </c>
      <c r="W499" s="4" t="str" cm="1">
        <f t="array" ref="W499">IFERROR(
    IF(
        MATCH(2,1/((Y499:BH499&lt;&gt;0)*(Y499:BH499&lt;&gt;"")))-MATCH(1,INDEX((Y499:BH499&lt;&gt;0)*(Y499:BH499&lt;&gt;""),0),0)+1 &lt;= 24,
        "No",
        "Yes"
    ),
    "No"
)</f>
        <v>Yes</v>
      </c>
      <c r="X499" s="3"/>
      <c r="Y499" s="4">
        <v>100.83333333333333</v>
      </c>
      <c r="Z499" s="4">
        <v>100.83333333333333</v>
      </c>
      <c r="AA499" s="4">
        <v>100.83333333333333</v>
      </c>
      <c r="AB499" s="4">
        <v>109.83333333333333</v>
      </c>
      <c r="AC499" s="4">
        <v>109.83333333333333</v>
      </c>
      <c r="AD499" s="4">
        <v>109.83333333333333</v>
      </c>
      <c r="AE499" s="4">
        <v>109.83333333333333</v>
      </c>
      <c r="AF499" s="4">
        <v>109.83333333333333</v>
      </c>
      <c r="AG499" s="4">
        <v>1152.0133333333333</v>
      </c>
      <c r="AH499" s="4">
        <v>463.83333333333331</v>
      </c>
      <c r="AI499" s="4">
        <v>463.89333333333298</v>
      </c>
      <c r="AJ499" s="4">
        <v>140.04666666666668</v>
      </c>
      <c r="AK499" s="4">
        <v>140.04666666666668</v>
      </c>
      <c r="AL499" s="4">
        <v>140.04666666666668</v>
      </c>
      <c r="AM499" s="4">
        <v>140.04666666666668</v>
      </c>
      <c r="AN499" s="4">
        <v>140.04666666666668</v>
      </c>
      <c r="AO499" s="4">
        <v>144.04666666666668</v>
      </c>
      <c r="AP499" s="4">
        <v>144.04666666666668</v>
      </c>
      <c r="AQ499" s="4">
        <v>144.04666666666668</v>
      </c>
      <c r="AR499" s="4">
        <v>144.04666666666668</v>
      </c>
      <c r="AS499" s="4">
        <v>144.04666666666668</v>
      </c>
      <c r="AT499" s="4">
        <v>144.04666666666668</v>
      </c>
      <c r="AU499" s="4">
        <v>144.04666666666668</v>
      </c>
      <c r="AV499" s="4">
        <v>144.04666666666668</v>
      </c>
      <c r="AW499" s="4">
        <v>144.04666666666668</v>
      </c>
      <c r="AX499" s="4">
        <v>144.04666666666668</v>
      </c>
      <c r="AY499" s="4">
        <v>144.04666666666668</v>
      </c>
      <c r="AZ499" s="4">
        <v>144.04666666666668</v>
      </c>
      <c r="BA499" s="4">
        <v>144.04666666666668</v>
      </c>
      <c r="BB499" s="4">
        <v>144.04666666666668</v>
      </c>
      <c r="BC499" s="4">
        <v>144.04666666666668</v>
      </c>
      <c r="BD499" s="4">
        <v>144.04666666666668</v>
      </c>
      <c r="BE499" s="4">
        <v>144.04666666666668</v>
      </c>
      <c r="BF499" s="4">
        <v>144.04666666666668</v>
      </c>
      <c r="BG499" s="4">
        <v>144.04666666666668</v>
      </c>
      <c r="BH499" s="4">
        <v>144.04666666666668</v>
      </c>
      <c r="BJ499" s="9"/>
    </row>
    <row r="500" spans="1:62" x14ac:dyDescent="0.25">
      <c r="A500" s="6" t="s">
        <v>345</v>
      </c>
      <c r="B500" s="6"/>
      <c r="C500" s="7" t="s">
        <v>526</v>
      </c>
      <c r="D500" s="3"/>
      <c r="E500" s="3">
        <f>VLOOKUP(A500,[2]Sheet1!$A$2:$E$627,5,0)</f>
        <v>135</v>
      </c>
      <c r="F500" s="3">
        <f>VLOOKUP(A500,[2]Sheet1!$A$2:$F$627,6,0)</f>
        <v>166.76</v>
      </c>
      <c r="G500" s="3">
        <f>VLOOKUP(A500,[2]Sheet1!$A$2:$G$627,7,0)</f>
        <v>191.76</v>
      </c>
      <c r="H500" s="4">
        <f t="shared" si="42"/>
        <v>197.76</v>
      </c>
      <c r="I500" s="11">
        <f t="shared" si="43"/>
        <v>0.2352592592592592</v>
      </c>
      <c r="J500" s="11">
        <f t="shared" si="44"/>
        <v>0.4204444444444444</v>
      </c>
      <c r="K500" s="11">
        <f t="shared" si="45"/>
        <v>0.14991604701367237</v>
      </c>
      <c r="L500" s="11">
        <f>IF(S500="",((BG500-E500)/E500),((U500-E500)/E500))</f>
        <v>0.4648888888888888</v>
      </c>
      <c r="M500" s="3" t="str">
        <f>IF(S500="Churn","Churn",VLOOKUP(A500,'[1]Revenue_Engine_2025 Dec.25'!$C$14:$E$3993,3,0))</f>
        <v>Diğer</v>
      </c>
      <c r="N500" s="3">
        <f>IF(S500="",VLOOKUP(A500,[3]Export!$B$2:$F$417,5,0),"CHURN")</f>
        <v>0.24777508090614889</v>
      </c>
      <c r="O500" s="3">
        <f>(1-N500)*H500</f>
        <v>148.76</v>
      </c>
      <c r="P500" s="3">
        <f t="shared" si="47"/>
        <v>125.44102750809061</v>
      </c>
      <c r="Q500" s="3">
        <f t="shared" si="46"/>
        <v>144.2466504854369</v>
      </c>
      <c r="R500" s="3" t="str">
        <f>IF(S500&lt;&gt;"Churn",VLOOKUP(A500,[3]Export!$B$2:$O$417,8,0),"CHURN")</f>
        <v>CHURN</v>
      </c>
      <c r="S500" s="3"/>
      <c r="T500" s="3"/>
      <c r="U500" s="3" t="s">
        <v>551</v>
      </c>
      <c r="V500" s="4" t="str" cm="1">
        <f t="array" ref="V500">IFERROR(
    IF(
        MATCH(2,1/((Y500:BH500&lt;&gt;0)*(Y500:BH500&lt;&gt;"")))-MATCH(1,INDEX((Y500:BH500&lt;&gt;0)*(Y500:BH500&lt;&gt;""),0),0)+1 &lt;= 12,
        "No",
        "Yes"
    ),
    "No"
)</f>
        <v>Yes</v>
      </c>
      <c r="W500" s="4" t="str" cm="1">
        <f t="array" ref="W500">IFERROR(
    IF(
        MATCH(2,1/((Y500:BH500&lt;&gt;0)*(Y500:BH500&lt;&gt;"")))-MATCH(1,INDEX((Y500:BH500&lt;&gt;0)*(Y500:BH500&lt;&gt;""),0),0)+1 &lt;= 24,
        "No",
        "Yes"
    ),
    "No"
)</f>
        <v>Yes</v>
      </c>
      <c r="X500" s="3"/>
      <c r="Y500" s="4">
        <v>135</v>
      </c>
      <c r="Z500" s="4">
        <v>135</v>
      </c>
      <c r="AA500" s="4">
        <v>135</v>
      </c>
      <c r="AB500" s="4">
        <v>144</v>
      </c>
      <c r="AC500" s="4">
        <v>148.56</v>
      </c>
      <c r="AD500" s="4">
        <v>148.56</v>
      </c>
      <c r="AE500" s="4">
        <v>166.76</v>
      </c>
      <c r="AF500" s="4">
        <v>166.76</v>
      </c>
      <c r="AG500" s="4">
        <v>166.76</v>
      </c>
      <c r="AH500" s="4">
        <v>166.76</v>
      </c>
      <c r="AI500" s="4">
        <v>166.76</v>
      </c>
      <c r="AJ500" s="4">
        <v>166.76</v>
      </c>
      <c r="AK500" s="4">
        <v>166.76</v>
      </c>
      <c r="AL500" s="4">
        <v>166.76</v>
      </c>
      <c r="AM500" s="4">
        <v>191.76</v>
      </c>
      <c r="AN500" s="4">
        <v>191.76</v>
      </c>
      <c r="AO500" s="4">
        <v>191.76</v>
      </c>
      <c r="AP500" s="4">
        <v>191.76</v>
      </c>
      <c r="AQ500" s="4">
        <v>191.76</v>
      </c>
      <c r="AR500" s="4">
        <v>191.76</v>
      </c>
      <c r="AS500" s="4">
        <v>191.76</v>
      </c>
      <c r="AT500" s="4">
        <v>191.76</v>
      </c>
      <c r="AU500" s="4">
        <v>191.76</v>
      </c>
      <c r="AV500" s="4">
        <v>191.76</v>
      </c>
      <c r="AW500" s="4">
        <v>191.76</v>
      </c>
      <c r="AX500" s="4">
        <v>191.76</v>
      </c>
      <c r="AY500" s="4">
        <v>191.76</v>
      </c>
      <c r="AZ500" s="4">
        <v>191.76000000000002</v>
      </c>
      <c r="BA500" s="4">
        <v>191.76</v>
      </c>
      <c r="BB500" s="4">
        <v>197.76</v>
      </c>
      <c r="BC500" s="4">
        <v>197.76</v>
      </c>
      <c r="BD500" s="4">
        <v>197.76</v>
      </c>
      <c r="BE500" s="4">
        <v>197.76</v>
      </c>
      <c r="BF500" s="4">
        <v>197.76</v>
      </c>
      <c r="BG500" s="4">
        <v>197.76</v>
      </c>
      <c r="BH500" s="4">
        <v>197.76</v>
      </c>
      <c r="BJ500" s="9"/>
    </row>
    <row r="501" spans="1:62" x14ac:dyDescent="0.25">
      <c r="A501" s="6" t="s">
        <v>346</v>
      </c>
      <c r="B501" s="6"/>
      <c r="C501" s="7" t="s">
        <v>526</v>
      </c>
      <c r="D501" s="3"/>
      <c r="E501" s="3">
        <f>VLOOKUP(A501,[2]Sheet1!$A$2:$E$627,5,0)</f>
        <v>140</v>
      </c>
      <c r="F501" s="3">
        <f>VLOOKUP(A501,[2]Sheet1!$A$2:$F$627,6,0)</f>
        <v>149</v>
      </c>
      <c r="G501" s="3">
        <f>VLOOKUP(A501,[2]Sheet1!$A$2:$G$627,7,0)</f>
        <v>154</v>
      </c>
      <c r="H501" s="4">
        <f t="shared" si="42"/>
        <v>168.99999999999997</v>
      </c>
      <c r="I501" s="11">
        <f t="shared" si="43"/>
        <v>6.4285714285714279E-2</v>
      </c>
      <c r="J501" s="11">
        <f t="shared" si="44"/>
        <v>0.1</v>
      </c>
      <c r="K501" s="11">
        <f t="shared" si="45"/>
        <v>3.3557046979865772E-2</v>
      </c>
      <c r="L501" s="11">
        <f>IF(S501="",((BG501-E501)/E501),((U501-E501)/E501))</f>
        <v>0.20714285714285693</v>
      </c>
      <c r="M501" s="3" t="str">
        <f>IF(S501="Churn","Churn",VLOOKUP(A501,'[1]Revenue_Engine_2025 Dec.25'!$C$14:$E$3993,3,0))</f>
        <v>Üretim</v>
      </c>
      <c r="N501" s="3">
        <f>IF(S501="",VLOOKUP(A501,[3]Export!$B$2:$F$417,5,0),"CHURN")</f>
        <v>0.19822485207100593</v>
      </c>
      <c r="O501" s="3">
        <f>(1-N501)*H501</f>
        <v>135.49999999999997</v>
      </c>
      <c r="P501" s="3">
        <f t="shared" si="47"/>
        <v>119.46449704142012</v>
      </c>
      <c r="Q501" s="3">
        <f t="shared" si="46"/>
        <v>123.47337278106508</v>
      </c>
      <c r="R501" s="3" t="str">
        <f>IF(S501&lt;&gt;"Churn",VLOOKUP(A501,[3]Export!$B$2:$O$417,8,0),"CHURN")</f>
        <v>NO RISK</v>
      </c>
      <c r="S501" s="3"/>
      <c r="T501" s="3"/>
      <c r="U501" s="3" t="s">
        <v>551</v>
      </c>
      <c r="V501" s="4" t="str" cm="1">
        <f t="array" ref="V501">IFERROR(
    IF(
        MATCH(2,1/((Y501:BH501&lt;&gt;0)*(Y501:BH501&lt;&gt;"")))-MATCH(1,INDEX((Y501:BH501&lt;&gt;0)*(Y501:BH501&lt;&gt;""),0),0)+1 &lt;= 12,
        "No",
        "Yes"
    ),
    "No"
)</f>
        <v>Yes</v>
      </c>
      <c r="W501" s="4" t="str" cm="1">
        <f t="array" ref="W501">IFERROR(
    IF(
        MATCH(2,1/((Y501:BH501&lt;&gt;0)*(Y501:BH501&lt;&gt;"")))-MATCH(1,INDEX((Y501:BH501&lt;&gt;0)*(Y501:BH501&lt;&gt;""),0),0)+1 &lt;= 24,
        "No",
        "Yes"
    ),
    "No"
)</f>
        <v>Yes</v>
      </c>
      <c r="X501" s="3"/>
      <c r="Y501" s="4">
        <v>140</v>
      </c>
      <c r="Z501" s="4">
        <v>140</v>
      </c>
      <c r="AA501" s="4">
        <v>140</v>
      </c>
      <c r="AB501" s="4">
        <v>149</v>
      </c>
      <c r="AC501" s="4">
        <v>149</v>
      </c>
      <c r="AD501" s="4">
        <v>149</v>
      </c>
      <c r="AE501" s="4">
        <v>149</v>
      </c>
      <c r="AF501" s="4">
        <v>149</v>
      </c>
      <c r="AG501" s="4">
        <v>149</v>
      </c>
      <c r="AH501" s="4">
        <v>149</v>
      </c>
      <c r="AI501" s="4">
        <v>149</v>
      </c>
      <c r="AJ501" s="4">
        <v>149</v>
      </c>
      <c r="AK501" s="4">
        <v>149</v>
      </c>
      <c r="AL501" s="4">
        <v>149</v>
      </c>
      <c r="AM501" s="4">
        <v>154</v>
      </c>
      <c r="AN501" s="4">
        <v>154</v>
      </c>
      <c r="AO501" s="4">
        <v>154</v>
      </c>
      <c r="AP501" s="4">
        <v>154</v>
      </c>
      <c r="AQ501" s="4">
        <v>154</v>
      </c>
      <c r="AR501" s="4">
        <v>154</v>
      </c>
      <c r="AS501" s="4">
        <v>154</v>
      </c>
      <c r="AT501" s="4">
        <v>154</v>
      </c>
      <c r="AU501" s="4">
        <v>154</v>
      </c>
      <c r="AV501" s="4">
        <v>154</v>
      </c>
      <c r="AW501" s="4">
        <v>154</v>
      </c>
      <c r="AX501" s="4">
        <v>154</v>
      </c>
      <c r="AY501" s="4">
        <v>168.99999999999997</v>
      </c>
      <c r="AZ501" s="4">
        <v>169</v>
      </c>
      <c r="BA501" s="4">
        <v>168.99999999999997</v>
      </c>
      <c r="BB501" s="4">
        <v>168.99999999999997</v>
      </c>
      <c r="BC501" s="4">
        <v>168.99999999999997</v>
      </c>
      <c r="BD501" s="4">
        <v>168.99999999999997</v>
      </c>
      <c r="BE501" s="4">
        <v>168.99999999999997</v>
      </c>
      <c r="BF501" s="4">
        <v>168.99999999999997</v>
      </c>
      <c r="BG501" s="4">
        <v>168.99999999999997</v>
      </c>
      <c r="BH501" s="4">
        <v>168.99999999999997</v>
      </c>
      <c r="BJ501" s="9"/>
    </row>
    <row r="502" spans="1:62" x14ac:dyDescent="0.25">
      <c r="A502" s="6" t="s">
        <v>347</v>
      </c>
      <c r="B502" s="6"/>
      <c r="C502" s="7" t="s">
        <v>526</v>
      </c>
      <c r="D502" s="3"/>
      <c r="E502" s="3">
        <f>VLOOKUP(A502,[2]Sheet1!$A$2:$E$627,5,0)</f>
        <v>310.00727863636394</v>
      </c>
      <c r="F502" s="3">
        <f>VLOOKUP(A502,[2]Sheet1!$A$2:$F$627,6,0)</f>
        <v>677.19775647208917</v>
      </c>
      <c r="G502" s="3">
        <f>VLOOKUP(A502,[2]Sheet1!$A$2:$G$627,7,0)</f>
        <v>0</v>
      </c>
      <c r="H502" s="4">
        <f t="shared" si="42"/>
        <v>581.88125736800271</v>
      </c>
      <c r="I502" s="11">
        <f t="shared" si="43"/>
        <v>1.1844576019340396</v>
      </c>
      <c r="J502" s="11">
        <f t="shared" si="44"/>
        <v>-1</v>
      </c>
      <c r="K502" s="11">
        <f t="shared" si="45"/>
        <v>-1</v>
      </c>
      <c r="L502" s="11">
        <f>IF(S502="",((BG502-E502)/E502),((U502-E502)/E502))</f>
        <v>0.87435459748957445</v>
      </c>
      <c r="M502" s="3" t="str">
        <f>IF(S502="Churn","Churn",VLOOKUP(A502,'[1]Revenue_Engine_2025 Dec.25'!$C$14:$E$3993,3,0))</f>
        <v>Genel</v>
      </c>
      <c r="N502" s="3">
        <f>IF(S502="",VLOOKUP(A502,[3]Export!$B$2:$F$417,5,0),"CHURN")</f>
        <v>0.12628258818645519</v>
      </c>
      <c r="O502" s="3">
        <f>(1-N502)*H502</f>
        <v>508.39978617038247</v>
      </c>
      <c r="P502" s="3">
        <f t="shared" si="47"/>
        <v>591.67947107073292</v>
      </c>
      <c r="Q502" s="3">
        <f t="shared" si="46"/>
        <v>0</v>
      </c>
      <c r="R502" s="3" t="str">
        <f>IF(S502&lt;&gt;"Churn",VLOOKUP(A502,[3]Export!$B$2:$O$417,8,0),"CHURN")</f>
        <v>NO RISK</v>
      </c>
      <c r="S502" s="3"/>
      <c r="T502" s="3"/>
      <c r="U502" s="3" t="s">
        <v>551</v>
      </c>
      <c r="V502" s="4" t="str" cm="1">
        <f t="array" ref="V502">IFERROR(
    IF(
        MATCH(2,1/((Y502:BH502&lt;&gt;0)*(Y502:BH502&lt;&gt;"")))-MATCH(1,INDEX((Y502:BH502&lt;&gt;0)*(Y502:BH502&lt;&gt;""),0),0)+1 &lt;= 12,
        "No",
        "Yes"
    ),
    "No"
)</f>
        <v>Yes</v>
      </c>
      <c r="W502" s="4" t="str" cm="1">
        <f t="array" ref="W502">IFERROR(
    IF(
        MATCH(2,1/((Y502:BH502&lt;&gt;0)*(Y502:BH502&lt;&gt;"")))-MATCH(1,INDEX((Y502:BH502&lt;&gt;0)*(Y502:BH502&lt;&gt;""),0),0)+1 &lt;= 24,
        "No",
        "Yes"
    ),
    "No"
)</f>
        <v>Yes</v>
      </c>
      <c r="X502" s="3"/>
      <c r="Y502" s="4">
        <v>0</v>
      </c>
      <c r="Z502" s="4">
        <v>0</v>
      </c>
      <c r="AA502" s="4">
        <v>0</v>
      </c>
      <c r="AB502" s="4">
        <v>0</v>
      </c>
      <c r="AC502" s="4">
        <v>0</v>
      </c>
      <c r="AD502" s="4">
        <v>0</v>
      </c>
      <c r="AE502" s="4">
        <v>0</v>
      </c>
      <c r="AF502" s="4">
        <v>0</v>
      </c>
      <c r="AG502" s="4">
        <v>0</v>
      </c>
      <c r="AH502" s="4">
        <v>0</v>
      </c>
      <c r="AI502" s="4">
        <v>0</v>
      </c>
      <c r="AJ502" s="4">
        <v>155.01</v>
      </c>
      <c r="AK502" s="4">
        <v>310.00727863636394</v>
      </c>
      <c r="AL502" s="4">
        <v>142.08330000000001</v>
      </c>
      <c r="AM502" s="4">
        <v>-12.916666666666686</v>
      </c>
      <c r="AN502" s="4">
        <v>142.08333333333331</v>
      </c>
      <c r="AO502" s="4">
        <v>142.08333333333331</v>
      </c>
      <c r="AP502" s="4">
        <v>142.08333333333331</v>
      </c>
      <c r="AQ502" s="4">
        <v>142.08333333333331</v>
      </c>
      <c r="AR502" s="4">
        <v>142.08333333333331</v>
      </c>
      <c r="AS502" s="4">
        <v>142.08333333333331</v>
      </c>
      <c r="AT502" s="4">
        <v>369.08333633333336</v>
      </c>
      <c r="AU502" s="4">
        <v>369.08333633333336</v>
      </c>
      <c r="AV502" s="4">
        <v>677.19775647208917</v>
      </c>
      <c r="AW502" s="4">
        <v>533.71074126703968</v>
      </c>
      <c r="AX502" s="4">
        <v>532.09402859187855</v>
      </c>
      <c r="AY502" s="4">
        <v>591.84027308166287</v>
      </c>
      <c r="AZ502" s="4">
        <v>589.49359852832993</v>
      </c>
      <c r="BA502" s="4">
        <v>588.06023544853304</v>
      </c>
      <c r="BB502" s="4">
        <v>586.6329318228743</v>
      </c>
      <c r="BC502" s="4">
        <v>585.04333718272892</v>
      </c>
      <c r="BD502" s="4">
        <v>583.7951102783361</v>
      </c>
      <c r="BE502" s="4">
        <v>582.82915142225715</v>
      </c>
      <c r="BF502" s="4">
        <v>581.88125736800271</v>
      </c>
      <c r="BG502" s="4">
        <v>581.06356796730029</v>
      </c>
      <c r="BH502" s="4">
        <v>580.31230153765785</v>
      </c>
      <c r="BJ502" s="9"/>
    </row>
    <row r="503" spans="1:62" x14ac:dyDescent="0.25">
      <c r="A503" s="6" t="s">
        <v>348</v>
      </c>
      <c r="B503" s="6"/>
      <c r="C503" s="7" t="s">
        <v>525</v>
      </c>
      <c r="D503" s="3"/>
      <c r="E503" s="3">
        <f>VLOOKUP(A503,[2]Sheet1!$A$2:$E$627,5,0)</f>
        <v>3380.0049543587284</v>
      </c>
      <c r="F503" s="3">
        <f>VLOOKUP(A503,[2]Sheet1!$A$2:$F$627,6,0)</f>
        <v>4655.4968044916686</v>
      </c>
      <c r="G503" s="3">
        <f>VLOOKUP(A503,[2]Sheet1!$A$2:$G$627,7,0)</f>
        <v>5430.0967439817996</v>
      </c>
      <c r="H503" s="4">
        <f t="shared" si="42"/>
        <v>5319.2916106575876</v>
      </c>
      <c r="I503" s="11">
        <f t="shared" si="43"/>
        <v>0.37736389956710376</v>
      </c>
      <c r="J503" s="11">
        <f t="shared" si="44"/>
        <v>0.60653514338177206</v>
      </c>
      <c r="K503" s="11">
        <f t="shared" si="45"/>
        <v>0.16638394827009426</v>
      </c>
      <c r="L503" s="11">
        <f>IF(S503="",((BG503-E503)/E503),((U503-E503)/E503))</f>
        <v>0.57181344869601292</v>
      </c>
      <c r="M503" s="3" t="str">
        <f>IF(S503="Churn","Churn",VLOOKUP(A503,'[1]Revenue_Engine_2025 Dec.25'!$C$14:$E$3993,3,0))</f>
        <v>Teknoloji</v>
      </c>
      <c r="N503" s="3">
        <f>IF(S503="",VLOOKUP(A503,[3]Export!$B$2:$F$417,5,0),"CHURN")</f>
        <v>0.1637975159952321</v>
      </c>
      <c r="O503" s="3">
        <f>(1-N503)*H503</f>
        <v>4448.0048579775976</v>
      </c>
      <c r="P503" s="3">
        <f t="shared" si="47"/>
        <v>3892.9379921921927</v>
      </c>
      <c r="Q503" s="3">
        <f t="shared" si="46"/>
        <v>4540.6603857037835</v>
      </c>
      <c r="R503" s="3" t="str">
        <f>IF(S503&lt;&gt;"Churn",VLOOKUP(A503,[3]Export!$B$2:$O$417,8,0),"CHURN")</f>
        <v>NO RISK</v>
      </c>
      <c r="S503" s="3"/>
      <c r="T503" s="3"/>
      <c r="U503" s="3" t="s">
        <v>551</v>
      </c>
      <c r="V503" s="4" t="str" cm="1">
        <f t="array" ref="V503">IFERROR(
    IF(
        MATCH(2,1/((Y503:BH503&lt;&gt;0)*(Y503:BH503&lt;&gt;"")))-MATCH(1,INDEX((Y503:BH503&lt;&gt;0)*(Y503:BH503&lt;&gt;""),0),0)+1 &lt;= 12,
        "No",
        "Yes"
    ),
    "No"
)</f>
        <v>Yes</v>
      </c>
      <c r="W503" s="4" t="str" cm="1">
        <f t="array" ref="W503">IFERROR(
    IF(
        MATCH(2,1/((Y503:BH503&lt;&gt;0)*(Y503:BH503&lt;&gt;"")))-MATCH(1,INDEX((Y503:BH503&lt;&gt;0)*(Y503:BH503&lt;&gt;""),0),0)+1 &lt;= 24,
        "No",
        "Yes"
    ),
    "No"
)</f>
        <v>Yes</v>
      </c>
      <c r="X503" s="3"/>
      <c r="Y503" s="4">
        <v>2736.4230116801627</v>
      </c>
      <c r="Z503" s="4">
        <v>3361.9538891928792</v>
      </c>
      <c r="AA503" s="4">
        <v>3380.0049543587284</v>
      </c>
      <c r="AB503" s="4">
        <v>3372.9782529873978</v>
      </c>
      <c r="AC503" s="4">
        <v>3365.6130533761534</v>
      </c>
      <c r="AD503" s="4">
        <v>3304.9952131841642</v>
      </c>
      <c r="AE503" s="4">
        <v>3516.2227968278403</v>
      </c>
      <c r="AF503" s="4">
        <v>3508.7360660083455</v>
      </c>
      <c r="AG503" s="4">
        <v>3768.9231529092594</v>
      </c>
      <c r="AH503" s="4">
        <v>3766.1681402261993</v>
      </c>
      <c r="AI503" s="4">
        <v>4560.1685742174523</v>
      </c>
      <c r="AJ503" s="4">
        <v>4554.4726377891739</v>
      </c>
      <c r="AK503" s="4">
        <v>4655.4968044916686</v>
      </c>
      <c r="AL503" s="4">
        <v>4647.4915542186191</v>
      </c>
      <c r="AM503" s="4">
        <v>4634.4591859673037</v>
      </c>
      <c r="AN503" s="4">
        <v>4631.1986315325821</v>
      </c>
      <c r="AO503" s="4">
        <v>4816.6898048517514</v>
      </c>
      <c r="AP503" s="4">
        <v>4696.6416090697494</v>
      </c>
      <c r="AQ503" s="4">
        <v>4895.4720413221303</v>
      </c>
      <c r="AR503" s="4">
        <v>4138.5571179136741</v>
      </c>
      <c r="AS503" s="4">
        <v>4132.8252353400585</v>
      </c>
      <c r="AT503" s="4">
        <v>4248.0948525348213</v>
      </c>
      <c r="AU503" s="4">
        <v>4245.383650884567</v>
      </c>
      <c r="AV503" s="4">
        <v>5441.3778309593044</v>
      </c>
      <c r="AW503" s="4">
        <v>5430.0967439817996</v>
      </c>
      <c r="AX503" s="4">
        <v>5417.1376328903725</v>
      </c>
      <c r="AY503" s="4">
        <v>5399.1202610896917</v>
      </c>
      <c r="AZ503" s="4">
        <v>5380.3099822446657</v>
      </c>
      <c r="BA503" s="4">
        <v>5368.8205496009923</v>
      </c>
      <c r="BB503" s="4">
        <v>5357.3796878261783</v>
      </c>
      <c r="BC503" s="4">
        <v>5344.6379472259641</v>
      </c>
      <c r="BD503" s="4">
        <v>5334.6325137498379</v>
      </c>
      <c r="BE503" s="4">
        <v>5326.8896610351931</v>
      </c>
      <c r="BF503" s="4">
        <v>5319.2916106575876</v>
      </c>
      <c r="BG503" s="4">
        <v>5312.7372439202027</v>
      </c>
      <c r="BH503" s="4">
        <v>5306.7153049136159</v>
      </c>
      <c r="BJ503" s="9"/>
    </row>
    <row r="504" spans="1:62" x14ac:dyDescent="0.25">
      <c r="A504" s="6" t="s">
        <v>349</v>
      </c>
      <c r="B504" s="6"/>
      <c r="C504" s="7" t="s">
        <v>525</v>
      </c>
      <c r="D504" s="3"/>
      <c r="E504" s="3">
        <f>VLOOKUP(A504,[2]Sheet1!$A$2:$E$627,5,0)</f>
        <v>3649.58</v>
      </c>
      <c r="F504" s="3">
        <f>VLOOKUP(A504,[2]Sheet1!$A$2:$F$627,6,0)</f>
        <v>4067.9076040000004</v>
      </c>
      <c r="G504" s="3">
        <f>VLOOKUP(A504,[2]Sheet1!$A$2:$G$627,7,0)</f>
        <v>5259.0079999999998</v>
      </c>
      <c r="H504" s="4">
        <f t="shared" si="42"/>
        <v>6443.1781000000037</v>
      </c>
      <c r="I504" s="11">
        <f t="shared" si="43"/>
        <v>0.11462349201825978</v>
      </c>
      <c r="J504" s="11">
        <f t="shared" si="44"/>
        <v>0.44098992212802568</v>
      </c>
      <c r="K504" s="11">
        <f t="shared" si="45"/>
        <v>0.29280419123305124</v>
      </c>
      <c r="L504" s="11">
        <f>IF(S504="",((BG504-E504)/E504),((U504-E504)/E504))</f>
        <v>0.76545742249793236</v>
      </c>
      <c r="M504" s="3" t="str">
        <f>IF(S504="Churn","Churn",VLOOKUP(A504,'[1]Revenue_Engine_2025 Dec.25'!$C$14:$E$3993,3,0))</f>
        <v>Teknoloji</v>
      </c>
      <c r="N504" s="3">
        <f>IF(S504="",VLOOKUP(A504,[3]Export!$B$2:$F$417,5,0),"CHURN")</f>
        <v>0.14838019144620573</v>
      </c>
      <c r="O504" s="3">
        <f>(1-N504)*H504</f>
        <v>5487.1381000000029</v>
      </c>
      <c r="P504" s="3">
        <f t="shared" si="47"/>
        <v>3464.3106949330045</v>
      </c>
      <c r="Q504" s="3">
        <f t="shared" si="46"/>
        <v>4478.6753861428724</v>
      </c>
      <c r="R504" s="3" t="str">
        <f>IF(S504&lt;&gt;"Churn",VLOOKUP(A504,[3]Export!$B$2:$O$417,8,0),"CHURN")</f>
        <v>NO RISK</v>
      </c>
      <c r="S504" s="3"/>
      <c r="T504" s="3"/>
      <c r="U504" s="3" t="s">
        <v>551</v>
      </c>
      <c r="V504" s="4" t="str" cm="1">
        <f t="array" ref="V504">IFERROR(
    IF(
        MATCH(2,1/((Y504:BH504&lt;&gt;0)*(Y504:BH504&lt;&gt;"")))-MATCH(1,INDEX((Y504:BH504&lt;&gt;0)*(Y504:BH504&lt;&gt;""),0),0)+1 &lt;= 12,
        "No",
        "Yes"
    ),
    "No"
)</f>
        <v>Yes</v>
      </c>
      <c r="W504" s="4" t="str" cm="1">
        <f t="array" ref="W504">IFERROR(
    IF(
        MATCH(2,1/((Y504:BH504&lt;&gt;0)*(Y504:BH504&lt;&gt;"")))-MATCH(1,INDEX((Y504:BH504&lt;&gt;0)*(Y504:BH504&lt;&gt;""),0),0)+1 &lt;= 24,
        "No",
        "Yes"
    ),
    "No"
)</f>
        <v>Yes</v>
      </c>
      <c r="X504" s="3"/>
      <c r="Y504" s="4">
        <v>3376.75</v>
      </c>
      <c r="Z504" s="4">
        <v>3602.06</v>
      </c>
      <c r="AA504" s="4">
        <v>3649.58</v>
      </c>
      <c r="AB504" s="4">
        <v>3657.99</v>
      </c>
      <c r="AC504" s="4">
        <v>3748.6076040000003</v>
      </c>
      <c r="AD504" s="4">
        <v>3748.6076040000003</v>
      </c>
      <c r="AE504" s="4">
        <v>3757.6076040000003</v>
      </c>
      <c r="AF504" s="4">
        <v>3757.6076040000003</v>
      </c>
      <c r="AG504" s="4">
        <v>3757.6076040000003</v>
      </c>
      <c r="AH504" s="4">
        <v>3757.6076040000003</v>
      </c>
      <c r="AI504" s="4">
        <v>3757.6076040000003</v>
      </c>
      <c r="AJ504" s="4">
        <v>3757.6076040000003</v>
      </c>
      <c r="AK504" s="4">
        <v>4067.9076040000004</v>
      </c>
      <c r="AL504" s="4">
        <v>4067.9076040000004</v>
      </c>
      <c r="AM504" s="4">
        <v>4069.3476040000005</v>
      </c>
      <c r="AN504" s="4">
        <v>4069.3476040000005</v>
      </c>
      <c r="AO504" s="4">
        <v>4120.1476039999998</v>
      </c>
      <c r="AP504" s="4">
        <v>4120.5476040000003</v>
      </c>
      <c r="AQ504" s="4">
        <v>4269.2700000000004</v>
      </c>
      <c r="AR504" s="4">
        <v>4269.2700000000004</v>
      </c>
      <c r="AS504" s="4">
        <v>4269.2700000000004</v>
      </c>
      <c r="AT504" s="4">
        <v>4379.869999999999</v>
      </c>
      <c r="AU504" s="4">
        <v>4527.2220000000016</v>
      </c>
      <c r="AV504" s="4">
        <v>5256.0079999999998</v>
      </c>
      <c r="AW504" s="4">
        <v>5259.0079999999998</v>
      </c>
      <c r="AX504" s="4">
        <v>5260.2079999999996</v>
      </c>
      <c r="AY504" s="4">
        <v>5260.2079999999996</v>
      </c>
      <c r="AZ504" s="4">
        <v>5260.2079999999996</v>
      </c>
      <c r="BA504" s="4">
        <v>5419.3080000000018</v>
      </c>
      <c r="BB504" s="4">
        <v>5542.8480000000018</v>
      </c>
      <c r="BC504" s="4">
        <v>5542.8480000000018</v>
      </c>
      <c r="BD504" s="4">
        <v>5560.608000000002</v>
      </c>
      <c r="BE504" s="4">
        <v>5841.6080000000038</v>
      </c>
      <c r="BF504" s="4">
        <v>5872.5421000000042</v>
      </c>
      <c r="BG504" s="4">
        <v>6443.1781000000037</v>
      </c>
      <c r="BH504" s="4">
        <v>6443.1781000000037</v>
      </c>
      <c r="BJ504" s="9"/>
    </row>
    <row r="505" spans="1:62" x14ac:dyDescent="0.25">
      <c r="A505" s="6" t="s">
        <v>350</v>
      </c>
      <c r="B505" s="6"/>
      <c r="C505" s="7" t="s">
        <v>526</v>
      </c>
      <c r="D505" s="3"/>
      <c r="E505" s="3">
        <f>VLOOKUP(A505,[2]Sheet1!$A$2:$E$627,5,0)</f>
        <v>96.01</v>
      </c>
      <c r="F505" s="3">
        <f>VLOOKUP(A505,[2]Sheet1!$A$2:$F$627,6,0)</f>
        <v>107.99999999999999</v>
      </c>
      <c r="G505" s="3">
        <f>VLOOKUP(A505,[2]Sheet1!$A$2:$G$627,7,0)</f>
        <v>112.4</v>
      </c>
      <c r="H505" s="4">
        <f t="shared" si="42"/>
        <v>112.39999999999999</v>
      </c>
      <c r="I505" s="11">
        <f t="shared" si="43"/>
        <v>0.12488282470575961</v>
      </c>
      <c r="J505" s="11">
        <f t="shared" si="44"/>
        <v>0.17071138423080928</v>
      </c>
      <c r="K505" s="11">
        <f t="shared" si="45"/>
        <v>4.0740740740740931E-2</v>
      </c>
      <c r="L505" s="11">
        <f>IF(S505="",((BG505-E505)/E505),((U505-E505)/E505))</f>
        <v>0.17071138423080914</v>
      </c>
      <c r="M505" s="3" t="str">
        <f>IF(S505="Churn","Churn",VLOOKUP(A505,'[1]Revenue_Engine_2025 Dec.25'!$C$14:$E$3993,3,0))</f>
        <v>Bayi</v>
      </c>
      <c r="N505" s="3">
        <f>IF(S505="",VLOOKUP(A505,[3]Export!$B$2:$F$417,5,0),"CHURN")</f>
        <v>0.23487544483985762</v>
      </c>
      <c r="O505" s="3">
        <f>(1-N505)*H505</f>
        <v>86</v>
      </c>
      <c r="P505" s="3">
        <f t="shared" si="47"/>
        <v>82.633451957295378</v>
      </c>
      <c r="Q505" s="3">
        <f t="shared" si="46"/>
        <v>86.000000000000014</v>
      </c>
      <c r="R505" s="3" t="str">
        <f>IF(S505&lt;&gt;"Churn",VLOOKUP(A505,[3]Export!$B$2:$O$417,8,0),"CHURN")</f>
        <v>NO RISK</v>
      </c>
      <c r="S505" s="3"/>
      <c r="T505" s="3"/>
      <c r="U505" s="3" t="s">
        <v>551</v>
      </c>
      <c r="V505" s="4" t="str" cm="1">
        <f t="array" ref="V505">IFERROR(
    IF(
        MATCH(2,1/((Y505:BH505&lt;&gt;0)*(Y505:BH505&lt;&gt;"")))-MATCH(1,INDEX((Y505:BH505&lt;&gt;0)*(Y505:BH505&lt;&gt;""),0),0)+1 &lt;= 12,
        "No",
        "Yes"
    ),
    "No"
)</f>
        <v>Yes</v>
      </c>
      <c r="W505" s="4" t="str" cm="1">
        <f t="array" ref="W505">IFERROR(
    IF(
        MATCH(2,1/((Y505:BH505&lt;&gt;0)*(Y505:BH505&lt;&gt;"")))-MATCH(1,INDEX((Y505:BH505&lt;&gt;0)*(Y505:BH505&lt;&gt;""),0),0)+1 &lt;= 24,
        "No",
        "Yes"
    ),
    "No"
)</f>
        <v>Yes</v>
      </c>
      <c r="X505" s="3"/>
      <c r="Y505" s="4">
        <v>0</v>
      </c>
      <c r="Z505" s="4">
        <v>0</v>
      </c>
      <c r="AA505" s="4">
        <v>87.01</v>
      </c>
      <c r="AB505" s="4">
        <v>96.01</v>
      </c>
      <c r="AC505" s="4">
        <v>95.999999999999986</v>
      </c>
      <c r="AD505" s="4">
        <v>95.999999999999986</v>
      </c>
      <c r="AE505" s="4">
        <v>95.999999999999986</v>
      </c>
      <c r="AF505" s="4">
        <v>95.999999999999986</v>
      </c>
      <c r="AG505" s="4">
        <v>95.999999999999986</v>
      </c>
      <c r="AH505" s="4">
        <v>95.999999999999986</v>
      </c>
      <c r="AI505" s="4">
        <v>95.999999999999986</v>
      </c>
      <c r="AJ505" s="4">
        <v>95.999999999999986</v>
      </c>
      <c r="AK505" s="4">
        <v>95.999999999999986</v>
      </c>
      <c r="AL505" s="4">
        <v>95.999999999999986</v>
      </c>
      <c r="AM505" s="4">
        <v>107.99999999999999</v>
      </c>
      <c r="AN505" s="4">
        <v>107.99999999999999</v>
      </c>
      <c r="AO505" s="4">
        <v>107.99999999999999</v>
      </c>
      <c r="AP505" s="4">
        <v>110.39999999999999</v>
      </c>
      <c r="AQ505" s="4">
        <v>110.39999999999999</v>
      </c>
      <c r="AR505" s="4">
        <v>110.39999999999999</v>
      </c>
      <c r="AS505" s="4">
        <v>110.39999999999999</v>
      </c>
      <c r="AT505" s="4">
        <v>112.39999999999999</v>
      </c>
      <c r="AU505" s="4">
        <v>112.39999999999999</v>
      </c>
      <c r="AV505" s="4">
        <v>112.39999999999999</v>
      </c>
      <c r="AW505" s="4">
        <v>112.39999999999999</v>
      </c>
      <c r="AX505" s="4">
        <v>112.39999999999999</v>
      </c>
      <c r="AY505" s="4">
        <v>112.39999999999999</v>
      </c>
      <c r="AZ505" s="4">
        <v>112.40000000000002</v>
      </c>
      <c r="BA505" s="4">
        <v>112.39999999999999</v>
      </c>
      <c r="BB505" s="4">
        <v>112.39999999999999</v>
      </c>
      <c r="BC505" s="4">
        <v>112.39999999999999</v>
      </c>
      <c r="BD505" s="4">
        <v>112.39999999999999</v>
      </c>
      <c r="BE505" s="4">
        <v>112.39999999999999</v>
      </c>
      <c r="BF505" s="4">
        <v>112.39999999999999</v>
      </c>
      <c r="BG505" s="4">
        <v>112.39999999999999</v>
      </c>
      <c r="BH505" s="4">
        <v>112.39999999999999</v>
      </c>
      <c r="BJ505" s="9"/>
    </row>
    <row r="506" spans="1:62" x14ac:dyDescent="0.25">
      <c r="A506" s="6" t="s">
        <v>351</v>
      </c>
      <c r="B506" s="6"/>
      <c r="C506" s="7" t="s">
        <v>526</v>
      </c>
      <c r="D506" s="3"/>
      <c r="E506" s="3">
        <f>VLOOKUP(A506,[2]Sheet1!$A$2:$E$627,5,0)</f>
        <v>574</v>
      </c>
      <c r="F506" s="3">
        <f>VLOOKUP(A506,[2]Sheet1!$A$2:$F$627,6,0)</f>
        <v>642.02531799999997</v>
      </c>
      <c r="G506" s="3">
        <f>VLOOKUP(A506,[2]Sheet1!$A$2:$G$627,7,0)</f>
        <v>598.02532500000007</v>
      </c>
      <c r="H506" s="4">
        <f t="shared" si="42"/>
        <v>386.14081499999998</v>
      </c>
      <c r="I506" s="11">
        <f t="shared" si="43"/>
        <v>0.11851100696864106</v>
      </c>
      <c r="J506" s="11">
        <f t="shared" si="44"/>
        <v>4.1855966898954822E-2</v>
      </c>
      <c r="K506" s="11">
        <f t="shared" si="45"/>
        <v>-6.8533111960547177E-2</v>
      </c>
      <c r="L506" s="11">
        <f>IF(S506="",((BG506-E506)/E506),((U506-E506)/E506))</f>
        <v>-0.32728081010452964</v>
      </c>
      <c r="M506" s="3" t="str">
        <f>IF(S506="Churn","Churn",VLOOKUP(A506,'[1]Revenue_Engine_2025 Dec.25'!$C$14:$E$3993,3,0))</f>
        <v>Diğer</v>
      </c>
      <c r="N506" s="3">
        <f>IF(S506="",VLOOKUP(A506,[3]Export!$B$2:$F$417,5,0),"CHURN")</f>
        <v>0.19863482703842125</v>
      </c>
      <c r="O506" s="3">
        <f>(1-N506)*H506</f>
        <v>309.43980099999993</v>
      </c>
      <c r="P506" s="3">
        <f t="shared" si="47"/>
        <v>514.49673000478253</v>
      </c>
      <c r="Q506" s="3">
        <f t="shared" si="46"/>
        <v>479.23666800402935</v>
      </c>
      <c r="R506" s="3" t="str">
        <f>IF(S506&lt;&gt;"Churn",VLOOKUP(A506,[3]Export!$B$2:$O$417,8,0),"CHURN")</f>
        <v>CHURN</v>
      </c>
      <c r="S506" s="3"/>
      <c r="T506" s="3"/>
      <c r="U506" s="3" t="s">
        <v>551</v>
      </c>
      <c r="V506" s="4" t="str" cm="1">
        <f t="array" ref="V506">IFERROR(
    IF(
        MATCH(2,1/((Y506:BH506&lt;&gt;0)*(Y506:BH506&lt;&gt;"")))-MATCH(1,INDEX((Y506:BH506&lt;&gt;0)*(Y506:BH506&lt;&gt;""),0),0)+1 &lt;= 12,
        "No",
        "Yes"
    ),
    "No"
)</f>
        <v>Yes</v>
      </c>
      <c r="W506" s="4" t="str" cm="1">
        <f t="array" ref="W506">IFERROR(
    IF(
        MATCH(2,1/((Y506:BH506&lt;&gt;0)*(Y506:BH506&lt;&gt;"")))-MATCH(1,INDEX((Y506:BH506&lt;&gt;0)*(Y506:BH506&lt;&gt;""),0),0)+1 &lt;= 24,
        "No",
        "Yes"
    ),
    "No"
)</f>
        <v>Yes</v>
      </c>
      <c r="X506" s="3"/>
      <c r="Y506" s="4">
        <v>495</v>
      </c>
      <c r="Z506" s="4">
        <v>495</v>
      </c>
      <c r="AA506" s="4">
        <v>574</v>
      </c>
      <c r="AB506" s="4">
        <v>583</v>
      </c>
      <c r="AC506" s="4">
        <v>583.00040000000001</v>
      </c>
      <c r="AD506" s="4">
        <v>583.00040000000001</v>
      </c>
      <c r="AE506" s="4">
        <v>588</v>
      </c>
      <c r="AF506" s="4">
        <v>588.02531799999997</v>
      </c>
      <c r="AG506" s="4">
        <v>598.02531799999997</v>
      </c>
      <c r="AH506" s="4">
        <v>642.02531799999997</v>
      </c>
      <c r="AI506" s="4">
        <v>642.02531799999997</v>
      </c>
      <c r="AJ506" s="4">
        <v>642.02531799999997</v>
      </c>
      <c r="AK506" s="4">
        <v>642.02531799999997</v>
      </c>
      <c r="AL506" s="4">
        <v>642.02531799999997</v>
      </c>
      <c r="AM506" s="4">
        <v>642.02531799999997</v>
      </c>
      <c r="AN506" s="4">
        <v>642.02531799999997</v>
      </c>
      <c r="AO506" s="4">
        <v>642.02531799999997</v>
      </c>
      <c r="AP506" s="4">
        <v>642.02531799999997</v>
      </c>
      <c r="AQ506" s="4">
        <v>642.02531799999997</v>
      </c>
      <c r="AR506" s="4">
        <v>642.02531799999997</v>
      </c>
      <c r="AS506" s="4">
        <v>642.02531799999997</v>
      </c>
      <c r="AT506" s="4">
        <v>642.02531799999997</v>
      </c>
      <c r="AU506" s="4">
        <v>642.02531799999997</v>
      </c>
      <c r="AV506" s="4">
        <v>598.02531799999997</v>
      </c>
      <c r="AW506" s="4">
        <v>598.02532500000007</v>
      </c>
      <c r="AX506" s="4">
        <v>408.64081499999998</v>
      </c>
      <c r="AY506" s="4">
        <v>446.14081499999998</v>
      </c>
      <c r="AZ506" s="4">
        <v>446.14081499999998</v>
      </c>
      <c r="BA506" s="4">
        <v>386.14081499999998</v>
      </c>
      <c r="BB506" s="4">
        <v>386.14081499999998</v>
      </c>
      <c r="BC506" s="4">
        <v>386.14081499999998</v>
      </c>
      <c r="BD506" s="4">
        <v>386.14081499999998</v>
      </c>
      <c r="BE506" s="4">
        <v>386.14081499999998</v>
      </c>
      <c r="BF506" s="4">
        <v>386.14081499999998</v>
      </c>
      <c r="BG506" s="4">
        <v>386.14081499999998</v>
      </c>
      <c r="BH506" s="4">
        <v>386.14081499999998</v>
      </c>
      <c r="BJ506" s="9"/>
    </row>
    <row r="507" spans="1:62" x14ac:dyDescent="0.25">
      <c r="A507" s="6" t="s">
        <v>352</v>
      </c>
      <c r="B507" s="6"/>
      <c r="C507" s="7" t="s">
        <v>526</v>
      </c>
      <c r="D507" s="3"/>
      <c r="E507" s="3">
        <f>VLOOKUP(A507,[2]Sheet1!$A$2:$E$627,5,0)</f>
        <v>90</v>
      </c>
      <c r="F507" s="3">
        <f>VLOOKUP(A507,[2]Sheet1!$A$2:$F$627,6,0)</f>
        <v>106.49999</v>
      </c>
      <c r="G507" s="3">
        <f>VLOOKUP(A507,[2]Sheet1!$A$2:$G$627,7,0)</f>
        <v>116.49999</v>
      </c>
      <c r="H507" s="4">
        <f t="shared" si="42"/>
        <v>134.49999</v>
      </c>
      <c r="I507" s="11">
        <f t="shared" si="43"/>
        <v>0.18333322222222218</v>
      </c>
      <c r="J507" s="11">
        <f t="shared" si="44"/>
        <v>0.29444433333333331</v>
      </c>
      <c r="K507" s="11">
        <f t="shared" si="45"/>
        <v>9.3896722431617133E-2</v>
      </c>
      <c r="L507" s="11">
        <f>IF(S507="",((BG507-E507)/E507),((U507-E507)/E507))</f>
        <v>0.49444433333333332</v>
      </c>
      <c r="M507" s="3" t="str">
        <f>IF(S507="Churn","Churn",VLOOKUP(A507,'[1]Revenue_Engine_2025 Dec.25'!$C$14:$E$3993,3,0))</f>
        <v>Diğer</v>
      </c>
      <c r="N507" s="3">
        <f>IF(S507="",VLOOKUP(A507,[3]Export!$B$2:$F$417,5,0),"CHURN")</f>
        <v>0</v>
      </c>
      <c r="O507" s="3">
        <f>(1-N507)*H507</f>
        <v>134.49999</v>
      </c>
      <c r="P507" s="3">
        <f t="shared" si="47"/>
        <v>106.49999</v>
      </c>
      <c r="Q507" s="3">
        <f t="shared" si="46"/>
        <v>116.49999</v>
      </c>
      <c r="R507" s="3" t="str">
        <f>IF(S507&lt;&gt;"Churn",VLOOKUP(A507,[3]Export!$B$2:$O$417,8,0),"CHURN")</f>
        <v>NO RISK</v>
      </c>
      <c r="S507" s="3"/>
      <c r="T507" s="3"/>
      <c r="U507" s="3" t="s">
        <v>551</v>
      </c>
      <c r="V507" s="4" t="str" cm="1">
        <f t="array" ref="V507">IFERROR(
    IF(
        MATCH(2,1/((Y507:BH507&lt;&gt;0)*(Y507:BH507&lt;&gt;"")))-MATCH(1,INDEX((Y507:BH507&lt;&gt;0)*(Y507:BH507&lt;&gt;""),0),0)+1 &lt;= 12,
        "No",
        "Yes"
    ),
    "No"
)</f>
        <v>Yes</v>
      </c>
      <c r="W507" s="4" t="str" cm="1">
        <f t="array" ref="W507">IFERROR(
    IF(
        MATCH(2,1/((Y507:BH507&lt;&gt;0)*(Y507:BH507&lt;&gt;"")))-MATCH(1,INDEX((Y507:BH507&lt;&gt;0)*(Y507:BH507&lt;&gt;""),0),0)+1 &lt;= 24,
        "No",
        "Yes"
    ),
    "No"
)</f>
        <v>Yes</v>
      </c>
      <c r="X507" s="3"/>
      <c r="Y507" s="4">
        <v>90</v>
      </c>
      <c r="Z507" s="4">
        <v>90</v>
      </c>
      <c r="AA507" s="4">
        <v>90</v>
      </c>
      <c r="AB507" s="4">
        <v>99</v>
      </c>
      <c r="AC507" s="4">
        <v>98.999989999999997</v>
      </c>
      <c r="AD507" s="4">
        <v>98.999989999999997</v>
      </c>
      <c r="AE507" s="4">
        <v>103.99999</v>
      </c>
      <c r="AF507" s="4">
        <v>103.99999</v>
      </c>
      <c r="AG507" s="4">
        <v>103.99999</v>
      </c>
      <c r="AH507" s="4">
        <v>106.49999</v>
      </c>
      <c r="AI507" s="4">
        <v>106.49999</v>
      </c>
      <c r="AJ507" s="4">
        <v>106.49999</v>
      </c>
      <c r="AK507" s="4">
        <v>106.49999</v>
      </c>
      <c r="AL507" s="4">
        <v>106.49999</v>
      </c>
      <c r="AM507" s="4">
        <v>116.49999</v>
      </c>
      <c r="AN507" s="4">
        <v>116.49999</v>
      </c>
      <c r="AO507" s="4">
        <v>116.49999</v>
      </c>
      <c r="AP507" s="4">
        <v>116.49999</v>
      </c>
      <c r="AQ507" s="4">
        <v>116.49999</v>
      </c>
      <c r="AR507" s="4">
        <v>116.49999</v>
      </c>
      <c r="AS507" s="4">
        <v>116.49999</v>
      </c>
      <c r="AT507" s="4">
        <v>116.49999</v>
      </c>
      <c r="AU507" s="4">
        <v>116.49999</v>
      </c>
      <c r="AV507" s="4">
        <v>116.49999</v>
      </c>
      <c r="AW507" s="4">
        <v>116.49999</v>
      </c>
      <c r="AX507" s="4">
        <v>116.49999</v>
      </c>
      <c r="AY507" s="4">
        <v>116.49999</v>
      </c>
      <c r="AZ507" s="4">
        <v>116.49999</v>
      </c>
      <c r="BA507" s="4">
        <v>116.49999</v>
      </c>
      <c r="BB507" s="4">
        <v>134.49999</v>
      </c>
      <c r="BC507" s="4">
        <v>134.49999</v>
      </c>
      <c r="BD507" s="4">
        <v>134.49999</v>
      </c>
      <c r="BE507" s="4">
        <v>134.49999</v>
      </c>
      <c r="BF507" s="4">
        <v>134.49999</v>
      </c>
      <c r="BG507" s="4">
        <v>134.49999</v>
      </c>
      <c r="BH507" s="4">
        <v>134.49999</v>
      </c>
      <c r="BJ507" s="9"/>
    </row>
    <row r="508" spans="1:62" x14ac:dyDescent="0.25">
      <c r="A508" s="6" t="s">
        <v>353</v>
      </c>
      <c r="B508" s="6"/>
      <c r="C508" s="7" t="s">
        <v>526</v>
      </c>
      <c r="D508" s="3"/>
      <c r="E508" s="3">
        <f>VLOOKUP(A508,[2]Sheet1!$A$2:$E$627,5,0)</f>
        <v>266.54867445344195</v>
      </c>
      <c r="F508" s="3">
        <f>VLOOKUP(A508,[2]Sheet1!$A$2:$F$627,6,0)</f>
        <v>511.25079927578031</v>
      </c>
      <c r="G508" s="3">
        <f>VLOOKUP(A508,[2]Sheet1!$A$2:$G$627,7,0)</f>
        <v>402.21342825295602</v>
      </c>
      <c r="H508" s="4">
        <f t="shared" si="42"/>
        <v>431.38188197003115</v>
      </c>
      <c r="I508" s="11">
        <f t="shared" si="43"/>
        <v>0.91803917361097398</v>
      </c>
      <c r="J508" s="11">
        <f t="shared" si="44"/>
        <v>0.508968030239485</v>
      </c>
      <c r="K508" s="11">
        <f t="shared" si="45"/>
        <v>-0.21327569791046341</v>
      </c>
      <c r="L508" s="11">
        <f>IF(S508="",((BG508-E508)/E508),((U508-E508)/E508))</f>
        <v>0.27525846448899971</v>
      </c>
      <c r="M508" s="3" t="str">
        <f>IF(S508="Churn","Churn",VLOOKUP(A508,'[1]Revenue_Engine_2025 Dec.25'!$C$14:$E$3993,3,0))</f>
        <v>Diğer</v>
      </c>
      <c r="N508" s="3">
        <f>IF(S508="",VLOOKUP(A508,[3]Export!$B$2:$F$417,5,0),"CHURN")</f>
        <v>0.16527390053776017</v>
      </c>
      <c r="O508" s="3">
        <f>(1-N508)*H508</f>
        <v>360.08571571552443</v>
      </c>
      <c r="P508" s="3">
        <f t="shared" si="47"/>
        <v>426.75438552642464</v>
      </c>
      <c r="Q508" s="3">
        <f t="shared" si="46"/>
        <v>335.73804611692543</v>
      </c>
      <c r="R508" s="3" t="str">
        <f>IF(S508&lt;&gt;"Churn",VLOOKUP(A508,[3]Export!$B$2:$O$417,8,0),"CHURN")</f>
        <v>NO RISK</v>
      </c>
      <c r="S508" s="3"/>
      <c r="T508" s="3"/>
      <c r="U508" s="3" t="s">
        <v>551</v>
      </c>
      <c r="V508" s="4" t="str" cm="1">
        <f t="array" ref="V508">IFERROR(
    IF(
        MATCH(2,1/((Y508:BH508&lt;&gt;0)*(Y508:BH508&lt;&gt;"")))-MATCH(1,INDEX((Y508:BH508&lt;&gt;0)*(Y508:BH508&lt;&gt;""),0),0)+1 &lt;= 12,
        "No",
        "Yes"
    ),
    "No"
)</f>
        <v>Yes</v>
      </c>
      <c r="W508" s="4" t="str" cm="1">
        <f t="array" ref="W508">IFERROR(
    IF(
        MATCH(2,1/((Y508:BH508&lt;&gt;0)*(Y508:BH508&lt;&gt;"")))-MATCH(1,INDEX((Y508:BH508&lt;&gt;0)*(Y508:BH508&lt;&gt;""),0),0)+1 &lt;= 24,
        "No",
        "Yes"
    ),
    "No"
)</f>
        <v>Yes</v>
      </c>
      <c r="X508" s="3"/>
      <c r="Y508" s="4">
        <v>266.54867445344195</v>
      </c>
      <c r="Z508" s="4">
        <v>265.62259279525279</v>
      </c>
      <c r="AA508" s="4">
        <v>263.66996957248551</v>
      </c>
      <c r="AB508" s="4">
        <v>258.98550199159848</v>
      </c>
      <c r="AC508" s="4">
        <v>254.07524187975122</v>
      </c>
      <c r="AD508" s="4">
        <v>445.6678019554887</v>
      </c>
      <c r="AE508" s="4">
        <v>485.7391436881511</v>
      </c>
      <c r="AF508" s="4">
        <v>480.93857402941933</v>
      </c>
      <c r="AG508" s="4">
        <v>490.73008812404186</v>
      </c>
      <c r="AH508" s="4">
        <v>482.75550224258643</v>
      </c>
      <c r="AI508" s="4">
        <v>484.10903942567063</v>
      </c>
      <c r="AJ508" s="4">
        <v>520.44140739031457</v>
      </c>
      <c r="AK508" s="4">
        <v>511.25079927578031</v>
      </c>
      <c r="AL508" s="4">
        <v>504.83451358800113</v>
      </c>
      <c r="AM508" s="4">
        <v>494.38894411338987</v>
      </c>
      <c r="AN508" s="4">
        <v>322.1798983228544</v>
      </c>
      <c r="AO508" s="4">
        <v>322.63082382542518</v>
      </c>
      <c r="AP508" s="4">
        <v>320.0007267597652</v>
      </c>
      <c r="AQ508" s="4">
        <v>316.43294079682414</v>
      </c>
      <c r="AR508" s="4">
        <v>309.87917987763103</v>
      </c>
      <c r="AS508" s="4">
        <v>306.46877141527824</v>
      </c>
      <c r="AT508" s="4">
        <v>304.64787657261928</v>
      </c>
      <c r="AU508" s="4">
        <v>303.03474076035866</v>
      </c>
      <c r="AV508" s="4">
        <v>408.18578615469255</v>
      </c>
      <c r="AW508" s="4">
        <v>402.21342825295602</v>
      </c>
      <c r="AX508" s="4">
        <v>395.33467109658505</v>
      </c>
      <c r="AY508" s="4">
        <v>385.77096535021457</v>
      </c>
      <c r="AZ508" s="4">
        <v>375.786380813074</v>
      </c>
      <c r="BA508" s="4">
        <v>369.68773589346972</v>
      </c>
      <c r="BB508" s="4">
        <v>363.61487261964402</v>
      </c>
      <c r="BC508" s="4">
        <v>356.85149674301226</v>
      </c>
      <c r="BD508" s="4">
        <v>351.54056556563933</v>
      </c>
      <c r="BE508" s="4">
        <v>347.43062290477047</v>
      </c>
      <c r="BF508" s="4">
        <v>343.39754200588123</v>
      </c>
      <c r="BG508" s="4">
        <v>339.91845329507464</v>
      </c>
      <c r="BH508" s="4">
        <v>431.38188197003115</v>
      </c>
      <c r="BJ508" s="9"/>
    </row>
    <row r="509" spans="1:62" x14ac:dyDescent="0.25">
      <c r="A509" s="6" t="s">
        <v>354</v>
      </c>
      <c r="B509" s="6"/>
      <c r="C509" s="7" t="s">
        <v>526</v>
      </c>
      <c r="D509" s="3"/>
      <c r="E509" s="3">
        <f>VLOOKUP(A509,[2]Sheet1!$A$2:$E$627,5,0)</f>
        <v>128</v>
      </c>
      <c r="F509" s="3">
        <f>VLOOKUP(A509,[2]Sheet1!$A$2:$F$627,6,0)</f>
        <v>138</v>
      </c>
      <c r="G509" s="3">
        <f>VLOOKUP(A509,[2]Sheet1!$A$2:$G$627,7,0)</f>
        <v>138</v>
      </c>
      <c r="H509" s="4">
        <f t="shared" si="42"/>
        <v>138</v>
      </c>
      <c r="I509" s="11">
        <f t="shared" si="43"/>
        <v>7.8125E-2</v>
      </c>
      <c r="J509" s="11">
        <f t="shared" si="44"/>
        <v>7.8125E-2</v>
      </c>
      <c r="K509" s="11">
        <f t="shared" si="45"/>
        <v>0</v>
      </c>
      <c r="L509" s="11">
        <f>IF(S509="",((BG509-E509)/E509),((U509-E509)/E509))</f>
        <v>7.8125E-2</v>
      </c>
      <c r="M509" s="3" t="str">
        <f>IF(S509="Churn","Churn",VLOOKUP(A509,'[1]Revenue_Engine_2025 Dec.25'!$C$14:$E$3993,3,0))</f>
        <v>Üretim</v>
      </c>
      <c r="N509" s="3">
        <f>IF(S509="",VLOOKUP(A509,[3]Export!$B$2:$F$417,5,0),"CHURN")</f>
        <v>0</v>
      </c>
      <c r="O509" s="3">
        <f>(1-N509)*H509</f>
        <v>138</v>
      </c>
      <c r="P509" s="3">
        <f t="shared" si="47"/>
        <v>138</v>
      </c>
      <c r="Q509" s="3">
        <f t="shared" si="46"/>
        <v>138</v>
      </c>
      <c r="R509" s="3" t="str">
        <f>IF(S509&lt;&gt;"Churn",VLOOKUP(A509,[3]Export!$B$2:$O$417,8,0),"CHURN")</f>
        <v>NO RISK</v>
      </c>
      <c r="S509" s="3"/>
      <c r="T509" s="3"/>
      <c r="U509" s="3" t="s">
        <v>551</v>
      </c>
      <c r="V509" s="4" t="str" cm="1">
        <f t="array" ref="V509">IFERROR(
    IF(
        MATCH(2,1/((Y509:BH509&lt;&gt;0)*(Y509:BH509&lt;&gt;"")))-MATCH(1,INDEX((Y509:BH509&lt;&gt;0)*(Y509:BH509&lt;&gt;""),0),0)+1 &lt;= 12,
        "No",
        "Yes"
    ),
    "No"
)</f>
        <v>Yes</v>
      </c>
      <c r="W509" s="4" t="str" cm="1">
        <f t="array" ref="W509">IFERROR(
    IF(
        MATCH(2,1/((Y509:BH509&lt;&gt;0)*(Y509:BH509&lt;&gt;"")))-MATCH(1,INDEX((Y509:BH509&lt;&gt;0)*(Y509:BH509&lt;&gt;""),0),0)+1 &lt;= 24,
        "No",
        "Yes"
    ),
    "No"
)</f>
        <v>Yes</v>
      </c>
      <c r="X509" s="3"/>
      <c r="Y509" s="4">
        <v>0</v>
      </c>
      <c r="Z509" s="4">
        <v>0</v>
      </c>
      <c r="AA509" s="4">
        <v>0</v>
      </c>
      <c r="AB509" s="4">
        <v>0</v>
      </c>
      <c r="AC509" s="4">
        <v>128</v>
      </c>
      <c r="AD509" s="4">
        <v>128</v>
      </c>
      <c r="AE509" s="4">
        <v>128</v>
      </c>
      <c r="AF509" s="4">
        <v>128</v>
      </c>
      <c r="AG509" s="4">
        <v>128</v>
      </c>
      <c r="AH509" s="4">
        <v>128</v>
      </c>
      <c r="AI509" s="4">
        <v>128</v>
      </c>
      <c r="AJ509" s="4">
        <v>128</v>
      </c>
      <c r="AK509" s="4">
        <v>128</v>
      </c>
      <c r="AL509" s="4">
        <v>128</v>
      </c>
      <c r="AM509" s="4">
        <v>138</v>
      </c>
      <c r="AN509" s="4">
        <v>138</v>
      </c>
      <c r="AO509" s="4">
        <v>138</v>
      </c>
      <c r="AP509" s="4">
        <v>138</v>
      </c>
      <c r="AQ509" s="4">
        <v>138</v>
      </c>
      <c r="AR509" s="4">
        <v>138</v>
      </c>
      <c r="AS509" s="4">
        <v>138</v>
      </c>
      <c r="AT509" s="4">
        <v>138</v>
      </c>
      <c r="AU509" s="4">
        <v>138</v>
      </c>
      <c r="AV509" s="4">
        <v>138</v>
      </c>
      <c r="AW509" s="4">
        <v>138</v>
      </c>
      <c r="AX509" s="4">
        <v>138</v>
      </c>
      <c r="AY509" s="4">
        <v>138</v>
      </c>
      <c r="AZ509" s="4">
        <v>138</v>
      </c>
      <c r="BA509" s="4">
        <v>138</v>
      </c>
      <c r="BB509" s="4">
        <v>138</v>
      </c>
      <c r="BC509" s="4">
        <v>138</v>
      </c>
      <c r="BD509" s="4">
        <v>138</v>
      </c>
      <c r="BE509" s="4">
        <v>138</v>
      </c>
      <c r="BF509" s="4">
        <v>138</v>
      </c>
      <c r="BG509" s="4">
        <v>138</v>
      </c>
      <c r="BH509" s="4">
        <v>138</v>
      </c>
      <c r="BJ509" s="9"/>
    </row>
    <row r="510" spans="1:62" x14ac:dyDescent="0.25">
      <c r="A510" s="6" t="s">
        <v>355</v>
      </c>
      <c r="B510" s="6"/>
      <c r="C510" s="7" t="s">
        <v>526</v>
      </c>
      <c r="D510" s="3"/>
      <c r="E510" s="3">
        <f>VLOOKUP(A510,[2]Sheet1!$A$2:$E$627,5,0)</f>
        <v>1150</v>
      </c>
      <c r="F510" s="3">
        <f>VLOOKUP(A510,[2]Sheet1!$A$2:$F$627,6,0)</f>
        <v>1169.992933</v>
      </c>
      <c r="G510" s="3">
        <f>VLOOKUP(A510,[2]Sheet1!$A$2:$G$627,7,0)</f>
        <v>1169.9929330000002</v>
      </c>
      <c r="H510" s="4">
        <f t="shared" si="42"/>
        <v>0</v>
      </c>
      <c r="I510" s="11">
        <f t="shared" si="43"/>
        <v>1.7385159130434778E-2</v>
      </c>
      <c r="J510" s="11">
        <f t="shared" si="44"/>
        <v>1.7385159130434976E-2</v>
      </c>
      <c r="K510" s="11">
        <f t="shared" si="45"/>
        <v>1.9433764857042267E-16</v>
      </c>
      <c r="L510" s="11">
        <f>IF(S510="",((BG510-E510)/E510),((U510-E510)/E510))</f>
        <v>1.7385159130434976E-2</v>
      </c>
      <c r="M510" s="3" t="str">
        <f>IF(S510="Churn","Churn",VLOOKUP(A510,'[1]Revenue_Engine_2025 Dec.25'!$C$14:$E$3993,3,0))</f>
        <v>Churn</v>
      </c>
      <c r="N510" s="3" t="str">
        <f>IF(S510="",VLOOKUP(A510,[3]Export!$B$2:$F$417,5,0),"CHURN")</f>
        <v>CHURN</v>
      </c>
      <c r="O510" s="3" t="e">
        <f>(1-N510)*H510</f>
        <v>#VALUE!</v>
      </c>
      <c r="P510" s="3" t="e">
        <f t="shared" si="47"/>
        <v>#VALUE!</v>
      </c>
      <c r="Q510" s="3" t="e">
        <f t="shared" si="46"/>
        <v>#VALUE!</v>
      </c>
      <c r="R510" s="3" t="str">
        <f>IF(S510&lt;&gt;"Churn",VLOOKUP(A510,[3]Export!$B$2:$O$417,8,0),"CHURN")</f>
        <v>CHURN</v>
      </c>
      <c r="S510" s="3" t="s">
        <v>372</v>
      </c>
      <c r="T510" s="3" t="s">
        <v>555</v>
      </c>
      <c r="U510" s="3">
        <v>1169.9929330000002</v>
      </c>
      <c r="V510" s="4" t="str" cm="1">
        <f t="array" ref="V510">IFERROR(
    IF(
        MATCH(2,1/((Y510:BH510&lt;&gt;0)*(Y510:BH510&lt;&gt;"")))-MATCH(1,INDEX((Y510:BH510&lt;&gt;0)*(Y510:BH510&lt;&gt;""),0),0)+1 &lt;= 12,
        "No",
        "Yes"
    ),
    "No"
)</f>
        <v>Yes</v>
      </c>
      <c r="W510" s="4" t="str" cm="1">
        <f t="array" ref="W510">IFERROR(
    IF(
        MATCH(2,1/((Y510:BH510&lt;&gt;0)*(Y510:BH510&lt;&gt;"")))-MATCH(1,INDEX((Y510:BH510&lt;&gt;0)*(Y510:BH510&lt;&gt;""),0),0)+1 &lt;= 24,
        "No",
        "Yes"
    ),
    "No"
)</f>
        <v>Yes</v>
      </c>
      <c r="X510" s="3"/>
      <c r="Y510" s="4">
        <v>0</v>
      </c>
      <c r="Z510" s="4">
        <v>0</v>
      </c>
      <c r="AA510" s="4">
        <v>0</v>
      </c>
      <c r="AB510" s="4">
        <v>1150</v>
      </c>
      <c r="AC510" s="4">
        <v>1150</v>
      </c>
      <c r="AD510" s="4">
        <v>1149.992933</v>
      </c>
      <c r="AE510" s="4">
        <v>1149.992933</v>
      </c>
      <c r="AF510" s="4">
        <v>1149.992933</v>
      </c>
      <c r="AG510" s="4">
        <v>1169.992933</v>
      </c>
      <c r="AH510" s="4">
        <v>1169.992933</v>
      </c>
      <c r="AI510" s="4">
        <v>1169.992933</v>
      </c>
      <c r="AJ510" s="4">
        <v>1169.992933</v>
      </c>
      <c r="AK510" s="4">
        <v>1169.992933</v>
      </c>
      <c r="AL510" s="4">
        <v>1169.992933</v>
      </c>
      <c r="AM510" s="4">
        <v>1169.992933</v>
      </c>
      <c r="AN510" s="4">
        <v>1169.992933</v>
      </c>
      <c r="AO510" s="4">
        <v>1169.992933</v>
      </c>
      <c r="AP510" s="4">
        <v>1169.992933</v>
      </c>
      <c r="AQ510" s="4">
        <v>1169.992933</v>
      </c>
      <c r="AR510" s="4">
        <v>1169.992933</v>
      </c>
      <c r="AS510" s="4">
        <v>1169.992933</v>
      </c>
      <c r="AT510" s="4">
        <v>1169.992933</v>
      </c>
      <c r="AU510" s="4">
        <v>1169.992933</v>
      </c>
      <c r="AV510" s="4">
        <v>1169.992933</v>
      </c>
      <c r="AW510" s="4">
        <v>1169.992933</v>
      </c>
      <c r="AX510" s="4">
        <v>1169.992933</v>
      </c>
      <c r="AY510" s="4">
        <v>1169.992933</v>
      </c>
      <c r="AZ510" s="4">
        <v>1169.9929330000002</v>
      </c>
      <c r="BA510" s="4">
        <v>1169.992933</v>
      </c>
      <c r="BB510" s="4">
        <v>0</v>
      </c>
      <c r="BC510" s="4">
        <v>0</v>
      </c>
      <c r="BD510" s="4">
        <v>0</v>
      </c>
      <c r="BE510" s="4">
        <v>0</v>
      </c>
      <c r="BF510" s="4">
        <v>0</v>
      </c>
      <c r="BG510" s="4">
        <v>0</v>
      </c>
      <c r="BH510" s="4">
        <v>0</v>
      </c>
      <c r="BJ510" s="9"/>
    </row>
    <row r="511" spans="1:62" x14ac:dyDescent="0.25">
      <c r="A511" s="6" t="s">
        <v>356</v>
      </c>
      <c r="B511" s="6"/>
      <c r="C511" s="7" t="s">
        <v>526</v>
      </c>
      <c r="D511" s="3"/>
      <c r="E511" s="3">
        <f>VLOOKUP(A511,[2]Sheet1!$A$2:$E$627,5,0)</f>
        <v>35</v>
      </c>
      <c r="F511" s="3">
        <f>VLOOKUP(A511,[2]Sheet1!$A$2:$F$627,6,0)</f>
        <v>35</v>
      </c>
      <c r="G511" s="3">
        <f>VLOOKUP(A511,[2]Sheet1!$A$2:$G$627,7,0)</f>
        <v>8</v>
      </c>
      <c r="H511" s="4">
        <f t="shared" si="42"/>
        <v>8</v>
      </c>
      <c r="I511" s="11">
        <f t="shared" si="43"/>
        <v>0</v>
      </c>
      <c r="J511" s="11">
        <f t="shared" si="44"/>
        <v>-0.77142857142857146</v>
      </c>
      <c r="K511" s="11">
        <f t="shared" si="45"/>
        <v>-0.77142857142857146</v>
      </c>
      <c r="L511" s="11">
        <f>IF(S511="",((BG511-E511)/E511),((U511-E511)/E511))</f>
        <v>-0.77142857142857146</v>
      </c>
      <c r="M511" s="3" t="str">
        <f>IF(S511="Churn","Churn",VLOOKUP(A511,'[1]Revenue_Engine_2025 Dec.25'!$C$14:$E$3993,3,0))</f>
        <v>Diğer</v>
      </c>
      <c r="N511" s="3">
        <f>IF(S511="",VLOOKUP(A511,[3]Export!$B$2:$F$417,5,0),"CHURN")</f>
        <v>1</v>
      </c>
      <c r="O511" s="3">
        <f>(1-N511)*H511</f>
        <v>0</v>
      </c>
      <c r="P511" s="3">
        <f t="shared" si="47"/>
        <v>0</v>
      </c>
      <c r="Q511" s="3">
        <f t="shared" si="46"/>
        <v>0</v>
      </c>
      <c r="R511" s="3" t="str">
        <f>IF(S511&lt;&gt;"Churn",VLOOKUP(A511,[3]Export!$B$2:$O$417,8,0),"CHURN")</f>
        <v>NO RISK</v>
      </c>
      <c r="S511" s="3"/>
      <c r="T511" s="3"/>
      <c r="U511" s="3" t="s">
        <v>551</v>
      </c>
      <c r="V511" s="4" t="str" cm="1">
        <f t="array" ref="V511">IFERROR(
    IF(
        MATCH(2,1/((Y511:BH511&lt;&gt;0)*(Y511:BH511&lt;&gt;"")))-MATCH(1,INDEX((Y511:BH511&lt;&gt;0)*(Y511:BH511&lt;&gt;""),0),0)+1 &lt;= 12,
        "No",
        "Yes"
    ),
    "No"
)</f>
        <v>Yes</v>
      </c>
      <c r="W511" s="4" t="str" cm="1">
        <f t="array" ref="W511">IFERROR(
    IF(
        MATCH(2,1/((Y511:BH511&lt;&gt;0)*(Y511:BH511&lt;&gt;"")))-MATCH(1,INDEX((Y511:BH511&lt;&gt;0)*(Y511:BH511&lt;&gt;""),0),0)+1 &lt;= 24,
        "No",
        "Yes"
    ),
    "No"
)</f>
        <v>Yes</v>
      </c>
      <c r="X511" s="3"/>
      <c r="Y511" s="4">
        <v>0</v>
      </c>
      <c r="Z511" s="4">
        <v>0</v>
      </c>
      <c r="AA511" s="4">
        <v>0</v>
      </c>
      <c r="AB511" s="4">
        <v>0</v>
      </c>
      <c r="AC511" s="4">
        <v>0</v>
      </c>
      <c r="AD511" s="4">
        <v>0</v>
      </c>
      <c r="AE511" s="4">
        <v>0</v>
      </c>
      <c r="AF511" s="4">
        <v>35</v>
      </c>
      <c r="AG511" s="4">
        <v>35</v>
      </c>
      <c r="AH511" s="4">
        <v>35</v>
      </c>
      <c r="AI511" s="4">
        <v>35</v>
      </c>
      <c r="AJ511" s="4">
        <v>35</v>
      </c>
      <c r="AK511" s="4">
        <v>35</v>
      </c>
      <c r="AL511" s="4">
        <v>35</v>
      </c>
      <c r="AM511" s="4">
        <v>35</v>
      </c>
      <c r="AN511" s="4">
        <v>35</v>
      </c>
      <c r="AO511" s="4">
        <v>35</v>
      </c>
      <c r="AP511" s="4">
        <v>35</v>
      </c>
      <c r="AQ511" s="4">
        <v>35</v>
      </c>
      <c r="AR511" s="4">
        <v>35</v>
      </c>
      <c r="AS511" s="4">
        <v>35</v>
      </c>
      <c r="AT511" s="4">
        <v>8</v>
      </c>
      <c r="AU511" s="4">
        <v>8</v>
      </c>
      <c r="AV511" s="4">
        <v>8</v>
      </c>
      <c r="AW511" s="4">
        <v>8</v>
      </c>
      <c r="AX511" s="4">
        <v>8</v>
      </c>
      <c r="AY511" s="4">
        <v>8</v>
      </c>
      <c r="AZ511" s="4">
        <v>8</v>
      </c>
      <c r="BA511" s="4">
        <v>8</v>
      </c>
      <c r="BB511" s="4">
        <v>8</v>
      </c>
      <c r="BC511" s="4">
        <v>8</v>
      </c>
      <c r="BD511" s="4">
        <v>8</v>
      </c>
      <c r="BE511" s="4">
        <v>8</v>
      </c>
      <c r="BF511" s="4">
        <v>8</v>
      </c>
      <c r="BG511" s="4">
        <v>8</v>
      </c>
      <c r="BH511" s="4">
        <v>8</v>
      </c>
      <c r="BJ511" s="9"/>
    </row>
    <row r="512" spans="1:62" x14ac:dyDescent="0.25">
      <c r="A512" s="6" t="s">
        <v>357</v>
      </c>
      <c r="B512" s="6"/>
      <c r="C512" s="7" t="s">
        <v>526</v>
      </c>
      <c r="D512" s="3"/>
      <c r="E512" s="3">
        <f>VLOOKUP(A512,[2]Sheet1!$A$2:$E$627,5,0)</f>
        <v>239.99962400000001</v>
      </c>
      <c r="F512" s="3">
        <f>VLOOKUP(A512,[2]Sheet1!$A$2:$F$627,6,0)</f>
        <v>263.99958700000002</v>
      </c>
      <c r="G512" s="3">
        <f>VLOOKUP(A512,[2]Sheet1!$A$2:$G$627,7,0)</f>
        <v>0</v>
      </c>
      <c r="H512" s="4">
        <f t="shared" si="42"/>
        <v>263.99958700000002</v>
      </c>
      <c r="I512" s="11">
        <f t="shared" si="43"/>
        <v>0.10000000250000395</v>
      </c>
      <c r="J512" s="11">
        <f t="shared" si="44"/>
        <v>-1</v>
      </c>
      <c r="K512" s="11">
        <f t="shared" si="45"/>
        <v>-1</v>
      </c>
      <c r="L512" s="11">
        <f>IF(S512="",((BG512-E512)/E512),((U512-E512)/E512))</f>
        <v>0.10000000250000395</v>
      </c>
      <c r="M512" s="3" t="str">
        <f>IF(S512="Churn","Churn",VLOOKUP(A512,'[1]Revenue_Engine_2025 Dec.25'!$C$14:$E$3993,3,0))</f>
        <v>Lojistik</v>
      </c>
      <c r="N512" s="3">
        <f>IF(S512="",VLOOKUP(A512,[3]Export!$B$2:$F$417,5,0),"CHURN")</f>
        <v>0.14583356147447304</v>
      </c>
      <c r="O512" s="3">
        <f>(1-N512)*H512</f>
        <v>225.49958700000002</v>
      </c>
      <c r="P512" s="3">
        <f t="shared" si="47"/>
        <v>225.49958700000002</v>
      </c>
      <c r="Q512" s="3">
        <f t="shared" si="46"/>
        <v>0</v>
      </c>
      <c r="R512" s="3" t="str">
        <f>IF(S512&lt;&gt;"Churn",VLOOKUP(A512,[3]Export!$B$2:$O$417,8,0),"CHURN")</f>
        <v>NO RISK</v>
      </c>
      <c r="S512" s="3"/>
      <c r="T512" s="3"/>
      <c r="U512" s="3" t="s">
        <v>551</v>
      </c>
      <c r="V512" s="4" t="str" cm="1">
        <f t="array" ref="V512">IFERROR(
    IF(
        MATCH(2,1/((Y512:BH512&lt;&gt;0)*(Y512:BH512&lt;&gt;"")))-MATCH(1,INDEX((Y512:BH512&lt;&gt;0)*(Y512:BH512&lt;&gt;""),0),0)+1 &lt;= 12,
        "No",
        "Yes"
    ),
    "No"
)</f>
        <v>Yes</v>
      </c>
      <c r="W512" s="4" t="str" cm="1">
        <f t="array" ref="W512">IFERROR(
    IF(
        MATCH(2,1/((Y512:BH512&lt;&gt;0)*(Y512:BH512&lt;&gt;"")))-MATCH(1,INDEX((Y512:BH512&lt;&gt;0)*(Y512:BH512&lt;&gt;""),0),0)+1 &lt;= 24,
        "No",
        "Yes"
    ),
    "No"
)</f>
        <v>Yes</v>
      </c>
      <c r="X512" s="3"/>
      <c r="Y512" s="4">
        <v>0</v>
      </c>
      <c r="Z512" s="4">
        <v>0</v>
      </c>
      <c r="AA512" s="4">
        <v>0</v>
      </c>
      <c r="AB512" s="4">
        <v>0</v>
      </c>
      <c r="AC512" s="4">
        <v>0</v>
      </c>
      <c r="AD512" s="4">
        <v>0</v>
      </c>
      <c r="AE512" s="4">
        <v>0</v>
      </c>
      <c r="AF512" s="4">
        <v>0</v>
      </c>
      <c r="AG512" s="4">
        <v>0</v>
      </c>
      <c r="AH512" s="4">
        <v>0</v>
      </c>
      <c r="AI512" s="4">
        <v>0</v>
      </c>
      <c r="AJ512" s="4">
        <v>239.99962400000001</v>
      </c>
      <c r="AK512" s="4">
        <v>239.99962400000001</v>
      </c>
      <c r="AL512" s="4">
        <v>239.99962400000001</v>
      </c>
      <c r="AM512" s="4">
        <v>-719.99887200000001</v>
      </c>
      <c r="AN512" s="4">
        <v>0</v>
      </c>
      <c r="AO512" s="4">
        <v>240</v>
      </c>
      <c r="AP512" s="4">
        <v>239.99962400000001</v>
      </c>
      <c r="AQ512" s="4">
        <v>239.99962400000001</v>
      </c>
      <c r="AR512" s="4">
        <v>239.99962400000001</v>
      </c>
      <c r="AS512" s="4">
        <v>239.99962400000001</v>
      </c>
      <c r="AT512" s="4">
        <v>239.99962400000001</v>
      </c>
      <c r="AU512" s="4">
        <v>239.99962400000001</v>
      </c>
      <c r="AV512" s="4">
        <v>239.99962400000001</v>
      </c>
      <c r="AW512" s="4">
        <v>263.99958700000002</v>
      </c>
      <c r="AX512" s="4">
        <v>263.99958700000002</v>
      </c>
      <c r="AY512" s="4">
        <v>263.99958700000002</v>
      </c>
      <c r="AZ512" s="4">
        <v>263.99958700000002</v>
      </c>
      <c r="BA512" s="4">
        <v>263.99958700000002</v>
      </c>
      <c r="BB512" s="4">
        <v>263.99958700000002</v>
      </c>
      <c r="BC512" s="4">
        <v>263.99958700000002</v>
      </c>
      <c r="BD512" s="4">
        <v>263.99958700000002</v>
      </c>
      <c r="BE512" s="4">
        <v>263.99958700000002</v>
      </c>
      <c r="BF512" s="4">
        <v>263.99958700000002</v>
      </c>
      <c r="BG512" s="4">
        <v>263.99958700000002</v>
      </c>
      <c r="BH512" s="4">
        <v>263.99958700000002</v>
      </c>
      <c r="BJ512" s="9"/>
    </row>
    <row r="513" spans="1:62" x14ac:dyDescent="0.25">
      <c r="A513" s="6" t="s">
        <v>358</v>
      </c>
      <c r="B513" s="6"/>
      <c r="C513" s="7" t="s">
        <v>526</v>
      </c>
      <c r="D513" s="3"/>
      <c r="E513" s="3">
        <f>VLOOKUP(A513,[2]Sheet1!$A$2:$E$627,5,0)</f>
        <v>103.19916674999999</v>
      </c>
      <c r="F513" s="3">
        <f>VLOOKUP(A513,[2]Sheet1!$A$2:$F$627,6,0)</f>
        <v>86</v>
      </c>
      <c r="G513" s="3">
        <f>VLOOKUP(A513,[2]Sheet1!$A$2:$G$627,7,0)</f>
        <v>0</v>
      </c>
      <c r="H513" s="4">
        <f t="shared" si="42"/>
        <v>86.001364833333341</v>
      </c>
      <c r="I513" s="11">
        <f t="shared" si="43"/>
        <v>-0.16665993817241737</v>
      </c>
      <c r="J513" s="11">
        <f t="shared" si="44"/>
        <v>-1</v>
      </c>
      <c r="K513" s="11">
        <f t="shared" si="45"/>
        <v>-1</v>
      </c>
      <c r="L513" s="11">
        <f>IF(S513="",((BG513-E513)/E513),((U513-E513)/E513))</f>
        <v>-0.1666467129364361</v>
      </c>
      <c r="M513" s="3" t="str">
        <f>IF(S513="Churn","Churn",VLOOKUP(A513,'[1]Revenue_Engine_2025 Dec.25'!$C$14:$E$3993,3,0))</f>
        <v>Diğer</v>
      </c>
      <c r="N513" s="3">
        <f>IF(S513="",VLOOKUP(A513,[3]Export!$B$2:$F$417,5,0),"CHURN")</f>
        <v>0.3033960484297662</v>
      </c>
      <c r="O513" s="3">
        <f>(1-N513)*H513</f>
        <v>59.908890583333346</v>
      </c>
      <c r="P513" s="3">
        <f t="shared" si="47"/>
        <v>59.907939835040111</v>
      </c>
      <c r="Q513" s="3">
        <f t="shared" si="46"/>
        <v>0</v>
      </c>
      <c r="R513" s="3" t="str">
        <f>IF(S513&lt;&gt;"Churn",VLOOKUP(A513,[3]Export!$B$2:$O$417,8,0),"CHURN")</f>
        <v>BOOKED CHURN</v>
      </c>
      <c r="S513" s="3"/>
      <c r="T513" s="3"/>
      <c r="U513" s="3" t="s">
        <v>551</v>
      </c>
      <c r="V513" s="4" t="str" cm="1">
        <f t="array" ref="V513">IFERROR(
    IF(
        MATCH(2,1/((Y513:BH513&lt;&gt;0)*(Y513:BH513&lt;&gt;"")))-MATCH(1,INDEX((Y513:BH513&lt;&gt;0)*(Y513:BH513&lt;&gt;""),0),0)+1 &lt;= 12,
        "No",
        "Yes"
    ),
    "No"
)</f>
        <v>Yes</v>
      </c>
      <c r="W513" s="4" t="str" cm="1">
        <f t="array" ref="W513">IFERROR(
    IF(
        MATCH(2,1/((Y513:BH513&lt;&gt;0)*(Y513:BH513&lt;&gt;"")))-MATCH(1,INDEX((Y513:BH513&lt;&gt;0)*(Y513:BH513&lt;&gt;""),0),0)+1 &lt;= 24,
        "No",
        "Yes"
    ),
    "No"
)</f>
        <v>No</v>
      </c>
      <c r="X513" s="3"/>
      <c r="Y513" s="4">
        <v>0</v>
      </c>
      <c r="Z513" s="4">
        <v>0</v>
      </c>
      <c r="AA513" s="4">
        <v>0</v>
      </c>
      <c r="AB513" s="4">
        <v>0</v>
      </c>
      <c r="AC513" s="4">
        <v>0</v>
      </c>
      <c r="AD513" s="4">
        <v>0</v>
      </c>
      <c r="AE513" s="4">
        <v>0</v>
      </c>
      <c r="AF513" s="4">
        <v>0</v>
      </c>
      <c r="AG513" s="4">
        <v>0</v>
      </c>
      <c r="AH513" s="4">
        <v>0</v>
      </c>
      <c r="AI513" s="4">
        <v>0</v>
      </c>
      <c r="AJ513" s="4">
        <v>0</v>
      </c>
      <c r="AK513" s="4">
        <v>103.19916674999999</v>
      </c>
      <c r="AL513" s="4">
        <v>103.19916674999999</v>
      </c>
      <c r="AM513" s="4">
        <v>103.19916674999999</v>
      </c>
      <c r="AN513" s="4">
        <v>103.19916674999999</v>
      </c>
      <c r="AO513" s="4">
        <v>103.19916674999999</v>
      </c>
      <c r="AP513" s="4">
        <v>103.19916674999999</v>
      </c>
      <c r="AQ513" s="4">
        <v>103.19916674999999</v>
      </c>
      <c r="AR513" s="4">
        <v>103.19916674999999</v>
      </c>
      <c r="AS513" s="4">
        <v>103.19916674999999</v>
      </c>
      <c r="AT513" s="4">
        <v>103.19916674999999</v>
      </c>
      <c r="AU513" s="4">
        <v>103.19916674999999</v>
      </c>
      <c r="AV513" s="4">
        <v>103.19916674999999</v>
      </c>
      <c r="AW513" s="4">
        <v>86</v>
      </c>
      <c r="AX513" s="4">
        <v>86.001364833333341</v>
      </c>
      <c r="AY513" s="4">
        <v>86.001364833333341</v>
      </c>
      <c r="AZ513" s="4">
        <v>86.001364833333341</v>
      </c>
      <c r="BA513" s="4">
        <v>86.001364833333341</v>
      </c>
      <c r="BB513" s="4">
        <v>86.001364833333341</v>
      </c>
      <c r="BC513" s="4">
        <v>86.001364833333341</v>
      </c>
      <c r="BD513" s="4">
        <v>86.001364833333341</v>
      </c>
      <c r="BE513" s="4">
        <v>86.001364833333341</v>
      </c>
      <c r="BF513" s="4">
        <v>86.001364833333341</v>
      </c>
      <c r="BG513" s="4">
        <v>86.001364833333341</v>
      </c>
      <c r="BH513" s="4">
        <v>86.001364833333341</v>
      </c>
      <c r="BJ513" s="9"/>
    </row>
    <row r="514" spans="1:62" x14ac:dyDescent="0.25">
      <c r="A514" s="6" t="s">
        <v>359</v>
      </c>
      <c r="B514" s="6"/>
      <c r="C514" s="7" t="s">
        <v>526</v>
      </c>
      <c r="D514" s="3"/>
      <c r="E514" s="3">
        <f>VLOOKUP(A514,[2]Sheet1!$A$2:$E$627,5,0)</f>
        <v>119.20000008333335</v>
      </c>
      <c r="F514" s="3">
        <f>VLOOKUP(A514,[2]Sheet1!$A$2:$F$627,6,0)</f>
        <v>99.328718583333341</v>
      </c>
      <c r="G514" s="3">
        <f>VLOOKUP(A514,[2]Sheet1!$A$2:$G$627,7,0)</f>
        <v>0</v>
      </c>
      <c r="H514" s="4">
        <f t="shared" si="42"/>
        <v>99.328718583333341</v>
      </c>
      <c r="I514" s="11">
        <f t="shared" si="43"/>
        <v>-0.16670538159486487</v>
      </c>
      <c r="J514" s="11">
        <f t="shared" si="44"/>
        <v>-1</v>
      </c>
      <c r="K514" s="11">
        <f t="shared" si="45"/>
        <v>-1</v>
      </c>
      <c r="L514" s="11">
        <f>IF(S514="",((BG514-E514)/E514),((U514-E514)/E514))</f>
        <v>-0.16670538159486487</v>
      </c>
      <c r="M514" s="3" t="str">
        <f>IF(S514="Churn","Churn",VLOOKUP(A514,'[1]Revenue_Engine_2025 Dec.25'!$C$14:$E$3993,3,0))</f>
        <v>Diğer</v>
      </c>
      <c r="N514" s="3">
        <f>IF(S514="",VLOOKUP(A514,[3]Export!$B$2:$F$417,5,0),"CHURN")</f>
        <v>0.31952615553684149</v>
      </c>
      <c r="O514" s="3">
        <f>(1-N514)*H514</f>
        <v>67.590595000000008</v>
      </c>
      <c r="P514" s="3">
        <f t="shared" si="47"/>
        <v>67.590595000000008</v>
      </c>
      <c r="Q514" s="3">
        <f t="shared" si="46"/>
        <v>0</v>
      </c>
      <c r="R514" s="3" t="str">
        <f>IF(S514&lt;&gt;"Churn",VLOOKUP(A514,[3]Export!$B$2:$O$417,8,0),"CHURN")</f>
        <v>NO RISK</v>
      </c>
      <c r="S514" s="3"/>
      <c r="T514" s="3"/>
      <c r="U514" s="3" t="s">
        <v>551</v>
      </c>
      <c r="V514" s="4" t="str" cm="1">
        <f t="array" ref="V514">IFERROR(
    IF(
        MATCH(2,1/((Y514:BH514&lt;&gt;0)*(Y514:BH514&lt;&gt;"")))-MATCH(1,INDEX((Y514:BH514&lt;&gt;0)*(Y514:BH514&lt;&gt;""),0),0)+1 &lt;= 12,
        "No",
        "Yes"
    ),
    "No"
)</f>
        <v>Yes</v>
      </c>
      <c r="W514" s="4" t="str" cm="1">
        <f t="array" ref="W514">IFERROR(
    IF(
        MATCH(2,1/((Y514:BH514&lt;&gt;0)*(Y514:BH514&lt;&gt;"")))-MATCH(1,INDEX((Y514:BH514&lt;&gt;0)*(Y514:BH514&lt;&gt;""),0),0)+1 &lt;= 24,
        "No",
        "Yes"
    ),
    "No"
)</f>
        <v>No</v>
      </c>
      <c r="X514" s="3"/>
      <c r="Y514" s="4">
        <v>0</v>
      </c>
      <c r="Z514" s="4">
        <v>0</v>
      </c>
      <c r="AA514" s="4">
        <v>0</v>
      </c>
      <c r="AB514" s="4">
        <v>0</v>
      </c>
      <c r="AC514" s="4">
        <v>0</v>
      </c>
      <c r="AD514" s="4">
        <v>0</v>
      </c>
      <c r="AE514" s="4">
        <v>0</v>
      </c>
      <c r="AF514" s="4">
        <v>0</v>
      </c>
      <c r="AG514" s="4">
        <v>0</v>
      </c>
      <c r="AH514" s="4">
        <v>0</v>
      </c>
      <c r="AI514" s="4">
        <v>0</v>
      </c>
      <c r="AJ514" s="4">
        <v>0</v>
      </c>
      <c r="AK514" s="4">
        <v>119.20000008333335</v>
      </c>
      <c r="AL514" s="4">
        <v>119.20000008333335</v>
      </c>
      <c r="AM514" s="4">
        <v>119.20000008333335</v>
      </c>
      <c r="AN514" s="4">
        <v>119.20000008333335</v>
      </c>
      <c r="AO514" s="4">
        <v>119.20000008333335</v>
      </c>
      <c r="AP514" s="4">
        <v>119.20000008333335</v>
      </c>
      <c r="AQ514" s="4">
        <v>119.20000008333335</v>
      </c>
      <c r="AR514" s="4">
        <v>119.20000008333335</v>
      </c>
      <c r="AS514" s="4">
        <v>119.20000008333335</v>
      </c>
      <c r="AT514" s="4">
        <v>119.20000008333335</v>
      </c>
      <c r="AU514" s="4">
        <v>119.20000008333335</v>
      </c>
      <c r="AV514" s="4">
        <v>119.20000008333335</v>
      </c>
      <c r="AW514" s="4">
        <v>99.328718583333341</v>
      </c>
      <c r="AX514" s="4">
        <v>99.328718583333341</v>
      </c>
      <c r="AY514" s="4">
        <v>99.328718583333341</v>
      </c>
      <c r="AZ514" s="4">
        <v>99.328718583333341</v>
      </c>
      <c r="BA514" s="4">
        <v>99.328718583333341</v>
      </c>
      <c r="BB514" s="4">
        <v>99.328718583333341</v>
      </c>
      <c r="BC514" s="4">
        <v>99.328718583333341</v>
      </c>
      <c r="BD514" s="4">
        <v>99.328718583333341</v>
      </c>
      <c r="BE514" s="4">
        <v>99.328718583333341</v>
      </c>
      <c r="BF514" s="4">
        <v>99.328718583333341</v>
      </c>
      <c r="BG514" s="4">
        <v>99.328718583333341</v>
      </c>
      <c r="BH514" s="4">
        <v>99.328718583333341</v>
      </c>
      <c r="BJ514" s="9"/>
    </row>
    <row r="515" spans="1:62" x14ac:dyDescent="0.25">
      <c r="A515" s="6" t="s">
        <v>470</v>
      </c>
      <c r="B515" s="6"/>
      <c r="C515" s="7" t="s">
        <v>526</v>
      </c>
      <c r="D515" s="3"/>
      <c r="E515" s="3">
        <f>VLOOKUP(A515,[2]Sheet1!$A$2:$E$627,5,0)</f>
        <v>115.20000008333334</v>
      </c>
      <c r="F515" s="3">
        <f>VLOOKUP(A515,[2]Sheet1!$A$2:$F$627,6,0)</f>
        <v>0</v>
      </c>
      <c r="G515" s="3">
        <f>VLOOKUP(A515,[2]Sheet1!$A$2:$G$627,7,0)</f>
        <v>0</v>
      </c>
      <c r="H515" s="4">
        <f t="shared" ref="H515:H530" si="48">MAX(BF515:BH515)</f>
        <v>103.183211</v>
      </c>
      <c r="I515" s="11">
        <f t="shared" ref="I515:I530" si="49">(F515-E515)/E515</f>
        <v>-1</v>
      </c>
      <c r="J515" s="11">
        <f t="shared" ref="J515:J530" si="50">(G515-E515)/E515</f>
        <v>-1</v>
      </c>
      <c r="K515" s="11" t="e">
        <f t="shared" ref="K515:K530" si="51">(G515-F515)/F515</f>
        <v>#DIV/0!</v>
      </c>
      <c r="L515" s="11">
        <f>IF(S515="",((BG515-E515)/E515),((U515-E515)/E515))</f>
        <v>-0.10431240516181108</v>
      </c>
      <c r="M515" s="3" t="str">
        <f>IF(S515="Churn","Churn",VLOOKUP(A515,'[1]Revenue_Engine_2025 Dec.25'!$C$14:$E$3993,3,0))</f>
        <v>Diğer</v>
      </c>
      <c r="N515" s="3">
        <f>IF(S515="",VLOOKUP(A515,[3]Export!$B$2:$F$417,5,0),"CHURN")</f>
        <v>0.27089166666852421</v>
      </c>
      <c r="O515" s="3">
        <f>(1-N515)*H515</f>
        <v>75.231739000000005</v>
      </c>
      <c r="P515" s="3">
        <f t="shared" si="47"/>
        <v>0</v>
      </c>
      <c r="Q515" s="3">
        <f t="shared" ref="Q515:Q530" si="52">(1-N515)*G515</f>
        <v>0</v>
      </c>
      <c r="R515" s="3" t="str">
        <f>IF(S515&lt;&gt;"Churn",VLOOKUP(A515,[3]Export!$B$2:$O$417,8,0),"CHURN")</f>
        <v>NO RISK</v>
      </c>
      <c r="S515" s="3"/>
      <c r="T515" s="3"/>
      <c r="U515" s="3" t="s">
        <v>551</v>
      </c>
      <c r="V515" s="4" t="str" cm="1">
        <f t="array" ref="V515">IFERROR(
    IF(
        MATCH(2,1/((Y515:BH515&lt;&gt;0)*(Y515:BH515&lt;&gt;"")))-MATCH(1,INDEX((Y515:BH515&lt;&gt;0)*(Y515:BH515&lt;&gt;""),0),0)+1 &lt;= 12,
        "No",
        "Yes"
    ),
    "No"
)</f>
        <v>Yes</v>
      </c>
      <c r="W515" s="4" t="str" cm="1">
        <f t="array" ref="W515">IFERROR(
    IF(
        MATCH(2,1/((Y515:BH515&lt;&gt;0)*(Y515:BH515&lt;&gt;"")))-MATCH(1,INDEX((Y515:BH515&lt;&gt;0)*(Y515:BH515&lt;&gt;""),0),0)+1 &lt;= 24,
        "No",
        "Yes"
    ),
    "No"
)</f>
        <v>No</v>
      </c>
      <c r="X515" s="3"/>
      <c r="Y515" s="4">
        <v>0</v>
      </c>
      <c r="Z515" s="4">
        <v>0</v>
      </c>
      <c r="AA515" s="4">
        <v>0</v>
      </c>
      <c r="AB515" s="4">
        <v>0</v>
      </c>
      <c r="AC515" s="4">
        <v>0</v>
      </c>
      <c r="AD515" s="4">
        <v>0</v>
      </c>
      <c r="AE515" s="4">
        <v>0</v>
      </c>
      <c r="AF515" s="4">
        <v>0</v>
      </c>
      <c r="AG515" s="4">
        <v>0</v>
      </c>
      <c r="AH515" s="4">
        <v>0</v>
      </c>
      <c r="AI515" s="4">
        <v>0</v>
      </c>
      <c r="AJ515" s="4">
        <v>0</v>
      </c>
      <c r="AK515" s="4">
        <v>115.20000008333334</v>
      </c>
      <c r="AL515" s="4">
        <v>115.20000008333334</v>
      </c>
      <c r="AM515" s="4">
        <v>115.20000008333334</v>
      </c>
      <c r="AN515" s="4">
        <v>115.20000008333334</v>
      </c>
      <c r="AO515" s="4">
        <v>115.20000008333334</v>
      </c>
      <c r="AP515" s="4">
        <v>115.20000008333334</v>
      </c>
      <c r="AQ515" s="4">
        <v>115.20000008333334</v>
      </c>
      <c r="AR515" s="4">
        <v>115.20000008333334</v>
      </c>
      <c r="AS515" s="4">
        <v>115.20000008333334</v>
      </c>
      <c r="AT515" s="4">
        <v>115.20000008333334</v>
      </c>
      <c r="AU515" s="4">
        <v>115.20000008333334</v>
      </c>
      <c r="AV515" s="4">
        <v>115.20000008333334</v>
      </c>
      <c r="AW515" s="4">
        <v>103.183211</v>
      </c>
      <c r="AX515" s="4">
        <v>103.183211</v>
      </c>
      <c r="AY515" s="4">
        <v>103.183211</v>
      </c>
      <c r="AZ515" s="4">
        <v>103.18321100000001</v>
      </c>
      <c r="BA515" s="4">
        <v>103.183211</v>
      </c>
      <c r="BB515" s="4">
        <v>103.183211</v>
      </c>
      <c r="BC515" s="4">
        <v>103.183211</v>
      </c>
      <c r="BD515" s="4">
        <v>103.183211</v>
      </c>
      <c r="BE515" s="4">
        <v>103.183211</v>
      </c>
      <c r="BF515" s="4">
        <v>103.183211</v>
      </c>
      <c r="BG515" s="4">
        <v>103.183211</v>
      </c>
      <c r="BH515" s="4">
        <v>103.183211</v>
      </c>
      <c r="BJ515" s="9"/>
    </row>
    <row r="516" spans="1:62" x14ac:dyDescent="0.25">
      <c r="A516" s="6" t="s">
        <v>449</v>
      </c>
      <c r="B516" s="6"/>
      <c r="C516" s="7" t="s">
        <v>526</v>
      </c>
      <c r="D516" s="3"/>
      <c r="E516" s="3">
        <f>VLOOKUP(A516,[2]Sheet1!$A$2:$E$627,5,0)</f>
        <v>119.20000008333335</v>
      </c>
      <c r="F516" s="3">
        <f>VLOOKUP(A516,[2]Sheet1!$A$2:$F$627,6,0)</f>
        <v>0</v>
      </c>
      <c r="G516" s="3">
        <f>VLOOKUP(A516,[2]Sheet1!$A$2:$G$627,7,0)</f>
        <v>0</v>
      </c>
      <c r="H516" s="4">
        <f t="shared" si="48"/>
        <v>129.13782591666669</v>
      </c>
      <c r="I516" s="11">
        <f t="shared" si="49"/>
        <v>-1</v>
      </c>
      <c r="J516" s="11">
        <f t="shared" si="50"/>
        <v>-1</v>
      </c>
      <c r="K516" s="11" t="e">
        <f t="shared" si="51"/>
        <v>#DIV/0!</v>
      </c>
      <c r="L516" s="11">
        <f>IF(S516="",((BG516-E516)/E516),((U516-E516)/E516))</f>
        <v>8.3371022033437492E-2</v>
      </c>
      <c r="M516" s="3" t="str">
        <f>IF(S516="Churn","Churn",VLOOKUP(A516,'[1]Revenue_Engine_2025 Dec.25'!$C$14:$E$3993,3,0))</f>
        <v>Diğer</v>
      </c>
      <c r="N516" s="3">
        <f>IF(S516="",VLOOKUP(A516,[3]Export!$B$2:$F$417,5,0),"CHURN")</f>
        <v>0.31976858993001317</v>
      </c>
      <c r="O516" s="3">
        <f>(1-N516)*H516</f>
        <v>87.843605416666676</v>
      </c>
      <c r="P516" s="3">
        <f t="shared" si="47"/>
        <v>0</v>
      </c>
      <c r="Q516" s="3">
        <f t="shared" si="52"/>
        <v>0</v>
      </c>
      <c r="R516" s="3" t="str">
        <f>IF(S516&lt;&gt;"Churn",VLOOKUP(A516,[3]Export!$B$2:$O$417,8,0),"CHURN")</f>
        <v>NO RISK</v>
      </c>
      <c r="S516" s="3"/>
      <c r="T516" s="3"/>
      <c r="U516" s="3" t="s">
        <v>551</v>
      </c>
      <c r="V516" s="4" t="str" cm="1">
        <f t="array" ref="V516">IFERROR(
    IF(
        MATCH(2,1/((Y516:BH516&lt;&gt;0)*(Y516:BH516&lt;&gt;"")))-MATCH(1,INDEX((Y516:BH516&lt;&gt;0)*(Y516:BH516&lt;&gt;""),0),0)+1 &lt;= 12,
        "No",
        "Yes"
    ),
    "No"
)</f>
        <v>Yes</v>
      </c>
      <c r="W516" s="4" t="str" cm="1">
        <f t="array" ref="W516">IFERROR(
    IF(
        MATCH(2,1/((Y516:BH516&lt;&gt;0)*(Y516:BH516&lt;&gt;"")))-MATCH(1,INDEX((Y516:BH516&lt;&gt;0)*(Y516:BH516&lt;&gt;""),0),0)+1 &lt;= 24,
        "No",
        "Yes"
    ),
    "No"
)</f>
        <v>No</v>
      </c>
      <c r="X516" s="3"/>
      <c r="Y516" s="4">
        <v>0</v>
      </c>
      <c r="Z516" s="4">
        <v>0</v>
      </c>
      <c r="AA516" s="4">
        <v>0</v>
      </c>
      <c r="AB516" s="4">
        <v>0</v>
      </c>
      <c r="AC516" s="4">
        <v>0</v>
      </c>
      <c r="AD516" s="4">
        <v>0</v>
      </c>
      <c r="AE516" s="4">
        <v>0</v>
      </c>
      <c r="AF516" s="4">
        <v>0</v>
      </c>
      <c r="AG516" s="4">
        <v>0</v>
      </c>
      <c r="AH516" s="4">
        <v>0</v>
      </c>
      <c r="AI516" s="4">
        <v>0</v>
      </c>
      <c r="AJ516" s="4">
        <v>0</v>
      </c>
      <c r="AK516" s="4">
        <v>119.20000008333335</v>
      </c>
      <c r="AL516" s="4">
        <v>119.20000008333335</v>
      </c>
      <c r="AM516" s="4">
        <v>119.20000008333335</v>
      </c>
      <c r="AN516" s="4">
        <v>119.20000008333335</v>
      </c>
      <c r="AO516" s="4">
        <v>119.20000008333335</v>
      </c>
      <c r="AP516" s="4">
        <v>119.20000008333335</v>
      </c>
      <c r="AQ516" s="4">
        <v>119.20000008333335</v>
      </c>
      <c r="AR516" s="4">
        <v>119.20000008333335</v>
      </c>
      <c r="AS516" s="4">
        <v>119.20000008333335</v>
      </c>
      <c r="AT516" s="4">
        <v>119.20000008333335</v>
      </c>
      <c r="AU516" s="4">
        <v>119.20000008333335</v>
      </c>
      <c r="AV516" s="4">
        <v>119.20000008333335</v>
      </c>
      <c r="AW516" s="4">
        <v>119.20000008333335</v>
      </c>
      <c r="AX516" s="4">
        <v>129.13782591666669</v>
      </c>
      <c r="AY516" s="4">
        <v>129.13782591666669</v>
      </c>
      <c r="AZ516" s="4">
        <v>129.13782591666669</v>
      </c>
      <c r="BA516" s="4">
        <v>129.13782591666669</v>
      </c>
      <c r="BB516" s="4">
        <v>129.13782591666669</v>
      </c>
      <c r="BC516" s="4">
        <v>129.13782591666669</v>
      </c>
      <c r="BD516" s="4">
        <v>129.13782591666669</v>
      </c>
      <c r="BE516" s="4">
        <v>129.13782591666669</v>
      </c>
      <c r="BF516" s="4">
        <v>129.13782591666669</v>
      </c>
      <c r="BG516" s="4">
        <v>129.13782591666669</v>
      </c>
      <c r="BH516" s="4">
        <v>129.13782591666669</v>
      </c>
      <c r="BJ516" s="9"/>
    </row>
    <row r="517" spans="1:62" x14ac:dyDescent="0.25">
      <c r="A517" s="6" t="s">
        <v>360</v>
      </c>
      <c r="B517" s="6"/>
      <c r="C517" s="7" t="s">
        <v>526</v>
      </c>
      <c r="D517" s="3"/>
      <c r="E517" s="3">
        <f>VLOOKUP(A517,[2]Sheet1!$A$2:$E$627,5,0)</f>
        <v>86.000833249999999</v>
      </c>
      <c r="F517" s="3">
        <f>VLOOKUP(A517,[2]Sheet1!$A$2:$F$627,6,0)</f>
        <v>88.500833416666666</v>
      </c>
      <c r="G517" s="3">
        <f>VLOOKUP(A517,[2]Sheet1!$A$2:$G$627,7,0)</f>
        <v>0</v>
      </c>
      <c r="H517" s="4">
        <f t="shared" si="48"/>
        <v>88.500833416666666</v>
      </c>
      <c r="I517" s="11">
        <f t="shared" si="49"/>
        <v>2.9069487726930441E-2</v>
      </c>
      <c r="J517" s="11">
        <f t="shared" si="50"/>
        <v>-1</v>
      </c>
      <c r="K517" s="11">
        <f t="shared" si="51"/>
        <v>-1</v>
      </c>
      <c r="L517" s="11">
        <f>IF(S517="",((BG517-E517)/E517),((U517-E517)/E517))</f>
        <v>2.9069487726930441E-2</v>
      </c>
      <c r="M517" s="3" t="str">
        <f>IF(S517="Churn","Churn",VLOOKUP(A517,'[1]Revenue_Engine_2025 Dec.25'!$C$14:$E$3993,3,0))</f>
        <v>Diğer</v>
      </c>
      <c r="N517" s="3">
        <f>IF(S517="",VLOOKUP(A517,[3]Export!$B$2:$F$417,5,0),"CHURN")</f>
        <v>0.29361231599173993</v>
      </c>
      <c r="O517" s="3">
        <f>(1-N517)*H517</f>
        <v>62.515898749999998</v>
      </c>
      <c r="P517" s="3">
        <f t="shared" si="47"/>
        <v>62.515898749999998</v>
      </c>
      <c r="Q517" s="3">
        <f t="shared" si="52"/>
        <v>0</v>
      </c>
      <c r="R517" s="3" t="str">
        <f>IF(S517&lt;&gt;"Churn",VLOOKUP(A517,[3]Export!$B$2:$O$417,8,0),"CHURN")</f>
        <v>NO RISK</v>
      </c>
      <c r="S517" s="3"/>
      <c r="T517" s="3"/>
      <c r="U517" s="3" t="s">
        <v>551</v>
      </c>
      <c r="V517" s="4" t="str" cm="1">
        <f t="array" ref="V517">IFERROR(
    IF(
        MATCH(2,1/((Y517:BH517&lt;&gt;0)*(Y517:BH517&lt;&gt;"")))-MATCH(1,INDEX((Y517:BH517&lt;&gt;0)*(Y517:BH517&lt;&gt;""),0),0)+1 &lt;= 12,
        "No",
        "Yes"
    ),
    "No"
)</f>
        <v>Yes</v>
      </c>
      <c r="W517" s="4" t="str" cm="1">
        <f t="array" ref="W517">IFERROR(
    IF(
        MATCH(2,1/((Y517:BH517&lt;&gt;0)*(Y517:BH517&lt;&gt;"")))-MATCH(1,INDEX((Y517:BH517&lt;&gt;0)*(Y517:BH517&lt;&gt;""),0),0)+1 &lt;= 24,
        "No",
        "Yes"
    ),
    "No"
)</f>
        <v>No</v>
      </c>
      <c r="X517" s="3"/>
      <c r="Y517" s="4">
        <v>0</v>
      </c>
      <c r="Z517" s="4">
        <v>0</v>
      </c>
      <c r="AA517" s="4">
        <v>0</v>
      </c>
      <c r="AB517" s="4">
        <v>0</v>
      </c>
      <c r="AC517" s="4">
        <v>0</v>
      </c>
      <c r="AD517" s="4">
        <v>0</v>
      </c>
      <c r="AE517" s="4">
        <v>0</v>
      </c>
      <c r="AF517" s="4">
        <v>0</v>
      </c>
      <c r="AG517" s="4">
        <v>0</v>
      </c>
      <c r="AH517" s="4">
        <v>0</v>
      </c>
      <c r="AI517" s="4">
        <v>0</v>
      </c>
      <c r="AJ517" s="4">
        <v>0</v>
      </c>
      <c r="AK517" s="4">
        <v>86.000833249999999</v>
      </c>
      <c r="AL517" s="4">
        <v>86.000833249999999</v>
      </c>
      <c r="AM517" s="4">
        <v>86.000833249999999</v>
      </c>
      <c r="AN517" s="4">
        <v>86.000833249999999</v>
      </c>
      <c r="AO517" s="4">
        <v>86.000833249999999</v>
      </c>
      <c r="AP517" s="4">
        <v>86.000833249999999</v>
      </c>
      <c r="AQ517" s="4">
        <v>86.000833249999999</v>
      </c>
      <c r="AR517" s="4">
        <v>86.000833249999999</v>
      </c>
      <c r="AS517" s="4">
        <v>86.000833249999999</v>
      </c>
      <c r="AT517" s="4">
        <v>86.000833249999999</v>
      </c>
      <c r="AU517" s="4">
        <v>86.000833249999999</v>
      </c>
      <c r="AV517" s="4">
        <v>86.000833249999999</v>
      </c>
      <c r="AW517" s="4">
        <v>88.500833416666666</v>
      </c>
      <c r="AX517" s="4">
        <v>88.500833416666666</v>
      </c>
      <c r="AY517" s="4">
        <v>88.500833416666666</v>
      </c>
      <c r="AZ517" s="4">
        <v>88.500833416666666</v>
      </c>
      <c r="BA517" s="4">
        <v>88.500833416666666</v>
      </c>
      <c r="BB517" s="4">
        <v>88.500833416666666</v>
      </c>
      <c r="BC517" s="4">
        <v>88.500833416666666</v>
      </c>
      <c r="BD517" s="4">
        <v>88.500833416666666</v>
      </c>
      <c r="BE517" s="4">
        <v>88.500833416666666</v>
      </c>
      <c r="BF517" s="4">
        <v>88.500833416666666</v>
      </c>
      <c r="BG517" s="4">
        <v>88.500833416666666</v>
      </c>
      <c r="BH517" s="4">
        <v>88.500833416666666</v>
      </c>
      <c r="BJ517" s="9"/>
    </row>
    <row r="518" spans="1:62" x14ac:dyDescent="0.25">
      <c r="A518" s="6" t="s">
        <v>361</v>
      </c>
      <c r="B518" s="6"/>
      <c r="C518" s="7" t="s">
        <v>526</v>
      </c>
      <c r="D518" s="3"/>
      <c r="E518" s="3">
        <f>VLOOKUP(A518,[2]Sheet1!$A$2:$E$627,5,0)</f>
        <v>86.000461416666667</v>
      </c>
      <c r="F518" s="3">
        <f>VLOOKUP(A518,[2]Sheet1!$A$2:$F$627,6,0)</f>
        <v>86.000461583333333</v>
      </c>
      <c r="G518" s="3">
        <f>VLOOKUP(A518,[2]Sheet1!$A$2:$G$627,7,0)</f>
        <v>0</v>
      </c>
      <c r="H518" s="4">
        <f t="shared" si="48"/>
        <v>86.000461583333333</v>
      </c>
      <c r="I518" s="11">
        <f t="shared" si="49"/>
        <v>1.9379740933991572E-9</v>
      </c>
      <c r="J518" s="11">
        <f t="shared" si="50"/>
        <v>-1</v>
      </c>
      <c r="K518" s="11">
        <f t="shared" si="51"/>
        <v>-1</v>
      </c>
      <c r="L518" s="11">
        <f>IF(S518="",((BG518-E518)/E518),((U518-E518)/E518))</f>
        <v>1.9379740933991572E-9</v>
      </c>
      <c r="M518" s="3" t="str">
        <f>IF(S518="Churn","Churn",VLOOKUP(A518,'[1]Revenue_Engine_2025 Dec.25'!$C$14:$E$3993,3,0))</f>
        <v>Diğer</v>
      </c>
      <c r="N518" s="3">
        <f>IF(S518="",VLOOKUP(A518,[3]Export!$B$2:$F$417,5,0),"CHURN")</f>
        <v>0.30215414764358162</v>
      </c>
      <c r="O518" s="3">
        <f>(1-N518)*H518</f>
        <v>60.015065416666665</v>
      </c>
      <c r="P518" s="3">
        <f t="shared" ref="P518:P530" si="53">(1-N518)*F518</f>
        <v>60.015065416666665</v>
      </c>
      <c r="Q518" s="3">
        <f t="shared" si="52"/>
        <v>0</v>
      </c>
      <c r="R518" s="3" t="str">
        <f>IF(S518&lt;&gt;"Churn",VLOOKUP(A518,[3]Export!$B$2:$O$417,8,0),"CHURN")</f>
        <v>NO RISK</v>
      </c>
      <c r="S518" s="3"/>
      <c r="T518" s="3"/>
      <c r="U518" s="3" t="s">
        <v>551</v>
      </c>
      <c r="V518" s="4" t="str" cm="1">
        <f t="array" ref="V518">IFERROR(
    IF(
        MATCH(2,1/((Y518:BH518&lt;&gt;0)*(Y518:BH518&lt;&gt;"")))-MATCH(1,INDEX((Y518:BH518&lt;&gt;0)*(Y518:BH518&lt;&gt;""),0),0)+1 &lt;= 12,
        "No",
        "Yes"
    ),
    "No"
)</f>
        <v>Yes</v>
      </c>
      <c r="W518" s="4" t="str" cm="1">
        <f t="array" ref="W518">IFERROR(
    IF(
        MATCH(2,1/((Y518:BH518&lt;&gt;0)*(Y518:BH518&lt;&gt;"")))-MATCH(1,INDEX((Y518:BH518&lt;&gt;0)*(Y518:BH518&lt;&gt;""),0),0)+1 &lt;= 24,
        "No",
        "Yes"
    ),
    "No"
)</f>
        <v>No</v>
      </c>
      <c r="X518" s="3"/>
      <c r="Y518" s="4">
        <v>0</v>
      </c>
      <c r="Z518" s="4">
        <v>0</v>
      </c>
      <c r="AA518" s="4">
        <v>0</v>
      </c>
      <c r="AB518" s="4">
        <v>0</v>
      </c>
      <c r="AC518" s="4">
        <v>0</v>
      </c>
      <c r="AD518" s="4">
        <v>0</v>
      </c>
      <c r="AE518" s="4">
        <v>0</v>
      </c>
      <c r="AF518" s="4">
        <v>0</v>
      </c>
      <c r="AG518" s="4">
        <v>0</v>
      </c>
      <c r="AH518" s="4">
        <v>0</v>
      </c>
      <c r="AI518" s="4">
        <v>0</v>
      </c>
      <c r="AJ518" s="4">
        <v>0</v>
      </c>
      <c r="AK518" s="4">
        <v>86.000461416666667</v>
      </c>
      <c r="AL518" s="4">
        <v>86.000461416666667</v>
      </c>
      <c r="AM518" s="4">
        <v>86.000461416666667</v>
      </c>
      <c r="AN518" s="4">
        <v>86.000461416666667</v>
      </c>
      <c r="AO518" s="4">
        <v>86.000461416666667</v>
      </c>
      <c r="AP518" s="4">
        <v>86.000461416666667</v>
      </c>
      <c r="AQ518" s="4">
        <v>86.000461416666667</v>
      </c>
      <c r="AR518" s="4">
        <v>86.000461416666667</v>
      </c>
      <c r="AS518" s="4">
        <v>86.000461416666667</v>
      </c>
      <c r="AT518" s="4">
        <v>86.000461416666667</v>
      </c>
      <c r="AU518" s="4">
        <v>86.000461416666667</v>
      </c>
      <c r="AV518" s="4">
        <v>86.000461416666667</v>
      </c>
      <c r="AW518" s="4">
        <v>86.000461583333333</v>
      </c>
      <c r="AX518" s="4">
        <v>86.000461583333333</v>
      </c>
      <c r="AY518" s="4">
        <v>86.000461583333333</v>
      </c>
      <c r="AZ518" s="4">
        <v>86.000461583333333</v>
      </c>
      <c r="BA518" s="4">
        <v>86.000461583333333</v>
      </c>
      <c r="BB518" s="4">
        <v>86.000461583333333</v>
      </c>
      <c r="BC518" s="4">
        <v>86.000461583333333</v>
      </c>
      <c r="BD518" s="4">
        <v>86.000461583333333</v>
      </c>
      <c r="BE518" s="4">
        <v>86.000461583333333</v>
      </c>
      <c r="BF518" s="4">
        <v>86.000461583333333</v>
      </c>
      <c r="BG518" s="4">
        <v>86.000461583333333</v>
      </c>
      <c r="BH518" s="4">
        <v>86.000461583333333</v>
      </c>
      <c r="BJ518" s="9"/>
    </row>
    <row r="519" spans="1:62" x14ac:dyDescent="0.25">
      <c r="A519" s="6" t="s">
        <v>362</v>
      </c>
      <c r="B519" s="6"/>
      <c r="C519" s="7" t="s">
        <v>526</v>
      </c>
      <c r="D519" s="3"/>
      <c r="E519" s="3">
        <f>VLOOKUP(A519,[2]Sheet1!$A$2:$E$627,5,0)</f>
        <v>124.16666666666667</v>
      </c>
      <c r="F519" s="3">
        <f>VLOOKUP(A519,[2]Sheet1!$A$2:$F$627,6,0)</f>
        <v>99.33</v>
      </c>
      <c r="G519" s="3">
        <f>VLOOKUP(A519,[2]Sheet1!$A$2:$G$627,7,0)</f>
        <v>99.33</v>
      </c>
      <c r="H519" s="4">
        <f t="shared" si="48"/>
        <v>99.33</v>
      </c>
      <c r="I519" s="11">
        <f t="shared" si="49"/>
        <v>-0.20002684563758394</v>
      </c>
      <c r="J519" s="11">
        <f t="shared" si="50"/>
        <v>-0.20002684563758394</v>
      </c>
      <c r="K519" s="11">
        <f t="shared" si="51"/>
        <v>0</v>
      </c>
      <c r="L519" s="11">
        <f>IF(S519="",((BG519-E519)/E519),((U519-E519)/E519))</f>
        <v>-0.20002684563758394</v>
      </c>
      <c r="M519" s="3" t="str">
        <f>IF(S519="Churn","Churn",VLOOKUP(A519,'[1]Revenue_Engine_2025 Dec.25'!$C$14:$E$3993,3,0))</f>
        <v>Diğer</v>
      </c>
      <c r="N519" s="3">
        <f>IF(S519="",VLOOKUP(A519,[3]Export!$B$2:$F$417,5,0),"CHURN")</f>
        <v>0</v>
      </c>
      <c r="O519" s="3">
        <f>(1-N519)*H519</f>
        <v>99.33</v>
      </c>
      <c r="P519" s="3">
        <f t="shared" si="53"/>
        <v>99.33</v>
      </c>
      <c r="Q519" s="3">
        <f t="shared" si="52"/>
        <v>99.33</v>
      </c>
      <c r="R519" s="3" t="str">
        <f>IF(S519&lt;&gt;"Churn",VLOOKUP(A519,[3]Export!$B$2:$O$417,8,0),"CHURN")</f>
        <v>NO RISK</v>
      </c>
      <c r="S519" s="3"/>
      <c r="T519" s="3"/>
      <c r="U519" s="3" t="s">
        <v>551</v>
      </c>
      <c r="V519" s="4" t="str" cm="1">
        <f t="array" ref="V519">IFERROR(
    IF(
        MATCH(2,1/((Y519:BH519&lt;&gt;0)*(Y519:BH519&lt;&gt;"")))-MATCH(1,INDEX((Y519:BH519&lt;&gt;0)*(Y519:BH519&lt;&gt;""),0),0)+1 &lt;= 12,
        "No",
        "Yes"
    ),
    "No"
)</f>
        <v>Yes</v>
      </c>
      <c r="W519" s="4" t="str" cm="1">
        <f t="array" ref="W519">IFERROR(
    IF(
        MATCH(2,1/((Y519:BH519&lt;&gt;0)*(Y519:BH519&lt;&gt;"")))-MATCH(1,INDEX((Y519:BH519&lt;&gt;0)*(Y519:BH519&lt;&gt;""),0),0)+1 &lt;= 24,
        "No",
        "Yes"
    ),
    "No"
)</f>
        <v>Yes</v>
      </c>
      <c r="X519" s="3"/>
      <c r="Y519" s="4">
        <v>0</v>
      </c>
      <c r="Z519" s="4">
        <v>0</v>
      </c>
      <c r="AA519" s="4">
        <v>0</v>
      </c>
      <c r="AB519" s="4">
        <v>0</v>
      </c>
      <c r="AC519" s="4">
        <v>0</v>
      </c>
      <c r="AD519" s="4">
        <v>0</v>
      </c>
      <c r="AE519" s="4">
        <v>0</v>
      </c>
      <c r="AF519" s="4">
        <v>0</v>
      </c>
      <c r="AG519" s="4">
        <v>0</v>
      </c>
      <c r="AH519" s="4">
        <v>124.16666666666667</v>
      </c>
      <c r="AI519" s="4">
        <v>124.16666666666667</v>
      </c>
      <c r="AJ519" s="4">
        <v>124.16666666666667</v>
      </c>
      <c r="AK519" s="4">
        <v>124.16666666666667</v>
      </c>
      <c r="AL519" s="4">
        <v>124.16666666666667</v>
      </c>
      <c r="AM519" s="4">
        <v>124.16666666666667</v>
      </c>
      <c r="AN519" s="4">
        <v>124.16666666666667</v>
      </c>
      <c r="AO519" s="4">
        <v>124.16666666666667</v>
      </c>
      <c r="AP519" s="4">
        <v>124.16666666666667</v>
      </c>
      <c r="AQ519" s="4">
        <v>124.16666666666667</v>
      </c>
      <c r="AR519" s="4">
        <v>124.16666666666667</v>
      </c>
      <c r="AS519" s="4">
        <v>124.16666666666667</v>
      </c>
      <c r="AT519" s="4">
        <v>99.33</v>
      </c>
      <c r="AU519" s="4">
        <v>99.33</v>
      </c>
      <c r="AV519" s="4">
        <v>99.33</v>
      </c>
      <c r="AW519" s="4">
        <v>99.33</v>
      </c>
      <c r="AX519" s="4">
        <v>99.33</v>
      </c>
      <c r="AY519" s="4">
        <v>99.33</v>
      </c>
      <c r="AZ519" s="4">
        <v>99.33</v>
      </c>
      <c r="BA519" s="4">
        <v>99.33</v>
      </c>
      <c r="BB519" s="4">
        <v>99.33</v>
      </c>
      <c r="BC519" s="4">
        <v>99.33</v>
      </c>
      <c r="BD519" s="4">
        <v>99.33</v>
      </c>
      <c r="BE519" s="4">
        <v>99.33</v>
      </c>
      <c r="BF519" s="4">
        <v>99.33</v>
      </c>
      <c r="BG519" s="4">
        <v>99.33</v>
      </c>
      <c r="BH519" s="4">
        <v>99.33</v>
      </c>
      <c r="BJ519" s="9"/>
    </row>
    <row r="520" spans="1:62" x14ac:dyDescent="0.25">
      <c r="A520" s="6" t="s">
        <v>457</v>
      </c>
      <c r="B520" s="6"/>
      <c r="C520" s="7" t="s">
        <v>526</v>
      </c>
      <c r="D520" s="3"/>
      <c r="E520" s="3">
        <f>VLOOKUP(A520,[2]Sheet1!$A$2:$E$627,5,0)</f>
        <v>86.000833333333333</v>
      </c>
      <c r="F520" s="3">
        <f>VLOOKUP(A520,[2]Sheet1!$A$2:$F$627,6,0)</f>
        <v>0</v>
      </c>
      <c r="G520" s="3">
        <f>VLOOKUP(A520,[2]Sheet1!$A$2:$G$627,7,0)</f>
        <v>0</v>
      </c>
      <c r="H520" s="4">
        <f t="shared" si="48"/>
        <v>109.20697800000002</v>
      </c>
      <c r="I520" s="11">
        <f t="shared" si="49"/>
        <v>-1</v>
      </c>
      <c r="J520" s="11">
        <f t="shared" si="50"/>
        <v>-1</v>
      </c>
      <c r="K520" s="11" t="e">
        <f t="shared" si="51"/>
        <v>#DIV/0!</v>
      </c>
      <c r="L520" s="11">
        <f>IF(S520="",((BG520-E520)/E520),((U520-E520)/E520))</f>
        <v>0.26983627678026401</v>
      </c>
      <c r="M520" s="3" t="str">
        <f>IF(S520="Churn","Churn",VLOOKUP(A520,'[1]Revenue_Engine_2025 Dec.25'!$C$14:$E$3993,3,0))</f>
        <v>Diğer</v>
      </c>
      <c r="N520" s="3">
        <f>IF(S520="",VLOOKUP(A520,[3]Export!$B$2:$F$417,5,0),"CHURN")</f>
        <v>0.30161732888533921</v>
      </c>
      <c r="O520" s="3">
        <f>(1-N520)*H520</f>
        <v>76.26826100000001</v>
      </c>
      <c r="P520" s="3">
        <f t="shared" si="53"/>
        <v>0</v>
      </c>
      <c r="Q520" s="3">
        <f t="shared" si="52"/>
        <v>0</v>
      </c>
      <c r="R520" s="3" t="str">
        <f>IF(S520&lt;&gt;"Churn",VLOOKUP(A520,[3]Export!$B$2:$O$417,8,0),"CHURN")</f>
        <v>NO RISK</v>
      </c>
      <c r="S520" s="3"/>
      <c r="T520" s="3"/>
      <c r="U520" s="3" t="s">
        <v>551</v>
      </c>
      <c r="V520" s="4" t="str" cm="1">
        <f t="array" ref="V520">IFERROR(
    IF(
        MATCH(2,1/((Y520:BH520&lt;&gt;0)*(Y520:BH520&lt;&gt;"")))-MATCH(1,INDEX((Y520:BH520&lt;&gt;0)*(Y520:BH520&lt;&gt;""),0),0)+1 &lt;= 12,
        "No",
        "Yes"
    ),
    "No"
)</f>
        <v>Yes</v>
      </c>
      <c r="W520" s="4" t="str" cm="1">
        <f t="array" ref="W520">IFERROR(
    IF(
        MATCH(2,1/((Y520:BH520&lt;&gt;0)*(Y520:BH520&lt;&gt;"")))-MATCH(1,INDEX((Y520:BH520&lt;&gt;0)*(Y520:BH520&lt;&gt;""),0),0)+1 &lt;= 24,
        "No",
        "Yes"
    ),
    "No"
)</f>
        <v>Yes</v>
      </c>
      <c r="X520" s="3"/>
      <c r="Y520" s="4">
        <v>0</v>
      </c>
      <c r="Z520" s="4">
        <v>0</v>
      </c>
      <c r="AA520" s="4">
        <v>0</v>
      </c>
      <c r="AB520" s="4">
        <v>0</v>
      </c>
      <c r="AC520" s="4">
        <v>0</v>
      </c>
      <c r="AD520" s="4">
        <v>0</v>
      </c>
      <c r="AE520" s="4">
        <v>0</v>
      </c>
      <c r="AF520" s="4">
        <v>0</v>
      </c>
      <c r="AG520" s="4">
        <v>0</v>
      </c>
      <c r="AH520" s="4">
        <v>0</v>
      </c>
      <c r="AI520" s="4">
        <v>0</v>
      </c>
      <c r="AJ520" s="4">
        <v>86.000833333333333</v>
      </c>
      <c r="AK520" s="4">
        <v>86.000833333333333</v>
      </c>
      <c r="AL520" s="4">
        <v>86.000833333333333</v>
      </c>
      <c r="AM520" s="4">
        <v>86.000833333333333</v>
      </c>
      <c r="AN520" s="4">
        <v>86.000833333333333</v>
      </c>
      <c r="AO520" s="4">
        <v>86.000833333333333</v>
      </c>
      <c r="AP520" s="4">
        <v>86.000833333333333</v>
      </c>
      <c r="AQ520" s="4">
        <v>86.000833333333333</v>
      </c>
      <c r="AR520" s="4">
        <v>86.000833333333333</v>
      </c>
      <c r="AS520" s="4">
        <v>86.000833333333333</v>
      </c>
      <c r="AT520" s="4">
        <v>86.000833333333333</v>
      </c>
      <c r="AU520" s="4">
        <v>86.000833333333333</v>
      </c>
      <c r="AV520" s="4">
        <v>109.2</v>
      </c>
      <c r="AW520" s="4">
        <v>109.20697800000002</v>
      </c>
      <c r="AX520" s="4">
        <v>109.20697800000002</v>
      </c>
      <c r="AY520" s="4">
        <v>109.20697800000002</v>
      </c>
      <c r="AZ520" s="4">
        <v>109.20697800000002</v>
      </c>
      <c r="BA520" s="4">
        <v>109.20697800000002</v>
      </c>
      <c r="BB520" s="4">
        <v>109.20697800000002</v>
      </c>
      <c r="BC520" s="4">
        <v>109.20697800000002</v>
      </c>
      <c r="BD520" s="4">
        <v>109.20697800000002</v>
      </c>
      <c r="BE520" s="4">
        <v>109.20697800000002</v>
      </c>
      <c r="BF520" s="4">
        <v>109.20697800000002</v>
      </c>
      <c r="BG520" s="4">
        <v>109.20697800000002</v>
      </c>
      <c r="BH520" s="4">
        <v>109.20697800000002</v>
      </c>
      <c r="BJ520" s="9"/>
    </row>
    <row r="521" spans="1:62" x14ac:dyDescent="0.25">
      <c r="A521" s="6" t="s">
        <v>363</v>
      </c>
      <c r="B521" s="6"/>
      <c r="C521" s="7" t="s">
        <v>526</v>
      </c>
      <c r="D521" s="3"/>
      <c r="E521" s="3">
        <f>VLOOKUP(A521,[2]Sheet1!$A$2:$E$627,5,0)</f>
        <v>119.16666666666667</v>
      </c>
      <c r="F521" s="3">
        <f>VLOOKUP(A521,[2]Sheet1!$A$2:$F$627,6,0)</f>
        <v>86.00333333333333</v>
      </c>
      <c r="G521" s="3">
        <f>VLOOKUP(A521,[2]Sheet1!$A$2:$G$627,7,0)</f>
        <v>0</v>
      </c>
      <c r="H521" s="4">
        <f t="shared" si="48"/>
        <v>0</v>
      </c>
      <c r="I521" s="11">
        <f t="shared" si="49"/>
        <v>-0.27829370629370637</v>
      </c>
      <c r="J521" s="11">
        <f t="shared" si="50"/>
        <v>-1</v>
      </c>
      <c r="K521" s="11">
        <f t="shared" si="51"/>
        <v>-1</v>
      </c>
      <c r="L521" s="11">
        <f>IF(S521="",((BG521-E521)/E521),((U521-E521)/E521))</f>
        <v>-0.2531188811188812</v>
      </c>
      <c r="M521" s="3" t="str">
        <f>IF(S521="Churn","Churn",VLOOKUP(A521,'[1]Revenue_Engine_2025 Dec.25'!$C$14:$E$3993,3,0))</f>
        <v>Churn</v>
      </c>
      <c r="N521" s="3" t="str">
        <f>IF(S521="",VLOOKUP(A521,[3]Export!$B$2:$F$417,5,0),"CHURN")</f>
        <v>CHURN</v>
      </c>
      <c r="O521" s="3" t="e">
        <f>(1-N521)*H521</f>
        <v>#VALUE!</v>
      </c>
      <c r="P521" s="3" t="e">
        <f t="shared" si="53"/>
        <v>#VALUE!</v>
      </c>
      <c r="Q521" s="3" t="e">
        <f t="shared" si="52"/>
        <v>#VALUE!</v>
      </c>
      <c r="R521" s="3" t="str">
        <f>IF(S521&lt;&gt;"Churn",VLOOKUP(A521,[3]Export!$B$2:$O$417,8,0),"CHURN")</f>
        <v>CHURN</v>
      </c>
      <c r="S521" s="3" t="s">
        <v>372</v>
      </c>
      <c r="T521" s="3" t="s">
        <v>560</v>
      </c>
      <c r="U521" s="3">
        <v>89.00333333333333</v>
      </c>
      <c r="V521" s="4" t="str" cm="1">
        <f t="array" ref="V521">IFERROR(
    IF(
        MATCH(2,1/((Y521:BH521&lt;&gt;0)*(Y521:BH521&lt;&gt;"")))-MATCH(1,INDEX((Y521:BH521&lt;&gt;0)*(Y521:BH521&lt;&gt;""),0),0)+1 &lt;= 12,
        "No",
        "Yes"
    ),
    "No"
)</f>
        <v>Yes</v>
      </c>
      <c r="W521" s="4" t="str" cm="1">
        <f t="array" ref="W521">IFERROR(
    IF(
        MATCH(2,1/((Y521:BH521&lt;&gt;0)*(Y521:BH521&lt;&gt;"")))-MATCH(1,INDEX((Y521:BH521&lt;&gt;0)*(Y521:BH521&lt;&gt;""),0),0)+1 &lt;= 24,
        "No",
        "Yes"
    ),
    "No"
)</f>
        <v>No</v>
      </c>
      <c r="X521" s="3"/>
      <c r="Y521" s="4">
        <v>0</v>
      </c>
      <c r="Z521" s="4">
        <v>0</v>
      </c>
      <c r="AA521" s="4">
        <v>0</v>
      </c>
      <c r="AB521" s="4">
        <v>0</v>
      </c>
      <c r="AC521" s="4">
        <v>0</v>
      </c>
      <c r="AD521" s="4">
        <v>0</v>
      </c>
      <c r="AE521" s="4">
        <v>0</v>
      </c>
      <c r="AF521" s="4">
        <v>0</v>
      </c>
      <c r="AG521" s="4">
        <v>119.16666666666667</v>
      </c>
      <c r="AH521" s="4">
        <v>119.16666666666667</v>
      </c>
      <c r="AI521" s="4">
        <v>119.16666666666667</v>
      </c>
      <c r="AJ521" s="4">
        <v>119.16666666666667</v>
      </c>
      <c r="AK521" s="4">
        <v>119.16666666666667</v>
      </c>
      <c r="AL521" s="4">
        <v>119.16666666666667</v>
      </c>
      <c r="AM521" s="4">
        <v>119.16666666666667</v>
      </c>
      <c r="AN521" s="4">
        <v>119.16666666666667</v>
      </c>
      <c r="AO521" s="4">
        <v>119.16666666666667</v>
      </c>
      <c r="AP521" s="4">
        <v>119.16666666666667</v>
      </c>
      <c r="AQ521" s="4">
        <v>119.16666666666667</v>
      </c>
      <c r="AR521" s="4">
        <v>119.16666666666667</v>
      </c>
      <c r="AS521" s="4">
        <v>86.00333333333333</v>
      </c>
      <c r="AT521" s="4">
        <v>86.00333333333333</v>
      </c>
      <c r="AU521" s="4">
        <v>86.00333333333333</v>
      </c>
      <c r="AV521" s="4">
        <v>89.00333333333333</v>
      </c>
      <c r="AW521" s="4">
        <v>89.00333333333333</v>
      </c>
      <c r="AX521" s="4">
        <v>89.00333333333333</v>
      </c>
      <c r="AY521" s="4">
        <v>89.00333333333333</v>
      </c>
      <c r="AZ521" s="4">
        <v>89.00333333333333</v>
      </c>
      <c r="BA521" s="4">
        <v>89.00333333333333</v>
      </c>
      <c r="BB521" s="4">
        <v>89.00333333333333</v>
      </c>
      <c r="BC521" s="4">
        <v>89.00333333333333</v>
      </c>
      <c r="BD521" s="4">
        <v>89.00333333333333</v>
      </c>
      <c r="BE521" s="4">
        <v>0</v>
      </c>
      <c r="BF521" s="4">
        <v>0</v>
      </c>
      <c r="BG521" s="4">
        <v>0</v>
      </c>
      <c r="BH521" s="4">
        <v>0</v>
      </c>
      <c r="BJ521" s="9"/>
    </row>
    <row r="522" spans="1:62" x14ac:dyDescent="0.25">
      <c r="A522" s="6" t="s">
        <v>509</v>
      </c>
      <c r="B522" s="6"/>
      <c r="C522" s="7" t="s">
        <v>526</v>
      </c>
      <c r="D522" s="3"/>
      <c r="E522" s="3">
        <f>VLOOKUP(A522,[2]Sheet1!$A$2:$E$627,5,0)</f>
        <v>119.16666666666667</v>
      </c>
      <c r="F522" s="3">
        <f>VLOOKUP(A522,[2]Sheet1!$A$2:$F$627,6,0)</f>
        <v>0</v>
      </c>
      <c r="G522" s="3">
        <f>VLOOKUP(A522,[2]Sheet1!$A$2:$G$627,7,0)</f>
        <v>0</v>
      </c>
      <c r="H522" s="4">
        <f t="shared" si="48"/>
        <v>0</v>
      </c>
      <c r="I522" s="11">
        <f t="shared" si="49"/>
        <v>-1</v>
      </c>
      <c r="J522" s="11">
        <f t="shared" si="50"/>
        <v>-1</v>
      </c>
      <c r="K522" s="11" t="e">
        <f t="shared" si="51"/>
        <v>#DIV/0!</v>
      </c>
      <c r="L522" s="11">
        <f>IF(S522="",((BG522-E522)/E522),((U522-E522)/E522))</f>
        <v>-0.1297902097902098</v>
      </c>
      <c r="M522" s="3" t="str">
        <f>IF(S522="Churn","Churn",VLOOKUP(A522,'[1]Revenue_Engine_2025 Dec.25'!$C$14:$E$3993,3,0))</f>
        <v>Churn</v>
      </c>
      <c r="N522" s="3" t="str">
        <f>IF(S522="",VLOOKUP(A522,[3]Export!$B$2:$F$417,5,0),"CHURN")</f>
        <v>CHURN</v>
      </c>
      <c r="O522" s="3" t="e">
        <f>(1-N522)*H522</f>
        <v>#VALUE!</v>
      </c>
      <c r="P522" s="3" t="e">
        <f t="shared" si="53"/>
        <v>#VALUE!</v>
      </c>
      <c r="Q522" s="3" t="e">
        <f t="shared" si="52"/>
        <v>#VALUE!</v>
      </c>
      <c r="R522" s="3" t="str">
        <f>IF(S522&lt;&gt;"Churn",VLOOKUP(A522,[3]Export!$B$2:$O$417,8,0),"CHURN")</f>
        <v>CHURN</v>
      </c>
      <c r="S522" s="3" t="s">
        <v>372</v>
      </c>
      <c r="T522" s="3" t="s">
        <v>554</v>
      </c>
      <c r="U522" s="3">
        <v>103.7</v>
      </c>
      <c r="V522" s="4" t="str" cm="1">
        <f t="array" ref="V522">IFERROR(
    IF(
        MATCH(2,1/((Y522:BH522&lt;&gt;0)*(Y522:BH522&lt;&gt;"")))-MATCH(1,INDEX((Y522:BH522&lt;&gt;0)*(Y522:BH522&lt;&gt;""),0),0)+1 &lt;= 12,
        "No",
        "Yes"
    ),
    "No"
)</f>
        <v>Yes</v>
      </c>
      <c r="W522" s="4" t="str" cm="1">
        <f t="array" ref="W522">IFERROR(
    IF(
        MATCH(2,1/((Y522:BH522&lt;&gt;0)*(Y522:BH522&lt;&gt;"")))-MATCH(1,INDEX((Y522:BH522&lt;&gt;0)*(Y522:BH522&lt;&gt;""),0),0)+1 &lt;= 24,
        "No",
        "Yes"
    ),
    "No"
)</f>
        <v>No</v>
      </c>
      <c r="X522" s="3"/>
      <c r="Y522" s="4">
        <v>0</v>
      </c>
      <c r="Z522" s="4">
        <v>0</v>
      </c>
      <c r="AA522" s="4">
        <v>0</v>
      </c>
      <c r="AB522" s="4">
        <v>0</v>
      </c>
      <c r="AC522" s="4">
        <v>0</v>
      </c>
      <c r="AD522" s="4">
        <v>0</v>
      </c>
      <c r="AE522" s="4">
        <v>0</v>
      </c>
      <c r="AF522" s="4">
        <v>0</v>
      </c>
      <c r="AG522" s="4">
        <v>119.16666666666667</v>
      </c>
      <c r="AH522" s="4">
        <v>119.16666666666667</v>
      </c>
      <c r="AI522" s="4">
        <v>119.16666666666667</v>
      </c>
      <c r="AJ522" s="4">
        <v>119.16666666666667</v>
      </c>
      <c r="AK522" s="4">
        <v>119.16666666666667</v>
      </c>
      <c r="AL522" s="4">
        <v>119.16666666666667</v>
      </c>
      <c r="AM522" s="4">
        <v>119.16666666666667</v>
      </c>
      <c r="AN522" s="4">
        <v>119.16666666666667</v>
      </c>
      <c r="AO522" s="4">
        <v>119.16666666666667</v>
      </c>
      <c r="AP522" s="4">
        <v>119.16666666666667</v>
      </c>
      <c r="AQ522" s="4">
        <v>119.16666666666667</v>
      </c>
      <c r="AR522" s="4">
        <v>119.16666666666667</v>
      </c>
      <c r="AS522" s="4">
        <v>103.7</v>
      </c>
      <c r="AT522" s="4">
        <v>103.7</v>
      </c>
      <c r="AU522" s="4">
        <v>103.7</v>
      </c>
      <c r="AV522" s="4">
        <v>103.7</v>
      </c>
      <c r="AW522" s="4">
        <v>103.7</v>
      </c>
      <c r="AX522" s="4">
        <v>103.7</v>
      </c>
      <c r="AY522" s="4">
        <v>103.7</v>
      </c>
      <c r="AZ522" s="4">
        <v>0</v>
      </c>
      <c r="BA522" s="4">
        <v>0</v>
      </c>
      <c r="BB522" s="4">
        <v>0</v>
      </c>
      <c r="BC522" s="4">
        <v>0</v>
      </c>
      <c r="BD522" s="4">
        <v>0</v>
      </c>
      <c r="BE522" s="4">
        <v>0</v>
      </c>
      <c r="BF522" s="4">
        <v>0</v>
      </c>
      <c r="BG522" s="4">
        <v>0</v>
      </c>
      <c r="BH522" s="4">
        <v>0</v>
      </c>
      <c r="BJ522" s="9"/>
    </row>
    <row r="523" spans="1:62" x14ac:dyDescent="0.25">
      <c r="A523" s="6" t="s">
        <v>510</v>
      </c>
      <c r="B523" s="6"/>
      <c r="C523" s="7" t="s">
        <v>526</v>
      </c>
      <c r="D523" s="3"/>
      <c r="E523" s="3">
        <f>VLOOKUP(A523,[2]Sheet1!$A$2:$E$627,5,0)</f>
        <v>119.16666666666667</v>
      </c>
      <c r="F523" s="3">
        <f>VLOOKUP(A523,[2]Sheet1!$A$2:$F$627,6,0)</f>
        <v>0</v>
      </c>
      <c r="G523" s="3">
        <f>VLOOKUP(A523,[2]Sheet1!$A$2:$G$627,7,0)</f>
        <v>0</v>
      </c>
      <c r="H523" s="4">
        <f t="shared" si="48"/>
        <v>0</v>
      </c>
      <c r="I523" s="11">
        <f t="shared" si="49"/>
        <v>-1</v>
      </c>
      <c r="J523" s="11">
        <f t="shared" si="50"/>
        <v>-1</v>
      </c>
      <c r="K523" s="11" t="e">
        <f t="shared" si="51"/>
        <v>#DIV/0!</v>
      </c>
      <c r="L523" s="11">
        <f>IF(S523="",((BG523-E523)/E523),((U523-E523)/E523))</f>
        <v>-0.1297902097902098</v>
      </c>
      <c r="M523" s="3" t="str">
        <f>IF(S523="Churn","Churn",VLOOKUP(A523,'[1]Revenue_Engine_2025 Dec.25'!$C$14:$E$3993,3,0))</f>
        <v>Churn</v>
      </c>
      <c r="N523" s="3" t="str">
        <f>IF(S523="",VLOOKUP(A523,[3]Export!$B$2:$F$417,5,0),"CHURN")</f>
        <v>CHURN</v>
      </c>
      <c r="O523" s="3" t="e">
        <f>(1-N523)*H523</f>
        <v>#VALUE!</v>
      </c>
      <c r="P523" s="3" t="e">
        <f t="shared" si="53"/>
        <v>#VALUE!</v>
      </c>
      <c r="Q523" s="3" t="e">
        <f t="shared" si="52"/>
        <v>#VALUE!</v>
      </c>
      <c r="R523" s="3" t="str">
        <f>IF(S523&lt;&gt;"Churn",VLOOKUP(A523,[3]Export!$B$2:$O$417,8,0),"CHURN")</f>
        <v>CHURN</v>
      </c>
      <c r="S523" s="3" t="s">
        <v>372</v>
      </c>
      <c r="T523" s="3" t="s">
        <v>554</v>
      </c>
      <c r="U523" s="3">
        <v>103.7</v>
      </c>
      <c r="V523" s="4" t="str" cm="1">
        <f t="array" ref="V523">IFERROR(
    IF(
        MATCH(2,1/((Y523:BH523&lt;&gt;0)*(Y523:BH523&lt;&gt;"")))-MATCH(1,INDEX((Y523:BH523&lt;&gt;0)*(Y523:BH523&lt;&gt;""),0),0)+1 &lt;= 12,
        "No",
        "Yes"
    ),
    "No"
)</f>
        <v>Yes</v>
      </c>
      <c r="W523" s="4" t="str" cm="1">
        <f t="array" ref="W523">IFERROR(
    IF(
        MATCH(2,1/((Y523:BH523&lt;&gt;0)*(Y523:BH523&lt;&gt;"")))-MATCH(1,INDEX((Y523:BH523&lt;&gt;0)*(Y523:BH523&lt;&gt;""),0),0)+1 &lt;= 24,
        "No",
        "Yes"
    ),
    "No"
)</f>
        <v>No</v>
      </c>
      <c r="X523" s="3"/>
      <c r="Y523" s="4">
        <v>0</v>
      </c>
      <c r="Z523" s="4">
        <v>0</v>
      </c>
      <c r="AA523" s="4">
        <v>0</v>
      </c>
      <c r="AB523" s="4">
        <v>0</v>
      </c>
      <c r="AC523" s="4">
        <v>0</v>
      </c>
      <c r="AD523" s="4">
        <v>0</v>
      </c>
      <c r="AE523" s="4">
        <v>0</v>
      </c>
      <c r="AF523" s="4">
        <v>0</v>
      </c>
      <c r="AG523" s="4">
        <v>119.16666666666667</v>
      </c>
      <c r="AH523" s="4">
        <v>119.16666666666667</v>
      </c>
      <c r="AI523" s="4">
        <v>119.16666666666667</v>
      </c>
      <c r="AJ523" s="4">
        <v>119.16666666666667</v>
      </c>
      <c r="AK523" s="4">
        <v>119.16666666666667</v>
      </c>
      <c r="AL523" s="4">
        <v>119.16666666666667</v>
      </c>
      <c r="AM523" s="4">
        <v>119.16666666666667</v>
      </c>
      <c r="AN523" s="4">
        <v>119.16666666666667</v>
      </c>
      <c r="AO523" s="4">
        <v>119.16666666666667</v>
      </c>
      <c r="AP523" s="4">
        <v>119.16666666666667</v>
      </c>
      <c r="AQ523" s="4">
        <v>119.16666666666667</v>
      </c>
      <c r="AR523" s="4">
        <v>119.16666666666667</v>
      </c>
      <c r="AS523" s="4">
        <v>103.7</v>
      </c>
      <c r="AT523" s="4">
        <v>103.7</v>
      </c>
      <c r="AU523" s="4">
        <v>103.7</v>
      </c>
      <c r="AV523" s="4">
        <v>103.7</v>
      </c>
      <c r="AW523" s="4">
        <v>103.7</v>
      </c>
      <c r="AX523" s="4">
        <v>103.7</v>
      </c>
      <c r="AY523" s="4">
        <v>103.7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G523" s="4">
        <v>0</v>
      </c>
      <c r="BH523" s="4">
        <v>0</v>
      </c>
      <c r="BJ523" s="9"/>
    </row>
    <row r="524" spans="1:62" x14ac:dyDescent="0.25">
      <c r="A524" s="6" t="s">
        <v>511</v>
      </c>
      <c r="B524" s="6"/>
      <c r="C524" s="7" t="s">
        <v>526</v>
      </c>
      <c r="D524" s="3"/>
      <c r="E524" s="3">
        <f>VLOOKUP(A524,[2]Sheet1!$A$2:$E$627,5,0)</f>
        <v>119.16666666666667</v>
      </c>
      <c r="F524" s="3">
        <f>VLOOKUP(A524,[2]Sheet1!$A$2:$F$627,6,0)</f>
        <v>0</v>
      </c>
      <c r="G524" s="3">
        <f>VLOOKUP(A524,[2]Sheet1!$A$2:$G$627,7,0)</f>
        <v>0</v>
      </c>
      <c r="H524" s="4">
        <f t="shared" si="48"/>
        <v>0</v>
      </c>
      <c r="I524" s="11">
        <f t="shared" si="49"/>
        <v>-1</v>
      </c>
      <c r="J524" s="11">
        <f t="shared" si="50"/>
        <v>-1</v>
      </c>
      <c r="K524" s="11" t="e">
        <f t="shared" si="51"/>
        <v>#DIV/0!</v>
      </c>
      <c r="L524" s="11">
        <f>IF(S524="",((BG524-E524)/E524),((U524-E524)/E524))</f>
        <v>-0.1297902097902098</v>
      </c>
      <c r="M524" s="3" t="str">
        <f>IF(S524="Churn","Churn",VLOOKUP(A524,'[1]Revenue_Engine_2025 Dec.25'!$C$14:$E$3993,3,0))</f>
        <v>Churn</v>
      </c>
      <c r="N524" s="3" t="str">
        <f>IF(S524="",VLOOKUP(A524,[3]Export!$B$2:$F$417,5,0),"CHURN")</f>
        <v>CHURN</v>
      </c>
      <c r="O524" s="3" t="e">
        <f>(1-N524)*H524</f>
        <v>#VALUE!</v>
      </c>
      <c r="P524" s="3" t="e">
        <f t="shared" si="53"/>
        <v>#VALUE!</v>
      </c>
      <c r="Q524" s="3" t="e">
        <f t="shared" si="52"/>
        <v>#VALUE!</v>
      </c>
      <c r="R524" s="3" t="str">
        <f>IF(S524&lt;&gt;"Churn",VLOOKUP(A524,[3]Export!$B$2:$O$417,8,0),"CHURN")</f>
        <v>CHURN</v>
      </c>
      <c r="S524" s="3" t="s">
        <v>372</v>
      </c>
      <c r="T524" s="3" t="s">
        <v>554</v>
      </c>
      <c r="U524" s="3">
        <v>103.7</v>
      </c>
      <c r="V524" s="4" t="str" cm="1">
        <f t="array" ref="V524">IFERROR(
    IF(
        MATCH(2,1/((Y524:BH524&lt;&gt;0)*(Y524:BH524&lt;&gt;"")))-MATCH(1,INDEX((Y524:BH524&lt;&gt;0)*(Y524:BH524&lt;&gt;""),0),0)+1 &lt;= 12,
        "No",
        "Yes"
    ),
    "No"
)</f>
        <v>Yes</v>
      </c>
      <c r="W524" s="4" t="str" cm="1">
        <f t="array" ref="W524">IFERROR(
    IF(
        MATCH(2,1/((Y524:BH524&lt;&gt;0)*(Y524:BH524&lt;&gt;"")))-MATCH(1,INDEX((Y524:BH524&lt;&gt;0)*(Y524:BH524&lt;&gt;""),0),0)+1 &lt;= 24,
        "No",
        "Yes"
    ),
    "No"
)</f>
        <v>No</v>
      </c>
      <c r="X524" s="3"/>
      <c r="Y524" s="4">
        <v>0</v>
      </c>
      <c r="Z524" s="4">
        <v>0</v>
      </c>
      <c r="AA524" s="4">
        <v>0</v>
      </c>
      <c r="AB524" s="4">
        <v>0</v>
      </c>
      <c r="AC524" s="4">
        <v>0</v>
      </c>
      <c r="AD524" s="4">
        <v>0</v>
      </c>
      <c r="AE524" s="4">
        <v>0</v>
      </c>
      <c r="AF524" s="4">
        <v>0</v>
      </c>
      <c r="AG524" s="4">
        <v>119.16666666666667</v>
      </c>
      <c r="AH524" s="4">
        <v>119.16666666666667</v>
      </c>
      <c r="AI524" s="4">
        <v>119.16666666666667</v>
      </c>
      <c r="AJ524" s="4">
        <v>119.16666666666667</v>
      </c>
      <c r="AK524" s="4">
        <v>119.16666666666667</v>
      </c>
      <c r="AL524" s="4">
        <v>119.16666666666667</v>
      </c>
      <c r="AM524" s="4">
        <v>119.16666666666667</v>
      </c>
      <c r="AN524" s="4">
        <v>119.16666666666667</v>
      </c>
      <c r="AO524" s="4">
        <v>119.16666666666667</v>
      </c>
      <c r="AP524" s="4">
        <v>119.16666666666667</v>
      </c>
      <c r="AQ524" s="4">
        <v>119.16666666666667</v>
      </c>
      <c r="AR524" s="4">
        <v>119.16666666666667</v>
      </c>
      <c r="AS524" s="4">
        <v>103.7</v>
      </c>
      <c r="AT524" s="4">
        <v>103.7</v>
      </c>
      <c r="AU524" s="4">
        <v>103.7</v>
      </c>
      <c r="AV524" s="4">
        <v>103.7</v>
      </c>
      <c r="AW524" s="4">
        <v>103.7</v>
      </c>
      <c r="AX524" s="4">
        <v>103.7</v>
      </c>
      <c r="AY524" s="4">
        <v>103.7</v>
      </c>
      <c r="AZ524" s="4">
        <v>0</v>
      </c>
      <c r="BA524" s="4">
        <v>0</v>
      </c>
      <c r="BB524" s="4">
        <v>0</v>
      </c>
      <c r="BC524" s="4">
        <v>0</v>
      </c>
      <c r="BD524" s="4">
        <v>0</v>
      </c>
      <c r="BE524" s="4">
        <v>0</v>
      </c>
      <c r="BF524" s="4">
        <v>0</v>
      </c>
      <c r="BG524" s="4">
        <v>0</v>
      </c>
      <c r="BH524" s="4">
        <v>0</v>
      </c>
      <c r="BJ524" s="9"/>
    </row>
    <row r="525" spans="1:62" x14ac:dyDescent="0.25">
      <c r="A525" s="6" t="s">
        <v>512</v>
      </c>
      <c r="B525" s="6"/>
      <c r="C525" s="7" t="s">
        <v>526</v>
      </c>
      <c r="D525" s="3"/>
      <c r="E525" s="3">
        <f>VLOOKUP(A525,[2]Sheet1!$A$2:$E$627,5,0)</f>
        <v>119.16666666666667</v>
      </c>
      <c r="F525" s="3">
        <f>VLOOKUP(A525,[2]Sheet1!$A$2:$F$627,6,0)</f>
        <v>0</v>
      </c>
      <c r="G525" s="3">
        <f>VLOOKUP(A525,[2]Sheet1!$A$2:$G$627,7,0)</f>
        <v>0</v>
      </c>
      <c r="H525" s="4">
        <f t="shared" si="48"/>
        <v>0</v>
      </c>
      <c r="I525" s="11">
        <f t="shared" si="49"/>
        <v>-1</v>
      </c>
      <c r="J525" s="11">
        <f t="shared" si="50"/>
        <v>-1</v>
      </c>
      <c r="K525" s="11" t="e">
        <f t="shared" si="51"/>
        <v>#DIV/0!</v>
      </c>
      <c r="L525" s="11">
        <f>IF(S525="",((BG525-E525)/E525),((U525-E525)/E525))</f>
        <v>-0.1297902097902098</v>
      </c>
      <c r="M525" s="3" t="str">
        <f>IF(S525="Churn","Churn",VLOOKUP(A525,'[1]Revenue_Engine_2025 Dec.25'!$C$14:$E$3993,3,0))</f>
        <v>Churn</v>
      </c>
      <c r="N525" s="3" t="str">
        <f>IF(S525="",VLOOKUP(A525,[3]Export!$B$2:$F$417,5,0),"CHURN")</f>
        <v>CHURN</v>
      </c>
      <c r="O525" s="3" t="e">
        <f>(1-N525)*H525</f>
        <v>#VALUE!</v>
      </c>
      <c r="P525" s="3" t="e">
        <f t="shared" si="53"/>
        <v>#VALUE!</v>
      </c>
      <c r="Q525" s="3" t="e">
        <f t="shared" si="52"/>
        <v>#VALUE!</v>
      </c>
      <c r="R525" s="3" t="str">
        <f>IF(S525&lt;&gt;"Churn",VLOOKUP(A525,[3]Export!$B$2:$O$417,8,0),"CHURN")</f>
        <v>CHURN</v>
      </c>
      <c r="S525" s="3" t="s">
        <v>372</v>
      </c>
      <c r="T525" s="3" t="s">
        <v>554</v>
      </c>
      <c r="U525" s="3">
        <v>103.7</v>
      </c>
      <c r="V525" s="4" t="str" cm="1">
        <f t="array" ref="V525">IFERROR(
    IF(
        MATCH(2,1/((Y525:BH525&lt;&gt;0)*(Y525:BH525&lt;&gt;"")))-MATCH(1,INDEX((Y525:BH525&lt;&gt;0)*(Y525:BH525&lt;&gt;""),0),0)+1 &lt;= 12,
        "No",
        "Yes"
    ),
    "No"
)</f>
        <v>Yes</v>
      </c>
      <c r="W525" s="4" t="str" cm="1">
        <f t="array" ref="W525">IFERROR(
    IF(
        MATCH(2,1/((Y525:BH525&lt;&gt;0)*(Y525:BH525&lt;&gt;"")))-MATCH(1,INDEX((Y525:BH525&lt;&gt;0)*(Y525:BH525&lt;&gt;""),0),0)+1 &lt;= 24,
        "No",
        "Yes"
    ),
    "No"
)</f>
        <v>No</v>
      </c>
      <c r="X525" s="3"/>
      <c r="Y525" s="4">
        <v>0</v>
      </c>
      <c r="Z525" s="4">
        <v>0</v>
      </c>
      <c r="AA525" s="4">
        <v>0</v>
      </c>
      <c r="AB525" s="4">
        <v>0</v>
      </c>
      <c r="AC525" s="4">
        <v>0</v>
      </c>
      <c r="AD525" s="4">
        <v>0</v>
      </c>
      <c r="AE525" s="4">
        <v>0</v>
      </c>
      <c r="AF525" s="4">
        <v>0</v>
      </c>
      <c r="AG525" s="4">
        <v>119.16666666666667</v>
      </c>
      <c r="AH525" s="4">
        <v>119.16666666666667</v>
      </c>
      <c r="AI525" s="4">
        <v>119.16666666666667</v>
      </c>
      <c r="AJ525" s="4">
        <v>119.16666666666667</v>
      </c>
      <c r="AK525" s="4">
        <v>119.16666666666667</v>
      </c>
      <c r="AL525" s="4">
        <v>119.16666666666667</v>
      </c>
      <c r="AM525" s="4">
        <v>119.16666666666667</v>
      </c>
      <c r="AN525" s="4">
        <v>119.16666666666667</v>
      </c>
      <c r="AO525" s="4">
        <v>119.16666666666667</v>
      </c>
      <c r="AP525" s="4">
        <v>119.16666666666667</v>
      </c>
      <c r="AQ525" s="4">
        <v>119.16666666666667</v>
      </c>
      <c r="AR525" s="4">
        <v>119.16666666666667</v>
      </c>
      <c r="AS525" s="4">
        <v>103.7</v>
      </c>
      <c r="AT525" s="4">
        <v>103.7</v>
      </c>
      <c r="AU525" s="4">
        <v>103.7</v>
      </c>
      <c r="AV525" s="4">
        <v>103.7</v>
      </c>
      <c r="AW525" s="4">
        <v>103.7</v>
      </c>
      <c r="AX525" s="4">
        <v>103.7</v>
      </c>
      <c r="AY525" s="4">
        <v>103.7</v>
      </c>
      <c r="AZ525" s="4">
        <v>0</v>
      </c>
      <c r="BA525" s="4">
        <v>0</v>
      </c>
      <c r="BB525" s="4">
        <v>0</v>
      </c>
      <c r="BC525" s="4">
        <v>0</v>
      </c>
      <c r="BD525" s="4">
        <v>0</v>
      </c>
      <c r="BE525" s="4">
        <v>0</v>
      </c>
      <c r="BF525" s="4">
        <v>0</v>
      </c>
      <c r="BG525" s="4">
        <v>0</v>
      </c>
      <c r="BH525" s="4">
        <v>0</v>
      </c>
      <c r="BJ525" s="9"/>
    </row>
    <row r="526" spans="1:62" x14ac:dyDescent="0.25">
      <c r="A526" s="6" t="s">
        <v>364</v>
      </c>
      <c r="B526" s="6"/>
      <c r="C526" s="7" t="s">
        <v>526</v>
      </c>
      <c r="D526" s="3"/>
      <c r="E526" s="3">
        <f>VLOOKUP(A526,[2]Sheet1!$A$2:$E$627,5,0)</f>
        <v>119.16666666666667</v>
      </c>
      <c r="F526" s="3">
        <f>VLOOKUP(A526,[2]Sheet1!$A$2:$F$627,6,0)</f>
        <v>119.20039466666667</v>
      </c>
      <c r="G526" s="3">
        <f>VLOOKUP(A526,[2]Sheet1!$A$2:$G$627,7,0)</f>
        <v>62.584356916666664</v>
      </c>
      <c r="H526" s="4">
        <f t="shared" si="48"/>
        <v>62.584356916666664</v>
      </c>
      <c r="I526" s="11">
        <f t="shared" si="49"/>
        <v>2.8303216783213785E-4</v>
      </c>
      <c r="J526" s="11">
        <f t="shared" si="50"/>
        <v>-0.47481658531468535</v>
      </c>
      <c r="K526" s="11">
        <f t="shared" si="51"/>
        <v>-0.47496518705598023</v>
      </c>
      <c r="L526" s="11">
        <f>IF(S526="",((BG526-E526)/E526),((U526-E526)/E526))</f>
        <v>-0.47481658531468535</v>
      </c>
      <c r="M526" s="3" t="str">
        <f>IF(S526="Churn","Churn",VLOOKUP(A526,'[1]Revenue_Engine_2025 Dec.25'!$C$14:$E$3993,3,0))</f>
        <v>Diğer</v>
      </c>
      <c r="N526" s="3">
        <f>IF(S526="",VLOOKUP(A526,[3]Export!$B$2:$F$417,5,0),"CHURN")</f>
        <v>0.30419749206685082</v>
      </c>
      <c r="O526" s="3">
        <f>(1-N526)*H526</f>
        <v>43.54635249999999</v>
      </c>
      <c r="P526" s="3">
        <f t="shared" si="53"/>
        <v>82.939933555687844</v>
      </c>
      <c r="Q526" s="3">
        <f t="shared" si="52"/>
        <v>43.54635249999999</v>
      </c>
      <c r="R526" s="3" t="str">
        <f>IF(S526&lt;&gt;"Churn",VLOOKUP(A526,[3]Export!$B$2:$O$417,8,0),"CHURN")</f>
        <v>NO RISK</v>
      </c>
      <c r="S526" s="3"/>
      <c r="T526" s="3"/>
      <c r="U526" s="3" t="s">
        <v>551</v>
      </c>
      <c r="V526" s="4" t="str" cm="1">
        <f t="array" ref="V526">IFERROR(
    IF(
        MATCH(2,1/((Y526:BH526&lt;&gt;0)*(Y526:BH526&lt;&gt;"")))-MATCH(1,INDEX((Y526:BH526&lt;&gt;0)*(Y526:BH526&lt;&gt;""),0),0)+1 &lt;= 12,
        "No",
        "Yes"
    ),
    "No"
)</f>
        <v>Yes</v>
      </c>
      <c r="W526" s="4" t="str" cm="1">
        <f t="array" ref="W526">IFERROR(
    IF(
        MATCH(2,1/((Y526:BH526&lt;&gt;0)*(Y526:BH526&lt;&gt;"")))-MATCH(1,INDEX((Y526:BH526&lt;&gt;0)*(Y526:BH526&lt;&gt;""),0),0)+1 &lt;= 24,
        "No",
        "Yes"
    ),
    "No"
)</f>
        <v>Yes</v>
      </c>
      <c r="X526" s="3"/>
      <c r="Y526" s="4">
        <v>0</v>
      </c>
      <c r="Z526" s="4">
        <v>0</v>
      </c>
      <c r="AA526" s="4">
        <v>0</v>
      </c>
      <c r="AB526" s="4">
        <v>0</v>
      </c>
      <c r="AC526" s="4">
        <v>0</v>
      </c>
      <c r="AD526" s="4">
        <v>0</v>
      </c>
      <c r="AE526" s="4">
        <v>0</v>
      </c>
      <c r="AF526" s="4">
        <v>0</v>
      </c>
      <c r="AG526" s="4">
        <v>119.16666666666667</v>
      </c>
      <c r="AH526" s="4">
        <v>119.16666666666667</v>
      </c>
      <c r="AI526" s="4">
        <v>119.16666666666667</v>
      </c>
      <c r="AJ526" s="4">
        <v>119.16666666666667</v>
      </c>
      <c r="AK526" s="4">
        <v>238.36706133333334</v>
      </c>
      <c r="AL526" s="4">
        <v>238.36706133333334</v>
      </c>
      <c r="AM526" s="4">
        <v>238.36706133333334</v>
      </c>
      <c r="AN526" s="4">
        <v>238.36706133333334</v>
      </c>
      <c r="AO526" s="4">
        <v>238.36706133333334</v>
      </c>
      <c r="AP526" s="4">
        <v>238.36706133333334</v>
      </c>
      <c r="AQ526" s="4">
        <v>238.36706133333334</v>
      </c>
      <c r="AR526" s="4">
        <v>238.36706133333334</v>
      </c>
      <c r="AS526" s="4">
        <v>119.20039466666667</v>
      </c>
      <c r="AT526" s="4">
        <v>119.20039466666667</v>
      </c>
      <c r="AU526" s="4">
        <v>119.20039466666667</v>
      </c>
      <c r="AV526" s="4">
        <v>119.20039466666667</v>
      </c>
      <c r="AW526" s="4">
        <v>0</v>
      </c>
      <c r="AX526" s="4">
        <v>0</v>
      </c>
      <c r="AY526" s="4">
        <v>62.584356916666664</v>
      </c>
      <c r="AZ526" s="4">
        <v>62.584356916666664</v>
      </c>
      <c r="BA526" s="4">
        <v>62.584356916666664</v>
      </c>
      <c r="BB526" s="4">
        <v>62.584356916666664</v>
      </c>
      <c r="BC526" s="4">
        <v>62.584356916666664</v>
      </c>
      <c r="BD526" s="4">
        <v>62.584356916666664</v>
      </c>
      <c r="BE526" s="4">
        <v>62.584356916666664</v>
      </c>
      <c r="BF526" s="4">
        <v>62.584356916666664</v>
      </c>
      <c r="BG526" s="4">
        <v>62.584356916666664</v>
      </c>
      <c r="BH526" s="4">
        <v>62.584356916666664</v>
      </c>
      <c r="BJ526" s="9"/>
    </row>
    <row r="527" spans="1:62" x14ac:dyDescent="0.25">
      <c r="A527" s="6" t="s">
        <v>508</v>
      </c>
      <c r="B527" s="6"/>
      <c r="C527" s="7" t="s">
        <v>526</v>
      </c>
      <c r="D527" s="3"/>
      <c r="E527" s="3">
        <f>VLOOKUP(A527,[2]Sheet1!$A$2:$E$627,5,0)</f>
        <v>119.16666666666667</v>
      </c>
      <c r="F527" s="3">
        <f>VLOOKUP(A527,[2]Sheet1!$A$2:$F$627,6,0)</f>
        <v>0</v>
      </c>
      <c r="G527" s="3">
        <f>VLOOKUP(A527,[2]Sheet1!$A$2:$G$627,7,0)</f>
        <v>0</v>
      </c>
      <c r="H527" s="4">
        <f t="shared" si="48"/>
        <v>0</v>
      </c>
      <c r="I527" s="11">
        <f t="shared" si="49"/>
        <v>-1</v>
      </c>
      <c r="J527" s="11">
        <f t="shared" si="50"/>
        <v>-1</v>
      </c>
      <c r="K527" s="11" t="e">
        <f t="shared" si="51"/>
        <v>#DIV/0!</v>
      </c>
      <c r="L527" s="11">
        <f>IF(S527="",((BG527-E527)/E527),((U527-E527)/E527))</f>
        <v>-0.12974241958041946</v>
      </c>
      <c r="M527" s="3" t="str">
        <f>IF(S527="Churn","Churn",VLOOKUP(A527,'[1]Revenue_Engine_2025 Dec.25'!$C$14:$E$3993,3,0))</f>
        <v>Churn</v>
      </c>
      <c r="N527" s="3" t="str">
        <f>IF(S527="",VLOOKUP(A527,[3]Export!$B$2:$F$417,5,0),"CHURN")</f>
        <v>CHURN</v>
      </c>
      <c r="O527" s="3" t="e">
        <f>(1-N527)*H527</f>
        <v>#VALUE!</v>
      </c>
      <c r="P527" s="3" t="e">
        <f t="shared" si="53"/>
        <v>#VALUE!</v>
      </c>
      <c r="Q527" s="3" t="e">
        <f t="shared" si="52"/>
        <v>#VALUE!</v>
      </c>
      <c r="R527" s="3" t="str">
        <f>IF(S527&lt;&gt;"Churn",VLOOKUP(A527,[3]Export!$B$2:$O$417,8,0),"CHURN")</f>
        <v>CHURN</v>
      </c>
      <c r="S527" s="3" t="s">
        <v>372</v>
      </c>
      <c r="T527" s="3" t="s">
        <v>554</v>
      </c>
      <c r="U527" s="3">
        <v>103.70569500000002</v>
      </c>
      <c r="V527" s="4" t="str" cm="1">
        <f t="array" ref="V527">IFERROR(
    IF(
        MATCH(2,1/((Y527:BH527&lt;&gt;0)*(Y527:BH527&lt;&gt;"")))-MATCH(1,INDEX((Y527:BH527&lt;&gt;0)*(Y527:BH527&lt;&gt;""),0),0)+1 &lt;= 12,
        "No",
        "Yes"
    ),
    "No"
)</f>
        <v>Yes</v>
      </c>
      <c r="W527" s="4" t="str" cm="1">
        <f t="array" ref="W527">IFERROR(
    IF(
        MATCH(2,1/((Y527:BH527&lt;&gt;0)*(Y527:BH527&lt;&gt;"")))-MATCH(1,INDEX((Y527:BH527&lt;&gt;0)*(Y527:BH527&lt;&gt;""),0),0)+1 &lt;= 24,
        "No",
        "Yes"
    ),
    "No"
)</f>
        <v>No</v>
      </c>
      <c r="X527" s="3"/>
      <c r="Y527" s="4">
        <v>0</v>
      </c>
      <c r="Z527" s="4">
        <v>0</v>
      </c>
      <c r="AA527" s="4">
        <v>0</v>
      </c>
      <c r="AB527" s="4">
        <v>0</v>
      </c>
      <c r="AC527" s="4">
        <v>0</v>
      </c>
      <c r="AD527" s="4">
        <v>0</v>
      </c>
      <c r="AE527" s="4">
        <v>0</v>
      </c>
      <c r="AF527" s="4">
        <v>0</v>
      </c>
      <c r="AG527" s="4">
        <v>119.16666666666667</v>
      </c>
      <c r="AH527" s="4">
        <v>119.16666666666667</v>
      </c>
      <c r="AI527" s="4">
        <v>119.16666666666667</v>
      </c>
      <c r="AJ527" s="4">
        <v>119.16666666666667</v>
      </c>
      <c r="AK527" s="4">
        <v>119.16666666666667</v>
      </c>
      <c r="AL527" s="4">
        <v>119.16666666666667</v>
      </c>
      <c r="AM527" s="4">
        <v>119.16666666666667</v>
      </c>
      <c r="AN527" s="4">
        <v>119.16666666666667</v>
      </c>
      <c r="AO527" s="4">
        <v>119.16666666666667</v>
      </c>
      <c r="AP527" s="4">
        <v>134.16666666666669</v>
      </c>
      <c r="AQ527" s="4">
        <v>134.16666666666669</v>
      </c>
      <c r="AR527" s="4">
        <v>134.16666666666669</v>
      </c>
      <c r="AS527" s="4">
        <v>118.70569500000002</v>
      </c>
      <c r="AT527" s="4">
        <v>103.70569500000002</v>
      </c>
      <c r="AU527" s="4">
        <v>103.70569500000002</v>
      </c>
      <c r="AV527" s="4">
        <v>103.70569500000002</v>
      </c>
      <c r="AW527" s="4">
        <v>103.70569500000002</v>
      </c>
      <c r="AX527" s="4">
        <v>103.70569500000002</v>
      </c>
      <c r="AY527" s="4">
        <v>103.70569500000002</v>
      </c>
      <c r="AZ527" s="4">
        <v>0</v>
      </c>
      <c r="BA527" s="4">
        <v>0</v>
      </c>
      <c r="BB527" s="4">
        <v>0</v>
      </c>
      <c r="BC527" s="4">
        <v>0</v>
      </c>
      <c r="BD527" s="4">
        <v>0</v>
      </c>
      <c r="BE527" s="4">
        <v>0</v>
      </c>
      <c r="BF527" s="4">
        <v>0</v>
      </c>
      <c r="BG527" s="4">
        <v>0</v>
      </c>
      <c r="BH527" s="4">
        <v>0</v>
      </c>
      <c r="BJ527" s="9"/>
    </row>
    <row r="528" spans="1:62" x14ac:dyDescent="0.25">
      <c r="A528" s="6" t="s">
        <v>506</v>
      </c>
      <c r="B528" s="6"/>
      <c r="C528" s="7" t="s">
        <v>526</v>
      </c>
      <c r="D528" s="3"/>
      <c r="E528" s="3">
        <f>VLOOKUP(A528,[2]Sheet1!$A$2:$E$627,5,0)</f>
        <v>119.16666666666667</v>
      </c>
      <c r="F528" s="3">
        <f>VLOOKUP(A528,[2]Sheet1!$A$2:$F$627,6,0)</f>
        <v>0</v>
      </c>
      <c r="G528" s="3">
        <f>VLOOKUP(A528,[2]Sheet1!$A$2:$G$627,7,0)</f>
        <v>0</v>
      </c>
      <c r="H528" s="4">
        <f t="shared" si="48"/>
        <v>0</v>
      </c>
      <c r="I528" s="11">
        <f t="shared" si="49"/>
        <v>-1</v>
      </c>
      <c r="J528" s="11">
        <f t="shared" si="50"/>
        <v>-1</v>
      </c>
      <c r="K528" s="11" t="e">
        <f t="shared" si="51"/>
        <v>#DIV/0!</v>
      </c>
      <c r="L528" s="11">
        <f>IF(S528="",((BG528-E528)/E528),((U528-E528)/E528))</f>
        <v>2.7972027972026378E-4</v>
      </c>
      <c r="M528" s="3" t="str">
        <f>IF(S528="Churn","Churn",VLOOKUP(A528,'[1]Revenue_Engine_2025 Dec.25'!$C$14:$E$3993,3,0))</f>
        <v>Churn</v>
      </c>
      <c r="N528" s="3" t="str">
        <f>IF(S528="",VLOOKUP(A528,[3]Export!$B$2:$F$417,5,0),"CHURN")</f>
        <v>CHURN</v>
      </c>
      <c r="O528" s="3" t="e">
        <f>(1-N528)*H528</f>
        <v>#VALUE!</v>
      </c>
      <c r="P528" s="3" t="e">
        <f t="shared" si="53"/>
        <v>#VALUE!</v>
      </c>
      <c r="Q528" s="3" t="e">
        <f t="shared" si="52"/>
        <v>#VALUE!</v>
      </c>
      <c r="R528" s="3" t="str">
        <f>IF(S528&lt;&gt;"Churn",VLOOKUP(A528,[3]Export!$B$2:$O$417,8,0),"CHURN")</f>
        <v>CHURN</v>
      </c>
      <c r="S528" s="3" t="s">
        <v>372</v>
      </c>
      <c r="T528" s="3" t="s">
        <v>554</v>
      </c>
      <c r="U528" s="3">
        <v>119.2</v>
      </c>
      <c r="V528" s="4" t="str" cm="1">
        <f t="array" ref="V528">IFERROR(
    IF(
        MATCH(2,1/((Y528:BH528&lt;&gt;0)*(Y528:BH528&lt;&gt;"")))-MATCH(1,INDEX((Y528:BH528&lt;&gt;0)*(Y528:BH528&lt;&gt;""),0),0)+1 &lt;= 12,
        "No",
        "Yes"
    ),
    "No"
)</f>
        <v>Yes</v>
      </c>
      <c r="W528" s="4" t="str" cm="1">
        <f t="array" ref="W528">IFERROR(
    IF(
        MATCH(2,1/((Y528:BH528&lt;&gt;0)*(Y528:BH528&lt;&gt;"")))-MATCH(1,INDEX((Y528:BH528&lt;&gt;0)*(Y528:BH528&lt;&gt;""),0),0)+1 &lt;= 24,
        "No",
        "Yes"
    ),
    "No"
)</f>
        <v>No</v>
      </c>
      <c r="X528" s="3"/>
      <c r="Y528" s="4">
        <v>0</v>
      </c>
      <c r="Z528" s="4">
        <v>0</v>
      </c>
      <c r="AA528" s="4">
        <v>0</v>
      </c>
      <c r="AB528" s="4">
        <v>0</v>
      </c>
      <c r="AC528" s="4">
        <v>0</v>
      </c>
      <c r="AD528" s="4">
        <v>0</v>
      </c>
      <c r="AE528" s="4">
        <v>0</v>
      </c>
      <c r="AF528" s="4">
        <v>0</v>
      </c>
      <c r="AG528" s="4">
        <v>119.16666666666667</v>
      </c>
      <c r="AH528" s="4">
        <v>119.16666666666667</v>
      </c>
      <c r="AI528" s="4">
        <v>119.16666666666667</v>
      </c>
      <c r="AJ528" s="4">
        <v>119.16666666666667</v>
      </c>
      <c r="AK528" s="4">
        <v>119.16666666666667</v>
      </c>
      <c r="AL528" s="4">
        <v>119.16666666666667</v>
      </c>
      <c r="AM528" s="4">
        <v>119.16666666666667</v>
      </c>
      <c r="AN528" s="4">
        <v>119.16666666666667</v>
      </c>
      <c r="AO528" s="4">
        <v>119.16666666666667</v>
      </c>
      <c r="AP528" s="4">
        <v>119.16666666666667</v>
      </c>
      <c r="AQ528" s="4">
        <v>119.16666666666667</v>
      </c>
      <c r="AR528" s="4">
        <v>119.16666666666667</v>
      </c>
      <c r="AS528" s="4">
        <v>103.7</v>
      </c>
      <c r="AT528" s="4">
        <v>119.2</v>
      </c>
      <c r="AU528" s="4">
        <v>119.2</v>
      </c>
      <c r="AV528" s="4">
        <v>119.2</v>
      </c>
      <c r="AW528" s="4">
        <v>119.2</v>
      </c>
      <c r="AX528" s="4">
        <v>119.2</v>
      </c>
      <c r="AY528" s="4">
        <v>119.2</v>
      </c>
      <c r="AZ528" s="4">
        <v>0</v>
      </c>
      <c r="BA528" s="4">
        <v>0</v>
      </c>
      <c r="BB528" s="4">
        <v>0</v>
      </c>
      <c r="BC528" s="4">
        <v>0</v>
      </c>
      <c r="BD528" s="4">
        <v>0</v>
      </c>
      <c r="BE528" s="4">
        <v>0</v>
      </c>
      <c r="BF528" s="4">
        <v>0</v>
      </c>
      <c r="BG528" s="4">
        <v>0</v>
      </c>
      <c r="BH528" s="4">
        <v>0</v>
      </c>
      <c r="BJ528" s="9"/>
    </row>
    <row r="529" spans="1:62" x14ac:dyDescent="0.25">
      <c r="A529" s="6" t="s">
        <v>513</v>
      </c>
      <c r="B529" s="6"/>
      <c r="C529" s="7" t="s">
        <v>526</v>
      </c>
      <c r="D529" s="3"/>
      <c r="E529" s="3">
        <f>VLOOKUP(A529,[2]Sheet1!$A$2:$E$627,5,0)</f>
        <v>119.2</v>
      </c>
      <c r="F529" s="3">
        <f>VLOOKUP(A529,[2]Sheet1!$A$2:$F$627,6,0)</f>
        <v>0</v>
      </c>
      <c r="G529" s="3">
        <f>VLOOKUP(A529,[2]Sheet1!$A$2:$G$627,7,0)</f>
        <v>0</v>
      </c>
      <c r="H529" s="4">
        <f t="shared" si="48"/>
        <v>0</v>
      </c>
      <c r="I529" s="11">
        <f t="shared" si="49"/>
        <v>-1</v>
      </c>
      <c r="J529" s="11">
        <f t="shared" si="50"/>
        <v>-1</v>
      </c>
      <c r="K529" s="11" t="e">
        <f t="shared" si="51"/>
        <v>#DIV/0!</v>
      </c>
      <c r="L529" s="11">
        <f>IF(S529="",((BG529-E529)/E529),((U529-E529)/E529))</f>
        <v>-0.13003355704697986</v>
      </c>
      <c r="M529" s="3" t="str">
        <f>IF(S529="Churn","Churn",VLOOKUP(A529,'[1]Revenue_Engine_2025 Dec.25'!$C$14:$E$3993,3,0))</f>
        <v>Churn</v>
      </c>
      <c r="N529" s="3" t="str">
        <f>IF(S529="",VLOOKUP(A529,[3]Export!$B$2:$F$417,5,0),"CHURN")</f>
        <v>CHURN</v>
      </c>
      <c r="O529" s="3" t="e">
        <f>(1-N529)*H529</f>
        <v>#VALUE!</v>
      </c>
      <c r="P529" s="3" t="e">
        <f t="shared" si="53"/>
        <v>#VALUE!</v>
      </c>
      <c r="Q529" s="3" t="e">
        <f t="shared" si="52"/>
        <v>#VALUE!</v>
      </c>
      <c r="R529" s="3" t="str">
        <f>IF(S529&lt;&gt;"Churn",VLOOKUP(A529,[3]Export!$B$2:$O$417,8,0),"CHURN")</f>
        <v>CHURN</v>
      </c>
      <c r="S529" s="3" t="s">
        <v>372</v>
      </c>
      <c r="T529" s="3" t="s">
        <v>554</v>
      </c>
      <c r="U529" s="3">
        <v>103.7</v>
      </c>
      <c r="V529" s="4" t="str" cm="1">
        <f t="array" ref="V529">IFERROR(
    IF(
        MATCH(2,1/((Y529:BH529&lt;&gt;0)*(Y529:BH529&lt;&gt;"")))-MATCH(1,INDEX((Y529:BH529&lt;&gt;0)*(Y529:BH529&lt;&gt;""),0),0)+1 &lt;= 12,
        "No",
        "Yes"
    ),
    "No"
)</f>
        <v>Yes</v>
      </c>
      <c r="W529" s="4" t="str" cm="1">
        <f t="array" ref="W529">IFERROR(
    IF(
        MATCH(2,1/((Y529:BH529&lt;&gt;0)*(Y529:BH529&lt;&gt;"")))-MATCH(1,INDEX((Y529:BH529&lt;&gt;0)*(Y529:BH529&lt;&gt;""),0),0)+1 &lt;= 24,
        "No",
        "Yes"
    ),
    "No"
)</f>
        <v>No</v>
      </c>
      <c r="X529" s="3"/>
      <c r="Y529" s="4">
        <v>0</v>
      </c>
      <c r="Z529" s="4">
        <v>0</v>
      </c>
      <c r="AA529" s="4">
        <v>0</v>
      </c>
      <c r="AB529" s="4">
        <v>0</v>
      </c>
      <c r="AC529" s="4">
        <v>0</v>
      </c>
      <c r="AD529" s="4">
        <v>0</v>
      </c>
      <c r="AE529" s="4">
        <v>0</v>
      </c>
      <c r="AF529" s="4">
        <v>0</v>
      </c>
      <c r="AG529" s="4">
        <v>0</v>
      </c>
      <c r="AH529" s="4">
        <v>0</v>
      </c>
      <c r="AI529" s="4">
        <v>119.2</v>
      </c>
      <c r="AJ529" s="4">
        <v>119.2</v>
      </c>
      <c r="AK529" s="4">
        <v>119.2</v>
      </c>
      <c r="AL529" s="4">
        <v>119.2</v>
      </c>
      <c r="AM529" s="4">
        <v>119.2</v>
      </c>
      <c r="AN529" s="4">
        <v>119.2</v>
      </c>
      <c r="AO529" s="4">
        <v>119.2</v>
      </c>
      <c r="AP529" s="4">
        <v>119.2</v>
      </c>
      <c r="AQ529" s="4">
        <v>119.2</v>
      </c>
      <c r="AR529" s="4">
        <v>119.2</v>
      </c>
      <c r="AS529" s="4">
        <v>119.2</v>
      </c>
      <c r="AT529" s="4">
        <v>119.2</v>
      </c>
      <c r="AU529" s="4">
        <v>103.7</v>
      </c>
      <c r="AV529" s="4">
        <v>103.7</v>
      </c>
      <c r="AW529" s="4">
        <v>103.7</v>
      </c>
      <c r="AX529" s="4">
        <v>103.7</v>
      </c>
      <c r="AY529" s="4">
        <v>103.7</v>
      </c>
      <c r="AZ529" s="4">
        <v>0</v>
      </c>
      <c r="BA529" s="4">
        <v>0</v>
      </c>
      <c r="BB529" s="4">
        <v>0</v>
      </c>
      <c r="BC529" s="4">
        <v>0</v>
      </c>
      <c r="BD529" s="4">
        <v>0</v>
      </c>
      <c r="BE529" s="4">
        <v>0</v>
      </c>
      <c r="BF529" s="4">
        <v>0</v>
      </c>
      <c r="BG529" s="4">
        <v>0</v>
      </c>
      <c r="BH529" s="4">
        <v>0</v>
      </c>
      <c r="BJ529" s="9"/>
    </row>
    <row r="530" spans="1:62" x14ac:dyDescent="0.25">
      <c r="A530" s="8" t="s">
        <v>365</v>
      </c>
      <c r="B530" s="8"/>
      <c r="C530" s="7" t="s">
        <v>526</v>
      </c>
      <c r="D530" s="3"/>
      <c r="E530" s="3">
        <f>VLOOKUP(A530,[2]Sheet1!$A$2:$E$627,5,0)</f>
        <v>99.319299999999998</v>
      </c>
      <c r="F530" s="3">
        <f>VLOOKUP(A530,[2]Sheet1!$A$2:$F$627,6,0)</f>
        <v>103.689308</v>
      </c>
      <c r="G530" s="3">
        <f>VLOOKUP(A530,[2]Sheet1!$A$2:$G$627,7,0)</f>
        <v>0</v>
      </c>
      <c r="H530" s="4">
        <f t="shared" si="48"/>
        <v>0</v>
      </c>
      <c r="I530" s="11">
        <f t="shared" si="49"/>
        <v>4.3999585176295028E-2</v>
      </c>
      <c r="J530" s="11">
        <f t="shared" si="50"/>
        <v>-1</v>
      </c>
      <c r="K530" s="11">
        <f t="shared" si="51"/>
        <v>-1</v>
      </c>
      <c r="L530" s="11">
        <f>IF(S530="",((BG530-E530)/E530),((U530-E530)/E530))</f>
        <v>4.3999585176295028E-2</v>
      </c>
      <c r="M530" s="3" t="str">
        <f>IF(S530="Churn","Churn",VLOOKUP(A530,'[1]Revenue_Engine_2025 Dec.25'!$C$14:$E$3993,3,0))</f>
        <v>Churn</v>
      </c>
      <c r="N530" s="3" t="str">
        <f>IF(S530="",VLOOKUP(A530,[3]Export!$B$2:$F$417,5,0),"CHURN")</f>
        <v>CHURN</v>
      </c>
      <c r="O530" s="3" t="e">
        <f>(1-N530)*H530</f>
        <v>#VALUE!</v>
      </c>
      <c r="P530" s="3" t="e">
        <f t="shared" si="53"/>
        <v>#VALUE!</v>
      </c>
      <c r="Q530" s="3" t="e">
        <f t="shared" si="52"/>
        <v>#VALUE!</v>
      </c>
      <c r="R530" s="3" t="str">
        <f>IF(S530&lt;&gt;"Churn",VLOOKUP(A530,[3]Export!$B$2:$O$417,8,0),"CHURN")</f>
        <v>CHURN</v>
      </c>
      <c r="S530" s="3" t="s">
        <v>372</v>
      </c>
      <c r="T530" s="3" t="s">
        <v>550</v>
      </c>
      <c r="U530" s="3">
        <v>103.689308</v>
      </c>
      <c r="V530" s="4" t="str" cm="1">
        <f t="array" ref="V530">IFERROR(
    IF(
        MATCH(2,1/((Y530:BH530&lt;&gt;0)*(Y530:BH530&lt;&gt;"")))-MATCH(1,INDEX((Y530:BH530&lt;&gt;0)*(Y530:BH530&lt;&gt;""),0),0)+1 &lt;= 12,
        "No",
        "Yes"
    ),
    "No"
)</f>
        <v>Yes</v>
      </c>
      <c r="W530" s="4" t="str" cm="1">
        <f t="array" ref="W530">IFERROR(
    IF(
        MATCH(2,1/((Y530:BH530&lt;&gt;0)*(Y530:BH530&lt;&gt;"")))-MATCH(1,INDEX((Y530:BH530&lt;&gt;0)*(Y530:BH530&lt;&gt;""),0),0)+1 &lt;= 24,
        "No",
        "Yes"
    ),
    "No"
)</f>
        <v>No</v>
      </c>
      <c r="X530" s="3"/>
      <c r="Y530" s="4">
        <v>0</v>
      </c>
      <c r="Z530" s="4">
        <v>0</v>
      </c>
      <c r="AA530" s="4">
        <v>0</v>
      </c>
      <c r="AB530" s="4">
        <v>0</v>
      </c>
      <c r="AC530" s="4">
        <v>0</v>
      </c>
      <c r="AD530" s="4">
        <v>0</v>
      </c>
      <c r="AE530" s="4">
        <v>0</v>
      </c>
      <c r="AF530" s="4">
        <v>0</v>
      </c>
      <c r="AG530" s="4">
        <v>0</v>
      </c>
      <c r="AH530" s="4">
        <v>0</v>
      </c>
      <c r="AI530" s="4">
        <v>0</v>
      </c>
      <c r="AJ530" s="4">
        <v>0</v>
      </c>
      <c r="AK530" s="4">
        <v>0</v>
      </c>
      <c r="AL530" s="4">
        <v>0</v>
      </c>
      <c r="AM530" s="4">
        <v>0</v>
      </c>
      <c r="AN530" s="4">
        <v>0</v>
      </c>
      <c r="AO530" s="4">
        <v>0</v>
      </c>
      <c r="AP530" s="4">
        <v>99.319299999999998</v>
      </c>
      <c r="AQ530" s="4">
        <v>99.319299999999998</v>
      </c>
      <c r="AR530" s="4">
        <v>99.319299999999998</v>
      </c>
      <c r="AS530" s="4">
        <v>103.685765</v>
      </c>
      <c r="AT530" s="4">
        <v>103.6893</v>
      </c>
      <c r="AU530" s="4">
        <v>103.6893</v>
      </c>
      <c r="AV530" s="4">
        <v>103.6893</v>
      </c>
      <c r="AW530" s="4">
        <v>103.6893</v>
      </c>
      <c r="AX530" s="4">
        <v>103.6893</v>
      </c>
      <c r="AY530" s="4">
        <v>103.6893</v>
      </c>
      <c r="AZ530" s="4">
        <v>103.6893</v>
      </c>
      <c r="BA530" s="4">
        <v>103.689308</v>
      </c>
      <c r="BB530" s="4">
        <v>103.689308</v>
      </c>
      <c r="BC530" s="4">
        <v>0</v>
      </c>
      <c r="BD530" s="4">
        <v>0</v>
      </c>
      <c r="BE530" s="4">
        <v>0</v>
      </c>
      <c r="BF530" s="4">
        <v>0</v>
      </c>
      <c r="BG530" s="4">
        <v>0</v>
      </c>
      <c r="BH530" s="4">
        <v>0</v>
      </c>
      <c r="BJ530" s="9"/>
    </row>
  </sheetData>
  <autoFilter ref="A1:BJ530" xr:uid="{789A2ACE-7A83-4716-87AA-28554BFAA51B}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Emircan Aslanhan</dc:creator>
  <cp:lastModifiedBy>Emircan Aslanhan</cp:lastModifiedBy>
  <dcterms:created xsi:type="dcterms:W3CDTF">2015-06-05T18:17:20Z</dcterms:created>
  <dcterms:modified xsi:type="dcterms:W3CDTF">2026-01-28T12:54:42Z</dcterms:modified>
</cp:coreProperties>
</file>