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rcan Aslanhan\Downloads\glok\"/>
    </mc:Choice>
  </mc:AlternateContent>
  <xr:revisionPtr revIDLastSave="0" documentId="13_ncr:1_{2CBCE623-452A-4E0A-B64B-8058C5B4C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Sheet1!$A$1:$BM$627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7" i="1" l="1"/>
  <c r="Q476" i="1"/>
  <c r="Q471" i="1"/>
  <c r="Q470" i="1"/>
  <c r="Q469" i="1"/>
  <c r="Q468" i="1"/>
  <c r="Q467" i="1"/>
  <c r="Q462" i="1"/>
  <c r="Q461" i="1"/>
  <c r="Q460" i="1"/>
  <c r="Q459" i="1"/>
  <c r="Q458" i="1"/>
  <c r="Q457" i="1"/>
  <c r="Q455" i="1"/>
  <c r="Q452" i="1"/>
  <c r="Q449" i="1"/>
  <c r="Q446" i="1"/>
  <c r="Q443" i="1"/>
  <c r="Q441" i="1"/>
  <c r="Q439" i="1"/>
  <c r="Q437" i="1"/>
  <c r="Q428" i="1"/>
  <c r="Q420" i="1"/>
  <c r="Q414" i="1"/>
  <c r="Q409" i="1"/>
  <c r="Q403" i="1"/>
  <c r="Q386" i="1"/>
  <c r="Q374" i="1"/>
  <c r="Q342" i="1"/>
  <c r="Q328" i="1"/>
  <c r="Q320" i="1"/>
  <c r="Q310" i="1"/>
  <c r="Q309" i="1"/>
  <c r="Q304" i="1"/>
  <c r="Q294" i="1"/>
  <c r="Q293" i="1"/>
  <c r="Q279" i="1"/>
  <c r="Q277" i="1"/>
  <c r="Q273" i="1"/>
  <c r="Q270" i="1"/>
  <c r="Q269" i="1"/>
  <c r="Q267" i="1"/>
  <c r="Q262" i="1"/>
  <c r="Q261" i="1"/>
  <c r="Q257" i="1"/>
  <c r="Q242" i="1"/>
  <c r="Q231" i="1"/>
  <c r="Q225" i="1"/>
  <c r="Q220" i="1"/>
  <c r="Q219" i="1"/>
  <c r="Q217" i="1"/>
  <c r="Q213" i="1"/>
  <c r="Q212" i="1"/>
  <c r="Q204" i="1"/>
  <c r="Q193" i="1"/>
  <c r="Q192" i="1"/>
  <c r="Q187" i="1"/>
  <c r="Q183" i="1"/>
  <c r="Q179" i="1"/>
  <c r="Q176" i="1"/>
  <c r="Q162" i="1"/>
  <c r="Q158" i="1"/>
  <c r="Q154" i="1"/>
  <c r="Q149" i="1"/>
  <c r="Q147" i="1"/>
  <c r="Q145" i="1"/>
  <c r="Q142" i="1"/>
  <c r="Q140" i="1"/>
  <c r="Q138" i="1"/>
  <c r="Q124" i="1"/>
  <c r="Q123" i="1"/>
  <c r="Q120" i="1"/>
  <c r="Q115" i="1"/>
  <c r="Q114" i="1"/>
  <c r="Q112" i="1"/>
  <c r="Q111" i="1"/>
  <c r="Q109" i="1"/>
  <c r="Q106" i="1"/>
  <c r="Q104" i="1"/>
  <c r="Q98" i="1"/>
  <c r="Q97" i="1"/>
  <c r="Q94" i="1"/>
  <c r="Q91" i="1"/>
  <c r="Q89" i="1"/>
  <c r="Q81" i="1"/>
  <c r="Q77" i="1"/>
  <c r="Q76" i="1"/>
  <c r="Q73" i="1"/>
  <c r="Q71" i="1"/>
  <c r="Q70" i="1"/>
  <c r="Q65" i="1"/>
  <c r="Q62" i="1"/>
  <c r="Q61" i="1"/>
  <c r="Q58" i="1"/>
  <c r="Q55" i="1"/>
  <c r="Q54" i="1"/>
  <c r="Q53" i="1"/>
  <c r="Q52" i="1"/>
  <c r="Q51" i="1"/>
  <c r="Q50" i="1"/>
  <c r="Q49" i="1"/>
  <c r="Q44" i="1"/>
  <c r="Q43" i="1"/>
  <c r="Q40" i="1"/>
  <c r="Q38" i="1"/>
  <c r="Q37" i="1"/>
  <c r="Q35" i="1"/>
  <c r="Q34" i="1"/>
  <c r="Q33" i="1"/>
  <c r="Q32" i="1"/>
  <c r="Q30" i="1"/>
  <c r="Q28" i="1"/>
  <c r="Q27" i="1"/>
  <c r="Q26" i="1"/>
  <c r="Q25" i="1"/>
  <c r="Q24" i="1"/>
  <c r="Q22" i="1"/>
  <c r="Q21" i="1"/>
  <c r="Q20" i="1"/>
  <c r="Q19" i="1"/>
  <c r="Q16" i="1"/>
  <c r="Q14" i="1"/>
  <c r="Q13" i="1"/>
  <c r="Q10" i="1"/>
  <c r="Q8" i="1"/>
  <c r="W627" i="1" a="1"/>
  <c r="W627" i="1" s="1"/>
  <c r="W626" i="1" a="1"/>
  <c r="W626" i="1" s="1"/>
  <c r="W625" i="1" a="1"/>
  <c r="W625" i="1" s="1"/>
  <c r="W624" i="1" a="1"/>
  <c r="W624" i="1" s="1"/>
  <c r="W623" i="1" a="1"/>
  <c r="W623" i="1" s="1"/>
  <c r="W622" i="1" a="1"/>
  <c r="W622" i="1" s="1"/>
  <c r="W621" i="1" a="1"/>
  <c r="W621" i="1" s="1"/>
  <c r="W620" i="1" a="1"/>
  <c r="W620" i="1" s="1"/>
  <c r="W619" i="1" a="1"/>
  <c r="W619" i="1" s="1"/>
  <c r="W618" i="1" a="1"/>
  <c r="W618" i="1" s="1"/>
  <c r="W617" i="1" a="1"/>
  <c r="W617" i="1" s="1"/>
  <c r="W616" i="1" a="1"/>
  <c r="W616" i="1" s="1"/>
  <c r="W615" i="1" a="1"/>
  <c r="W615" i="1" s="1"/>
  <c r="W614" i="1" a="1"/>
  <c r="W614" i="1" s="1"/>
  <c r="W613" i="1" a="1"/>
  <c r="W613" i="1" s="1"/>
  <c r="W612" i="1" a="1"/>
  <c r="W612" i="1" s="1"/>
  <c r="W611" i="1" a="1"/>
  <c r="W611" i="1" s="1"/>
  <c r="W610" i="1" a="1"/>
  <c r="W610" i="1" s="1"/>
  <c r="W609" i="1" a="1"/>
  <c r="W609" i="1" s="1"/>
  <c r="W608" i="1" a="1"/>
  <c r="W608" i="1" s="1"/>
  <c r="W607" i="1" a="1"/>
  <c r="W607" i="1" s="1"/>
  <c r="W606" i="1" a="1"/>
  <c r="W606" i="1" s="1"/>
  <c r="W605" i="1" a="1"/>
  <c r="W605" i="1" s="1"/>
  <c r="W604" i="1" a="1"/>
  <c r="W604" i="1" s="1"/>
  <c r="W603" i="1" a="1"/>
  <c r="W603" i="1" s="1"/>
  <c r="W602" i="1" a="1"/>
  <c r="W602" i="1" s="1"/>
  <c r="W601" i="1" a="1"/>
  <c r="W601" i="1" s="1"/>
  <c r="W600" i="1" a="1"/>
  <c r="W600" i="1" s="1"/>
  <c r="W599" i="1" a="1"/>
  <c r="W599" i="1" s="1"/>
  <c r="W598" i="1" a="1"/>
  <c r="W598" i="1" s="1"/>
  <c r="W597" i="1" a="1"/>
  <c r="W597" i="1" s="1"/>
  <c r="W596" i="1" a="1"/>
  <c r="W596" i="1" s="1"/>
  <c r="W595" i="1" a="1"/>
  <c r="W595" i="1" s="1"/>
  <c r="W594" i="1" a="1"/>
  <c r="W594" i="1" s="1"/>
  <c r="W593" i="1" a="1"/>
  <c r="W593" i="1" s="1"/>
  <c r="W592" i="1" a="1"/>
  <c r="W592" i="1" s="1"/>
  <c r="W591" i="1" a="1"/>
  <c r="W591" i="1" s="1"/>
  <c r="W590" i="1" a="1"/>
  <c r="W590" i="1" s="1"/>
  <c r="W589" i="1" a="1"/>
  <c r="W589" i="1" s="1"/>
  <c r="W588" i="1" a="1"/>
  <c r="W588" i="1" s="1"/>
  <c r="W587" i="1" a="1"/>
  <c r="W587" i="1" s="1"/>
  <c r="W586" i="1" a="1"/>
  <c r="W586" i="1" s="1"/>
  <c r="W585" i="1" a="1"/>
  <c r="W585" i="1" s="1"/>
  <c r="W584" i="1" a="1"/>
  <c r="W584" i="1" s="1"/>
  <c r="W583" i="1" a="1"/>
  <c r="W583" i="1" s="1"/>
  <c r="W582" i="1" a="1"/>
  <c r="W582" i="1" s="1"/>
  <c r="W581" i="1" a="1"/>
  <c r="W581" i="1" s="1"/>
  <c r="W580" i="1" a="1"/>
  <c r="W580" i="1" s="1"/>
  <c r="W579" i="1" a="1"/>
  <c r="W579" i="1" s="1"/>
  <c r="W578" i="1" a="1"/>
  <c r="W578" i="1" s="1"/>
  <c r="W577" i="1" a="1"/>
  <c r="W577" i="1" s="1"/>
  <c r="W576" i="1" a="1"/>
  <c r="W576" i="1" s="1"/>
  <c r="W575" i="1" a="1"/>
  <c r="W575" i="1" s="1"/>
  <c r="W574" i="1" a="1"/>
  <c r="W574" i="1" s="1"/>
  <c r="W573" i="1" a="1"/>
  <c r="W573" i="1" s="1"/>
  <c r="W572" i="1" a="1"/>
  <c r="W572" i="1" s="1"/>
  <c r="W571" i="1" a="1"/>
  <c r="W571" i="1" s="1"/>
  <c r="W570" i="1" a="1"/>
  <c r="W570" i="1" s="1"/>
  <c r="W569" i="1" a="1"/>
  <c r="W569" i="1" s="1"/>
  <c r="W568" i="1" a="1"/>
  <c r="W568" i="1" s="1"/>
  <c r="W567" i="1" a="1"/>
  <c r="W567" i="1" s="1"/>
  <c r="W566" i="1" a="1"/>
  <c r="W566" i="1" s="1"/>
  <c r="W565" i="1" a="1"/>
  <c r="W565" i="1" s="1"/>
  <c r="W564" i="1" a="1"/>
  <c r="W564" i="1" s="1"/>
  <c r="W563" i="1" a="1"/>
  <c r="W563" i="1" s="1"/>
  <c r="W562" i="1" a="1"/>
  <c r="W562" i="1" s="1"/>
  <c r="W561" i="1" a="1"/>
  <c r="W561" i="1" s="1"/>
  <c r="W560" i="1" a="1"/>
  <c r="W560" i="1" s="1"/>
  <c r="W559" i="1" a="1"/>
  <c r="W559" i="1" s="1"/>
  <c r="W558" i="1" a="1"/>
  <c r="W558" i="1" s="1"/>
  <c r="W557" i="1" a="1"/>
  <c r="W557" i="1" s="1"/>
  <c r="W556" i="1" a="1"/>
  <c r="W556" i="1" s="1"/>
  <c r="W555" i="1" a="1"/>
  <c r="W555" i="1" s="1"/>
  <c r="W554" i="1" a="1"/>
  <c r="W554" i="1" s="1"/>
  <c r="W553" i="1" a="1"/>
  <c r="W553" i="1" s="1"/>
  <c r="W552" i="1" a="1"/>
  <c r="W552" i="1" s="1"/>
  <c r="W551" i="1" a="1"/>
  <c r="W551" i="1" s="1"/>
  <c r="W550" i="1" a="1"/>
  <c r="W550" i="1" s="1"/>
  <c r="W549" i="1" a="1"/>
  <c r="W549" i="1" s="1"/>
  <c r="W548" i="1" a="1"/>
  <c r="W548" i="1" s="1"/>
  <c r="W547" i="1" a="1"/>
  <c r="W547" i="1" s="1"/>
  <c r="W546" i="1" a="1"/>
  <c r="W546" i="1" s="1"/>
  <c r="W545" i="1" a="1"/>
  <c r="W545" i="1" s="1"/>
  <c r="W544" i="1" a="1"/>
  <c r="W544" i="1" s="1"/>
  <c r="W543" i="1" a="1"/>
  <c r="W543" i="1" s="1"/>
  <c r="W542" i="1" a="1"/>
  <c r="W542" i="1" s="1"/>
  <c r="W541" i="1" a="1"/>
  <c r="W541" i="1" s="1"/>
  <c r="W540" i="1" a="1"/>
  <c r="W540" i="1" s="1"/>
  <c r="W539" i="1" a="1"/>
  <c r="W539" i="1" s="1"/>
  <c r="W538" i="1" a="1"/>
  <c r="W538" i="1" s="1"/>
  <c r="W537" i="1" a="1"/>
  <c r="W537" i="1" s="1"/>
  <c r="W536" i="1" a="1"/>
  <c r="W536" i="1" s="1"/>
  <c r="W535" i="1" a="1"/>
  <c r="W535" i="1" s="1"/>
  <c r="W534" i="1" a="1"/>
  <c r="W534" i="1" s="1"/>
  <c r="W533" i="1" a="1"/>
  <c r="W533" i="1" s="1"/>
  <c r="W532" i="1" a="1"/>
  <c r="W532" i="1" s="1"/>
  <c r="W531" i="1" a="1"/>
  <c r="W531" i="1" s="1"/>
  <c r="W530" i="1" a="1"/>
  <c r="W530" i="1" s="1"/>
  <c r="W529" i="1" a="1"/>
  <c r="W529" i="1" s="1"/>
  <c r="W528" i="1" a="1"/>
  <c r="W528" i="1" s="1"/>
  <c r="W527" i="1" a="1"/>
  <c r="W527" i="1" s="1"/>
  <c r="W526" i="1" a="1"/>
  <c r="W526" i="1" s="1"/>
  <c r="W525" i="1" a="1"/>
  <c r="W525" i="1" s="1"/>
  <c r="W524" i="1" a="1"/>
  <c r="W524" i="1" s="1"/>
  <c r="W523" i="1" a="1"/>
  <c r="W523" i="1" s="1"/>
  <c r="W522" i="1" a="1"/>
  <c r="W522" i="1" s="1"/>
  <c r="W521" i="1" a="1"/>
  <c r="W521" i="1" s="1"/>
  <c r="W520" i="1" a="1"/>
  <c r="W520" i="1" s="1"/>
  <c r="W519" i="1" a="1"/>
  <c r="W519" i="1" s="1"/>
  <c r="W518" i="1" a="1"/>
  <c r="W518" i="1" s="1"/>
  <c r="W517" i="1" a="1"/>
  <c r="W517" i="1" s="1"/>
  <c r="W516" i="1" a="1"/>
  <c r="W516" i="1" s="1"/>
  <c r="W515" i="1" a="1"/>
  <c r="W515" i="1" s="1"/>
  <c r="W514" i="1" a="1"/>
  <c r="W514" i="1" s="1"/>
  <c r="W513" i="1" a="1"/>
  <c r="W513" i="1" s="1"/>
  <c r="W512" i="1" a="1"/>
  <c r="W512" i="1" s="1"/>
  <c r="W511" i="1" a="1"/>
  <c r="W511" i="1" s="1"/>
  <c r="W510" i="1" a="1"/>
  <c r="W510" i="1" s="1"/>
  <c r="W509" i="1" a="1"/>
  <c r="W509" i="1" s="1"/>
  <c r="W508" i="1" a="1"/>
  <c r="W508" i="1" s="1"/>
  <c r="W507" i="1" a="1"/>
  <c r="W507" i="1" s="1"/>
  <c r="W506" i="1" a="1"/>
  <c r="W506" i="1" s="1"/>
  <c r="W505" i="1" a="1"/>
  <c r="W505" i="1" s="1"/>
  <c r="W504" i="1" a="1"/>
  <c r="W504" i="1" s="1"/>
  <c r="W503" i="1" a="1"/>
  <c r="W503" i="1" s="1"/>
  <c r="W502" i="1" a="1"/>
  <c r="W502" i="1" s="1"/>
  <c r="W501" i="1" a="1"/>
  <c r="W501" i="1" s="1"/>
  <c r="W500" i="1" a="1"/>
  <c r="W500" i="1" s="1"/>
  <c r="W499" i="1" a="1"/>
  <c r="W499" i="1" s="1"/>
  <c r="W498" i="1" a="1"/>
  <c r="W498" i="1" s="1"/>
  <c r="W497" i="1" a="1"/>
  <c r="W497" i="1" s="1"/>
  <c r="W496" i="1" a="1"/>
  <c r="W496" i="1" s="1"/>
  <c r="W495" i="1" a="1"/>
  <c r="W495" i="1" s="1"/>
  <c r="W494" i="1" a="1"/>
  <c r="W494" i="1" s="1"/>
  <c r="W493" i="1" a="1"/>
  <c r="W493" i="1" s="1"/>
  <c r="W492" i="1" a="1"/>
  <c r="W492" i="1" s="1"/>
  <c r="W491" i="1" a="1"/>
  <c r="W491" i="1" s="1"/>
  <c r="W490" i="1" a="1"/>
  <c r="W490" i="1" s="1"/>
  <c r="W489" i="1" a="1"/>
  <c r="W489" i="1" s="1"/>
  <c r="W488" i="1" a="1"/>
  <c r="W488" i="1" s="1"/>
  <c r="W487" i="1" a="1"/>
  <c r="W487" i="1" s="1"/>
  <c r="W486" i="1" a="1"/>
  <c r="W486" i="1" s="1"/>
  <c r="W485" i="1" a="1"/>
  <c r="W485" i="1" s="1"/>
  <c r="W484" i="1" a="1"/>
  <c r="W484" i="1" s="1"/>
  <c r="W483" i="1" a="1"/>
  <c r="W483" i="1" s="1"/>
  <c r="W482" i="1" a="1"/>
  <c r="W482" i="1" s="1"/>
  <c r="W481" i="1" a="1"/>
  <c r="W481" i="1" s="1"/>
  <c r="W480" i="1" a="1"/>
  <c r="W480" i="1" s="1"/>
  <c r="W479" i="1" a="1"/>
  <c r="W479" i="1" s="1"/>
  <c r="W478" i="1" a="1"/>
  <c r="W478" i="1" s="1"/>
  <c r="W477" i="1" a="1"/>
  <c r="W477" i="1" s="1"/>
  <c r="W476" i="1" a="1"/>
  <c r="W476" i="1" s="1"/>
  <c r="W475" i="1" a="1"/>
  <c r="W475" i="1" s="1"/>
  <c r="W474" i="1" a="1"/>
  <c r="W474" i="1" s="1"/>
  <c r="W473" i="1" a="1"/>
  <c r="W473" i="1" s="1"/>
  <c r="W472" i="1" a="1"/>
  <c r="W472" i="1" s="1"/>
  <c r="W471" i="1" a="1"/>
  <c r="W471" i="1" s="1"/>
  <c r="W470" i="1" a="1"/>
  <c r="W470" i="1" s="1"/>
  <c r="W469" i="1" a="1"/>
  <c r="W469" i="1" s="1"/>
  <c r="W468" i="1" a="1"/>
  <c r="W468" i="1" s="1"/>
  <c r="W467" i="1" a="1"/>
  <c r="W467" i="1" s="1"/>
  <c r="W466" i="1" a="1"/>
  <c r="W466" i="1" s="1"/>
  <c r="W465" i="1" a="1"/>
  <c r="W465" i="1" s="1"/>
  <c r="W464" i="1" a="1"/>
  <c r="W464" i="1" s="1"/>
  <c r="W463" i="1" a="1"/>
  <c r="W463" i="1" s="1"/>
  <c r="W462" i="1" a="1"/>
  <c r="W462" i="1" s="1"/>
  <c r="W461" i="1" a="1"/>
  <c r="W461" i="1" s="1"/>
  <c r="W460" i="1" a="1"/>
  <c r="W460" i="1" s="1"/>
  <c r="W459" i="1" a="1"/>
  <c r="W459" i="1" s="1"/>
  <c r="W458" i="1" a="1"/>
  <c r="W458" i="1" s="1"/>
  <c r="W457" i="1" a="1"/>
  <c r="W457" i="1" s="1"/>
  <c r="W456" i="1" a="1"/>
  <c r="W456" i="1" s="1"/>
  <c r="W455" i="1" a="1"/>
  <c r="W455" i="1" s="1"/>
  <c r="W454" i="1" a="1"/>
  <c r="W454" i="1" s="1"/>
  <c r="W453" i="1" a="1"/>
  <c r="W453" i="1" s="1"/>
  <c r="W452" i="1" a="1"/>
  <c r="W452" i="1" s="1"/>
  <c r="W451" i="1" a="1"/>
  <c r="W451" i="1" s="1"/>
  <c r="W450" i="1" a="1"/>
  <c r="W450" i="1" s="1"/>
  <c r="W449" i="1" a="1"/>
  <c r="W449" i="1" s="1"/>
  <c r="W448" i="1" a="1"/>
  <c r="W448" i="1" s="1"/>
  <c r="W447" i="1" a="1"/>
  <c r="W447" i="1" s="1"/>
  <c r="W446" i="1" a="1"/>
  <c r="W446" i="1" s="1"/>
  <c r="W445" i="1" a="1"/>
  <c r="W445" i="1" s="1"/>
  <c r="W444" i="1" a="1"/>
  <c r="W444" i="1" s="1"/>
  <c r="W443" i="1" a="1"/>
  <c r="W443" i="1" s="1"/>
  <c r="W442" i="1" a="1"/>
  <c r="W442" i="1" s="1"/>
  <c r="W441" i="1" a="1"/>
  <c r="W441" i="1" s="1"/>
  <c r="W440" i="1" a="1"/>
  <c r="W440" i="1" s="1"/>
  <c r="W439" i="1" a="1"/>
  <c r="W439" i="1" s="1"/>
  <c r="W438" i="1" a="1"/>
  <c r="W438" i="1" s="1"/>
  <c r="W437" i="1" a="1"/>
  <c r="W437" i="1" s="1"/>
  <c r="W436" i="1" a="1"/>
  <c r="W436" i="1" s="1"/>
  <c r="W435" i="1" a="1"/>
  <c r="W435" i="1" s="1"/>
  <c r="W434" i="1" a="1"/>
  <c r="W434" i="1" s="1"/>
  <c r="W433" i="1" a="1"/>
  <c r="W433" i="1" s="1"/>
  <c r="W432" i="1" a="1"/>
  <c r="W432" i="1" s="1"/>
  <c r="W431" i="1" a="1"/>
  <c r="W431" i="1" s="1"/>
  <c r="W430" i="1" a="1"/>
  <c r="W430" i="1" s="1"/>
  <c r="W429" i="1" a="1"/>
  <c r="W429" i="1" s="1"/>
  <c r="W428" i="1" a="1"/>
  <c r="W428" i="1" s="1"/>
  <c r="W427" i="1" a="1"/>
  <c r="W427" i="1" s="1"/>
  <c r="W426" i="1" a="1"/>
  <c r="W426" i="1" s="1"/>
  <c r="W425" i="1" a="1"/>
  <c r="W425" i="1" s="1"/>
  <c r="W424" i="1" a="1"/>
  <c r="W424" i="1" s="1"/>
  <c r="W423" i="1" a="1"/>
  <c r="W423" i="1" s="1"/>
  <c r="W422" i="1" a="1"/>
  <c r="W422" i="1" s="1"/>
  <c r="W421" i="1" a="1"/>
  <c r="W421" i="1" s="1"/>
  <c r="W420" i="1" a="1"/>
  <c r="W420" i="1" s="1"/>
  <c r="W419" i="1" a="1"/>
  <c r="W419" i="1" s="1"/>
  <c r="W418" i="1" a="1"/>
  <c r="W418" i="1" s="1"/>
  <c r="W417" i="1" a="1"/>
  <c r="W417" i="1" s="1"/>
  <c r="W416" i="1" a="1"/>
  <c r="W416" i="1" s="1"/>
  <c r="W415" i="1" a="1"/>
  <c r="W415" i="1" s="1"/>
  <c r="W414" i="1" a="1"/>
  <c r="W414" i="1" s="1"/>
  <c r="W413" i="1" a="1"/>
  <c r="W413" i="1" s="1"/>
  <c r="W412" i="1" a="1"/>
  <c r="W412" i="1" s="1"/>
  <c r="W411" i="1" a="1"/>
  <c r="W411" i="1" s="1"/>
  <c r="W410" i="1" a="1"/>
  <c r="W410" i="1" s="1"/>
  <c r="W409" i="1" a="1"/>
  <c r="W409" i="1" s="1"/>
  <c r="W408" i="1" a="1"/>
  <c r="W408" i="1" s="1"/>
  <c r="W407" i="1" a="1"/>
  <c r="W407" i="1" s="1"/>
  <c r="W406" i="1" a="1"/>
  <c r="W406" i="1" s="1"/>
  <c r="W405" i="1" a="1"/>
  <c r="W405" i="1" s="1"/>
  <c r="W404" i="1" a="1"/>
  <c r="W404" i="1" s="1"/>
  <c r="W403" i="1" a="1"/>
  <c r="W403" i="1" s="1"/>
  <c r="W402" i="1" a="1"/>
  <c r="W402" i="1" s="1"/>
  <c r="W401" i="1" a="1"/>
  <c r="W401" i="1" s="1"/>
  <c r="W400" i="1" a="1"/>
  <c r="W400" i="1" s="1"/>
  <c r="W399" i="1" a="1"/>
  <c r="W399" i="1" s="1"/>
  <c r="W398" i="1" a="1"/>
  <c r="W398" i="1" s="1"/>
  <c r="W397" i="1" a="1"/>
  <c r="W397" i="1" s="1"/>
  <c r="W396" i="1" a="1"/>
  <c r="W396" i="1" s="1"/>
  <c r="W395" i="1" a="1"/>
  <c r="W395" i="1" s="1"/>
  <c r="W394" i="1" a="1"/>
  <c r="W394" i="1" s="1"/>
  <c r="W393" i="1" a="1"/>
  <c r="W393" i="1" s="1"/>
  <c r="W392" i="1" a="1"/>
  <c r="W392" i="1" s="1"/>
  <c r="W391" i="1" a="1"/>
  <c r="W391" i="1" s="1"/>
  <c r="W390" i="1" a="1"/>
  <c r="W390" i="1" s="1"/>
  <c r="W389" i="1" a="1"/>
  <c r="W389" i="1" s="1"/>
  <c r="W388" i="1" a="1"/>
  <c r="W388" i="1" s="1"/>
  <c r="W387" i="1" a="1"/>
  <c r="W387" i="1" s="1"/>
  <c r="W386" i="1" a="1"/>
  <c r="W386" i="1" s="1"/>
  <c r="W385" i="1" a="1"/>
  <c r="W385" i="1" s="1"/>
  <c r="W384" i="1" a="1"/>
  <c r="W384" i="1" s="1"/>
  <c r="W383" i="1" a="1"/>
  <c r="W383" i="1" s="1"/>
  <c r="W382" i="1" a="1"/>
  <c r="W382" i="1" s="1"/>
  <c r="W381" i="1" a="1"/>
  <c r="W381" i="1" s="1"/>
  <c r="W380" i="1" a="1"/>
  <c r="W380" i="1" s="1"/>
  <c r="W379" i="1" a="1"/>
  <c r="W379" i="1" s="1"/>
  <c r="W378" i="1" a="1"/>
  <c r="W378" i="1" s="1"/>
  <c r="W377" i="1" a="1"/>
  <c r="W377" i="1" s="1"/>
  <c r="W376" i="1" a="1"/>
  <c r="W376" i="1" s="1"/>
  <c r="W375" i="1" a="1"/>
  <c r="W375" i="1" s="1"/>
  <c r="W374" i="1" a="1"/>
  <c r="W374" i="1" s="1"/>
  <c r="W373" i="1" a="1"/>
  <c r="W373" i="1" s="1"/>
  <c r="W372" i="1" a="1"/>
  <c r="W372" i="1" s="1"/>
  <c r="W371" i="1" a="1"/>
  <c r="W371" i="1" s="1"/>
  <c r="W370" i="1" a="1"/>
  <c r="W370" i="1" s="1"/>
  <c r="W369" i="1" a="1"/>
  <c r="W369" i="1" s="1"/>
  <c r="W368" i="1" a="1"/>
  <c r="W368" i="1" s="1"/>
  <c r="W367" i="1" a="1"/>
  <c r="W367" i="1" s="1"/>
  <c r="W366" i="1" a="1"/>
  <c r="W366" i="1" s="1"/>
  <c r="W365" i="1" a="1"/>
  <c r="W365" i="1" s="1"/>
  <c r="W364" i="1" a="1"/>
  <c r="W364" i="1" s="1"/>
  <c r="W363" i="1" a="1"/>
  <c r="W363" i="1" s="1"/>
  <c r="W361" i="1" a="1"/>
  <c r="W361" i="1" s="1"/>
  <c r="W360" i="1" a="1"/>
  <c r="W360" i="1" s="1"/>
  <c r="W359" i="1" a="1"/>
  <c r="W359" i="1" s="1"/>
  <c r="W358" i="1" a="1"/>
  <c r="W358" i="1" s="1"/>
  <c r="W357" i="1" a="1"/>
  <c r="W357" i="1" s="1"/>
  <c r="W356" i="1" a="1"/>
  <c r="W356" i="1" s="1"/>
  <c r="W355" i="1" a="1"/>
  <c r="W355" i="1" s="1"/>
  <c r="W354" i="1" a="1"/>
  <c r="W354" i="1" s="1"/>
  <c r="W353" i="1" a="1"/>
  <c r="W353" i="1" s="1"/>
  <c r="W352" i="1" a="1"/>
  <c r="W352" i="1" s="1"/>
  <c r="W351" i="1" a="1"/>
  <c r="W351" i="1" s="1"/>
  <c r="W350" i="1" a="1"/>
  <c r="W350" i="1" s="1"/>
  <c r="W349" i="1" a="1"/>
  <c r="W349" i="1" s="1"/>
  <c r="W348" i="1" a="1"/>
  <c r="W348" i="1" s="1"/>
  <c r="W347" i="1" a="1"/>
  <c r="W347" i="1" s="1"/>
  <c r="W346" i="1" a="1"/>
  <c r="W346" i="1" s="1"/>
  <c r="W345" i="1" a="1"/>
  <c r="W345" i="1" s="1"/>
  <c r="W344" i="1" a="1"/>
  <c r="W344" i="1" s="1"/>
  <c r="W343" i="1" a="1"/>
  <c r="W343" i="1" s="1"/>
  <c r="W342" i="1" a="1"/>
  <c r="W342" i="1" s="1"/>
  <c r="W341" i="1" a="1"/>
  <c r="W341" i="1" s="1"/>
  <c r="W340" i="1" a="1"/>
  <c r="W340" i="1" s="1"/>
  <c r="W339" i="1" a="1"/>
  <c r="W339" i="1" s="1"/>
  <c r="W338" i="1" a="1"/>
  <c r="W338" i="1" s="1"/>
  <c r="W336" i="1" a="1"/>
  <c r="W336" i="1" s="1"/>
  <c r="W335" i="1" a="1"/>
  <c r="W335" i="1" s="1"/>
  <c r="W334" i="1" a="1"/>
  <c r="W334" i="1" s="1"/>
  <c r="W333" i="1" a="1"/>
  <c r="W333" i="1" s="1"/>
  <c r="W332" i="1" a="1"/>
  <c r="W332" i="1" s="1"/>
  <c r="W331" i="1" a="1"/>
  <c r="W331" i="1" s="1"/>
  <c r="W330" i="1" a="1"/>
  <c r="W330" i="1" s="1"/>
  <c r="W329" i="1" a="1"/>
  <c r="W329" i="1" s="1"/>
  <c r="W328" i="1" a="1"/>
  <c r="W328" i="1" s="1"/>
  <c r="W327" i="1" a="1"/>
  <c r="W327" i="1" s="1"/>
  <c r="W326" i="1" a="1"/>
  <c r="W326" i="1" s="1"/>
  <c r="W325" i="1" a="1"/>
  <c r="W325" i="1" s="1"/>
  <c r="W324" i="1" a="1"/>
  <c r="W324" i="1" s="1"/>
  <c r="W323" i="1" a="1"/>
  <c r="W323" i="1" s="1"/>
  <c r="W322" i="1" a="1"/>
  <c r="W322" i="1" s="1"/>
  <c r="W321" i="1" a="1"/>
  <c r="W321" i="1" s="1"/>
  <c r="W320" i="1" a="1"/>
  <c r="W320" i="1" s="1"/>
  <c r="W319" i="1" a="1"/>
  <c r="W319" i="1" s="1"/>
  <c r="W318" i="1" a="1"/>
  <c r="W318" i="1" s="1"/>
  <c r="W317" i="1" a="1"/>
  <c r="W317" i="1" s="1"/>
  <c r="W316" i="1" a="1"/>
  <c r="W316" i="1" s="1"/>
  <c r="W315" i="1" a="1"/>
  <c r="W315" i="1" s="1"/>
  <c r="W314" i="1" a="1"/>
  <c r="W314" i="1" s="1"/>
  <c r="W313" i="1" a="1"/>
  <c r="W313" i="1" s="1"/>
  <c r="W312" i="1" a="1"/>
  <c r="W312" i="1" s="1"/>
  <c r="W311" i="1" a="1"/>
  <c r="W311" i="1" s="1"/>
  <c r="W310" i="1" a="1"/>
  <c r="W310" i="1" s="1"/>
  <c r="W309" i="1" a="1"/>
  <c r="W309" i="1" s="1"/>
  <c r="W308" i="1" a="1"/>
  <c r="W308" i="1" s="1"/>
  <c r="W307" i="1" a="1"/>
  <c r="W307" i="1" s="1"/>
  <c r="W306" i="1" a="1"/>
  <c r="W306" i="1" s="1"/>
  <c r="W305" i="1" a="1"/>
  <c r="W305" i="1" s="1"/>
  <c r="W304" i="1" a="1"/>
  <c r="W304" i="1" s="1"/>
  <c r="W303" i="1" a="1"/>
  <c r="W303" i="1" s="1"/>
  <c r="W302" i="1" a="1"/>
  <c r="W302" i="1" s="1"/>
  <c r="W301" i="1" a="1"/>
  <c r="W301" i="1" s="1"/>
  <c r="W300" i="1" a="1"/>
  <c r="W300" i="1" s="1"/>
  <c r="W299" i="1" a="1"/>
  <c r="W299" i="1" s="1"/>
  <c r="W298" i="1" a="1"/>
  <c r="W298" i="1" s="1"/>
  <c r="W297" i="1" a="1"/>
  <c r="W297" i="1" s="1"/>
  <c r="W296" i="1" a="1"/>
  <c r="W296" i="1" s="1"/>
  <c r="W295" i="1" a="1"/>
  <c r="W295" i="1" s="1"/>
  <c r="W294" i="1" a="1"/>
  <c r="W294" i="1" s="1"/>
  <c r="W293" i="1" a="1"/>
  <c r="W293" i="1" s="1"/>
  <c r="W292" i="1" a="1"/>
  <c r="W292" i="1" s="1"/>
  <c r="W291" i="1" a="1"/>
  <c r="W291" i="1" s="1"/>
  <c r="W290" i="1" a="1"/>
  <c r="W290" i="1" s="1"/>
  <c r="W289" i="1" a="1"/>
  <c r="W289" i="1" s="1"/>
  <c r="W288" i="1" a="1"/>
  <c r="W288" i="1" s="1"/>
  <c r="W287" i="1" a="1"/>
  <c r="W287" i="1" s="1"/>
  <c r="W286" i="1" a="1"/>
  <c r="W286" i="1" s="1"/>
  <c r="W285" i="1" a="1"/>
  <c r="W285" i="1" s="1"/>
  <c r="W284" i="1" a="1"/>
  <c r="W284" i="1" s="1"/>
  <c r="W283" i="1" a="1"/>
  <c r="W283" i="1" s="1"/>
  <c r="W282" i="1" a="1"/>
  <c r="W282" i="1" s="1"/>
  <c r="W281" i="1" a="1"/>
  <c r="W281" i="1" s="1"/>
  <c r="W280" i="1" a="1"/>
  <c r="W280" i="1" s="1"/>
  <c r="W279" i="1" a="1"/>
  <c r="W279" i="1" s="1"/>
  <c r="W278" i="1" a="1"/>
  <c r="W278" i="1" s="1"/>
  <c r="W277" i="1" a="1"/>
  <c r="W277" i="1" s="1"/>
  <c r="W276" i="1" a="1"/>
  <c r="W276" i="1" s="1"/>
  <c r="W275" i="1" a="1"/>
  <c r="W275" i="1" s="1"/>
  <c r="W274" i="1" a="1"/>
  <c r="W274" i="1" s="1"/>
  <c r="W273" i="1" a="1"/>
  <c r="W273" i="1" s="1"/>
  <c r="W272" i="1" a="1"/>
  <c r="W272" i="1" s="1"/>
  <c r="W271" i="1" a="1"/>
  <c r="W271" i="1" s="1"/>
  <c r="W270" i="1" a="1"/>
  <c r="W270" i="1" s="1"/>
  <c r="W269" i="1" a="1"/>
  <c r="W269" i="1" s="1"/>
  <c r="W268" i="1" a="1"/>
  <c r="W268" i="1" s="1"/>
  <c r="W267" i="1" a="1"/>
  <c r="W267" i="1" s="1"/>
  <c r="W266" i="1" a="1"/>
  <c r="W266" i="1" s="1"/>
  <c r="W265" i="1" a="1"/>
  <c r="W265" i="1" s="1"/>
  <c r="W264" i="1" a="1"/>
  <c r="W264" i="1" s="1"/>
  <c r="W263" i="1" a="1"/>
  <c r="W263" i="1" s="1"/>
  <c r="W262" i="1" a="1"/>
  <c r="W262" i="1" s="1"/>
  <c r="W261" i="1" a="1"/>
  <c r="W261" i="1" s="1"/>
  <c r="W260" i="1" a="1"/>
  <c r="W260" i="1" s="1"/>
  <c r="W259" i="1" a="1"/>
  <c r="W259" i="1" s="1"/>
  <c r="W257" i="1" a="1"/>
  <c r="W257" i="1" s="1"/>
  <c r="W256" i="1" a="1"/>
  <c r="W256" i="1" s="1"/>
  <c r="W255" i="1" a="1"/>
  <c r="W255" i="1" s="1"/>
  <c r="W254" i="1" a="1"/>
  <c r="W254" i="1" s="1"/>
  <c r="W253" i="1" a="1"/>
  <c r="W253" i="1" s="1"/>
  <c r="W252" i="1" a="1"/>
  <c r="W252" i="1" s="1"/>
  <c r="W251" i="1" a="1"/>
  <c r="W251" i="1" s="1"/>
  <c r="W250" i="1" a="1"/>
  <c r="W250" i="1" s="1"/>
  <c r="W249" i="1" a="1"/>
  <c r="W249" i="1" s="1"/>
  <c r="W248" i="1" a="1"/>
  <c r="W248" i="1" s="1"/>
  <c r="W247" i="1" a="1"/>
  <c r="W247" i="1" s="1"/>
  <c r="W246" i="1" a="1"/>
  <c r="W246" i="1" s="1"/>
  <c r="W245" i="1" a="1"/>
  <c r="W245" i="1" s="1"/>
  <c r="W244" i="1" a="1"/>
  <c r="W244" i="1" s="1"/>
  <c r="W243" i="1" a="1"/>
  <c r="W243" i="1" s="1"/>
  <c r="W242" i="1" a="1"/>
  <c r="W242" i="1" s="1"/>
  <c r="W241" i="1" a="1"/>
  <c r="W241" i="1" s="1"/>
  <c r="W240" i="1" a="1"/>
  <c r="W240" i="1" s="1"/>
  <c r="W239" i="1" a="1"/>
  <c r="W239" i="1" s="1"/>
  <c r="W238" i="1" a="1"/>
  <c r="W238" i="1" s="1"/>
  <c r="W237" i="1" a="1"/>
  <c r="W237" i="1" s="1"/>
  <c r="W236" i="1" a="1"/>
  <c r="W236" i="1" s="1"/>
  <c r="W235" i="1" a="1"/>
  <c r="W235" i="1" s="1"/>
  <c r="W234" i="1" a="1"/>
  <c r="W234" i="1" s="1"/>
  <c r="W233" i="1" a="1"/>
  <c r="W233" i="1" s="1"/>
  <c r="W232" i="1" a="1"/>
  <c r="W232" i="1" s="1"/>
  <c r="W231" i="1" a="1"/>
  <c r="W231" i="1" s="1"/>
  <c r="W230" i="1" a="1"/>
  <c r="W230" i="1" s="1"/>
  <c r="W229" i="1" a="1"/>
  <c r="W229" i="1" s="1"/>
  <c r="W228" i="1" a="1"/>
  <c r="W228" i="1" s="1"/>
  <c r="W227" i="1" a="1"/>
  <c r="W227" i="1" s="1"/>
  <c r="W226" i="1" a="1"/>
  <c r="W226" i="1" s="1"/>
  <c r="W225" i="1" a="1"/>
  <c r="W225" i="1" s="1"/>
  <c r="W224" i="1" a="1"/>
  <c r="W224" i="1" s="1"/>
  <c r="W223" i="1" a="1"/>
  <c r="W223" i="1" s="1"/>
  <c r="W222" i="1" a="1"/>
  <c r="W222" i="1" s="1"/>
  <c r="W221" i="1" a="1"/>
  <c r="W221" i="1" s="1"/>
  <c r="W220" i="1" a="1"/>
  <c r="W220" i="1" s="1"/>
  <c r="W219" i="1" a="1"/>
  <c r="W219" i="1" s="1"/>
  <c r="W218" i="1" a="1"/>
  <c r="W218" i="1" s="1"/>
  <c r="W217" i="1" a="1"/>
  <c r="W217" i="1" s="1"/>
  <c r="W216" i="1" a="1"/>
  <c r="W216" i="1" s="1"/>
  <c r="W215" i="1" a="1"/>
  <c r="W215" i="1" s="1"/>
  <c r="W214" i="1" a="1"/>
  <c r="W214" i="1" s="1"/>
  <c r="W212" i="1" a="1"/>
  <c r="W212" i="1" s="1"/>
  <c r="W211" i="1" a="1"/>
  <c r="W211" i="1" s="1"/>
  <c r="W210" i="1" a="1"/>
  <c r="W210" i="1" s="1"/>
  <c r="W209" i="1" a="1"/>
  <c r="W209" i="1" s="1"/>
  <c r="W208" i="1" a="1"/>
  <c r="W208" i="1" s="1"/>
  <c r="W207" i="1" a="1"/>
  <c r="W207" i="1" s="1"/>
  <c r="W206" i="1" a="1"/>
  <c r="W206" i="1" s="1"/>
  <c r="W205" i="1" a="1"/>
  <c r="W205" i="1" s="1"/>
  <c r="W204" i="1" a="1"/>
  <c r="W204" i="1" s="1"/>
  <c r="W203" i="1" a="1"/>
  <c r="W203" i="1" s="1"/>
  <c r="W202" i="1" a="1"/>
  <c r="W202" i="1" s="1"/>
  <c r="W201" i="1" a="1"/>
  <c r="W201" i="1" s="1"/>
  <c r="W200" i="1" a="1"/>
  <c r="W200" i="1" s="1"/>
  <c r="W199" i="1" a="1"/>
  <c r="W199" i="1" s="1"/>
  <c r="W198" i="1" a="1"/>
  <c r="W198" i="1" s="1"/>
  <c r="W197" i="1" a="1"/>
  <c r="W197" i="1" s="1"/>
  <c r="W196" i="1" a="1"/>
  <c r="W196" i="1" s="1"/>
  <c r="W195" i="1" a="1"/>
  <c r="W195" i="1" s="1"/>
  <c r="W194" i="1" a="1"/>
  <c r="W194" i="1" s="1"/>
  <c r="W193" i="1" a="1"/>
  <c r="W193" i="1" s="1"/>
  <c r="W192" i="1" a="1"/>
  <c r="W192" i="1" s="1"/>
  <c r="W191" i="1" a="1"/>
  <c r="W191" i="1" s="1"/>
  <c r="W190" i="1" a="1"/>
  <c r="W190" i="1" s="1"/>
  <c r="W189" i="1" a="1"/>
  <c r="W189" i="1" s="1"/>
  <c r="W188" i="1" a="1"/>
  <c r="W188" i="1" s="1"/>
  <c r="W187" i="1" a="1"/>
  <c r="W187" i="1" s="1"/>
  <c r="W186" i="1" a="1"/>
  <c r="W186" i="1" s="1"/>
  <c r="W185" i="1" a="1"/>
  <c r="W185" i="1" s="1"/>
  <c r="W184" i="1" a="1"/>
  <c r="W184" i="1" s="1"/>
  <c r="W183" i="1" a="1"/>
  <c r="W183" i="1" s="1"/>
  <c r="W182" i="1" a="1"/>
  <c r="W182" i="1" s="1"/>
  <c r="W181" i="1" a="1"/>
  <c r="W181" i="1" s="1"/>
  <c r="W180" i="1" a="1"/>
  <c r="W180" i="1" s="1"/>
  <c r="W179" i="1" a="1"/>
  <c r="W179" i="1" s="1"/>
  <c r="W178" i="1" a="1"/>
  <c r="W178" i="1" s="1"/>
  <c r="W177" i="1" a="1"/>
  <c r="W177" i="1" s="1"/>
  <c r="W176" i="1" a="1"/>
  <c r="W176" i="1" s="1"/>
  <c r="W175" i="1" a="1"/>
  <c r="W175" i="1" s="1"/>
  <c r="W174" i="1" a="1"/>
  <c r="W174" i="1" s="1"/>
  <c r="W173" i="1" a="1"/>
  <c r="W173" i="1" s="1"/>
  <c r="W172" i="1" a="1"/>
  <c r="W172" i="1" s="1"/>
  <c r="W171" i="1" a="1"/>
  <c r="W171" i="1" s="1"/>
  <c r="W170" i="1" a="1"/>
  <c r="W170" i="1" s="1"/>
  <c r="W169" i="1" a="1"/>
  <c r="W169" i="1" s="1"/>
  <c r="W168" i="1" a="1"/>
  <c r="W168" i="1" s="1"/>
  <c r="W167" i="1" a="1"/>
  <c r="W167" i="1" s="1"/>
  <c r="W166" i="1" a="1"/>
  <c r="W166" i="1" s="1"/>
  <c r="W165" i="1" a="1"/>
  <c r="W165" i="1" s="1"/>
  <c r="W164" i="1" a="1"/>
  <c r="W164" i="1" s="1"/>
  <c r="W163" i="1" a="1"/>
  <c r="W163" i="1" s="1"/>
  <c r="W162" i="1" a="1"/>
  <c r="W162" i="1" s="1"/>
  <c r="W161" i="1" a="1"/>
  <c r="W161" i="1" s="1"/>
  <c r="W160" i="1" a="1"/>
  <c r="W160" i="1" s="1"/>
  <c r="W159" i="1" a="1"/>
  <c r="W159" i="1" s="1"/>
  <c r="W157" i="1" a="1"/>
  <c r="W157" i="1" s="1"/>
  <c r="W156" i="1" a="1"/>
  <c r="W156" i="1" s="1"/>
  <c r="W155" i="1" a="1"/>
  <c r="W155" i="1" s="1"/>
  <c r="W154" i="1" a="1"/>
  <c r="W154" i="1" s="1"/>
  <c r="W153" i="1" a="1"/>
  <c r="W153" i="1" s="1"/>
  <c r="W152" i="1" a="1"/>
  <c r="W152" i="1" s="1"/>
  <c r="W151" i="1" a="1"/>
  <c r="W151" i="1" s="1"/>
  <c r="W150" i="1" a="1"/>
  <c r="W150" i="1" s="1"/>
  <c r="W149" i="1" a="1"/>
  <c r="W149" i="1" s="1"/>
  <c r="W148" i="1" a="1"/>
  <c r="W148" i="1" s="1"/>
  <c r="W147" i="1" a="1"/>
  <c r="W147" i="1" s="1"/>
  <c r="W146" i="1" a="1"/>
  <c r="W146" i="1" s="1"/>
  <c r="W145" i="1" a="1"/>
  <c r="W145" i="1" s="1"/>
  <c r="W144" i="1" a="1"/>
  <c r="W144" i="1" s="1"/>
  <c r="W143" i="1" a="1"/>
  <c r="W143" i="1" s="1"/>
  <c r="W142" i="1" a="1"/>
  <c r="W142" i="1" s="1"/>
  <c r="W141" i="1" a="1"/>
  <c r="W141" i="1" s="1"/>
  <c r="W139" i="1" a="1"/>
  <c r="W139" i="1" s="1"/>
  <c r="W138" i="1" a="1"/>
  <c r="W138" i="1" s="1"/>
  <c r="W137" i="1" a="1"/>
  <c r="W137" i="1" s="1"/>
  <c r="W136" i="1" a="1"/>
  <c r="W136" i="1" s="1"/>
  <c r="W135" i="1" a="1"/>
  <c r="W135" i="1" s="1"/>
  <c r="W134" i="1" a="1"/>
  <c r="W134" i="1" s="1"/>
  <c r="W133" i="1" a="1"/>
  <c r="W133" i="1" s="1"/>
  <c r="W132" i="1" a="1"/>
  <c r="W132" i="1" s="1"/>
  <c r="W131" i="1" a="1"/>
  <c r="W131" i="1" s="1"/>
  <c r="W130" i="1" a="1"/>
  <c r="W130" i="1" s="1"/>
  <c r="W129" i="1" a="1"/>
  <c r="W129" i="1" s="1"/>
  <c r="W128" i="1" a="1"/>
  <c r="W128" i="1" s="1"/>
  <c r="W127" i="1" a="1"/>
  <c r="W127" i="1" s="1"/>
  <c r="W126" i="1" a="1"/>
  <c r="W126" i="1" s="1"/>
  <c r="W125" i="1" a="1"/>
  <c r="W125" i="1" s="1"/>
  <c r="W124" i="1" a="1"/>
  <c r="W124" i="1" s="1"/>
  <c r="W123" i="1" a="1"/>
  <c r="W123" i="1" s="1"/>
  <c r="W122" i="1" a="1"/>
  <c r="W122" i="1" s="1"/>
  <c r="W121" i="1" a="1"/>
  <c r="W121" i="1" s="1"/>
  <c r="W120" i="1" a="1"/>
  <c r="W120" i="1" s="1"/>
  <c r="W119" i="1" a="1"/>
  <c r="W119" i="1" s="1"/>
  <c r="W118" i="1" a="1"/>
  <c r="W118" i="1" s="1"/>
  <c r="W117" i="1" a="1"/>
  <c r="W117" i="1" s="1"/>
  <c r="W116" i="1" a="1"/>
  <c r="W116" i="1" s="1"/>
  <c r="W115" i="1" a="1"/>
  <c r="W115" i="1" s="1"/>
  <c r="W114" i="1" a="1"/>
  <c r="W114" i="1" s="1"/>
  <c r="W113" i="1" a="1"/>
  <c r="W113" i="1" s="1"/>
  <c r="W112" i="1" a="1"/>
  <c r="W112" i="1" s="1"/>
  <c r="W111" i="1" a="1"/>
  <c r="W111" i="1" s="1"/>
  <c r="W110" i="1" a="1"/>
  <c r="W110" i="1" s="1"/>
  <c r="W109" i="1" a="1"/>
  <c r="W109" i="1" s="1"/>
  <c r="W108" i="1" a="1"/>
  <c r="W108" i="1" s="1"/>
  <c r="W107" i="1" a="1"/>
  <c r="W107" i="1" s="1"/>
  <c r="W106" i="1" a="1"/>
  <c r="W106" i="1" s="1"/>
  <c r="W105" i="1" a="1"/>
  <c r="W105" i="1" s="1"/>
  <c r="W104" i="1" a="1"/>
  <c r="W104" i="1" s="1"/>
  <c r="W103" i="1" a="1"/>
  <c r="W103" i="1" s="1"/>
  <c r="W102" i="1" a="1"/>
  <c r="W102" i="1" s="1"/>
  <c r="W101" i="1" a="1"/>
  <c r="W101" i="1" s="1"/>
  <c r="W100" i="1" a="1"/>
  <c r="W100" i="1" s="1"/>
  <c r="W99" i="1" a="1"/>
  <c r="W99" i="1" s="1"/>
  <c r="W98" i="1" a="1"/>
  <c r="W98" i="1" s="1"/>
  <c r="W97" i="1" a="1"/>
  <c r="W97" i="1" s="1"/>
  <c r="W96" i="1" a="1"/>
  <c r="W96" i="1" s="1"/>
  <c r="W95" i="1" a="1"/>
  <c r="W95" i="1" s="1"/>
  <c r="W94" i="1" a="1"/>
  <c r="W94" i="1" s="1"/>
  <c r="W93" i="1" a="1"/>
  <c r="W93" i="1" s="1"/>
  <c r="W92" i="1" a="1"/>
  <c r="W92" i="1" s="1"/>
  <c r="W91" i="1" a="1"/>
  <c r="W91" i="1" s="1"/>
  <c r="W90" i="1" a="1"/>
  <c r="W90" i="1" s="1"/>
  <c r="W89" i="1" a="1"/>
  <c r="W89" i="1" s="1"/>
  <c r="W88" i="1" a="1"/>
  <c r="W88" i="1" s="1"/>
  <c r="W87" i="1" a="1"/>
  <c r="W87" i="1" s="1"/>
  <c r="W86" i="1" a="1"/>
  <c r="W86" i="1" s="1"/>
  <c r="W85" i="1" a="1"/>
  <c r="W85" i="1" s="1"/>
  <c r="W84" i="1" a="1"/>
  <c r="W84" i="1" s="1"/>
  <c r="W83" i="1" a="1"/>
  <c r="W83" i="1" s="1"/>
  <c r="W82" i="1" a="1"/>
  <c r="W82" i="1" s="1"/>
  <c r="W81" i="1" a="1"/>
  <c r="W81" i="1" s="1"/>
  <c r="W80" i="1" a="1"/>
  <c r="W80" i="1" s="1"/>
  <c r="W79" i="1" a="1"/>
  <c r="W79" i="1" s="1"/>
  <c r="W78" i="1" a="1"/>
  <c r="W78" i="1" s="1"/>
  <c r="W77" i="1" a="1"/>
  <c r="W77" i="1" s="1"/>
  <c r="W76" i="1" a="1"/>
  <c r="W76" i="1" s="1"/>
  <c r="W75" i="1" a="1"/>
  <c r="W75" i="1" s="1"/>
  <c r="W74" i="1" a="1"/>
  <c r="W74" i="1" s="1"/>
  <c r="W73" i="1" a="1"/>
  <c r="W73" i="1" s="1"/>
  <c r="W72" i="1" a="1"/>
  <c r="W72" i="1" s="1"/>
  <c r="W71" i="1" a="1"/>
  <c r="W71" i="1" s="1"/>
  <c r="W70" i="1" a="1"/>
  <c r="W70" i="1" s="1"/>
  <c r="W69" i="1" a="1"/>
  <c r="W69" i="1" s="1"/>
  <c r="W68" i="1" a="1"/>
  <c r="W68" i="1" s="1"/>
  <c r="W67" i="1" a="1"/>
  <c r="W67" i="1" s="1"/>
  <c r="W66" i="1" a="1"/>
  <c r="W66" i="1" s="1"/>
  <c r="W65" i="1" a="1"/>
  <c r="W65" i="1" s="1"/>
  <c r="W64" i="1" a="1"/>
  <c r="W64" i="1" s="1"/>
  <c r="W63" i="1" a="1"/>
  <c r="W63" i="1" s="1"/>
  <c r="W62" i="1" a="1"/>
  <c r="W62" i="1" s="1"/>
  <c r="W61" i="1" a="1"/>
  <c r="W61" i="1" s="1"/>
  <c r="W60" i="1" a="1"/>
  <c r="W60" i="1" s="1"/>
  <c r="W59" i="1" a="1"/>
  <c r="W59" i="1" s="1"/>
  <c r="W58" i="1" a="1"/>
  <c r="W58" i="1" s="1"/>
  <c r="W57" i="1" a="1"/>
  <c r="W57" i="1" s="1"/>
  <c r="W56" i="1" a="1"/>
  <c r="W56" i="1" s="1"/>
  <c r="W55" i="1" a="1"/>
  <c r="W55" i="1" s="1"/>
  <c r="W54" i="1" a="1"/>
  <c r="W54" i="1" s="1"/>
  <c r="W53" i="1" a="1"/>
  <c r="W53" i="1" s="1"/>
  <c r="W52" i="1" a="1"/>
  <c r="W52" i="1" s="1"/>
  <c r="W51" i="1" a="1"/>
  <c r="W51" i="1" s="1"/>
  <c r="W50" i="1" a="1"/>
  <c r="W50" i="1" s="1"/>
  <c r="W49" i="1" a="1"/>
  <c r="W49" i="1" s="1"/>
  <c r="W48" i="1" a="1"/>
  <c r="W48" i="1" s="1"/>
  <c r="W47" i="1" a="1"/>
  <c r="W47" i="1" s="1"/>
  <c r="W46" i="1" a="1"/>
  <c r="W46" i="1" s="1"/>
  <c r="W45" i="1" a="1"/>
  <c r="W45" i="1" s="1"/>
  <c r="W44" i="1" a="1"/>
  <c r="W44" i="1" s="1"/>
  <c r="W43" i="1" a="1"/>
  <c r="W43" i="1" s="1"/>
  <c r="W42" i="1" a="1"/>
  <c r="W42" i="1" s="1"/>
  <c r="W41" i="1" a="1"/>
  <c r="W41" i="1" s="1"/>
  <c r="W40" i="1" a="1"/>
  <c r="W40" i="1" s="1"/>
  <c r="W39" i="1" a="1"/>
  <c r="W39" i="1" s="1"/>
  <c r="W38" i="1" a="1"/>
  <c r="W38" i="1" s="1"/>
  <c r="W37" i="1" a="1"/>
  <c r="W37" i="1" s="1"/>
  <c r="W36" i="1" a="1"/>
  <c r="W36" i="1" s="1"/>
  <c r="W35" i="1" a="1"/>
  <c r="W35" i="1" s="1"/>
  <c r="W34" i="1" a="1"/>
  <c r="W34" i="1" s="1"/>
  <c r="W33" i="1" a="1"/>
  <c r="W33" i="1" s="1"/>
  <c r="W32" i="1" a="1"/>
  <c r="W32" i="1" s="1"/>
  <c r="W31" i="1" a="1"/>
  <c r="W31" i="1" s="1"/>
  <c r="W30" i="1" a="1"/>
  <c r="W30" i="1" s="1"/>
  <c r="W29" i="1" a="1"/>
  <c r="W29" i="1" s="1"/>
  <c r="W28" i="1" a="1"/>
  <c r="W28" i="1" s="1"/>
  <c r="W27" i="1" a="1"/>
  <c r="W27" i="1" s="1"/>
  <c r="W26" i="1" a="1"/>
  <c r="W26" i="1" s="1"/>
  <c r="W25" i="1" a="1"/>
  <c r="W25" i="1" s="1"/>
  <c r="W24" i="1" a="1"/>
  <c r="W24" i="1" s="1"/>
  <c r="W23" i="1" a="1"/>
  <c r="W23" i="1" s="1"/>
  <c r="W22" i="1" a="1"/>
  <c r="W22" i="1" s="1"/>
  <c r="W21" i="1" a="1"/>
  <c r="W21" i="1" s="1"/>
  <c r="W20" i="1" a="1"/>
  <c r="W20" i="1" s="1"/>
  <c r="W19" i="1" a="1"/>
  <c r="W19" i="1" s="1"/>
  <c r="W18" i="1" a="1"/>
  <c r="W18" i="1" s="1"/>
  <c r="W17" i="1" a="1"/>
  <c r="W17" i="1" s="1"/>
  <c r="W16" i="1" a="1"/>
  <c r="W16" i="1" s="1"/>
  <c r="W15" i="1" a="1"/>
  <c r="W15" i="1" s="1"/>
  <c r="W14" i="1" a="1"/>
  <c r="W14" i="1" s="1"/>
  <c r="W13" i="1" a="1"/>
  <c r="W13" i="1" s="1"/>
  <c r="W12" i="1" a="1"/>
  <c r="W12" i="1" s="1"/>
  <c r="W11" i="1" a="1"/>
  <c r="W11" i="1" s="1"/>
  <c r="W10" i="1" a="1"/>
  <c r="W10" i="1" s="1"/>
  <c r="W9" i="1" a="1"/>
  <c r="W9" i="1" s="1"/>
  <c r="W8" i="1" a="1"/>
  <c r="W8" i="1" s="1"/>
  <c r="W7" i="1" a="1"/>
  <c r="W7" i="1" s="1"/>
  <c r="W6" i="1" a="1"/>
  <c r="W6" i="1" s="1"/>
  <c r="W5" i="1" a="1"/>
  <c r="W5" i="1" s="1"/>
  <c r="W4" i="1" a="1"/>
  <c r="W4" i="1" s="1"/>
  <c r="W3" i="1" a="1"/>
  <c r="W3" i="1" s="1"/>
  <c r="W2" i="1" a="1"/>
  <c r="W2" i="1" s="1"/>
  <c r="V627" i="1" a="1"/>
  <c r="V627" i="1" s="1"/>
  <c r="V626" i="1" a="1"/>
  <c r="V626" i="1" s="1"/>
  <c r="V625" i="1" a="1"/>
  <c r="V625" i="1" s="1"/>
  <c r="V624" i="1" a="1"/>
  <c r="V624" i="1" s="1"/>
  <c r="V623" i="1" a="1"/>
  <c r="V623" i="1" s="1"/>
  <c r="V622" i="1" a="1"/>
  <c r="V622" i="1" s="1"/>
  <c r="V621" i="1" a="1"/>
  <c r="V621" i="1" s="1"/>
  <c r="V620" i="1" a="1"/>
  <c r="V620" i="1" s="1"/>
  <c r="V619" i="1" a="1"/>
  <c r="V619" i="1" s="1"/>
  <c r="V618" i="1" a="1"/>
  <c r="V618" i="1" s="1"/>
  <c r="V617" i="1" a="1"/>
  <c r="V617" i="1" s="1"/>
  <c r="V616" i="1" a="1"/>
  <c r="V616" i="1" s="1"/>
  <c r="V615" i="1" a="1"/>
  <c r="V615" i="1" s="1"/>
  <c r="V614" i="1" a="1"/>
  <c r="V614" i="1" s="1"/>
  <c r="V613" i="1" a="1"/>
  <c r="V613" i="1" s="1"/>
  <c r="V612" i="1" a="1"/>
  <c r="V612" i="1" s="1"/>
  <c r="V611" i="1" a="1"/>
  <c r="V611" i="1" s="1"/>
  <c r="V610" i="1" a="1"/>
  <c r="V610" i="1" s="1"/>
  <c r="V609" i="1" a="1"/>
  <c r="V609" i="1" s="1"/>
  <c r="V608" i="1" a="1"/>
  <c r="V608" i="1" s="1"/>
  <c r="V607" i="1" a="1"/>
  <c r="V607" i="1" s="1"/>
  <c r="V606" i="1" a="1"/>
  <c r="V606" i="1" s="1"/>
  <c r="V605" i="1" a="1"/>
  <c r="V605" i="1" s="1"/>
  <c r="V604" i="1" a="1"/>
  <c r="V604" i="1" s="1"/>
  <c r="V603" i="1" a="1"/>
  <c r="V603" i="1" s="1"/>
  <c r="V602" i="1" a="1"/>
  <c r="V602" i="1" s="1"/>
  <c r="V601" i="1" a="1"/>
  <c r="V601" i="1" s="1"/>
  <c r="V600" i="1" a="1"/>
  <c r="V600" i="1" s="1"/>
  <c r="V599" i="1" a="1"/>
  <c r="V599" i="1" s="1"/>
  <c r="V598" i="1" a="1"/>
  <c r="V598" i="1" s="1"/>
  <c r="V597" i="1" a="1"/>
  <c r="V597" i="1" s="1"/>
  <c r="V596" i="1" a="1"/>
  <c r="V596" i="1" s="1"/>
  <c r="V595" i="1" a="1"/>
  <c r="V595" i="1" s="1"/>
  <c r="V594" i="1" a="1"/>
  <c r="V594" i="1" s="1"/>
  <c r="V593" i="1" a="1"/>
  <c r="V593" i="1" s="1"/>
  <c r="V592" i="1" a="1"/>
  <c r="V592" i="1" s="1"/>
  <c r="V591" i="1" a="1"/>
  <c r="V591" i="1" s="1"/>
  <c r="V590" i="1" a="1"/>
  <c r="V590" i="1" s="1"/>
  <c r="V589" i="1" a="1"/>
  <c r="V589" i="1" s="1"/>
  <c r="V588" i="1" a="1"/>
  <c r="V588" i="1" s="1"/>
  <c r="V587" i="1" a="1"/>
  <c r="V587" i="1" s="1"/>
  <c r="V586" i="1" a="1"/>
  <c r="V586" i="1" s="1"/>
  <c r="V585" i="1" a="1"/>
  <c r="V585" i="1" s="1"/>
  <c r="V584" i="1" a="1"/>
  <c r="V584" i="1" s="1"/>
  <c r="V583" i="1" a="1"/>
  <c r="V583" i="1" s="1"/>
  <c r="V582" i="1" a="1"/>
  <c r="V582" i="1" s="1"/>
  <c r="V581" i="1" a="1"/>
  <c r="V581" i="1" s="1"/>
  <c r="V580" i="1" a="1"/>
  <c r="V580" i="1" s="1"/>
  <c r="V579" i="1" a="1"/>
  <c r="V579" i="1" s="1"/>
  <c r="V578" i="1" a="1"/>
  <c r="V578" i="1" s="1"/>
  <c r="V577" i="1" a="1"/>
  <c r="V577" i="1" s="1"/>
  <c r="V576" i="1" a="1"/>
  <c r="V576" i="1" s="1"/>
  <c r="V575" i="1" a="1"/>
  <c r="V575" i="1" s="1"/>
  <c r="V574" i="1" a="1"/>
  <c r="V574" i="1" s="1"/>
  <c r="V573" i="1" a="1"/>
  <c r="V573" i="1" s="1"/>
  <c r="V572" i="1" a="1"/>
  <c r="V572" i="1" s="1"/>
  <c r="V571" i="1" a="1"/>
  <c r="V571" i="1" s="1"/>
  <c r="V570" i="1" a="1"/>
  <c r="V570" i="1" s="1"/>
  <c r="V569" i="1" a="1"/>
  <c r="V569" i="1" s="1"/>
  <c r="V568" i="1" a="1"/>
  <c r="V568" i="1" s="1"/>
  <c r="V567" i="1" a="1"/>
  <c r="V567" i="1" s="1"/>
  <c r="V566" i="1" a="1"/>
  <c r="V566" i="1" s="1"/>
  <c r="V565" i="1" a="1"/>
  <c r="V565" i="1" s="1"/>
  <c r="V564" i="1" a="1"/>
  <c r="V564" i="1" s="1"/>
  <c r="V563" i="1" a="1"/>
  <c r="V563" i="1" s="1"/>
  <c r="V562" i="1" a="1"/>
  <c r="V562" i="1" s="1"/>
  <c r="V561" i="1" a="1"/>
  <c r="V561" i="1" s="1"/>
  <c r="V560" i="1" a="1"/>
  <c r="V560" i="1" s="1"/>
  <c r="V559" i="1" a="1"/>
  <c r="V559" i="1" s="1"/>
  <c r="V558" i="1" a="1"/>
  <c r="V558" i="1" s="1"/>
  <c r="V557" i="1" a="1"/>
  <c r="V557" i="1" s="1"/>
  <c r="V556" i="1" a="1"/>
  <c r="V556" i="1" s="1"/>
  <c r="V555" i="1" a="1"/>
  <c r="V555" i="1" s="1"/>
  <c r="V554" i="1" a="1"/>
  <c r="V554" i="1" s="1"/>
  <c r="V553" i="1" a="1"/>
  <c r="V553" i="1" s="1"/>
  <c r="V552" i="1" a="1"/>
  <c r="V552" i="1" s="1"/>
  <c r="V551" i="1" a="1"/>
  <c r="V551" i="1" s="1"/>
  <c r="V550" i="1" a="1"/>
  <c r="V550" i="1" s="1"/>
  <c r="V549" i="1" a="1"/>
  <c r="V549" i="1" s="1"/>
  <c r="V548" i="1" a="1"/>
  <c r="V548" i="1" s="1"/>
  <c r="V547" i="1" a="1"/>
  <c r="V547" i="1" s="1"/>
  <c r="V546" i="1" a="1"/>
  <c r="V546" i="1" s="1"/>
  <c r="V545" i="1" a="1"/>
  <c r="V545" i="1" s="1"/>
  <c r="V544" i="1" a="1"/>
  <c r="V544" i="1" s="1"/>
  <c r="V543" i="1" a="1"/>
  <c r="V543" i="1" s="1"/>
  <c r="V542" i="1" a="1"/>
  <c r="V542" i="1" s="1"/>
  <c r="V541" i="1" a="1"/>
  <c r="V541" i="1" s="1"/>
  <c r="V540" i="1" a="1"/>
  <c r="V540" i="1" s="1"/>
  <c r="V539" i="1" a="1"/>
  <c r="V539" i="1" s="1"/>
  <c r="V538" i="1" a="1"/>
  <c r="V538" i="1" s="1"/>
  <c r="V537" i="1" a="1"/>
  <c r="V537" i="1" s="1"/>
  <c r="V536" i="1" a="1"/>
  <c r="V536" i="1" s="1"/>
  <c r="V535" i="1" a="1"/>
  <c r="V535" i="1" s="1"/>
  <c r="V534" i="1" a="1"/>
  <c r="V534" i="1" s="1"/>
  <c r="V533" i="1" a="1"/>
  <c r="V533" i="1" s="1"/>
  <c r="V532" i="1" a="1"/>
  <c r="V532" i="1" s="1"/>
  <c r="V531" i="1" a="1"/>
  <c r="V531" i="1" s="1"/>
  <c r="V530" i="1" a="1"/>
  <c r="V530" i="1" s="1"/>
  <c r="V529" i="1" a="1"/>
  <c r="V529" i="1" s="1"/>
  <c r="V528" i="1" a="1"/>
  <c r="V528" i="1" s="1"/>
  <c r="V527" i="1" a="1"/>
  <c r="V527" i="1" s="1"/>
  <c r="V526" i="1" a="1"/>
  <c r="V526" i="1" s="1"/>
  <c r="V525" i="1" a="1"/>
  <c r="V525" i="1" s="1"/>
  <c r="V524" i="1" a="1"/>
  <c r="V524" i="1" s="1"/>
  <c r="V523" i="1" a="1"/>
  <c r="V523" i="1" s="1"/>
  <c r="V522" i="1" a="1"/>
  <c r="V522" i="1" s="1"/>
  <c r="V521" i="1" a="1"/>
  <c r="V521" i="1" s="1"/>
  <c r="V520" i="1" a="1"/>
  <c r="V520" i="1" s="1"/>
  <c r="V519" i="1" a="1"/>
  <c r="V519" i="1" s="1"/>
  <c r="V518" i="1" a="1"/>
  <c r="V518" i="1" s="1"/>
  <c r="V517" i="1" a="1"/>
  <c r="V517" i="1" s="1"/>
  <c r="V516" i="1" a="1"/>
  <c r="V516" i="1" s="1"/>
  <c r="V515" i="1" a="1"/>
  <c r="V515" i="1" s="1"/>
  <c r="V514" i="1" a="1"/>
  <c r="V514" i="1" s="1"/>
  <c r="V513" i="1" a="1"/>
  <c r="V513" i="1" s="1"/>
  <c r="V512" i="1" a="1"/>
  <c r="V512" i="1" s="1"/>
  <c r="V511" i="1" a="1"/>
  <c r="V511" i="1" s="1"/>
  <c r="V510" i="1" a="1"/>
  <c r="V510" i="1" s="1"/>
  <c r="V509" i="1" a="1"/>
  <c r="V509" i="1" s="1"/>
  <c r="V508" i="1" a="1"/>
  <c r="V508" i="1" s="1"/>
  <c r="V507" i="1" a="1"/>
  <c r="V507" i="1" s="1"/>
  <c r="V506" i="1" a="1"/>
  <c r="V506" i="1" s="1"/>
  <c r="V505" i="1" a="1"/>
  <c r="V505" i="1" s="1"/>
  <c r="V504" i="1" a="1"/>
  <c r="V504" i="1" s="1"/>
  <c r="V503" i="1" a="1"/>
  <c r="V503" i="1" s="1"/>
  <c r="V502" i="1" a="1"/>
  <c r="V502" i="1" s="1"/>
  <c r="V501" i="1" a="1"/>
  <c r="V501" i="1" s="1"/>
  <c r="V500" i="1" a="1"/>
  <c r="V500" i="1" s="1"/>
  <c r="V499" i="1" a="1"/>
  <c r="V499" i="1" s="1"/>
  <c r="V498" i="1" a="1"/>
  <c r="V498" i="1" s="1"/>
  <c r="V497" i="1" a="1"/>
  <c r="V497" i="1" s="1"/>
  <c r="V496" i="1" a="1"/>
  <c r="V496" i="1" s="1"/>
  <c r="V495" i="1" a="1"/>
  <c r="V495" i="1" s="1"/>
  <c r="V494" i="1" a="1"/>
  <c r="V494" i="1" s="1"/>
  <c r="V493" i="1" a="1"/>
  <c r="V493" i="1" s="1"/>
  <c r="V492" i="1" a="1"/>
  <c r="V492" i="1" s="1"/>
  <c r="V491" i="1" a="1"/>
  <c r="V491" i="1" s="1"/>
  <c r="V490" i="1" a="1"/>
  <c r="V490" i="1" s="1"/>
  <c r="V489" i="1" a="1"/>
  <c r="V489" i="1" s="1"/>
  <c r="V488" i="1" a="1"/>
  <c r="V488" i="1" s="1"/>
  <c r="V487" i="1" a="1"/>
  <c r="V487" i="1" s="1"/>
  <c r="V486" i="1" a="1"/>
  <c r="V486" i="1" s="1"/>
  <c r="V485" i="1" a="1"/>
  <c r="V485" i="1" s="1"/>
  <c r="V484" i="1" a="1"/>
  <c r="V484" i="1" s="1"/>
  <c r="V483" i="1" a="1"/>
  <c r="V483" i="1" s="1"/>
  <c r="V482" i="1" a="1"/>
  <c r="V482" i="1" s="1"/>
  <c r="V481" i="1" a="1"/>
  <c r="V481" i="1" s="1"/>
  <c r="V480" i="1" a="1"/>
  <c r="V480" i="1" s="1"/>
  <c r="V479" i="1" a="1"/>
  <c r="V479" i="1" s="1"/>
  <c r="V478" i="1" a="1"/>
  <c r="V478" i="1" s="1"/>
  <c r="V477" i="1" a="1"/>
  <c r="V477" i="1" s="1"/>
  <c r="V476" i="1" a="1"/>
  <c r="V476" i="1" s="1"/>
  <c r="V475" i="1" a="1"/>
  <c r="V475" i="1" s="1"/>
  <c r="V474" i="1" a="1"/>
  <c r="V474" i="1" s="1"/>
  <c r="V473" i="1" a="1"/>
  <c r="V473" i="1" s="1"/>
  <c r="V472" i="1" a="1"/>
  <c r="V472" i="1" s="1"/>
  <c r="V471" i="1" a="1"/>
  <c r="V471" i="1" s="1"/>
  <c r="V470" i="1" a="1"/>
  <c r="V470" i="1" s="1"/>
  <c r="V469" i="1" a="1"/>
  <c r="V469" i="1" s="1"/>
  <c r="V468" i="1" a="1"/>
  <c r="V468" i="1" s="1"/>
  <c r="V467" i="1" a="1"/>
  <c r="V467" i="1" s="1"/>
  <c r="V466" i="1" a="1"/>
  <c r="V466" i="1" s="1"/>
  <c r="V465" i="1" a="1"/>
  <c r="V465" i="1" s="1"/>
  <c r="V464" i="1" a="1"/>
  <c r="V464" i="1" s="1"/>
  <c r="V463" i="1" a="1"/>
  <c r="V463" i="1" s="1"/>
  <c r="V462" i="1" a="1"/>
  <c r="V462" i="1" s="1"/>
  <c r="V461" i="1" a="1"/>
  <c r="V461" i="1" s="1"/>
  <c r="V460" i="1" a="1"/>
  <c r="V460" i="1" s="1"/>
  <c r="V459" i="1" a="1"/>
  <c r="V459" i="1" s="1"/>
  <c r="V458" i="1" a="1"/>
  <c r="V458" i="1" s="1"/>
  <c r="V457" i="1" a="1"/>
  <c r="V457" i="1" s="1"/>
  <c r="V456" i="1" a="1"/>
  <c r="V456" i="1" s="1"/>
  <c r="V455" i="1" a="1"/>
  <c r="V455" i="1" s="1"/>
  <c r="V454" i="1" a="1"/>
  <c r="V454" i="1" s="1"/>
  <c r="V453" i="1" a="1"/>
  <c r="V453" i="1" s="1"/>
  <c r="V452" i="1" a="1"/>
  <c r="V452" i="1" s="1"/>
  <c r="V451" i="1" a="1"/>
  <c r="V451" i="1" s="1"/>
  <c r="V450" i="1" a="1"/>
  <c r="V450" i="1" s="1"/>
  <c r="V449" i="1" a="1"/>
  <c r="V449" i="1" s="1"/>
  <c r="V448" i="1" a="1"/>
  <c r="V448" i="1" s="1"/>
  <c r="V447" i="1" a="1"/>
  <c r="V447" i="1" s="1"/>
  <c r="V446" i="1" a="1"/>
  <c r="V446" i="1" s="1"/>
  <c r="V445" i="1" a="1"/>
  <c r="V445" i="1" s="1"/>
  <c r="V444" i="1" a="1"/>
  <c r="V444" i="1" s="1"/>
  <c r="V443" i="1" a="1"/>
  <c r="V443" i="1" s="1"/>
  <c r="V442" i="1" a="1"/>
  <c r="V442" i="1" s="1"/>
  <c r="V441" i="1" a="1"/>
  <c r="V441" i="1" s="1"/>
  <c r="V440" i="1" a="1"/>
  <c r="V440" i="1" s="1"/>
  <c r="V439" i="1" a="1"/>
  <c r="V439" i="1" s="1"/>
  <c r="V438" i="1" a="1"/>
  <c r="V438" i="1" s="1"/>
  <c r="V437" i="1" a="1"/>
  <c r="V437" i="1" s="1"/>
  <c r="V436" i="1" a="1"/>
  <c r="V436" i="1" s="1"/>
  <c r="V435" i="1" a="1"/>
  <c r="V435" i="1" s="1"/>
  <c r="V434" i="1" a="1"/>
  <c r="V434" i="1" s="1"/>
  <c r="V433" i="1" a="1"/>
  <c r="V433" i="1" s="1"/>
  <c r="V432" i="1" a="1"/>
  <c r="V432" i="1" s="1"/>
  <c r="V431" i="1" a="1"/>
  <c r="V431" i="1" s="1"/>
  <c r="V430" i="1" a="1"/>
  <c r="V430" i="1" s="1"/>
  <c r="V429" i="1" a="1"/>
  <c r="V429" i="1" s="1"/>
  <c r="V428" i="1" a="1"/>
  <c r="V428" i="1" s="1"/>
  <c r="V427" i="1" a="1"/>
  <c r="V427" i="1" s="1"/>
  <c r="V426" i="1" a="1"/>
  <c r="V426" i="1" s="1"/>
  <c r="V425" i="1" a="1"/>
  <c r="V425" i="1" s="1"/>
  <c r="V424" i="1" a="1"/>
  <c r="V424" i="1" s="1"/>
  <c r="V423" i="1" a="1"/>
  <c r="V423" i="1" s="1"/>
  <c r="V422" i="1" a="1"/>
  <c r="V422" i="1" s="1"/>
  <c r="V421" i="1" a="1"/>
  <c r="V421" i="1" s="1"/>
  <c r="V420" i="1" a="1"/>
  <c r="V420" i="1" s="1"/>
  <c r="V419" i="1" a="1"/>
  <c r="V419" i="1" s="1"/>
  <c r="V418" i="1" a="1"/>
  <c r="V418" i="1" s="1"/>
  <c r="V417" i="1" a="1"/>
  <c r="V417" i="1" s="1"/>
  <c r="V416" i="1" a="1"/>
  <c r="V416" i="1" s="1"/>
  <c r="V415" i="1" a="1"/>
  <c r="V415" i="1" s="1"/>
  <c r="V414" i="1" a="1"/>
  <c r="V414" i="1" s="1"/>
  <c r="V413" i="1" a="1"/>
  <c r="V413" i="1" s="1"/>
  <c r="V412" i="1" a="1"/>
  <c r="V412" i="1" s="1"/>
  <c r="V411" i="1" a="1"/>
  <c r="V411" i="1" s="1"/>
  <c r="V410" i="1" a="1"/>
  <c r="V410" i="1" s="1"/>
  <c r="V409" i="1" a="1"/>
  <c r="V409" i="1" s="1"/>
  <c r="V408" i="1" a="1"/>
  <c r="V408" i="1" s="1"/>
  <c r="V407" i="1" a="1"/>
  <c r="V407" i="1" s="1"/>
  <c r="V406" i="1" a="1"/>
  <c r="V406" i="1" s="1"/>
  <c r="V405" i="1" a="1"/>
  <c r="V405" i="1" s="1"/>
  <c r="V404" i="1" a="1"/>
  <c r="V404" i="1" s="1"/>
  <c r="V403" i="1" a="1"/>
  <c r="V403" i="1" s="1"/>
  <c r="V402" i="1" a="1"/>
  <c r="V402" i="1" s="1"/>
  <c r="V401" i="1" a="1"/>
  <c r="V401" i="1" s="1"/>
  <c r="V400" i="1" a="1"/>
  <c r="V400" i="1" s="1"/>
  <c r="V399" i="1" a="1"/>
  <c r="V399" i="1" s="1"/>
  <c r="V398" i="1" a="1"/>
  <c r="V398" i="1" s="1"/>
  <c r="V397" i="1" a="1"/>
  <c r="V397" i="1" s="1"/>
  <c r="V395" i="1" a="1"/>
  <c r="V395" i="1" s="1"/>
  <c r="V394" i="1" a="1"/>
  <c r="V394" i="1" s="1"/>
  <c r="V393" i="1" a="1"/>
  <c r="V393" i="1" s="1"/>
  <c r="V392" i="1" a="1"/>
  <c r="V392" i="1" s="1"/>
  <c r="V391" i="1" a="1"/>
  <c r="V391" i="1" s="1"/>
  <c r="V390" i="1" a="1"/>
  <c r="V390" i="1" s="1"/>
  <c r="V389" i="1" a="1"/>
  <c r="V389" i="1" s="1"/>
  <c r="V388" i="1" a="1"/>
  <c r="V388" i="1" s="1"/>
  <c r="V387" i="1" a="1"/>
  <c r="V387" i="1" s="1"/>
  <c r="V386" i="1" a="1"/>
  <c r="V386" i="1" s="1"/>
  <c r="V385" i="1" a="1"/>
  <c r="V385" i="1" s="1"/>
  <c r="V384" i="1" a="1"/>
  <c r="V384" i="1" s="1"/>
  <c r="V383" i="1" a="1"/>
  <c r="V383" i="1" s="1"/>
  <c r="V382" i="1" a="1"/>
  <c r="V382" i="1" s="1"/>
  <c r="V381" i="1" a="1"/>
  <c r="V381" i="1" s="1"/>
  <c r="V380" i="1" a="1"/>
  <c r="V380" i="1" s="1"/>
  <c r="V379" i="1" a="1"/>
  <c r="V379" i="1" s="1"/>
  <c r="V378" i="1" a="1"/>
  <c r="V378" i="1" s="1"/>
  <c r="V377" i="1" a="1"/>
  <c r="V377" i="1" s="1"/>
  <c r="V376" i="1" a="1"/>
  <c r="V376" i="1" s="1"/>
  <c r="V375" i="1" a="1"/>
  <c r="V375" i="1" s="1"/>
  <c r="V374" i="1" a="1"/>
  <c r="V374" i="1" s="1"/>
  <c r="V373" i="1" a="1"/>
  <c r="V373" i="1" s="1"/>
  <c r="V372" i="1" a="1"/>
  <c r="V372" i="1" s="1"/>
  <c r="V371" i="1" a="1"/>
  <c r="V371" i="1" s="1"/>
  <c r="V370" i="1" a="1"/>
  <c r="V370" i="1" s="1"/>
  <c r="V369" i="1" a="1"/>
  <c r="V369" i="1" s="1"/>
  <c r="V368" i="1" a="1"/>
  <c r="V368" i="1" s="1"/>
  <c r="V367" i="1" a="1"/>
  <c r="V367" i="1" s="1"/>
  <c r="V366" i="1" a="1"/>
  <c r="V366" i="1" s="1"/>
  <c r="V365" i="1" a="1"/>
  <c r="V365" i="1" s="1"/>
  <c r="V364" i="1" a="1"/>
  <c r="V364" i="1" s="1"/>
  <c r="V362" i="1" a="1"/>
  <c r="V362" i="1" s="1"/>
  <c r="V361" i="1" a="1"/>
  <c r="V361" i="1" s="1"/>
  <c r="V358" i="1" a="1"/>
  <c r="V358" i="1" s="1"/>
  <c r="V357" i="1" a="1"/>
  <c r="V357" i="1" s="1"/>
  <c r="V356" i="1" a="1"/>
  <c r="V356" i="1" s="1"/>
  <c r="V355" i="1" a="1"/>
  <c r="V355" i="1" s="1"/>
  <c r="V354" i="1" a="1"/>
  <c r="V354" i="1" s="1"/>
  <c r="V353" i="1" a="1"/>
  <c r="V353" i="1" s="1"/>
  <c r="V352" i="1" a="1"/>
  <c r="V352" i="1" s="1"/>
  <c r="V351" i="1" a="1"/>
  <c r="V351" i="1" s="1"/>
  <c r="V350" i="1" a="1"/>
  <c r="V350" i="1" s="1"/>
  <c r="V349" i="1" a="1"/>
  <c r="V349" i="1" s="1"/>
  <c r="V348" i="1" a="1"/>
  <c r="V348" i="1" s="1"/>
  <c r="V344" i="1" a="1"/>
  <c r="V344" i="1" s="1"/>
  <c r="V343" i="1" a="1"/>
  <c r="V343" i="1" s="1"/>
  <c r="V342" i="1" a="1"/>
  <c r="V342" i="1" s="1"/>
  <c r="V341" i="1" a="1"/>
  <c r="V341" i="1" s="1"/>
  <c r="V340" i="1" a="1"/>
  <c r="V340" i="1" s="1"/>
  <c r="V339" i="1" a="1"/>
  <c r="V339" i="1" s="1"/>
  <c r="V338" i="1" a="1"/>
  <c r="V338" i="1" s="1"/>
  <c r="V337" i="1" a="1"/>
  <c r="V337" i="1" s="1"/>
  <c r="V336" i="1" a="1"/>
  <c r="V336" i="1" s="1"/>
  <c r="V335" i="1" a="1"/>
  <c r="V335" i="1" s="1"/>
  <c r="V334" i="1" a="1"/>
  <c r="V334" i="1" s="1"/>
  <c r="V333" i="1" a="1"/>
  <c r="V333" i="1" s="1"/>
  <c r="V332" i="1" a="1"/>
  <c r="V332" i="1" s="1"/>
  <c r="V331" i="1" a="1"/>
  <c r="V331" i="1" s="1"/>
  <c r="V330" i="1" a="1"/>
  <c r="V330" i="1" s="1"/>
  <c r="V329" i="1" a="1"/>
  <c r="V329" i="1" s="1"/>
  <c r="V328" i="1" a="1"/>
  <c r="V328" i="1" s="1"/>
  <c r="V327" i="1" a="1"/>
  <c r="V327" i="1" s="1"/>
  <c r="V325" i="1" a="1"/>
  <c r="V325" i="1" s="1"/>
  <c r="V324" i="1" a="1"/>
  <c r="V324" i="1" s="1"/>
  <c r="V323" i="1" a="1"/>
  <c r="V323" i="1" s="1"/>
  <c r="V322" i="1" a="1"/>
  <c r="V322" i="1" s="1"/>
  <c r="V321" i="1" a="1"/>
  <c r="V321" i="1" s="1"/>
  <c r="V320" i="1" a="1"/>
  <c r="V320" i="1" s="1"/>
  <c r="V319" i="1" a="1"/>
  <c r="V319" i="1" s="1"/>
  <c r="V318" i="1" a="1"/>
  <c r="V318" i="1" s="1"/>
  <c r="V317" i="1" a="1"/>
  <c r="V317" i="1" s="1"/>
  <c r="V316" i="1" a="1"/>
  <c r="V316" i="1" s="1"/>
  <c r="V315" i="1" a="1"/>
  <c r="V315" i="1" s="1"/>
  <c r="V314" i="1" a="1"/>
  <c r="V314" i="1" s="1"/>
  <c r="V313" i="1" a="1"/>
  <c r="V313" i="1" s="1"/>
  <c r="V312" i="1" a="1"/>
  <c r="V312" i="1" s="1"/>
  <c r="V311" i="1" a="1"/>
  <c r="V311" i="1" s="1"/>
  <c r="V310" i="1" a="1"/>
  <c r="V310" i="1" s="1"/>
  <c r="V309" i="1" a="1"/>
  <c r="V309" i="1" s="1"/>
  <c r="V308" i="1" a="1"/>
  <c r="V308" i="1" s="1"/>
  <c r="V307" i="1" a="1"/>
  <c r="V307" i="1" s="1"/>
  <c r="V306" i="1" a="1"/>
  <c r="V306" i="1" s="1"/>
  <c r="V305" i="1" a="1"/>
  <c r="V305" i="1" s="1"/>
  <c r="V304" i="1" a="1"/>
  <c r="V304" i="1" s="1"/>
  <c r="V303" i="1" a="1"/>
  <c r="V303" i="1" s="1"/>
  <c r="V302" i="1" a="1"/>
  <c r="V302" i="1" s="1"/>
  <c r="V301" i="1" a="1"/>
  <c r="V301" i="1" s="1"/>
  <c r="V300" i="1" a="1"/>
  <c r="V300" i="1" s="1"/>
  <c r="V299" i="1" a="1"/>
  <c r="V299" i="1" s="1"/>
  <c r="V298" i="1" a="1"/>
  <c r="V298" i="1" s="1"/>
  <c r="V296" i="1" a="1"/>
  <c r="V296" i="1" s="1"/>
  <c r="V295" i="1" a="1"/>
  <c r="V295" i="1" s="1"/>
  <c r="V294" i="1" a="1"/>
  <c r="V294" i="1" s="1"/>
  <c r="V293" i="1" a="1"/>
  <c r="V293" i="1" s="1"/>
  <c r="V292" i="1" a="1"/>
  <c r="V292" i="1" s="1"/>
  <c r="V291" i="1" a="1"/>
  <c r="V291" i="1" s="1"/>
  <c r="V290" i="1" a="1"/>
  <c r="V290" i="1" s="1"/>
  <c r="V289" i="1" a="1"/>
  <c r="V289" i="1" s="1"/>
  <c r="V288" i="1" a="1"/>
  <c r="V288" i="1" s="1"/>
  <c r="V287" i="1" a="1"/>
  <c r="V287" i="1" s="1"/>
  <c r="V286" i="1" a="1"/>
  <c r="V286" i="1" s="1"/>
  <c r="V285" i="1" a="1"/>
  <c r="V285" i="1" s="1"/>
  <c r="V284" i="1" a="1"/>
  <c r="V284" i="1" s="1"/>
  <c r="V283" i="1" a="1"/>
  <c r="V283" i="1" s="1"/>
  <c r="V282" i="1" a="1"/>
  <c r="V282" i="1" s="1"/>
  <c r="V281" i="1" a="1"/>
  <c r="V281" i="1" s="1"/>
  <c r="V280" i="1" a="1"/>
  <c r="V280" i="1" s="1"/>
  <c r="V279" i="1" a="1"/>
  <c r="V279" i="1" s="1"/>
  <c r="V278" i="1" a="1"/>
  <c r="V278" i="1" s="1"/>
  <c r="V277" i="1" a="1"/>
  <c r="V277" i="1" s="1"/>
  <c r="V275" i="1" a="1"/>
  <c r="V275" i="1" s="1"/>
  <c r="V274" i="1" a="1"/>
  <c r="V274" i="1" s="1"/>
  <c r="V273" i="1" a="1"/>
  <c r="V273" i="1" s="1"/>
  <c r="V272" i="1" a="1"/>
  <c r="V272" i="1" s="1"/>
  <c r="V271" i="1" a="1"/>
  <c r="V271" i="1" s="1"/>
  <c r="V270" i="1" a="1"/>
  <c r="V270" i="1" s="1"/>
  <c r="V269" i="1" a="1"/>
  <c r="V269" i="1" s="1"/>
  <c r="V268" i="1" a="1"/>
  <c r="V268" i="1" s="1"/>
  <c r="V267" i="1" a="1"/>
  <c r="V267" i="1" s="1"/>
  <c r="V266" i="1" a="1"/>
  <c r="V266" i="1" s="1"/>
  <c r="V265" i="1" a="1"/>
  <c r="V265" i="1" s="1"/>
  <c r="V264" i="1" a="1"/>
  <c r="V264" i="1" s="1"/>
  <c r="V263" i="1" a="1"/>
  <c r="V263" i="1" s="1"/>
  <c r="V262" i="1" a="1"/>
  <c r="V262" i="1" s="1"/>
  <c r="V261" i="1" a="1"/>
  <c r="V261" i="1" s="1"/>
  <c r="V260" i="1" a="1"/>
  <c r="V260" i="1" s="1"/>
  <c r="V259" i="1" a="1"/>
  <c r="V259" i="1" s="1"/>
  <c r="V257" i="1" a="1"/>
  <c r="V257" i="1" s="1"/>
  <c r="V256" i="1" a="1"/>
  <c r="V256" i="1" s="1"/>
  <c r="V255" i="1" a="1"/>
  <c r="V255" i="1" s="1"/>
  <c r="V253" i="1" a="1"/>
  <c r="V253" i="1" s="1"/>
  <c r="V252" i="1" a="1"/>
  <c r="V252" i="1" s="1"/>
  <c r="V251" i="1" a="1"/>
  <c r="V251" i="1" s="1"/>
  <c r="V250" i="1" a="1"/>
  <c r="V250" i="1" s="1"/>
  <c r="V247" i="1" a="1"/>
  <c r="V247" i="1" s="1"/>
  <c r="V246" i="1" a="1"/>
  <c r="V246" i="1" s="1"/>
  <c r="V244" i="1" a="1"/>
  <c r="V244" i="1" s="1"/>
  <c r="V243" i="1" a="1"/>
  <c r="V243" i="1" s="1"/>
  <c r="V242" i="1" a="1"/>
  <c r="V242" i="1" s="1"/>
  <c r="V241" i="1" a="1"/>
  <c r="V241" i="1" s="1"/>
  <c r="V240" i="1" a="1"/>
  <c r="V240" i="1" s="1"/>
  <c r="V239" i="1" a="1"/>
  <c r="V239" i="1" s="1"/>
  <c r="V238" i="1" a="1"/>
  <c r="V238" i="1" s="1"/>
  <c r="V237" i="1" a="1"/>
  <c r="V237" i="1" s="1"/>
  <c r="V236" i="1" a="1"/>
  <c r="V236" i="1" s="1"/>
  <c r="V235" i="1" a="1"/>
  <c r="V235" i="1" s="1"/>
  <c r="V234" i="1" a="1"/>
  <c r="V234" i="1" s="1"/>
  <c r="V233" i="1" a="1"/>
  <c r="V233" i="1" s="1"/>
  <c r="V232" i="1" a="1"/>
  <c r="V232" i="1" s="1"/>
  <c r="V231" i="1" a="1"/>
  <c r="V231" i="1" s="1"/>
  <c r="V230" i="1" a="1"/>
  <c r="V230" i="1" s="1"/>
  <c r="V229" i="1" a="1"/>
  <c r="V229" i="1" s="1"/>
  <c r="V228" i="1" a="1"/>
  <c r="V228" i="1" s="1"/>
  <c r="V227" i="1" a="1"/>
  <c r="V227" i="1" s="1"/>
  <c r="V226" i="1" a="1"/>
  <c r="V226" i="1" s="1"/>
  <c r="V225" i="1" a="1"/>
  <c r="V225" i="1" s="1"/>
  <c r="V224" i="1" a="1"/>
  <c r="V224" i="1" s="1"/>
  <c r="V223" i="1" a="1"/>
  <c r="V223" i="1" s="1"/>
  <c r="V222" i="1" a="1"/>
  <c r="V222" i="1" s="1"/>
  <c r="V221" i="1" a="1"/>
  <c r="V221" i="1" s="1"/>
  <c r="V220" i="1" a="1"/>
  <c r="V220" i="1" s="1"/>
  <c r="V219" i="1" a="1"/>
  <c r="V219" i="1" s="1"/>
  <c r="V218" i="1" a="1"/>
  <c r="V218" i="1" s="1"/>
  <c r="V217" i="1" a="1"/>
  <c r="V217" i="1" s="1"/>
  <c r="V216" i="1" a="1"/>
  <c r="V216" i="1" s="1"/>
  <c r="V215" i="1" a="1"/>
  <c r="V215" i="1" s="1"/>
  <c r="V214" i="1" a="1"/>
  <c r="V214" i="1" s="1"/>
  <c r="V213" i="1" a="1"/>
  <c r="V213" i="1" s="1"/>
  <c r="V212" i="1" a="1"/>
  <c r="V212" i="1" s="1"/>
  <c r="V211" i="1" a="1"/>
  <c r="V211" i="1" s="1"/>
  <c r="V210" i="1" a="1"/>
  <c r="V210" i="1" s="1"/>
  <c r="V209" i="1" a="1"/>
  <c r="V209" i="1" s="1"/>
  <c r="V208" i="1" a="1"/>
  <c r="V208" i="1" s="1"/>
  <c r="V207" i="1" a="1"/>
  <c r="V207" i="1" s="1"/>
  <c r="V206" i="1" a="1"/>
  <c r="V206" i="1" s="1"/>
  <c r="V204" i="1" a="1"/>
  <c r="V204" i="1" s="1"/>
  <c r="V203" i="1" a="1"/>
  <c r="V203" i="1" s="1"/>
  <c r="V202" i="1" a="1"/>
  <c r="V202" i="1" s="1"/>
  <c r="V201" i="1" a="1"/>
  <c r="V201" i="1" s="1"/>
  <c r="V200" i="1" a="1"/>
  <c r="V200" i="1" s="1"/>
  <c r="V199" i="1" a="1"/>
  <c r="V199" i="1" s="1"/>
  <c r="V198" i="1" a="1"/>
  <c r="V198" i="1" s="1"/>
  <c r="V197" i="1" a="1"/>
  <c r="V197" i="1" s="1"/>
  <c r="V196" i="1" a="1"/>
  <c r="V196" i="1" s="1"/>
  <c r="V195" i="1" a="1"/>
  <c r="V195" i="1" s="1"/>
  <c r="V194" i="1" a="1"/>
  <c r="V194" i="1" s="1"/>
  <c r="V193" i="1" a="1"/>
  <c r="V193" i="1" s="1"/>
  <c r="V192" i="1" a="1"/>
  <c r="V192" i="1" s="1"/>
  <c r="V191" i="1" a="1"/>
  <c r="V191" i="1" s="1"/>
  <c r="V190" i="1" a="1"/>
  <c r="V190" i="1" s="1"/>
  <c r="V189" i="1" a="1"/>
  <c r="V189" i="1" s="1"/>
  <c r="V188" i="1" a="1"/>
  <c r="V188" i="1" s="1"/>
  <c r="V187" i="1" a="1"/>
  <c r="V187" i="1" s="1"/>
  <c r="V186" i="1" a="1"/>
  <c r="V186" i="1" s="1"/>
  <c r="V185" i="1" a="1"/>
  <c r="V185" i="1" s="1"/>
  <c r="V184" i="1" a="1"/>
  <c r="V184" i="1" s="1"/>
  <c r="V183" i="1" a="1"/>
  <c r="V183" i="1" s="1"/>
  <c r="V182" i="1" a="1"/>
  <c r="V182" i="1" s="1"/>
  <c r="V181" i="1" a="1"/>
  <c r="V181" i="1" s="1"/>
  <c r="V180" i="1" a="1"/>
  <c r="V180" i="1" s="1"/>
  <c r="V179" i="1" a="1"/>
  <c r="V179" i="1" s="1"/>
  <c r="V178" i="1" a="1"/>
  <c r="V178" i="1" s="1"/>
  <c r="V177" i="1" a="1"/>
  <c r="V177" i="1" s="1"/>
  <c r="V176" i="1" a="1"/>
  <c r="V176" i="1" s="1"/>
  <c r="V175" i="1" a="1"/>
  <c r="V175" i="1" s="1"/>
  <c r="V174" i="1" a="1"/>
  <c r="V174" i="1" s="1"/>
  <c r="V173" i="1" a="1"/>
  <c r="V173" i="1" s="1"/>
  <c r="V172" i="1" a="1"/>
  <c r="V172" i="1" s="1"/>
  <c r="V170" i="1" a="1"/>
  <c r="V170" i="1" s="1"/>
  <c r="V169" i="1" a="1"/>
  <c r="V169" i="1" s="1"/>
  <c r="V168" i="1" a="1"/>
  <c r="V168" i="1" s="1"/>
  <c r="V167" i="1" a="1"/>
  <c r="V167" i="1" s="1"/>
  <c r="V166" i="1" a="1"/>
  <c r="V166" i="1" s="1"/>
  <c r="V165" i="1" a="1"/>
  <c r="V165" i="1" s="1"/>
  <c r="V164" i="1" a="1"/>
  <c r="V164" i="1" s="1"/>
  <c r="V163" i="1" a="1"/>
  <c r="V163" i="1" s="1"/>
  <c r="V162" i="1" a="1"/>
  <c r="V162" i="1" s="1"/>
  <c r="V161" i="1" a="1"/>
  <c r="V161" i="1" s="1"/>
  <c r="V160" i="1" a="1"/>
  <c r="V160" i="1" s="1"/>
  <c r="V159" i="1" a="1"/>
  <c r="V159" i="1" s="1"/>
  <c r="V158" i="1" a="1"/>
  <c r="V158" i="1" s="1"/>
  <c r="V157" i="1" a="1"/>
  <c r="V157" i="1" s="1"/>
  <c r="V156" i="1" a="1"/>
  <c r="V156" i="1" s="1"/>
  <c r="V155" i="1" a="1"/>
  <c r="V155" i="1" s="1"/>
  <c r="V154" i="1" a="1"/>
  <c r="V154" i="1" s="1"/>
  <c r="V153" i="1" a="1"/>
  <c r="V153" i="1" s="1"/>
  <c r="V152" i="1" a="1"/>
  <c r="V152" i="1" s="1"/>
  <c r="V151" i="1" a="1"/>
  <c r="V151" i="1" s="1"/>
  <c r="V150" i="1" a="1"/>
  <c r="V150" i="1" s="1"/>
  <c r="V149" i="1" a="1"/>
  <c r="V149" i="1" s="1"/>
  <c r="V148" i="1" a="1"/>
  <c r="V148" i="1" s="1"/>
  <c r="V147" i="1" a="1"/>
  <c r="V147" i="1" s="1"/>
  <c r="V146" i="1" a="1"/>
  <c r="V146" i="1" s="1"/>
  <c r="V145" i="1" a="1"/>
  <c r="V145" i="1" s="1"/>
  <c r="V144" i="1" a="1"/>
  <c r="V144" i="1" s="1"/>
  <c r="V143" i="1" a="1"/>
  <c r="V143" i="1" s="1"/>
  <c r="V142" i="1" a="1"/>
  <c r="V142" i="1" s="1"/>
  <c r="V141" i="1" a="1"/>
  <c r="V141" i="1" s="1"/>
  <c r="V140" i="1" a="1"/>
  <c r="V140" i="1" s="1"/>
  <c r="V139" i="1" a="1"/>
  <c r="V139" i="1" s="1"/>
  <c r="V138" i="1" a="1"/>
  <c r="V138" i="1" s="1"/>
  <c r="V137" i="1" a="1"/>
  <c r="V137" i="1" s="1"/>
  <c r="V136" i="1" a="1"/>
  <c r="V136" i="1" s="1"/>
  <c r="V135" i="1" a="1"/>
  <c r="V135" i="1" s="1"/>
  <c r="V134" i="1" a="1"/>
  <c r="V134" i="1" s="1"/>
  <c r="V133" i="1" a="1"/>
  <c r="V133" i="1" s="1"/>
  <c r="V132" i="1" a="1"/>
  <c r="V132" i="1" s="1"/>
  <c r="V131" i="1" a="1"/>
  <c r="V131" i="1" s="1"/>
  <c r="V130" i="1" a="1"/>
  <c r="V130" i="1" s="1"/>
  <c r="V129" i="1" a="1"/>
  <c r="V129" i="1" s="1"/>
  <c r="V128" i="1" a="1"/>
  <c r="V128" i="1" s="1"/>
  <c r="V127" i="1" a="1"/>
  <c r="V127" i="1" s="1"/>
  <c r="V126" i="1" a="1"/>
  <c r="V126" i="1" s="1"/>
  <c r="V125" i="1" a="1"/>
  <c r="V125" i="1" s="1"/>
  <c r="V124" i="1" a="1"/>
  <c r="V124" i="1" s="1"/>
  <c r="V123" i="1" a="1"/>
  <c r="V123" i="1" s="1"/>
  <c r="V122" i="1" a="1"/>
  <c r="V122" i="1" s="1"/>
  <c r="V121" i="1" a="1"/>
  <c r="V121" i="1" s="1"/>
  <c r="V120" i="1" a="1"/>
  <c r="V120" i="1" s="1"/>
  <c r="V119" i="1" a="1"/>
  <c r="V119" i="1" s="1"/>
  <c r="V117" i="1" a="1"/>
  <c r="V117" i="1" s="1"/>
  <c r="V116" i="1" a="1"/>
  <c r="V116" i="1" s="1"/>
  <c r="V115" i="1" a="1"/>
  <c r="V115" i="1" s="1"/>
  <c r="V114" i="1" a="1"/>
  <c r="V114" i="1" s="1"/>
  <c r="V113" i="1" a="1"/>
  <c r="V113" i="1" s="1"/>
  <c r="V112" i="1" a="1"/>
  <c r="V112" i="1" s="1"/>
  <c r="V111" i="1" a="1"/>
  <c r="V111" i="1" s="1"/>
  <c r="V110" i="1" a="1"/>
  <c r="V110" i="1" s="1"/>
  <c r="V109" i="1" a="1"/>
  <c r="V109" i="1" s="1"/>
  <c r="V108" i="1" a="1"/>
  <c r="V108" i="1" s="1"/>
  <c r="V107" i="1" a="1"/>
  <c r="V107" i="1" s="1"/>
  <c r="V106" i="1" a="1"/>
  <c r="V106" i="1" s="1"/>
  <c r="V105" i="1" a="1"/>
  <c r="V105" i="1" s="1"/>
  <c r="V104" i="1" a="1"/>
  <c r="V104" i="1" s="1"/>
  <c r="V103" i="1" a="1"/>
  <c r="V103" i="1" s="1"/>
  <c r="V102" i="1" a="1"/>
  <c r="V102" i="1" s="1"/>
  <c r="V101" i="1" a="1"/>
  <c r="V101" i="1" s="1"/>
  <c r="V100" i="1" a="1"/>
  <c r="V100" i="1" s="1"/>
  <c r="V99" i="1" a="1"/>
  <c r="V99" i="1" s="1"/>
  <c r="V98" i="1" a="1"/>
  <c r="V98" i="1" s="1"/>
  <c r="V97" i="1" a="1"/>
  <c r="V97" i="1" s="1"/>
  <c r="V96" i="1" a="1"/>
  <c r="V96" i="1" s="1"/>
  <c r="V95" i="1" a="1"/>
  <c r="V95" i="1" s="1"/>
  <c r="V94" i="1" a="1"/>
  <c r="V94" i="1" s="1"/>
  <c r="V93" i="1" a="1"/>
  <c r="V93" i="1" s="1"/>
  <c r="V92" i="1" a="1"/>
  <c r="V92" i="1" s="1"/>
  <c r="V91" i="1" a="1"/>
  <c r="V91" i="1" s="1"/>
  <c r="V90" i="1" a="1"/>
  <c r="V90" i="1" s="1"/>
  <c r="V89" i="1" a="1"/>
  <c r="V89" i="1" s="1"/>
  <c r="V88" i="1" a="1"/>
  <c r="V88" i="1" s="1"/>
  <c r="V87" i="1" a="1"/>
  <c r="V87" i="1" s="1"/>
  <c r="V86" i="1" a="1"/>
  <c r="V86" i="1" s="1"/>
  <c r="V85" i="1" a="1"/>
  <c r="V85" i="1" s="1"/>
  <c r="V84" i="1" a="1"/>
  <c r="V84" i="1" s="1"/>
  <c r="V83" i="1" a="1"/>
  <c r="V83" i="1" s="1"/>
  <c r="V82" i="1" a="1"/>
  <c r="V82" i="1" s="1"/>
  <c r="V81" i="1" a="1"/>
  <c r="V81" i="1" s="1"/>
  <c r="V80" i="1" a="1"/>
  <c r="V80" i="1" s="1"/>
  <c r="V79" i="1" a="1"/>
  <c r="V79" i="1" s="1"/>
  <c r="V78" i="1" a="1"/>
  <c r="V78" i="1" s="1"/>
  <c r="V77" i="1" a="1"/>
  <c r="V77" i="1" s="1"/>
  <c r="V76" i="1" a="1"/>
  <c r="V76" i="1" s="1"/>
  <c r="V75" i="1" a="1"/>
  <c r="V75" i="1" s="1"/>
  <c r="V74" i="1" a="1"/>
  <c r="V74" i="1" s="1"/>
  <c r="V73" i="1" a="1"/>
  <c r="V73" i="1" s="1"/>
  <c r="V72" i="1" a="1"/>
  <c r="V72" i="1" s="1"/>
  <c r="V71" i="1" a="1"/>
  <c r="V71" i="1" s="1"/>
  <c r="V70" i="1" a="1"/>
  <c r="V70" i="1" s="1"/>
  <c r="V69" i="1" a="1"/>
  <c r="V69" i="1" s="1"/>
  <c r="V68" i="1" a="1"/>
  <c r="V68" i="1" s="1"/>
  <c r="V67" i="1" a="1"/>
  <c r="V67" i="1" s="1"/>
  <c r="V66" i="1" a="1"/>
  <c r="V66" i="1" s="1"/>
  <c r="V65" i="1" a="1"/>
  <c r="V65" i="1" s="1"/>
  <c r="V64" i="1" a="1"/>
  <c r="V64" i="1" s="1"/>
  <c r="V63" i="1" a="1"/>
  <c r="V63" i="1" s="1"/>
  <c r="V62" i="1" a="1"/>
  <c r="V62" i="1" s="1"/>
  <c r="V61" i="1" a="1"/>
  <c r="V61" i="1" s="1"/>
  <c r="V60" i="1" a="1"/>
  <c r="V60" i="1" s="1"/>
  <c r="V59" i="1" a="1"/>
  <c r="V59" i="1" s="1"/>
  <c r="V58" i="1" a="1"/>
  <c r="V58" i="1" s="1"/>
  <c r="V57" i="1" a="1"/>
  <c r="V57" i="1" s="1"/>
  <c r="V56" i="1" a="1"/>
  <c r="V56" i="1" s="1"/>
  <c r="V55" i="1" a="1"/>
  <c r="V55" i="1" s="1"/>
  <c r="V54" i="1" a="1"/>
  <c r="V54" i="1" s="1"/>
  <c r="V53" i="1" a="1"/>
  <c r="V53" i="1" s="1"/>
  <c r="V52" i="1" a="1"/>
  <c r="V52" i="1" s="1"/>
  <c r="V51" i="1" a="1"/>
  <c r="V51" i="1" s="1"/>
  <c r="V50" i="1" a="1"/>
  <c r="V50" i="1" s="1"/>
  <c r="V49" i="1" a="1"/>
  <c r="V49" i="1" s="1"/>
  <c r="V48" i="1" a="1"/>
  <c r="V48" i="1" s="1"/>
  <c r="V47" i="1" a="1"/>
  <c r="V47" i="1" s="1"/>
  <c r="V46" i="1" a="1"/>
  <c r="V46" i="1" s="1"/>
  <c r="V45" i="1" a="1"/>
  <c r="V45" i="1" s="1"/>
  <c r="V44" i="1" a="1"/>
  <c r="V44" i="1" s="1"/>
  <c r="V43" i="1" a="1"/>
  <c r="V43" i="1" s="1"/>
  <c r="V42" i="1" a="1"/>
  <c r="V42" i="1" s="1"/>
  <c r="V41" i="1" a="1"/>
  <c r="V41" i="1" s="1"/>
  <c r="V40" i="1" a="1"/>
  <c r="V40" i="1" s="1"/>
  <c r="V39" i="1" a="1"/>
  <c r="V39" i="1" s="1"/>
  <c r="V38" i="1" a="1"/>
  <c r="V38" i="1" s="1"/>
  <c r="V37" i="1" a="1"/>
  <c r="V37" i="1" s="1"/>
  <c r="V36" i="1" a="1"/>
  <c r="V36" i="1" s="1"/>
  <c r="V35" i="1" a="1"/>
  <c r="V35" i="1" s="1"/>
  <c r="V34" i="1" a="1"/>
  <c r="V34" i="1" s="1"/>
  <c r="V33" i="1" a="1"/>
  <c r="V33" i="1" s="1"/>
  <c r="V32" i="1" a="1"/>
  <c r="V32" i="1" s="1"/>
  <c r="V31" i="1" a="1"/>
  <c r="V31" i="1" s="1"/>
  <c r="V30" i="1" a="1"/>
  <c r="V30" i="1" s="1"/>
  <c r="V29" i="1" a="1"/>
  <c r="V29" i="1" s="1"/>
  <c r="V28" i="1" a="1"/>
  <c r="V28" i="1" s="1"/>
  <c r="V27" i="1" a="1"/>
  <c r="V27" i="1" s="1"/>
  <c r="V26" i="1" a="1"/>
  <c r="V26" i="1" s="1"/>
  <c r="V25" i="1" a="1"/>
  <c r="V25" i="1" s="1"/>
  <c r="V24" i="1" a="1"/>
  <c r="V24" i="1" s="1"/>
  <c r="V23" i="1" a="1"/>
  <c r="V23" i="1" s="1"/>
  <c r="V22" i="1" a="1"/>
  <c r="V22" i="1" s="1"/>
  <c r="V21" i="1" a="1"/>
  <c r="V21" i="1" s="1"/>
  <c r="V20" i="1" a="1"/>
  <c r="V20" i="1" s="1"/>
  <c r="V19" i="1" a="1"/>
  <c r="V19" i="1" s="1"/>
  <c r="V18" i="1" a="1"/>
  <c r="V18" i="1" s="1"/>
  <c r="V17" i="1" a="1"/>
  <c r="V17" i="1" s="1"/>
  <c r="V16" i="1" a="1"/>
  <c r="V16" i="1" s="1"/>
  <c r="V15" i="1" a="1"/>
  <c r="V15" i="1" s="1"/>
  <c r="V14" i="1" a="1"/>
  <c r="V14" i="1" s="1"/>
  <c r="V13" i="1" a="1"/>
  <c r="V13" i="1" s="1"/>
  <c r="V12" i="1" a="1"/>
  <c r="V12" i="1" s="1"/>
  <c r="V11" i="1" a="1"/>
  <c r="V11" i="1" s="1"/>
  <c r="V10" i="1" a="1"/>
  <c r="V10" i="1" s="1"/>
  <c r="V9" i="1" a="1"/>
  <c r="V9" i="1" s="1"/>
  <c r="V8" i="1" a="1"/>
  <c r="V8" i="1" s="1"/>
  <c r="V7" i="1" a="1"/>
  <c r="V7" i="1" s="1"/>
  <c r="V6" i="1" a="1"/>
  <c r="V6" i="1" s="1"/>
  <c r="V5" i="1" a="1"/>
  <c r="V5" i="1" s="1"/>
  <c r="V4" i="1" a="1"/>
  <c r="V4" i="1" s="1"/>
  <c r="V3" i="1" a="1"/>
  <c r="V3" i="1" s="1"/>
  <c r="V2" i="1" a="1"/>
  <c r="V2" i="1" s="1"/>
  <c r="U627" i="1" a="1"/>
  <c r="U627" i="1" s="1"/>
  <c r="U626" i="1" a="1"/>
  <c r="U626" i="1" s="1"/>
  <c r="U625" i="1" a="1"/>
  <c r="U625" i="1" s="1"/>
  <c r="U624" i="1" a="1"/>
  <c r="U624" i="1" s="1"/>
  <c r="U623" i="1" a="1"/>
  <c r="U623" i="1" s="1"/>
  <c r="U622" i="1" a="1"/>
  <c r="U622" i="1" s="1"/>
  <c r="U621" i="1" a="1"/>
  <c r="U621" i="1" s="1"/>
  <c r="U620" i="1" a="1"/>
  <c r="U620" i="1" s="1"/>
  <c r="U619" i="1" a="1"/>
  <c r="U619" i="1" s="1"/>
  <c r="U618" i="1" a="1"/>
  <c r="U618" i="1" s="1"/>
  <c r="U617" i="1" a="1"/>
  <c r="U617" i="1" s="1"/>
  <c r="U616" i="1" a="1"/>
  <c r="U616" i="1" s="1"/>
  <c r="U615" i="1" a="1"/>
  <c r="U615" i="1" s="1"/>
  <c r="U614" i="1" a="1"/>
  <c r="U614" i="1" s="1"/>
  <c r="U613" i="1" a="1"/>
  <c r="U613" i="1" s="1"/>
  <c r="U612" i="1" a="1"/>
  <c r="U612" i="1" s="1"/>
  <c r="U611" i="1" a="1"/>
  <c r="U611" i="1" s="1"/>
  <c r="U610" i="1" a="1"/>
  <c r="U610" i="1" s="1"/>
  <c r="U609" i="1" a="1"/>
  <c r="U609" i="1" s="1"/>
  <c r="U608" i="1" a="1"/>
  <c r="U608" i="1" s="1"/>
  <c r="U607" i="1" a="1"/>
  <c r="U607" i="1" s="1"/>
  <c r="U606" i="1" a="1"/>
  <c r="U606" i="1" s="1"/>
  <c r="U605" i="1" a="1"/>
  <c r="U605" i="1" s="1"/>
  <c r="U604" i="1" a="1"/>
  <c r="U604" i="1" s="1"/>
  <c r="U603" i="1" a="1"/>
  <c r="U603" i="1" s="1"/>
  <c r="U602" i="1" a="1"/>
  <c r="U602" i="1" s="1"/>
  <c r="U601" i="1" a="1"/>
  <c r="U601" i="1" s="1"/>
  <c r="U600" i="1" a="1"/>
  <c r="U600" i="1" s="1"/>
  <c r="U599" i="1" a="1"/>
  <c r="U599" i="1" s="1"/>
  <c r="U598" i="1" a="1"/>
  <c r="U598" i="1" s="1"/>
  <c r="U597" i="1" a="1"/>
  <c r="U597" i="1" s="1"/>
  <c r="U596" i="1" a="1"/>
  <c r="U596" i="1" s="1"/>
  <c r="U595" i="1" a="1"/>
  <c r="U595" i="1" s="1"/>
  <c r="U594" i="1" a="1"/>
  <c r="U594" i="1" s="1"/>
  <c r="U593" i="1" a="1"/>
  <c r="U593" i="1" s="1"/>
  <c r="U592" i="1" a="1"/>
  <c r="U592" i="1" s="1"/>
  <c r="U591" i="1" a="1"/>
  <c r="U591" i="1" s="1"/>
  <c r="U590" i="1" a="1"/>
  <c r="U590" i="1" s="1"/>
  <c r="U589" i="1" a="1"/>
  <c r="U589" i="1" s="1"/>
  <c r="U588" i="1" a="1"/>
  <c r="U588" i="1" s="1"/>
  <c r="U587" i="1" a="1"/>
  <c r="U587" i="1" s="1"/>
  <c r="U586" i="1" a="1"/>
  <c r="U586" i="1" s="1"/>
  <c r="U585" i="1" a="1"/>
  <c r="U585" i="1" s="1"/>
  <c r="U584" i="1" a="1"/>
  <c r="U584" i="1" s="1"/>
  <c r="U583" i="1" a="1"/>
  <c r="U583" i="1" s="1"/>
  <c r="U582" i="1" a="1"/>
  <c r="U582" i="1" s="1"/>
  <c r="U581" i="1" a="1"/>
  <c r="U581" i="1" s="1"/>
  <c r="U580" i="1" a="1"/>
  <c r="U580" i="1" s="1"/>
  <c r="U579" i="1" a="1"/>
  <c r="U579" i="1" s="1"/>
  <c r="U578" i="1" a="1"/>
  <c r="U578" i="1" s="1"/>
  <c r="U577" i="1" a="1"/>
  <c r="U577" i="1" s="1"/>
  <c r="U576" i="1" a="1"/>
  <c r="U576" i="1" s="1"/>
  <c r="U575" i="1" a="1"/>
  <c r="U575" i="1" s="1"/>
  <c r="U574" i="1" a="1"/>
  <c r="U574" i="1" s="1"/>
  <c r="U573" i="1" a="1"/>
  <c r="U573" i="1" s="1"/>
  <c r="U572" i="1" a="1"/>
  <c r="U572" i="1" s="1"/>
  <c r="U571" i="1" a="1"/>
  <c r="U571" i="1" s="1"/>
  <c r="U570" i="1" a="1"/>
  <c r="U570" i="1" s="1"/>
  <c r="U569" i="1" a="1"/>
  <c r="U569" i="1" s="1"/>
  <c r="U568" i="1" a="1"/>
  <c r="U568" i="1" s="1"/>
  <c r="U567" i="1" a="1"/>
  <c r="U567" i="1" s="1"/>
  <c r="U566" i="1" a="1"/>
  <c r="U566" i="1" s="1"/>
  <c r="U565" i="1" a="1"/>
  <c r="U565" i="1" s="1"/>
  <c r="U564" i="1" a="1"/>
  <c r="U564" i="1" s="1"/>
  <c r="U563" i="1" a="1"/>
  <c r="U563" i="1" s="1"/>
  <c r="U562" i="1" a="1"/>
  <c r="U562" i="1" s="1"/>
  <c r="U561" i="1" a="1"/>
  <c r="U561" i="1" s="1"/>
  <c r="U560" i="1" a="1"/>
  <c r="U560" i="1" s="1"/>
  <c r="U559" i="1" a="1"/>
  <c r="U559" i="1" s="1"/>
  <c r="U558" i="1" a="1"/>
  <c r="U558" i="1" s="1"/>
  <c r="U557" i="1" a="1"/>
  <c r="U557" i="1" s="1"/>
  <c r="U556" i="1" a="1"/>
  <c r="U556" i="1" s="1"/>
  <c r="U555" i="1" a="1"/>
  <c r="U555" i="1" s="1"/>
  <c r="U554" i="1" a="1"/>
  <c r="U554" i="1" s="1"/>
  <c r="U553" i="1" a="1"/>
  <c r="U553" i="1" s="1"/>
  <c r="U552" i="1" a="1"/>
  <c r="U552" i="1" s="1"/>
  <c r="U551" i="1" a="1"/>
  <c r="U551" i="1" s="1"/>
  <c r="U550" i="1" a="1"/>
  <c r="U550" i="1" s="1"/>
  <c r="U549" i="1" a="1"/>
  <c r="U549" i="1" s="1"/>
  <c r="U548" i="1" a="1"/>
  <c r="U548" i="1" s="1"/>
  <c r="U547" i="1" a="1"/>
  <c r="U547" i="1" s="1"/>
  <c r="U546" i="1" a="1"/>
  <c r="U546" i="1" s="1"/>
  <c r="U545" i="1" a="1"/>
  <c r="U545" i="1" s="1"/>
  <c r="U544" i="1" a="1"/>
  <c r="U544" i="1" s="1"/>
  <c r="U543" i="1" a="1"/>
  <c r="U543" i="1" s="1"/>
  <c r="U542" i="1" a="1"/>
  <c r="U542" i="1" s="1"/>
  <c r="U541" i="1" a="1"/>
  <c r="U541" i="1" s="1"/>
  <c r="U540" i="1" a="1"/>
  <c r="U540" i="1" s="1"/>
  <c r="U539" i="1" a="1"/>
  <c r="U539" i="1" s="1"/>
  <c r="U538" i="1" a="1"/>
  <c r="U538" i="1" s="1"/>
  <c r="U537" i="1" a="1"/>
  <c r="U537" i="1" s="1"/>
  <c r="U536" i="1" a="1"/>
  <c r="U536" i="1" s="1"/>
  <c r="U535" i="1" a="1"/>
  <c r="U535" i="1" s="1"/>
  <c r="U534" i="1" a="1"/>
  <c r="U534" i="1" s="1"/>
  <c r="U533" i="1" a="1"/>
  <c r="U533" i="1" s="1"/>
  <c r="U532" i="1" a="1"/>
  <c r="U532" i="1" s="1"/>
  <c r="U531" i="1" a="1"/>
  <c r="U531" i="1" s="1"/>
  <c r="U530" i="1" a="1"/>
  <c r="U530" i="1" s="1"/>
  <c r="U529" i="1" a="1"/>
  <c r="U529" i="1" s="1"/>
  <c r="U528" i="1" a="1"/>
  <c r="U528" i="1" s="1"/>
  <c r="U527" i="1" a="1"/>
  <c r="U527" i="1" s="1"/>
  <c r="U526" i="1" a="1"/>
  <c r="U526" i="1" s="1"/>
  <c r="U525" i="1" a="1"/>
  <c r="U525" i="1" s="1"/>
  <c r="U524" i="1" a="1"/>
  <c r="U524" i="1" s="1"/>
  <c r="U523" i="1" a="1"/>
  <c r="U523" i="1" s="1"/>
  <c r="U522" i="1" a="1"/>
  <c r="U522" i="1" s="1"/>
  <c r="U521" i="1" a="1"/>
  <c r="U521" i="1" s="1"/>
  <c r="U520" i="1" a="1"/>
  <c r="U520" i="1" s="1"/>
  <c r="U519" i="1" a="1"/>
  <c r="U519" i="1" s="1"/>
  <c r="U518" i="1" a="1"/>
  <c r="U518" i="1" s="1"/>
  <c r="U517" i="1" a="1"/>
  <c r="U517" i="1" s="1"/>
  <c r="U516" i="1" a="1"/>
  <c r="U516" i="1" s="1"/>
  <c r="U515" i="1" a="1"/>
  <c r="U515" i="1" s="1"/>
  <c r="U514" i="1" a="1"/>
  <c r="U514" i="1" s="1"/>
  <c r="U513" i="1" a="1"/>
  <c r="U513" i="1" s="1"/>
  <c r="U512" i="1" a="1"/>
  <c r="U512" i="1" s="1"/>
  <c r="U511" i="1" a="1"/>
  <c r="U511" i="1" s="1"/>
  <c r="U510" i="1" a="1"/>
  <c r="U510" i="1" s="1"/>
  <c r="U509" i="1" a="1"/>
  <c r="U509" i="1" s="1"/>
  <c r="U508" i="1" a="1"/>
  <c r="U508" i="1" s="1"/>
  <c r="U507" i="1" a="1"/>
  <c r="U507" i="1" s="1"/>
  <c r="U506" i="1" a="1"/>
  <c r="U506" i="1" s="1"/>
  <c r="U505" i="1" a="1"/>
  <c r="U505" i="1" s="1"/>
  <c r="U504" i="1" a="1"/>
  <c r="U504" i="1" s="1"/>
  <c r="U503" i="1" a="1"/>
  <c r="U503" i="1" s="1"/>
  <c r="U502" i="1" a="1"/>
  <c r="U502" i="1" s="1"/>
  <c r="U501" i="1" a="1"/>
  <c r="U501" i="1" s="1"/>
  <c r="U500" i="1" a="1"/>
  <c r="U500" i="1" s="1"/>
  <c r="U499" i="1" a="1"/>
  <c r="U499" i="1" s="1"/>
  <c r="U498" i="1" a="1"/>
  <c r="U498" i="1" s="1"/>
  <c r="U497" i="1" a="1"/>
  <c r="U497" i="1" s="1"/>
  <c r="U496" i="1" a="1"/>
  <c r="U496" i="1" s="1"/>
  <c r="U495" i="1" a="1"/>
  <c r="U495" i="1" s="1"/>
  <c r="U494" i="1" a="1"/>
  <c r="U494" i="1" s="1"/>
  <c r="U493" i="1" a="1"/>
  <c r="U493" i="1" s="1"/>
  <c r="U492" i="1" a="1"/>
  <c r="U492" i="1" s="1"/>
  <c r="U491" i="1" a="1"/>
  <c r="U491" i="1" s="1"/>
  <c r="U490" i="1" a="1"/>
  <c r="U490" i="1" s="1"/>
  <c r="U489" i="1" a="1"/>
  <c r="U489" i="1" s="1"/>
  <c r="U488" i="1" a="1"/>
  <c r="U488" i="1" s="1"/>
  <c r="U487" i="1" a="1"/>
  <c r="U487" i="1" s="1"/>
  <c r="U486" i="1" a="1"/>
  <c r="U486" i="1" s="1"/>
  <c r="U485" i="1" a="1"/>
  <c r="U485" i="1" s="1"/>
  <c r="U484" i="1" a="1"/>
  <c r="U484" i="1" s="1"/>
  <c r="U483" i="1" a="1"/>
  <c r="U483" i="1" s="1"/>
  <c r="U482" i="1" a="1"/>
  <c r="U482" i="1" s="1"/>
  <c r="U481" i="1" a="1"/>
  <c r="U481" i="1" s="1"/>
  <c r="U480" i="1" a="1"/>
  <c r="U480" i="1" s="1"/>
  <c r="U479" i="1" a="1"/>
  <c r="U479" i="1" s="1"/>
  <c r="U478" i="1" a="1"/>
  <c r="U478" i="1" s="1"/>
  <c r="U477" i="1" a="1"/>
  <c r="U477" i="1" s="1"/>
  <c r="U476" i="1" a="1"/>
  <c r="U476" i="1" s="1"/>
  <c r="U475" i="1" a="1"/>
  <c r="U475" i="1" s="1"/>
  <c r="U474" i="1" a="1"/>
  <c r="U474" i="1" s="1"/>
  <c r="U473" i="1" a="1"/>
  <c r="U473" i="1" s="1"/>
  <c r="U472" i="1" a="1"/>
  <c r="U472" i="1" s="1"/>
  <c r="U471" i="1" a="1"/>
  <c r="U471" i="1" s="1"/>
  <c r="U470" i="1" a="1"/>
  <c r="U470" i="1" s="1"/>
  <c r="U469" i="1" a="1"/>
  <c r="U469" i="1" s="1"/>
  <c r="U468" i="1" a="1"/>
  <c r="U468" i="1" s="1"/>
  <c r="U467" i="1" a="1"/>
  <c r="U467" i="1" s="1"/>
  <c r="U466" i="1" a="1"/>
  <c r="U466" i="1" s="1"/>
  <c r="U465" i="1" a="1"/>
  <c r="U465" i="1" s="1"/>
  <c r="U464" i="1" a="1"/>
  <c r="U464" i="1" s="1"/>
  <c r="U463" i="1" a="1"/>
  <c r="U463" i="1" s="1"/>
  <c r="U462" i="1" a="1"/>
  <c r="U462" i="1" s="1"/>
  <c r="U461" i="1" a="1"/>
  <c r="U461" i="1" s="1"/>
  <c r="U460" i="1" a="1"/>
  <c r="U460" i="1" s="1"/>
  <c r="U459" i="1" a="1"/>
  <c r="U459" i="1" s="1"/>
  <c r="U458" i="1" a="1"/>
  <c r="U458" i="1" s="1"/>
  <c r="U457" i="1" a="1"/>
  <c r="U457" i="1" s="1"/>
  <c r="U456" i="1" a="1"/>
  <c r="U456" i="1" s="1"/>
  <c r="U455" i="1" a="1"/>
  <c r="U455" i="1" s="1"/>
  <c r="U454" i="1" a="1"/>
  <c r="U454" i="1" s="1"/>
  <c r="U453" i="1" a="1"/>
  <c r="U453" i="1" s="1"/>
  <c r="U452" i="1" a="1"/>
  <c r="U452" i="1" s="1"/>
  <c r="U451" i="1" a="1"/>
  <c r="U451" i="1" s="1"/>
  <c r="U450" i="1" a="1"/>
  <c r="U450" i="1" s="1"/>
  <c r="U449" i="1" a="1"/>
  <c r="U449" i="1" s="1"/>
  <c r="U448" i="1" a="1"/>
  <c r="U448" i="1" s="1"/>
  <c r="U447" i="1" a="1"/>
  <c r="U447" i="1" s="1"/>
  <c r="U446" i="1" a="1"/>
  <c r="U446" i="1" s="1"/>
  <c r="U445" i="1" a="1"/>
  <c r="U445" i="1" s="1"/>
  <c r="U444" i="1" a="1"/>
  <c r="U444" i="1" s="1"/>
  <c r="U443" i="1" a="1"/>
  <c r="U443" i="1" s="1"/>
  <c r="U442" i="1" a="1"/>
  <c r="U442" i="1" s="1"/>
  <c r="U441" i="1" a="1"/>
  <c r="U441" i="1" s="1"/>
  <c r="U440" i="1" a="1"/>
  <c r="U440" i="1" s="1"/>
  <c r="U439" i="1" a="1"/>
  <c r="U439" i="1" s="1"/>
  <c r="U438" i="1" a="1"/>
  <c r="U438" i="1" s="1"/>
  <c r="U437" i="1" a="1"/>
  <c r="U437" i="1" s="1"/>
  <c r="U436" i="1" a="1"/>
  <c r="U436" i="1" s="1"/>
  <c r="U435" i="1" a="1"/>
  <c r="U435" i="1" s="1"/>
  <c r="U434" i="1" a="1"/>
  <c r="U434" i="1" s="1"/>
  <c r="U433" i="1" a="1"/>
  <c r="U433" i="1" s="1"/>
  <c r="U432" i="1" a="1"/>
  <c r="U432" i="1" s="1"/>
  <c r="U431" i="1" a="1"/>
  <c r="U431" i="1" s="1"/>
  <c r="U430" i="1" a="1"/>
  <c r="U430" i="1" s="1"/>
  <c r="U429" i="1" a="1"/>
  <c r="U429" i="1" s="1"/>
  <c r="U428" i="1" a="1"/>
  <c r="U428" i="1" s="1"/>
  <c r="U427" i="1" a="1"/>
  <c r="U427" i="1" s="1"/>
  <c r="U426" i="1" a="1"/>
  <c r="U426" i="1" s="1"/>
  <c r="U425" i="1" a="1"/>
  <c r="U425" i="1" s="1"/>
  <c r="U424" i="1" a="1"/>
  <c r="U424" i="1" s="1"/>
  <c r="U423" i="1" a="1"/>
  <c r="U423" i="1" s="1"/>
  <c r="U422" i="1" a="1"/>
  <c r="U422" i="1" s="1"/>
  <c r="U421" i="1" a="1"/>
  <c r="U421" i="1" s="1"/>
  <c r="U420" i="1" a="1"/>
  <c r="U420" i="1" s="1"/>
  <c r="U419" i="1" a="1"/>
  <c r="U419" i="1" s="1"/>
  <c r="U418" i="1" a="1"/>
  <c r="U418" i="1" s="1"/>
  <c r="U417" i="1" a="1"/>
  <c r="U417" i="1" s="1"/>
  <c r="U416" i="1" a="1"/>
  <c r="U416" i="1" s="1"/>
  <c r="U415" i="1" a="1"/>
  <c r="U415" i="1" s="1"/>
  <c r="U414" i="1" a="1"/>
  <c r="U414" i="1" s="1"/>
  <c r="U413" i="1" a="1"/>
  <c r="U413" i="1" s="1"/>
  <c r="U412" i="1" a="1"/>
  <c r="U412" i="1" s="1"/>
  <c r="U411" i="1" a="1"/>
  <c r="U411" i="1" s="1"/>
  <c r="U410" i="1" a="1"/>
  <c r="U410" i="1" s="1"/>
  <c r="U409" i="1" a="1"/>
  <c r="U409" i="1" s="1"/>
  <c r="U408" i="1" a="1"/>
  <c r="U408" i="1" s="1"/>
  <c r="U407" i="1" a="1"/>
  <c r="U407" i="1" s="1"/>
  <c r="U406" i="1" a="1"/>
  <c r="U406" i="1" s="1"/>
  <c r="U405" i="1" a="1"/>
  <c r="U405" i="1" s="1"/>
  <c r="U404" i="1" a="1"/>
  <c r="U404" i="1" s="1"/>
  <c r="U403" i="1" a="1"/>
  <c r="U403" i="1" s="1"/>
  <c r="U402" i="1" a="1"/>
  <c r="U402" i="1" s="1"/>
  <c r="U401" i="1" a="1"/>
  <c r="U401" i="1" s="1"/>
  <c r="U400" i="1" a="1"/>
  <c r="U400" i="1" s="1"/>
  <c r="U399" i="1" a="1"/>
  <c r="U399" i="1" s="1"/>
  <c r="U398" i="1" a="1"/>
  <c r="U398" i="1" s="1"/>
  <c r="U397" i="1" a="1"/>
  <c r="U397" i="1" s="1"/>
  <c r="U396" i="1" a="1"/>
  <c r="U396" i="1" s="1"/>
  <c r="U395" i="1" a="1"/>
  <c r="U395" i="1" s="1"/>
  <c r="U394" i="1" a="1"/>
  <c r="U394" i="1" s="1"/>
  <c r="U393" i="1" a="1"/>
  <c r="U393" i="1" s="1"/>
  <c r="U392" i="1" a="1"/>
  <c r="U392" i="1" s="1"/>
  <c r="U391" i="1" a="1"/>
  <c r="U391" i="1" s="1"/>
  <c r="U390" i="1" a="1"/>
  <c r="U390" i="1" s="1"/>
  <c r="U389" i="1" a="1"/>
  <c r="U389" i="1" s="1"/>
  <c r="U388" i="1" a="1"/>
  <c r="U388" i="1" s="1"/>
  <c r="U387" i="1" a="1"/>
  <c r="U387" i="1" s="1"/>
  <c r="U386" i="1" a="1"/>
  <c r="U386" i="1" s="1"/>
  <c r="U385" i="1" a="1"/>
  <c r="U385" i="1" s="1"/>
  <c r="U384" i="1" a="1"/>
  <c r="U384" i="1" s="1"/>
  <c r="U383" i="1" a="1"/>
  <c r="U383" i="1" s="1"/>
  <c r="U382" i="1" a="1"/>
  <c r="U382" i="1" s="1"/>
  <c r="U381" i="1" a="1"/>
  <c r="U381" i="1" s="1"/>
  <c r="U380" i="1" a="1"/>
  <c r="U380" i="1" s="1"/>
  <c r="U379" i="1" a="1"/>
  <c r="U379" i="1" s="1"/>
  <c r="U378" i="1" a="1"/>
  <c r="U378" i="1" s="1"/>
  <c r="U377" i="1" a="1"/>
  <c r="U377" i="1" s="1"/>
  <c r="U376" i="1" a="1"/>
  <c r="U376" i="1" s="1"/>
  <c r="U375" i="1" a="1"/>
  <c r="U375" i="1" s="1"/>
  <c r="U374" i="1" a="1"/>
  <c r="U374" i="1" s="1"/>
  <c r="U373" i="1" a="1"/>
  <c r="U373" i="1" s="1"/>
  <c r="U372" i="1" a="1"/>
  <c r="U372" i="1" s="1"/>
  <c r="U371" i="1" a="1"/>
  <c r="U371" i="1" s="1"/>
  <c r="U370" i="1" a="1"/>
  <c r="U370" i="1" s="1"/>
  <c r="U369" i="1" a="1"/>
  <c r="U369" i="1" s="1"/>
  <c r="U368" i="1" a="1"/>
  <c r="U368" i="1" s="1"/>
  <c r="U367" i="1" a="1"/>
  <c r="U367" i="1" s="1"/>
  <c r="U366" i="1" a="1"/>
  <c r="U366" i="1" s="1"/>
  <c r="U365" i="1" a="1"/>
  <c r="U365" i="1" s="1"/>
  <c r="U364" i="1" a="1"/>
  <c r="U364" i="1" s="1"/>
  <c r="U363" i="1" a="1"/>
  <c r="U363" i="1" s="1"/>
  <c r="U362" i="1" a="1"/>
  <c r="U362" i="1" s="1"/>
  <c r="U361" i="1" a="1"/>
  <c r="U361" i="1" s="1"/>
  <c r="U360" i="1" a="1"/>
  <c r="U360" i="1" s="1"/>
  <c r="U359" i="1" a="1"/>
  <c r="U359" i="1" s="1"/>
  <c r="U358" i="1" a="1"/>
  <c r="U358" i="1" s="1"/>
  <c r="U357" i="1" a="1"/>
  <c r="U357" i="1" s="1"/>
  <c r="U356" i="1" a="1"/>
  <c r="U356" i="1" s="1"/>
  <c r="U355" i="1" a="1"/>
  <c r="U355" i="1" s="1"/>
  <c r="U354" i="1" a="1"/>
  <c r="U354" i="1" s="1"/>
  <c r="U353" i="1" a="1"/>
  <c r="U353" i="1" s="1"/>
  <c r="U352" i="1" a="1"/>
  <c r="U352" i="1" s="1"/>
  <c r="U351" i="1" a="1"/>
  <c r="U351" i="1" s="1"/>
  <c r="U350" i="1" a="1"/>
  <c r="U350" i="1" s="1"/>
  <c r="U349" i="1" a="1"/>
  <c r="U349" i="1" s="1"/>
  <c r="U348" i="1" a="1"/>
  <c r="U348" i="1" s="1"/>
  <c r="U347" i="1" a="1"/>
  <c r="U347" i="1" s="1"/>
  <c r="U346" i="1" a="1"/>
  <c r="U346" i="1" s="1"/>
  <c r="U345" i="1" a="1"/>
  <c r="U345" i="1" s="1"/>
  <c r="U344" i="1" a="1"/>
  <c r="U344" i="1" s="1"/>
  <c r="U343" i="1" a="1"/>
  <c r="U343" i="1" s="1"/>
  <c r="U342" i="1" a="1"/>
  <c r="U342" i="1" s="1"/>
  <c r="U341" i="1" a="1"/>
  <c r="U341" i="1" s="1"/>
  <c r="U340" i="1" a="1"/>
  <c r="U340" i="1" s="1"/>
  <c r="U339" i="1" a="1"/>
  <c r="U339" i="1" s="1"/>
  <c r="U338" i="1" a="1"/>
  <c r="U338" i="1" s="1"/>
  <c r="U337" i="1" a="1"/>
  <c r="U337" i="1" s="1"/>
  <c r="U336" i="1" a="1"/>
  <c r="U336" i="1" s="1"/>
  <c r="U335" i="1" a="1"/>
  <c r="U335" i="1" s="1"/>
  <c r="U334" i="1" a="1"/>
  <c r="U334" i="1" s="1"/>
  <c r="U333" i="1" a="1"/>
  <c r="U333" i="1" s="1"/>
  <c r="U332" i="1" a="1"/>
  <c r="U332" i="1" s="1"/>
  <c r="U331" i="1" a="1"/>
  <c r="U331" i="1" s="1"/>
  <c r="U330" i="1" a="1"/>
  <c r="U330" i="1" s="1"/>
  <c r="U329" i="1" a="1"/>
  <c r="U329" i="1" s="1"/>
  <c r="U328" i="1" a="1"/>
  <c r="U328" i="1" s="1"/>
  <c r="U327" i="1" a="1"/>
  <c r="U327" i="1" s="1"/>
  <c r="U326" i="1" a="1"/>
  <c r="U326" i="1" s="1"/>
  <c r="U325" i="1" a="1"/>
  <c r="U325" i="1" s="1"/>
  <c r="U324" i="1" a="1"/>
  <c r="U324" i="1" s="1"/>
  <c r="U323" i="1" a="1"/>
  <c r="U323" i="1" s="1"/>
  <c r="U322" i="1" a="1"/>
  <c r="U322" i="1" s="1"/>
  <c r="U321" i="1" a="1"/>
  <c r="U321" i="1" s="1"/>
  <c r="U320" i="1" a="1"/>
  <c r="U320" i="1" s="1"/>
  <c r="U319" i="1" a="1"/>
  <c r="U319" i="1" s="1"/>
  <c r="U318" i="1" a="1"/>
  <c r="U318" i="1" s="1"/>
  <c r="U317" i="1" a="1"/>
  <c r="U317" i="1" s="1"/>
  <c r="U316" i="1" a="1"/>
  <c r="U316" i="1" s="1"/>
  <c r="U315" i="1" a="1"/>
  <c r="U315" i="1" s="1"/>
  <c r="U314" i="1" a="1"/>
  <c r="U314" i="1" s="1"/>
  <c r="U313" i="1" a="1"/>
  <c r="U313" i="1" s="1"/>
  <c r="U312" i="1" a="1"/>
  <c r="U312" i="1" s="1"/>
  <c r="U311" i="1" a="1"/>
  <c r="U311" i="1" s="1"/>
  <c r="U310" i="1" a="1"/>
  <c r="U310" i="1" s="1"/>
  <c r="U309" i="1" a="1"/>
  <c r="U309" i="1" s="1"/>
  <c r="U308" i="1" a="1"/>
  <c r="U308" i="1" s="1"/>
  <c r="U307" i="1" a="1"/>
  <c r="U307" i="1" s="1"/>
  <c r="U306" i="1" a="1"/>
  <c r="U306" i="1" s="1"/>
  <c r="U305" i="1" a="1"/>
  <c r="U305" i="1" s="1"/>
  <c r="U304" i="1" a="1"/>
  <c r="U304" i="1" s="1"/>
  <c r="U303" i="1" a="1"/>
  <c r="U303" i="1" s="1"/>
  <c r="U302" i="1" a="1"/>
  <c r="U302" i="1" s="1"/>
  <c r="U301" i="1" a="1"/>
  <c r="U301" i="1" s="1"/>
  <c r="U300" i="1" a="1"/>
  <c r="U300" i="1" s="1"/>
  <c r="U299" i="1" a="1"/>
  <c r="U299" i="1" s="1"/>
  <c r="U298" i="1" a="1"/>
  <c r="U298" i="1" s="1"/>
  <c r="U297" i="1" a="1"/>
  <c r="U297" i="1" s="1"/>
  <c r="U296" i="1" a="1"/>
  <c r="U296" i="1" s="1"/>
  <c r="U295" i="1" a="1"/>
  <c r="U295" i="1" s="1"/>
  <c r="U294" i="1" a="1"/>
  <c r="U294" i="1" s="1"/>
  <c r="U293" i="1" a="1"/>
  <c r="U293" i="1" s="1"/>
  <c r="U292" i="1" a="1"/>
  <c r="U292" i="1" s="1"/>
  <c r="U291" i="1" a="1"/>
  <c r="U291" i="1" s="1"/>
  <c r="U290" i="1" a="1"/>
  <c r="U290" i="1" s="1"/>
  <c r="U289" i="1" a="1"/>
  <c r="U289" i="1" s="1"/>
  <c r="U288" i="1" a="1"/>
  <c r="U288" i="1" s="1"/>
  <c r="U287" i="1" a="1"/>
  <c r="U287" i="1" s="1"/>
  <c r="U286" i="1" a="1"/>
  <c r="U286" i="1" s="1"/>
  <c r="U285" i="1" a="1"/>
  <c r="U285" i="1" s="1"/>
  <c r="U284" i="1" a="1"/>
  <c r="U284" i="1" s="1"/>
  <c r="U283" i="1" a="1"/>
  <c r="U283" i="1" s="1"/>
  <c r="U282" i="1" a="1"/>
  <c r="U282" i="1" s="1"/>
  <c r="U281" i="1" a="1"/>
  <c r="U281" i="1" s="1"/>
  <c r="U280" i="1" a="1"/>
  <c r="U280" i="1" s="1"/>
  <c r="U279" i="1" a="1"/>
  <c r="U279" i="1" s="1"/>
  <c r="U278" i="1" a="1"/>
  <c r="U278" i="1" s="1"/>
  <c r="U277" i="1" a="1"/>
  <c r="U277" i="1" s="1"/>
  <c r="U276" i="1" a="1"/>
  <c r="U276" i="1" s="1"/>
  <c r="U275" i="1" a="1"/>
  <c r="U275" i="1" s="1"/>
  <c r="U274" i="1" a="1"/>
  <c r="U274" i="1" s="1"/>
  <c r="U273" i="1" a="1"/>
  <c r="U273" i="1" s="1"/>
  <c r="U272" i="1" a="1"/>
  <c r="U272" i="1" s="1"/>
  <c r="U271" i="1" a="1"/>
  <c r="U271" i="1" s="1"/>
  <c r="U270" i="1" a="1"/>
  <c r="U270" i="1" s="1"/>
  <c r="U269" i="1" a="1"/>
  <c r="U269" i="1" s="1"/>
  <c r="U268" i="1" a="1"/>
  <c r="U268" i="1" s="1"/>
  <c r="U267" i="1" a="1"/>
  <c r="U267" i="1" s="1"/>
  <c r="U266" i="1" a="1"/>
  <c r="U266" i="1" s="1"/>
  <c r="U265" i="1" a="1"/>
  <c r="U265" i="1" s="1"/>
  <c r="U264" i="1" a="1"/>
  <c r="U264" i="1" s="1"/>
  <c r="U263" i="1" a="1"/>
  <c r="U263" i="1" s="1"/>
  <c r="U262" i="1" a="1"/>
  <c r="U262" i="1" s="1"/>
  <c r="U261" i="1" a="1"/>
  <c r="U261" i="1" s="1"/>
  <c r="U260" i="1" a="1"/>
  <c r="U260" i="1" s="1"/>
  <c r="U259" i="1" a="1"/>
  <c r="U259" i="1" s="1"/>
  <c r="U258" i="1" a="1"/>
  <c r="U258" i="1" s="1"/>
  <c r="U257" i="1" a="1"/>
  <c r="U257" i="1" s="1"/>
  <c r="U256" i="1" a="1"/>
  <c r="U256" i="1" s="1"/>
  <c r="U255" i="1" a="1"/>
  <c r="U255" i="1" s="1"/>
  <c r="U254" i="1" a="1"/>
  <c r="U254" i="1" s="1"/>
  <c r="U253" i="1" a="1"/>
  <c r="U253" i="1" s="1"/>
  <c r="U252" i="1" a="1"/>
  <c r="U252" i="1" s="1"/>
  <c r="U251" i="1" a="1"/>
  <c r="U251" i="1" s="1"/>
  <c r="U250" i="1" a="1"/>
  <c r="U250" i="1" s="1"/>
  <c r="U249" i="1" a="1"/>
  <c r="U249" i="1" s="1"/>
  <c r="U248" i="1" a="1"/>
  <c r="U248" i="1" s="1"/>
  <c r="U247" i="1" a="1"/>
  <c r="U247" i="1" s="1"/>
  <c r="U246" i="1" a="1"/>
  <c r="U246" i="1" s="1"/>
  <c r="U245" i="1" a="1"/>
  <c r="U245" i="1" s="1"/>
  <c r="U244" i="1" a="1"/>
  <c r="U244" i="1" s="1"/>
  <c r="U243" i="1" a="1"/>
  <c r="U243" i="1" s="1"/>
  <c r="U242" i="1" a="1"/>
  <c r="U242" i="1" s="1"/>
  <c r="U241" i="1" a="1"/>
  <c r="U241" i="1" s="1"/>
  <c r="U240" i="1" a="1"/>
  <c r="U240" i="1" s="1"/>
  <c r="U239" i="1" a="1"/>
  <c r="U239" i="1" s="1"/>
  <c r="U238" i="1" a="1"/>
  <c r="U238" i="1" s="1"/>
  <c r="U237" i="1" a="1"/>
  <c r="U237" i="1" s="1"/>
  <c r="U236" i="1" a="1"/>
  <c r="U236" i="1" s="1"/>
  <c r="U235" i="1" a="1"/>
  <c r="U235" i="1" s="1"/>
  <c r="U234" i="1" a="1"/>
  <c r="U234" i="1" s="1"/>
  <c r="U233" i="1" a="1"/>
  <c r="U233" i="1" s="1"/>
  <c r="U232" i="1" a="1"/>
  <c r="U232" i="1" s="1"/>
  <c r="U231" i="1" a="1"/>
  <c r="U231" i="1" s="1"/>
  <c r="U230" i="1" a="1"/>
  <c r="U230" i="1" s="1"/>
  <c r="U229" i="1" a="1"/>
  <c r="U229" i="1" s="1"/>
  <c r="U228" i="1" a="1"/>
  <c r="U228" i="1" s="1"/>
  <c r="U227" i="1" a="1"/>
  <c r="U227" i="1" s="1"/>
  <c r="U226" i="1" a="1"/>
  <c r="U226" i="1" s="1"/>
  <c r="U225" i="1" a="1"/>
  <c r="U225" i="1" s="1"/>
  <c r="U224" i="1" a="1"/>
  <c r="U224" i="1" s="1"/>
  <c r="U223" i="1" a="1"/>
  <c r="U223" i="1" s="1"/>
  <c r="U222" i="1" a="1"/>
  <c r="U222" i="1" s="1"/>
  <c r="U221" i="1" a="1"/>
  <c r="U221" i="1" s="1"/>
  <c r="U220" i="1" a="1"/>
  <c r="U220" i="1" s="1"/>
  <c r="U219" i="1" a="1"/>
  <c r="U219" i="1" s="1"/>
  <c r="U218" i="1" a="1"/>
  <c r="U218" i="1" s="1"/>
  <c r="U217" i="1" a="1"/>
  <c r="U217" i="1" s="1"/>
  <c r="U216" i="1" a="1"/>
  <c r="U216" i="1" s="1"/>
  <c r="U215" i="1" a="1"/>
  <c r="U215" i="1" s="1"/>
  <c r="U214" i="1" a="1"/>
  <c r="U214" i="1" s="1"/>
  <c r="U213" i="1" a="1"/>
  <c r="U213" i="1" s="1"/>
  <c r="U212" i="1" a="1"/>
  <c r="U212" i="1" s="1"/>
  <c r="U211" i="1" a="1"/>
  <c r="U211" i="1" s="1"/>
  <c r="U210" i="1" a="1"/>
  <c r="U210" i="1" s="1"/>
  <c r="U209" i="1" a="1"/>
  <c r="U209" i="1" s="1"/>
  <c r="U208" i="1" a="1"/>
  <c r="U208" i="1" s="1"/>
  <c r="U207" i="1" a="1"/>
  <c r="U207" i="1" s="1"/>
  <c r="U206" i="1" a="1"/>
  <c r="U206" i="1" s="1"/>
  <c r="U205" i="1" a="1"/>
  <c r="U205" i="1" s="1"/>
  <c r="U204" i="1" a="1"/>
  <c r="U204" i="1" s="1"/>
  <c r="U203" i="1" a="1"/>
  <c r="U203" i="1" s="1"/>
  <c r="U202" i="1" a="1"/>
  <c r="U202" i="1" s="1"/>
  <c r="U201" i="1" a="1"/>
  <c r="U201" i="1" s="1"/>
  <c r="U200" i="1" a="1"/>
  <c r="U200" i="1" s="1"/>
  <c r="U199" i="1" a="1"/>
  <c r="U199" i="1" s="1"/>
  <c r="U198" i="1" a="1"/>
  <c r="U198" i="1" s="1"/>
  <c r="U197" i="1" a="1"/>
  <c r="U197" i="1" s="1"/>
  <c r="U196" i="1" a="1"/>
  <c r="U196" i="1" s="1"/>
  <c r="U195" i="1" a="1"/>
  <c r="U195" i="1" s="1"/>
  <c r="U194" i="1" a="1"/>
  <c r="U194" i="1" s="1"/>
  <c r="U193" i="1" a="1"/>
  <c r="U193" i="1" s="1"/>
  <c r="U192" i="1" a="1"/>
  <c r="U192" i="1" s="1"/>
  <c r="U191" i="1" a="1"/>
  <c r="U191" i="1" s="1"/>
  <c r="U190" i="1" a="1"/>
  <c r="U190" i="1" s="1"/>
  <c r="U189" i="1" a="1"/>
  <c r="U189" i="1" s="1"/>
  <c r="U188" i="1" a="1"/>
  <c r="U188" i="1" s="1"/>
  <c r="U187" i="1" a="1"/>
  <c r="U187" i="1" s="1"/>
  <c r="U186" i="1" a="1"/>
  <c r="U186" i="1" s="1"/>
  <c r="U185" i="1" a="1"/>
  <c r="U185" i="1" s="1"/>
  <c r="U184" i="1" a="1"/>
  <c r="U184" i="1" s="1"/>
  <c r="U183" i="1" a="1"/>
  <c r="U183" i="1" s="1"/>
  <c r="U182" i="1" a="1"/>
  <c r="U182" i="1" s="1"/>
  <c r="U181" i="1" a="1"/>
  <c r="U181" i="1" s="1"/>
  <c r="U180" i="1" a="1"/>
  <c r="U180" i="1" s="1"/>
  <c r="U179" i="1" a="1"/>
  <c r="U179" i="1" s="1"/>
  <c r="U178" i="1" a="1"/>
  <c r="U178" i="1" s="1"/>
  <c r="U177" i="1" a="1"/>
  <c r="U177" i="1" s="1"/>
  <c r="U176" i="1" a="1"/>
  <c r="U176" i="1" s="1"/>
  <c r="U175" i="1" a="1"/>
  <c r="U175" i="1" s="1"/>
  <c r="U174" i="1" a="1"/>
  <c r="U174" i="1" s="1"/>
  <c r="U173" i="1" a="1"/>
  <c r="U173" i="1" s="1"/>
  <c r="U172" i="1" a="1"/>
  <c r="U172" i="1" s="1"/>
  <c r="U171" i="1" a="1"/>
  <c r="U171" i="1" s="1"/>
  <c r="U170" i="1" a="1"/>
  <c r="U170" i="1" s="1"/>
  <c r="U169" i="1" a="1"/>
  <c r="U169" i="1" s="1"/>
  <c r="U168" i="1" a="1"/>
  <c r="U168" i="1" s="1"/>
  <c r="U167" i="1" a="1"/>
  <c r="U167" i="1" s="1"/>
  <c r="U166" i="1" a="1"/>
  <c r="U166" i="1" s="1"/>
  <c r="U165" i="1" a="1"/>
  <c r="U165" i="1" s="1"/>
  <c r="U164" i="1" a="1"/>
  <c r="U164" i="1" s="1"/>
  <c r="U163" i="1" a="1"/>
  <c r="U163" i="1" s="1"/>
  <c r="U162" i="1" a="1"/>
  <c r="U162" i="1" s="1"/>
  <c r="U161" i="1" a="1"/>
  <c r="U161" i="1" s="1"/>
  <c r="U160" i="1" a="1"/>
  <c r="U160" i="1" s="1"/>
  <c r="U159" i="1" a="1"/>
  <c r="U159" i="1" s="1"/>
  <c r="U158" i="1" a="1"/>
  <c r="U158" i="1" s="1"/>
  <c r="U157" i="1" a="1"/>
  <c r="U157" i="1" s="1"/>
  <c r="U156" i="1" a="1"/>
  <c r="U156" i="1" s="1"/>
  <c r="U155" i="1" a="1"/>
  <c r="U155" i="1" s="1"/>
  <c r="U154" i="1" a="1"/>
  <c r="U154" i="1" s="1"/>
  <c r="U153" i="1" a="1"/>
  <c r="U153" i="1" s="1"/>
  <c r="U152" i="1" a="1"/>
  <c r="U152" i="1" s="1"/>
  <c r="U151" i="1" a="1"/>
  <c r="U151" i="1" s="1"/>
  <c r="U150" i="1" a="1"/>
  <c r="U150" i="1" s="1"/>
  <c r="U149" i="1" a="1"/>
  <c r="U149" i="1" s="1"/>
  <c r="U148" i="1" a="1"/>
  <c r="U148" i="1" s="1"/>
  <c r="U147" i="1" a="1"/>
  <c r="U147" i="1" s="1"/>
  <c r="U146" i="1" a="1"/>
  <c r="U146" i="1" s="1"/>
  <c r="U145" i="1" a="1"/>
  <c r="U145" i="1" s="1"/>
  <c r="U144" i="1" a="1"/>
  <c r="U144" i="1" s="1"/>
  <c r="U143" i="1" a="1"/>
  <c r="U143" i="1" s="1"/>
  <c r="U142" i="1" a="1"/>
  <c r="U142" i="1" s="1"/>
  <c r="U141" i="1" a="1"/>
  <c r="U141" i="1" s="1"/>
  <c r="U140" i="1" a="1"/>
  <c r="U140" i="1" s="1"/>
  <c r="U139" i="1" a="1"/>
  <c r="U139" i="1" s="1"/>
  <c r="U138" i="1" a="1"/>
  <c r="U138" i="1" s="1"/>
  <c r="U137" i="1" a="1"/>
  <c r="U137" i="1" s="1"/>
  <c r="U136" i="1" a="1"/>
  <c r="U136" i="1" s="1"/>
  <c r="U135" i="1" a="1"/>
  <c r="U135" i="1" s="1"/>
  <c r="U134" i="1" a="1"/>
  <c r="U134" i="1" s="1"/>
  <c r="U133" i="1" a="1"/>
  <c r="U133" i="1" s="1"/>
  <c r="U132" i="1" a="1"/>
  <c r="U132" i="1" s="1"/>
  <c r="U131" i="1" a="1"/>
  <c r="U131" i="1" s="1"/>
  <c r="U130" i="1" a="1"/>
  <c r="U130" i="1" s="1"/>
  <c r="U129" i="1" a="1"/>
  <c r="U129" i="1" s="1"/>
  <c r="U128" i="1" a="1"/>
  <c r="U128" i="1" s="1"/>
  <c r="U127" i="1" a="1"/>
  <c r="U127" i="1" s="1"/>
  <c r="U126" i="1" a="1"/>
  <c r="U126" i="1" s="1"/>
  <c r="U125" i="1" a="1"/>
  <c r="U125" i="1" s="1"/>
  <c r="U124" i="1" a="1"/>
  <c r="U124" i="1" s="1"/>
  <c r="U123" i="1" a="1"/>
  <c r="U123" i="1" s="1"/>
  <c r="U122" i="1" a="1"/>
  <c r="U122" i="1" s="1"/>
  <c r="U121" i="1" a="1"/>
  <c r="U121" i="1" s="1"/>
  <c r="U120" i="1" a="1"/>
  <c r="U120" i="1" s="1"/>
  <c r="U119" i="1" a="1"/>
  <c r="U119" i="1" s="1"/>
  <c r="U118" i="1" a="1"/>
  <c r="U118" i="1" s="1"/>
  <c r="U117" i="1" a="1"/>
  <c r="U117" i="1" s="1"/>
  <c r="U116" i="1" a="1"/>
  <c r="U116" i="1" s="1"/>
  <c r="U115" i="1" a="1"/>
  <c r="U115" i="1" s="1"/>
  <c r="U114" i="1" a="1"/>
  <c r="U114" i="1" s="1"/>
  <c r="U113" i="1" a="1"/>
  <c r="U113" i="1" s="1"/>
  <c r="U112" i="1" a="1"/>
  <c r="U112" i="1" s="1"/>
  <c r="U111" i="1" a="1"/>
  <c r="U111" i="1" s="1"/>
  <c r="U110" i="1" a="1"/>
  <c r="U110" i="1" s="1"/>
  <c r="U109" i="1" a="1"/>
  <c r="U109" i="1" s="1"/>
  <c r="U108" i="1" a="1"/>
  <c r="U108" i="1" s="1"/>
  <c r="U107" i="1" a="1"/>
  <c r="U107" i="1" s="1"/>
  <c r="U106" i="1" a="1"/>
  <c r="U106" i="1" s="1"/>
  <c r="U105" i="1" a="1"/>
  <c r="U105" i="1" s="1"/>
  <c r="U104" i="1" a="1"/>
  <c r="U104" i="1" s="1"/>
  <c r="U103" i="1" a="1"/>
  <c r="U103" i="1" s="1"/>
  <c r="U102" i="1" a="1"/>
  <c r="U102" i="1" s="1"/>
  <c r="U101" i="1" a="1"/>
  <c r="U101" i="1" s="1"/>
  <c r="U100" i="1" a="1"/>
  <c r="U100" i="1" s="1"/>
  <c r="U99" i="1" a="1"/>
  <c r="U99" i="1" s="1"/>
  <c r="U98" i="1" a="1"/>
  <c r="U98" i="1" s="1"/>
  <c r="U97" i="1" a="1"/>
  <c r="U97" i="1" s="1"/>
  <c r="U96" i="1" a="1"/>
  <c r="U96" i="1" s="1"/>
  <c r="U95" i="1" a="1"/>
  <c r="U95" i="1" s="1"/>
  <c r="U94" i="1" a="1"/>
  <c r="U94" i="1" s="1"/>
  <c r="U93" i="1" a="1"/>
  <c r="U93" i="1" s="1"/>
  <c r="U92" i="1" a="1"/>
  <c r="U92" i="1" s="1"/>
  <c r="U91" i="1" a="1"/>
  <c r="U91" i="1" s="1"/>
  <c r="U90" i="1" a="1"/>
  <c r="U90" i="1" s="1"/>
  <c r="U89" i="1" a="1"/>
  <c r="U89" i="1" s="1"/>
  <c r="U88" i="1" a="1"/>
  <c r="U88" i="1" s="1"/>
  <c r="U87" i="1" a="1"/>
  <c r="U87" i="1" s="1"/>
  <c r="U86" i="1" a="1"/>
  <c r="U86" i="1" s="1"/>
  <c r="U85" i="1" a="1"/>
  <c r="U85" i="1" s="1"/>
  <c r="U84" i="1" a="1"/>
  <c r="U84" i="1" s="1"/>
  <c r="U83" i="1" a="1"/>
  <c r="U83" i="1" s="1"/>
  <c r="U82" i="1" a="1"/>
  <c r="U82" i="1" s="1"/>
  <c r="U81" i="1" a="1"/>
  <c r="U81" i="1" s="1"/>
  <c r="U80" i="1" a="1"/>
  <c r="U80" i="1" s="1"/>
  <c r="U79" i="1" a="1"/>
  <c r="U79" i="1" s="1"/>
  <c r="U78" i="1" a="1"/>
  <c r="U78" i="1" s="1"/>
  <c r="U77" i="1" a="1"/>
  <c r="U77" i="1" s="1"/>
  <c r="U76" i="1" a="1"/>
  <c r="U76" i="1" s="1"/>
  <c r="U75" i="1" a="1"/>
  <c r="U75" i="1" s="1"/>
  <c r="U74" i="1" a="1"/>
  <c r="U74" i="1" s="1"/>
  <c r="U73" i="1" a="1"/>
  <c r="U73" i="1" s="1"/>
  <c r="U72" i="1" a="1"/>
  <c r="U72" i="1" s="1"/>
  <c r="U71" i="1" a="1"/>
  <c r="U71" i="1" s="1"/>
  <c r="U70" i="1" a="1"/>
  <c r="U70" i="1" s="1"/>
  <c r="U69" i="1" a="1"/>
  <c r="U69" i="1" s="1"/>
  <c r="U68" i="1" a="1"/>
  <c r="U68" i="1" s="1"/>
  <c r="U67" i="1" a="1"/>
  <c r="U67" i="1" s="1"/>
  <c r="U66" i="1" a="1"/>
  <c r="U66" i="1" s="1"/>
  <c r="U65" i="1" a="1"/>
  <c r="U65" i="1" s="1"/>
  <c r="U64" i="1" a="1"/>
  <c r="U64" i="1" s="1"/>
  <c r="U63" i="1" a="1"/>
  <c r="U63" i="1" s="1"/>
  <c r="U62" i="1" a="1"/>
  <c r="U62" i="1" s="1"/>
  <c r="U61" i="1" a="1"/>
  <c r="U61" i="1" s="1"/>
  <c r="U60" i="1" a="1"/>
  <c r="U60" i="1" s="1"/>
  <c r="U59" i="1" a="1"/>
  <c r="U59" i="1" s="1"/>
  <c r="U58" i="1" a="1"/>
  <c r="U58" i="1" s="1"/>
  <c r="U57" i="1" a="1"/>
  <c r="U57" i="1" s="1"/>
  <c r="U56" i="1" a="1"/>
  <c r="U56" i="1" s="1"/>
  <c r="U55" i="1" a="1"/>
  <c r="U55" i="1" s="1"/>
  <c r="U54" i="1" a="1"/>
  <c r="U54" i="1" s="1"/>
  <c r="U53" i="1" a="1"/>
  <c r="U53" i="1" s="1"/>
  <c r="U52" i="1" a="1"/>
  <c r="U52" i="1" s="1"/>
  <c r="U51" i="1" a="1"/>
  <c r="U51" i="1" s="1"/>
  <c r="U50" i="1" a="1"/>
  <c r="U50" i="1" s="1"/>
  <c r="U49" i="1" a="1"/>
  <c r="U49" i="1" s="1"/>
  <c r="U48" i="1" a="1"/>
  <c r="U48" i="1" s="1"/>
  <c r="U47" i="1" a="1"/>
  <c r="U47" i="1" s="1"/>
  <c r="U46" i="1" a="1"/>
  <c r="U46" i="1" s="1"/>
  <c r="U45" i="1" a="1"/>
  <c r="U45" i="1" s="1"/>
  <c r="U44" i="1" a="1"/>
  <c r="U44" i="1" s="1"/>
  <c r="U43" i="1" a="1"/>
  <c r="U43" i="1" s="1"/>
  <c r="U42" i="1" a="1"/>
  <c r="U42" i="1" s="1"/>
  <c r="U41" i="1" a="1"/>
  <c r="U41" i="1" s="1"/>
  <c r="U40" i="1" a="1"/>
  <c r="U40" i="1" s="1"/>
  <c r="U39" i="1" a="1"/>
  <c r="U39" i="1" s="1"/>
  <c r="U38" i="1" a="1"/>
  <c r="U38" i="1" s="1"/>
  <c r="U37" i="1" a="1"/>
  <c r="U37" i="1" s="1"/>
  <c r="U36" i="1" a="1"/>
  <c r="U36" i="1" s="1"/>
  <c r="U35" i="1" a="1"/>
  <c r="U35" i="1" s="1"/>
  <c r="U34" i="1" a="1"/>
  <c r="U34" i="1" s="1"/>
  <c r="U33" i="1" a="1"/>
  <c r="U33" i="1" s="1"/>
  <c r="U32" i="1" a="1"/>
  <c r="U32" i="1" s="1"/>
  <c r="U31" i="1" a="1"/>
  <c r="U31" i="1" s="1"/>
  <c r="U30" i="1" a="1"/>
  <c r="U30" i="1" s="1"/>
  <c r="U29" i="1" a="1"/>
  <c r="U29" i="1" s="1"/>
  <c r="U28" i="1" a="1"/>
  <c r="U28" i="1" s="1"/>
  <c r="U27" i="1" a="1"/>
  <c r="U27" i="1" s="1"/>
  <c r="U26" i="1" a="1"/>
  <c r="U26" i="1" s="1"/>
  <c r="U25" i="1" a="1"/>
  <c r="U25" i="1" s="1"/>
  <c r="U24" i="1" a="1"/>
  <c r="U24" i="1" s="1"/>
  <c r="U23" i="1" a="1"/>
  <c r="U23" i="1" s="1"/>
  <c r="U22" i="1" a="1"/>
  <c r="U22" i="1" s="1"/>
  <c r="U21" i="1" a="1"/>
  <c r="U21" i="1" s="1"/>
  <c r="U20" i="1" a="1"/>
  <c r="U20" i="1" s="1"/>
  <c r="U19" i="1" a="1"/>
  <c r="U19" i="1" s="1"/>
  <c r="U18" i="1" a="1"/>
  <c r="U18" i="1" s="1"/>
  <c r="U17" i="1" a="1"/>
  <c r="U17" i="1" s="1"/>
  <c r="U16" i="1" a="1"/>
  <c r="U16" i="1" s="1"/>
  <c r="U15" i="1" a="1"/>
  <c r="U15" i="1" s="1"/>
  <c r="U14" i="1" a="1"/>
  <c r="U14" i="1" s="1"/>
  <c r="U13" i="1" a="1"/>
  <c r="U13" i="1" s="1"/>
  <c r="U12" i="1" a="1"/>
  <c r="U12" i="1" s="1"/>
  <c r="U11" i="1" a="1"/>
  <c r="U11" i="1" s="1"/>
  <c r="U10" i="1" a="1"/>
  <c r="U10" i="1" s="1"/>
  <c r="U9" i="1" a="1"/>
  <c r="U9" i="1" s="1"/>
  <c r="U8" i="1" a="1"/>
  <c r="U8" i="1" s="1"/>
  <c r="U7" i="1" a="1"/>
  <c r="U7" i="1" s="1"/>
  <c r="U6" i="1" a="1"/>
  <c r="U6" i="1" s="1"/>
  <c r="U5" i="1" a="1"/>
  <c r="U5" i="1" s="1"/>
  <c r="U4" i="1" a="1"/>
  <c r="U4" i="1" s="1"/>
  <c r="U3" i="1" a="1"/>
  <c r="U3" i="1" s="1"/>
  <c r="U2" i="1" a="1"/>
  <c r="U2" i="1" s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69" i="1"/>
  <c r="M168" i="1"/>
  <c r="M167" i="1"/>
  <c r="M166" i="1"/>
  <c r="M165" i="1"/>
  <c r="M164" i="1"/>
  <c r="M163" i="1"/>
  <c r="M162" i="1"/>
  <c r="M161" i="1"/>
  <c r="M160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6" i="1"/>
  <c r="M65" i="1"/>
  <c r="M64" i="1"/>
  <c r="M63" i="1"/>
  <c r="M62" i="1"/>
  <c r="M61" i="1"/>
  <c r="M60" i="1"/>
  <c r="M59" i="1"/>
  <c r="M58" i="1"/>
  <c r="M57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2" i="1"/>
  <c r="M21" i="1"/>
  <c r="M20" i="1"/>
  <c r="M19" i="1"/>
  <c r="M18" i="1"/>
  <c r="M17" i="1"/>
  <c r="M16" i="1"/>
  <c r="M15" i="1"/>
  <c r="M14" i="1"/>
  <c r="M13" i="1"/>
  <c r="M11" i="1"/>
  <c r="M10" i="1"/>
  <c r="M9" i="1"/>
  <c r="M8" i="1"/>
  <c r="M7" i="1"/>
  <c r="M6" i="1"/>
  <c r="M4" i="1"/>
  <c r="M2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N616" i="1" s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N600" i="1" s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N584" i="1" s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N568" i="1" s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N552" i="1" s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N536" i="1" s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N520" i="1" s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N504" i="1" s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N488" i="1" s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N472" i="1" s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N456" i="1" s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N440" i="1" s="1"/>
  <c r="G439" i="1"/>
  <c r="G438" i="1"/>
  <c r="G437" i="1"/>
  <c r="G436" i="1"/>
  <c r="G435" i="1"/>
  <c r="G434" i="1"/>
  <c r="G433" i="1"/>
  <c r="G432" i="1"/>
  <c r="N432" i="1" s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N371" i="1" s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N336" i="1" s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N257" i="1" s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N170" i="1" s="1"/>
  <c r="G169" i="1"/>
  <c r="G168" i="1"/>
  <c r="G167" i="1"/>
  <c r="G166" i="1"/>
  <c r="G165" i="1"/>
  <c r="G164" i="1"/>
  <c r="G163" i="1"/>
  <c r="G162" i="1"/>
  <c r="G161" i="1"/>
  <c r="G160" i="1"/>
  <c r="G159" i="1"/>
  <c r="N159" i="1" s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N131" i="1" s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N115" i="1" s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N67" i="1" s="1"/>
  <c r="G66" i="1"/>
  <c r="G65" i="1"/>
  <c r="G64" i="1"/>
  <c r="G63" i="1"/>
  <c r="G62" i="1"/>
  <c r="G61" i="1"/>
  <c r="G60" i="1"/>
  <c r="G59" i="1"/>
  <c r="G58" i="1"/>
  <c r="G57" i="1"/>
  <c r="G56" i="1"/>
  <c r="N56" i="1" s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N23" i="1" s="1"/>
  <c r="G22" i="1"/>
  <c r="G21" i="1"/>
  <c r="G20" i="1"/>
  <c r="G19" i="1"/>
  <c r="G18" i="1"/>
  <c r="G17" i="1"/>
  <c r="G16" i="1"/>
  <c r="G15" i="1"/>
  <c r="G14" i="1"/>
  <c r="G13" i="1"/>
  <c r="G12" i="1"/>
  <c r="N12" i="1" s="1"/>
  <c r="G11" i="1"/>
  <c r="G10" i="1"/>
  <c r="G9" i="1"/>
  <c r="G8" i="1"/>
  <c r="G7" i="1"/>
  <c r="G6" i="1"/>
  <c r="G5" i="1"/>
  <c r="N5" i="1" s="1"/>
  <c r="G4" i="1"/>
  <c r="G3" i="1"/>
  <c r="N3" i="1" s="1"/>
  <c r="G2" i="1"/>
  <c r="N137" i="1" l="1"/>
  <c r="N376" i="1"/>
  <c r="N392" i="1"/>
  <c r="N408" i="1"/>
  <c r="N424" i="1"/>
  <c r="N441" i="1"/>
  <c r="N457" i="1"/>
  <c r="N473" i="1"/>
  <c r="N489" i="1"/>
  <c r="N505" i="1"/>
  <c r="N521" i="1"/>
  <c r="N553" i="1"/>
  <c r="N569" i="1"/>
  <c r="N585" i="1"/>
  <c r="N601" i="1"/>
  <c r="N617" i="1"/>
  <c r="N217" i="1"/>
  <c r="N233" i="1"/>
  <c r="N249" i="1"/>
  <c r="N266" i="1"/>
  <c r="N282" i="1"/>
  <c r="N298" i="1"/>
  <c r="N330" i="1"/>
  <c r="N361" i="1"/>
  <c r="N393" i="1"/>
  <c r="N394" i="1"/>
  <c r="N426" i="1"/>
  <c r="N458" i="1"/>
  <c r="N474" i="1"/>
  <c r="N506" i="1"/>
  <c r="N538" i="1"/>
  <c r="N554" i="1"/>
  <c r="N602" i="1"/>
  <c r="N345" i="1"/>
  <c r="N425" i="1"/>
  <c r="N378" i="1"/>
  <c r="N410" i="1"/>
  <c r="N442" i="1"/>
  <c r="N490" i="1"/>
  <c r="N522" i="1"/>
  <c r="N586" i="1"/>
  <c r="N185" i="1"/>
  <c r="N362" i="1"/>
  <c r="N281" i="1"/>
  <c r="N74" i="1"/>
  <c r="N106" i="1"/>
  <c r="N264" i="1"/>
  <c r="N280" i="1"/>
  <c r="N296" i="1"/>
  <c r="N312" i="1"/>
  <c r="N328" i="1"/>
  <c r="N344" i="1"/>
  <c r="N169" i="1"/>
  <c r="N218" i="1"/>
  <c r="N118" i="1"/>
  <c r="N70" i="1"/>
  <c r="N86" i="1"/>
  <c r="N102" i="1"/>
  <c r="N119" i="1"/>
  <c r="N136" i="1"/>
  <c r="N184" i="1"/>
  <c r="N232" i="1"/>
  <c r="N73" i="1"/>
  <c r="N297" i="1"/>
  <c r="N329" i="1"/>
  <c r="N346" i="1"/>
  <c r="N216" i="1"/>
  <c r="N105" i="1"/>
  <c r="N537" i="1"/>
  <c r="N570" i="1"/>
  <c r="N618" i="1"/>
  <c r="N200" i="1"/>
  <c r="N248" i="1"/>
  <c r="N89" i="1"/>
  <c r="N265" i="1"/>
  <c r="N313" i="1"/>
  <c r="N122" i="1"/>
  <c r="N314" i="1"/>
  <c r="N153" i="1"/>
  <c r="N38" i="1"/>
  <c r="N54" i="1"/>
  <c r="N104" i="1"/>
  <c r="N121" i="1"/>
  <c r="N138" i="1"/>
  <c r="N154" i="1"/>
  <c r="N120" i="1"/>
  <c r="N24" i="1"/>
  <c r="N40" i="1"/>
  <c r="N57" i="1"/>
  <c r="N90" i="1"/>
  <c r="N58" i="1"/>
  <c r="N436" i="1"/>
  <c r="N452" i="1"/>
  <c r="N468" i="1"/>
  <c r="N484" i="1"/>
  <c r="N500" i="1"/>
  <c r="N516" i="1"/>
  <c r="N532" i="1"/>
  <c r="N548" i="1"/>
  <c r="N564" i="1"/>
  <c r="N580" i="1"/>
  <c r="N596" i="1"/>
  <c r="N612" i="1"/>
  <c r="N372" i="1"/>
  <c r="N388" i="1"/>
  <c r="N404" i="1"/>
  <c r="N420" i="1"/>
  <c r="N437" i="1"/>
  <c r="N453" i="1"/>
  <c r="N469" i="1"/>
  <c r="N485" i="1"/>
  <c r="N501" i="1"/>
  <c r="N517" i="1"/>
  <c r="N533" i="1"/>
  <c r="N549" i="1"/>
  <c r="N565" i="1"/>
  <c r="N581" i="1"/>
  <c r="N597" i="1"/>
  <c r="N613" i="1"/>
  <c r="N373" i="1"/>
  <c r="N389" i="1"/>
  <c r="N405" i="1"/>
  <c r="N421" i="1"/>
  <c r="N341" i="1"/>
  <c r="N357" i="1"/>
  <c r="N374" i="1"/>
  <c r="N390" i="1"/>
  <c r="N406" i="1"/>
  <c r="N422" i="1"/>
  <c r="N261" i="1"/>
  <c r="N277" i="1"/>
  <c r="N293" i="1"/>
  <c r="N309" i="1"/>
  <c r="N325" i="1"/>
  <c r="N342" i="1"/>
  <c r="N358" i="1"/>
  <c r="N164" i="1"/>
  <c r="N181" i="1"/>
  <c r="N197" i="1"/>
  <c r="N213" i="1"/>
  <c r="N229" i="1"/>
  <c r="N245" i="1"/>
  <c r="N262" i="1"/>
  <c r="N278" i="1"/>
  <c r="N294" i="1"/>
  <c r="N310" i="1"/>
  <c r="N326" i="1"/>
  <c r="N182" i="1"/>
  <c r="N198" i="1"/>
  <c r="N214" i="1"/>
  <c r="N230" i="1"/>
  <c r="N246" i="1"/>
  <c r="N360" i="1"/>
  <c r="N409" i="1"/>
  <c r="N445" i="1"/>
  <c r="N461" i="1"/>
  <c r="N477" i="1"/>
  <c r="N493" i="1"/>
  <c r="N509" i="1"/>
  <c r="N525" i="1"/>
  <c r="N541" i="1"/>
  <c r="N557" i="1"/>
  <c r="N573" i="1"/>
  <c r="N589" i="1"/>
  <c r="N605" i="1"/>
  <c r="N621" i="1"/>
  <c r="N272" i="1"/>
  <c r="N175" i="1"/>
  <c r="N59" i="1"/>
  <c r="N158" i="1"/>
  <c r="N176" i="1"/>
  <c r="N18" i="1"/>
  <c r="N299" i="1"/>
  <c r="N107" i="1"/>
  <c r="N255" i="1"/>
  <c r="N125" i="1"/>
  <c r="N27" i="1"/>
  <c r="N60" i="1"/>
  <c r="N93" i="1"/>
  <c r="N143" i="1"/>
  <c r="N177" i="1"/>
  <c r="N225" i="1"/>
  <c r="N241" i="1"/>
  <c r="N152" i="1"/>
  <c r="N44" i="1"/>
  <c r="N61" i="1"/>
  <c r="N94" i="1"/>
  <c r="N110" i="1"/>
  <c r="N161" i="1"/>
  <c r="N194" i="1"/>
  <c r="N242" i="1"/>
  <c r="N259" i="1"/>
  <c r="N275" i="1"/>
  <c r="N291" i="1"/>
  <c r="N307" i="1"/>
  <c r="N340" i="1"/>
  <c r="N356" i="1"/>
  <c r="N438" i="1"/>
  <c r="N454" i="1"/>
  <c r="N470" i="1"/>
  <c r="N486" i="1"/>
  <c r="N502" i="1"/>
  <c r="N518" i="1"/>
  <c r="N534" i="1"/>
  <c r="N550" i="1"/>
  <c r="N566" i="1"/>
  <c r="N582" i="1"/>
  <c r="N598" i="1"/>
  <c r="N614" i="1"/>
  <c r="N72" i="1"/>
  <c r="N234" i="1"/>
  <c r="N283" i="1"/>
  <c r="N239" i="1"/>
  <c r="N142" i="1"/>
  <c r="N109" i="1"/>
  <c r="N193" i="1"/>
  <c r="N258" i="1"/>
  <c r="N144" i="1"/>
  <c r="N210" i="1"/>
  <c r="N29" i="1"/>
  <c r="N276" i="1"/>
  <c r="N324" i="1"/>
  <c r="N439" i="1"/>
  <c r="N471" i="1"/>
  <c r="N503" i="1"/>
  <c r="N535" i="1"/>
  <c r="N567" i="1"/>
  <c r="N583" i="1"/>
  <c r="N615" i="1"/>
  <c r="N267" i="1"/>
  <c r="N75" i="1"/>
  <c r="N207" i="1"/>
  <c r="N108" i="1"/>
  <c r="N43" i="1"/>
  <c r="N77" i="1"/>
  <c r="N126" i="1"/>
  <c r="N160" i="1"/>
  <c r="N209" i="1"/>
  <c r="N274" i="1"/>
  <c r="N28" i="1"/>
  <c r="N78" i="1"/>
  <c r="N127" i="1"/>
  <c r="N178" i="1"/>
  <c r="N226" i="1"/>
  <c r="N11" i="1"/>
  <c r="N45" i="1"/>
  <c r="N260" i="1"/>
  <c r="N292" i="1"/>
  <c r="N308" i="1"/>
  <c r="N455" i="1"/>
  <c r="N487" i="1"/>
  <c r="N519" i="1"/>
  <c r="N551" i="1"/>
  <c r="N599" i="1"/>
  <c r="N180" i="1"/>
  <c r="N196" i="1"/>
  <c r="N212" i="1"/>
  <c r="N228" i="1"/>
  <c r="N244" i="1"/>
  <c r="N375" i="1"/>
  <c r="N391" i="1"/>
  <c r="N407" i="1"/>
  <c r="N423" i="1"/>
  <c r="N168" i="1"/>
  <c r="N35" i="1"/>
  <c r="N36" i="1"/>
  <c r="N223" i="1"/>
  <c r="N92" i="1"/>
  <c r="N343" i="1"/>
  <c r="N359" i="1"/>
  <c r="N88" i="1"/>
  <c r="N250" i="1"/>
  <c r="N15" i="1"/>
  <c r="N82" i="1"/>
  <c r="N295" i="1"/>
  <c r="N8" i="1"/>
  <c r="N19" i="1"/>
  <c r="N52" i="1"/>
  <c r="N7" i="1"/>
  <c r="N91" i="1"/>
  <c r="N124" i="1"/>
  <c r="N141" i="1"/>
  <c r="N157" i="1"/>
  <c r="N191" i="1"/>
  <c r="N76" i="1"/>
  <c r="N32" i="1"/>
  <c r="N48" i="1"/>
  <c r="N65" i="1"/>
  <c r="N98" i="1"/>
  <c r="N114" i="1"/>
  <c r="N132" i="1"/>
  <c r="N148" i="1"/>
  <c r="N165" i="1"/>
  <c r="N263" i="1"/>
  <c r="N279" i="1"/>
  <c r="N311" i="1"/>
  <c r="N327" i="1"/>
  <c r="N16" i="1"/>
  <c r="N33" i="1"/>
  <c r="N49" i="1"/>
  <c r="N66" i="1"/>
  <c r="N83" i="1"/>
  <c r="N99" i="1"/>
  <c r="N116" i="1"/>
  <c r="N133" i="1"/>
  <c r="N149" i="1"/>
  <c r="N166" i="1"/>
  <c r="N183" i="1"/>
  <c r="N199" i="1"/>
  <c r="N215" i="1"/>
  <c r="N231" i="1"/>
  <c r="N247" i="1"/>
  <c r="N9" i="1"/>
  <c r="N50" i="1"/>
  <c r="N68" i="1"/>
  <c r="N84" i="1"/>
  <c r="N100" i="1"/>
  <c r="N117" i="1"/>
  <c r="N134" i="1"/>
  <c r="N150" i="1"/>
  <c r="N167" i="1"/>
  <c r="N10" i="1"/>
  <c r="N69" i="1"/>
  <c r="N85" i="1"/>
  <c r="N101" i="1"/>
  <c r="N135" i="1"/>
  <c r="N151" i="1"/>
  <c r="N186" i="1"/>
  <c r="N34" i="1"/>
  <c r="N348" i="1"/>
  <c r="N413" i="1"/>
  <c r="N478" i="1"/>
  <c r="N542" i="1"/>
  <c r="N606" i="1"/>
  <c r="N71" i="1"/>
  <c r="N251" i="1"/>
  <c r="N332" i="1"/>
  <c r="N349" i="1"/>
  <c r="N365" i="1"/>
  <c r="N382" i="1"/>
  <c r="N398" i="1"/>
  <c r="N414" i="1"/>
  <c r="N430" i="1"/>
  <c r="N447" i="1"/>
  <c r="N463" i="1"/>
  <c r="N479" i="1"/>
  <c r="N495" i="1"/>
  <c r="N511" i="1"/>
  <c r="N527" i="1"/>
  <c r="N543" i="1"/>
  <c r="N559" i="1"/>
  <c r="N575" i="1"/>
  <c r="N591" i="1"/>
  <c r="N607" i="1"/>
  <c r="N623" i="1"/>
  <c r="N26" i="1"/>
  <c r="N201" i="1"/>
  <c r="N17" i="1"/>
  <c r="N331" i="1"/>
  <c r="N381" i="1"/>
  <c r="N446" i="1"/>
  <c r="N526" i="1"/>
  <c r="N590" i="1"/>
  <c r="N87" i="1"/>
  <c r="N171" i="1"/>
  <c r="N235" i="1"/>
  <c r="N316" i="1"/>
  <c r="N2" i="1"/>
  <c r="N172" i="1"/>
  <c r="N220" i="1"/>
  <c r="N301" i="1"/>
  <c r="N350" i="1"/>
  <c r="N399" i="1"/>
  <c r="N431" i="1"/>
  <c r="N448" i="1"/>
  <c r="N464" i="1"/>
  <c r="N480" i="1"/>
  <c r="N496" i="1"/>
  <c r="N512" i="1"/>
  <c r="N528" i="1"/>
  <c r="N544" i="1"/>
  <c r="N560" i="1"/>
  <c r="N576" i="1"/>
  <c r="N592" i="1"/>
  <c r="N608" i="1"/>
  <c r="N624" i="1"/>
  <c r="N202" i="1"/>
  <c r="N377" i="1"/>
  <c r="N315" i="1"/>
  <c r="N429" i="1"/>
  <c r="N462" i="1"/>
  <c r="N510" i="1"/>
  <c r="N574" i="1"/>
  <c r="N53" i="1"/>
  <c r="N203" i="1"/>
  <c r="N219" i="1"/>
  <c r="N268" i="1"/>
  <c r="N284" i="1"/>
  <c r="N21" i="1"/>
  <c r="N236" i="1"/>
  <c r="N285" i="1"/>
  <c r="N333" i="1"/>
  <c r="N366" i="1"/>
  <c r="N415" i="1"/>
  <c r="N4" i="1"/>
  <c r="N22" i="1"/>
  <c r="N39" i="1"/>
  <c r="N55" i="1"/>
  <c r="N41" i="1"/>
  <c r="N51" i="1"/>
  <c r="N364" i="1"/>
  <c r="N397" i="1"/>
  <c r="N494" i="1"/>
  <c r="N558" i="1"/>
  <c r="N622" i="1"/>
  <c r="N25" i="1"/>
  <c r="N20" i="1"/>
  <c r="N37" i="1"/>
  <c r="N103" i="1"/>
  <c r="N187" i="1"/>
  <c r="N300" i="1"/>
  <c r="N188" i="1"/>
  <c r="N204" i="1"/>
  <c r="N252" i="1"/>
  <c r="N269" i="1"/>
  <c r="N317" i="1"/>
  <c r="N383" i="1"/>
  <c r="N6" i="1"/>
  <c r="N123" i="1"/>
  <c r="N140" i="1"/>
  <c r="N156" i="1"/>
  <c r="N42" i="1"/>
  <c r="N139" i="1"/>
  <c r="N155" i="1"/>
  <c r="N347" i="1"/>
  <c r="N363" i="1"/>
  <c r="N379" i="1"/>
  <c r="N395" i="1"/>
  <c r="N411" i="1"/>
  <c r="N427" i="1"/>
  <c r="N443" i="1"/>
  <c r="N459" i="1"/>
  <c r="N475" i="1"/>
  <c r="N491" i="1"/>
  <c r="N507" i="1"/>
  <c r="N523" i="1"/>
  <c r="N539" i="1"/>
  <c r="N555" i="1"/>
  <c r="N571" i="1"/>
  <c r="N587" i="1"/>
  <c r="N603" i="1"/>
  <c r="N619" i="1"/>
  <c r="N380" i="1"/>
  <c r="N396" i="1"/>
  <c r="N412" i="1"/>
  <c r="N428" i="1"/>
  <c r="N444" i="1"/>
  <c r="N460" i="1"/>
  <c r="N476" i="1"/>
  <c r="N492" i="1"/>
  <c r="N508" i="1"/>
  <c r="N524" i="1"/>
  <c r="N540" i="1"/>
  <c r="N556" i="1"/>
  <c r="N572" i="1"/>
  <c r="N588" i="1"/>
  <c r="N604" i="1"/>
  <c r="N620" i="1"/>
  <c r="N13" i="1"/>
  <c r="N173" i="1"/>
  <c r="N189" i="1"/>
  <c r="N205" i="1"/>
  <c r="N221" i="1"/>
  <c r="N237" i="1"/>
  <c r="N253" i="1"/>
  <c r="N14" i="1"/>
  <c r="N30" i="1"/>
  <c r="N46" i="1"/>
  <c r="N62" i="1"/>
  <c r="N174" i="1"/>
  <c r="N190" i="1"/>
  <c r="N206" i="1"/>
  <c r="N222" i="1"/>
  <c r="N238" i="1"/>
  <c r="N254" i="1"/>
  <c r="N270" i="1"/>
  <c r="N286" i="1"/>
  <c r="N302" i="1"/>
  <c r="N318" i="1"/>
  <c r="N334" i="1"/>
  <c r="N31" i="1"/>
  <c r="N47" i="1"/>
  <c r="N63" i="1"/>
  <c r="N79" i="1"/>
  <c r="N95" i="1"/>
  <c r="N111" i="1"/>
  <c r="N271" i="1"/>
  <c r="N287" i="1"/>
  <c r="N303" i="1"/>
  <c r="N319" i="1"/>
  <c r="N335" i="1"/>
  <c r="N351" i="1"/>
  <c r="N367" i="1"/>
  <c r="N64" i="1"/>
  <c r="N80" i="1"/>
  <c r="N96" i="1"/>
  <c r="N112" i="1"/>
  <c r="N128" i="1"/>
  <c r="N192" i="1"/>
  <c r="N208" i="1"/>
  <c r="N224" i="1"/>
  <c r="N240" i="1"/>
  <c r="N256" i="1"/>
  <c r="N288" i="1"/>
  <c r="N304" i="1"/>
  <c r="N320" i="1"/>
  <c r="N352" i="1"/>
  <c r="N368" i="1"/>
  <c r="N384" i="1"/>
  <c r="N400" i="1"/>
  <c r="N416" i="1"/>
  <c r="N81" i="1"/>
  <c r="N97" i="1"/>
  <c r="N113" i="1"/>
  <c r="N129" i="1"/>
  <c r="N145" i="1"/>
  <c r="N273" i="1"/>
  <c r="N289" i="1"/>
  <c r="N305" i="1"/>
  <c r="N321" i="1"/>
  <c r="N337" i="1"/>
  <c r="N353" i="1"/>
  <c r="N369" i="1"/>
  <c r="N385" i="1"/>
  <c r="N401" i="1"/>
  <c r="N417" i="1"/>
  <c r="N433" i="1"/>
  <c r="N449" i="1"/>
  <c r="N465" i="1"/>
  <c r="N481" i="1"/>
  <c r="N497" i="1"/>
  <c r="N513" i="1"/>
  <c r="N529" i="1"/>
  <c r="N545" i="1"/>
  <c r="N561" i="1"/>
  <c r="N577" i="1"/>
  <c r="N593" i="1"/>
  <c r="N609" i="1"/>
  <c r="N625" i="1"/>
  <c r="N130" i="1"/>
  <c r="N146" i="1"/>
  <c r="N162" i="1"/>
  <c r="N290" i="1"/>
  <c r="N306" i="1"/>
  <c r="N322" i="1"/>
  <c r="N338" i="1"/>
  <c r="N354" i="1"/>
  <c r="N370" i="1"/>
  <c r="N386" i="1"/>
  <c r="N402" i="1"/>
  <c r="N418" i="1"/>
  <c r="N434" i="1"/>
  <c r="N450" i="1"/>
  <c r="N466" i="1"/>
  <c r="N482" i="1"/>
  <c r="N498" i="1"/>
  <c r="N514" i="1"/>
  <c r="N530" i="1"/>
  <c r="N546" i="1"/>
  <c r="N562" i="1"/>
  <c r="N578" i="1"/>
  <c r="N594" i="1"/>
  <c r="N610" i="1"/>
  <c r="N626" i="1"/>
  <c r="N147" i="1"/>
  <c r="N163" i="1"/>
  <c r="N179" i="1"/>
  <c r="N195" i="1"/>
  <c r="N211" i="1"/>
  <c r="N227" i="1"/>
  <c r="N243" i="1"/>
  <c r="N323" i="1"/>
  <c r="N339" i="1"/>
  <c r="N355" i="1"/>
  <c r="N387" i="1"/>
  <c r="N403" i="1"/>
  <c r="N419" i="1"/>
  <c r="N435" i="1"/>
  <c r="N451" i="1"/>
  <c r="N467" i="1"/>
  <c r="N483" i="1"/>
  <c r="N499" i="1"/>
  <c r="N515" i="1"/>
  <c r="N531" i="1"/>
  <c r="N547" i="1"/>
  <c r="N563" i="1"/>
  <c r="N579" i="1"/>
  <c r="N595" i="1"/>
  <c r="N611" i="1"/>
  <c r="N627" i="1"/>
  <c r="T627" i="1" a="1"/>
  <c r="T627" i="1" s="1"/>
  <c r="T626" i="1" a="1"/>
  <c r="T626" i="1" s="1"/>
  <c r="T625" i="1" a="1"/>
  <c r="T625" i="1" s="1"/>
  <c r="T624" i="1" a="1"/>
  <c r="T624" i="1" s="1"/>
  <c r="T623" i="1" a="1"/>
  <c r="T623" i="1" s="1"/>
  <c r="T622" i="1" a="1"/>
  <c r="T622" i="1" s="1"/>
  <c r="T621" i="1" a="1"/>
  <c r="T621" i="1" s="1"/>
  <c r="T620" i="1" a="1"/>
  <c r="T620" i="1" s="1"/>
  <c r="T619" i="1" a="1"/>
  <c r="T619" i="1" s="1"/>
  <c r="T618" i="1" a="1"/>
  <c r="T618" i="1" s="1"/>
  <c r="T617" i="1" a="1"/>
  <c r="T617" i="1" s="1"/>
  <c r="T616" i="1" a="1"/>
  <c r="T616" i="1" s="1"/>
  <c r="T615" i="1" a="1"/>
  <c r="T615" i="1" s="1"/>
  <c r="T614" i="1" a="1"/>
  <c r="T614" i="1" s="1"/>
  <c r="T613" i="1" a="1"/>
  <c r="T613" i="1" s="1"/>
  <c r="T612" i="1" a="1"/>
  <c r="T612" i="1" s="1"/>
  <c r="T611" i="1" a="1"/>
  <c r="T611" i="1" s="1"/>
  <c r="T610" i="1" a="1"/>
  <c r="T610" i="1" s="1"/>
  <c r="T609" i="1" a="1"/>
  <c r="T609" i="1" s="1"/>
  <c r="T608" i="1" a="1"/>
  <c r="T608" i="1" s="1"/>
  <c r="T607" i="1" a="1"/>
  <c r="T607" i="1" s="1"/>
  <c r="T606" i="1" a="1"/>
  <c r="T606" i="1" s="1"/>
  <c r="T605" i="1" a="1"/>
  <c r="T605" i="1" s="1"/>
  <c r="T604" i="1" a="1"/>
  <c r="T604" i="1" s="1"/>
  <c r="T603" i="1" a="1"/>
  <c r="T603" i="1" s="1"/>
  <c r="T602" i="1" a="1"/>
  <c r="T602" i="1" s="1"/>
  <c r="T601" i="1" a="1"/>
  <c r="T601" i="1" s="1"/>
  <c r="T600" i="1" a="1"/>
  <c r="T600" i="1" s="1"/>
  <c r="T599" i="1" a="1"/>
  <c r="T599" i="1" s="1"/>
  <c r="T598" i="1" a="1"/>
  <c r="T598" i="1" s="1"/>
  <c r="T597" i="1" a="1"/>
  <c r="T597" i="1" s="1"/>
  <c r="T596" i="1" a="1"/>
  <c r="T596" i="1" s="1"/>
  <c r="T595" i="1" a="1"/>
  <c r="T595" i="1" s="1"/>
  <c r="T594" i="1" a="1"/>
  <c r="T594" i="1" s="1"/>
  <c r="T593" i="1" a="1"/>
  <c r="T593" i="1" s="1"/>
  <c r="T592" i="1" a="1"/>
  <c r="T592" i="1" s="1"/>
  <c r="T591" i="1" a="1"/>
  <c r="T591" i="1" s="1"/>
  <c r="T590" i="1" a="1"/>
  <c r="T590" i="1" s="1"/>
  <c r="T589" i="1" a="1"/>
  <c r="T589" i="1" s="1"/>
  <c r="T588" i="1" a="1"/>
  <c r="T588" i="1" s="1"/>
  <c r="T587" i="1" a="1"/>
  <c r="T587" i="1" s="1"/>
  <c r="T586" i="1" a="1"/>
  <c r="T586" i="1" s="1"/>
  <c r="T585" i="1" a="1"/>
  <c r="T585" i="1" s="1"/>
  <c r="T584" i="1" a="1"/>
  <c r="T584" i="1" s="1"/>
  <c r="T583" i="1" a="1"/>
  <c r="T583" i="1" s="1"/>
  <c r="T582" i="1" a="1"/>
  <c r="T582" i="1" s="1"/>
  <c r="T581" i="1" a="1"/>
  <c r="T581" i="1" s="1"/>
  <c r="T580" i="1" a="1"/>
  <c r="T580" i="1" s="1"/>
  <c r="T579" i="1" a="1"/>
  <c r="T579" i="1" s="1"/>
  <c r="T578" i="1" a="1"/>
  <c r="T578" i="1" s="1"/>
  <c r="T577" i="1" a="1"/>
  <c r="T577" i="1" s="1"/>
  <c r="T576" i="1" a="1"/>
  <c r="T576" i="1" s="1"/>
  <c r="T575" i="1" a="1"/>
  <c r="T575" i="1" s="1"/>
  <c r="T574" i="1" a="1"/>
  <c r="T574" i="1" s="1"/>
  <c r="T573" i="1" a="1"/>
  <c r="T573" i="1" s="1"/>
  <c r="T572" i="1" a="1"/>
  <c r="T572" i="1" s="1"/>
  <c r="T571" i="1" a="1"/>
  <c r="T571" i="1" s="1"/>
  <c r="T570" i="1" a="1"/>
  <c r="T570" i="1" s="1"/>
  <c r="T569" i="1" a="1"/>
  <c r="T569" i="1" s="1"/>
  <c r="T568" i="1" a="1"/>
  <c r="T568" i="1" s="1"/>
  <c r="T567" i="1" a="1"/>
  <c r="T567" i="1" s="1"/>
  <c r="T566" i="1" a="1"/>
  <c r="T566" i="1" s="1"/>
  <c r="T565" i="1" a="1"/>
  <c r="T565" i="1" s="1"/>
  <c r="T564" i="1" a="1"/>
  <c r="T564" i="1" s="1"/>
  <c r="T563" i="1" a="1"/>
  <c r="T563" i="1" s="1"/>
  <c r="T562" i="1" a="1"/>
  <c r="T562" i="1" s="1"/>
  <c r="T561" i="1" a="1"/>
  <c r="T561" i="1" s="1"/>
  <c r="T560" i="1" a="1"/>
  <c r="T560" i="1" s="1"/>
  <c r="T559" i="1" a="1"/>
  <c r="T559" i="1" s="1"/>
  <c r="T558" i="1" a="1"/>
  <c r="T558" i="1" s="1"/>
  <c r="T557" i="1" a="1"/>
  <c r="T557" i="1" s="1"/>
  <c r="T556" i="1" a="1"/>
  <c r="T556" i="1" s="1"/>
  <c r="T555" i="1" a="1"/>
  <c r="T555" i="1" s="1"/>
  <c r="T554" i="1" a="1"/>
  <c r="T554" i="1" s="1"/>
  <c r="T553" i="1" a="1"/>
  <c r="T553" i="1" s="1"/>
  <c r="T552" i="1" a="1"/>
  <c r="T552" i="1" s="1"/>
  <c r="T551" i="1" a="1"/>
  <c r="T551" i="1" s="1"/>
  <c r="T550" i="1" a="1"/>
  <c r="T550" i="1" s="1"/>
  <c r="T549" i="1" a="1"/>
  <c r="T549" i="1" s="1"/>
  <c r="T548" i="1" a="1"/>
  <c r="T548" i="1" s="1"/>
  <c r="T547" i="1" a="1"/>
  <c r="T547" i="1" s="1"/>
  <c r="T546" i="1" a="1"/>
  <c r="T546" i="1" s="1"/>
  <c r="T545" i="1" a="1"/>
  <c r="T545" i="1" s="1"/>
  <c r="T544" i="1" a="1"/>
  <c r="T544" i="1" s="1"/>
  <c r="T543" i="1" a="1"/>
  <c r="T543" i="1" s="1"/>
  <c r="T542" i="1" a="1"/>
  <c r="T542" i="1" s="1"/>
  <c r="T541" i="1" a="1"/>
  <c r="T541" i="1" s="1"/>
  <c r="T540" i="1" a="1"/>
  <c r="T540" i="1" s="1"/>
  <c r="T539" i="1" a="1"/>
  <c r="T539" i="1" s="1"/>
  <c r="T538" i="1" a="1"/>
  <c r="T538" i="1" s="1"/>
  <c r="T537" i="1" a="1"/>
  <c r="T537" i="1" s="1"/>
  <c r="T536" i="1" a="1"/>
  <c r="T536" i="1" s="1"/>
  <c r="T535" i="1" a="1"/>
  <c r="T535" i="1" s="1"/>
  <c r="T534" i="1" a="1"/>
  <c r="T534" i="1" s="1"/>
  <c r="T533" i="1" a="1"/>
  <c r="T533" i="1" s="1"/>
  <c r="T532" i="1" a="1"/>
  <c r="T532" i="1" s="1"/>
  <c r="T531" i="1" a="1"/>
  <c r="T531" i="1" s="1"/>
  <c r="T530" i="1" a="1"/>
  <c r="T530" i="1" s="1"/>
  <c r="T529" i="1" a="1"/>
  <c r="T529" i="1" s="1"/>
  <c r="T528" i="1" a="1"/>
  <c r="T528" i="1" s="1"/>
  <c r="T527" i="1" a="1"/>
  <c r="T527" i="1" s="1"/>
  <c r="T526" i="1" a="1"/>
  <c r="T526" i="1" s="1"/>
  <c r="T525" i="1" a="1"/>
  <c r="T525" i="1" s="1"/>
  <c r="T524" i="1" a="1"/>
  <c r="T524" i="1" s="1"/>
  <c r="T523" i="1" a="1"/>
  <c r="T523" i="1" s="1"/>
  <c r="T522" i="1" a="1"/>
  <c r="T522" i="1" s="1"/>
  <c r="T521" i="1" a="1"/>
  <c r="T521" i="1" s="1"/>
  <c r="T520" i="1" a="1"/>
  <c r="T520" i="1" s="1"/>
  <c r="T519" i="1" a="1"/>
  <c r="T519" i="1" s="1"/>
  <c r="T518" i="1" a="1"/>
  <c r="T518" i="1" s="1"/>
  <c r="T517" i="1" a="1"/>
  <c r="T517" i="1" s="1"/>
  <c r="T516" i="1" a="1"/>
  <c r="T516" i="1" s="1"/>
  <c r="T515" i="1" a="1"/>
  <c r="T515" i="1" s="1"/>
  <c r="T514" i="1" a="1"/>
  <c r="T514" i="1" s="1"/>
  <c r="T513" i="1" a="1"/>
  <c r="T513" i="1" s="1"/>
  <c r="T512" i="1" a="1"/>
  <c r="T512" i="1" s="1"/>
  <c r="T511" i="1" a="1"/>
  <c r="T511" i="1" s="1"/>
  <c r="T510" i="1" a="1"/>
  <c r="T510" i="1" s="1"/>
  <c r="T509" i="1" a="1"/>
  <c r="T509" i="1" s="1"/>
  <c r="T508" i="1" a="1"/>
  <c r="T508" i="1" s="1"/>
  <c r="T507" i="1" a="1"/>
  <c r="T507" i="1" s="1"/>
  <c r="T506" i="1" a="1"/>
  <c r="T506" i="1" s="1"/>
  <c r="T505" i="1" a="1"/>
  <c r="T505" i="1" s="1"/>
  <c r="T504" i="1" a="1"/>
  <c r="T504" i="1" s="1"/>
  <c r="T503" i="1" a="1"/>
  <c r="T503" i="1" s="1"/>
  <c r="T502" i="1" a="1"/>
  <c r="T502" i="1" s="1"/>
  <c r="T501" i="1" a="1"/>
  <c r="T501" i="1" s="1"/>
  <c r="T500" i="1" a="1"/>
  <c r="T500" i="1" s="1"/>
  <c r="T499" i="1" a="1"/>
  <c r="T499" i="1" s="1"/>
  <c r="T498" i="1" a="1"/>
  <c r="T498" i="1" s="1"/>
  <c r="T497" i="1" a="1"/>
  <c r="T497" i="1" s="1"/>
  <c r="T496" i="1" a="1"/>
  <c r="T496" i="1" s="1"/>
  <c r="T495" i="1" a="1"/>
  <c r="T495" i="1" s="1"/>
  <c r="T494" i="1" a="1"/>
  <c r="T494" i="1" s="1"/>
  <c r="T493" i="1" a="1"/>
  <c r="T493" i="1" s="1"/>
  <c r="T492" i="1" a="1"/>
  <c r="T492" i="1" s="1"/>
  <c r="T491" i="1" a="1"/>
  <c r="T491" i="1" s="1"/>
  <c r="T490" i="1" a="1"/>
  <c r="T490" i="1" s="1"/>
  <c r="T489" i="1" a="1"/>
  <c r="T489" i="1" s="1"/>
  <c r="T488" i="1" a="1"/>
  <c r="T488" i="1" s="1"/>
  <c r="T487" i="1" a="1"/>
  <c r="T487" i="1" s="1"/>
  <c r="T486" i="1" a="1"/>
  <c r="T486" i="1" s="1"/>
  <c r="T485" i="1" a="1"/>
  <c r="T485" i="1" s="1"/>
  <c r="T484" i="1" a="1"/>
  <c r="T484" i="1" s="1"/>
  <c r="T483" i="1" a="1"/>
  <c r="T483" i="1" s="1"/>
  <c r="T482" i="1" a="1"/>
  <c r="T482" i="1" s="1"/>
  <c r="T481" i="1" a="1"/>
  <c r="T481" i="1" s="1"/>
  <c r="T480" i="1" a="1"/>
  <c r="T480" i="1" s="1"/>
  <c r="T479" i="1" a="1"/>
  <c r="T479" i="1" s="1"/>
  <c r="T478" i="1" a="1"/>
  <c r="T478" i="1" s="1"/>
  <c r="T477" i="1" a="1"/>
  <c r="T477" i="1" s="1"/>
  <c r="T476" i="1" a="1"/>
  <c r="T476" i="1" s="1"/>
  <c r="T475" i="1" a="1"/>
  <c r="T475" i="1" s="1"/>
  <c r="T474" i="1" a="1"/>
  <c r="T474" i="1" s="1"/>
  <c r="T473" i="1" a="1"/>
  <c r="T473" i="1" s="1"/>
  <c r="T472" i="1" a="1"/>
  <c r="T472" i="1" s="1"/>
  <c r="T471" i="1" a="1"/>
  <c r="T471" i="1" s="1"/>
  <c r="T470" i="1" a="1"/>
  <c r="T470" i="1" s="1"/>
  <c r="T469" i="1" a="1"/>
  <c r="T469" i="1" s="1"/>
  <c r="T468" i="1" a="1"/>
  <c r="T468" i="1" s="1"/>
  <c r="T467" i="1" a="1"/>
  <c r="T467" i="1" s="1"/>
  <c r="T466" i="1" a="1"/>
  <c r="T466" i="1" s="1"/>
  <c r="T465" i="1" a="1"/>
  <c r="T465" i="1" s="1"/>
  <c r="T464" i="1" a="1"/>
  <c r="T464" i="1" s="1"/>
  <c r="T463" i="1" a="1"/>
  <c r="T463" i="1" s="1"/>
  <c r="T462" i="1" a="1"/>
  <c r="T462" i="1" s="1"/>
  <c r="T461" i="1" a="1"/>
  <c r="T461" i="1" s="1"/>
  <c r="T460" i="1" a="1"/>
  <c r="T460" i="1" s="1"/>
  <c r="T459" i="1" a="1"/>
  <c r="T459" i="1" s="1"/>
  <c r="T458" i="1" a="1"/>
  <c r="T458" i="1" s="1"/>
  <c r="T457" i="1" a="1"/>
  <c r="T457" i="1" s="1"/>
  <c r="T456" i="1" a="1"/>
  <c r="T456" i="1" s="1"/>
  <c r="T455" i="1" a="1"/>
  <c r="T455" i="1" s="1"/>
  <c r="T454" i="1" a="1"/>
  <c r="T454" i="1" s="1"/>
  <c r="T453" i="1" a="1"/>
  <c r="T453" i="1" s="1"/>
  <c r="T452" i="1" a="1"/>
  <c r="T452" i="1" s="1"/>
  <c r="T451" i="1" a="1"/>
  <c r="T451" i="1" s="1"/>
  <c r="T450" i="1" a="1"/>
  <c r="T450" i="1" s="1"/>
  <c r="T449" i="1" a="1"/>
  <c r="T449" i="1" s="1"/>
  <c r="T448" i="1" a="1"/>
  <c r="T448" i="1" s="1"/>
  <c r="T447" i="1" a="1"/>
  <c r="T447" i="1" s="1"/>
  <c r="T446" i="1" a="1"/>
  <c r="T446" i="1" s="1"/>
  <c r="T445" i="1" a="1"/>
  <c r="T445" i="1" s="1"/>
  <c r="T444" i="1" a="1"/>
  <c r="T444" i="1" s="1"/>
  <c r="T443" i="1" a="1"/>
  <c r="T443" i="1" s="1"/>
  <c r="T442" i="1" a="1"/>
  <c r="T442" i="1" s="1"/>
  <c r="T441" i="1" a="1"/>
  <c r="T441" i="1" s="1"/>
  <c r="T440" i="1" a="1"/>
  <c r="T440" i="1" s="1"/>
  <c r="T439" i="1" a="1"/>
  <c r="T439" i="1" s="1"/>
  <c r="T438" i="1" a="1"/>
  <c r="T438" i="1" s="1"/>
  <c r="T437" i="1" a="1"/>
  <c r="T437" i="1" s="1"/>
  <c r="T436" i="1" a="1"/>
  <c r="T436" i="1" s="1"/>
  <c r="T435" i="1" a="1"/>
  <c r="T435" i="1" s="1"/>
  <c r="T434" i="1" a="1"/>
  <c r="T434" i="1" s="1"/>
  <c r="T433" i="1" a="1"/>
  <c r="T433" i="1" s="1"/>
  <c r="T432" i="1" a="1"/>
  <c r="T432" i="1" s="1"/>
  <c r="T431" i="1" a="1"/>
  <c r="T431" i="1" s="1"/>
  <c r="T430" i="1" a="1"/>
  <c r="T430" i="1" s="1"/>
  <c r="T429" i="1" a="1"/>
  <c r="T429" i="1" s="1"/>
  <c r="T428" i="1" a="1"/>
  <c r="T428" i="1" s="1"/>
  <c r="T427" i="1" a="1"/>
  <c r="T427" i="1" s="1"/>
  <c r="T426" i="1" a="1"/>
  <c r="T426" i="1" s="1"/>
  <c r="T425" i="1" a="1"/>
  <c r="T425" i="1" s="1"/>
  <c r="T424" i="1" a="1"/>
  <c r="T424" i="1" s="1"/>
  <c r="T423" i="1" a="1"/>
  <c r="T423" i="1" s="1"/>
  <c r="T422" i="1" a="1"/>
  <c r="T422" i="1" s="1"/>
  <c r="T421" i="1" a="1"/>
  <c r="T421" i="1" s="1"/>
  <c r="T420" i="1" a="1"/>
  <c r="T420" i="1" s="1"/>
  <c r="T419" i="1" a="1"/>
  <c r="T419" i="1" s="1"/>
  <c r="T418" i="1" a="1"/>
  <c r="T418" i="1" s="1"/>
  <c r="T417" i="1" a="1"/>
  <c r="T417" i="1" s="1"/>
  <c r="T416" i="1" a="1"/>
  <c r="T416" i="1" s="1"/>
  <c r="T415" i="1" a="1"/>
  <c r="T415" i="1" s="1"/>
  <c r="T414" i="1" a="1"/>
  <c r="T414" i="1" s="1"/>
  <c r="T413" i="1" a="1"/>
  <c r="T413" i="1" s="1"/>
  <c r="T412" i="1" a="1"/>
  <c r="T412" i="1" s="1"/>
  <c r="T411" i="1" a="1"/>
  <c r="T411" i="1" s="1"/>
  <c r="T410" i="1" a="1"/>
  <c r="T410" i="1" s="1"/>
  <c r="T409" i="1" a="1"/>
  <c r="T409" i="1" s="1"/>
  <c r="T408" i="1" a="1"/>
  <c r="T408" i="1" s="1"/>
  <c r="T407" i="1" a="1"/>
  <c r="T407" i="1" s="1"/>
  <c r="T406" i="1" a="1"/>
  <c r="T406" i="1" s="1"/>
  <c r="T405" i="1" a="1"/>
  <c r="T405" i="1" s="1"/>
  <c r="T404" i="1" a="1"/>
  <c r="T404" i="1" s="1"/>
  <c r="T403" i="1" a="1"/>
  <c r="T403" i="1" s="1"/>
  <c r="T402" i="1" a="1"/>
  <c r="T402" i="1" s="1"/>
  <c r="T401" i="1" a="1"/>
  <c r="T401" i="1" s="1"/>
  <c r="T400" i="1" a="1"/>
  <c r="T400" i="1" s="1"/>
  <c r="T399" i="1" a="1"/>
  <c r="T399" i="1" s="1"/>
  <c r="T398" i="1" a="1"/>
  <c r="T398" i="1" s="1"/>
  <c r="T397" i="1" a="1"/>
  <c r="T397" i="1" s="1"/>
  <c r="T396" i="1" a="1"/>
  <c r="T396" i="1" s="1"/>
  <c r="T395" i="1" a="1"/>
  <c r="T395" i="1" s="1"/>
  <c r="T394" i="1" a="1"/>
  <c r="T394" i="1" s="1"/>
  <c r="T393" i="1" a="1"/>
  <c r="T393" i="1" s="1"/>
  <c r="T392" i="1" a="1"/>
  <c r="T392" i="1" s="1"/>
  <c r="T391" i="1" a="1"/>
  <c r="T391" i="1" s="1"/>
  <c r="T390" i="1" a="1"/>
  <c r="T390" i="1" s="1"/>
  <c r="T389" i="1" a="1"/>
  <c r="T389" i="1" s="1"/>
  <c r="T388" i="1" a="1"/>
  <c r="T388" i="1" s="1"/>
  <c r="T387" i="1" a="1"/>
  <c r="T387" i="1" s="1"/>
  <c r="T386" i="1" a="1"/>
  <c r="T386" i="1" s="1"/>
  <c r="T385" i="1" a="1"/>
  <c r="T385" i="1" s="1"/>
  <c r="T384" i="1" a="1"/>
  <c r="T384" i="1" s="1"/>
  <c r="T383" i="1" a="1"/>
  <c r="T383" i="1" s="1"/>
  <c r="T382" i="1" a="1"/>
  <c r="T382" i="1" s="1"/>
  <c r="T381" i="1" a="1"/>
  <c r="T381" i="1" s="1"/>
  <c r="T380" i="1" a="1"/>
  <c r="T380" i="1" s="1"/>
  <c r="T379" i="1" a="1"/>
  <c r="T379" i="1" s="1"/>
  <c r="T378" i="1" a="1"/>
  <c r="T378" i="1" s="1"/>
  <c r="T377" i="1" a="1"/>
  <c r="T377" i="1" s="1"/>
  <c r="T376" i="1" a="1"/>
  <c r="T376" i="1" s="1"/>
  <c r="T375" i="1" a="1"/>
  <c r="T375" i="1" s="1"/>
  <c r="T374" i="1" a="1"/>
  <c r="T374" i="1" s="1"/>
  <c r="T373" i="1" a="1"/>
  <c r="T373" i="1" s="1"/>
  <c r="T372" i="1" a="1"/>
  <c r="T372" i="1" s="1"/>
  <c r="T371" i="1" a="1"/>
  <c r="T371" i="1" s="1"/>
  <c r="T370" i="1" a="1"/>
  <c r="T370" i="1" s="1"/>
  <c r="T369" i="1" a="1"/>
  <c r="T369" i="1" s="1"/>
  <c r="T368" i="1" a="1"/>
  <c r="T368" i="1" s="1"/>
  <c r="T367" i="1" a="1"/>
  <c r="T367" i="1" s="1"/>
  <c r="T366" i="1" a="1"/>
  <c r="T366" i="1" s="1"/>
  <c r="T365" i="1" a="1"/>
  <c r="T365" i="1" s="1"/>
  <c r="T364" i="1" a="1"/>
  <c r="T364" i="1" s="1"/>
  <c r="T363" i="1" a="1"/>
  <c r="T363" i="1" s="1"/>
  <c r="T362" i="1" a="1"/>
  <c r="T362" i="1" s="1"/>
  <c r="T361" i="1" a="1"/>
  <c r="T361" i="1" s="1"/>
  <c r="T360" i="1" a="1"/>
  <c r="T360" i="1" s="1"/>
  <c r="T359" i="1" a="1"/>
  <c r="T359" i="1" s="1"/>
  <c r="T358" i="1" a="1"/>
  <c r="T358" i="1" s="1"/>
  <c r="T357" i="1" a="1"/>
  <c r="T357" i="1" s="1"/>
  <c r="T356" i="1" a="1"/>
  <c r="T356" i="1" s="1"/>
  <c r="T355" i="1" a="1"/>
  <c r="T355" i="1" s="1"/>
  <c r="T354" i="1" a="1"/>
  <c r="T354" i="1" s="1"/>
  <c r="T353" i="1" a="1"/>
  <c r="T353" i="1" s="1"/>
  <c r="T352" i="1" a="1"/>
  <c r="T352" i="1" s="1"/>
  <c r="T351" i="1" a="1"/>
  <c r="T351" i="1" s="1"/>
  <c r="T350" i="1" a="1"/>
  <c r="T350" i="1" s="1"/>
  <c r="T349" i="1" a="1"/>
  <c r="T349" i="1" s="1"/>
  <c r="T348" i="1" a="1"/>
  <c r="T348" i="1" s="1"/>
  <c r="T347" i="1" a="1"/>
  <c r="T347" i="1" s="1"/>
  <c r="T346" i="1" a="1"/>
  <c r="T346" i="1" s="1"/>
  <c r="T345" i="1" a="1"/>
  <c r="T345" i="1" s="1"/>
  <c r="T344" i="1" a="1"/>
  <c r="T344" i="1" s="1"/>
  <c r="T343" i="1" a="1"/>
  <c r="T343" i="1" s="1"/>
  <c r="T342" i="1" a="1"/>
  <c r="T342" i="1" s="1"/>
  <c r="T341" i="1" a="1"/>
  <c r="T341" i="1" s="1"/>
  <c r="T340" i="1" a="1"/>
  <c r="T340" i="1" s="1"/>
  <c r="T339" i="1" a="1"/>
  <c r="T339" i="1" s="1"/>
  <c r="T338" i="1" a="1"/>
  <c r="T338" i="1" s="1"/>
  <c r="T337" i="1" a="1"/>
  <c r="T337" i="1" s="1"/>
  <c r="T336" i="1" a="1"/>
  <c r="T336" i="1" s="1"/>
  <c r="T335" i="1" a="1"/>
  <c r="T335" i="1" s="1"/>
  <c r="T334" i="1" a="1"/>
  <c r="T334" i="1" s="1"/>
  <c r="T333" i="1" a="1"/>
  <c r="T333" i="1" s="1"/>
  <c r="T332" i="1" a="1"/>
  <c r="T332" i="1" s="1"/>
  <c r="T331" i="1" a="1"/>
  <c r="T331" i="1" s="1"/>
  <c r="T330" i="1" a="1"/>
  <c r="T330" i="1" s="1"/>
  <c r="T329" i="1" a="1"/>
  <c r="T329" i="1" s="1"/>
  <c r="T328" i="1" a="1"/>
  <c r="T328" i="1" s="1"/>
  <c r="T327" i="1" a="1"/>
  <c r="T327" i="1" s="1"/>
  <c r="T326" i="1" a="1"/>
  <c r="T326" i="1" s="1"/>
  <c r="T325" i="1" a="1"/>
  <c r="T325" i="1" s="1"/>
  <c r="T324" i="1" a="1"/>
  <c r="T324" i="1" s="1"/>
  <c r="T323" i="1" a="1"/>
  <c r="T323" i="1" s="1"/>
  <c r="T322" i="1" a="1"/>
  <c r="T322" i="1" s="1"/>
  <c r="T321" i="1" a="1"/>
  <c r="T321" i="1" s="1"/>
  <c r="T320" i="1" a="1"/>
  <c r="T320" i="1" s="1"/>
  <c r="T319" i="1" a="1"/>
  <c r="T319" i="1" s="1"/>
  <c r="T318" i="1" a="1"/>
  <c r="T318" i="1" s="1"/>
  <c r="T317" i="1" a="1"/>
  <c r="T317" i="1" s="1"/>
  <c r="T316" i="1" a="1"/>
  <c r="T316" i="1" s="1"/>
  <c r="T315" i="1" a="1"/>
  <c r="T315" i="1" s="1"/>
  <c r="T314" i="1" a="1"/>
  <c r="T314" i="1" s="1"/>
  <c r="T313" i="1" a="1"/>
  <c r="T313" i="1" s="1"/>
  <c r="T312" i="1" a="1"/>
  <c r="T312" i="1" s="1"/>
  <c r="T311" i="1" a="1"/>
  <c r="T311" i="1" s="1"/>
  <c r="T310" i="1" a="1"/>
  <c r="T310" i="1" s="1"/>
  <c r="T309" i="1" a="1"/>
  <c r="T309" i="1" s="1"/>
  <c r="T308" i="1" a="1"/>
  <c r="T308" i="1" s="1"/>
  <c r="T307" i="1" a="1"/>
  <c r="T307" i="1" s="1"/>
  <c r="T306" i="1" a="1"/>
  <c r="T306" i="1" s="1"/>
  <c r="T305" i="1" a="1"/>
  <c r="T305" i="1" s="1"/>
  <c r="T304" i="1" a="1"/>
  <c r="T304" i="1" s="1"/>
  <c r="T303" i="1" a="1"/>
  <c r="T303" i="1" s="1"/>
  <c r="T302" i="1" a="1"/>
  <c r="T302" i="1" s="1"/>
  <c r="T301" i="1" a="1"/>
  <c r="T301" i="1" s="1"/>
  <c r="T300" i="1" a="1"/>
  <c r="T300" i="1" s="1"/>
  <c r="T299" i="1" a="1"/>
  <c r="T299" i="1" s="1"/>
  <c r="T298" i="1" a="1"/>
  <c r="T298" i="1" s="1"/>
  <c r="T297" i="1" a="1"/>
  <c r="T297" i="1" s="1"/>
  <c r="T296" i="1" a="1"/>
  <c r="T296" i="1" s="1"/>
  <c r="T295" i="1" a="1"/>
  <c r="T295" i="1" s="1"/>
  <c r="T294" i="1" a="1"/>
  <c r="T294" i="1" s="1"/>
  <c r="T293" i="1" a="1"/>
  <c r="T293" i="1" s="1"/>
  <c r="T292" i="1" a="1"/>
  <c r="T292" i="1" s="1"/>
  <c r="T291" i="1" a="1"/>
  <c r="T291" i="1" s="1"/>
  <c r="T290" i="1" a="1"/>
  <c r="T290" i="1" s="1"/>
  <c r="T289" i="1" a="1"/>
  <c r="T289" i="1" s="1"/>
  <c r="T288" i="1" a="1"/>
  <c r="T288" i="1" s="1"/>
  <c r="T287" i="1" a="1"/>
  <c r="T287" i="1" s="1"/>
  <c r="T286" i="1" a="1"/>
  <c r="T286" i="1" s="1"/>
  <c r="T285" i="1" a="1"/>
  <c r="T285" i="1" s="1"/>
  <c r="T284" i="1" a="1"/>
  <c r="T284" i="1" s="1"/>
  <c r="T283" i="1" a="1"/>
  <c r="T283" i="1" s="1"/>
  <c r="T282" i="1" a="1"/>
  <c r="T282" i="1" s="1"/>
  <c r="T281" i="1" a="1"/>
  <c r="T281" i="1" s="1"/>
  <c r="T280" i="1" a="1"/>
  <c r="T280" i="1" s="1"/>
  <c r="T279" i="1" a="1"/>
  <c r="T279" i="1" s="1"/>
  <c r="T278" i="1" a="1"/>
  <c r="T278" i="1" s="1"/>
  <c r="T277" i="1" a="1"/>
  <c r="T277" i="1" s="1"/>
  <c r="T276" i="1" a="1"/>
  <c r="T276" i="1" s="1"/>
  <c r="T275" i="1" a="1"/>
  <c r="T275" i="1" s="1"/>
  <c r="T274" i="1" a="1"/>
  <c r="T274" i="1" s="1"/>
  <c r="T273" i="1" a="1"/>
  <c r="T273" i="1" s="1"/>
  <c r="T272" i="1" a="1"/>
  <c r="T272" i="1" s="1"/>
  <c r="T271" i="1" a="1"/>
  <c r="T271" i="1" s="1"/>
  <c r="T270" i="1" a="1"/>
  <c r="T270" i="1" s="1"/>
  <c r="T269" i="1" a="1"/>
  <c r="T269" i="1" s="1"/>
  <c r="T268" i="1" a="1"/>
  <c r="T268" i="1" s="1"/>
  <c r="T267" i="1" a="1"/>
  <c r="T267" i="1" s="1"/>
  <c r="T266" i="1" a="1"/>
  <c r="T266" i="1" s="1"/>
  <c r="T265" i="1" a="1"/>
  <c r="T265" i="1" s="1"/>
  <c r="T264" i="1" a="1"/>
  <c r="T264" i="1" s="1"/>
  <c r="T263" i="1" a="1"/>
  <c r="T263" i="1" s="1"/>
  <c r="T262" i="1" a="1"/>
  <c r="T262" i="1" s="1"/>
  <c r="T261" i="1" a="1"/>
  <c r="T261" i="1" s="1"/>
  <c r="T260" i="1" a="1"/>
  <c r="T260" i="1" s="1"/>
  <c r="T259" i="1" a="1"/>
  <c r="T259" i="1" s="1"/>
  <c r="T258" i="1" a="1"/>
  <c r="T258" i="1" s="1"/>
  <c r="T257" i="1" a="1"/>
  <c r="T257" i="1" s="1"/>
  <c r="T256" i="1" a="1"/>
  <c r="T256" i="1" s="1"/>
  <c r="T255" i="1" a="1"/>
  <c r="T255" i="1" s="1"/>
  <c r="T254" i="1" a="1"/>
  <c r="T254" i="1" s="1"/>
  <c r="T253" i="1" a="1"/>
  <c r="T253" i="1" s="1"/>
  <c r="T252" i="1" a="1"/>
  <c r="T252" i="1" s="1"/>
  <c r="T251" i="1" a="1"/>
  <c r="T251" i="1" s="1"/>
  <c r="T250" i="1" a="1"/>
  <c r="T250" i="1" s="1"/>
  <c r="T249" i="1" a="1"/>
  <c r="T249" i="1" s="1"/>
  <c r="T248" i="1" a="1"/>
  <c r="T248" i="1" s="1"/>
  <c r="T247" i="1" a="1"/>
  <c r="T247" i="1" s="1"/>
  <c r="T246" i="1" a="1"/>
  <c r="T246" i="1" s="1"/>
  <c r="T245" i="1" a="1"/>
  <c r="T245" i="1" s="1"/>
  <c r="T244" i="1" a="1"/>
  <c r="T244" i="1" s="1"/>
  <c r="T243" i="1" a="1"/>
  <c r="T243" i="1" s="1"/>
  <c r="T242" i="1" a="1"/>
  <c r="T242" i="1" s="1"/>
  <c r="T241" i="1" a="1"/>
  <c r="T241" i="1" s="1"/>
  <c r="T240" i="1" a="1"/>
  <c r="T240" i="1" s="1"/>
  <c r="T239" i="1" a="1"/>
  <c r="T239" i="1" s="1"/>
  <c r="T238" i="1" a="1"/>
  <c r="T238" i="1" s="1"/>
  <c r="T237" i="1" a="1"/>
  <c r="T237" i="1" s="1"/>
  <c r="T236" i="1" a="1"/>
  <c r="T236" i="1" s="1"/>
  <c r="T235" i="1" a="1"/>
  <c r="T235" i="1" s="1"/>
  <c r="T234" i="1" a="1"/>
  <c r="T234" i="1" s="1"/>
  <c r="T233" i="1" a="1"/>
  <c r="T233" i="1" s="1"/>
  <c r="T232" i="1" a="1"/>
  <c r="T232" i="1" s="1"/>
  <c r="T231" i="1" a="1"/>
  <c r="T231" i="1" s="1"/>
  <c r="T230" i="1" a="1"/>
  <c r="T230" i="1" s="1"/>
  <c r="T229" i="1" a="1"/>
  <c r="T229" i="1" s="1"/>
  <c r="T228" i="1" a="1"/>
  <c r="T228" i="1" s="1"/>
  <c r="T227" i="1" a="1"/>
  <c r="T227" i="1" s="1"/>
  <c r="T226" i="1" a="1"/>
  <c r="T226" i="1" s="1"/>
  <c r="T225" i="1" a="1"/>
  <c r="T225" i="1" s="1"/>
  <c r="T224" i="1" a="1"/>
  <c r="T224" i="1" s="1"/>
  <c r="T223" i="1" a="1"/>
  <c r="T223" i="1" s="1"/>
  <c r="T222" i="1" a="1"/>
  <c r="T222" i="1" s="1"/>
  <c r="T221" i="1" a="1"/>
  <c r="T221" i="1" s="1"/>
  <c r="T220" i="1" a="1"/>
  <c r="T220" i="1" s="1"/>
  <c r="T219" i="1" a="1"/>
  <c r="T219" i="1" s="1"/>
  <c r="T218" i="1" a="1"/>
  <c r="T218" i="1" s="1"/>
  <c r="T217" i="1" a="1"/>
  <c r="T217" i="1" s="1"/>
  <c r="T216" i="1" a="1"/>
  <c r="T216" i="1" s="1"/>
  <c r="T215" i="1" a="1"/>
  <c r="T215" i="1" s="1"/>
  <c r="T214" i="1" a="1"/>
  <c r="T214" i="1" s="1"/>
  <c r="T213" i="1" a="1"/>
  <c r="T213" i="1" s="1"/>
  <c r="T212" i="1" a="1"/>
  <c r="T212" i="1" s="1"/>
  <c r="T211" i="1" a="1"/>
  <c r="T211" i="1" s="1"/>
  <c r="T210" i="1" a="1"/>
  <c r="T210" i="1" s="1"/>
  <c r="T209" i="1" a="1"/>
  <c r="T209" i="1" s="1"/>
  <c r="T208" i="1" a="1"/>
  <c r="T208" i="1" s="1"/>
  <c r="T207" i="1" a="1"/>
  <c r="T207" i="1" s="1"/>
  <c r="T206" i="1" a="1"/>
  <c r="T206" i="1" s="1"/>
  <c r="T205" i="1" a="1"/>
  <c r="T205" i="1" s="1"/>
  <c r="T204" i="1" a="1"/>
  <c r="T204" i="1" s="1"/>
  <c r="T203" i="1" a="1"/>
  <c r="T203" i="1" s="1"/>
  <c r="T202" i="1" a="1"/>
  <c r="T202" i="1" s="1"/>
  <c r="T201" i="1" a="1"/>
  <c r="T201" i="1" s="1"/>
  <c r="T200" i="1" a="1"/>
  <c r="T200" i="1" s="1"/>
  <c r="T199" i="1" a="1"/>
  <c r="T199" i="1" s="1"/>
  <c r="T198" i="1" a="1"/>
  <c r="T198" i="1" s="1"/>
  <c r="T197" i="1" a="1"/>
  <c r="T197" i="1" s="1"/>
  <c r="T196" i="1" a="1"/>
  <c r="T196" i="1" s="1"/>
  <c r="T195" i="1" a="1"/>
  <c r="T195" i="1" s="1"/>
  <c r="T194" i="1" a="1"/>
  <c r="T194" i="1" s="1"/>
  <c r="T193" i="1" a="1"/>
  <c r="T193" i="1" s="1"/>
  <c r="T192" i="1" a="1"/>
  <c r="T192" i="1" s="1"/>
  <c r="T191" i="1" a="1"/>
  <c r="T191" i="1" s="1"/>
  <c r="T190" i="1" a="1"/>
  <c r="T190" i="1" s="1"/>
  <c r="T189" i="1" a="1"/>
  <c r="T189" i="1" s="1"/>
  <c r="T188" i="1" a="1"/>
  <c r="T188" i="1" s="1"/>
  <c r="T187" i="1" a="1"/>
  <c r="T187" i="1" s="1"/>
  <c r="T186" i="1" a="1"/>
  <c r="T186" i="1" s="1"/>
  <c r="T185" i="1" a="1"/>
  <c r="T185" i="1" s="1"/>
  <c r="T184" i="1" a="1"/>
  <c r="T184" i="1" s="1"/>
  <c r="T183" i="1" a="1"/>
  <c r="T183" i="1" s="1"/>
  <c r="T182" i="1" a="1"/>
  <c r="T182" i="1" s="1"/>
  <c r="T181" i="1" a="1"/>
  <c r="T181" i="1" s="1"/>
  <c r="T180" i="1" a="1"/>
  <c r="T180" i="1" s="1"/>
  <c r="T179" i="1" a="1"/>
  <c r="T179" i="1" s="1"/>
  <c r="T178" i="1" a="1"/>
  <c r="T178" i="1" s="1"/>
  <c r="T177" i="1" a="1"/>
  <c r="T177" i="1" s="1"/>
  <c r="T176" i="1" a="1"/>
  <c r="T176" i="1" s="1"/>
  <c r="T175" i="1" a="1"/>
  <c r="T175" i="1" s="1"/>
  <c r="T174" i="1" a="1"/>
  <c r="T174" i="1" s="1"/>
  <c r="T173" i="1" a="1"/>
  <c r="T173" i="1" s="1"/>
  <c r="T172" i="1" a="1"/>
  <c r="T172" i="1" s="1"/>
  <c r="T171" i="1" a="1"/>
  <c r="T171" i="1" s="1"/>
  <c r="T170" i="1" a="1"/>
  <c r="T170" i="1" s="1"/>
  <c r="T169" i="1" a="1"/>
  <c r="T169" i="1" s="1"/>
  <c r="T168" i="1" a="1"/>
  <c r="T168" i="1" s="1"/>
  <c r="T167" i="1" a="1"/>
  <c r="T167" i="1" s="1"/>
  <c r="T166" i="1" a="1"/>
  <c r="T166" i="1" s="1"/>
  <c r="T165" i="1" a="1"/>
  <c r="T165" i="1" s="1"/>
  <c r="T164" i="1" a="1"/>
  <c r="T164" i="1" s="1"/>
  <c r="T163" i="1" a="1"/>
  <c r="T163" i="1" s="1"/>
  <c r="T162" i="1" a="1"/>
  <c r="T162" i="1" s="1"/>
  <c r="T161" i="1" a="1"/>
  <c r="T161" i="1" s="1"/>
  <c r="T160" i="1" a="1"/>
  <c r="T160" i="1" s="1"/>
  <c r="T159" i="1" a="1"/>
  <c r="T159" i="1" s="1"/>
  <c r="T158" i="1" a="1"/>
  <c r="T158" i="1" s="1"/>
  <c r="T157" i="1" a="1"/>
  <c r="T157" i="1" s="1"/>
  <c r="T156" i="1" a="1"/>
  <c r="T156" i="1" s="1"/>
  <c r="T155" i="1" a="1"/>
  <c r="T155" i="1" s="1"/>
  <c r="T154" i="1" a="1"/>
  <c r="T154" i="1" s="1"/>
  <c r="T153" i="1" a="1"/>
  <c r="T153" i="1" s="1"/>
  <c r="T152" i="1" a="1"/>
  <c r="T152" i="1" s="1"/>
  <c r="T151" i="1" a="1"/>
  <c r="T151" i="1" s="1"/>
  <c r="T150" i="1" a="1"/>
  <c r="T150" i="1" s="1"/>
  <c r="T149" i="1" a="1"/>
  <c r="T149" i="1" s="1"/>
  <c r="T148" i="1" a="1"/>
  <c r="T148" i="1" s="1"/>
  <c r="T147" i="1" a="1"/>
  <c r="T147" i="1" s="1"/>
  <c r="T146" i="1" a="1"/>
  <c r="T146" i="1" s="1"/>
  <c r="T145" i="1" a="1"/>
  <c r="T145" i="1" s="1"/>
  <c r="T144" i="1" a="1"/>
  <c r="T144" i="1" s="1"/>
  <c r="T143" i="1" a="1"/>
  <c r="T143" i="1" s="1"/>
  <c r="T142" i="1" a="1"/>
  <c r="T142" i="1" s="1"/>
  <c r="T141" i="1" a="1"/>
  <c r="T141" i="1" s="1"/>
  <c r="T140" i="1" a="1"/>
  <c r="T140" i="1" s="1"/>
  <c r="T139" i="1" a="1"/>
  <c r="T139" i="1" s="1"/>
  <c r="T138" i="1" a="1"/>
  <c r="T138" i="1" s="1"/>
  <c r="T137" i="1" a="1"/>
  <c r="T137" i="1" s="1"/>
  <c r="T136" i="1" a="1"/>
  <c r="T136" i="1" s="1"/>
  <c r="T135" i="1" a="1"/>
  <c r="T135" i="1" s="1"/>
  <c r="T134" i="1" a="1"/>
  <c r="T134" i="1" s="1"/>
  <c r="T133" i="1" a="1"/>
  <c r="T133" i="1" s="1"/>
  <c r="T132" i="1" a="1"/>
  <c r="T132" i="1" s="1"/>
  <c r="T131" i="1" a="1"/>
  <c r="T131" i="1" s="1"/>
  <c r="T130" i="1" a="1"/>
  <c r="T130" i="1" s="1"/>
  <c r="T129" i="1" a="1"/>
  <c r="T129" i="1" s="1"/>
  <c r="T128" i="1" a="1"/>
  <c r="T128" i="1" s="1"/>
  <c r="T127" i="1" a="1"/>
  <c r="T127" i="1" s="1"/>
  <c r="T126" i="1" a="1"/>
  <c r="T126" i="1" s="1"/>
  <c r="T125" i="1" a="1"/>
  <c r="T125" i="1" s="1"/>
  <c r="T124" i="1" a="1"/>
  <c r="T124" i="1" s="1"/>
  <c r="T123" i="1" a="1"/>
  <c r="T123" i="1" s="1"/>
  <c r="T122" i="1" a="1"/>
  <c r="T122" i="1" s="1"/>
  <c r="T121" i="1" a="1"/>
  <c r="T121" i="1" s="1"/>
  <c r="T120" i="1" a="1"/>
  <c r="T120" i="1" s="1"/>
  <c r="T119" i="1" a="1"/>
  <c r="T119" i="1" s="1"/>
  <c r="T118" i="1" a="1"/>
  <c r="T118" i="1" s="1"/>
  <c r="T117" i="1" a="1"/>
  <c r="T117" i="1" s="1"/>
  <c r="T116" i="1" a="1"/>
  <c r="T116" i="1" s="1"/>
  <c r="T115" i="1" a="1"/>
  <c r="T115" i="1" s="1"/>
  <c r="T114" i="1" a="1"/>
  <c r="T114" i="1" s="1"/>
  <c r="T113" i="1" a="1"/>
  <c r="T113" i="1" s="1"/>
  <c r="T112" i="1" a="1"/>
  <c r="T112" i="1" s="1"/>
  <c r="T111" i="1" a="1"/>
  <c r="T111" i="1" s="1"/>
  <c r="T110" i="1" a="1"/>
  <c r="T110" i="1" s="1"/>
  <c r="T109" i="1" a="1"/>
  <c r="T109" i="1" s="1"/>
  <c r="T108" i="1" a="1"/>
  <c r="T108" i="1" s="1"/>
  <c r="T107" i="1" a="1"/>
  <c r="T107" i="1" s="1"/>
  <c r="T106" i="1" a="1"/>
  <c r="T106" i="1" s="1"/>
  <c r="T105" i="1" a="1"/>
  <c r="T105" i="1" s="1"/>
  <c r="T104" i="1" a="1"/>
  <c r="T104" i="1" s="1"/>
  <c r="T103" i="1" a="1"/>
  <c r="T103" i="1" s="1"/>
  <c r="T102" i="1" a="1"/>
  <c r="T102" i="1" s="1"/>
  <c r="T101" i="1" a="1"/>
  <c r="T101" i="1" s="1"/>
  <c r="T100" i="1" a="1"/>
  <c r="T100" i="1" s="1"/>
  <c r="T99" i="1" a="1"/>
  <c r="T99" i="1" s="1"/>
  <c r="T98" i="1" a="1"/>
  <c r="T98" i="1" s="1"/>
  <c r="T97" i="1" a="1"/>
  <c r="T97" i="1" s="1"/>
  <c r="T96" i="1" a="1"/>
  <c r="T96" i="1" s="1"/>
  <c r="T95" i="1" a="1"/>
  <c r="T95" i="1" s="1"/>
  <c r="T94" i="1" a="1"/>
  <c r="T94" i="1" s="1"/>
  <c r="T93" i="1" a="1"/>
  <c r="T93" i="1" s="1"/>
  <c r="T92" i="1" a="1"/>
  <c r="T92" i="1" s="1"/>
  <c r="T91" i="1" a="1"/>
  <c r="T91" i="1" s="1"/>
  <c r="T90" i="1" a="1"/>
  <c r="T90" i="1" s="1"/>
  <c r="T89" i="1" a="1"/>
  <c r="T89" i="1" s="1"/>
  <c r="T88" i="1" a="1"/>
  <c r="T88" i="1" s="1"/>
  <c r="T87" i="1" a="1"/>
  <c r="T87" i="1" s="1"/>
  <c r="T86" i="1" a="1"/>
  <c r="T86" i="1" s="1"/>
  <c r="T85" i="1" a="1"/>
  <c r="T85" i="1" s="1"/>
  <c r="T84" i="1" a="1"/>
  <c r="T84" i="1" s="1"/>
  <c r="T83" i="1" a="1"/>
  <c r="T83" i="1" s="1"/>
  <c r="T82" i="1" a="1"/>
  <c r="T82" i="1" s="1"/>
  <c r="T81" i="1" a="1"/>
  <c r="T81" i="1" s="1"/>
  <c r="T80" i="1" a="1"/>
  <c r="T80" i="1" s="1"/>
  <c r="T79" i="1" a="1"/>
  <c r="T79" i="1" s="1"/>
  <c r="T78" i="1" a="1"/>
  <c r="T78" i="1" s="1"/>
  <c r="T77" i="1" a="1"/>
  <c r="T77" i="1" s="1"/>
  <c r="T76" i="1" a="1"/>
  <c r="T76" i="1" s="1"/>
  <c r="T75" i="1" a="1"/>
  <c r="T75" i="1" s="1"/>
  <c r="T74" i="1" a="1"/>
  <c r="T74" i="1" s="1"/>
  <c r="T73" i="1" a="1"/>
  <c r="T73" i="1" s="1"/>
  <c r="T72" i="1" a="1"/>
  <c r="T72" i="1" s="1"/>
  <c r="T71" i="1" a="1"/>
  <c r="T71" i="1" s="1"/>
  <c r="T70" i="1" a="1"/>
  <c r="T70" i="1" s="1"/>
  <c r="T69" i="1" a="1"/>
  <c r="T69" i="1" s="1"/>
  <c r="T68" i="1" a="1"/>
  <c r="T68" i="1" s="1"/>
  <c r="T67" i="1" a="1"/>
  <c r="T67" i="1" s="1"/>
  <c r="T66" i="1" a="1"/>
  <c r="T66" i="1" s="1"/>
  <c r="T65" i="1" a="1"/>
  <c r="T65" i="1" s="1"/>
  <c r="T64" i="1" a="1"/>
  <c r="T64" i="1" s="1"/>
  <c r="T63" i="1" a="1"/>
  <c r="T63" i="1" s="1"/>
  <c r="T62" i="1" a="1"/>
  <c r="T62" i="1" s="1"/>
  <c r="T61" i="1" a="1"/>
  <c r="T61" i="1" s="1"/>
  <c r="T60" i="1" a="1"/>
  <c r="T60" i="1" s="1"/>
  <c r="T59" i="1" a="1"/>
  <c r="T59" i="1" s="1"/>
  <c r="T58" i="1" a="1"/>
  <c r="T58" i="1" s="1"/>
  <c r="T57" i="1" a="1"/>
  <c r="T57" i="1" s="1"/>
  <c r="T56" i="1" a="1"/>
  <c r="T56" i="1" s="1"/>
  <c r="T55" i="1" a="1"/>
  <c r="T55" i="1" s="1"/>
  <c r="T54" i="1" a="1"/>
  <c r="T54" i="1" s="1"/>
  <c r="T53" i="1" a="1"/>
  <c r="T53" i="1" s="1"/>
  <c r="T52" i="1" a="1"/>
  <c r="T52" i="1" s="1"/>
  <c r="T51" i="1" a="1"/>
  <c r="T51" i="1" s="1"/>
  <c r="T50" i="1" a="1"/>
  <c r="T50" i="1" s="1"/>
  <c r="T49" i="1" a="1"/>
  <c r="T49" i="1" s="1"/>
  <c r="T48" i="1" a="1"/>
  <c r="T48" i="1" s="1"/>
  <c r="T47" i="1" a="1"/>
  <c r="T47" i="1" s="1"/>
  <c r="T46" i="1" a="1"/>
  <c r="T46" i="1" s="1"/>
  <c r="T45" i="1" a="1"/>
  <c r="T45" i="1" s="1"/>
  <c r="T44" i="1" a="1"/>
  <c r="T44" i="1" s="1"/>
  <c r="T43" i="1" a="1"/>
  <c r="T43" i="1" s="1"/>
  <c r="T42" i="1" a="1"/>
  <c r="T42" i="1" s="1"/>
  <c r="T41" i="1" a="1"/>
  <c r="T41" i="1" s="1"/>
  <c r="T40" i="1" a="1"/>
  <c r="T40" i="1" s="1"/>
  <c r="T39" i="1" a="1"/>
  <c r="T39" i="1" s="1"/>
  <c r="T38" i="1" a="1"/>
  <c r="T38" i="1" s="1"/>
  <c r="T37" i="1" a="1"/>
  <c r="T37" i="1" s="1"/>
  <c r="T36" i="1" a="1"/>
  <c r="T36" i="1" s="1"/>
  <c r="T35" i="1" a="1"/>
  <c r="T35" i="1" s="1"/>
  <c r="T34" i="1" a="1"/>
  <c r="T34" i="1" s="1"/>
  <c r="T33" i="1" a="1"/>
  <c r="T33" i="1" s="1"/>
  <c r="T32" i="1" a="1"/>
  <c r="T32" i="1" s="1"/>
  <c r="T31" i="1" a="1"/>
  <c r="T31" i="1" s="1"/>
  <c r="T30" i="1" a="1"/>
  <c r="T30" i="1" s="1"/>
  <c r="T29" i="1" a="1"/>
  <c r="T29" i="1" s="1"/>
  <c r="T28" i="1" a="1"/>
  <c r="T28" i="1" s="1"/>
  <c r="T27" i="1" a="1"/>
  <c r="T27" i="1" s="1"/>
  <c r="T26" i="1" a="1"/>
  <c r="T26" i="1" s="1"/>
  <c r="T25" i="1" a="1"/>
  <c r="T25" i="1" s="1"/>
  <c r="T24" i="1" a="1"/>
  <c r="T24" i="1" s="1"/>
  <c r="T23" i="1" a="1"/>
  <c r="T23" i="1" s="1"/>
  <c r="T22" i="1" a="1"/>
  <c r="T22" i="1" s="1"/>
  <c r="T21" i="1" a="1"/>
  <c r="T21" i="1" s="1"/>
  <c r="T20" i="1" a="1"/>
  <c r="T20" i="1" s="1"/>
  <c r="T19" i="1" a="1"/>
  <c r="T19" i="1" s="1"/>
  <c r="T18" i="1" a="1"/>
  <c r="T18" i="1" s="1"/>
  <c r="T17" i="1" a="1"/>
  <c r="T17" i="1" s="1"/>
  <c r="T16" i="1" a="1"/>
  <c r="T16" i="1" s="1"/>
  <c r="T15" i="1" a="1"/>
  <c r="T15" i="1" s="1"/>
  <c r="T14" i="1" a="1"/>
  <c r="T14" i="1" s="1"/>
  <c r="T13" i="1" a="1"/>
  <c r="T13" i="1" s="1"/>
  <c r="T12" i="1" a="1"/>
  <c r="T12" i="1" s="1"/>
  <c r="T11" i="1" a="1"/>
  <c r="T11" i="1" s="1"/>
  <c r="T10" i="1" a="1"/>
  <c r="T10" i="1" s="1"/>
  <c r="T9" i="1" a="1"/>
  <c r="T9" i="1" s="1"/>
  <c r="T8" i="1" a="1"/>
  <c r="T8" i="1" s="1"/>
  <c r="T7" i="1" a="1"/>
  <c r="T7" i="1" s="1"/>
  <c r="T6" i="1" a="1"/>
  <c r="T6" i="1" s="1"/>
  <c r="T5" i="1" a="1"/>
  <c r="T5" i="1" s="1"/>
  <c r="T4" i="1" a="1"/>
  <c r="T4" i="1" s="1"/>
  <c r="T3" i="1" a="1"/>
  <c r="T3" i="1" s="1"/>
  <c r="T2" i="1" a="1"/>
  <c r="T2" i="1" s="1"/>
  <c r="S627" i="1" l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3" i="1"/>
  <c r="S511" i="1"/>
  <c r="S510" i="1"/>
  <c r="S509" i="1"/>
  <c r="S508" i="1"/>
  <c r="S507" i="1"/>
  <c r="S506" i="1"/>
  <c r="S504" i="1"/>
  <c r="S503" i="1"/>
  <c r="S502" i="1"/>
  <c r="S501" i="1"/>
  <c r="S500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3" i="1"/>
  <c r="S441" i="1"/>
  <c r="S440" i="1"/>
  <c r="S439" i="1"/>
  <c r="S438" i="1"/>
  <c r="S437" i="1"/>
  <c r="S312" i="1"/>
  <c r="D627" i="1" l="1" a="1"/>
  <c r="D627" i="1" s="1"/>
  <c r="K627" i="1" s="1"/>
  <c r="D626" i="1" a="1"/>
  <c r="D626" i="1" s="1"/>
  <c r="K626" i="1" s="1"/>
  <c r="D625" i="1" a="1"/>
  <c r="D625" i="1" s="1"/>
  <c r="K625" i="1" s="1"/>
  <c r="D624" i="1" a="1"/>
  <c r="D624" i="1" s="1"/>
  <c r="K624" i="1" s="1"/>
  <c r="D623" i="1" a="1"/>
  <c r="D623" i="1" s="1"/>
  <c r="K623" i="1" s="1"/>
  <c r="D622" i="1" a="1"/>
  <c r="D622" i="1" s="1"/>
  <c r="K622" i="1" s="1"/>
  <c r="D621" i="1" a="1"/>
  <c r="D621" i="1" s="1"/>
  <c r="K621" i="1" s="1"/>
  <c r="D620" i="1" a="1"/>
  <c r="D620" i="1" s="1"/>
  <c r="K620" i="1" s="1"/>
  <c r="D619" i="1" a="1"/>
  <c r="D619" i="1" s="1"/>
  <c r="K619" i="1" s="1"/>
  <c r="D618" i="1" a="1"/>
  <c r="D618" i="1" s="1"/>
  <c r="K618" i="1" s="1"/>
  <c r="D617" i="1" a="1"/>
  <c r="D617" i="1" s="1"/>
  <c r="K617" i="1" s="1"/>
  <c r="D616" i="1" a="1"/>
  <c r="D616" i="1" s="1"/>
  <c r="K616" i="1" s="1"/>
  <c r="D615" i="1" a="1"/>
  <c r="D615" i="1" s="1"/>
  <c r="K615" i="1" s="1"/>
  <c r="D614" i="1" a="1"/>
  <c r="D614" i="1" s="1"/>
  <c r="K614" i="1" s="1"/>
  <c r="D613" i="1" a="1"/>
  <c r="D613" i="1" s="1"/>
  <c r="K613" i="1" s="1"/>
  <c r="D612" i="1" a="1"/>
  <c r="D612" i="1" s="1"/>
  <c r="K612" i="1" s="1"/>
  <c r="D611" i="1" a="1"/>
  <c r="D611" i="1" s="1"/>
  <c r="K611" i="1" s="1"/>
  <c r="D610" i="1" a="1"/>
  <c r="D610" i="1" s="1"/>
  <c r="K610" i="1" s="1"/>
  <c r="D609" i="1" a="1"/>
  <c r="D609" i="1" s="1"/>
  <c r="K609" i="1" s="1"/>
  <c r="D608" i="1" a="1"/>
  <c r="D608" i="1" s="1"/>
  <c r="K608" i="1" s="1"/>
  <c r="D607" i="1" a="1"/>
  <c r="D607" i="1" s="1"/>
  <c r="K607" i="1" s="1"/>
  <c r="D606" i="1" a="1"/>
  <c r="D606" i="1" s="1"/>
  <c r="K606" i="1" s="1"/>
  <c r="D605" i="1" a="1"/>
  <c r="D605" i="1" s="1"/>
  <c r="K605" i="1" s="1"/>
  <c r="D604" i="1" a="1"/>
  <c r="D604" i="1" s="1"/>
  <c r="K604" i="1" s="1"/>
  <c r="D603" i="1" a="1"/>
  <c r="D603" i="1" s="1"/>
  <c r="K603" i="1" s="1"/>
  <c r="D602" i="1" a="1"/>
  <c r="D602" i="1" s="1"/>
  <c r="K602" i="1" s="1"/>
  <c r="D601" i="1" a="1"/>
  <c r="D601" i="1" s="1"/>
  <c r="K601" i="1" s="1"/>
  <c r="D600" i="1" a="1"/>
  <c r="D600" i="1" s="1"/>
  <c r="K600" i="1" s="1"/>
  <c r="D599" i="1" a="1"/>
  <c r="D599" i="1" s="1"/>
  <c r="K599" i="1" s="1"/>
  <c r="D598" i="1" a="1"/>
  <c r="D598" i="1" s="1"/>
  <c r="K598" i="1" s="1"/>
  <c r="D597" i="1" a="1"/>
  <c r="D597" i="1" s="1"/>
  <c r="K597" i="1" s="1"/>
  <c r="D596" i="1" a="1"/>
  <c r="D596" i="1" s="1"/>
  <c r="K596" i="1" s="1"/>
  <c r="D595" i="1" a="1"/>
  <c r="D595" i="1" s="1"/>
  <c r="K595" i="1" s="1"/>
  <c r="D594" i="1" a="1"/>
  <c r="D594" i="1" s="1"/>
  <c r="K594" i="1" s="1"/>
  <c r="D593" i="1" a="1"/>
  <c r="D593" i="1" s="1"/>
  <c r="K593" i="1" s="1"/>
  <c r="D592" i="1" a="1"/>
  <c r="D592" i="1" s="1"/>
  <c r="K592" i="1" s="1"/>
  <c r="D591" i="1" a="1"/>
  <c r="D591" i="1" s="1"/>
  <c r="K591" i="1" s="1"/>
  <c r="D590" i="1" a="1"/>
  <c r="D590" i="1" s="1"/>
  <c r="K590" i="1" s="1"/>
  <c r="D589" i="1" a="1"/>
  <c r="D589" i="1" s="1"/>
  <c r="K589" i="1" s="1"/>
  <c r="D588" i="1" a="1"/>
  <c r="D588" i="1" s="1"/>
  <c r="K588" i="1" s="1"/>
  <c r="D587" i="1" a="1"/>
  <c r="D587" i="1" s="1"/>
  <c r="K587" i="1" s="1"/>
  <c r="D586" i="1" a="1"/>
  <c r="D586" i="1" s="1"/>
  <c r="K586" i="1" s="1"/>
  <c r="D585" i="1" a="1"/>
  <c r="D585" i="1" s="1"/>
  <c r="K585" i="1" s="1"/>
  <c r="D584" i="1" a="1"/>
  <c r="D584" i="1" s="1"/>
  <c r="K584" i="1" s="1"/>
  <c r="D583" i="1" a="1"/>
  <c r="D583" i="1" s="1"/>
  <c r="K583" i="1" s="1"/>
  <c r="D582" i="1" a="1"/>
  <c r="D582" i="1" s="1"/>
  <c r="K582" i="1" s="1"/>
  <c r="D581" i="1" a="1"/>
  <c r="D581" i="1" s="1"/>
  <c r="K581" i="1" s="1"/>
  <c r="D580" i="1" a="1"/>
  <c r="D580" i="1" s="1"/>
  <c r="K580" i="1" s="1"/>
  <c r="D579" i="1" a="1"/>
  <c r="D579" i="1" s="1"/>
  <c r="K579" i="1" s="1"/>
  <c r="D578" i="1" a="1"/>
  <c r="D578" i="1" s="1"/>
  <c r="K578" i="1" s="1"/>
  <c r="D577" i="1" a="1"/>
  <c r="D577" i="1" s="1"/>
  <c r="K577" i="1" s="1"/>
  <c r="D576" i="1" a="1"/>
  <c r="D576" i="1" s="1"/>
  <c r="K576" i="1" s="1"/>
  <c r="D575" i="1" a="1"/>
  <c r="D575" i="1" s="1"/>
  <c r="K575" i="1" s="1"/>
  <c r="D574" i="1" a="1"/>
  <c r="D574" i="1" s="1"/>
  <c r="K574" i="1" s="1"/>
  <c r="D573" i="1" a="1"/>
  <c r="D573" i="1" s="1"/>
  <c r="K573" i="1" s="1"/>
  <c r="D572" i="1" a="1"/>
  <c r="D572" i="1" s="1"/>
  <c r="K572" i="1" s="1"/>
  <c r="D571" i="1" a="1"/>
  <c r="D571" i="1" s="1"/>
  <c r="K571" i="1" s="1"/>
  <c r="D570" i="1" a="1"/>
  <c r="D570" i="1" s="1"/>
  <c r="K570" i="1" s="1"/>
  <c r="D569" i="1" a="1"/>
  <c r="D569" i="1" s="1"/>
  <c r="K569" i="1" s="1"/>
  <c r="D568" i="1" a="1"/>
  <c r="D568" i="1" s="1"/>
  <c r="K568" i="1" s="1"/>
  <c r="D567" i="1" a="1"/>
  <c r="D567" i="1" s="1"/>
  <c r="K567" i="1" s="1"/>
  <c r="D566" i="1" a="1"/>
  <c r="D566" i="1" s="1"/>
  <c r="K566" i="1" s="1"/>
  <c r="D565" i="1" a="1"/>
  <c r="D565" i="1" s="1"/>
  <c r="K565" i="1" s="1"/>
  <c r="D564" i="1" a="1"/>
  <c r="D564" i="1" s="1"/>
  <c r="K564" i="1" s="1"/>
  <c r="D563" i="1" a="1"/>
  <c r="D563" i="1" s="1"/>
  <c r="K563" i="1" s="1"/>
  <c r="D562" i="1" a="1"/>
  <c r="D562" i="1" s="1"/>
  <c r="K562" i="1" s="1"/>
  <c r="D561" i="1" a="1"/>
  <c r="D561" i="1" s="1"/>
  <c r="K561" i="1" s="1"/>
  <c r="D560" i="1" a="1"/>
  <c r="D560" i="1" s="1"/>
  <c r="K560" i="1" s="1"/>
  <c r="D559" i="1" a="1"/>
  <c r="D559" i="1" s="1"/>
  <c r="K559" i="1" s="1"/>
  <c r="D558" i="1" a="1"/>
  <c r="D558" i="1" s="1"/>
  <c r="K558" i="1" s="1"/>
  <c r="D557" i="1" a="1"/>
  <c r="D557" i="1" s="1"/>
  <c r="K557" i="1" s="1"/>
  <c r="D556" i="1" a="1"/>
  <c r="D556" i="1" s="1"/>
  <c r="K556" i="1" s="1"/>
  <c r="D555" i="1" a="1"/>
  <c r="D555" i="1" s="1"/>
  <c r="K555" i="1" s="1"/>
  <c r="D554" i="1" a="1"/>
  <c r="D554" i="1" s="1"/>
  <c r="K554" i="1" s="1"/>
  <c r="D553" i="1" a="1"/>
  <c r="D553" i="1" s="1"/>
  <c r="K553" i="1" s="1"/>
  <c r="D552" i="1" a="1"/>
  <c r="D552" i="1" s="1"/>
  <c r="K552" i="1" s="1"/>
  <c r="D551" i="1" a="1"/>
  <c r="D551" i="1" s="1"/>
  <c r="K551" i="1" s="1"/>
  <c r="D550" i="1" a="1"/>
  <c r="D550" i="1" s="1"/>
  <c r="K550" i="1" s="1"/>
  <c r="D549" i="1" a="1"/>
  <c r="D549" i="1" s="1"/>
  <c r="K549" i="1" s="1"/>
  <c r="D548" i="1" a="1"/>
  <c r="D548" i="1" s="1"/>
  <c r="K548" i="1" s="1"/>
  <c r="D547" i="1" a="1"/>
  <c r="D547" i="1" s="1"/>
  <c r="K547" i="1" s="1"/>
  <c r="D546" i="1" a="1"/>
  <c r="D546" i="1" s="1"/>
  <c r="K546" i="1" s="1"/>
  <c r="D545" i="1" a="1"/>
  <c r="D545" i="1" s="1"/>
  <c r="K545" i="1" s="1"/>
  <c r="D544" i="1" a="1"/>
  <c r="D544" i="1" s="1"/>
  <c r="K544" i="1" s="1"/>
  <c r="D543" i="1" a="1"/>
  <c r="D543" i="1" s="1"/>
  <c r="K543" i="1" s="1"/>
  <c r="D542" i="1" a="1"/>
  <c r="D542" i="1" s="1"/>
  <c r="K542" i="1" s="1"/>
  <c r="D541" i="1" a="1"/>
  <c r="D541" i="1" s="1"/>
  <c r="K541" i="1" s="1"/>
  <c r="D540" i="1" a="1"/>
  <c r="D540" i="1" s="1"/>
  <c r="K540" i="1" s="1"/>
  <c r="D539" i="1" a="1"/>
  <c r="D539" i="1" s="1"/>
  <c r="K539" i="1" s="1"/>
  <c r="D538" i="1" a="1"/>
  <c r="D538" i="1" s="1"/>
  <c r="K538" i="1" s="1"/>
  <c r="D537" i="1" a="1"/>
  <c r="D537" i="1" s="1"/>
  <c r="K537" i="1" s="1"/>
  <c r="D536" i="1" a="1"/>
  <c r="D536" i="1" s="1"/>
  <c r="K536" i="1" s="1"/>
  <c r="D535" i="1" a="1"/>
  <c r="D535" i="1" s="1"/>
  <c r="K535" i="1" s="1"/>
  <c r="D534" i="1" a="1"/>
  <c r="D534" i="1" s="1"/>
  <c r="K534" i="1" s="1"/>
  <c r="D533" i="1" a="1"/>
  <c r="D533" i="1" s="1"/>
  <c r="K533" i="1" s="1"/>
  <c r="D532" i="1" a="1"/>
  <c r="D532" i="1" s="1"/>
  <c r="K532" i="1" s="1"/>
  <c r="D531" i="1" a="1"/>
  <c r="D531" i="1" s="1"/>
  <c r="K531" i="1" s="1"/>
  <c r="D530" i="1" a="1"/>
  <c r="D530" i="1" s="1"/>
  <c r="K530" i="1" s="1"/>
  <c r="D529" i="1" a="1"/>
  <c r="D529" i="1" s="1"/>
  <c r="K529" i="1" s="1"/>
  <c r="D528" i="1" a="1"/>
  <c r="D528" i="1" s="1"/>
  <c r="K528" i="1" s="1"/>
  <c r="D527" i="1" a="1"/>
  <c r="D527" i="1" s="1"/>
  <c r="K527" i="1" s="1"/>
  <c r="D526" i="1" a="1"/>
  <c r="D526" i="1" s="1"/>
  <c r="K526" i="1" s="1"/>
  <c r="D525" i="1" a="1"/>
  <c r="D525" i="1" s="1"/>
  <c r="K525" i="1" s="1"/>
  <c r="D524" i="1" a="1"/>
  <c r="D524" i="1" s="1"/>
  <c r="K524" i="1" s="1"/>
  <c r="D523" i="1" a="1"/>
  <c r="D523" i="1" s="1"/>
  <c r="K523" i="1" s="1"/>
  <c r="D522" i="1" a="1"/>
  <c r="D522" i="1" s="1"/>
  <c r="K522" i="1" s="1"/>
  <c r="D521" i="1" a="1"/>
  <c r="D521" i="1" s="1"/>
  <c r="K521" i="1" s="1"/>
  <c r="D520" i="1" a="1"/>
  <c r="D520" i="1" s="1"/>
  <c r="K520" i="1" s="1"/>
  <c r="D519" i="1" a="1"/>
  <c r="D519" i="1" s="1"/>
  <c r="K519" i="1" s="1"/>
  <c r="D518" i="1" a="1"/>
  <c r="D518" i="1" s="1"/>
  <c r="K518" i="1" s="1"/>
  <c r="D517" i="1" a="1"/>
  <c r="D517" i="1" s="1"/>
  <c r="K517" i="1" s="1"/>
  <c r="D516" i="1" a="1"/>
  <c r="D516" i="1" s="1"/>
  <c r="K516" i="1" s="1"/>
  <c r="D515" i="1" a="1"/>
  <c r="D515" i="1" s="1"/>
  <c r="K515" i="1" s="1"/>
  <c r="D514" i="1" a="1"/>
  <c r="D514" i="1" s="1"/>
  <c r="K514" i="1" s="1"/>
  <c r="D513" i="1" a="1"/>
  <c r="D513" i="1" s="1"/>
  <c r="K513" i="1" s="1"/>
  <c r="D512" i="1" a="1"/>
  <c r="D512" i="1" s="1"/>
  <c r="K512" i="1" s="1"/>
  <c r="D511" i="1" a="1"/>
  <c r="D511" i="1" s="1"/>
  <c r="K511" i="1" s="1"/>
  <c r="D510" i="1" a="1"/>
  <c r="D510" i="1" s="1"/>
  <c r="K510" i="1" s="1"/>
  <c r="D509" i="1" a="1"/>
  <c r="D509" i="1" s="1"/>
  <c r="K509" i="1" s="1"/>
  <c r="D508" i="1" a="1"/>
  <c r="D508" i="1" s="1"/>
  <c r="K508" i="1" s="1"/>
  <c r="D507" i="1" a="1"/>
  <c r="D507" i="1" s="1"/>
  <c r="K507" i="1" s="1"/>
  <c r="D506" i="1" a="1"/>
  <c r="D506" i="1" s="1"/>
  <c r="K506" i="1" s="1"/>
  <c r="D505" i="1" a="1"/>
  <c r="D505" i="1" s="1"/>
  <c r="K505" i="1" s="1"/>
  <c r="D504" i="1" a="1"/>
  <c r="D504" i="1" s="1"/>
  <c r="K504" i="1" s="1"/>
  <c r="D503" i="1" a="1"/>
  <c r="D503" i="1" s="1"/>
  <c r="K503" i="1" s="1"/>
  <c r="D502" i="1" a="1"/>
  <c r="D502" i="1" s="1"/>
  <c r="K502" i="1" s="1"/>
  <c r="D501" i="1" a="1"/>
  <c r="D501" i="1" s="1"/>
  <c r="K501" i="1" s="1"/>
  <c r="D500" i="1" a="1"/>
  <c r="D500" i="1" s="1"/>
  <c r="K500" i="1" s="1"/>
  <c r="D499" i="1" a="1"/>
  <c r="D499" i="1" s="1"/>
  <c r="K499" i="1" s="1"/>
  <c r="D498" i="1" a="1"/>
  <c r="D498" i="1" s="1"/>
  <c r="K498" i="1" s="1"/>
  <c r="D497" i="1" a="1"/>
  <c r="D497" i="1" s="1"/>
  <c r="K497" i="1" s="1"/>
  <c r="D496" i="1" a="1"/>
  <c r="D496" i="1" s="1"/>
  <c r="K496" i="1" s="1"/>
  <c r="D495" i="1" a="1"/>
  <c r="D495" i="1" s="1"/>
  <c r="K495" i="1" s="1"/>
  <c r="D494" i="1" a="1"/>
  <c r="D494" i="1" s="1"/>
  <c r="K494" i="1" s="1"/>
  <c r="D493" i="1" a="1"/>
  <c r="D493" i="1" s="1"/>
  <c r="K493" i="1" s="1"/>
  <c r="D492" i="1" a="1"/>
  <c r="D492" i="1" s="1"/>
  <c r="K492" i="1" s="1"/>
  <c r="D491" i="1" a="1"/>
  <c r="D491" i="1" s="1"/>
  <c r="K491" i="1" s="1"/>
  <c r="D490" i="1" a="1"/>
  <c r="D490" i="1" s="1"/>
  <c r="K490" i="1" s="1"/>
  <c r="D489" i="1" a="1"/>
  <c r="D489" i="1" s="1"/>
  <c r="K489" i="1" s="1"/>
  <c r="D488" i="1" a="1"/>
  <c r="D488" i="1" s="1"/>
  <c r="K488" i="1" s="1"/>
  <c r="D487" i="1" a="1"/>
  <c r="D487" i="1" s="1"/>
  <c r="K487" i="1" s="1"/>
  <c r="D486" i="1" a="1"/>
  <c r="D486" i="1" s="1"/>
  <c r="K486" i="1" s="1"/>
  <c r="D485" i="1" a="1"/>
  <c r="D485" i="1" s="1"/>
  <c r="K485" i="1" s="1"/>
  <c r="D484" i="1" a="1"/>
  <c r="D484" i="1" s="1"/>
  <c r="K484" i="1" s="1"/>
  <c r="D483" i="1" a="1"/>
  <c r="D483" i="1" s="1"/>
  <c r="K483" i="1" s="1"/>
  <c r="D482" i="1" a="1"/>
  <c r="D482" i="1" s="1"/>
  <c r="K482" i="1" s="1"/>
  <c r="D481" i="1" a="1"/>
  <c r="D481" i="1" s="1"/>
  <c r="K481" i="1" s="1"/>
  <c r="D480" i="1" a="1"/>
  <c r="D480" i="1" s="1"/>
  <c r="K480" i="1" s="1"/>
  <c r="D479" i="1" a="1"/>
  <c r="D479" i="1" s="1"/>
  <c r="K479" i="1" s="1"/>
  <c r="D478" i="1" a="1"/>
  <c r="D478" i="1" s="1"/>
  <c r="K478" i="1" s="1"/>
  <c r="D477" i="1" a="1"/>
  <c r="D477" i="1" s="1"/>
  <c r="K477" i="1" s="1"/>
  <c r="D476" i="1" a="1"/>
  <c r="D476" i="1" s="1"/>
  <c r="K476" i="1" s="1"/>
  <c r="D475" i="1" a="1"/>
  <c r="D475" i="1" s="1"/>
  <c r="K475" i="1" s="1"/>
  <c r="D474" i="1" a="1"/>
  <c r="D474" i="1" s="1"/>
  <c r="K474" i="1" s="1"/>
  <c r="D473" i="1" a="1"/>
  <c r="D473" i="1" s="1"/>
  <c r="K473" i="1" s="1"/>
  <c r="D472" i="1" a="1"/>
  <c r="D472" i="1" s="1"/>
  <c r="K472" i="1" s="1"/>
  <c r="D471" i="1" a="1"/>
  <c r="D471" i="1" s="1"/>
  <c r="K471" i="1" s="1"/>
  <c r="D470" i="1" a="1"/>
  <c r="D470" i="1" s="1"/>
  <c r="K470" i="1" s="1"/>
  <c r="D469" i="1" a="1"/>
  <c r="D469" i="1" s="1"/>
  <c r="K469" i="1" s="1"/>
  <c r="D468" i="1" a="1"/>
  <c r="D468" i="1" s="1"/>
  <c r="K468" i="1" s="1"/>
  <c r="D467" i="1" a="1"/>
  <c r="D467" i="1" s="1"/>
  <c r="K467" i="1" s="1"/>
  <c r="D466" i="1" a="1"/>
  <c r="D466" i="1" s="1"/>
  <c r="K466" i="1" s="1"/>
  <c r="D465" i="1" a="1"/>
  <c r="D465" i="1" s="1"/>
  <c r="K465" i="1" s="1"/>
  <c r="D464" i="1" a="1"/>
  <c r="D464" i="1" s="1"/>
  <c r="K464" i="1" s="1"/>
  <c r="D463" i="1" a="1"/>
  <c r="D463" i="1" s="1"/>
  <c r="K463" i="1" s="1"/>
  <c r="D462" i="1" a="1"/>
  <c r="D462" i="1" s="1"/>
  <c r="K462" i="1" s="1"/>
  <c r="D461" i="1" a="1"/>
  <c r="D461" i="1" s="1"/>
  <c r="K461" i="1" s="1"/>
  <c r="D460" i="1" a="1"/>
  <c r="D460" i="1" s="1"/>
  <c r="K460" i="1" s="1"/>
  <c r="D459" i="1" a="1"/>
  <c r="D459" i="1" s="1"/>
  <c r="K459" i="1" s="1"/>
  <c r="D458" i="1" a="1"/>
  <c r="D458" i="1" s="1"/>
  <c r="K458" i="1" s="1"/>
  <c r="D457" i="1" a="1"/>
  <c r="D457" i="1" s="1"/>
  <c r="K457" i="1" s="1"/>
  <c r="D456" i="1" a="1"/>
  <c r="D456" i="1" s="1"/>
  <c r="K456" i="1" s="1"/>
  <c r="D455" i="1" a="1"/>
  <c r="D455" i="1" s="1"/>
  <c r="K455" i="1" s="1"/>
  <c r="D454" i="1" a="1"/>
  <c r="D454" i="1" s="1"/>
  <c r="K454" i="1" s="1"/>
  <c r="D453" i="1" a="1"/>
  <c r="D453" i="1" s="1"/>
  <c r="K453" i="1" s="1"/>
  <c r="D452" i="1" a="1"/>
  <c r="D452" i="1" s="1"/>
  <c r="K452" i="1" s="1"/>
  <c r="D451" i="1" a="1"/>
  <c r="D451" i="1" s="1"/>
  <c r="K451" i="1" s="1"/>
  <c r="D450" i="1" a="1"/>
  <c r="D450" i="1" s="1"/>
  <c r="K450" i="1" s="1"/>
  <c r="D449" i="1" a="1"/>
  <c r="D449" i="1" s="1"/>
  <c r="K449" i="1" s="1"/>
  <c r="D448" i="1" a="1"/>
  <c r="D448" i="1" s="1"/>
  <c r="K448" i="1" s="1"/>
  <c r="D447" i="1" a="1"/>
  <c r="D447" i="1" s="1"/>
  <c r="K447" i="1" s="1"/>
  <c r="D446" i="1" a="1"/>
  <c r="D446" i="1" s="1"/>
  <c r="K446" i="1" s="1"/>
  <c r="D445" i="1" a="1"/>
  <c r="D445" i="1" s="1"/>
  <c r="K445" i="1" s="1"/>
  <c r="D444" i="1" a="1"/>
  <c r="D444" i="1" s="1"/>
  <c r="K444" i="1" s="1"/>
  <c r="D443" i="1" a="1"/>
  <c r="D443" i="1" s="1"/>
  <c r="K443" i="1" s="1"/>
  <c r="D442" i="1" a="1"/>
  <c r="D442" i="1" s="1"/>
  <c r="K442" i="1" s="1"/>
  <c r="D441" i="1" a="1"/>
  <c r="D441" i="1" s="1"/>
  <c r="K441" i="1" s="1"/>
  <c r="D440" i="1" a="1"/>
  <c r="D440" i="1" s="1"/>
  <c r="K440" i="1" s="1"/>
  <c r="D439" i="1" a="1"/>
  <c r="D439" i="1" s="1"/>
  <c r="K439" i="1" s="1"/>
  <c r="D438" i="1" a="1"/>
  <c r="D438" i="1" s="1"/>
  <c r="K438" i="1" s="1"/>
  <c r="D437" i="1" a="1"/>
  <c r="D437" i="1" s="1"/>
  <c r="K437" i="1" s="1"/>
  <c r="D436" i="1" a="1"/>
  <c r="D436" i="1" s="1"/>
  <c r="K436" i="1" s="1"/>
  <c r="D435" i="1" a="1"/>
  <c r="D435" i="1" s="1"/>
  <c r="K435" i="1" s="1"/>
  <c r="D434" i="1" a="1"/>
  <c r="D434" i="1" s="1"/>
  <c r="K434" i="1" s="1"/>
  <c r="D433" i="1" a="1"/>
  <c r="D433" i="1" s="1"/>
  <c r="K433" i="1" s="1"/>
  <c r="D432" i="1" a="1"/>
  <c r="D432" i="1" s="1"/>
  <c r="K432" i="1" s="1"/>
  <c r="D431" i="1" a="1"/>
  <c r="D431" i="1" s="1"/>
  <c r="K431" i="1" s="1"/>
  <c r="D430" i="1" a="1"/>
  <c r="D430" i="1" s="1"/>
  <c r="K430" i="1" s="1"/>
  <c r="D429" i="1" a="1"/>
  <c r="D429" i="1" s="1"/>
  <c r="K429" i="1" s="1"/>
  <c r="D428" i="1" a="1"/>
  <c r="D428" i="1" s="1"/>
  <c r="K428" i="1" s="1"/>
  <c r="D427" i="1" a="1"/>
  <c r="D427" i="1" s="1"/>
  <c r="K427" i="1" s="1"/>
  <c r="D426" i="1" a="1"/>
  <c r="D426" i="1" s="1"/>
  <c r="K426" i="1" s="1"/>
  <c r="D425" i="1" a="1"/>
  <c r="D425" i="1" s="1"/>
  <c r="K425" i="1" s="1"/>
  <c r="D424" i="1" a="1"/>
  <c r="D424" i="1" s="1"/>
  <c r="K424" i="1" s="1"/>
  <c r="D423" i="1" a="1"/>
  <c r="D423" i="1" s="1"/>
  <c r="K423" i="1" s="1"/>
  <c r="D422" i="1" a="1"/>
  <c r="D422" i="1" s="1"/>
  <c r="K422" i="1" s="1"/>
  <c r="D421" i="1" a="1"/>
  <c r="D421" i="1" s="1"/>
  <c r="K421" i="1" s="1"/>
  <c r="D420" i="1" a="1"/>
  <c r="D420" i="1" s="1"/>
  <c r="K420" i="1" s="1"/>
  <c r="D419" i="1" a="1"/>
  <c r="D419" i="1" s="1"/>
  <c r="K419" i="1" s="1"/>
  <c r="D418" i="1" a="1"/>
  <c r="D418" i="1" s="1"/>
  <c r="K418" i="1" s="1"/>
  <c r="D417" i="1" a="1"/>
  <c r="D417" i="1" s="1"/>
  <c r="K417" i="1" s="1"/>
  <c r="D416" i="1" a="1"/>
  <c r="D416" i="1" s="1"/>
  <c r="K416" i="1" s="1"/>
  <c r="D415" i="1" a="1"/>
  <c r="D415" i="1" s="1"/>
  <c r="K415" i="1" s="1"/>
  <c r="D414" i="1" a="1"/>
  <c r="D414" i="1" s="1"/>
  <c r="K414" i="1" s="1"/>
  <c r="D413" i="1" a="1"/>
  <c r="D413" i="1" s="1"/>
  <c r="K413" i="1" s="1"/>
  <c r="D412" i="1" a="1"/>
  <c r="D412" i="1" s="1"/>
  <c r="K412" i="1" s="1"/>
  <c r="D411" i="1" a="1"/>
  <c r="D411" i="1" s="1"/>
  <c r="K411" i="1" s="1"/>
  <c r="D410" i="1" a="1"/>
  <c r="D410" i="1" s="1"/>
  <c r="K410" i="1" s="1"/>
  <c r="D409" i="1" a="1"/>
  <c r="D409" i="1" s="1"/>
  <c r="K409" i="1" s="1"/>
  <c r="D408" i="1" a="1"/>
  <c r="D408" i="1" s="1"/>
  <c r="K408" i="1" s="1"/>
  <c r="D407" i="1" a="1"/>
  <c r="D407" i="1" s="1"/>
  <c r="K407" i="1" s="1"/>
  <c r="D406" i="1" a="1"/>
  <c r="D406" i="1" s="1"/>
  <c r="K406" i="1" s="1"/>
  <c r="D405" i="1" a="1"/>
  <c r="D405" i="1" s="1"/>
  <c r="K405" i="1" s="1"/>
  <c r="D404" i="1" a="1"/>
  <c r="D404" i="1" s="1"/>
  <c r="K404" i="1" s="1"/>
  <c r="D403" i="1" a="1"/>
  <c r="D403" i="1" s="1"/>
  <c r="K403" i="1" s="1"/>
  <c r="D402" i="1" a="1"/>
  <c r="D402" i="1" s="1"/>
  <c r="K402" i="1" s="1"/>
  <c r="D401" i="1" a="1"/>
  <c r="D401" i="1" s="1"/>
  <c r="K401" i="1" s="1"/>
  <c r="D400" i="1" a="1"/>
  <c r="D400" i="1" s="1"/>
  <c r="K400" i="1" s="1"/>
  <c r="D399" i="1" a="1"/>
  <c r="D399" i="1" s="1"/>
  <c r="K399" i="1" s="1"/>
  <c r="D398" i="1" a="1"/>
  <c r="D398" i="1" s="1"/>
  <c r="K398" i="1" s="1"/>
  <c r="D397" i="1" a="1"/>
  <c r="D397" i="1" s="1"/>
  <c r="K397" i="1" s="1"/>
  <c r="D396" i="1" a="1"/>
  <c r="D396" i="1" s="1"/>
  <c r="K396" i="1" s="1"/>
  <c r="D395" i="1" a="1"/>
  <c r="D395" i="1" s="1"/>
  <c r="K395" i="1" s="1"/>
  <c r="D394" i="1" a="1"/>
  <c r="D394" i="1" s="1"/>
  <c r="K394" i="1" s="1"/>
  <c r="D393" i="1" a="1"/>
  <c r="D393" i="1" s="1"/>
  <c r="K393" i="1" s="1"/>
  <c r="D392" i="1" a="1"/>
  <c r="D392" i="1" s="1"/>
  <c r="K392" i="1" s="1"/>
  <c r="D391" i="1" a="1"/>
  <c r="D391" i="1" s="1"/>
  <c r="K391" i="1" s="1"/>
  <c r="D390" i="1" a="1"/>
  <c r="D390" i="1" s="1"/>
  <c r="K390" i="1" s="1"/>
  <c r="D389" i="1" a="1"/>
  <c r="D389" i="1" s="1"/>
  <c r="K389" i="1" s="1"/>
  <c r="D388" i="1" a="1"/>
  <c r="D388" i="1" s="1"/>
  <c r="K388" i="1" s="1"/>
  <c r="D387" i="1" a="1"/>
  <c r="D387" i="1" s="1"/>
  <c r="K387" i="1" s="1"/>
  <c r="D386" i="1" a="1"/>
  <c r="D386" i="1" s="1"/>
  <c r="K386" i="1" s="1"/>
  <c r="D385" i="1" a="1"/>
  <c r="D385" i="1" s="1"/>
  <c r="K385" i="1" s="1"/>
  <c r="D384" i="1" a="1"/>
  <c r="D384" i="1" s="1"/>
  <c r="K384" i="1" s="1"/>
  <c r="D383" i="1" a="1"/>
  <c r="D383" i="1" s="1"/>
  <c r="K383" i="1" s="1"/>
  <c r="D382" i="1" a="1"/>
  <c r="D382" i="1" s="1"/>
  <c r="K382" i="1" s="1"/>
  <c r="D381" i="1" a="1"/>
  <c r="D381" i="1" s="1"/>
  <c r="K381" i="1" s="1"/>
  <c r="D380" i="1" a="1"/>
  <c r="D380" i="1" s="1"/>
  <c r="K380" i="1" s="1"/>
  <c r="D379" i="1" a="1"/>
  <c r="D379" i="1" s="1"/>
  <c r="K379" i="1" s="1"/>
  <c r="D378" i="1" a="1"/>
  <c r="D378" i="1" s="1"/>
  <c r="K378" i="1" s="1"/>
  <c r="D377" i="1" a="1"/>
  <c r="D377" i="1" s="1"/>
  <c r="K377" i="1" s="1"/>
  <c r="D376" i="1" a="1"/>
  <c r="D376" i="1" s="1"/>
  <c r="K376" i="1" s="1"/>
  <c r="D375" i="1" a="1"/>
  <c r="D375" i="1" s="1"/>
  <c r="K375" i="1" s="1"/>
  <c r="D374" i="1" a="1"/>
  <c r="D374" i="1" s="1"/>
  <c r="K374" i="1" s="1"/>
  <c r="D373" i="1" a="1"/>
  <c r="D373" i="1" s="1"/>
  <c r="K373" i="1" s="1"/>
  <c r="D372" i="1" a="1"/>
  <c r="D372" i="1" s="1"/>
  <c r="K372" i="1" s="1"/>
  <c r="D371" i="1" a="1"/>
  <c r="D371" i="1" s="1"/>
  <c r="K371" i="1" s="1"/>
  <c r="D370" i="1" a="1"/>
  <c r="D370" i="1" s="1"/>
  <c r="K370" i="1" s="1"/>
  <c r="D369" i="1" a="1"/>
  <c r="D369" i="1" s="1"/>
  <c r="K369" i="1" s="1"/>
  <c r="D368" i="1" a="1"/>
  <c r="D368" i="1" s="1"/>
  <c r="K368" i="1" s="1"/>
  <c r="D367" i="1" a="1"/>
  <c r="D367" i="1" s="1"/>
  <c r="K367" i="1" s="1"/>
  <c r="D366" i="1" a="1"/>
  <c r="D366" i="1" s="1"/>
  <c r="K366" i="1" s="1"/>
  <c r="D365" i="1" a="1"/>
  <c r="D365" i="1" s="1"/>
  <c r="K365" i="1" s="1"/>
  <c r="D364" i="1" a="1"/>
  <c r="D364" i="1" s="1"/>
  <c r="K364" i="1" s="1"/>
  <c r="D363" i="1" a="1"/>
  <c r="D363" i="1" s="1"/>
  <c r="K363" i="1" s="1"/>
  <c r="D362" i="1" a="1"/>
  <c r="D362" i="1" s="1"/>
  <c r="K362" i="1" s="1"/>
  <c r="D361" i="1" a="1"/>
  <c r="D361" i="1" s="1"/>
  <c r="K361" i="1" s="1"/>
  <c r="D360" i="1" a="1"/>
  <c r="D360" i="1" s="1"/>
  <c r="K360" i="1" s="1"/>
  <c r="D359" i="1" a="1"/>
  <c r="D359" i="1" s="1"/>
  <c r="K359" i="1" s="1"/>
  <c r="D358" i="1" a="1"/>
  <c r="D358" i="1" s="1"/>
  <c r="K358" i="1" s="1"/>
  <c r="D357" i="1" a="1"/>
  <c r="D357" i="1" s="1"/>
  <c r="K357" i="1" s="1"/>
  <c r="D356" i="1" a="1"/>
  <c r="D356" i="1" s="1"/>
  <c r="K356" i="1" s="1"/>
  <c r="D355" i="1" a="1"/>
  <c r="D355" i="1" s="1"/>
  <c r="K355" i="1" s="1"/>
  <c r="D354" i="1" a="1"/>
  <c r="D354" i="1" s="1"/>
  <c r="K354" i="1" s="1"/>
  <c r="D353" i="1" a="1"/>
  <c r="D353" i="1" s="1"/>
  <c r="K353" i="1" s="1"/>
  <c r="D352" i="1" a="1"/>
  <c r="D352" i="1" s="1"/>
  <c r="K352" i="1" s="1"/>
  <c r="D351" i="1" a="1"/>
  <c r="D351" i="1" s="1"/>
  <c r="K351" i="1" s="1"/>
  <c r="D350" i="1" a="1"/>
  <c r="D350" i="1" s="1"/>
  <c r="K350" i="1" s="1"/>
  <c r="D349" i="1" a="1"/>
  <c r="D349" i="1" s="1"/>
  <c r="K349" i="1" s="1"/>
  <c r="D348" i="1" a="1"/>
  <c r="D348" i="1" s="1"/>
  <c r="K348" i="1" s="1"/>
  <c r="D347" i="1" a="1"/>
  <c r="D347" i="1" s="1"/>
  <c r="K347" i="1" s="1"/>
  <c r="D346" i="1" a="1"/>
  <c r="D346" i="1" s="1"/>
  <c r="K346" i="1" s="1"/>
  <c r="D345" i="1" a="1"/>
  <c r="D345" i="1" s="1"/>
  <c r="K345" i="1" s="1"/>
  <c r="D344" i="1" a="1"/>
  <c r="D344" i="1" s="1"/>
  <c r="K344" i="1" s="1"/>
  <c r="D343" i="1" a="1"/>
  <c r="D343" i="1" s="1"/>
  <c r="K343" i="1" s="1"/>
  <c r="D342" i="1" a="1"/>
  <c r="D342" i="1" s="1"/>
  <c r="K342" i="1" s="1"/>
  <c r="D341" i="1" a="1"/>
  <c r="D341" i="1" s="1"/>
  <c r="K341" i="1" s="1"/>
  <c r="D340" i="1" a="1"/>
  <c r="D340" i="1" s="1"/>
  <c r="K340" i="1" s="1"/>
  <c r="D339" i="1" a="1"/>
  <c r="D339" i="1" s="1"/>
  <c r="K339" i="1" s="1"/>
  <c r="D338" i="1" a="1"/>
  <c r="D338" i="1" s="1"/>
  <c r="K338" i="1" s="1"/>
  <c r="D337" i="1" a="1"/>
  <c r="D337" i="1" s="1"/>
  <c r="K337" i="1" s="1"/>
  <c r="D336" i="1" a="1"/>
  <c r="D336" i="1" s="1"/>
  <c r="K336" i="1" s="1"/>
  <c r="D335" i="1" a="1"/>
  <c r="D335" i="1" s="1"/>
  <c r="K335" i="1" s="1"/>
  <c r="D334" i="1" a="1"/>
  <c r="D334" i="1" s="1"/>
  <c r="K334" i="1" s="1"/>
  <c r="D333" i="1" a="1"/>
  <c r="D333" i="1" s="1"/>
  <c r="K333" i="1" s="1"/>
  <c r="D332" i="1" a="1"/>
  <c r="D332" i="1" s="1"/>
  <c r="K332" i="1" s="1"/>
  <c r="D331" i="1" a="1"/>
  <c r="D331" i="1" s="1"/>
  <c r="K331" i="1" s="1"/>
  <c r="D330" i="1" a="1"/>
  <c r="D330" i="1" s="1"/>
  <c r="K330" i="1" s="1"/>
  <c r="D329" i="1" a="1"/>
  <c r="D329" i="1" s="1"/>
  <c r="K329" i="1" s="1"/>
  <c r="D328" i="1" a="1"/>
  <c r="D328" i="1" s="1"/>
  <c r="K328" i="1" s="1"/>
  <c r="D327" i="1" a="1"/>
  <c r="D327" i="1" s="1"/>
  <c r="K327" i="1" s="1"/>
  <c r="D326" i="1" a="1"/>
  <c r="D326" i="1" s="1"/>
  <c r="K326" i="1" s="1"/>
  <c r="D325" i="1" a="1"/>
  <c r="D325" i="1" s="1"/>
  <c r="K325" i="1" s="1"/>
  <c r="D324" i="1" a="1"/>
  <c r="D324" i="1" s="1"/>
  <c r="K324" i="1" s="1"/>
  <c r="D323" i="1" a="1"/>
  <c r="D323" i="1" s="1"/>
  <c r="K323" i="1" s="1"/>
  <c r="D322" i="1" a="1"/>
  <c r="D322" i="1" s="1"/>
  <c r="K322" i="1" s="1"/>
  <c r="D321" i="1" a="1"/>
  <c r="D321" i="1" s="1"/>
  <c r="K321" i="1" s="1"/>
  <c r="D320" i="1" a="1"/>
  <c r="D320" i="1" s="1"/>
  <c r="K320" i="1" s="1"/>
  <c r="D319" i="1" a="1"/>
  <c r="D319" i="1" s="1"/>
  <c r="K319" i="1" s="1"/>
  <c r="D318" i="1" a="1"/>
  <c r="D318" i="1" s="1"/>
  <c r="K318" i="1" s="1"/>
  <c r="D317" i="1" a="1"/>
  <c r="D317" i="1" s="1"/>
  <c r="K317" i="1" s="1"/>
  <c r="D316" i="1" a="1"/>
  <c r="D316" i="1" s="1"/>
  <c r="K316" i="1" s="1"/>
  <c r="D315" i="1" a="1"/>
  <c r="D315" i="1" s="1"/>
  <c r="K315" i="1" s="1"/>
  <c r="D314" i="1" a="1"/>
  <c r="D314" i="1" s="1"/>
  <c r="K314" i="1" s="1"/>
  <c r="D313" i="1" a="1"/>
  <c r="D313" i="1" s="1"/>
  <c r="K313" i="1" s="1"/>
  <c r="D312" i="1" a="1"/>
  <c r="D312" i="1" s="1"/>
  <c r="K312" i="1" s="1"/>
  <c r="D311" i="1" a="1"/>
  <c r="D311" i="1" s="1"/>
  <c r="K311" i="1" s="1"/>
  <c r="D310" i="1" a="1"/>
  <c r="D310" i="1" s="1"/>
  <c r="K310" i="1" s="1"/>
  <c r="D309" i="1" a="1"/>
  <c r="D309" i="1" s="1"/>
  <c r="K309" i="1" s="1"/>
  <c r="D308" i="1" a="1"/>
  <c r="D308" i="1" s="1"/>
  <c r="K308" i="1" s="1"/>
  <c r="D307" i="1" a="1"/>
  <c r="D307" i="1" s="1"/>
  <c r="K307" i="1" s="1"/>
  <c r="D306" i="1" a="1"/>
  <c r="D306" i="1" s="1"/>
  <c r="K306" i="1" s="1"/>
  <c r="D305" i="1" a="1"/>
  <c r="D305" i="1" s="1"/>
  <c r="K305" i="1" s="1"/>
  <c r="D304" i="1" a="1"/>
  <c r="D304" i="1" s="1"/>
  <c r="K304" i="1" s="1"/>
  <c r="D303" i="1" a="1"/>
  <c r="D303" i="1" s="1"/>
  <c r="K303" i="1" s="1"/>
  <c r="D302" i="1" a="1"/>
  <c r="D302" i="1" s="1"/>
  <c r="K302" i="1" s="1"/>
  <c r="D301" i="1" a="1"/>
  <c r="D301" i="1" s="1"/>
  <c r="K301" i="1" s="1"/>
  <c r="D300" i="1" a="1"/>
  <c r="D300" i="1" s="1"/>
  <c r="K300" i="1" s="1"/>
  <c r="D299" i="1" a="1"/>
  <c r="D299" i="1" s="1"/>
  <c r="K299" i="1" s="1"/>
  <c r="D298" i="1" a="1"/>
  <c r="D298" i="1" s="1"/>
  <c r="K298" i="1" s="1"/>
  <c r="D297" i="1" a="1"/>
  <c r="D297" i="1" s="1"/>
  <c r="K297" i="1" s="1"/>
  <c r="D296" i="1" a="1"/>
  <c r="D296" i="1" s="1"/>
  <c r="K296" i="1" s="1"/>
  <c r="D295" i="1" a="1"/>
  <c r="D295" i="1" s="1"/>
  <c r="K295" i="1" s="1"/>
  <c r="D294" i="1" a="1"/>
  <c r="D294" i="1" s="1"/>
  <c r="K294" i="1" s="1"/>
  <c r="D293" i="1" a="1"/>
  <c r="D293" i="1" s="1"/>
  <c r="K293" i="1" s="1"/>
  <c r="D292" i="1" a="1"/>
  <c r="D292" i="1" s="1"/>
  <c r="K292" i="1" s="1"/>
  <c r="D291" i="1" a="1"/>
  <c r="D291" i="1" s="1"/>
  <c r="K291" i="1" s="1"/>
  <c r="D290" i="1" a="1"/>
  <c r="D290" i="1" s="1"/>
  <c r="K290" i="1" s="1"/>
  <c r="D289" i="1" a="1"/>
  <c r="D289" i="1" s="1"/>
  <c r="K289" i="1" s="1"/>
  <c r="D288" i="1" a="1"/>
  <c r="D288" i="1" s="1"/>
  <c r="K288" i="1" s="1"/>
  <c r="D287" i="1" a="1"/>
  <c r="D287" i="1" s="1"/>
  <c r="K287" i="1" s="1"/>
  <c r="D286" i="1" a="1"/>
  <c r="D286" i="1" s="1"/>
  <c r="K286" i="1" s="1"/>
  <c r="D285" i="1" a="1"/>
  <c r="D285" i="1" s="1"/>
  <c r="K285" i="1" s="1"/>
  <c r="D284" i="1" a="1"/>
  <c r="D284" i="1" s="1"/>
  <c r="K284" i="1" s="1"/>
  <c r="D283" i="1" a="1"/>
  <c r="D283" i="1" s="1"/>
  <c r="K283" i="1" s="1"/>
  <c r="D282" i="1" a="1"/>
  <c r="D282" i="1" s="1"/>
  <c r="K282" i="1" s="1"/>
  <c r="D281" i="1" a="1"/>
  <c r="D281" i="1" s="1"/>
  <c r="K281" i="1" s="1"/>
  <c r="D280" i="1" a="1"/>
  <c r="D280" i="1" s="1"/>
  <c r="K280" i="1" s="1"/>
  <c r="D279" i="1" a="1"/>
  <c r="D279" i="1" s="1"/>
  <c r="K279" i="1" s="1"/>
  <c r="D278" i="1" a="1"/>
  <c r="D278" i="1" s="1"/>
  <c r="K278" i="1" s="1"/>
  <c r="D277" i="1" a="1"/>
  <c r="D277" i="1" s="1"/>
  <c r="K277" i="1" s="1"/>
  <c r="D276" i="1" a="1"/>
  <c r="D276" i="1" s="1"/>
  <c r="K276" i="1" s="1"/>
  <c r="D275" i="1" a="1"/>
  <c r="D275" i="1" s="1"/>
  <c r="K275" i="1" s="1"/>
  <c r="D274" i="1" a="1"/>
  <c r="D274" i="1" s="1"/>
  <c r="K274" i="1" s="1"/>
  <c r="D273" i="1" a="1"/>
  <c r="D273" i="1" s="1"/>
  <c r="K273" i="1" s="1"/>
  <c r="D272" i="1" a="1"/>
  <c r="D272" i="1" s="1"/>
  <c r="K272" i="1" s="1"/>
  <c r="D271" i="1" a="1"/>
  <c r="D271" i="1" s="1"/>
  <c r="K271" i="1" s="1"/>
  <c r="D270" i="1" a="1"/>
  <c r="D270" i="1" s="1"/>
  <c r="K270" i="1" s="1"/>
  <c r="D269" i="1" a="1"/>
  <c r="D269" i="1" s="1"/>
  <c r="K269" i="1" s="1"/>
  <c r="D268" i="1" a="1"/>
  <c r="D268" i="1" s="1"/>
  <c r="K268" i="1" s="1"/>
  <c r="D267" i="1" a="1"/>
  <c r="D267" i="1" s="1"/>
  <c r="K267" i="1" s="1"/>
  <c r="D266" i="1" a="1"/>
  <c r="D266" i="1" s="1"/>
  <c r="K266" i="1" s="1"/>
  <c r="D265" i="1" a="1"/>
  <c r="D265" i="1" s="1"/>
  <c r="K265" i="1" s="1"/>
  <c r="D264" i="1" a="1"/>
  <c r="D264" i="1" s="1"/>
  <c r="K264" i="1" s="1"/>
  <c r="D263" i="1" a="1"/>
  <c r="D263" i="1" s="1"/>
  <c r="K263" i="1" s="1"/>
  <c r="D262" i="1" a="1"/>
  <c r="D262" i="1" s="1"/>
  <c r="K262" i="1" s="1"/>
  <c r="D261" i="1" a="1"/>
  <c r="D261" i="1" s="1"/>
  <c r="K261" i="1" s="1"/>
  <c r="D260" i="1" a="1"/>
  <c r="D260" i="1" s="1"/>
  <c r="K260" i="1" s="1"/>
  <c r="D259" i="1" a="1"/>
  <c r="D259" i="1" s="1"/>
  <c r="K259" i="1" s="1"/>
  <c r="D258" i="1" a="1"/>
  <c r="D258" i="1" s="1"/>
  <c r="K258" i="1" s="1"/>
  <c r="D257" i="1" a="1"/>
  <c r="D257" i="1" s="1"/>
  <c r="K257" i="1" s="1"/>
  <c r="D256" i="1" a="1"/>
  <c r="D256" i="1" s="1"/>
  <c r="K256" i="1" s="1"/>
  <c r="D255" i="1" a="1"/>
  <c r="D255" i="1" s="1"/>
  <c r="K255" i="1" s="1"/>
  <c r="D254" i="1" a="1"/>
  <c r="D254" i="1" s="1"/>
  <c r="K254" i="1" s="1"/>
  <c r="D253" i="1" a="1"/>
  <c r="D253" i="1" s="1"/>
  <c r="K253" i="1" s="1"/>
  <c r="D252" i="1" a="1"/>
  <c r="D252" i="1" s="1"/>
  <c r="K252" i="1" s="1"/>
  <c r="D251" i="1" a="1"/>
  <c r="D251" i="1" s="1"/>
  <c r="K251" i="1" s="1"/>
  <c r="D250" i="1" a="1"/>
  <c r="D250" i="1" s="1"/>
  <c r="K250" i="1" s="1"/>
  <c r="D249" i="1" a="1"/>
  <c r="D249" i="1" s="1"/>
  <c r="K249" i="1" s="1"/>
  <c r="D248" i="1" a="1"/>
  <c r="D248" i="1" s="1"/>
  <c r="K248" i="1" s="1"/>
  <c r="D247" i="1" a="1"/>
  <c r="D247" i="1" s="1"/>
  <c r="K247" i="1" s="1"/>
  <c r="D246" i="1" a="1"/>
  <c r="D246" i="1" s="1"/>
  <c r="K246" i="1" s="1"/>
  <c r="D245" i="1" a="1"/>
  <c r="D245" i="1" s="1"/>
  <c r="K245" i="1" s="1"/>
  <c r="D244" i="1" a="1"/>
  <c r="D244" i="1" s="1"/>
  <c r="K244" i="1" s="1"/>
  <c r="D243" i="1" a="1"/>
  <c r="D243" i="1" s="1"/>
  <c r="K243" i="1" s="1"/>
  <c r="D242" i="1" a="1"/>
  <c r="D242" i="1" s="1"/>
  <c r="K242" i="1" s="1"/>
  <c r="D241" i="1" a="1"/>
  <c r="D241" i="1" s="1"/>
  <c r="K241" i="1" s="1"/>
  <c r="D240" i="1" a="1"/>
  <c r="D240" i="1" s="1"/>
  <c r="K240" i="1" s="1"/>
  <c r="D239" i="1" a="1"/>
  <c r="D239" i="1" s="1"/>
  <c r="K239" i="1" s="1"/>
  <c r="D238" i="1" a="1"/>
  <c r="D238" i="1" s="1"/>
  <c r="K238" i="1" s="1"/>
  <c r="D237" i="1" a="1"/>
  <c r="D237" i="1" s="1"/>
  <c r="K237" i="1" s="1"/>
  <c r="D236" i="1" a="1"/>
  <c r="D236" i="1" s="1"/>
  <c r="K236" i="1" s="1"/>
  <c r="D235" i="1" a="1"/>
  <c r="D235" i="1" s="1"/>
  <c r="K235" i="1" s="1"/>
  <c r="D234" i="1" a="1"/>
  <c r="D234" i="1" s="1"/>
  <c r="K234" i="1" s="1"/>
  <c r="D233" i="1" a="1"/>
  <c r="D233" i="1" s="1"/>
  <c r="K233" i="1" s="1"/>
  <c r="D232" i="1" a="1"/>
  <c r="D232" i="1" s="1"/>
  <c r="K232" i="1" s="1"/>
  <c r="D231" i="1" a="1"/>
  <c r="D231" i="1" s="1"/>
  <c r="K231" i="1" s="1"/>
  <c r="D230" i="1" a="1"/>
  <c r="D230" i="1" s="1"/>
  <c r="K230" i="1" s="1"/>
  <c r="D229" i="1" a="1"/>
  <c r="D229" i="1" s="1"/>
  <c r="K229" i="1" s="1"/>
  <c r="D228" i="1" a="1"/>
  <c r="D228" i="1" s="1"/>
  <c r="K228" i="1" s="1"/>
  <c r="D227" i="1" a="1"/>
  <c r="D227" i="1" s="1"/>
  <c r="K227" i="1" s="1"/>
  <c r="D226" i="1" a="1"/>
  <c r="D226" i="1" s="1"/>
  <c r="K226" i="1" s="1"/>
  <c r="D225" i="1" a="1"/>
  <c r="D225" i="1" s="1"/>
  <c r="K225" i="1" s="1"/>
  <c r="D224" i="1" a="1"/>
  <c r="D224" i="1" s="1"/>
  <c r="K224" i="1" s="1"/>
  <c r="D223" i="1" a="1"/>
  <c r="D223" i="1" s="1"/>
  <c r="K223" i="1" s="1"/>
  <c r="D222" i="1" a="1"/>
  <c r="D222" i="1" s="1"/>
  <c r="K222" i="1" s="1"/>
  <c r="D221" i="1" a="1"/>
  <c r="D221" i="1" s="1"/>
  <c r="K221" i="1" s="1"/>
  <c r="D220" i="1" a="1"/>
  <c r="D220" i="1" s="1"/>
  <c r="K220" i="1" s="1"/>
  <c r="D219" i="1" a="1"/>
  <c r="D219" i="1" s="1"/>
  <c r="K219" i="1" s="1"/>
  <c r="D218" i="1" a="1"/>
  <c r="D218" i="1" s="1"/>
  <c r="K218" i="1" s="1"/>
  <c r="D217" i="1" a="1"/>
  <c r="D217" i="1" s="1"/>
  <c r="K217" i="1" s="1"/>
  <c r="D216" i="1" a="1"/>
  <c r="D216" i="1" s="1"/>
  <c r="K216" i="1" s="1"/>
  <c r="D215" i="1" a="1"/>
  <c r="D215" i="1" s="1"/>
  <c r="K215" i="1" s="1"/>
  <c r="D214" i="1" a="1"/>
  <c r="D214" i="1" s="1"/>
  <c r="K214" i="1" s="1"/>
  <c r="D213" i="1" a="1"/>
  <c r="D213" i="1" s="1"/>
  <c r="K213" i="1" s="1"/>
  <c r="D212" i="1" a="1"/>
  <c r="D212" i="1" s="1"/>
  <c r="K212" i="1" s="1"/>
  <c r="D211" i="1" a="1"/>
  <c r="D211" i="1" s="1"/>
  <c r="K211" i="1" s="1"/>
  <c r="D210" i="1" a="1"/>
  <c r="D210" i="1" s="1"/>
  <c r="K210" i="1" s="1"/>
  <c r="D209" i="1" a="1"/>
  <c r="D209" i="1" s="1"/>
  <c r="K209" i="1" s="1"/>
  <c r="D208" i="1" a="1"/>
  <c r="D208" i="1" s="1"/>
  <c r="K208" i="1" s="1"/>
  <c r="D207" i="1" a="1"/>
  <c r="D207" i="1" s="1"/>
  <c r="K207" i="1" s="1"/>
  <c r="D206" i="1" a="1"/>
  <c r="D206" i="1" s="1"/>
  <c r="K206" i="1" s="1"/>
  <c r="D205" i="1" a="1"/>
  <c r="D205" i="1" s="1"/>
  <c r="K205" i="1" s="1"/>
  <c r="D204" i="1" a="1"/>
  <c r="D204" i="1" s="1"/>
  <c r="K204" i="1" s="1"/>
  <c r="D203" i="1" a="1"/>
  <c r="D203" i="1" s="1"/>
  <c r="K203" i="1" s="1"/>
  <c r="D202" i="1" a="1"/>
  <c r="D202" i="1" s="1"/>
  <c r="K202" i="1" s="1"/>
  <c r="D201" i="1" a="1"/>
  <c r="D201" i="1" s="1"/>
  <c r="K201" i="1" s="1"/>
  <c r="D200" i="1" a="1"/>
  <c r="D200" i="1" s="1"/>
  <c r="K200" i="1" s="1"/>
  <c r="D199" i="1" a="1"/>
  <c r="D199" i="1" s="1"/>
  <c r="K199" i="1" s="1"/>
  <c r="D198" i="1" a="1"/>
  <c r="D198" i="1" s="1"/>
  <c r="K198" i="1" s="1"/>
  <c r="D197" i="1" a="1"/>
  <c r="D197" i="1" s="1"/>
  <c r="K197" i="1" s="1"/>
  <c r="D196" i="1" a="1"/>
  <c r="D196" i="1" s="1"/>
  <c r="K196" i="1" s="1"/>
  <c r="D195" i="1" a="1"/>
  <c r="D195" i="1" s="1"/>
  <c r="K195" i="1" s="1"/>
  <c r="D194" i="1" a="1"/>
  <c r="D194" i="1" s="1"/>
  <c r="K194" i="1" s="1"/>
  <c r="D193" i="1" a="1"/>
  <c r="D193" i="1" s="1"/>
  <c r="K193" i="1" s="1"/>
  <c r="D192" i="1" a="1"/>
  <c r="D192" i="1" s="1"/>
  <c r="K192" i="1" s="1"/>
  <c r="D191" i="1" a="1"/>
  <c r="D191" i="1" s="1"/>
  <c r="K191" i="1" s="1"/>
  <c r="D190" i="1" a="1"/>
  <c r="D190" i="1" s="1"/>
  <c r="K190" i="1" s="1"/>
  <c r="D189" i="1" a="1"/>
  <c r="D189" i="1" s="1"/>
  <c r="K189" i="1" s="1"/>
  <c r="D188" i="1" a="1"/>
  <c r="D188" i="1" s="1"/>
  <c r="K188" i="1" s="1"/>
  <c r="D187" i="1" a="1"/>
  <c r="D187" i="1" s="1"/>
  <c r="K187" i="1" s="1"/>
  <c r="D186" i="1" a="1"/>
  <c r="D186" i="1" s="1"/>
  <c r="K186" i="1" s="1"/>
  <c r="D185" i="1" a="1"/>
  <c r="D185" i="1" s="1"/>
  <c r="K185" i="1" s="1"/>
  <c r="D184" i="1" a="1"/>
  <c r="D184" i="1" s="1"/>
  <c r="K184" i="1" s="1"/>
  <c r="D183" i="1" a="1"/>
  <c r="D183" i="1" s="1"/>
  <c r="K183" i="1" s="1"/>
  <c r="D182" i="1" a="1"/>
  <c r="D182" i="1" s="1"/>
  <c r="K182" i="1" s="1"/>
  <c r="D181" i="1" a="1"/>
  <c r="D181" i="1" s="1"/>
  <c r="K181" i="1" s="1"/>
  <c r="D180" i="1" a="1"/>
  <c r="D180" i="1" s="1"/>
  <c r="K180" i="1" s="1"/>
  <c r="D179" i="1" a="1"/>
  <c r="D179" i="1" s="1"/>
  <c r="K179" i="1" s="1"/>
  <c r="D178" i="1" a="1"/>
  <c r="D178" i="1" s="1"/>
  <c r="K178" i="1" s="1"/>
  <c r="D177" i="1" a="1"/>
  <c r="D177" i="1" s="1"/>
  <c r="K177" i="1" s="1"/>
  <c r="D176" i="1" a="1"/>
  <c r="D176" i="1" s="1"/>
  <c r="K176" i="1" s="1"/>
  <c r="D175" i="1" a="1"/>
  <c r="D175" i="1" s="1"/>
  <c r="K175" i="1" s="1"/>
  <c r="D174" i="1" a="1"/>
  <c r="D174" i="1" s="1"/>
  <c r="K174" i="1" s="1"/>
  <c r="D173" i="1" a="1"/>
  <c r="D173" i="1" s="1"/>
  <c r="K173" i="1" s="1"/>
  <c r="D172" i="1" a="1"/>
  <c r="D172" i="1" s="1"/>
  <c r="K172" i="1" s="1"/>
  <c r="D171" i="1" a="1"/>
  <c r="D171" i="1" s="1"/>
  <c r="K171" i="1" s="1"/>
  <c r="D170" i="1" a="1"/>
  <c r="D170" i="1" s="1"/>
  <c r="K170" i="1" s="1"/>
  <c r="D169" i="1" a="1"/>
  <c r="D169" i="1" s="1"/>
  <c r="K169" i="1" s="1"/>
  <c r="D168" i="1" a="1"/>
  <c r="D168" i="1" s="1"/>
  <c r="K168" i="1" s="1"/>
  <c r="D167" i="1" a="1"/>
  <c r="D167" i="1" s="1"/>
  <c r="K167" i="1" s="1"/>
  <c r="D166" i="1" a="1"/>
  <c r="D166" i="1" s="1"/>
  <c r="K166" i="1" s="1"/>
  <c r="D165" i="1" a="1"/>
  <c r="D165" i="1" s="1"/>
  <c r="K165" i="1" s="1"/>
  <c r="D164" i="1" a="1"/>
  <c r="D164" i="1" s="1"/>
  <c r="K164" i="1" s="1"/>
  <c r="D163" i="1" a="1"/>
  <c r="D163" i="1" s="1"/>
  <c r="K163" i="1" s="1"/>
  <c r="D162" i="1" a="1"/>
  <c r="D162" i="1" s="1"/>
  <c r="K162" i="1" s="1"/>
  <c r="D161" i="1" a="1"/>
  <c r="D161" i="1" s="1"/>
  <c r="K161" i="1" s="1"/>
  <c r="D160" i="1" a="1"/>
  <c r="D160" i="1" s="1"/>
  <c r="K160" i="1" s="1"/>
  <c r="D159" i="1" a="1"/>
  <c r="D159" i="1" s="1"/>
  <c r="K159" i="1" s="1"/>
  <c r="D158" i="1" a="1"/>
  <c r="D158" i="1" s="1"/>
  <c r="K158" i="1" s="1"/>
  <c r="D157" i="1" a="1"/>
  <c r="D157" i="1" s="1"/>
  <c r="K157" i="1" s="1"/>
  <c r="D156" i="1" a="1"/>
  <c r="D156" i="1" s="1"/>
  <c r="K156" i="1" s="1"/>
  <c r="D155" i="1" a="1"/>
  <c r="D155" i="1" s="1"/>
  <c r="K155" i="1" s="1"/>
  <c r="D154" i="1" a="1"/>
  <c r="D154" i="1" s="1"/>
  <c r="K154" i="1" s="1"/>
  <c r="D153" i="1" a="1"/>
  <c r="D153" i="1" s="1"/>
  <c r="K153" i="1" s="1"/>
  <c r="D152" i="1" a="1"/>
  <c r="D152" i="1" s="1"/>
  <c r="K152" i="1" s="1"/>
  <c r="D151" i="1" a="1"/>
  <c r="D151" i="1" s="1"/>
  <c r="K151" i="1" s="1"/>
  <c r="D150" i="1" a="1"/>
  <c r="D150" i="1" s="1"/>
  <c r="K150" i="1" s="1"/>
  <c r="D149" i="1" a="1"/>
  <c r="D149" i="1" s="1"/>
  <c r="K149" i="1" s="1"/>
  <c r="D148" i="1" a="1"/>
  <c r="D148" i="1" s="1"/>
  <c r="K148" i="1" s="1"/>
  <c r="D147" i="1" a="1"/>
  <c r="D147" i="1" s="1"/>
  <c r="K147" i="1" s="1"/>
  <c r="D146" i="1" a="1"/>
  <c r="D146" i="1" s="1"/>
  <c r="K146" i="1" s="1"/>
  <c r="D145" i="1" a="1"/>
  <c r="D145" i="1" s="1"/>
  <c r="K145" i="1" s="1"/>
  <c r="D144" i="1" a="1"/>
  <c r="D144" i="1" s="1"/>
  <c r="K144" i="1" s="1"/>
  <c r="D143" i="1" a="1"/>
  <c r="D143" i="1" s="1"/>
  <c r="K143" i="1" s="1"/>
  <c r="D142" i="1" a="1"/>
  <c r="D142" i="1" s="1"/>
  <c r="K142" i="1" s="1"/>
  <c r="D141" i="1" a="1"/>
  <c r="D141" i="1" s="1"/>
  <c r="K141" i="1" s="1"/>
  <c r="D140" i="1" a="1"/>
  <c r="D140" i="1" s="1"/>
  <c r="K140" i="1" s="1"/>
  <c r="D139" i="1" a="1"/>
  <c r="D139" i="1" s="1"/>
  <c r="K139" i="1" s="1"/>
  <c r="D138" i="1" a="1"/>
  <c r="D138" i="1" s="1"/>
  <c r="K138" i="1" s="1"/>
  <c r="D137" i="1" a="1"/>
  <c r="D137" i="1" s="1"/>
  <c r="K137" i="1" s="1"/>
  <c r="D136" i="1" a="1"/>
  <c r="D136" i="1" s="1"/>
  <c r="K136" i="1" s="1"/>
  <c r="D135" i="1" a="1"/>
  <c r="D135" i="1" s="1"/>
  <c r="K135" i="1" s="1"/>
  <c r="D134" i="1" a="1"/>
  <c r="D134" i="1" s="1"/>
  <c r="K134" i="1" s="1"/>
  <c r="D133" i="1" a="1"/>
  <c r="D133" i="1" s="1"/>
  <c r="K133" i="1" s="1"/>
  <c r="D132" i="1" a="1"/>
  <c r="D132" i="1" s="1"/>
  <c r="K132" i="1" s="1"/>
  <c r="D131" i="1" a="1"/>
  <c r="D131" i="1" s="1"/>
  <c r="K131" i="1" s="1"/>
  <c r="D130" i="1" a="1"/>
  <c r="D130" i="1" s="1"/>
  <c r="K130" i="1" s="1"/>
  <c r="D129" i="1" a="1"/>
  <c r="D129" i="1" s="1"/>
  <c r="K129" i="1" s="1"/>
  <c r="D128" i="1" a="1"/>
  <c r="D128" i="1" s="1"/>
  <c r="K128" i="1" s="1"/>
  <c r="D127" i="1" a="1"/>
  <c r="D127" i="1" s="1"/>
  <c r="K127" i="1" s="1"/>
  <c r="D126" i="1" a="1"/>
  <c r="D126" i="1" s="1"/>
  <c r="K126" i="1" s="1"/>
  <c r="D125" i="1" a="1"/>
  <c r="D125" i="1" s="1"/>
  <c r="K125" i="1" s="1"/>
  <c r="D124" i="1" a="1"/>
  <c r="D124" i="1" s="1"/>
  <c r="K124" i="1" s="1"/>
  <c r="D123" i="1" a="1"/>
  <c r="D123" i="1" s="1"/>
  <c r="K123" i="1" s="1"/>
  <c r="D122" i="1" a="1"/>
  <c r="D122" i="1" s="1"/>
  <c r="K122" i="1" s="1"/>
  <c r="D121" i="1" a="1"/>
  <c r="D121" i="1" s="1"/>
  <c r="K121" i="1" s="1"/>
  <c r="D120" i="1" a="1"/>
  <c r="D120" i="1" s="1"/>
  <c r="K120" i="1" s="1"/>
  <c r="D119" i="1" a="1"/>
  <c r="D119" i="1" s="1"/>
  <c r="K119" i="1" s="1"/>
  <c r="D118" i="1" a="1"/>
  <c r="D118" i="1" s="1"/>
  <c r="K118" i="1" s="1"/>
  <c r="D117" i="1" a="1"/>
  <c r="D117" i="1" s="1"/>
  <c r="K117" i="1" s="1"/>
  <c r="D116" i="1" a="1"/>
  <c r="D116" i="1" s="1"/>
  <c r="K116" i="1" s="1"/>
  <c r="D115" i="1" a="1"/>
  <c r="D115" i="1" s="1"/>
  <c r="K115" i="1" s="1"/>
  <c r="D114" i="1" a="1"/>
  <c r="D114" i="1" s="1"/>
  <c r="K114" i="1" s="1"/>
  <c r="D113" i="1" a="1"/>
  <c r="D113" i="1" s="1"/>
  <c r="K113" i="1" s="1"/>
  <c r="D112" i="1" a="1"/>
  <c r="D112" i="1" s="1"/>
  <c r="K112" i="1" s="1"/>
  <c r="D111" i="1" a="1"/>
  <c r="D111" i="1" s="1"/>
  <c r="K111" i="1" s="1"/>
  <c r="D110" i="1" a="1"/>
  <c r="D110" i="1" s="1"/>
  <c r="K110" i="1" s="1"/>
  <c r="D109" i="1" a="1"/>
  <c r="D109" i="1" s="1"/>
  <c r="K109" i="1" s="1"/>
  <c r="D108" i="1" a="1"/>
  <c r="D108" i="1" s="1"/>
  <c r="K108" i="1" s="1"/>
  <c r="D107" i="1" a="1"/>
  <c r="D107" i="1" s="1"/>
  <c r="K107" i="1" s="1"/>
  <c r="D106" i="1" a="1"/>
  <c r="D106" i="1" s="1"/>
  <c r="K106" i="1" s="1"/>
  <c r="D105" i="1" a="1"/>
  <c r="D105" i="1" s="1"/>
  <c r="K105" i="1" s="1"/>
  <c r="D104" i="1" a="1"/>
  <c r="D104" i="1" s="1"/>
  <c r="K104" i="1" s="1"/>
  <c r="D103" i="1" a="1"/>
  <c r="D103" i="1" s="1"/>
  <c r="K103" i="1" s="1"/>
  <c r="D102" i="1" a="1"/>
  <c r="D102" i="1" s="1"/>
  <c r="K102" i="1" s="1"/>
  <c r="D101" i="1" a="1"/>
  <c r="D101" i="1" s="1"/>
  <c r="K101" i="1" s="1"/>
  <c r="D100" i="1" a="1"/>
  <c r="D100" i="1" s="1"/>
  <c r="K100" i="1" s="1"/>
  <c r="D99" i="1" a="1"/>
  <c r="D99" i="1" s="1"/>
  <c r="K99" i="1" s="1"/>
  <c r="D98" i="1" a="1"/>
  <c r="D98" i="1" s="1"/>
  <c r="K98" i="1" s="1"/>
  <c r="D97" i="1" a="1"/>
  <c r="D97" i="1" s="1"/>
  <c r="K97" i="1" s="1"/>
  <c r="D96" i="1" a="1"/>
  <c r="D96" i="1" s="1"/>
  <c r="K96" i="1" s="1"/>
  <c r="D95" i="1" a="1"/>
  <c r="D95" i="1" s="1"/>
  <c r="K95" i="1" s="1"/>
  <c r="D94" i="1" a="1"/>
  <c r="D94" i="1" s="1"/>
  <c r="K94" i="1" s="1"/>
  <c r="D93" i="1" a="1"/>
  <c r="D93" i="1" s="1"/>
  <c r="K93" i="1" s="1"/>
  <c r="D92" i="1" a="1"/>
  <c r="D92" i="1" s="1"/>
  <c r="K92" i="1" s="1"/>
  <c r="D91" i="1" a="1"/>
  <c r="D91" i="1" s="1"/>
  <c r="K91" i="1" s="1"/>
  <c r="D90" i="1" a="1"/>
  <c r="D90" i="1" s="1"/>
  <c r="K90" i="1" s="1"/>
  <c r="D89" i="1" a="1"/>
  <c r="D89" i="1" s="1"/>
  <c r="K89" i="1" s="1"/>
  <c r="D88" i="1" a="1"/>
  <c r="D88" i="1" s="1"/>
  <c r="K88" i="1" s="1"/>
  <c r="D87" i="1" a="1"/>
  <c r="D87" i="1" s="1"/>
  <c r="K87" i="1" s="1"/>
  <c r="D86" i="1" a="1"/>
  <c r="D86" i="1" s="1"/>
  <c r="K86" i="1" s="1"/>
  <c r="D85" i="1" a="1"/>
  <c r="D85" i="1" s="1"/>
  <c r="K85" i="1" s="1"/>
  <c r="D84" i="1" a="1"/>
  <c r="D84" i="1" s="1"/>
  <c r="K84" i="1" s="1"/>
  <c r="D83" i="1" a="1"/>
  <c r="D83" i="1" s="1"/>
  <c r="K83" i="1" s="1"/>
  <c r="D82" i="1" a="1"/>
  <c r="D82" i="1" s="1"/>
  <c r="K82" i="1" s="1"/>
  <c r="D81" i="1" a="1"/>
  <c r="D81" i="1" s="1"/>
  <c r="K81" i="1" s="1"/>
  <c r="D80" i="1" a="1"/>
  <c r="D80" i="1" s="1"/>
  <c r="K80" i="1" s="1"/>
  <c r="D79" i="1" a="1"/>
  <c r="D79" i="1" s="1"/>
  <c r="K79" i="1" s="1"/>
  <c r="D78" i="1" a="1"/>
  <c r="D78" i="1" s="1"/>
  <c r="K78" i="1" s="1"/>
  <c r="D77" i="1" a="1"/>
  <c r="D77" i="1" s="1"/>
  <c r="K77" i="1" s="1"/>
  <c r="D76" i="1" a="1"/>
  <c r="D76" i="1" s="1"/>
  <c r="K76" i="1" s="1"/>
  <c r="D75" i="1" a="1"/>
  <c r="D75" i="1" s="1"/>
  <c r="K75" i="1" s="1"/>
  <c r="D74" i="1" a="1"/>
  <c r="D74" i="1" s="1"/>
  <c r="K74" i="1" s="1"/>
  <c r="D73" i="1" a="1"/>
  <c r="D73" i="1" s="1"/>
  <c r="K73" i="1" s="1"/>
  <c r="D72" i="1" a="1"/>
  <c r="D72" i="1" s="1"/>
  <c r="K72" i="1" s="1"/>
  <c r="D71" i="1" a="1"/>
  <c r="D71" i="1" s="1"/>
  <c r="K71" i="1" s="1"/>
  <c r="D70" i="1" a="1"/>
  <c r="D70" i="1" s="1"/>
  <c r="K70" i="1" s="1"/>
  <c r="D69" i="1" a="1"/>
  <c r="D69" i="1" s="1"/>
  <c r="K69" i="1" s="1"/>
  <c r="D68" i="1" a="1"/>
  <c r="D68" i="1" s="1"/>
  <c r="K68" i="1" s="1"/>
  <c r="D67" i="1" a="1"/>
  <c r="D67" i="1" s="1"/>
  <c r="K67" i="1" s="1"/>
  <c r="D66" i="1" a="1"/>
  <c r="D66" i="1" s="1"/>
  <c r="K66" i="1" s="1"/>
  <c r="D65" i="1" a="1"/>
  <c r="D65" i="1" s="1"/>
  <c r="K65" i="1" s="1"/>
  <c r="D64" i="1" a="1"/>
  <c r="D64" i="1" s="1"/>
  <c r="K64" i="1" s="1"/>
  <c r="D63" i="1" a="1"/>
  <c r="D63" i="1" s="1"/>
  <c r="K63" i="1" s="1"/>
  <c r="D62" i="1" a="1"/>
  <c r="D62" i="1" s="1"/>
  <c r="K62" i="1" s="1"/>
  <c r="D61" i="1" a="1"/>
  <c r="D61" i="1" s="1"/>
  <c r="K61" i="1" s="1"/>
  <c r="D60" i="1" a="1"/>
  <c r="D60" i="1" s="1"/>
  <c r="K60" i="1" s="1"/>
  <c r="D59" i="1" a="1"/>
  <c r="D59" i="1" s="1"/>
  <c r="K59" i="1" s="1"/>
  <c r="D58" i="1" a="1"/>
  <c r="D58" i="1" s="1"/>
  <c r="K58" i="1" s="1"/>
  <c r="D57" i="1" a="1"/>
  <c r="D57" i="1" s="1"/>
  <c r="K57" i="1" s="1"/>
  <c r="D56" i="1" a="1"/>
  <c r="D56" i="1" s="1"/>
  <c r="K56" i="1" s="1"/>
  <c r="D55" i="1" a="1"/>
  <c r="D55" i="1" s="1"/>
  <c r="K55" i="1" s="1"/>
  <c r="D54" i="1" a="1"/>
  <c r="D54" i="1" s="1"/>
  <c r="K54" i="1" s="1"/>
  <c r="D53" i="1" a="1"/>
  <c r="D53" i="1" s="1"/>
  <c r="K53" i="1" s="1"/>
  <c r="D52" i="1" a="1"/>
  <c r="D52" i="1" s="1"/>
  <c r="K52" i="1" s="1"/>
  <c r="D51" i="1" a="1"/>
  <c r="D51" i="1" s="1"/>
  <c r="K51" i="1" s="1"/>
  <c r="D50" i="1" a="1"/>
  <c r="D50" i="1" s="1"/>
  <c r="K50" i="1" s="1"/>
  <c r="D49" i="1" a="1"/>
  <c r="D49" i="1" s="1"/>
  <c r="K49" i="1" s="1"/>
  <c r="D48" i="1" a="1"/>
  <c r="D48" i="1" s="1"/>
  <c r="K48" i="1" s="1"/>
  <c r="D47" i="1" a="1"/>
  <c r="D47" i="1" s="1"/>
  <c r="K47" i="1" s="1"/>
  <c r="D46" i="1" a="1"/>
  <c r="D46" i="1" s="1"/>
  <c r="K46" i="1" s="1"/>
  <c r="D45" i="1" a="1"/>
  <c r="D45" i="1" s="1"/>
  <c r="K45" i="1" s="1"/>
  <c r="D44" i="1" a="1"/>
  <c r="D44" i="1" s="1"/>
  <c r="K44" i="1" s="1"/>
  <c r="D43" i="1" a="1"/>
  <c r="D43" i="1" s="1"/>
  <c r="K43" i="1" s="1"/>
  <c r="D42" i="1" a="1"/>
  <c r="D42" i="1" s="1"/>
  <c r="K42" i="1" s="1"/>
  <c r="D41" i="1" a="1"/>
  <c r="D41" i="1" s="1"/>
  <c r="K41" i="1" s="1"/>
  <c r="D40" i="1" a="1"/>
  <c r="D40" i="1" s="1"/>
  <c r="K40" i="1" s="1"/>
  <c r="D39" i="1" a="1"/>
  <c r="D39" i="1" s="1"/>
  <c r="K39" i="1" s="1"/>
  <c r="D38" i="1" a="1"/>
  <c r="D38" i="1" s="1"/>
  <c r="K38" i="1" s="1"/>
  <c r="D37" i="1" a="1"/>
  <c r="D37" i="1" s="1"/>
  <c r="K37" i="1" s="1"/>
  <c r="D36" i="1" a="1"/>
  <c r="D36" i="1" s="1"/>
  <c r="K36" i="1" s="1"/>
  <c r="D35" i="1" a="1"/>
  <c r="D35" i="1" s="1"/>
  <c r="K35" i="1" s="1"/>
  <c r="D34" i="1" a="1"/>
  <c r="D34" i="1" s="1"/>
  <c r="K34" i="1" s="1"/>
  <c r="D33" i="1" a="1"/>
  <c r="D33" i="1" s="1"/>
  <c r="K33" i="1" s="1"/>
  <c r="D32" i="1" a="1"/>
  <c r="D32" i="1" s="1"/>
  <c r="K32" i="1" s="1"/>
  <c r="D31" i="1" a="1"/>
  <c r="D31" i="1" s="1"/>
  <c r="K31" i="1" s="1"/>
  <c r="D30" i="1" a="1"/>
  <c r="D30" i="1" s="1"/>
  <c r="K30" i="1" s="1"/>
  <c r="D29" i="1" a="1"/>
  <c r="D29" i="1" s="1"/>
  <c r="K29" i="1" s="1"/>
  <c r="D28" i="1" a="1"/>
  <c r="D28" i="1" s="1"/>
  <c r="K28" i="1" s="1"/>
  <c r="D27" i="1" a="1"/>
  <c r="D27" i="1" s="1"/>
  <c r="K27" i="1" s="1"/>
  <c r="D26" i="1" a="1"/>
  <c r="D26" i="1" s="1"/>
  <c r="K26" i="1" s="1"/>
  <c r="D25" i="1" a="1"/>
  <c r="D25" i="1" s="1"/>
  <c r="K25" i="1" s="1"/>
  <c r="D24" i="1" a="1"/>
  <c r="D24" i="1" s="1"/>
  <c r="K24" i="1" s="1"/>
  <c r="D23" i="1" a="1"/>
  <c r="D23" i="1" s="1"/>
  <c r="K23" i="1" s="1"/>
  <c r="D22" i="1" a="1"/>
  <c r="D22" i="1" s="1"/>
  <c r="K22" i="1" s="1"/>
  <c r="D21" i="1" a="1"/>
  <c r="D21" i="1" s="1"/>
  <c r="K21" i="1" s="1"/>
  <c r="D20" i="1" a="1"/>
  <c r="D20" i="1" s="1"/>
  <c r="K20" i="1" s="1"/>
  <c r="D19" i="1" a="1"/>
  <c r="D19" i="1" s="1"/>
  <c r="K19" i="1" s="1"/>
  <c r="D18" i="1" a="1"/>
  <c r="D18" i="1" s="1"/>
  <c r="K18" i="1" s="1"/>
  <c r="D17" i="1" a="1"/>
  <c r="D17" i="1" s="1"/>
  <c r="K17" i="1" s="1"/>
  <c r="D16" i="1" a="1"/>
  <c r="D16" i="1" s="1"/>
  <c r="K16" i="1" s="1"/>
  <c r="D15" i="1" a="1"/>
  <c r="D15" i="1" s="1"/>
  <c r="K15" i="1" s="1"/>
  <c r="D14" i="1" a="1"/>
  <c r="D14" i="1" s="1"/>
  <c r="K14" i="1" s="1"/>
  <c r="D13" i="1" a="1"/>
  <c r="D13" i="1" s="1"/>
  <c r="K13" i="1" s="1"/>
  <c r="D12" i="1" a="1"/>
  <c r="D12" i="1" s="1"/>
  <c r="K12" i="1" s="1"/>
  <c r="D11" i="1" a="1"/>
  <c r="D11" i="1" s="1"/>
  <c r="K11" i="1" s="1"/>
  <c r="D10" i="1" a="1"/>
  <c r="D10" i="1" s="1"/>
  <c r="K10" i="1" s="1"/>
  <c r="D9" i="1" a="1"/>
  <c r="D9" i="1" s="1"/>
  <c r="K9" i="1" s="1"/>
  <c r="D8" i="1" a="1"/>
  <c r="D8" i="1" s="1"/>
  <c r="K8" i="1" s="1"/>
  <c r="D7" i="1" a="1"/>
  <c r="D7" i="1" s="1"/>
  <c r="K7" i="1" s="1"/>
  <c r="D6" i="1" a="1"/>
  <c r="D6" i="1" s="1"/>
  <c r="K6" i="1" s="1"/>
  <c r="D5" i="1" a="1"/>
  <c r="D5" i="1" s="1"/>
  <c r="K5" i="1" s="1"/>
  <c r="D4" i="1" a="1"/>
  <c r="D4" i="1" s="1"/>
  <c r="K4" i="1" s="1"/>
  <c r="D3" i="1" a="1"/>
  <c r="D3" i="1" s="1"/>
  <c r="K3" i="1" s="1"/>
  <c r="D2" i="1" a="1"/>
  <c r="D2" i="1" s="1"/>
  <c r="K2" i="1" s="1"/>
  <c r="C493" i="1"/>
  <c r="C486" i="1"/>
  <c r="C488" i="1"/>
  <c r="C627" i="1"/>
  <c r="C412" i="1"/>
  <c r="C492" i="1"/>
  <c r="C491" i="1"/>
  <c r="C490" i="1"/>
  <c r="C626" i="1"/>
  <c r="C489" i="1"/>
  <c r="C625" i="1"/>
  <c r="C454" i="1"/>
  <c r="C624" i="1"/>
  <c r="C345" i="1"/>
  <c r="C623" i="1"/>
  <c r="C379" i="1"/>
  <c r="C622" i="1"/>
  <c r="C621" i="1"/>
  <c r="C393" i="1"/>
  <c r="C389" i="1"/>
  <c r="C326" i="1"/>
  <c r="C363" i="1"/>
  <c r="C380" i="1"/>
  <c r="C390" i="1"/>
  <c r="C251" i="1"/>
  <c r="C435" i="1"/>
  <c r="C471" i="1"/>
  <c r="C620" i="1"/>
  <c r="C320" i="1"/>
  <c r="C619" i="1"/>
  <c r="C618" i="1"/>
  <c r="C340" i="1"/>
  <c r="C172" i="1"/>
  <c r="C617" i="1"/>
  <c r="C304" i="1"/>
  <c r="C137" i="1"/>
  <c r="C116" i="1"/>
  <c r="C204" i="1"/>
  <c r="C317" i="1"/>
  <c r="C351" i="1"/>
  <c r="C264" i="1"/>
  <c r="C288" i="1"/>
  <c r="C616" i="1"/>
  <c r="C279" i="1"/>
  <c r="C387" i="1"/>
  <c r="C448" i="1"/>
  <c r="C221" i="1"/>
  <c r="C278" i="1"/>
  <c r="C615" i="1"/>
  <c r="C105" i="1"/>
  <c r="C138" i="1"/>
  <c r="C388" i="1"/>
  <c r="C322" i="1"/>
  <c r="C386" i="1"/>
  <c r="C110" i="1"/>
  <c r="C410" i="1"/>
  <c r="C72" i="1"/>
  <c r="C392" i="1"/>
  <c r="C611" i="1"/>
  <c r="C368" i="1"/>
  <c r="C119" i="1"/>
  <c r="C443" i="1"/>
  <c r="C500" i="1"/>
  <c r="C527" i="1"/>
  <c r="C608" i="1"/>
  <c r="C258" i="1"/>
  <c r="C463" i="1"/>
  <c r="C236" i="1"/>
  <c r="C68" i="1"/>
  <c r="C29" i="1"/>
  <c r="C96" i="1"/>
  <c r="C130" i="1"/>
  <c r="C239" i="1"/>
  <c r="C129" i="1"/>
  <c r="C344" i="1"/>
  <c r="C329" i="1"/>
  <c r="C353" i="1"/>
  <c r="C334" i="1"/>
  <c r="C354" i="1"/>
  <c r="C125" i="1"/>
  <c r="C80" i="1"/>
  <c r="C355" i="1"/>
  <c r="C228" i="1"/>
  <c r="C47" i="1"/>
  <c r="C168" i="1"/>
  <c r="C254" i="1"/>
  <c r="C245" i="1"/>
  <c r="C171" i="1"/>
  <c r="C346" i="1"/>
  <c r="C118" i="1"/>
  <c r="C205" i="1"/>
  <c r="C249" i="1"/>
  <c r="C276" i="1"/>
  <c r="C248" i="1"/>
  <c r="C297" i="1"/>
  <c r="C347" i="1"/>
  <c r="C366" i="1"/>
  <c r="C367" i="1"/>
  <c r="C263" i="1"/>
  <c r="C291" i="1"/>
  <c r="C352" i="1"/>
  <c r="C104" i="1"/>
  <c r="C210" i="1"/>
  <c r="C157" i="1"/>
  <c r="C325" i="1"/>
  <c r="C364" i="1"/>
  <c r="C333" i="1"/>
  <c r="C373" i="1"/>
  <c r="C391" i="1"/>
  <c r="C350" i="1"/>
  <c r="C411" i="1"/>
  <c r="C402" i="1"/>
  <c r="C90" i="1"/>
  <c r="C234" i="1"/>
  <c r="C256" i="1"/>
  <c r="C224" i="1"/>
  <c r="C207" i="1"/>
  <c r="C219" i="1"/>
  <c r="C83" i="1"/>
  <c r="C450" i="1"/>
  <c r="C143" i="1"/>
  <c r="C164" i="1"/>
  <c r="C305" i="1"/>
  <c r="C215" i="1"/>
  <c r="C292" i="1"/>
  <c r="C374" i="1"/>
  <c r="C103" i="1"/>
  <c r="C233" i="1"/>
  <c r="C484" i="1"/>
  <c r="C425" i="1"/>
  <c r="C423" i="1"/>
  <c r="C424" i="1"/>
  <c r="C383" i="1"/>
  <c r="C41" i="1"/>
  <c r="C42" i="1"/>
  <c r="C348" i="1"/>
  <c r="C370" i="1"/>
  <c r="C422" i="1"/>
  <c r="C328" i="1"/>
  <c r="C287" i="1"/>
  <c r="C237" i="1"/>
  <c r="C381" i="1"/>
  <c r="C286" i="1"/>
  <c r="C259" i="1"/>
  <c r="C199" i="1"/>
  <c r="C405" i="1"/>
  <c r="C6" i="1"/>
  <c r="C404" i="1"/>
  <c r="C319" i="1"/>
  <c r="C395" i="1"/>
  <c r="C385" i="1"/>
  <c r="C274" i="1"/>
  <c r="C341" i="1"/>
  <c r="C375" i="1"/>
  <c r="C167" i="1"/>
  <c r="C321" i="1"/>
  <c r="C253" i="1"/>
  <c r="C416" i="1"/>
  <c r="C255" i="1"/>
  <c r="C97" i="1"/>
  <c r="C401" i="1"/>
  <c r="C406" i="1"/>
  <c r="C146" i="1"/>
  <c r="C149" i="1"/>
  <c r="C465" i="1"/>
  <c r="C487" i="1"/>
  <c r="C399" i="1"/>
  <c r="C312" i="1"/>
  <c r="C66" i="1"/>
  <c r="C417" i="1"/>
  <c r="C605" i="1"/>
  <c r="C266" i="1"/>
  <c r="C186" i="1"/>
  <c r="C339" i="1"/>
  <c r="C294" i="1"/>
  <c r="C265" i="1"/>
  <c r="C496" i="1"/>
  <c r="C397" i="1"/>
  <c r="C604" i="1"/>
  <c r="C603" i="1"/>
  <c r="C436" i="1"/>
  <c r="C602" i="1"/>
  <c r="C192" i="1"/>
  <c r="C179" i="1"/>
  <c r="C601" i="1"/>
  <c r="C134" i="1"/>
  <c r="C202" i="1"/>
  <c r="C441" i="1"/>
  <c r="C40" i="1"/>
  <c r="C480" i="1"/>
  <c r="C477" i="1"/>
  <c r="C361" i="1"/>
  <c r="C358" i="1"/>
  <c r="C359" i="1"/>
  <c r="C360" i="1"/>
  <c r="C398" i="1"/>
  <c r="C195" i="1"/>
  <c r="C232" i="1"/>
  <c r="C5" i="1"/>
  <c r="C336" i="1"/>
  <c r="C349" i="1"/>
  <c r="C499" i="1"/>
  <c r="C261" i="1"/>
  <c r="C482" i="1"/>
  <c r="C408" i="1"/>
  <c r="C338" i="1"/>
  <c r="C296" i="1"/>
  <c r="C474" i="1"/>
  <c r="C420" i="1"/>
  <c r="C311" i="1"/>
  <c r="C498" i="1"/>
  <c r="C495" i="1"/>
  <c r="C497" i="1"/>
  <c r="C356" i="1"/>
  <c r="C318" i="1"/>
  <c r="C271" i="1"/>
  <c r="C600" i="1"/>
  <c r="C200" i="1"/>
  <c r="C478" i="1"/>
  <c r="C87" i="1"/>
  <c r="C165" i="1"/>
  <c r="C267" i="1"/>
  <c r="C599" i="1"/>
  <c r="C598" i="1"/>
  <c r="C365" i="1"/>
  <c r="C166" i="1"/>
  <c r="C270" i="1"/>
  <c r="C197" i="1"/>
  <c r="C295" i="1"/>
  <c r="C526" i="1"/>
  <c r="C418" i="1"/>
  <c r="C453" i="1"/>
  <c r="C525" i="1"/>
  <c r="C357" i="1"/>
  <c r="C112" i="1"/>
  <c r="C38" i="1"/>
  <c r="C446" i="1"/>
  <c r="C512" i="1"/>
  <c r="C122" i="1"/>
  <c r="C524" i="1"/>
  <c r="C107" i="1"/>
  <c r="C394" i="1"/>
  <c r="C597" i="1"/>
  <c r="C481" i="1"/>
  <c r="C332" i="1"/>
  <c r="C252" i="1"/>
  <c r="C272" i="1"/>
  <c r="C76" i="1"/>
  <c r="C472" i="1"/>
  <c r="C54" i="1"/>
  <c r="C438" i="1"/>
  <c r="C595" i="1"/>
  <c r="C102" i="1"/>
  <c r="C330" i="1"/>
  <c r="C369" i="1"/>
  <c r="C201" i="1"/>
  <c r="C59" i="1"/>
  <c r="C315" i="1"/>
  <c r="C447" i="1"/>
  <c r="C376" i="1"/>
  <c r="C594" i="1"/>
  <c r="C189" i="1"/>
  <c r="C458" i="1"/>
  <c r="C593" i="1"/>
  <c r="C431" i="1"/>
  <c r="C343" i="1"/>
  <c r="C246" i="1"/>
  <c r="C592" i="1"/>
  <c r="C229" i="1"/>
  <c r="C591" i="1"/>
  <c r="C377" i="1"/>
  <c r="C19" i="1"/>
  <c r="C75" i="1"/>
  <c r="C590" i="1"/>
  <c r="C396" i="1"/>
  <c r="C306" i="1"/>
  <c r="C57" i="1"/>
  <c r="C511" i="1"/>
  <c r="C589" i="1"/>
  <c r="C14" i="1"/>
  <c r="C588" i="1"/>
  <c r="C95" i="1"/>
  <c r="C310" i="1"/>
  <c r="C88" i="1"/>
  <c r="C587" i="1"/>
  <c r="C429" i="1"/>
  <c r="C216" i="1"/>
  <c r="C275" i="1"/>
  <c r="C483" i="1"/>
  <c r="C211" i="1"/>
  <c r="C586" i="1"/>
  <c r="C194" i="1"/>
  <c r="C433" i="1"/>
  <c r="C335" i="1"/>
  <c r="C362" i="1"/>
  <c r="C337" i="1"/>
  <c r="C378" i="1"/>
  <c r="C214" i="1"/>
  <c r="C473" i="1"/>
  <c r="C452" i="1"/>
  <c r="C283" i="1"/>
  <c r="C585" i="1"/>
  <c r="C52" i="1"/>
  <c r="C432" i="1"/>
  <c r="C45" i="1"/>
  <c r="C475" i="1"/>
  <c r="C281" i="1"/>
  <c r="C523" i="1"/>
  <c r="C415" i="1"/>
  <c r="C101" i="1"/>
  <c r="C60" i="1"/>
  <c r="C231" i="1"/>
  <c r="C74" i="1"/>
  <c r="C584" i="1"/>
  <c r="C583" i="1"/>
  <c r="C190" i="1"/>
  <c r="C67" i="1"/>
  <c r="C153" i="1"/>
  <c r="C308" i="1"/>
  <c r="C476" i="1"/>
  <c r="C371" i="1"/>
  <c r="C437" i="1"/>
  <c r="C85" i="1"/>
  <c r="C582" i="1"/>
  <c r="C313" i="1"/>
  <c r="C301" i="1"/>
  <c r="C581" i="1"/>
  <c r="C580" i="1"/>
  <c r="C160" i="1"/>
  <c r="C15" i="1"/>
  <c r="C372" i="1"/>
  <c r="C579" i="1"/>
  <c r="C578" i="1"/>
  <c r="C213" i="1"/>
  <c r="C577" i="1"/>
  <c r="C576" i="1"/>
  <c r="C518" i="1"/>
  <c r="C25" i="1"/>
  <c r="C4" i="1"/>
  <c r="C77" i="1"/>
  <c r="C48" i="1"/>
  <c r="C26" i="1"/>
  <c r="C510" i="1"/>
  <c r="C257" i="1"/>
  <c r="C155" i="1"/>
  <c r="C403" i="1"/>
  <c r="C120" i="1"/>
  <c r="C382" i="1"/>
  <c r="C459" i="1"/>
  <c r="C154" i="1"/>
  <c r="C70" i="1"/>
  <c r="C69" i="1"/>
  <c r="C140" i="1"/>
  <c r="C442" i="1"/>
  <c r="C44" i="1"/>
  <c r="C282" i="1"/>
  <c r="C151" i="1"/>
  <c r="C427" i="1"/>
  <c r="C158" i="1"/>
  <c r="C162" i="1"/>
  <c r="C218" i="1"/>
  <c r="C17" i="1"/>
  <c r="F627" i="1" l="1"/>
  <c r="P627" i="1" s="1"/>
  <c r="F626" i="1"/>
  <c r="P626" i="1" s="1"/>
  <c r="F625" i="1"/>
  <c r="P625" i="1" s="1"/>
  <c r="F624" i="1"/>
  <c r="P624" i="1" s="1"/>
  <c r="F623" i="1"/>
  <c r="P623" i="1" s="1"/>
  <c r="F622" i="1"/>
  <c r="P622" i="1" s="1"/>
  <c r="F621" i="1"/>
  <c r="P621" i="1" s="1"/>
  <c r="F620" i="1"/>
  <c r="P620" i="1" s="1"/>
  <c r="F619" i="1"/>
  <c r="P619" i="1" s="1"/>
  <c r="F618" i="1"/>
  <c r="P618" i="1" s="1"/>
  <c r="F617" i="1"/>
  <c r="P617" i="1" s="1"/>
  <c r="F616" i="1"/>
  <c r="P616" i="1" s="1"/>
  <c r="F615" i="1"/>
  <c r="P615" i="1" s="1"/>
  <c r="F614" i="1"/>
  <c r="P614" i="1" s="1"/>
  <c r="F613" i="1"/>
  <c r="P613" i="1" s="1"/>
  <c r="F612" i="1"/>
  <c r="P612" i="1" s="1"/>
  <c r="F611" i="1"/>
  <c r="P611" i="1" s="1"/>
  <c r="F610" i="1"/>
  <c r="P610" i="1" s="1"/>
  <c r="F609" i="1"/>
  <c r="P609" i="1" s="1"/>
  <c r="F608" i="1"/>
  <c r="P608" i="1" s="1"/>
  <c r="F607" i="1"/>
  <c r="P607" i="1" s="1"/>
  <c r="F606" i="1"/>
  <c r="P606" i="1" s="1"/>
  <c r="F605" i="1"/>
  <c r="P605" i="1" s="1"/>
  <c r="F604" i="1"/>
  <c r="P604" i="1" s="1"/>
  <c r="F603" i="1"/>
  <c r="P603" i="1" s="1"/>
  <c r="F602" i="1"/>
  <c r="P602" i="1" s="1"/>
  <c r="F601" i="1"/>
  <c r="P601" i="1" s="1"/>
  <c r="F600" i="1"/>
  <c r="P600" i="1" s="1"/>
  <c r="F599" i="1"/>
  <c r="P599" i="1" s="1"/>
  <c r="F598" i="1"/>
  <c r="P598" i="1" s="1"/>
  <c r="F597" i="1"/>
  <c r="P597" i="1" s="1"/>
  <c r="F596" i="1"/>
  <c r="P596" i="1" s="1"/>
  <c r="F595" i="1"/>
  <c r="P595" i="1" s="1"/>
  <c r="F594" i="1"/>
  <c r="P594" i="1" s="1"/>
  <c r="F593" i="1"/>
  <c r="P593" i="1" s="1"/>
  <c r="F592" i="1"/>
  <c r="P592" i="1" s="1"/>
  <c r="F591" i="1"/>
  <c r="P591" i="1" s="1"/>
  <c r="F590" i="1"/>
  <c r="P590" i="1" s="1"/>
  <c r="F589" i="1"/>
  <c r="P589" i="1" s="1"/>
  <c r="F588" i="1"/>
  <c r="P588" i="1" s="1"/>
  <c r="F587" i="1"/>
  <c r="P587" i="1" s="1"/>
  <c r="F586" i="1"/>
  <c r="P586" i="1" s="1"/>
  <c r="F585" i="1"/>
  <c r="P585" i="1" s="1"/>
  <c r="F584" i="1"/>
  <c r="P584" i="1" s="1"/>
  <c r="F583" i="1"/>
  <c r="P583" i="1" s="1"/>
  <c r="F582" i="1"/>
  <c r="P582" i="1" s="1"/>
  <c r="F581" i="1"/>
  <c r="P581" i="1" s="1"/>
  <c r="F580" i="1"/>
  <c r="P580" i="1" s="1"/>
  <c r="F579" i="1"/>
  <c r="P579" i="1" s="1"/>
  <c r="F578" i="1"/>
  <c r="P578" i="1" s="1"/>
  <c r="F577" i="1"/>
  <c r="P577" i="1" s="1"/>
  <c r="F576" i="1"/>
  <c r="P576" i="1" s="1"/>
  <c r="F575" i="1"/>
  <c r="P575" i="1" s="1"/>
  <c r="F574" i="1"/>
  <c r="P574" i="1" s="1"/>
  <c r="F573" i="1"/>
  <c r="P573" i="1" s="1"/>
  <c r="F572" i="1"/>
  <c r="P572" i="1" s="1"/>
  <c r="F571" i="1"/>
  <c r="P571" i="1" s="1"/>
  <c r="F570" i="1"/>
  <c r="P570" i="1" s="1"/>
  <c r="F569" i="1"/>
  <c r="P569" i="1" s="1"/>
  <c r="F568" i="1"/>
  <c r="P568" i="1" s="1"/>
  <c r="F567" i="1"/>
  <c r="P567" i="1" s="1"/>
  <c r="F566" i="1"/>
  <c r="P566" i="1" s="1"/>
  <c r="F565" i="1"/>
  <c r="P565" i="1" s="1"/>
  <c r="F564" i="1"/>
  <c r="P564" i="1" s="1"/>
  <c r="F563" i="1"/>
  <c r="P563" i="1" s="1"/>
  <c r="F562" i="1"/>
  <c r="P562" i="1" s="1"/>
  <c r="F561" i="1"/>
  <c r="P561" i="1" s="1"/>
  <c r="F560" i="1"/>
  <c r="P560" i="1" s="1"/>
  <c r="F559" i="1"/>
  <c r="P559" i="1" s="1"/>
  <c r="F558" i="1"/>
  <c r="P558" i="1" s="1"/>
  <c r="F557" i="1"/>
  <c r="P557" i="1" s="1"/>
  <c r="F556" i="1"/>
  <c r="P556" i="1" s="1"/>
  <c r="F555" i="1"/>
  <c r="P555" i="1" s="1"/>
  <c r="F554" i="1"/>
  <c r="P554" i="1" s="1"/>
  <c r="F553" i="1"/>
  <c r="P553" i="1" s="1"/>
  <c r="F552" i="1"/>
  <c r="P552" i="1" s="1"/>
  <c r="F551" i="1"/>
  <c r="P551" i="1" s="1"/>
  <c r="F550" i="1"/>
  <c r="P550" i="1" s="1"/>
  <c r="F549" i="1"/>
  <c r="P549" i="1" s="1"/>
  <c r="F548" i="1"/>
  <c r="P548" i="1" s="1"/>
  <c r="F547" i="1"/>
  <c r="P547" i="1" s="1"/>
  <c r="F546" i="1"/>
  <c r="P546" i="1" s="1"/>
  <c r="F545" i="1"/>
  <c r="P545" i="1" s="1"/>
  <c r="F544" i="1"/>
  <c r="P544" i="1" s="1"/>
  <c r="F543" i="1"/>
  <c r="P543" i="1" s="1"/>
  <c r="F542" i="1"/>
  <c r="P542" i="1" s="1"/>
  <c r="F541" i="1"/>
  <c r="P541" i="1" s="1"/>
  <c r="F540" i="1"/>
  <c r="P540" i="1" s="1"/>
  <c r="F539" i="1"/>
  <c r="P539" i="1" s="1"/>
  <c r="F538" i="1"/>
  <c r="P538" i="1" s="1"/>
  <c r="F537" i="1"/>
  <c r="P537" i="1" s="1"/>
  <c r="F536" i="1"/>
  <c r="P536" i="1" s="1"/>
  <c r="F535" i="1"/>
  <c r="P535" i="1" s="1"/>
  <c r="F534" i="1"/>
  <c r="P534" i="1" s="1"/>
  <c r="F533" i="1"/>
  <c r="P533" i="1" s="1"/>
  <c r="F532" i="1"/>
  <c r="P532" i="1" s="1"/>
  <c r="F531" i="1"/>
  <c r="P531" i="1" s="1"/>
  <c r="F530" i="1"/>
  <c r="P530" i="1" s="1"/>
  <c r="F529" i="1"/>
  <c r="P529" i="1" s="1"/>
  <c r="F528" i="1"/>
  <c r="P528" i="1" s="1"/>
  <c r="F527" i="1"/>
  <c r="P527" i="1" s="1"/>
  <c r="F526" i="1"/>
  <c r="P526" i="1" s="1"/>
  <c r="F525" i="1"/>
  <c r="P525" i="1" s="1"/>
  <c r="F524" i="1"/>
  <c r="P524" i="1" s="1"/>
  <c r="F523" i="1"/>
  <c r="P523" i="1" s="1"/>
  <c r="F522" i="1"/>
  <c r="P522" i="1" s="1"/>
  <c r="F521" i="1"/>
  <c r="P521" i="1" s="1"/>
  <c r="F520" i="1"/>
  <c r="P520" i="1" s="1"/>
  <c r="F519" i="1"/>
  <c r="P519" i="1" s="1"/>
  <c r="F518" i="1"/>
  <c r="P518" i="1" s="1"/>
  <c r="F517" i="1"/>
  <c r="P517" i="1" s="1"/>
  <c r="F516" i="1"/>
  <c r="P516" i="1" s="1"/>
  <c r="F515" i="1"/>
  <c r="P515" i="1" s="1"/>
  <c r="F514" i="1"/>
  <c r="P514" i="1" s="1"/>
  <c r="F513" i="1"/>
  <c r="P513" i="1" s="1"/>
  <c r="F512" i="1"/>
  <c r="P512" i="1" s="1"/>
  <c r="F511" i="1"/>
  <c r="P511" i="1" s="1"/>
  <c r="F510" i="1"/>
  <c r="P510" i="1" s="1"/>
  <c r="F509" i="1"/>
  <c r="P509" i="1" s="1"/>
  <c r="F508" i="1"/>
  <c r="P508" i="1" s="1"/>
  <c r="F507" i="1"/>
  <c r="P507" i="1" s="1"/>
  <c r="F506" i="1"/>
  <c r="P506" i="1" s="1"/>
  <c r="F505" i="1"/>
  <c r="P505" i="1" s="1"/>
  <c r="F504" i="1"/>
  <c r="P504" i="1" s="1"/>
  <c r="F503" i="1"/>
  <c r="P503" i="1" s="1"/>
  <c r="F502" i="1"/>
  <c r="P502" i="1" s="1"/>
  <c r="F501" i="1"/>
  <c r="P501" i="1" s="1"/>
  <c r="F500" i="1"/>
  <c r="P500" i="1" s="1"/>
  <c r="F499" i="1"/>
  <c r="P499" i="1" s="1"/>
  <c r="F498" i="1"/>
  <c r="P498" i="1" s="1"/>
  <c r="F497" i="1"/>
  <c r="P497" i="1" s="1"/>
  <c r="F496" i="1"/>
  <c r="P496" i="1" s="1"/>
  <c r="F495" i="1"/>
  <c r="P495" i="1" s="1"/>
  <c r="F494" i="1"/>
  <c r="P494" i="1" s="1"/>
  <c r="F493" i="1"/>
  <c r="P493" i="1" s="1"/>
  <c r="F492" i="1"/>
  <c r="P492" i="1" s="1"/>
  <c r="F491" i="1"/>
  <c r="P491" i="1" s="1"/>
  <c r="F490" i="1"/>
  <c r="P490" i="1" s="1"/>
  <c r="F489" i="1"/>
  <c r="P489" i="1" s="1"/>
  <c r="F488" i="1"/>
  <c r="P488" i="1" s="1"/>
  <c r="F487" i="1"/>
  <c r="P487" i="1" s="1"/>
  <c r="F486" i="1"/>
  <c r="P486" i="1" s="1"/>
  <c r="F485" i="1"/>
  <c r="P485" i="1" s="1"/>
  <c r="F484" i="1"/>
  <c r="P484" i="1" s="1"/>
  <c r="F483" i="1"/>
  <c r="P483" i="1" s="1"/>
  <c r="F482" i="1"/>
  <c r="P482" i="1" s="1"/>
  <c r="F481" i="1"/>
  <c r="P481" i="1" s="1"/>
  <c r="F480" i="1"/>
  <c r="P480" i="1" s="1"/>
  <c r="F479" i="1"/>
  <c r="P479" i="1" s="1"/>
  <c r="F478" i="1"/>
  <c r="P478" i="1" s="1"/>
  <c r="F477" i="1"/>
  <c r="P477" i="1" s="1"/>
  <c r="F476" i="1"/>
  <c r="P476" i="1" s="1"/>
  <c r="F475" i="1"/>
  <c r="P475" i="1" s="1"/>
  <c r="F474" i="1"/>
  <c r="P474" i="1" s="1"/>
  <c r="F473" i="1"/>
  <c r="P473" i="1" s="1"/>
  <c r="F472" i="1"/>
  <c r="P472" i="1" s="1"/>
  <c r="F471" i="1"/>
  <c r="P471" i="1" s="1"/>
  <c r="F470" i="1"/>
  <c r="P470" i="1" s="1"/>
  <c r="F469" i="1"/>
  <c r="P469" i="1" s="1"/>
  <c r="F468" i="1"/>
  <c r="P468" i="1" s="1"/>
  <c r="F467" i="1"/>
  <c r="P467" i="1" s="1"/>
  <c r="F466" i="1"/>
  <c r="P466" i="1" s="1"/>
  <c r="F465" i="1"/>
  <c r="P465" i="1" s="1"/>
  <c r="F464" i="1"/>
  <c r="P464" i="1" s="1"/>
  <c r="F463" i="1"/>
  <c r="P463" i="1" s="1"/>
  <c r="F462" i="1"/>
  <c r="P462" i="1" s="1"/>
  <c r="F461" i="1"/>
  <c r="P461" i="1" s="1"/>
  <c r="F460" i="1"/>
  <c r="P460" i="1" s="1"/>
  <c r="F459" i="1"/>
  <c r="P459" i="1" s="1"/>
  <c r="F458" i="1"/>
  <c r="P458" i="1" s="1"/>
  <c r="F457" i="1"/>
  <c r="P457" i="1" s="1"/>
  <c r="F456" i="1"/>
  <c r="P456" i="1" s="1"/>
  <c r="F455" i="1"/>
  <c r="P455" i="1" s="1"/>
  <c r="F454" i="1"/>
  <c r="P454" i="1" s="1"/>
  <c r="F453" i="1"/>
  <c r="P453" i="1" s="1"/>
  <c r="F452" i="1"/>
  <c r="P452" i="1" s="1"/>
  <c r="F451" i="1"/>
  <c r="P451" i="1" s="1"/>
  <c r="F450" i="1"/>
  <c r="P450" i="1" s="1"/>
  <c r="F449" i="1"/>
  <c r="P449" i="1" s="1"/>
  <c r="F448" i="1"/>
  <c r="P448" i="1" s="1"/>
  <c r="F447" i="1"/>
  <c r="P447" i="1" s="1"/>
  <c r="F446" i="1"/>
  <c r="P446" i="1" s="1"/>
  <c r="F445" i="1"/>
  <c r="P445" i="1" s="1"/>
  <c r="F444" i="1"/>
  <c r="P444" i="1" s="1"/>
  <c r="F443" i="1"/>
  <c r="P443" i="1" s="1"/>
  <c r="F442" i="1"/>
  <c r="P442" i="1" s="1"/>
  <c r="F441" i="1"/>
  <c r="P441" i="1" s="1"/>
  <c r="F440" i="1"/>
  <c r="P440" i="1" s="1"/>
  <c r="F439" i="1"/>
  <c r="P439" i="1" s="1"/>
  <c r="F438" i="1"/>
  <c r="P438" i="1" s="1"/>
  <c r="F437" i="1"/>
  <c r="P437" i="1" s="1"/>
  <c r="F436" i="1"/>
  <c r="P436" i="1" s="1"/>
  <c r="F435" i="1"/>
  <c r="P435" i="1" s="1"/>
  <c r="F434" i="1"/>
  <c r="P434" i="1" s="1"/>
  <c r="F433" i="1"/>
  <c r="P433" i="1" s="1"/>
  <c r="F432" i="1"/>
  <c r="P432" i="1" s="1"/>
  <c r="F431" i="1"/>
  <c r="P431" i="1" s="1"/>
  <c r="F430" i="1"/>
  <c r="P430" i="1" s="1"/>
  <c r="F429" i="1"/>
  <c r="P429" i="1" s="1"/>
  <c r="F428" i="1"/>
  <c r="P428" i="1" s="1"/>
  <c r="F427" i="1"/>
  <c r="P427" i="1" s="1"/>
  <c r="F426" i="1"/>
  <c r="P426" i="1" s="1"/>
  <c r="F425" i="1"/>
  <c r="P425" i="1" s="1"/>
  <c r="F424" i="1"/>
  <c r="P424" i="1" s="1"/>
  <c r="F423" i="1"/>
  <c r="P423" i="1" s="1"/>
  <c r="F422" i="1"/>
  <c r="P422" i="1" s="1"/>
  <c r="F421" i="1"/>
  <c r="P421" i="1" s="1"/>
  <c r="F420" i="1"/>
  <c r="P420" i="1" s="1"/>
  <c r="F419" i="1"/>
  <c r="P419" i="1" s="1"/>
  <c r="F418" i="1"/>
  <c r="P418" i="1" s="1"/>
  <c r="F417" i="1"/>
  <c r="P417" i="1" s="1"/>
  <c r="F416" i="1"/>
  <c r="P416" i="1" s="1"/>
  <c r="F415" i="1"/>
  <c r="P415" i="1" s="1"/>
  <c r="F414" i="1"/>
  <c r="P414" i="1" s="1"/>
  <c r="F413" i="1"/>
  <c r="P413" i="1" s="1"/>
  <c r="E627" i="1"/>
  <c r="O627" i="1" s="1"/>
  <c r="E626" i="1"/>
  <c r="O626" i="1" s="1"/>
  <c r="E625" i="1"/>
  <c r="O625" i="1" s="1"/>
  <c r="E624" i="1"/>
  <c r="O624" i="1" s="1"/>
  <c r="E623" i="1"/>
  <c r="O623" i="1" s="1"/>
  <c r="E622" i="1"/>
  <c r="O622" i="1" s="1"/>
  <c r="E621" i="1"/>
  <c r="O621" i="1" s="1"/>
  <c r="E620" i="1"/>
  <c r="O620" i="1" s="1"/>
  <c r="E619" i="1"/>
  <c r="O619" i="1" s="1"/>
  <c r="E618" i="1"/>
  <c r="O618" i="1" s="1"/>
  <c r="E617" i="1"/>
  <c r="O617" i="1" s="1"/>
  <c r="E616" i="1"/>
  <c r="O616" i="1" s="1"/>
  <c r="E615" i="1"/>
  <c r="O615" i="1" s="1"/>
  <c r="E614" i="1"/>
  <c r="O614" i="1" s="1"/>
  <c r="E613" i="1"/>
  <c r="O613" i="1" s="1"/>
  <c r="E612" i="1"/>
  <c r="O612" i="1" s="1"/>
  <c r="E611" i="1"/>
  <c r="O611" i="1" s="1"/>
  <c r="E610" i="1"/>
  <c r="O610" i="1" s="1"/>
  <c r="E609" i="1"/>
  <c r="O609" i="1" s="1"/>
  <c r="E608" i="1"/>
  <c r="O608" i="1" s="1"/>
  <c r="E607" i="1"/>
  <c r="O607" i="1" s="1"/>
  <c r="E606" i="1"/>
  <c r="O606" i="1" s="1"/>
  <c r="E605" i="1"/>
  <c r="O605" i="1" s="1"/>
  <c r="E604" i="1"/>
  <c r="O604" i="1" s="1"/>
  <c r="E603" i="1"/>
  <c r="O603" i="1" s="1"/>
  <c r="E602" i="1"/>
  <c r="O602" i="1" s="1"/>
  <c r="E601" i="1"/>
  <c r="O601" i="1" s="1"/>
  <c r="E600" i="1"/>
  <c r="O600" i="1" s="1"/>
  <c r="E599" i="1"/>
  <c r="O599" i="1" s="1"/>
  <c r="E598" i="1"/>
  <c r="O598" i="1" s="1"/>
  <c r="E597" i="1"/>
  <c r="O597" i="1" s="1"/>
  <c r="E596" i="1"/>
  <c r="O596" i="1" s="1"/>
  <c r="E595" i="1"/>
  <c r="O595" i="1" s="1"/>
  <c r="E594" i="1"/>
  <c r="O594" i="1" s="1"/>
  <c r="E593" i="1"/>
  <c r="O593" i="1" s="1"/>
  <c r="E592" i="1"/>
  <c r="O592" i="1" s="1"/>
  <c r="E591" i="1"/>
  <c r="O591" i="1" s="1"/>
  <c r="E590" i="1"/>
  <c r="O590" i="1" s="1"/>
  <c r="E589" i="1"/>
  <c r="O589" i="1" s="1"/>
  <c r="E588" i="1"/>
  <c r="O588" i="1" s="1"/>
  <c r="E587" i="1"/>
  <c r="O587" i="1" s="1"/>
  <c r="E586" i="1"/>
  <c r="O586" i="1" s="1"/>
  <c r="E585" i="1"/>
  <c r="O585" i="1" s="1"/>
  <c r="E584" i="1"/>
  <c r="O584" i="1" s="1"/>
  <c r="E583" i="1"/>
  <c r="O583" i="1" s="1"/>
  <c r="E582" i="1"/>
  <c r="O582" i="1" s="1"/>
  <c r="E581" i="1"/>
  <c r="O581" i="1" s="1"/>
  <c r="E580" i="1"/>
  <c r="O580" i="1" s="1"/>
  <c r="E579" i="1"/>
  <c r="O579" i="1" s="1"/>
  <c r="E578" i="1"/>
  <c r="O578" i="1" s="1"/>
  <c r="E577" i="1"/>
  <c r="O577" i="1" s="1"/>
  <c r="E576" i="1"/>
  <c r="O576" i="1" s="1"/>
  <c r="E575" i="1"/>
  <c r="O575" i="1" s="1"/>
  <c r="E574" i="1"/>
  <c r="O574" i="1" s="1"/>
  <c r="E573" i="1"/>
  <c r="O573" i="1" s="1"/>
  <c r="E572" i="1"/>
  <c r="O572" i="1" s="1"/>
  <c r="E571" i="1"/>
  <c r="O571" i="1" s="1"/>
  <c r="E570" i="1"/>
  <c r="O570" i="1" s="1"/>
  <c r="E569" i="1"/>
  <c r="O569" i="1" s="1"/>
  <c r="E568" i="1"/>
  <c r="O568" i="1" s="1"/>
  <c r="E567" i="1"/>
  <c r="O567" i="1" s="1"/>
  <c r="E566" i="1"/>
  <c r="O566" i="1" s="1"/>
  <c r="E565" i="1"/>
  <c r="O565" i="1" s="1"/>
  <c r="E564" i="1"/>
  <c r="O564" i="1" s="1"/>
  <c r="E563" i="1"/>
  <c r="O563" i="1" s="1"/>
  <c r="E562" i="1"/>
  <c r="O562" i="1" s="1"/>
  <c r="E561" i="1"/>
  <c r="O561" i="1" s="1"/>
  <c r="E560" i="1"/>
  <c r="O560" i="1" s="1"/>
  <c r="E559" i="1"/>
  <c r="O559" i="1" s="1"/>
  <c r="E558" i="1"/>
  <c r="O558" i="1" s="1"/>
  <c r="E557" i="1"/>
  <c r="O557" i="1" s="1"/>
  <c r="E556" i="1"/>
  <c r="O556" i="1" s="1"/>
  <c r="E555" i="1"/>
  <c r="O555" i="1" s="1"/>
  <c r="E554" i="1"/>
  <c r="O554" i="1" s="1"/>
  <c r="E553" i="1"/>
  <c r="O553" i="1" s="1"/>
  <c r="E552" i="1"/>
  <c r="O552" i="1" s="1"/>
  <c r="E551" i="1"/>
  <c r="O551" i="1" s="1"/>
  <c r="E550" i="1"/>
  <c r="O550" i="1" s="1"/>
  <c r="E549" i="1"/>
  <c r="O549" i="1" s="1"/>
  <c r="E548" i="1"/>
  <c r="O548" i="1" s="1"/>
  <c r="E547" i="1"/>
  <c r="O547" i="1" s="1"/>
  <c r="E546" i="1"/>
  <c r="O546" i="1" s="1"/>
  <c r="E545" i="1"/>
  <c r="O545" i="1" s="1"/>
  <c r="E544" i="1"/>
  <c r="O544" i="1" s="1"/>
  <c r="E543" i="1"/>
  <c r="O543" i="1" s="1"/>
  <c r="E542" i="1"/>
  <c r="O542" i="1" s="1"/>
  <c r="E541" i="1"/>
  <c r="O541" i="1" s="1"/>
  <c r="E540" i="1"/>
  <c r="O540" i="1" s="1"/>
  <c r="E539" i="1"/>
  <c r="O539" i="1" s="1"/>
  <c r="E538" i="1"/>
  <c r="O538" i="1" s="1"/>
  <c r="E537" i="1"/>
  <c r="O537" i="1" s="1"/>
  <c r="E536" i="1"/>
  <c r="O536" i="1" s="1"/>
  <c r="E535" i="1"/>
  <c r="O535" i="1" s="1"/>
  <c r="E534" i="1"/>
  <c r="O534" i="1" s="1"/>
  <c r="E533" i="1"/>
  <c r="O533" i="1" s="1"/>
  <c r="E532" i="1"/>
  <c r="O532" i="1" s="1"/>
  <c r="E531" i="1"/>
  <c r="O531" i="1" s="1"/>
  <c r="E530" i="1"/>
  <c r="O530" i="1" s="1"/>
  <c r="E529" i="1"/>
  <c r="O529" i="1" s="1"/>
  <c r="E528" i="1"/>
  <c r="O528" i="1" s="1"/>
  <c r="E527" i="1"/>
  <c r="O527" i="1" s="1"/>
  <c r="E526" i="1"/>
  <c r="O526" i="1" s="1"/>
  <c r="E525" i="1"/>
  <c r="O525" i="1" s="1"/>
  <c r="E524" i="1"/>
  <c r="O524" i="1" s="1"/>
  <c r="E523" i="1"/>
  <c r="O523" i="1" s="1"/>
  <c r="E522" i="1"/>
  <c r="O522" i="1" s="1"/>
  <c r="E521" i="1"/>
  <c r="O521" i="1" s="1"/>
  <c r="E520" i="1"/>
  <c r="O520" i="1" s="1"/>
  <c r="E519" i="1"/>
  <c r="O519" i="1" s="1"/>
  <c r="E518" i="1"/>
  <c r="O518" i="1" s="1"/>
  <c r="E517" i="1"/>
  <c r="O517" i="1" s="1"/>
  <c r="E516" i="1"/>
  <c r="O516" i="1" s="1"/>
  <c r="E515" i="1"/>
  <c r="O515" i="1" s="1"/>
  <c r="E514" i="1"/>
  <c r="O514" i="1" s="1"/>
  <c r="E513" i="1"/>
  <c r="O513" i="1" s="1"/>
  <c r="E512" i="1"/>
  <c r="O512" i="1" s="1"/>
  <c r="E511" i="1"/>
  <c r="O511" i="1" s="1"/>
  <c r="E510" i="1"/>
  <c r="O510" i="1" s="1"/>
  <c r="E509" i="1"/>
  <c r="O509" i="1" s="1"/>
  <c r="E508" i="1"/>
  <c r="O508" i="1" s="1"/>
  <c r="E507" i="1"/>
  <c r="O507" i="1" s="1"/>
  <c r="E506" i="1"/>
  <c r="O506" i="1" s="1"/>
  <c r="E505" i="1"/>
  <c r="O505" i="1" s="1"/>
  <c r="E504" i="1"/>
  <c r="O504" i="1" s="1"/>
  <c r="E503" i="1"/>
  <c r="O503" i="1" s="1"/>
  <c r="E502" i="1"/>
  <c r="O502" i="1" s="1"/>
  <c r="E501" i="1"/>
  <c r="O501" i="1" s="1"/>
  <c r="E500" i="1"/>
  <c r="O500" i="1" s="1"/>
  <c r="E499" i="1"/>
  <c r="O499" i="1" s="1"/>
  <c r="E498" i="1"/>
  <c r="O498" i="1" s="1"/>
  <c r="E497" i="1"/>
  <c r="O497" i="1" s="1"/>
  <c r="E496" i="1"/>
  <c r="O496" i="1" s="1"/>
  <c r="E495" i="1"/>
  <c r="O495" i="1" s="1"/>
  <c r="E494" i="1"/>
  <c r="O494" i="1" s="1"/>
  <c r="E493" i="1"/>
  <c r="O493" i="1" s="1"/>
  <c r="E492" i="1"/>
  <c r="O492" i="1" s="1"/>
  <c r="E491" i="1"/>
  <c r="O491" i="1" s="1"/>
  <c r="E490" i="1"/>
  <c r="O490" i="1" s="1"/>
  <c r="E489" i="1"/>
  <c r="O489" i="1" s="1"/>
  <c r="E488" i="1"/>
  <c r="O488" i="1" s="1"/>
  <c r="E487" i="1"/>
  <c r="O487" i="1" s="1"/>
  <c r="E486" i="1"/>
  <c r="O486" i="1" s="1"/>
  <c r="E485" i="1"/>
  <c r="O485" i="1" s="1"/>
  <c r="E484" i="1"/>
  <c r="O484" i="1" s="1"/>
  <c r="E483" i="1"/>
  <c r="O483" i="1" s="1"/>
  <c r="E482" i="1"/>
  <c r="O482" i="1" s="1"/>
  <c r="E481" i="1"/>
  <c r="O481" i="1" s="1"/>
  <c r="E480" i="1"/>
  <c r="O480" i="1" s="1"/>
  <c r="E479" i="1"/>
  <c r="O479" i="1" s="1"/>
  <c r="E478" i="1"/>
  <c r="O478" i="1" s="1"/>
  <c r="E477" i="1"/>
  <c r="O477" i="1" s="1"/>
  <c r="E476" i="1"/>
  <c r="O476" i="1" s="1"/>
  <c r="E475" i="1"/>
  <c r="O475" i="1" s="1"/>
  <c r="E474" i="1"/>
  <c r="O474" i="1" s="1"/>
  <c r="E473" i="1"/>
  <c r="O473" i="1" s="1"/>
  <c r="E472" i="1"/>
  <c r="O472" i="1" s="1"/>
  <c r="E471" i="1"/>
  <c r="O471" i="1" s="1"/>
  <c r="E470" i="1"/>
  <c r="O470" i="1" s="1"/>
  <c r="E469" i="1"/>
  <c r="O469" i="1" s="1"/>
  <c r="E468" i="1"/>
  <c r="O468" i="1" s="1"/>
  <c r="E467" i="1"/>
  <c r="O467" i="1" s="1"/>
  <c r="E466" i="1"/>
  <c r="O466" i="1" s="1"/>
  <c r="E465" i="1"/>
  <c r="O465" i="1" s="1"/>
  <c r="E464" i="1"/>
  <c r="O464" i="1" s="1"/>
  <c r="E463" i="1"/>
  <c r="O463" i="1" s="1"/>
  <c r="E462" i="1"/>
  <c r="O462" i="1" s="1"/>
  <c r="E461" i="1"/>
  <c r="O461" i="1" s="1"/>
  <c r="E460" i="1"/>
  <c r="O460" i="1" s="1"/>
  <c r="E459" i="1"/>
  <c r="O459" i="1" s="1"/>
  <c r="E458" i="1"/>
  <c r="O458" i="1" s="1"/>
  <c r="E457" i="1"/>
  <c r="O457" i="1" s="1"/>
  <c r="E456" i="1"/>
  <c r="O456" i="1" s="1"/>
  <c r="E455" i="1"/>
  <c r="O455" i="1" s="1"/>
  <c r="E454" i="1"/>
  <c r="O454" i="1" s="1"/>
  <c r="E453" i="1"/>
  <c r="O453" i="1" s="1"/>
  <c r="E452" i="1"/>
  <c r="O452" i="1" s="1"/>
  <c r="E451" i="1"/>
  <c r="O451" i="1" s="1"/>
  <c r="E450" i="1"/>
  <c r="O450" i="1" s="1"/>
  <c r="E449" i="1"/>
  <c r="O449" i="1" s="1"/>
  <c r="E448" i="1"/>
  <c r="O448" i="1" s="1"/>
  <c r="E447" i="1"/>
  <c r="O447" i="1" s="1"/>
  <c r="E446" i="1"/>
  <c r="O446" i="1" s="1"/>
  <c r="E445" i="1"/>
  <c r="O445" i="1" s="1"/>
  <c r="E444" i="1"/>
  <c r="O444" i="1" s="1"/>
  <c r="E443" i="1"/>
  <c r="O443" i="1" s="1"/>
  <c r="E442" i="1"/>
  <c r="O442" i="1" s="1"/>
  <c r="E441" i="1"/>
  <c r="O441" i="1" s="1"/>
  <c r="E440" i="1"/>
  <c r="O440" i="1" s="1"/>
  <c r="E439" i="1"/>
  <c r="O439" i="1" s="1"/>
  <c r="E438" i="1"/>
  <c r="O438" i="1" s="1"/>
  <c r="E437" i="1"/>
  <c r="O437" i="1" s="1"/>
  <c r="E436" i="1"/>
  <c r="O436" i="1" s="1"/>
  <c r="E435" i="1"/>
  <c r="O435" i="1" s="1"/>
  <c r="E434" i="1"/>
  <c r="O434" i="1" s="1"/>
  <c r="E433" i="1"/>
  <c r="O433" i="1" s="1"/>
  <c r="E432" i="1"/>
  <c r="O432" i="1" s="1"/>
  <c r="E431" i="1"/>
  <c r="O431" i="1" s="1"/>
  <c r="E430" i="1"/>
  <c r="O430" i="1" s="1"/>
  <c r="E429" i="1"/>
  <c r="O429" i="1" s="1"/>
  <c r="E428" i="1"/>
  <c r="O428" i="1" s="1"/>
  <c r="E427" i="1"/>
  <c r="O427" i="1" s="1"/>
  <c r="E426" i="1"/>
  <c r="O426" i="1" s="1"/>
  <c r="E425" i="1"/>
  <c r="O425" i="1" s="1"/>
  <c r="E424" i="1"/>
  <c r="O424" i="1" s="1"/>
  <c r="E423" i="1"/>
  <c r="O423" i="1" s="1"/>
  <c r="E422" i="1"/>
  <c r="O422" i="1" s="1"/>
  <c r="E421" i="1"/>
  <c r="O421" i="1" s="1"/>
  <c r="E420" i="1"/>
  <c r="O420" i="1" s="1"/>
  <c r="E419" i="1"/>
  <c r="O419" i="1" s="1"/>
  <c r="E418" i="1"/>
  <c r="O418" i="1" s="1"/>
  <c r="E417" i="1"/>
  <c r="O417" i="1" s="1"/>
  <c r="E416" i="1"/>
  <c r="O416" i="1" s="1"/>
  <c r="E415" i="1"/>
  <c r="O415" i="1" s="1"/>
  <c r="E414" i="1"/>
  <c r="O414" i="1" s="1"/>
  <c r="E413" i="1"/>
  <c r="O413" i="1" s="1"/>
  <c r="F412" i="1"/>
  <c r="P412" i="1" s="1"/>
  <c r="F411" i="1"/>
  <c r="P411" i="1" s="1"/>
  <c r="F410" i="1"/>
  <c r="P410" i="1" s="1"/>
  <c r="F409" i="1"/>
  <c r="P409" i="1" s="1"/>
  <c r="F408" i="1"/>
  <c r="P408" i="1" s="1"/>
  <c r="F407" i="1"/>
  <c r="P407" i="1" s="1"/>
  <c r="F406" i="1"/>
  <c r="P406" i="1" s="1"/>
  <c r="F405" i="1"/>
  <c r="P405" i="1" s="1"/>
  <c r="F404" i="1"/>
  <c r="P404" i="1" s="1"/>
  <c r="F403" i="1"/>
  <c r="P403" i="1" s="1"/>
  <c r="F402" i="1"/>
  <c r="P402" i="1" s="1"/>
  <c r="F401" i="1"/>
  <c r="P401" i="1" s="1"/>
  <c r="F400" i="1"/>
  <c r="P400" i="1" s="1"/>
  <c r="F399" i="1"/>
  <c r="P399" i="1" s="1"/>
  <c r="F398" i="1"/>
  <c r="P398" i="1" s="1"/>
  <c r="F397" i="1"/>
  <c r="P397" i="1" s="1"/>
  <c r="F396" i="1"/>
  <c r="P396" i="1" s="1"/>
  <c r="F395" i="1"/>
  <c r="P395" i="1" s="1"/>
  <c r="F394" i="1"/>
  <c r="P394" i="1" s="1"/>
  <c r="F393" i="1"/>
  <c r="P393" i="1" s="1"/>
  <c r="F392" i="1"/>
  <c r="P392" i="1" s="1"/>
  <c r="F391" i="1"/>
  <c r="P391" i="1" s="1"/>
  <c r="F390" i="1"/>
  <c r="P390" i="1" s="1"/>
  <c r="F389" i="1"/>
  <c r="P389" i="1" s="1"/>
  <c r="F388" i="1"/>
  <c r="P388" i="1" s="1"/>
  <c r="F387" i="1"/>
  <c r="P387" i="1" s="1"/>
  <c r="F386" i="1"/>
  <c r="P386" i="1" s="1"/>
  <c r="F385" i="1"/>
  <c r="P385" i="1" s="1"/>
  <c r="F384" i="1"/>
  <c r="P384" i="1" s="1"/>
  <c r="F383" i="1"/>
  <c r="P383" i="1" s="1"/>
  <c r="F382" i="1"/>
  <c r="P382" i="1" s="1"/>
  <c r="F381" i="1"/>
  <c r="P381" i="1" s="1"/>
  <c r="F380" i="1"/>
  <c r="P380" i="1" s="1"/>
  <c r="F379" i="1"/>
  <c r="P379" i="1" s="1"/>
  <c r="F378" i="1"/>
  <c r="P378" i="1" s="1"/>
  <c r="F377" i="1"/>
  <c r="P377" i="1" s="1"/>
  <c r="F376" i="1"/>
  <c r="P376" i="1" s="1"/>
  <c r="F375" i="1"/>
  <c r="P375" i="1" s="1"/>
  <c r="F374" i="1"/>
  <c r="P374" i="1" s="1"/>
  <c r="F373" i="1"/>
  <c r="P373" i="1" s="1"/>
  <c r="F372" i="1"/>
  <c r="P372" i="1" s="1"/>
  <c r="F371" i="1"/>
  <c r="P371" i="1" s="1"/>
  <c r="F370" i="1"/>
  <c r="P370" i="1" s="1"/>
  <c r="F369" i="1"/>
  <c r="P369" i="1" s="1"/>
  <c r="F368" i="1"/>
  <c r="P368" i="1" s="1"/>
  <c r="F367" i="1"/>
  <c r="P367" i="1" s="1"/>
  <c r="F366" i="1"/>
  <c r="P366" i="1" s="1"/>
  <c r="F365" i="1"/>
  <c r="P365" i="1" s="1"/>
  <c r="F364" i="1"/>
  <c r="P364" i="1" s="1"/>
  <c r="F363" i="1"/>
  <c r="P363" i="1" s="1"/>
  <c r="F362" i="1"/>
  <c r="P362" i="1" s="1"/>
  <c r="F361" i="1"/>
  <c r="P361" i="1" s="1"/>
  <c r="F360" i="1"/>
  <c r="P360" i="1" s="1"/>
  <c r="F359" i="1"/>
  <c r="P359" i="1" s="1"/>
  <c r="F358" i="1"/>
  <c r="P358" i="1" s="1"/>
  <c r="F357" i="1"/>
  <c r="P357" i="1" s="1"/>
  <c r="F356" i="1"/>
  <c r="P356" i="1" s="1"/>
  <c r="F355" i="1"/>
  <c r="P355" i="1" s="1"/>
  <c r="F354" i="1"/>
  <c r="P354" i="1" s="1"/>
  <c r="F353" i="1"/>
  <c r="P353" i="1" s="1"/>
  <c r="F352" i="1"/>
  <c r="P352" i="1" s="1"/>
  <c r="F351" i="1"/>
  <c r="P351" i="1" s="1"/>
  <c r="F350" i="1"/>
  <c r="P350" i="1" s="1"/>
  <c r="F349" i="1"/>
  <c r="P349" i="1" s="1"/>
  <c r="F348" i="1"/>
  <c r="P348" i="1" s="1"/>
  <c r="F347" i="1"/>
  <c r="P347" i="1" s="1"/>
  <c r="F346" i="1"/>
  <c r="P346" i="1" s="1"/>
  <c r="F345" i="1"/>
  <c r="P345" i="1" s="1"/>
  <c r="F344" i="1"/>
  <c r="P344" i="1" s="1"/>
  <c r="F343" i="1"/>
  <c r="P343" i="1" s="1"/>
  <c r="F342" i="1"/>
  <c r="P342" i="1" s="1"/>
  <c r="F341" i="1"/>
  <c r="P341" i="1" s="1"/>
  <c r="F340" i="1"/>
  <c r="P340" i="1" s="1"/>
  <c r="F339" i="1"/>
  <c r="P339" i="1" s="1"/>
  <c r="F338" i="1"/>
  <c r="P338" i="1" s="1"/>
  <c r="F337" i="1"/>
  <c r="P337" i="1" s="1"/>
  <c r="F336" i="1"/>
  <c r="P336" i="1" s="1"/>
  <c r="F335" i="1"/>
  <c r="P335" i="1" s="1"/>
  <c r="F334" i="1"/>
  <c r="P334" i="1" s="1"/>
  <c r="F333" i="1"/>
  <c r="P333" i="1" s="1"/>
  <c r="F332" i="1"/>
  <c r="P332" i="1" s="1"/>
  <c r="F331" i="1"/>
  <c r="P331" i="1" s="1"/>
  <c r="F330" i="1"/>
  <c r="P330" i="1" s="1"/>
  <c r="F329" i="1"/>
  <c r="P329" i="1" s="1"/>
  <c r="F328" i="1"/>
  <c r="P328" i="1" s="1"/>
  <c r="F327" i="1"/>
  <c r="P327" i="1" s="1"/>
  <c r="F326" i="1"/>
  <c r="P326" i="1" s="1"/>
  <c r="F325" i="1"/>
  <c r="P325" i="1" s="1"/>
  <c r="F324" i="1"/>
  <c r="P324" i="1" s="1"/>
  <c r="F323" i="1"/>
  <c r="P323" i="1" s="1"/>
  <c r="F322" i="1"/>
  <c r="P322" i="1" s="1"/>
  <c r="F321" i="1"/>
  <c r="P321" i="1" s="1"/>
  <c r="F320" i="1"/>
  <c r="P320" i="1" s="1"/>
  <c r="F319" i="1"/>
  <c r="P319" i="1" s="1"/>
  <c r="F318" i="1"/>
  <c r="P318" i="1" s="1"/>
  <c r="F317" i="1"/>
  <c r="P317" i="1" s="1"/>
  <c r="F316" i="1"/>
  <c r="P316" i="1" s="1"/>
  <c r="F315" i="1"/>
  <c r="P315" i="1" s="1"/>
  <c r="F314" i="1"/>
  <c r="P314" i="1" s="1"/>
  <c r="F313" i="1"/>
  <c r="P313" i="1" s="1"/>
  <c r="F312" i="1"/>
  <c r="P312" i="1" s="1"/>
  <c r="F311" i="1"/>
  <c r="P311" i="1" s="1"/>
  <c r="F310" i="1"/>
  <c r="P310" i="1" s="1"/>
  <c r="F309" i="1"/>
  <c r="P309" i="1" s="1"/>
  <c r="F308" i="1"/>
  <c r="P308" i="1" s="1"/>
  <c r="F307" i="1"/>
  <c r="P307" i="1" s="1"/>
  <c r="F306" i="1"/>
  <c r="P306" i="1" s="1"/>
  <c r="F305" i="1"/>
  <c r="P305" i="1" s="1"/>
  <c r="F304" i="1"/>
  <c r="P304" i="1" s="1"/>
  <c r="F303" i="1"/>
  <c r="P303" i="1" s="1"/>
  <c r="F302" i="1"/>
  <c r="P302" i="1" s="1"/>
  <c r="F301" i="1"/>
  <c r="P301" i="1" s="1"/>
  <c r="F300" i="1"/>
  <c r="P300" i="1" s="1"/>
  <c r="F299" i="1"/>
  <c r="P299" i="1" s="1"/>
  <c r="F298" i="1"/>
  <c r="P298" i="1" s="1"/>
  <c r="F297" i="1"/>
  <c r="P297" i="1" s="1"/>
  <c r="F296" i="1"/>
  <c r="P296" i="1" s="1"/>
  <c r="F295" i="1"/>
  <c r="P295" i="1" s="1"/>
  <c r="F294" i="1"/>
  <c r="P294" i="1" s="1"/>
  <c r="F293" i="1"/>
  <c r="P293" i="1" s="1"/>
  <c r="F292" i="1"/>
  <c r="P292" i="1" s="1"/>
  <c r="F291" i="1"/>
  <c r="P291" i="1" s="1"/>
  <c r="F290" i="1"/>
  <c r="P290" i="1" s="1"/>
  <c r="F289" i="1"/>
  <c r="P289" i="1" s="1"/>
  <c r="F288" i="1"/>
  <c r="P288" i="1" s="1"/>
  <c r="F287" i="1"/>
  <c r="P287" i="1" s="1"/>
  <c r="F286" i="1"/>
  <c r="P286" i="1" s="1"/>
  <c r="F285" i="1"/>
  <c r="P285" i="1" s="1"/>
  <c r="F284" i="1"/>
  <c r="P284" i="1" s="1"/>
  <c r="F283" i="1"/>
  <c r="P283" i="1" s="1"/>
  <c r="F282" i="1"/>
  <c r="P282" i="1" s="1"/>
  <c r="F281" i="1"/>
  <c r="P281" i="1" s="1"/>
  <c r="F280" i="1"/>
  <c r="P280" i="1" s="1"/>
  <c r="F279" i="1"/>
  <c r="P279" i="1" s="1"/>
  <c r="F278" i="1"/>
  <c r="P278" i="1" s="1"/>
  <c r="F277" i="1"/>
  <c r="P277" i="1" s="1"/>
  <c r="F276" i="1"/>
  <c r="P276" i="1" s="1"/>
  <c r="F275" i="1"/>
  <c r="P275" i="1" s="1"/>
  <c r="F274" i="1"/>
  <c r="P274" i="1" s="1"/>
  <c r="F273" i="1"/>
  <c r="P273" i="1" s="1"/>
  <c r="F272" i="1"/>
  <c r="P272" i="1" s="1"/>
  <c r="F271" i="1"/>
  <c r="P271" i="1" s="1"/>
  <c r="F270" i="1"/>
  <c r="P270" i="1" s="1"/>
  <c r="F269" i="1"/>
  <c r="P269" i="1" s="1"/>
  <c r="F268" i="1"/>
  <c r="P268" i="1" s="1"/>
  <c r="F267" i="1"/>
  <c r="P267" i="1" s="1"/>
  <c r="F266" i="1"/>
  <c r="P266" i="1" s="1"/>
  <c r="F265" i="1"/>
  <c r="P265" i="1" s="1"/>
  <c r="F264" i="1"/>
  <c r="P264" i="1" s="1"/>
  <c r="F263" i="1"/>
  <c r="P263" i="1" s="1"/>
  <c r="F262" i="1"/>
  <c r="P262" i="1" s="1"/>
  <c r="F261" i="1"/>
  <c r="P261" i="1" s="1"/>
  <c r="F260" i="1"/>
  <c r="P260" i="1" s="1"/>
  <c r="F259" i="1"/>
  <c r="P259" i="1" s="1"/>
  <c r="F258" i="1"/>
  <c r="P258" i="1" s="1"/>
  <c r="F257" i="1"/>
  <c r="P257" i="1" s="1"/>
  <c r="F256" i="1"/>
  <c r="P256" i="1" s="1"/>
  <c r="F255" i="1"/>
  <c r="P255" i="1" s="1"/>
  <c r="F254" i="1"/>
  <c r="P254" i="1" s="1"/>
  <c r="F253" i="1"/>
  <c r="P253" i="1" s="1"/>
  <c r="F252" i="1"/>
  <c r="P252" i="1" s="1"/>
  <c r="F251" i="1"/>
  <c r="P251" i="1" s="1"/>
  <c r="F250" i="1"/>
  <c r="P250" i="1" s="1"/>
  <c r="F249" i="1"/>
  <c r="P249" i="1" s="1"/>
  <c r="F248" i="1"/>
  <c r="P248" i="1" s="1"/>
  <c r="F247" i="1"/>
  <c r="P247" i="1" s="1"/>
  <c r="F246" i="1"/>
  <c r="P246" i="1" s="1"/>
  <c r="F245" i="1"/>
  <c r="P245" i="1" s="1"/>
  <c r="F244" i="1"/>
  <c r="P244" i="1" s="1"/>
  <c r="F243" i="1"/>
  <c r="P243" i="1" s="1"/>
  <c r="F242" i="1"/>
  <c r="P242" i="1" s="1"/>
  <c r="F241" i="1"/>
  <c r="P241" i="1" s="1"/>
  <c r="F240" i="1"/>
  <c r="P240" i="1" s="1"/>
  <c r="F239" i="1"/>
  <c r="P239" i="1" s="1"/>
  <c r="F238" i="1"/>
  <c r="P238" i="1" s="1"/>
  <c r="F237" i="1"/>
  <c r="P237" i="1" s="1"/>
  <c r="F236" i="1"/>
  <c r="P236" i="1" s="1"/>
  <c r="F235" i="1"/>
  <c r="P235" i="1" s="1"/>
  <c r="F234" i="1"/>
  <c r="P234" i="1" s="1"/>
  <c r="F233" i="1"/>
  <c r="P233" i="1" s="1"/>
  <c r="F232" i="1"/>
  <c r="P232" i="1" s="1"/>
  <c r="F231" i="1"/>
  <c r="P231" i="1" s="1"/>
  <c r="F230" i="1"/>
  <c r="P230" i="1" s="1"/>
  <c r="F229" i="1"/>
  <c r="P229" i="1" s="1"/>
  <c r="F228" i="1"/>
  <c r="P228" i="1" s="1"/>
  <c r="F227" i="1"/>
  <c r="P227" i="1" s="1"/>
  <c r="F226" i="1"/>
  <c r="P226" i="1" s="1"/>
  <c r="F225" i="1"/>
  <c r="P225" i="1" s="1"/>
  <c r="F224" i="1"/>
  <c r="P224" i="1" s="1"/>
  <c r="F223" i="1"/>
  <c r="P223" i="1" s="1"/>
  <c r="F222" i="1"/>
  <c r="P222" i="1" s="1"/>
  <c r="F221" i="1"/>
  <c r="P221" i="1" s="1"/>
  <c r="F220" i="1"/>
  <c r="P220" i="1" s="1"/>
  <c r="F219" i="1"/>
  <c r="P219" i="1" s="1"/>
  <c r="F218" i="1"/>
  <c r="P218" i="1" s="1"/>
  <c r="F217" i="1"/>
  <c r="P217" i="1" s="1"/>
  <c r="F216" i="1"/>
  <c r="P216" i="1" s="1"/>
  <c r="F215" i="1"/>
  <c r="P215" i="1" s="1"/>
  <c r="F214" i="1"/>
  <c r="P214" i="1" s="1"/>
  <c r="F213" i="1"/>
  <c r="P213" i="1" s="1"/>
  <c r="F212" i="1"/>
  <c r="P212" i="1" s="1"/>
  <c r="F211" i="1"/>
  <c r="P211" i="1" s="1"/>
  <c r="F210" i="1"/>
  <c r="P210" i="1" s="1"/>
  <c r="F209" i="1"/>
  <c r="P209" i="1" s="1"/>
  <c r="F208" i="1"/>
  <c r="P208" i="1" s="1"/>
  <c r="F207" i="1"/>
  <c r="P207" i="1" s="1"/>
  <c r="F206" i="1"/>
  <c r="P206" i="1" s="1"/>
  <c r="F205" i="1"/>
  <c r="P205" i="1" s="1"/>
  <c r="F204" i="1"/>
  <c r="P204" i="1" s="1"/>
  <c r="F203" i="1"/>
  <c r="P203" i="1" s="1"/>
  <c r="F202" i="1"/>
  <c r="P202" i="1" s="1"/>
  <c r="F201" i="1"/>
  <c r="P201" i="1" s="1"/>
  <c r="F200" i="1"/>
  <c r="P200" i="1" s="1"/>
  <c r="F199" i="1"/>
  <c r="P199" i="1" s="1"/>
  <c r="F198" i="1"/>
  <c r="P198" i="1" s="1"/>
  <c r="F197" i="1"/>
  <c r="P197" i="1" s="1"/>
  <c r="F196" i="1"/>
  <c r="P196" i="1" s="1"/>
  <c r="F195" i="1"/>
  <c r="P195" i="1" s="1"/>
  <c r="F194" i="1"/>
  <c r="P194" i="1" s="1"/>
  <c r="F193" i="1"/>
  <c r="P193" i="1" s="1"/>
  <c r="F192" i="1"/>
  <c r="P192" i="1" s="1"/>
  <c r="F191" i="1"/>
  <c r="P191" i="1" s="1"/>
  <c r="F190" i="1"/>
  <c r="P190" i="1" s="1"/>
  <c r="F189" i="1"/>
  <c r="P189" i="1" s="1"/>
  <c r="F188" i="1"/>
  <c r="P188" i="1" s="1"/>
  <c r="F187" i="1"/>
  <c r="P187" i="1" s="1"/>
  <c r="F186" i="1"/>
  <c r="P186" i="1" s="1"/>
  <c r="F185" i="1"/>
  <c r="P185" i="1" s="1"/>
  <c r="F184" i="1"/>
  <c r="P184" i="1" s="1"/>
  <c r="F183" i="1"/>
  <c r="P183" i="1" s="1"/>
  <c r="F182" i="1"/>
  <c r="P182" i="1" s="1"/>
  <c r="F181" i="1"/>
  <c r="P181" i="1" s="1"/>
  <c r="F180" i="1"/>
  <c r="P180" i="1" s="1"/>
  <c r="F179" i="1"/>
  <c r="P179" i="1" s="1"/>
  <c r="F178" i="1"/>
  <c r="P178" i="1" s="1"/>
  <c r="F177" i="1"/>
  <c r="P177" i="1" s="1"/>
  <c r="F176" i="1"/>
  <c r="P176" i="1" s="1"/>
  <c r="F175" i="1"/>
  <c r="P175" i="1" s="1"/>
  <c r="F174" i="1"/>
  <c r="P174" i="1" s="1"/>
  <c r="F173" i="1"/>
  <c r="P173" i="1" s="1"/>
  <c r="F172" i="1"/>
  <c r="P172" i="1" s="1"/>
  <c r="F171" i="1"/>
  <c r="P171" i="1" s="1"/>
  <c r="F170" i="1"/>
  <c r="P170" i="1" s="1"/>
  <c r="F169" i="1"/>
  <c r="P169" i="1" s="1"/>
  <c r="F168" i="1"/>
  <c r="P168" i="1" s="1"/>
  <c r="F167" i="1"/>
  <c r="P167" i="1" s="1"/>
  <c r="F166" i="1"/>
  <c r="P166" i="1" s="1"/>
  <c r="F165" i="1"/>
  <c r="P165" i="1" s="1"/>
  <c r="F164" i="1"/>
  <c r="P164" i="1" s="1"/>
  <c r="F163" i="1"/>
  <c r="P163" i="1" s="1"/>
  <c r="F162" i="1"/>
  <c r="P162" i="1" s="1"/>
  <c r="F161" i="1"/>
  <c r="P161" i="1" s="1"/>
  <c r="F160" i="1"/>
  <c r="P160" i="1" s="1"/>
  <c r="F159" i="1"/>
  <c r="P159" i="1" s="1"/>
  <c r="F158" i="1"/>
  <c r="P158" i="1" s="1"/>
  <c r="F157" i="1"/>
  <c r="P157" i="1" s="1"/>
  <c r="F156" i="1"/>
  <c r="P156" i="1" s="1"/>
  <c r="F155" i="1"/>
  <c r="P155" i="1" s="1"/>
  <c r="F154" i="1"/>
  <c r="P154" i="1" s="1"/>
  <c r="F153" i="1"/>
  <c r="P153" i="1" s="1"/>
  <c r="F152" i="1"/>
  <c r="P152" i="1" s="1"/>
  <c r="F151" i="1"/>
  <c r="P151" i="1" s="1"/>
  <c r="F150" i="1"/>
  <c r="P150" i="1" s="1"/>
  <c r="F149" i="1"/>
  <c r="P149" i="1" s="1"/>
  <c r="F148" i="1"/>
  <c r="P148" i="1" s="1"/>
  <c r="F147" i="1"/>
  <c r="P147" i="1" s="1"/>
  <c r="F146" i="1"/>
  <c r="P146" i="1" s="1"/>
  <c r="F145" i="1"/>
  <c r="P145" i="1" s="1"/>
  <c r="F144" i="1"/>
  <c r="P144" i="1" s="1"/>
  <c r="F143" i="1"/>
  <c r="P143" i="1" s="1"/>
  <c r="F142" i="1"/>
  <c r="P142" i="1" s="1"/>
  <c r="F141" i="1"/>
  <c r="P141" i="1" s="1"/>
  <c r="F140" i="1"/>
  <c r="P140" i="1" s="1"/>
  <c r="F139" i="1"/>
  <c r="P139" i="1" s="1"/>
  <c r="F138" i="1"/>
  <c r="P138" i="1" s="1"/>
  <c r="F137" i="1"/>
  <c r="P137" i="1" s="1"/>
  <c r="F136" i="1"/>
  <c r="P136" i="1" s="1"/>
  <c r="F135" i="1"/>
  <c r="P135" i="1" s="1"/>
  <c r="F134" i="1"/>
  <c r="P134" i="1" s="1"/>
  <c r="F133" i="1"/>
  <c r="P133" i="1" s="1"/>
  <c r="F132" i="1"/>
  <c r="P132" i="1" s="1"/>
  <c r="F131" i="1"/>
  <c r="P131" i="1" s="1"/>
  <c r="F130" i="1"/>
  <c r="P130" i="1" s="1"/>
  <c r="F129" i="1"/>
  <c r="P129" i="1" s="1"/>
  <c r="F128" i="1"/>
  <c r="P128" i="1" s="1"/>
  <c r="F127" i="1"/>
  <c r="P127" i="1" s="1"/>
  <c r="F126" i="1"/>
  <c r="P126" i="1" s="1"/>
  <c r="F125" i="1"/>
  <c r="P125" i="1" s="1"/>
  <c r="F124" i="1"/>
  <c r="P124" i="1" s="1"/>
  <c r="F123" i="1"/>
  <c r="P123" i="1" s="1"/>
  <c r="F122" i="1"/>
  <c r="P122" i="1" s="1"/>
  <c r="F121" i="1"/>
  <c r="P121" i="1" s="1"/>
  <c r="F120" i="1"/>
  <c r="P120" i="1" s="1"/>
  <c r="F119" i="1"/>
  <c r="P119" i="1" s="1"/>
  <c r="F118" i="1"/>
  <c r="P118" i="1" s="1"/>
  <c r="F117" i="1"/>
  <c r="P117" i="1" s="1"/>
  <c r="F116" i="1"/>
  <c r="P116" i="1" s="1"/>
  <c r="F115" i="1"/>
  <c r="P115" i="1" s="1"/>
  <c r="F114" i="1"/>
  <c r="P114" i="1" s="1"/>
  <c r="F113" i="1"/>
  <c r="P113" i="1" s="1"/>
  <c r="F112" i="1"/>
  <c r="P112" i="1" s="1"/>
  <c r="F111" i="1"/>
  <c r="P111" i="1" s="1"/>
  <c r="F110" i="1"/>
  <c r="P110" i="1" s="1"/>
  <c r="F109" i="1"/>
  <c r="P109" i="1" s="1"/>
  <c r="F108" i="1"/>
  <c r="P108" i="1" s="1"/>
  <c r="F107" i="1"/>
  <c r="P107" i="1" s="1"/>
  <c r="F106" i="1"/>
  <c r="P106" i="1" s="1"/>
  <c r="F105" i="1"/>
  <c r="P105" i="1" s="1"/>
  <c r="F104" i="1"/>
  <c r="P104" i="1" s="1"/>
  <c r="F103" i="1"/>
  <c r="P103" i="1" s="1"/>
  <c r="F102" i="1"/>
  <c r="P102" i="1" s="1"/>
  <c r="F101" i="1"/>
  <c r="P101" i="1" s="1"/>
  <c r="F100" i="1"/>
  <c r="P100" i="1" s="1"/>
  <c r="F99" i="1"/>
  <c r="P99" i="1" s="1"/>
  <c r="F98" i="1"/>
  <c r="P98" i="1" s="1"/>
  <c r="F97" i="1"/>
  <c r="P97" i="1" s="1"/>
  <c r="F96" i="1"/>
  <c r="P96" i="1" s="1"/>
  <c r="F95" i="1"/>
  <c r="P95" i="1" s="1"/>
  <c r="F94" i="1"/>
  <c r="P94" i="1" s="1"/>
  <c r="F93" i="1"/>
  <c r="P93" i="1" s="1"/>
  <c r="F92" i="1"/>
  <c r="P92" i="1" s="1"/>
  <c r="F91" i="1"/>
  <c r="P91" i="1" s="1"/>
  <c r="F90" i="1"/>
  <c r="P90" i="1" s="1"/>
  <c r="F89" i="1"/>
  <c r="P89" i="1" s="1"/>
  <c r="F88" i="1"/>
  <c r="P88" i="1" s="1"/>
  <c r="F87" i="1"/>
  <c r="P87" i="1" s="1"/>
  <c r="F86" i="1"/>
  <c r="P86" i="1" s="1"/>
  <c r="F85" i="1"/>
  <c r="P85" i="1" s="1"/>
  <c r="F84" i="1"/>
  <c r="P84" i="1" s="1"/>
  <c r="F83" i="1"/>
  <c r="P83" i="1" s="1"/>
  <c r="F82" i="1"/>
  <c r="P82" i="1" s="1"/>
  <c r="F81" i="1"/>
  <c r="P81" i="1" s="1"/>
  <c r="F80" i="1"/>
  <c r="P80" i="1" s="1"/>
  <c r="F79" i="1"/>
  <c r="P79" i="1" s="1"/>
  <c r="F78" i="1"/>
  <c r="P78" i="1" s="1"/>
  <c r="F77" i="1"/>
  <c r="P77" i="1" s="1"/>
  <c r="F76" i="1"/>
  <c r="P76" i="1" s="1"/>
  <c r="F75" i="1"/>
  <c r="P75" i="1" s="1"/>
  <c r="F74" i="1"/>
  <c r="P74" i="1" s="1"/>
  <c r="F73" i="1"/>
  <c r="P73" i="1" s="1"/>
  <c r="F72" i="1"/>
  <c r="P72" i="1" s="1"/>
  <c r="F71" i="1"/>
  <c r="P71" i="1" s="1"/>
  <c r="F70" i="1"/>
  <c r="P70" i="1" s="1"/>
  <c r="F69" i="1"/>
  <c r="P69" i="1" s="1"/>
  <c r="F68" i="1"/>
  <c r="P68" i="1" s="1"/>
  <c r="F67" i="1"/>
  <c r="P67" i="1" s="1"/>
  <c r="F66" i="1"/>
  <c r="P66" i="1" s="1"/>
  <c r="F65" i="1"/>
  <c r="P65" i="1" s="1"/>
  <c r="F64" i="1"/>
  <c r="P64" i="1" s="1"/>
  <c r="F63" i="1"/>
  <c r="P63" i="1" s="1"/>
  <c r="F62" i="1"/>
  <c r="P62" i="1" s="1"/>
  <c r="F61" i="1"/>
  <c r="P61" i="1" s="1"/>
  <c r="F60" i="1"/>
  <c r="P60" i="1" s="1"/>
  <c r="F59" i="1"/>
  <c r="P59" i="1" s="1"/>
  <c r="F58" i="1"/>
  <c r="P58" i="1" s="1"/>
  <c r="F57" i="1"/>
  <c r="P57" i="1" s="1"/>
  <c r="F56" i="1"/>
  <c r="P56" i="1" s="1"/>
  <c r="F55" i="1"/>
  <c r="P55" i="1" s="1"/>
  <c r="F54" i="1"/>
  <c r="P54" i="1" s="1"/>
  <c r="F53" i="1"/>
  <c r="P53" i="1" s="1"/>
  <c r="F52" i="1"/>
  <c r="P52" i="1" s="1"/>
  <c r="F51" i="1"/>
  <c r="P51" i="1" s="1"/>
  <c r="F50" i="1"/>
  <c r="P50" i="1" s="1"/>
  <c r="F49" i="1"/>
  <c r="P49" i="1" s="1"/>
  <c r="F48" i="1"/>
  <c r="P48" i="1" s="1"/>
  <c r="F47" i="1"/>
  <c r="P47" i="1" s="1"/>
  <c r="F46" i="1"/>
  <c r="P46" i="1" s="1"/>
  <c r="F45" i="1"/>
  <c r="P45" i="1" s="1"/>
  <c r="F44" i="1"/>
  <c r="P44" i="1" s="1"/>
  <c r="F43" i="1"/>
  <c r="P43" i="1" s="1"/>
  <c r="F42" i="1"/>
  <c r="P42" i="1" s="1"/>
  <c r="F41" i="1"/>
  <c r="P41" i="1" s="1"/>
  <c r="F40" i="1"/>
  <c r="P40" i="1" s="1"/>
  <c r="F39" i="1"/>
  <c r="P39" i="1" s="1"/>
  <c r="F38" i="1"/>
  <c r="P38" i="1" s="1"/>
  <c r="F37" i="1"/>
  <c r="P37" i="1" s="1"/>
  <c r="F36" i="1"/>
  <c r="P36" i="1" s="1"/>
  <c r="F35" i="1"/>
  <c r="P35" i="1" s="1"/>
  <c r="F34" i="1"/>
  <c r="P34" i="1" s="1"/>
  <c r="F33" i="1"/>
  <c r="P33" i="1" s="1"/>
  <c r="F32" i="1"/>
  <c r="P32" i="1" s="1"/>
  <c r="F31" i="1"/>
  <c r="P31" i="1" s="1"/>
  <c r="F30" i="1"/>
  <c r="P30" i="1" s="1"/>
  <c r="F29" i="1"/>
  <c r="P29" i="1" s="1"/>
  <c r="F28" i="1"/>
  <c r="P28" i="1" s="1"/>
  <c r="F27" i="1"/>
  <c r="P27" i="1" s="1"/>
  <c r="F26" i="1"/>
  <c r="P26" i="1" s="1"/>
  <c r="F25" i="1"/>
  <c r="P25" i="1" s="1"/>
  <c r="F24" i="1"/>
  <c r="P24" i="1" s="1"/>
  <c r="F23" i="1"/>
  <c r="P23" i="1" s="1"/>
  <c r="F22" i="1"/>
  <c r="P22" i="1" s="1"/>
  <c r="F21" i="1"/>
  <c r="P21" i="1" s="1"/>
  <c r="F20" i="1"/>
  <c r="P20" i="1" s="1"/>
  <c r="F19" i="1"/>
  <c r="P19" i="1" s="1"/>
  <c r="F18" i="1"/>
  <c r="P18" i="1" s="1"/>
  <c r="F17" i="1"/>
  <c r="P17" i="1" s="1"/>
  <c r="F16" i="1"/>
  <c r="P16" i="1" s="1"/>
  <c r="F15" i="1"/>
  <c r="P15" i="1" s="1"/>
  <c r="F14" i="1"/>
  <c r="P14" i="1" s="1"/>
  <c r="F13" i="1"/>
  <c r="P13" i="1" s="1"/>
  <c r="F12" i="1"/>
  <c r="P12" i="1" s="1"/>
  <c r="F11" i="1"/>
  <c r="P11" i="1" s="1"/>
  <c r="F10" i="1"/>
  <c r="P10" i="1" s="1"/>
  <c r="F9" i="1"/>
  <c r="P9" i="1" s="1"/>
  <c r="F8" i="1"/>
  <c r="P8" i="1" s="1"/>
  <c r="F7" i="1"/>
  <c r="P7" i="1" s="1"/>
  <c r="F6" i="1"/>
  <c r="P6" i="1" s="1"/>
  <c r="F5" i="1"/>
  <c r="P5" i="1" s="1"/>
  <c r="F4" i="1"/>
  <c r="P4" i="1" s="1"/>
  <c r="F2" i="1"/>
  <c r="P2" i="1" s="1"/>
  <c r="F3" i="1"/>
  <c r="P3" i="1" s="1"/>
  <c r="E412" i="1"/>
  <c r="O412" i="1" s="1"/>
  <c r="E411" i="1"/>
  <c r="O411" i="1" s="1"/>
  <c r="E410" i="1"/>
  <c r="O410" i="1" s="1"/>
  <c r="E409" i="1"/>
  <c r="O409" i="1" s="1"/>
  <c r="E408" i="1"/>
  <c r="O408" i="1" s="1"/>
  <c r="E407" i="1"/>
  <c r="O407" i="1" s="1"/>
  <c r="E406" i="1"/>
  <c r="O406" i="1" s="1"/>
  <c r="E405" i="1"/>
  <c r="O405" i="1" s="1"/>
  <c r="E404" i="1"/>
  <c r="O404" i="1" s="1"/>
  <c r="E403" i="1"/>
  <c r="O403" i="1" s="1"/>
  <c r="E402" i="1"/>
  <c r="O402" i="1" s="1"/>
  <c r="E401" i="1"/>
  <c r="O401" i="1" s="1"/>
  <c r="E400" i="1"/>
  <c r="O400" i="1" s="1"/>
  <c r="E399" i="1"/>
  <c r="O399" i="1" s="1"/>
  <c r="E398" i="1"/>
  <c r="O398" i="1" s="1"/>
  <c r="O397" i="1"/>
  <c r="E396" i="1"/>
  <c r="O396" i="1" s="1"/>
  <c r="E395" i="1"/>
  <c r="O395" i="1" s="1"/>
  <c r="E394" i="1"/>
  <c r="O394" i="1" s="1"/>
  <c r="E393" i="1"/>
  <c r="O393" i="1" s="1"/>
  <c r="E392" i="1"/>
  <c r="O392" i="1" s="1"/>
  <c r="E391" i="1"/>
  <c r="O391" i="1" s="1"/>
  <c r="E390" i="1"/>
  <c r="O390" i="1" s="1"/>
  <c r="E389" i="1"/>
  <c r="O389" i="1" s="1"/>
  <c r="E388" i="1"/>
  <c r="O388" i="1" s="1"/>
  <c r="E387" i="1"/>
  <c r="O387" i="1" s="1"/>
  <c r="E386" i="1"/>
  <c r="O386" i="1" s="1"/>
  <c r="E385" i="1"/>
  <c r="O385" i="1" s="1"/>
  <c r="E384" i="1"/>
  <c r="O384" i="1" s="1"/>
  <c r="E383" i="1"/>
  <c r="O383" i="1" s="1"/>
  <c r="E382" i="1"/>
  <c r="O382" i="1" s="1"/>
  <c r="E381" i="1"/>
  <c r="O381" i="1" s="1"/>
  <c r="E380" i="1"/>
  <c r="O380" i="1" s="1"/>
  <c r="E379" i="1"/>
  <c r="O379" i="1" s="1"/>
  <c r="E378" i="1"/>
  <c r="O378" i="1" s="1"/>
  <c r="E377" i="1"/>
  <c r="O377" i="1" s="1"/>
  <c r="E376" i="1"/>
  <c r="O376" i="1" s="1"/>
  <c r="E375" i="1"/>
  <c r="O375" i="1" s="1"/>
  <c r="E374" i="1"/>
  <c r="O374" i="1" s="1"/>
  <c r="E373" i="1"/>
  <c r="O373" i="1" s="1"/>
  <c r="E372" i="1"/>
  <c r="O372" i="1" s="1"/>
  <c r="E371" i="1"/>
  <c r="O371" i="1" s="1"/>
  <c r="E370" i="1"/>
  <c r="O370" i="1" s="1"/>
  <c r="E369" i="1"/>
  <c r="O369" i="1" s="1"/>
  <c r="E368" i="1"/>
  <c r="O368" i="1" s="1"/>
  <c r="E367" i="1"/>
  <c r="O367" i="1" s="1"/>
  <c r="E366" i="1"/>
  <c r="O366" i="1" s="1"/>
  <c r="E365" i="1"/>
  <c r="O365" i="1" s="1"/>
  <c r="E364" i="1"/>
  <c r="O364" i="1" s="1"/>
  <c r="E363" i="1"/>
  <c r="O363" i="1" s="1"/>
  <c r="E362" i="1"/>
  <c r="O362" i="1" s="1"/>
  <c r="E361" i="1"/>
  <c r="O361" i="1" s="1"/>
  <c r="E360" i="1"/>
  <c r="O360" i="1" s="1"/>
  <c r="E359" i="1"/>
  <c r="O359" i="1" s="1"/>
  <c r="E358" i="1"/>
  <c r="O358" i="1" s="1"/>
  <c r="E357" i="1"/>
  <c r="O357" i="1" s="1"/>
  <c r="E356" i="1"/>
  <c r="O356" i="1" s="1"/>
  <c r="E355" i="1"/>
  <c r="O355" i="1" s="1"/>
  <c r="E354" i="1"/>
  <c r="O354" i="1" s="1"/>
  <c r="E353" i="1"/>
  <c r="O353" i="1" s="1"/>
  <c r="E352" i="1"/>
  <c r="O352" i="1" s="1"/>
  <c r="E351" i="1"/>
  <c r="O351" i="1" s="1"/>
  <c r="E350" i="1"/>
  <c r="O350" i="1" s="1"/>
  <c r="E349" i="1"/>
  <c r="O349" i="1" s="1"/>
  <c r="E348" i="1"/>
  <c r="O348" i="1" s="1"/>
  <c r="E347" i="1"/>
  <c r="O347" i="1" s="1"/>
  <c r="E346" i="1"/>
  <c r="O346" i="1" s="1"/>
  <c r="E345" i="1"/>
  <c r="O345" i="1" s="1"/>
  <c r="E344" i="1"/>
  <c r="O344" i="1" s="1"/>
  <c r="E343" i="1"/>
  <c r="O343" i="1" s="1"/>
  <c r="E342" i="1"/>
  <c r="O342" i="1" s="1"/>
  <c r="E341" i="1"/>
  <c r="O341" i="1" s="1"/>
  <c r="E340" i="1"/>
  <c r="O340" i="1" s="1"/>
  <c r="E339" i="1"/>
  <c r="O339" i="1" s="1"/>
  <c r="E338" i="1"/>
  <c r="O338" i="1" s="1"/>
  <c r="E337" i="1"/>
  <c r="O337" i="1" s="1"/>
  <c r="E336" i="1"/>
  <c r="O336" i="1" s="1"/>
  <c r="E335" i="1"/>
  <c r="O335" i="1" s="1"/>
  <c r="E334" i="1"/>
  <c r="O334" i="1" s="1"/>
  <c r="E333" i="1"/>
  <c r="O333" i="1" s="1"/>
  <c r="E332" i="1"/>
  <c r="O332" i="1" s="1"/>
  <c r="E331" i="1"/>
  <c r="O331" i="1" s="1"/>
  <c r="E330" i="1"/>
  <c r="O330" i="1" s="1"/>
  <c r="E329" i="1"/>
  <c r="O329" i="1" s="1"/>
  <c r="E328" i="1"/>
  <c r="O328" i="1" s="1"/>
  <c r="E327" i="1"/>
  <c r="O327" i="1" s="1"/>
  <c r="E326" i="1"/>
  <c r="O326" i="1" s="1"/>
  <c r="E325" i="1"/>
  <c r="O325" i="1" s="1"/>
  <c r="E324" i="1"/>
  <c r="O324" i="1" s="1"/>
  <c r="E323" i="1"/>
  <c r="O323" i="1" s="1"/>
  <c r="E322" i="1"/>
  <c r="O322" i="1" s="1"/>
  <c r="E321" i="1"/>
  <c r="O321" i="1" s="1"/>
  <c r="E320" i="1"/>
  <c r="O320" i="1" s="1"/>
  <c r="E319" i="1"/>
  <c r="O319" i="1" s="1"/>
  <c r="E318" i="1"/>
  <c r="O318" i="1" s="1"/>
  <c r="E317" i="1"/>
  <c r="O317" i="1" s="1"/>
  <c r="E316" i="1"/>
  <c r="O316" i="1" s="1"/>
  <c r="E315" i="1"/>
  <c r="O315" i="1" s="1"/>
  <c r="E314" i="1"/>
  <c r="O314" i="1" s="1"/>
  <c r="E313" i="1"/>
  <c r="O313" i="1" s="1"/>
  <c r="E312" i="1"/>
  <c r="O312" i="1" s="1"/>
  <c r="E311" i="1"/>
  <c r="O311" i="1" s="1"/>
  <c r="E310" i="1"/>
  <c r="O310" i="1" s="1"/>
  <c r="E309" i="1"/>
  <c r="O309" i="1" s="1"/>
  <c r="E308" i="1"/>
  <c r="O308" i="1" s="1"/>
  <c r="E307" i="1"/>
  <c r="O307" i="1" s="1"/>
  <c r="E306" i="1"/>
  <c r="O306" i="1" s="1"/>
  <c r="E305" i="1"/>
  <c r="O305" i="1" s="1"/>
  <c r="E304" i="1"/>
  <c r="O304" i="1" s="1"/>
  <c r="E303" i="1"/>
  <c r="O303" i="1" s="1"/>
  <c r="E302" i="1"/>
  <c r="O302" i="1" s="1"/>
  <c r="E301" i="1"/>
  <c r="O301" i="1" s="1"/>
  <c r="E300" i="1"/>
  <c r="O300" i="1" s="1"/>
  <c r="E299" i="1"/>
  <c r="O299" i="1" s="1"/>
  <c r="E298" i="1"/>
  <c r="O298" i="1" s="1"/>
  <c r="E297" i="1"/>
  <c r="O297" i="1" s="1"/>
  <c r="E296" i="1"/>
  <c r="O296" i="1" s="1"/>
  <c r="E295" i="1"/>
  <c r="O295" i="1" s="1"/>
  <c r="E294" i="1"/>
  <c r="O294" i="1" s="1"/>
  <c r="E293" i="1"/>
  <c r="O293" i="1" s="1"/>
  <c r="E292" i="1"/>
  <c r="O292" i="1" s="1"/>
  <c r="E291" i="1"/>
  <c r="O291" i="1" s="1"/>
  <c r="E290" i="1"/>
  <c r="O290" i="1" s="1"/>
  <c r="E289" i="1"/>
  <c r="O289" i="1" s="1"/>
  <c r="E288" i="1"/>
  <c r="O288" i="1" s="1"/>
  <c r="E287" i="1"/>
  <c r="O287" i="1" s="1"/>
  <c r="E286" i="1"/>
  <c r="O286" i="1" s="1"/>
  <c r="E285" i="1"/>
  <c r="O285" i="1" s="1"/>
  <c r="E284" i="1"/>
  <c r="O284" i="1" s="1"/>
  <c r="E283" i="1"/>
  <c r="O283" i="1" s="1"/>
  <c r="E282" i="1"/>
  <c r="O282" i="1" s="1"/>
  <c r="E281" i="1"/>
  <c r="O281" i="1" s="1"/>
  <c r="E280" i="1"/>
  <c r="O280" i="1" s="1"/>
  <c r="E279" i="1"/>
  <c r="O279" i="1" s="1"/>
  <c r="E278" i="1"/>
  <c r="O278" i="1" s="1"/>
  <c r="E277" i="1"/>
  <c r="O277" i="1" s="1"/>
  <c r="E276" i="1"/>
  <c r="O276" i="1" s="1"/>
  <c r="E275" i="1"/>
  <c r="O275" i="1" s="1"/>
  <c r="E274" i="1"/>
  <c r="O274" i="1" s="1"/>
  <c r="E273" i="1"/>
  <c r="O273" i="1" s="1"/>
  <c r="E272" i="1"/>
  <c r="O272" i="1" s="1"/>
  <c r="E271" i="1"/>
  <c r="O271" i="1" s="1"/>
  <c r="E270" i="1"/>
  <c r="O270" i="1" s="1"/>
  <c r="E269" i="1"/>
  <c r="O269" i="1" s="1"/>
  <c r="E268" i="1"/>
  <c r="O268" i="1" s="1"/>
  <c r="E267" i="1"/>
  <c r="O267" i="1" s="1"/>
  <c r="E266" i="1"/>
  <c r="O266" i="1" s="1"/>
  <c r="E265" i="1"/>
  <c r="O265" i="1" s="1"/>
  <c r="E264" i="1"/>
  <c r="O264" i="1" s="1"/>
  <c r="E263" i="1"/>
  <c r="O263" i="1" s="1"/>
  <c r="E262" i="1"/>
  <c r="O262" i="1" s="1"/>
  <c r="E261" i="1"/>
  <c r="O261" i="1" s="1"/>
  <c r="E260" i="1"/>
  <c r="O260" i="1" s="1"/>
  <c r="E259" i="1"/>
  <c r="O259" i="1" s="1"/>
  <c r="E258" i="1"/>
  <c r="O258" i="1" s="1"/>
  <c r="E257" i="1"/>
  <c r="O257" i="1" s="1"/>
  <c r="E256" i="1"/>
  <c r="O256" i="1" s="1"/>
  <c r="E255" i="1"/>
  <c r="O255" i="1" s="1"/>
  <c r="E254" i="1"/>
  <c r="O254" i="1" s="1"/>
  <c r="E253" i="1"/>
  <c r="O253" i="1" s="1"/>
  <c r="E252" i="1"/>
  <c r="O252" i="1" s="1"/>
  <c r="E251" i="1"/>
  <c r="O251" i="1" s="1"/>
  <c r="E250" i="1"/>
  <c r="O250" i="1" s="1"/>
  <c r="E249" i="1"/>
  <c r="O249" i="1" s="1"/>
  <c r="E248" i="1"/>
  <c r="O248" i="1" s="1"/>
  <c r="E247" i="1"/>
  <c r="O247" i="1" s="1"/>
  <c r="E246" i="1"/>
  <c r="O246" i="1" s="1"/>
  <c r="E245" i="1"/>
  <c r="O245" i="1" s="1"/>
  <c r="E244" i="1"/>
  <c r="O244" i="1" s="1"/>
  <c r="E243" i="1"/>
  <c r="O243" i="1" s="1"/>
  <c r="E242" i="1"/>
  <c r="O242" i="1" s="1"/>
  <c r="E241" i="1"/>
  <c r="O241" i="1" s="1"/>
  <c r="E240" i="1"/>
  <c r="O240" i="1" s="1"/>
  <c r="E239" i="1"/>
  <c r="O239" i="1" s="1"/>
  <c r="E238" i="1"/>
  <c r="O238" i="1" s="1"/>
  <c r="E237" i="1"/>
  <c r="O237" i="1" s="1"/>
  <c r="E236" i="1"/>
  <c r="O236" i="1" s="1"/>
  <c r="E235" i="1"/>
  <c r="O235" i="1" s="1"/>
  <c r="E234" i="1"/>
  <c r="O234" i="1" s="1"/>
  <c r="E233" i="1"/>
  <c r="O233" i="1" s="1"/>
  <c r="E232" i="1"/>
  <c r="O232" i="1" s="1"/>
  <c r="E231" i="1"/>
  <c r="O231" i="1" s="1"/>
  <c r="E230" i="1"/>
  <c r="O230" i="1" s="1"/>
  <c r="E229" i="1"/>
  <c r="O229" i="1" s="1"/>
  <c r="E228" i="1"/>
  <c r="O228" i="1" s="1"/>
  <c r="E227" i="1"/>
  <c r="O227" i="1" s="1"/>
  <c r="E226" i="1"/>
  <c r="O226" i="1" s="1"/>
  <c r="E225" i="1"/>
  <c r="O225" i="1" s="1"/>
  <c r="E224" i="1"/>
  <c r="O224" i="1" s="1"/>
  <c r="E223" i="1"/>
  <c r="O223" i="1" s="1"/>
  <c r="E222" i="1"/>
  <c r="O222" i="1" s="1"/>
  <c r="E221" i="1"/>
  <c r="O221" i="1" s="1"/>
  <c r="E220" i="1"/>
  <c r="O220" i="1" s="1"/>
  <c r="E219" i="1"/>
  <c r="O219" i="1" s="1"/>
  <c r="E218" i="1"/>
  <c r="O218" i="1" s="1"/>
  <c r="E217" i="1"/>
  <c r="O217" i="1" s="1"/>
  <c r="E216" i="1"/>
  <c r="O216" i="1" s="1"/>
  <c r="E215" i="1"/>
  <c r="O215" i="1" s="1"/>
  <c r="E214" i="1"/>
  <c r="O214" i="1" s="1"/>
  <c r="E213" i="1"/>
  <c r="O213" i="1" s="1"/>
  <c r="E212" i="1"/>
  <c r="O212" i="1" s="1"/>
  <c r="E211" i="1"/>
  <c r="O211" i="1" s="1"/>
  <c r="E210" i="1"/>
  <c r="O210" i="1" s="1"/>
  <c r="E209" i="1"/>
  <c r="O209" i="1" s="1"/>
  <c r="E208" i="1"/>
  <c r="O208" i="1" s="1"/>
  <c r="E207" i="1"/>
  <c r="O207" i="1" s="1"/>
  <c r="E206" i="1"/>
  <c r="O206" i="1" s="1"/>
  <c r="E205" i="1"/>
  <c r="O205" i="1" s="1"/>
  <c r="E204" i="1"/>
  <c r="O204" i="1" s="1"/>
  <c r="E203" i="1"/>
  <c r="O203" i="1" s="1"/>
  <c r="E202" i="1"/>
  <c r="O202" i="1" s="1"/>
  <c r="E201" i="1"/>
  <c r="O201" i="1" s="1"/>
  <c r="E200" i="1"/>
  <c r="O200" i="1" s="1"/>
  <c r="E199" i="1"/>
  <c r="O199" i="1" s="1"/>
  <c r="E198" i="1"/>
  <c r="O198" i="1" s="1"/>
  <c r="E197" i="1"/>
  <c r="O197" i="1" s="1"/>
  <c r="E196" i="1"/>
  <c r="O196" i="1" s="1"/>
  <c r="E195" i="1"/>
  <c r="O195" i="1" s="1"/>
  <c r="E194" i="1"/>
  <c r="O194" i="1" s="1"/>
  <c r="E193" i="1"/>
  <c r="O193" i="1" s="1"/>
  <c r="E192" i="1"/>
  <c r="O192" i="1" s="1"/>
  <c r="E191" i="1"/>
  <c r="O191" i="1" s="1"/>
  <c r="E190" i="1"/>
  <c r="O190" i="1" s="1"/>
  <c r="E189" i="1"/>
  <c r="O189" i="1" s="1"/>
  <c r="E188" i="1"/>
  <c r="O188" i="1" s="1"/>
  <c r="E187" i="1"/>
  <c r="O187" i="1" s="1"/>
  <c r="E186" i="1"/>
  <c r="O186" i="1" s="1"/>
  <c r="E185" i="1"/>
  <c r="O185" i="1" s="1"/>
  <c r="E184" i="1"/>
  <c r="O184" i="1" s="1"/>
  <c r="E183" i="1"/>
  <c r="O183" i="1" s="1"/>
  <c r="E182" i="1"/>
  <c r="O182" i="1" s="1"/>
  <c r="E181" i="1"/>
  <c r="O181" i="1" s="1"/>
  <c r="E180" i="1"/>
  <c r="O180" i="1" s="1"/>
  <c r="E179" i="1"/>
  <c r="O179" i="1" s="1"/>
  <c r="E178" i="1"/>
  <c r="O178" i="1" s="1"/>
  <c r="E177" i="1"/>
  <c r="O177" i="1" s="1"/>
  <c r="E176" i="1"/>
  <c r="O176" i="1" s="1"/>
  <c r="E175" i="1"/>
  <c r="O175" i="1" s="1"/>
  <c r="E174" i="1"/>
  <c r="O174" i="1" s="1"/>
  <c r="E173" i="1"/>
  <c r="O173" i="1" s="1"/>
  <c r="E172" i="1"/>
  <c r="O172" i="1" s="1"/>
  <c r="E171" i="1"/>
  <c r="O171" i="1" s="1"/>
  <c r="E170" i="1"/>
  <c r="O170" i="1" s="1"/>
  <c r="E169" i="1"/>
  <c r="O169" i="1" s="1"/>
  <c r="E168" i="1"/>
  <c r="O168" i="1" s="1"/>
  <c r="E167" i="1"/>
  <c r="O167" i="1" s="1"/>
  <c r="E166" i="1"/>
  <c r="O166" i="1" s="1"/>
  <c r="E165" i="1"/>
  <c r="O165" i="1" s="1"/>
  <c r="E164" i="1"/>
  <c r="O164" i="1" s="1"/>
  <c r="E163" i="1"/>
  <c r="O163" i="1" s="1"/>
  <c r="E162" i="1"/>
  <c r="O162" i="1" s="1"/>
  <c r="E161" i="1"/>
  <c r="O161" i="1" s="1"/>
  <c r="E160" i="1"/>
  <c r="O160" i="1" s="1"/>
  <c r="E159" i="1"/>
  <c r="O159" i="1" s="1"/>
  <c r="E158" i="1"/>
  <c r="O158" i="1" s="1"/>
  <c r="E157" i="1"/>
  <c r="O157" i="1" s="1"/>
  <c r="E156" i="1"/>
  <c r="O156" i="1" s="1"/>
  <c r="E155" i="1"/>
  <c r="O155" i="1" s="1"/>
  <c r="E154" i="1"/>
  <c r="O154" i="1" s="1"/>
  <c r="E153" i="1"/>
  <c r="O153" i="1" s="1"/>
  <c r="E152" i="1"/>
  <c r="O152" i="1" s="1"/>
  <c r="E151" i="1"/>
  <c r="O151" i="1" s="1"/>
  <c r="E150" i="1"/>
  <c r="O150" i="1" s="1"/>
  <c r="E149" i="1"/>
  <c r="O149" i="1" s="1"/>
  <c r="E148" i="1"/>
  <c r="O148" i="1" s="1"/>
  <c r="E147" i="1"/>
  <c r="O147" i="1" s="1"/>
  <c r="E146" i="1"/>
  <c r="O146" i="1" s="1"/>
  <c r="E145" i="1"/>
  <c r="O145" i="1" s="1"/>
  <c r="E144" i="1"/>
  <c r="O144" i="1" s="1"/>
  <c r="E143" i="1"/>
  <c r="O143" i="1" s="1"/>
  <c r="E142" i="1"/>
  <c r="O142" i="1" s="1"/>
  <c r="E141" i="1"/>
  <c r="O141" i="1" s="1"/>
  <c r="E140" i="1"/>
  <c r="O140" i="1" s="1"/>
  <c r="E139" i="1"/>
  <c r="O139" i="1" s="1"/>
  <c r="E138" i="1"/>
  <c r="O138" i="1" s="1"/>
  <c r="E137" i="1"/>
  <c r="O137" i="1" s="1"/>
  <c r="E136" i="1"/>
  <c r="O136" i="1" s="1"/>
  <c r="E135" i="1"/>
  <c r="O135" i="1" s="1"/>
  <c r="E134" i="1"/>
  <c r="O134" i="1" s="1"/>
  <c r="E133" i="1"/>
  <c r="O133" i="1" s="1"/>
  <c r="E132" i="1"/>
  <c r="O132" i="1" s="1"/>
  <c r="E131" i="1"/>
  <c r="O131" i="1" s="1"/>
  <c r="E130" i="1"/>
  <c r="O130" i="1" s="1"/>
  <c r="E129" i="1"/>
  <c r="O129" i="1" s="1"/>
  <c r="E128" i="1"/>
  <c r="O128" i="1" s="1"/>
  <c r="E127" i="1"/>
  <c r="O127" i="1" s="1"/>
  <c r="E126" i="1"/>
  <c r="O126" i="1" s="1"/>
  <c r="E125" i="1"/>
  <c r="O125" i="1" s="1"/>
  <c r="E124" i="1"/>
  <c r="O124" i="1" s="1"/>
  <c r="E123" i="1"/>
  <c r="O123" i="1" s="1"/>
  <c r="E122" i="1"/>
  <c r="O122" i="1" s="1"/>
  <c r="E121" i="1"/>
  <c r="O121" i="1" s="1"/>
  <c r="E120" i="1"/>
  <c r="O120" i="1" s="1"/>
  <c r="E119" i="1"/>
  <c r="O119" i="1" s="1"/>
  <c r="E118" i="1"/>
  <c r="O118" i="1" s="1"/>
  <c r="E117" i="1"/>
  <c r="O117" i="1" s="1"/>
  <c r="E116" i="1"/>
  <c r="O116" i="1" s="1"/>
  <c r="E115" i="1"/>
  <c r="O115" i="1" s="1"/>
  <c r="E114" i="1"/>
  <c r="O114" i="1" s="1"/>
  <c r="E113" i="1"/>
  <c r="O113" i="1" s="1"/>
  <c r="E112" i="1"/>
  <c r="O112" i="1" s="1"/>
  <c r="E111" i="1"/>
  <c r="O111" i="1" s="1"/>
  <c r="E110" i="1"/>
  <c r="O110" i="1" s="1"/>
  <c r="E109" i="1"/>
  <c r="O109" i="1" s="1"/>
  <c r="E108" i="1"/>
  <c r="O108" i="1" s="1"/>
  <c r="E107" i="1"/>
  <c r="O107" i="1" s="1"/>
  <c r="E106" i="1"/>
  <c r="O106" i="1" s="1"/>
  <c r="E105" i="1"/>
  <c r="O105" i="1" s="1"/>
  <c r="E104" i="1"/>
  <c r="O104" i="1" s="1"/>
  <c r="E103" i="1"/>
  <c r="O103" i="1" s="1"/>
  <c r="E102" i="1"/>
  <c r="O102" i="1" s="1"/>
  <c r="E101" i="1"/>
  <c r="O101" i="1" s="1"/>
  <c r="E100" i="1"/>
  <c r="O100" i="1" s="1"/>
  <c r="E99" i="1"/>
  <c r="O99" i="1" s="1"/>
  <c r="E98" i="1"/>
  <c r="O98" i="1" s="1"/>
  <c r="E97" i="1"/>
  <c r="O97" i="1" s="1"/>
  <c r="E96" i="1"/>
  <c r="O96" i="1" s="1"/>
  <c r="E95" i="1"/>
  <c r="O95" i="1" s="1"/>
  <c r="E94" i="1"/>
  <c r="O94" i="1" s="1"/>
  <c r="E93" i="1"/>
  <c r="O93" i="1" s="1"/>
  <c r="E92" i="1"/>
  <c r="O92" i="1" s="1"/>
  <c r="E91" i="1"/>
  <c r="O91" i="1" s="1"/>
  <c r="E90" i="1"/>
  <c r="O90" i="1" s="1"/>
  <c r="E89" i="1"/>
  <c r="O89" i="1" s="1"/>
  <c r="E88" i="1"/>
  <c r="O88" i="1" s="1"/>
  <c r="E87" i="1"/>
  <c r="O87" i="1" s="1"/>
  <c r="E86" i="1"/>
  <c r="O86" i="1" s="1"/>
  <c r="E85" i="1"/>
  <c r="O85" i="1" s="1"/>
  <c r="E84" i="1"/>
  <c r="O84" i="1" s="1"/>
  <c r="E83" i="1"/>
  <c r="O83" i="1" s="1"/>
  <c r="E82" i="1"/>
  <c r="O82" i="1" s="1"/>
  <c r="E81" i="1"/>
  <c r="O81" i="1" s="1"/>
  <c r="E80" i="1"/>
  <c r="O80" i="1" s="1"/>
  <c r="E79" i="1"/>
  <c r="O79" i="1" s="1"/>
  <c r="E78" i="1"/>
  <c r="O78" i="1" s="1"/>
  <c r="E77" i="1"/>
  <c r="O77" i="1" s="1"/>
  <c r="E76" i="1"/>
  <c r="O76" i="1" s="1"/>
  <c r="E75" i="1"/>
  <c r="O75" i="1" s="1"/>
  <c r="E74" i="1"/>
  <c r="O74" i="1" s="1"/>
  <c r="E73" i="1"/>
  <c r="O73" i="1" s="1"/>
  <c r="E72" i="1"/>
  <c r="O72" i="1" s="1"/>
  <c r="E71" i="1"/>
  <c r="O71" i="1" s="1"/>
  <c r="E70" i="1"/>
  <c r="O70" i="1" s="1"/>
  <c r="E69" i="1"/>
  <c r="O69" i="1" s="1"/>
  <c r="E68" i="1"/>
  <c r="O68" i="1" s="1"/>
  <c r="E67" i="1"/>
  <c r="O67" i="1" s="1"/>
  <c r="E66" i="1"/>
  <c r="O66" i="1" s="1"/>
  <c r="E65" i="1"/>
  <c r="O65" i="1" s="1"/>
  <c r="E64" i="1"/>
  <c r="O64" i="1" s="1"/>
  <c r="E63" i="1"/>
  <c r="O63" i="1" s="1"/>
  <c r="E62" i="1"/>
  <c r="O62" i="1" s="1"/>
  <c r="E61" i="1"/>
  <c r="O61" i="1" s="1"/>
  <c r="E60" i="1"/>
  <c r="O60" i="1" s="1"/>
  <c r="E59" i="1"/>
  <c r="O59" i="1" s="1"/>
  <c r="E58" i="1"/>
  <c r="O58" i="1" s="1"/>
  <c r="E57" i="1"/>
  <c r="O57" i="1" s="1"/>
  <c r="E56" i="1"/>
  <c r="O56" i="1" s="1"/>
  <c r="E55" i="1"/>
  <c r="O55" i="1" s="1"/>
  <c r="E54" i="1"/>
  <c r="O54" i="1" s="1"/>
  <c r="E53" i="1"/>
  <c r="O53" i="1" s="1"/>
  <c r="E52" i="1"/>
  <c r="O52" i="1" s="1"/>
  <c r="E51" i="1"/>
  <c r="O51" i="1" s="1"/>
  <c r="E50" i="1"/>
  <c r="O50" i="1" s="1"/>
  <c r="E49" i="1"/>
  <c r="O49" i="1" s="1"/>
  <c r="E48" i="1"/>
  <c r="O48" i="1" s="1"/>
  <c r="E47" i="1"/>
  <c r="O47" i="1" s="1"/>
  <c r="E46" i="1"/>
  <c r="O46" i="1" s="1"/>
  <c r="E45" i="1"/>
  <c r="O45" i="1" s="1"/>
  <c r="E44" i="1"/>
  <c r="O44" i="1" s="1"/>
  <c r="E43" i="1"/>
  <c r="O43" i="1" s="1"/>
  <c r="E42" i="1"/>
  <c r="O42" i="1" s="1"/>
  <c r="E41" i="1"/>
  <c r="O41" i="1" s="1"/>
  <c r="E40" i="1"/>
  <c r="O40" i="1" s="1"/>
  <c r="E39" i="1"/>
  <c r="O39" i="1" s="1"/>
  <c r="E38" i="1"/>
  <c r="O38" i="1" s="1"/>
  <c r="E37" i="1"/>
  <c r="O37" i="1" s="1"/>
  <c r="E36" i="1"/>
  <c r="O36" i="1" s="1"/>
  <c r="E35" i="1"/>
  <c r="O35" i="1" s="1"/>
  <c r="E34" i="1"/>
  <c r="O34" i="1" s="1"/>
  <c r="E33" i="1"/>
  <c r="O33" i="1" s="1"/>
  <c r="E32" i="1"/>
  <c r="O32" i="1" s="1"/>
  <c r="E31" i="1"/>
  <c r="O31" i="1" s="1"/>
  <c r="E30" i="1"/>
  <c r="O30" i="1" s="1"/>
  <c r="E29" i="1"/>
  <c r="O29" i="1" s="1"/>
  <c r="E28" i="1"/>
  <c r="O28" i="1" s="1"/>
  <c r="E27" i="1"/>
  <c r="O27" i="1" s="1"/>
  <c r="E26" i="1"/>
  <c r="O26" i="1" s="1"/>
  <c r="E25" i="1"/>
  <c r="O25" i="1" s="1"/>
  <c r="E24" i="1"/>
  <c r="O24" i="1" s="1"/>
  <c r="E23" i="1"/>
  <c r="O23" i="1" s="1"/>
  <c r="E22" i="1"/>
  <c r="O22" i="1" s="1"/>
  <c r="E21" i="1"/>
  <c r="O21" i="1" s="1"/>
  <c r="E20" i="1"/>
  <c r="O20" i="1" s="1"/>
  <c r="E19" i="1"/>
  <c r="O19" i="1" s="1"/>
  <c r="E18" i="1"/>
  <c r="O18" i="1" s="1"/>
  <c r="E17" i="1"/>
  <c r="O17" i="1" s="1"/>
  <c r="E16" i="1"/>
  <c r="O16" i="1" s="1"/>
  <c r="E15" i="1"/>
  <c r="O15" i="1" s="1"/>
  <c r="E14" i="1"/>
  <c r="O14" i="1" s="1"/>
  <c r="E13" i="1"/>
  <c r="O13" i="1" s="1"/>
  <c r="E12" i="1"/>
  <c r="O12" i="1" s="1"/>
  <c r="E11" i="1"/>
  <c r="O11" i="1" s="1"/>
  <c r="E10" i="1"/>
  <c r="O10" i="1" s="1"/>
  <c r="E9" i="1"/>
  <c r="O9" i="1" s="1"/>
  <c r="E8" i="1"/>
  <c r="O8" i="1" s="1"/>
  <c r="E7" i="1"/>
  <c r="O7" i="1" s="1"/>
  <c r="E6" i="1"/>
  <c r="O6" i="1" s="1"/>
  <c r="E5" i="1"/>
  <c r="O5" i="1" s="1"/>
  <c r="E4" i="1"/>
  <c r="O4" i="1" s="1"/>
  <c r="E2" i="1"/>
  <c r="O2" i="1" s="1"/>
  <c r="E3" i="1"/>
  <c r="O3" i="1" s="1"/>
  <c r="H413" i="1" l="1"/>
  <c r="H421" i="1"/>
  <c r="H429" i="1"/>
  <c r="H437" i="1"/>
  <c r="H445" i="1"/>
  <c r="H453" i="1"/>
  <c r="H461" i="1"/>
  <c r="H469" i="1"/>
  <c r="H477" i="1"/>
  <c r="H485" i="1"/>
  <c r="H493" i="1"/>
  <c r="H501" i="1"/>
  <c r="H509" i="1"/>
  <c r="H517" i="1"/>
  <c r="H525" i="1"/>
  <c r="H532" i="1"/>
  <c r="H539" i="1"/>
  <c r="H546" i="1"/>
  <c r="H553" i="1"/>
  <c r="H557" i="1"/>
  <c r="H563" i="1"/>
  <c r="H571" i="1"/>
  <c r="H575" i="1"/>
  <c r="H583" i="1"/>
  <c r="H591" i="1"/>
  <c r="H605" i="1"/>
  <c r="H619" i="1"/>
  <c r="H627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6" i="1"/>
  <c r="J324" i="1"/>
  <c r="J332" i="1"/>
  <c r="J340" i="1"/>
  <c r="J348" i="1"/>
  <c r="J356" i="1"/>
  <c r="J364" i="1"/>
  <c r="J372" i="1"/>
  <c r="J380" i="1"/>
  <c r="J388" i="1"/>
  <c r="J396" i="1"/>
  <c r="J404" i="1"/>
  <c r="J412" i="1"/>
  <c r="J420" i="1"/>
  <c r="J428" i="1"/>
  <c r="J436" i="1"/>
  <c r="J444" i="1"/>
  <c r="J452" i="1"/>
  <c r="J460" i="1"/>
  <c r="J468" i="1"/>
  <c r="J476" i="1"/>
  <c r="J484" i="1"/>
  <c r="J492" i="1"/>
  <c r="J500" i="1"/>
  <c r="J508" i="1"/>
  <c r="J516" i="1"/>
  <c r="J524" i="1"/>
  <c r="J531" i="1"/>
  <c r="J538" i="1"/>
  <c r="J545" i="1"/>
  <c r="J552" i="1"/>
  <c r="J556" i="1"/>
  <c r="J570" i="1"/>
  <c r="J574" i="1"/>
  <c r="J582" i="1"/>
  <c r="J590" i="1"/>
  <c r="J597" i="1"/>
  <c r="J604" i="1"/>
  <c r="I604" i="1"/>
  <c r="J611" i="1"/>
  <c r="I611" i="1"/>
  <c r="J618" i="1"/>
  <c r="I618" i="1"/>
  <c r="J626" i="1"/>
  <c r="I626" i="1"/>
  <c r="I420" i="1"/>
  <c r="I428" i="1"/>
  <c r="I436" i="1"/>
  <c r="I444" i="1"/>
  <c r="I452" i="1"/>
  <c r="I460" i="1"/>
  <c r="I468" i="1"/>
  <c r="I476" i="1"/>
  <c r="I484" i="1"/>
  <c r="I492" i="1"/>
  <c r="I500" i="1"/>
  <c r="I508" i="1"/>
  <c r="I516" i="1"/>
  <c r="I524" i="1"/>
  <c r="I531" i="1"/>
  <c r="I538" i="1"/>
  <c r="I545" i="1"/>
  <c r="I552" i="1"/>
  <c r="I556" i="1"/>
  <c r="I570" i="1"/>
  <c r="I574" i="1"/>
  <c r="I582" i="1"/>
  <c r="I590" i="1"/>
  <c r="I597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7" i="1"/>
  <c r="J325" i="1"/>
  <c r="J333" i="1"/>
  <c r="J341" i="1"/>
  <c r="J349" i="1"/>
  <c r="J357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7" i="1"/>
  <c r="J525" i="1"/>
  <c r="J532" i="1"/>
  <c r="J539" i="1"/>
  <c r="J546" i="1"/>
  <c r="J553" i="1"/>
  <c r="J557" i="1"/>
  <c r="J563" i="1"/>
  <c r="J571" i="1"/>
  <c r="J575" i="1"/>
  <c r="J583" i="1"/>
  <c r="J591" i="1"/>
  <c r="J605" i="1"/>
  <c r="I605" i="1"/>
  <c r="J612" i="1"/>
  <c r="I612" i="1"/>
  <c r="J619" i="1"/>
  <c r="I619" i="1"/>
  <c r="J627" i="1"/>
  <c r="I627" i="1"/>
  <c r="I413" i="1"/>
  <c r="I421" i="1"/>
  <c r="I429" i="1"/>
  <c r="I437" i="1"/>
  <c r="I445" i="1"/>
  <c r="I453" i="1"/>
  <c r="I461" i="1"/>
  <c r="I469" i="1"/>
  <c r="I477" i="1"/>
  <c r="I485" i="1"/>
  <c r="I493" i="1"/>
  <c r="I501" i="1"/>
  <c r="I509" i="1"/>
  <c r="I517" i="1"/>
  <c r="I525" i="1"/>
  <c r="I532" i="1"/>
  <c r="I539" i="1"/>
  <c r="I546" i="1"/>
  <c r="I553" i="1"/>
  <c r="I557" i="1"/>
  <c r="I563" i="1"/>
  <c r="I571" i="1"/>
  <c r="I575" i="1"/>
  <c r="I583" i="1"/>
  <c r="I591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295" i="1"/>
  <c r="J303" i="1"/>
  <c r="J311" i="1"/>
  <c r="J318" i="1"/>
  <c r="J326" i="1"/>
  <c r="J334" i="1"/>
  <c r="J342" i="1"/>
  <c r="J350" i="1"/>
  <c r="J358" i="1"/>
  <c r="J366" i="1"/>
  <c r="J374" i="1"/>
  <c r="J382" i="1"/>
  <c r="J390" i="1"/>
  <c r="J398" i="1"/>
  <c r="J406" i="1"/>
  <c r="J414" i="1"/>
  <c r="J422" i="1"/>
  <c r="J430" i="1"/>
  <c r="J438" i="1"/>
  <c r="J446" i="1"/>
  <c r="J454" i="1"/>
  <c r="J462" i="1"/>
  <c r="J470" i="1"/>
  <c r="J478" i="1"/>
  <c r="J486" i="1"/>
  <c r="J494" i="1"/>
  <c r="J502" i="1"/>
  <c r="J510" i="1"/>
  <c r="J518" i="1"/>
  <c r="J526" i="1"/>
  <c r="J533" i="1"/>
  <c r="J540" i="1"/>
  <c r="J547" i="1"/>
  <c r="J558" i="1"/>
  <c r="J564" i="1"/>
  <c r="J576" i="1"/>
  <c r="J584" i="1"/>
  <c r="J592" i="1"/>
  <c r="J598" i="1"/>
  <c r="J613" i="1"/>
  <c r="I613" i="1"/>
  <c r="J620" i="1"/>
  <c r="I620" i="1"/>
  <c r="I414" i="1"/>
  <c r="I422" i="1"/>
  <c r="I430" i="1"/>
  <c r="I438" i="1"/>
  <c r="I446" i="1"/>
  <c r="I454" i="1"/>
  <c r="I462" i="1"/>
  <c r="I470" i="1"/>
  <c r="I478" i="1"/>
  <c r="I486" i="1"/>
  <c r="I494" i="1"/>
  <c r="I502" i="1"/>
  <c r="I510" i="1"/>
  <c r="I518" i="1"/>
  <c r="I526" i="1"/>
  <c r="I533" i="1"/>
  <c r="I540" i="1"/>
  <c r="I547" i="1"/>
  <c r="I558" i="1"/>
  <c r="I564" i="1"/>
  <c r="I576" i="1"/>
  <c r="I584" i="1"/>
  <c r="I592" i="1"/>
  <c r="I598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9" i="1"/>
  <c r="J327" i="1"/>
  <c r="J335" i="1"/>
  <c r="J343" i="1"/>
  <c r="J351" i="1"/>
  <c r="J359" i="1"/>
  <c r="J367" i="1"/>
  <c r="J375" i="1"/>
  <c r="J383" i="1"/>
  <c r="J391" i="1"/>
  <c r="J399" i="1"/>
  <c r="J407" i="1"/>
  <c r="J415" i="1"/>
  <c r="J423" i="1"/>
  <c r="J431" i="1"/>
  <c r="J439" i="1"/>
  <c r="J447" i="1"/>
  <c r="J455" i="1"/>
  <c r="J463" i="1"/>
  <c r="J471" i="1"/>
  <c r="J479" i="1"/>
  <c r="J487" i="1"/>
  <c r="J495" i="1"/>
  <c r="J503" i="1"/>
  <c r="J511" i="1"/>
  <c r="J519" i="1"/>
  <c r="J527" i="1"/>
  <c r="J534" i="1"/>
  <c r="J541" i="1"/>
  <c r="J548" i="1"/>
  <c r="J554" i="1"/>
  <c r="J559" i="1"/>
  <c r="J565" i="1"/>
  <c r="J572" i="1"/>
  <c r="J577" i="1"/>
  <c r="J585" i="1"/>
  <c r="J593" i="1"/>
  <c r="J599" i="1"/>
  <c r="J606" i="1"/>
  <c r="I606" i="1"/>
  <c r="J614" i="1"/>
  <c r="I614" i="1"/>
  <c r="J621" i="1"/>
  <c r="I621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4" i="1"/>
  <c r="I541" i="1"/>
  <c r="I548" i="1"/>
  <c r="I554" i="1"/>
  <c r="I559" i="1"/>
  <c r="I565" i="1"/>
  <c r="I572" i="1"/>
  <c r="I577" i="1"/>
  <c r="I585" i="1"/>
  <c r="I593" i="1"/>
  <c r="I599" i="1"/>
  <c r="J3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2" i="1"/>
  <c r="J320" i="1"/>
  <c r="J328" i="1"/>
  <c r="J336" i="1"/>
  <c r="J344" i="1"/>
  <c r="J352" i="1"/>
  <c r="J360" i="1"/>
  <c r="J368" i="1"/>
  <c r="J376" i="1"/>
  <c r="J384" i="1"/>
  <c r="J392" i="1"/>
  <c r="J400" i="1"/>
  <c r="J408" i="1"/>
  <c r="J416" i="1"/>
  <c r="J424" i="1"/>
  <c r="J432" i="1"/>
  <c r="J440" i="1"/>
  <c r="J448" i="1"/>
  <c r="J456" i="1"/>
  <c r="J464" i="1"/>
  <c r="J472" i="1"/>
  <c r="J480" i="1"/>
  <c r="J488" i="1"/>
  <c r="J496" i="1"/>
  <c r="J504" i="1"/>
  <c r="J512" i="1"/>
  <c r="J520" i="1"/>
  <c r="J528" i="1"/>
  <c r="J535" i="1"/>
  <c r="J542" i="1"/>
  <c r="J560" i="1"/>
  <c r="J566" i="1"/>
  <c r="J578" i="1"/>
  <c r="J586" i="1"/>
  <c r="J594" i="1"/>
  <c r="J600" i="1"/>
  <c r="J607" i="1"/>
  <c r="I607" i="1"/>
  <c r="J615" i="1"/>
  <c r="I615" i="1"/>
  <c r="J622" i="1"/>
  <c r="I622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5" i="1"/>
  <c r="I542" i="1"/>
  <c r="I560" i="1"/>
  <c r="I566" i="1"/>
  <c r="I578" i="1"/>
  <c r="I586" i="1"/>
  <c r="I594" i="1"/>
  <c r="I600" i="1"/>
  <c r="J2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3" i="1"/>
  <c r="J321" i="1"/>
  <c r="J329" i="1"/>
  <c r="J337" i="1"/>
  <c r="J345" i="1"/>
  <c r="J353" i="1"/>
  <c r="J361" i="1"/>
  <c r="J369" i="1"/>
  <c r="J377" i="1"/>
  <c r="J385" i="1"/>
  <c r="J393" i="1"/>
  <c r="J401" i="1"/>
  <c r="J409" i="1"/>
  <c r="J417" i="1"/>
  <c r="J425" i="1"/>
  <c r="J433" i="1"/>
  <c r="J441" i="1"/>
  <c r="J449" i="1"/>
  <c r="J457" i="1"/>
  <c r="J465" i="1"/>
  <c r="J473" i="1"/>
  <c r="J481" i="1"/>
  <c r="J489" i="1"/>
  <c r="J497" i="1"/>
  <c r="J505" i="1"/>
  <c r="J513" i="1"/>
  <c r="J521" i="1"/>
  <c r="J529" i="1"/>
  <c r="J543" i="1"/>
  <c r="J549" i="1"/>
  <c r="J561" i="1"/>
  <c r="J567" i="1"/>
  <c r="J579" i="1"/>
  <c r="J587" i="1"/>
  <c r="J601" i="1"/>
  <c r="I601" i="1"/>
  <c r="J608" i="1"/>
  <c r="I608" i="1"/>
  <c r="J616" i="1"/>
  <c r="I616" i="1"/>
  <c r="J623" i="1"/>
  <c r="I623" i="1"/>
  <c r="I417" i="1"/>
  <c r="I425" i="1"/>
  <c r="I433" i="1"/>
  <c r="I441" i="1"/>
  <c r="I449" i="1"/>
  <c r="I457" i="1"/>
  <c r="I465" i="1"/>
  <c r="I473" i="1"/>
  <c r="I481" i="1"/>
  <c r="I489" i="1"/>
  <c r="I497" i="1"/>
  <c r="I505" i="1"/>
  <c r="I513" i="1"/>
  <c r="I521" i="1"/>
  <c r="I529" i="1"/>
  <c r="I543" i="1"/>
  <c r="I549" i="1"/>
  <c r="I561" i="1"/>
  <c r="I567" i="1"/>
  <c r="I579" i="1"/>
  <c r="I587" i="1"/>
  <c r="J4" i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187" i="1"/>
  <c r="J195" i="1"/>
  <c r="J203" i="1"/>
  <c r="J211" i="1"/>
  <c r="J219" i="1"/>
  <c r="J227" i="1"/>
  <c r="J235" i="1"/>
  <c r="J243" i="1"/>
  <c r="J251" i="1"/>
  <c r="J259" i="1"/>
  <c r="J267" i="1"/>
  <c r="J275" i="1"/>
  <c r="J283" i="1"/>
  <c r="J291" i="1"/>
  <c r="J299" i="1"/>
  <c r="J307" i="1"/>
  <c r="J314" i="1"/>
  <c r="J322" i="1"/>
  <c r="J330" i="1"/>
  <c r="J338" i="1"/>
  <c r="J346" i="1"/>
  <c r="J354" i="1"/>
  <c r="J362" i="1"/>
  <c r="J370" i="1"/>
  <c r="J378" i="1"/>
  <c r="J386" i="1"/>
  <c r="J394" i="1"/>
  <c r="J402" i="1"/>
  <c r="J410" i="1"/>
  <c r="J418" i="1"/>
  <c r="J426" i="1"/>
  <c r="J434" i="1"/>
  <c r="J442" i="1"/>
  <c r="J450" i="1"/>
  <c r="J458" i="1"/>
  <c r="J466" i="1"/>
  <c r="J474" i="1"/>
  <c r="J482" i="1"/>
  <c r="J490" i="1"/>
  <c r="J498" i="1"/>
  <c r="J506" i="1"/>
  <c r="J514" i="1"/>
  <c r="J522" i="1"/>
  <c r="J530" i="1"/>
  <c r="J536" i="1"/>
  <c r="J550" i="1"/>
  <c r="J555" i="1"/>
  <c r="J568" i="1"/>
  <c r="J580" i="1"/>
  <c r="J588" i="1"/>
  <c r="J595" i="1"/>
  <c r="J602" i="1"/>
  <c r="I602" i="1"/>
  <c r="J609" i="1"/>
  <c r="I609" i="1"/>
  <c r="J624" i="1"/>
  <c r="I624" i="1"/>
  <c r="I418" i="1"/>
  <c r="I426" i="1"/>
  <c r="I434" i="1"/>
  <c r="I442" i="1"/>
  <c r="I450" i="1"/>
  <c r="I458" i="1"/>
  <c r="I466" i="1"/>
  <c r="I474" i="1"/>
  <c r="I482" i="1"/>
  <c r="I490" i="1"/>
  <c r="I498" i="1"/>
  <c r="I506" i="1"/>
  <c r="I514" i="1"/>
  <c r="I522" i="1"/>
  <c r="I530" i="1"/>
  <c r="I536" i="1"/>
  <c r="I550" i="1"/>
  <c r="I555" i="1"/>
  <c r="I568" i="1"/>
  <c r="I580" i="1"/>
  <c r="I588" i="1"/>
  <c r="I595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52" i="1"/>
  <c r="J260" i="1"/>
  <c r="J268" i="1"/>
  <c r="J276" i="1"/>
  <c r="J284" i="1"/>
  <c r="J292" i="1"/>
  <c r="J300" i="1"/>
  <c r="J308" i="1"/>
  <c r="J315" i="1"/>
  <c r="J323" i="1"/>
  <c r="J331" i="1"/>
  <c r="J339" i="1"/>
  <c r="J347" i="1"/>
  <c r="J355" i="1"/>
  <c r="J363" i="1"/>
  <c r="J371" i="1"/>
  <c r="J379" i="1"/>
  <c r="J387" i="1"/>
  <c r="J395" i="1"/>
  <c r="J403" i="1"/>
  <c r="J411" i="1"/>
  <c r="J419" i="1"/>
  <c r="J427" i="1"/>
  <c r="J435" i="1"/>
  <c r="J443" i="1"/>
  <c r="J451" i="1"/>
  <c r="J459" i="1"/>
  <c r="J467" i="1"/>
  <c r="J475" i="1"/>
  <c r="J483" i="1"/>
  <c r="J491" i="1"/>
  <c r="J499" i="1"/>
  <c r="J507" i="1"/>
  <c r="J515" i="1"/>
  <c r="J523" i="1"/>
  <c r="J537" i="1"/>
  <c r="J544" i="1"/>
  <c r="J551" i="1"/>
  <c r="J562" i="1"/>
  <c r="J569" i="1"/>
  <c r="J573" i="1"/>
  <c r="J581" i="1"/>
  <c r="J589" i="1"/>
  <c r="J596" i="1"/>
  <c r="J603" i="1"/>
  <c r="I603" i="1"/>
  <c r="J610" i="1"/>
  <c r="I610" i="1"/>
  <c r="J617" i="1"/>
  <c r="I617" i="1"/>
  <c r="J625" i="1"/>
  <c r="I625" i="1"/>
  <c r="I419" i="1"/>
  <c r="I427" i="1"/>
  <c r="I435" i="1"/>
  <c r="I443" i="1"/>
  <c r="I451" i="1"/>
  <c r="I459" i="1"/>
  <c r="I467" i="1"/>
  <c r="I475" i="1"/>
  <c r="I483" i="1"/>
  <c r="I491" i="1"/>
  <c r="I499" i="1"/>
  <c r="I507" i="1"/>
  <c r="I515" i="1"/>
  <c r="I523" i="1"/>
  <c r="I537" i="1"/>
  <c r="I544" i="1"/>
  <c r="I551" i="1"/>
  <c r="I562" i="1"/>
  <c r="I569" i="1"/>
  <c r="I573" i="1"/>
  <c r="I581" i="1"/>
  <c r="I589" i="1"/>
  <c r="I596" i="1"/>
  <c r="H593" i="1"/>
  <c r="H599" i="1"/>
  <c r="H606" i="1"/>
  <c r="H614" i="1"/>
  <c r="H621" i="1"/>
  <c r="H612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533" i="1"/>
  <c r="H540" i="1"/>
  <c r="H547" i="1"/>
  <c r="H558" i="1"/>
  <c r="H564" i="1"/>
  <c r="H576" i="1"/>
  <c r="H584" i="1"/>
  <c r="H592" i="1"/>
  <c r="H598" i="1"/>
  <c r="H431" i="1"/>
  <c r="H463" i="1"/>
  <c r="H503" i="1"/>
  <c r="H541" i="1"/>
  <c r="H577" i="1"/>
  <c r="H416" i="1"/>
  <c r="H424" i="1"/>
  <c r="H432" i="1"/>
  <c r="H440" i="1"/>
  <c r="H448" i="1"/>
  <c r="H456" i="1"/>
  <c r="H464" i="1"/>
  <c r="H472" i="1"/>
  <c r="H480" i="1"/>
  <c r="H488" i="1"/>
  <c r="H496" i="1"/>
  <c r="H504" i="1"/>
  <c r="H512" i="1"/>
  <c r="H520" i="1"/>
  <c r="H528" i="1"/>
  <c r="H535" i="1"/>
  <c r="H542" i="1"/>
  <c r="H560" i="1"/>
  <c r="H566" i="1"/>
  <c r="H578" i="1"/>
  <c r="H586" i="1"/>
  <c r="H594" i="1"/>
  <c r="H600" i="1"/>
  <c r="H607" i="1"/>
  <c r="H615" i="1"/>
  <c r="H622" i="1"/>
  <c r="H423" i="1"/>
  <c r="H471" i="1"/>
  <c r="H511" i="1"/>
  <c r="H548" i="1"/>
  <c r="H572" i="1"/>
  <c r="H417" i="1"/>
  <c r="H425" i="1"/>
  <c r="H433" i="1"/>
  <c r="H441" i="1"/>
  <c r="H449" i="1"/>
  <c r="H457" i="1"/>
  <c r="H465" i="1"/>
  <c r="H473" i="1"/>
  <c r="H481" i="1"/>
  <c r="H489" i="1"/>
  <c r="H497" i="1"/>
  <c r="H505" i="1"/>
  <c r="H513" i="1"/>
  <c r="H521" i="1"/>
  <c r="H529" i="1"/>
  <c r="H543" i="1"/>
  <c r="H549" i="1"/>
  <c r="H561" i="1"/>
  <c r="H567" i="1"/>
  <c r="H579" i="1"/>
  <c r="H587" i="1"/>
  <c r="H601" i="1"/>
  <c r="H608" i="1"/>
  <c r="H616" i="1"/>
  <c r="H623" i="1"/>
  <c r="H415" i="1"/>
  <c r="H455" i="1"/>
  <c r="H495" i="1"/>
  <c r="H534" i="1"/>
  <c r="H565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6" i="1"/>
  <c r="H550" i="1"/>
  <c r="H555" i="1"/>
  <c r="H568" i="1"/>
  <c r="H580" i="1"/>
  <c r="H595" i="1"/>
  <c r="H447" i="1"/>
  <c r="H479" i="1"/>
  <c r="H519" i="1"/>
  <c r="H554" i="1"/>
  <c r="H585" i="1"/>
  <c r="H419" i="1"/>
  <c r="H427" i="1"/>
  <c r="H435" i="1"/>
  <c r="H443" i="1"/>
  <c r="H451" i="1"/>
  <c r="H459" i="1"/>
  <c r="H467" i="1"/>
  <c r="H475" i="1"/>
  <c r="H483" i="1"/>
  <c r="H491" i="1"/>
  <c r="H499" i="1"/>
  <c r="H507" i="1"/>
  <c r="H515" i="1"/>
  <c r="H523" i="1"/>
  <c r="H537" i="1"/>
  <c r="H544" i="1"/>
  <c r="H551" i="1"/>
  <c r="H562" i="1"/>
  <c r="H569" i="1"/>
  <c r="H573" i="1"/>
  <c r="H581" i="1"/>
  <c r="H589" i="1"/>
  <c r="H596" i="1"/>
  <c r="H603" i="1"/>
  <c r="H610" i="1"/>
  <c r="H617" i="1"/>
  <c r="H439" i="1"/>
  <c r="H487" i="1"/>
  <c r="H527" i="1"/>
  <c r="H559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1" i="1"/>
  <c r="H538" i="1"/>
  <c r="H545" i="1"/>
  <c r="H552" i="1"/>
  <c r="H556" i="1"/>
  <c r="H570" i="1"/>
  <c r="H574" i="1"/>
  <c r="H582" i="1"/>
  <c r="H590" i="1"/>
  <c r="H597" i="1"/>
  <c r="H604" i="1"/>
  <c r="H611" i="1"/>
  <c r="H618" i="1"/>
  <c r="H626" i="1"/>
  <c r="H613" i="1"/>
  <c r="H620" i="1"/>
  <c r="H588" i="1"/>
  <c r="H602" i="1"/>
  <c r="H609" i="1"/>
  <c r="H624" i="1"/>
  <c r="H625" i="1"/>
  <c r="H231" i="1" l="1"/>
  <c r="H223" i="1"/>
  <c r="H215" i="1"/>
  <c r="H207" i="1"/>
  <c r="H200" i="1"/>
  <c r="H199" i="1"/>
  <c r="H191" i="1"/>
  <c r="H175" i="1"/>
  <c r="H167" i="1"/>
  <c r="H151" i="1"/>
  <c r="H143" i="1"/>
  <c r="H136" i="1"/>
  <c r="H135" i="1"/>
  <c r="H391" i="1"/>
  <c r="H375" i="1"/>
  <c r="H373" i="1"/>
  <c r="H359" i="1"/>
  <c r="H342" i="1"/>
  <c r="H327" i="1"/>
  <c r="H300" i="1"/>
  <c r="H296" i="1"/>
  <c r="H292" i="1"/>
  <c r="H264" i="1"/>
  <c r="H255" i="1"/>
  <c r="H187" i="1"/>
  <c r="H184" i="1"/>
  <c r="H163" i="1"/>
  <c r="H150" i="1"/>
  <c r="H131" i="1"/>
  <c r="H112" i="1"/>
  <c r="H80" i="1"/>
  <c r="BJ627" i="1"/>
  <c r="BJ626" i="1"/>
  <c r="BJ625" i="1"/>
  <c r="BJ624" i="1"/>
  <c r="BJ623" i="1"/>
  <c r="BJ622" i="1"/>
  <c r="BJ621" i="1"/>
  <c r="BJ620" i="1"/>
  <c r="BJ619" i="1"/>
  <c r="BJ618" i="1"/>
  <c r="BJ617" i="1"/>
  <c r="BJ616" i="1"/>
  <c r="BJ615" i="1"/>
  <c r="BJ614" i="1"/>
  <c r="BJ613" i="1"/>
  <c r="BJ612" i="1"/>
  <c r="BJ611" i="1"/>
  <c r="BJ610" i="1"/>
  <c r="BJ609" i="1"/>
  <c r="BJ608" i="1"/>
  <c r="BJ607" i="1"/>
  <c r="BJ606" i="1"/>
  <c r="BJ605" i="1"/>
  <c r="BJ604" i="1"/>
  <c r="BJ603" i="1"/>
  <c r="BJ602" i="1"/>
  <c r="BJ601" i="1"/>
  <c r="BJ600" i="1"/>
  <c r="BJ599" i="1"/>
  <c r="BJ598" i="1"/>
  <c r="BJ597" i="1"/>
  <c r="BJ596" i="1"/>
  <c r="BJ595" i="1"/>
  <c r="BJ594" i="1"/>
  <c r="BJ593" i="1"/>
  <c r="BJ592" i="1"/>
  <c r="BJ591" i="1"/>
  <c r="BJ590" i="1"/>
  <c r="BJ589" i="1"/>
  <c r="BJ588" i="1"/>
  <c r="BJ587" i="1"/>
  <c r="BJ586" i="1"/>
  <c r="BJ585" i="1"/>
  <c r="BJ584" i="1"/>
  <c r="BJ583" i="1"/>
  <c r="BJ582" i="1"/>
  <c r="BJ581" i="1"/>
  <c r="BJ580" i="1"/>
  <c r="BJ579" i="1"/>
  <c r="BJ578" i="1"/>
  <c r="BJ577" i="1"/>
  <c r="BJ576" i="1"/>
  <c r="BJ575" i="1"/>
  <c r="BJ574" i="1"/>
  <c r="BJ573" i="1"/>
  <c r="BJ572" i="1"/>
  <c r="BJ571" i="1"/>
  <c r="BJ570" i="1"/>
  <c r="BJ569" i="1"/>
  <c r="BJ568" i="1"/>
  <c r="BJ567" i="1"/>
  <c r="BJ566" i="1"/>
  <c r="BJ565" i="1"/>
  <c r="BJ564" i="1"/>
  <c r="BJ563" i="1"/>
  <c r="BJ562" i="1"/>
  <c r="BJ561" i="1"/>
  <c r="BJ560" i="1"/>
  <c r="BJ559" i="1"/>
  <c r="BJ558" i="1"/>
  <c r="BJ557" i="1"/>
  <c r="BJ556" i="1"/>
  <c r="BJ555" i="1"/>
  <c r="BJ554" i="1"/>
  <c r="BJ553" i="1"/>
  <c r="BJ552" i="1"/>
  <c r="BJ551" i="1"/>
  <c r="BJ550" i="1"/>
  <c r="BJ549" i="1"/>
  <c r="BJ548" i="1"/>
  <c r="BJ547" i="1"/>
  <c r="BJ546" i="1"/>
  <c r="BJ545" i="1"/>
  <c r="BJ544" i="1"/>
  <c r="BJ543" i="1"/>
  <c r="BJ542" i="1"/>
  <c r="BJ541" i="1"/>
  <c r="BJ540" i="1"/>
  <c r="BJ539" i="1"/>
  <c r="BJ538" i="1"/>
  <c r="BJ537" i="1"/>
  <c r="BJ536" i="1"/>
  <c r="BJ535" i="1"/>
  <c r="BJ534" i="1"/>
  <c r="BJ533" i="1"/>
  <c r="BJ532" i="1"/>
  <c r="BJ531" i="1"/>
  <c r="BJ530" i="1"/>
  <c r="BJ529" i="1"/>
  <c r="BJ528" i="1"/>
  <c r="BJ527" i="1"/>
  <c r="BJ526" i="1"/>
  <c r="BJ525" i="1"/>
  <c r="BJ524" i="1"/>
  <c r="BJ523" i="1"/>
  <c r="BJ522" i="1"/>
  <c r="BJ521" i="1"/>
  <c r="BJ520" i="1"/>
  <c r="BJ519" i="1"/>
  <c r="BJ518" i="1"/>
  <c r="BJ517" i="1"/>
  <c r="BJ516" i="1"/>
  <c r="BJ515" i="1"/>
  <c r="BJ514" i="1"/>
  <c r="BJ513" i="1"/>
  <c r="BJ512" i="1"/>
  <c r="BJ511" i="1"/>
  <c r="BJ510" i="1"/>
  <c r="BJ509" i="1"/>
  <c r="BJ508" i="1"/>
  <c r="BJ507" i="1"/>
  <c r="BJ506" i="1"/>
  <c r="BJ505" i="1"/>
  <c r="BJ504" i="1"/>
  <c r="BJ503" i="1"/>
  <c r="BJ502" i="1"/>
  <c r="BJ501" i="1"/>
  <c r="BJ500" i="1"/>
  <c r="BJ499" i="1"/>
  <c r="BJ498" i="1"/>
  <c r="BJ497" i="1"/>
  <c r="BJ496" i="1"/>
  <c r="BJ495" i="1"/>
  <c r="BJ494" i="1"/>
  <c r="BJ493" i="1"/>
  <c r="BJ492" i="1"/>
  <c r="BJ491" i="1"/>
  <c r="BJ490" i="1"/>
  <c r="BJ489" i="1"/>
  <c r="BJ488" i="1"/>
  <c r="BJ487" i="1"/>
  <c r="BJ486" i="1"/>
  <c r="BJ485" i="1"/>
  <c r="BJ484" i="1"/>
  <c r="BJ483" i="1"/>
  <c r="BJ482" i="1"/>
  <c r="BJ481" i="1"/>
  <c r="BJ480" i="1"/>
  <c r="BJ479" i="1"/>
  <c r="BJ478" i="1"/>
  <c r="BJ477" i="1"/>
  <c r="BJ476" i="1"/>
  <c r="BJ475" i="1"/>
  <c r="BJ474" i="1"/>
  <c r="BJ473" i="1"/>
  <c r="BJ472" i="1"/>
  <c r="BJ471" i="1"/>
  <c r="BJ470" i="1"/>
  <c r="BJ469" i="1"/>
  <c r="BJ468" i="1"/>
  <c r="BJ467" i="1"/>
  <c r="BJ466" i="1"/>
  <c r="BJ465" i="1"/>
  <c r="BJ464" i="1"/>
  <c r="BJ463" i="1"/>
  <c r="BJ462" i="1"/>
  <c r="BJ461" i="1"/>
  <c r="BJ460" i="1"/>
  <c r="BJ459" i="1"/>
  <c r="BJ458" i="1"/>
  <c r="BJ457" i="1"/>
  <c r="BJ456" i="1"/>
  <c r="BJ455" i="1"/>
  <c r="BJ454" i="1"/>
  <c r="BJ453" i="1"/>
  <c r="BJ452" i="1"/>
  <c r="BJ451" i="1"/>
  <c r="BJ450" i="1"/>
  <c r="BJ449" i="1"/>
  <c r="BJ448" i="1"/>
  <c r="BJ447" i="1"/>
  <c r="BJ446" i="1"/>
  <c r="BJ445" i="1"/>
  <c r="BJ444" i="1"/>
  <c r="BJ443" i="1"/>
  <c r="BJ442" i="1"/>
  <c r="BJ441" i="1"/>
  <c r="BJ440" i="1"/>
  <c r="BJ439" i="1"/>
  <c r="BJ438" i="1"/>
  <c r="BJ437" i="1"/>
  <c r="BJ436" i="1"/>
  <c r="BJ435" i="1"/>
  <c r="BJ434" i="1"/>
  <c r="BJ433" i="1"/>
  <c r="BJ432" i="1"/>
  <c r="BJ431" i="1"/>
  <c r="BJ430" i="1"/>
  <c r="BJ429" i="1"/>
  <c r="BJ428" i="1"/>
  <c r="BJ427" i="1"/>
  <c r="BJ426" i="1"/>
  <c r="BJ425" i="1"/>
  <c r="BJ424" i="1"/>
  <c r="BJ423" i="1"/>
  <c r="BJ422" i="1"/>
  <c r="BJ421" i="1"/>
  <c r="BJ420" i="1"/>
  <c r="BJ419" i="1"/>
  <c r="BJ418" i="1"/>
  <c r="BJ417" i="1"/>
  <c r="BJ416" i="1"/>
  <c r="BJ415" i="1"/>
  <c r="BJ414" i="1"/>
  <c r="BJ413" i="1"/>
  <c r="BJ412" i="1"/>
  <c r="BJ411" i="1"/>
  <c r="BJ410" i="1"/>
  <c r="BJ409" i="1"/>
  <c r="BJ408" i="1"/>
  <c r="BJ407" i="1"/>
  <c r="BJ406" i="1"/>
  <c r="BJ405" i="1"/>
  <c r="BJ404" i="1"/>
  <c r="BJ403" i="1"/>
  <c r="BJ402" i="1"/>
  <c r="BJ401" i="1"/>
  <c r="BJ400" i="1"/>
  <c r="BJ399" i="1"/>
  <c r="BJ398" i="1"/>
  <c r="BJ397" i="1"/>
  <c r="BJ396" i="1"/>
  <c r="BJ395" i="1"/>
  <c r="BJ394" i="1"/>
  <c r="BJ393" i="1"/>
  <c r="BJ392" i="1"/>
  <c r="BJ391" i="1"/>
  <c r="BJ390" i="1"/>
  <c r="BJ389" i="1"/>
  <c r="BJ388" i="1"/>
  <c r="BJ387" i="1"/>
  <c r="BJ386" i="1"/>
  <c r="BJ385" i="1"/>
  <c r="BJ384" i="1"/>
  <c r="BJ383" i="1"/>
  <c r="BJ382" i="1"/>
  <c r="BJ381" i="1"/>
  <c r="BJ380" i="1"/>
  <c r="BJ379" i="1"/>
  <c r="BJ378" i="1"/>
  <c r="BJ377" i="1"/>
  <c r="BJ376" i="1"/>
  <c r="BJ375" i="1"/>
  <c r="BJ374" i="1"/>
  <c r="BJ373" i="1"/>
  <c r="BJ372" i="1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J2" i="1"/>
  <c r="BI627" i="1"/>
  <c r="BI626" i="1"/>
  <c r="BI625" i="1"/>
  <c r="BI624" i="1"/>
  <c r="BI623" i="1"/>
  <c r="BI622" i="1"/>
  <c r="BI621" i="1"/>
  <c r="BI620" i="1"/>
  <c r="BI619" i="1"/>
  <c r="BI618" i="1"/>
  <c r="BI617" i="1"/>
  <c r="BI616" i="1"/>
  <c r="BI615" i="1"/>
  <c r="BI614" i="1"/>
  <c r="BI613" i="1"/>
  <c r="BI612" i="1"/>
  <c r="BI611" i="1"/>
  <c r="BI610" i="1"/>
  <c r="BI609" i="1"/>
  <c r="BI608" i="1"/>
  <c r="BI607" i="1"/>
  <c r="BI606" i="1"/>
  <c r="BI605" i="1"/>
  <c r="BI604" i="1"/>
  <c r="BI603" i="1"/>
  <c r="BI602" i="1"/>
  <c r="BI601" i="1"/>
  <c r="BI600" i="1"/>
  <c r="BI599" i="1"/>
  <c r="BI598" i="1"/>
  <c r="BI597" i="1"/>
  <c r="BI596" i="1"/>
  <c r="BI595" i="1"/>
  <c r="BI594" i="1"/>
  <c r="BI593" i="1"/>
  <c r="BI592" i="1"/>
  <c r="BI591" i="1"/>
  <c r="BI590" i="1"/>
  <c r="BI589" i="1"/>
  <c r="BI588" i="1"/>
  <c r="BI587" i="1"/>
  <c r="BI586" i="1"/>
  <c r="BI585" i="1"/>
  <c r="BI584" i="1"/>
  <c r="BI583" i="1"/>
  <c r="BI582" i="1"/>
  <c r="BI581" i="1"/>
  <c r="BI580" i="1"/>
  <c r="BI579" i="1"/>
  <c r="BI578" i="1"/>
  <c r="BI577" i="1"/>
  <c r="BI576" i="1"/>
  <c r="BI575" i="1"/>
  <c r="BI574" i="1"/>
  <c r="BI573" i="1"/>
  <c r="BI572" i="1"/>
  <c r="BI571" i="1"/>
  <c r="BI570" i="1"/>
  <c r="BI569" i="1"/>
  <c r="BI568" i="1"/>
  <c r="BI567" i="1"/>
  <c r="BI566" i="1"/>
  <c r="BI565" i="1"/>
  <c r="BI564" i="1"/>
  <c r="BI563" i="1"/>
  <c r="BI562" i="1"/>
  <c r="BI561" i="1"/>
  <c r="BI560" i="1"/>
  <c r="BI559" i="1"/>
  <c r="BI558" i="1"/>
  <c r="BI557" i="1"/>
  <c r="BI556" i="1"/>
  <c r="BI555" i="1"/>
  <c r="BI554" i="1"/>
  <c r="BI553" i="1"/>
  <c r="BI552" i="1"/>
  <c r="BI551" i="1"/>
  <c r="BI550" i="1"/>
  <c r="BI549" i="1"/>
  <c r="BI548" i="1"/>
  <c r="BI547" i="1"/>
  <c r="BI546" i="1"/>
  <c r="BI545" i="1"/>
  <c r="BI544" i="1"/>
  <c r="BI543" i="1"/>
  <c r="BI542" i="1"/>
  <c r="BI541" i="1"/>
  <c r="BI540" i="1"/>
  <c r="BI539" i="1"/>
  <c r="BI538" i="1"/>
  <c r="BI537" i="1"/>
  <c r="BI536" i="1"/>
  <c r="BI535" i="1"/>
  <c r="BI534" i="1"/>
  <c r="BI533" i="1"/>
  <c r="BI532" i="1"/>
  <c r="BI531" i="1"/>
  <c r="BI530" i="1"/>
  <c r="BI529" i="1"/>
  <c r="BI528" i="1"/>
  <c r="BI527" i="1"/>
  <c r="BI526" i="1"/>
  <c r="BI525" i="1"/>
  <c r="BI524" i="1"/>
  <c r="BI523" i="1"/>
  <c r="BI522" i="1"/>
  <c r="BI521" i="1"/>
  <c r="BI520" i="1"/>
  <c r="BI519" i="1"/>
  <c r="BI518" i="1"/>
  <c r="BI517" i="1"/>
  <c r="BI516" i="1"/>
  <c r="BI515" i="1"/>
  <c r="BI514" i="1"/>
  <c r="BI513" i="1"/>
  <c r="BI512" i="1"/>
  <c r="BI511" i="1"/>
  <c r="BI510" i="1"/>
  <c r="BI509" i="1"/>
  <c r="BI508" i="1"/>
  <c r="BI507" i="1"/>
  <c r="BI506" i="1"/>
  <c r="BI505" i="1"/>
  <c r="BI504" i="1"/>
  <c r="BI503" i="1"/>
  <c r="BI502" i="1"/>
  <c r="BI501" i="1"/>
  <c r="BI500" i="1"/>
  <c r="BI499" i="1"/>
  <c r="BI498" i="1"/>
  <c r="BI497" i="1"/>
  <c r="BI496" i="1"/>
  <c r="BI495" i="1"/>
  <c r="BI494" i="1"/>
  <c r="BI493" i="1"/>
  <c r="BI492" i="1"/>
  <c r="BI491" i="1"/>
  <c r="BI490" i="1"/>
  <c r="BI489" i="1"/>
  <c r="BI488" i="1"/>
  <c r="BI487" i="1"/>
  <c r="BI486" i="1"/>
  <c r="BI485" i="1"/>
  <c r="BI484" i="1"/>
  <c r="BI483" i="1"/>
  <c r="BI482" i="1"/>
  <c r="BI481" i="1"/>
  <c r="BI480" i="1"/>
  <c r="BI479" i="1"/>
  <c r="BI478" i="1"/>
  <c r="BI477" i="1"/>
  <c r="BI476" i="1"/>
  <c r="BI475" i="1"/>
  <c r="BI474" i="1"/>
  <c r="BI473" i="1"/>
  <c r="BI472" i="1"/>
  <c r="BI471" i="1"/>
  <c r="BI470" i="1"/>
  <c r="BI469" i="1"/>
  <c r="BI468" i="1"/>
  <c r="BI467" i="1"/>
  <c r="BI466" i="1"/>
  <c r="BI465" i="1"/>
  <c r="BI464" i="1"/>
  <c r="BI463" i="1"/>
  <c r="BI462" i="1"/>
  <c r="BI461" i="1"/>
  <c r="BI460" i="1"/>
  <c r="BI459" i="1"/>
  <c r="BI458" i="1"/>
  <c r="BI457" i="1"/>
  <c r="BI456" i="1"/>
  <c r="BI455" i="1"/>
  <c r="BI454" i="1"/>
  <c r="BI453" i="1"/>
  <c r="BI452" i="1"/>
  <c r="BI451" i="1"/>
  <c r="BI450" i="1"/>
  <c r="BI449" i="1"/>
  <c r="BI448" i="1"/>
  <c r="BI447" i="1"/>
  <c r="BI446" i="1"/>
  <c r="BI445" i="1"/>
  <c r="BI444" i="1"/>
  <c r="BI443" i="1"/>
  <c r="BI442" i="1"/>
  <c r="BI441" i="1"/>
  <c r="BI440" i="1"/>
  <c r="BI439" i="1"/>
  <c r="BI438" i="1"/>
  <c r="BI437" i="1"/>
  <c r="BI436" i="1"/>
  <c r="BI435" i="1"/>
  <c r="BI434" i="1"/>
  <c r="BI433" i="1"/>
  <c r="BI432" i="1"/>
  <c r="BI431" i="1"/>
  <c r="BI430" i="1"/>
  <c r="BI429" i="1"/>
  <c r="BI428" i="1"/>
  <c r="BI427" i="1"/>
  <c r="BI426" i="1"/>
  <c r="BI425" i="1"/>
  <c r="BI424" i="1"/>
  <c r="BI423" i="1"/>
  <c r="BI422" i="1"/>
  <c r="BI421" i="1"/>
  <c r="BI420" i="1"/>
  <c r="BI419" i="1"/>
  <c r="BI418" i="1"/>
  <c r="BI417" i="1"/>
  <c r="BI416" i="1"/>
  <c r="BI415" i="1"/>
  <c r="BI414" i="1"/>
  <c r="BI413" i="1"/>
  <c r="BI412" i="1"/>
  <c r="BI411" i="1"/>
  <c r="BI410" i="1"/>
  <c r="BI409" i="1"/>
  <c r="BI408" i="1"/>
  <c r="BI407" i="1"/>
  <c r="BI406" i="1"/>
  <c r="BI405" i="1"/>
  <c r="BI404" i="1"/>
  <c r="BI403" i="1"/>
  <c r="BI402" i="1"/>
  <c r="BI401" i="1"/>
  <c r="BI400" i="1"/>
  <c r="BI399" i="1"/>
  <c r="BI398" i="1"/>
  <c r="BI397" i="1"/>
  <c r="BI396" i="1"/>
  <c r="BI395" i="1"/>
  <c r="BI394" i="1"/>
  <c r="BI393" i="1"/>
  <c r="BI392" i="1"/>
  <c r="BI391" i="1"/>
  <c r="BI390" i="1"/>
  <c r="BI389" i="1"/>
  <c r="BI388" i="1"/>
  <c r="BI387" i="1"/>
  <c r="BI386" i="1"/>
  <c r="BI385" i="1"/>
  <c r="BI384" i="1"/>
  <c r="BI383" i="1"/>
  <c r="BI382" i="1"/>
  <c r="BI381" i="1"/>
  <c r="BI380" i="1"/>
  <c r="BI379" i="1"/>
  <c r="BI378" i="1"/>
  <c r="BI377" i="1"/>
  <c r="BI376" i="1"/>
  <c r="BI375" i="1"/>
  <c r="BI374" i="1"/>
  <c r="BI373" i="1"/>
  <c r="BI372" i="1"/>
  <c r="BI37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  <c r="BI3" i="1"/>
  <c r="BI2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H2" i="1"/>
  <c r="H411" i="1"/>
  <c r="H410" i="1"/>
  <c r="H409" i="1"/>
  <c r="H405" i="1"/>
  <c r="H403" i="1"/>
  <c r="H401" i="1"/>
  <c r="H398" i="1"/>
  <c r="H397" i="1"/>
  <c r="H395" i="1"/>
  <c r="H390" i="1"/>
  <c r="H389" i="1"/>
  <c r="H387" i="1"/>
  <c r="H382" i="1"/>
  <c r="H381" i="1"/>
  <c r="H379" i="1"/>
  <c r="H374" i="1"/>
  <c r="H371" i="1"/>
  <c r="H367" i="1"/>
  <c r="H366" i="1"/>
  <c r="H361" i="1"/>
  <c r="H358" i="1"/>
  <c r="H353" i="1"/>
  <c r="H349" i="1"/>
  <c r="H347" i="1"/>
  <c r="H339" i="1"/>
  <c r="H337" i="1"/>
  <c r="H335" i="1"/>
  <c r="H334" i="1"/>
  <c r="H333" i="1"/>
  <c r="H331" i="1"/>
  <c r="H329" i="1"/>
  <c r="H323" i="1"/>
  <c r="H322" i="1"/>
  <c r="H318" i="1"/>
  <c r="H317" i="1"/>
  <c r="H311" i="1"/>
  <c r="H310" i="1"/>
  <c r="H308" i="1"/>
  <c r="H304" i="1"/>
  <c r="H303" i="1"/>
  <c r="H302" i="1"/>
  <c r="H295" i="1"/>
  <c r="H291" i="1"/>
  <c r="H287" i="1"/>
  <c r="H284" i="1"/>
  <c r="H279" i="1"/>
  <c r="H272" i="1"/>
  <c r="H270" i="1"/>
  <c r="H263" i="1"/>
  <c r="H260" i="1"/>
  <c r="H252" i="1"/>
  <c r="H251" i="1"/>
  <c r="H247" i="1"/>
  <c r="H244" i="1"/>
  <c r="H242" i="1"/>
  <c r="H239" i="1"/>
  <c r="H238" i="1"/>
  <c r="H236" i="1"/>
  <c r="H228" i="1"/>
  <c r="H220" i="1"/>
  <c r="H218" i="1"/>
  <c r="H214" i="1"/>
  <c r="H208" i="1"/>
  <c r="H206" i="1"/>
  <c r="H196" i="1"/>
  <c r="H194" i="1"/>
  <c r="H182" i="1"/>
  <c r="H155" i="1"/>
  <c r="H148" i="1"/>
  <c r="H144" i="1"/>
  <c r="H142" i="1"/>
  <c r="H140" i="1"/>
  <c r="H127" i="1"/>
  <c r="H119" i="1"/>
  <c r="H111" i="1"/>
  <c r="H103" i="1"/>
  <c r="H99" i="1"/>
  <c r="H98" i="1"/>
  <c r="H95" i="1"/>
  <c r="H92" i="1"/>
  <c r="H84" i="1"/>
  <c r="H78" i="1"/>
  <c r="H76" i="1"/>
  <c r="H75" i="1"/>
  <c r="I150" i="1" l="1"/>
  <c r="H400" i="1"/>
  <c r="I400" i="1"/>
  <c r="H52" i="1"/>
  <c r="I52" i="1"/>
  <c r="H4" i="1"/>
  <c r="I4" i="1"/>
  <c r="H11" i="1"/>
  <c r="I11" i="1"/>
  <c r="H19" i="1"/>
  <c r="I19" i="1"/>
  <c r="H27" i="1"/>
  <c r="I27" i="1"/>
  <c r="H35" i="1"/>
  <c r="I35" i="1"/>
  <c r="H43" i="1"/>
  <c r="I43" i="1"/>
  <c r="H51" i="1"/>
  <c r="I51" i="1"/>
  <c r="H58" i="1"/>
  <c r="I58" i="1"/>
  <c r="H66" i="1"/>
  <c r="I66" i="1"/>
  <c r="H74" i="1"/>
  <c r="I74" i="1"/>
  <c r="H82" i="1"/>
  <c r="I82" i="1"/>
  <c r="H90" i="1"/>
  <c r="I90" i="1"/>
  <c r="I98" i="1"/>
  <c r="H106" i="1"/>
  <c r="I106" i="1"/>
  <c r="H114" i="1"/>
  <c r="I114" i="1"/>
  <c r="H122" i="1"/>
  <c r="I122" i="1"/>
  <c r="H130" i="1"/>
  <c r="I130" i="1"/>
  <c r="H138" i="1"/>
  <c r="I138" i="1"/>
  <c r="H146" i="1"/>
  <c r="I146" i="1"/>
  <c r="H154" i="1"/>
  <c r="I154" i="1"/>
  <c r="H162" i="1"/>
  <c r="I162" i="1"/>
  <c r="H170" i="1"/>
  <c r="I170" i="1"/>
  <c r="H178" i="1"/>
  <c r="I178" i="1"/>
  <c r="H186" i="1"/>
  <c r="I186" i="1"/>
  <c r="I194" i="1"/>
  <c r="H202" i="1"/>
  <c r="I202" i="1"/>
  <c r="H210" i="1"/>
  <c r="I210" i="1"/>
  <c r="I218" i="1"/>
  <c r="H226" i="1"/>
  <c r="I226" i="1"/>
  <c r="H234" i="1"/>
  <c r="I234" i="1"/>
  <c r="I242" i="1"/>
  <c r="H250" i="1"/>
  <c r="I250" i="1"/>
  <c r="H258" i="1"/>
  <c r="I258" i="1"/>
  <c r="H266" i="1"/>
  <c r="I266" i="1"/>
  <c r="H274" i="1"/>
  <c r="I274" i="1"/>
  <c r="H282" i="1"/>
  <c r="I282" i="1"/>
  <c r="H290" i="1"/>
  <c r="I290" i="1"/>
  <c r="H298" i="1"/>
  <c r="I298" i="1"/>
  <c r="H306" i="1"/>
  <c r="I306" i="1"/>
  <c r="H313" i="1"/>
  <c r="I313" i="1"/>
  <c r="H321" i="1"/>
  <c r="I321" i="1"/>
  <c r="I329" i="1"/>
  <c r="I337" i="1"/>
  <c r="H345" i="1"/>
  <c r="I345" i="1"/>
  <c r="I353" i="1"/>
  <c r="I361" i="1"/>
  <c r="H369" i="1"/>
  <c r="I369" i="1"/>
  <c r="H377" i="1"/>
  <c r="I377" i="1"/>
  <c r="H385" i="1"/>
  <c r="I385" i="1"/>
  <c r="H393" i="1"/>
  <c r="I393" i="1"/>
  <c r="H408" i="1"/>
  <c r="I408" i="1"/>
  <c r="H3" i="1"/>
  <c r="I3" i="1"/>
  <c r="H12" i="1"/>
  <c r="I12" i="1"/>
  <c r="H20" i="1"/>
  <c r="I20" i="1"/>
  <c r="H28" i="1"/>
  <c r="I28" i="1"/>
  <c r="H36" i="1"/>
  <c r="I36" i="1"/>
  <c r="H44" i="1"/>
  <c r="I44" i="1"/>
  <c r="H59" i="1"/>
  <c r="I59" i="1"/>
  <c r="H67" i="1"/>
  <c r="I67" i="1"/>
  <c r="I75" i="1"/>
  <c r="H83" i="1"/>
  <c r="I83" i="1"/>
  <c r="H91" i="1"/>
  <c r="I91" i="1"/>
  <c r="I99" i="1"/>
  <c r="H107" i="1"/>
  <c r="I107" i="1"/>
  <c r="H115" i="1"/>
  <c r="I115" i="1"/>
  <c r="H123" i="1"/>
  <c r="I123" i="1"/>
  <c r="I131" i="1"/>
  <c r="H139" i="1"/>
  <c r="I139" i="1"/>
  <c r="H147" i="1"/>
  <c r="I147" i="1"/>
  <c r="I155" i="1"/>
  <c r="I163" i="1"/>
  <c r="H171" i="1"/>
  <c r="I171" i="1"/>
  <c r="H179" i="1"/>
  <c r="I179" i="1"/>
  <c r="I187" i="1"/>
  <c r="H195" i="1"/>
  <c r="I195" i="1"/>
  <c r="H203" i="1"/>
  <c r="I203" i="1"/>
  <c r="H211" i="1"/>
  <c r="I211" i="1"/>
  <c r="H219" i="1"/>
  <c r="I219" i="1"/>
  <c r="H227" i="1"/>
  <c r="I227" i="1"/>
  <c r="H235" i="1"/>
  <c r="I235" i="1"/>
  <c r="H243" i="1"/>
  <c r="I243" i="1"/>
  <c r="I251" i="1"/>
  <c r="H259" i="1"/>
  <c r="I259" i="1"/>
  <c r="H267" i="1"/>
  <c r="I267" i="1"/>
  <c r="H275" i="1"/>
  <c r="I275" i="1"/>
  <c r="H283" i="1"/>
  <c r="I283" i="1"/>
  <c r="I291" i="1"/>
  <c r="H299" i="1"/>
  <c r="I299" i="1"/>
  <c r="H307" i="1"/>
  <c r="I307" i="1"/>
  <c r="H314" i="1"/>
  <c r="I314" i="1"/>
  <c r="I322" i="1"/>
  <c r="H330" i="1"/>
  <c r="I330" i="1"/>
  <c r="H338" i="1"/>
  <c r="I338" i="1"/>
  <c r="H346" i="1"/>
  <c r="I346" i="1"/>
  <c r="H354" i="1"/>
  <c r="I354" i="1"/>
  <c r="H362" i="1"/>
  <c r="I362" i="1"/>
  <c r="H370" i="1"/>
  <c r="I370" i="1"/>
  <c r="H378" i="1"/>
  <c r="I378" i="1"/>
  <c r="H386" i="1"/>
  <c r="I386" i="1"/>
  <c r="H394" i="1"/>
  <c r="I394" i="1"/>
  <c r="I401" i="1"/>
  <c r="I409" i="1"/>
  <c r="H2" i="1"/>
  <c r="I2" i="1"/>
  <c r="H13" i="1"/>
  <c r="I13" i="1"/>
  <c r="H21" i="1"/>
  <c r="I21" i="1"/>
  <c r="H29" i="1"/>
  <c r="I29" i="1"/>
  <c r="H37" i="1"/>
  <c r="I37" i="1"/>
  <c r="H45" i="1"/>
  <c r="I45" i="1"/>
  <c r="H60" i="1"/>
  <c r="I60" i="1"/>
  <c r="H68" i="1"/>
  <c r="I68" i="1"/>
  <c r="I76" i="1"/>
  <c r="I84" i="1"/>
  <c r="I92" i="1"/>
  <c r="H100" i="1"/>
  <c r="I100" i="1"/>
  <c r="H108" i="1"/>
  <c r="I108" i="1"/>
  <c r="H116" i="1"/>
  <c r="I116" i="1"/>
  <c r="H124" i="1"/>
  <c r="I124" i="1"/>
  <c r="H132" i="1"/>
  <c r="I132" i="1"/>
  <c r="I140" i="1"/>
  <c r="I148" i="1"/>
  <c r="H156" i="1"/>
  <c r="I156" i="1"/>
  <c r="H164" i="1"/>
  <c r="I164" i="1"/>
  <c r="H172" i="1"/>
  <c r="I172" i="1"/>
  <c r="H180" i="1"/>
  <c r="I180" i="1"/>
  <c r="H188" i="1"/>
  <c r="I188" i="1"/>
  <c r="I196" i="1"/>
  <c r="H204" i="1"/>
  <c r="I204" i="1"/>
  <c r="H212" i="1"/>
  <c r="I212" i="1"/>
  <c r="I220" i="1"/>
  <c r="I228" i="1"/>
  <c r="I236" i="1"/>
  <c r="I244" i="1"/>
  <c r="I252" i="1"/>
  <c r="I260" i="1"/>
  <c r="H268" i="1"/>
  <c r="I268" i="1"/>
  <c r="H276" i="1"/>
  <c r="I276" i="1"/>
  <c r="I284" i="1"/>
  <c r="I292" i="1"/>
  <c r="I300" i="1"/>
  <c r="I308" i="1"/>
  <c r="H315" i="1"/>
  <c r="I315" i="1"/>
  <c r="I323" i="1"/>
  <c r="I331" i="1"/>
  <c r="I339" i="1"/>
  <c r="I347" i="1"/>
  <c r="H355" i="1"/>
  <c r="I355" i="1"/>
  <c r="H363" i="1"/>
  <c r="I363" i="1"/>
  <c r="I371" i="1"/>
  <c r="I379" i="1"/>
  <c r="I387" i="1"/>
  <c r="I395" i="1"/>
  <c r="H402" i="1"/>
  <c r="I402" i="1"/>
  <c r="I410" i="1"/>
  <c r="H6" i="1"/>
  <c r="I6" i="1"/>
  <c r="H14" i="1"/>
  <c r="I14" i="1"/>
  <c r="H22" i="1"/>
  <c r="I22" i="1"/>
  <c r="H30" i="1"/>
  <c r="I30" i="1"/>
  <c r="H38" i="1"/>
  <c r="I38" i="1"/>
  <c r="H46" i="1"/>
  <c r="I46" i="1"/>
  <c r="H53" i="1"/>
  <c r="I53" i="1"/>
  <c r="H61" i="1"/>
  <c r="I61" i="1"/>
  <c r="H69" i="1"/>
  <c r="I69" i="1"/>
  <c r="H77" i="1"/>
  <c r="I77" i="1"/>
  <c r="H85" i="1"/>
  <c r="I85" i="1"/>
  <c r="H93" i="1"/>
  <c r="I93" i="1"/>
  <c r="H101" i="1"/>
  <c r="I101" i="1"/>
  <c r="H109" i="1"/>
  <c r="I109" i="1"/>
  <c r="H117" i="1"/>
  <c r="I117" i="1"/>
  <c r="H125" i="1"/>
  <c r="I125" i="1"/>
  <c r="H133" i="1"/>
  <c r="I133" i="1"/>
  <c r="H141" i="1"/>
  <c r="I141" i="1"/>
  <c r="H149" i="1"/>
  <c r="I149" i="1"/>
  <c r="H157" i="1"/>
  <c r="I157" i="1"/>
  <c r="H165" i="1"/>
  <c r="I165" i="1"/>
  <c r="H173" i="1"/>
  <c r="I173" i="1"/>
  <c r="H181" i="1"/>
  <c r="I181" i="1"/>
  <c r="H189" i="1"/>
  <c r="I189" i="1"/>
  <c r="H197" i="1"/>
  <c r="I197" i="1"/>
  <c r="H205" i="1"/>
  <c r="I205" i="1"/>
  <c r="H213" i="1"/>
  <c r="I213" i="1"/>
  <c r="H221" i="1"/>
  <c r="I221" i="1"/>
  <c r="H229" i="1"/>
  <c r="I229" i="1"/>
  <c r="H237" i="1"/>
  <c r="I237" i="1"/>
  <c r="H245" i="1"/>
  <c r="I245" i="1"/>
  <c r="H253" i="1"/>
  <c r="I253" i="1"/>
  <c r="H261" i="1"/>
  <c r="I261" i="1"/>
  <c r="H269" i="1"/>
  <c r="I269" i="1"/>
  <c r="H277" i="1"/>
  <c r="I277" i="1"/>
  <c r="H285" i="1"/>
  <c r="I285" i="1"/>
  <c r="H293" i="1"/>
  <c r="I293" i="1"/>
  <c r="H301" i="1"/>
  <c r="I301" i="1"/>
  <c r="H309" i="1"/>
  <c r="I309" i="1"/>
  <c r="H316" i="1"/>
  <c r="I316" i="1"/>
  <c r="H324" i="1"/>
  <c r="I324" i="1"/>
  <c r="H332" i="1"/>
  <c r="I332" i="1"/>
  <c r="H340" i="1"/>
  <c r="I340" i="1"/>
  <c r="H348" i="1"/>
  <c r="I348" i="1"/>
  <c r="H356" i="1"/>
  <c r="I356" i="1"/>
  <c r="H364" i="1"/>
  <c r="I364" i="1"/>
  <c r="H372" i="1"/>
  <c r="I372" i="1"/>
  <c r="H380" i="1"/>
  <c r="I380" i="1"/>
  <c r="H388" i="1"/>
  <c r="I388" i="1"/>
  <c r="H396" i="1"/>
  <c r="I396" i="1"/>
  <c r="I403" i="1"/>
  <c r="I411" i="1"/>
  <c r="H7" i="1"/>
  <c r="I7" i="1"/>
  <c r="H15" i="1"/>
  <c r="I15" i="1"/>
  <c r="H23" i="1"/>
  <c r="I23" i="1"/>
  <c r="H31" i="1"/>
  <c r="I31" i="1"/>
  <c r="H39" i="1"/>
  <c r="I39" i="1"/>
  <c r="H47" i="1"/>
  <c r="I47" i="1"/>
  <c r="H54" i="1"/>
  <c r="I54" i="1"/>
  <c r="H62" i="1"/>
  <c r="I62" i="1"/>
  <c r="H70" i="1"/>
  <c r="I70" i="1"/>
  <c r="I78" i="1"/>
  <c r="H86" i="1"/>
  <c r="I86" i="1"/>
  <c r="H94" i="1"/>
  <c r="I94" i="1"/>
  <c r="H102" i="1"/>
  <c r="I102" i="1"/>
  <c r="H110" i="1"/>
  <c r="I110" i="1"/>
  <c r="H118" i="1"/>
  <c r="I118" i="1"/>
  <c r="H126" i="1"/>
  <c r="I126" i="1"/>
  <c r="H134" i="1"/>
  <c r="I134" i="1"/>
  <c r="I142" i="1"/>
  <c r="H158" i="1"/>
  <c r="I158" i="1"/>
  <c r="H166" i="1"/>
  <c r="I166" i="1"/>
  <c r="H174" i="1"/>
  <c r="I174" i="1"/>
  <c r="I182" i="1"/>
  <c r="H190" i="1"/>
  <c r="I190" i="1"/>
  <c r="H198" i="1"/>
  <c r="I198" i="1"/>
  <c r="I206" i="1"/>
  <c r="I214" i="1"/>
  <c r="H222" i="1"/>
  <c r="I222" i="1"/>
  <c r="H230" i="1"/>
  <c r="I230" i="1"/>
  <c r="I238" i="1"/>
  <c r="H246" i="1"/>
  <c r="I246" i="1"/>
  <c r="H254" i="1"/>
  <c r="I254" i="1"/>
  <c r="H262" i="1"/>
  <c r="I262" i="1"/>
  <c r="I270" i="1"/>
  <c r="H278" i="1"/>
  <c r="I278" i="1"/>
  <c r="H286" i="1"/>
  <c r="I286" i="1"/>
  <c r="H294" i="1"/>
  <c r="I294" i="1"/>
  <c r="I302" i="1"/>
  <c r="I310" i="1"/>
  <c r="I317" i="1"/>
  <c r="H325" i="1"/>
  <c r="I325" i="1"/>
  <c r="I333" i="1"/>
  <c r="H341" i="1"/>
  <c r="I341" i="1"/>
  <c r="I349" i="1"/>
  <c r="H357" i="1"/>
  <c r="I357" i="1"/>
  <c r="H365" i="1"/>
  <c r="I365" i="1"/>
  <c r="I373" i="1"/>
  <c r="I381" i="1"/>
  <c r="I389" i="1"/>
  <c r="I397" i="1"/>
  <c r="H404" i="1"/>
  <c r="I404" i="1"/>
  <c r="H412" i="1"/>
  <c r="I412" i="1"/>
  <c r="H8" i="1"/>
  <c r="I8" i="1"/>
  <c r="H16" i="1"/>
  <c r="I16" i="1"/>
  <c r="H24" i="1"/>
  <c r="I24" i="1"/>
  <c r="H32" i="1"/>
  <c r="I32" i="1"/>
  <c r="H40" i="1"/>
  <c r="I40" i="1"/>
  <c r="H48" i="1"/>
  <c r="I48" i="1"/>
  <c r="H55" i="1"/>
  <c r="I55" i="1"/>
  <c r="H63" i="1"/>
  <c r="I63" i="1"/>
  <c r="H71" i="1"/>
  <c r="I71" i="1"/>
  <c r="H79" i="1"/>
  <c r="I79" i="1"/>
  <c r="H87" i="1"/>
  <c r="I87" i="1"/>
  <c r="I95" i="1"/>
  <c r="I103" i="1"/>
  <c r="I111" i="1"/>
  <c r="I119" i="1"/>
  <c r="I127" i="1"/>
  <c r="I135" i="1"/>
  <c r="I143" i="1"/>
  <c r="I151" i="1"/>
  <c r="H159" i="1"/>
  <c r="I159" i="1"/>
  <c r="I167" i="1"/>
  <c r="I175" i="1"/>
  <c r="H183" i="1"/>
  <c r="I183" i="1"/>
  <c r="I191" i="1"/>
  <c r="I199" i="1"/>
  <c r="I207" i="1"/>
  <c r="I215" i="1"/>
  <c r="I223" i="1"/>
  <c r="I231" i="1"/>
  <c r="I239" i="1"/>
  <c r="I247" i="1"/>
  <c r="I255" i="1"/>
  <c r="I263" i="1"/>
  <c r="H271" i="1"/>
  <c r="I271" i="1"/>
  <c r="I279" i="1"/>
  <c r="I287" i="1"/>
  <c r="I295" i="1"/>
  <c r="I303" i="1"/>
  <c r="I311" i="1"/>
  <c r="I318" i="1"/>
  <c r="H326" i="1"/>
  <c r="I326" i="1"/>
  <c r="I334" i="1"/>
  <c r="I342" i="1"/>
  <c r="H350" i="1"/>
  <c r="I350" i="1"/>
  <c r="I358" i="1"/>
  <c r="I366" i="1"/>
  <c r="I374" i="1"/>
  <c r="I382" i="1"/>
  <c r="I390" i="1"/>
  <c r="I398" i="1"/>
  <c r="I405" i="1"/>
  <c r="H5" i="1"/>
  <c r="I5" i="1"/>
  <c r="H9" i="1"/>
  <c r="I9" i="1"/>
  <c r="H17" i="1"/>
  <c r="I17" i="1"/>
  <c r="H25" i="1"/>
  <c r="I25" i="1"/>
  <c r="H33" i="1"/>
  <c r="I33" i="1"/>
  <c r="H41" i="1"/>
  <c r="I41" i="1"/>
  <c r="H49" i="1"/>
  <c r="I49" i="1"/>
  <c r="H56" i="1"/>
  <c r="I56" i="1"/>
  <c r="H64" i="1"/>
  <c r="I64" i="1"/>
  <c r="H72" i="1"/>
  <c r="I72" i="1"/>
  <c r="I80" i="1"/>
  <c r="H88" i="1"/>
  <c r="I88" i="1"/>
  <c r="H96" i="1"/>
  <c r="I96" i="1"/>
  <c r="H104" i="1"/>
  <c r="I104" i="1"/>
  <c r="I112" i="1"/>
  <c r="H120" i="1"/>
  <c r="I120" i="1"/>
  <c r="H128" i="1"/>
  <c r="I128" i="1"/>
  <c r="I136" i="1"/>
  <c r="I144" i="1"/>
  <c r="H152" i="1"/>
  <c r="I152" i="1"/>
  <c r="H160" i="1"/>
  <c r="I160" i="1"/>
  <c r="H168" i="1"/>
  <c r="I168" i="1"/>
  <c r="H176" i="1"/>
  <c r="I176" i="1"/>
  <c r="I184" i="1"/>
  <c r="H192" i="1"/>
  <c r="I192" i="1"/>
  <c r="I200" i="1"/>
  <c r="I208" i="1"/>
  <c r="H216" i="1"/>
  <c r="I216" i="1"/>
  <c r="H224" i="1"/>
  <c r="I224" i="1"/>
  <c r="H232" i="1"/>
  <c r="I232" i="1"/>
  <c r="H240" i="1"/>
  <c r="I240" i="1"/>
  <c r="H248" i="1"/>
  <c r="I248" i="1"/>
  <c r="H256" i="1"/>
  <c r="I256" i="1"/>
  <c r="I264" i="1"/>
  <c r="I272" i="1"/>
  <c r="H280" i="1"/>
  <c r="I280" i="1"/>
  <c r="H288" i="1"/>
  <c r="I288" i="1"/>
  <c r="I296" i="1"/>
  <c r="I304" i="1"/>
  <c r="H319" i="1"/>
  <c r="I319" i="1"/>
  <c r="I327" i="1"/>
  <c r="I335" i="1"/>
  <c r="H343" i="1"/>
  <c r="I343" i="1"/>
  <c r="H351" i="1"/>
  <c r="I351" i="1"/>
  <c r="I359" i="1"/>
  <c r="I367" i="1"/>
  <c r="I375" i="1"/>
  <c r="H383" i="1"/>
  <c r="I383" i="1"/>
  <c r="I391" i="1"/>
  <c r="H399" i="1"/>
  <c r="I399" i="1"/>
  <c r="H406" i="1"/>
  <c r="I406" i="1"/>
  <c r="H10" i="1"/>
  <c r="I10" i="1"/>
  <c r="H18" i="1"/>
  <c r="I18" i="1"/>
  <c r="H26" i="1"/>
  <c r="I26" i="1"/>
  <c r="H34" i="1"/>
  <c r="I34" i="1"/>
  <c r="H42" i="1"/>
  <c r="I42" i="1"/>
  <c r="H50" i="1"/>
  <c r="I50" i="1"/>
  <c r="H57" i="1"/>
  <c r="I57" i="1"/>
  <c r="H65" i="1"/>
  <c r="I65" i="1"/>
  <c r="H73" i="1"/>
  <c r="I73" i="1"/>
  <c r="H81" i="1"/>
  <c r="I81" i="1"/>
  <c r="H89" i="1"/>
  <c r="I89" i="1"/>
  <c r="H97" i="1"/>
  <c r="I97" i="1"/>
  <c r="H105" i="1"/>
  <c r="I105" i="1"/>
  <c r="H113" i="1"/>
  <c r="I113" i="1"/>
  <c r="H121" i="1"/>
  <c r="I121" i="1"/>
  <c r="H129" i="1"/>
  <c r="I129" i="1"/>
  <c r="H137" i="1"/>
  <c r="I137" i="1"/>
  <c r="H145" i="1"/>
  <c r="I145" i="1"/>
  <c r="H153" i="1"/>
  <c r="I153" i="1"/>
  <c r="H161" i="1"/>
  <c r="I161" i="1"/>
  <c r="H169" i="1"/>
  <c r="I169" i="1"/>
  <c r="H177" i="1"/>
  <c r="I177" i="1"/>
  <c r="H185" i="1"/>
  <c r="I185" i="1"/>
  <c r="H193" i="1"/>
  <c r="I193" i="1"/>
  <c r="H201" i="1"/>
  <c r="I201" i="1"/>
  <c r="H209" i="1"/>
  <c r="I209" i="1"/>
  <c r="H217" i="1"/>
  <c r="I217" i="1"/>
  <c r="H225" i="1"/>
  <c r="I225" i="1"/>
  <c r="H233" i="1"/>
  <c r="I233" i="1"/>
  <c r="H241" i="1"/>
  <c r="I241" i="1"/>
  <c r="H249" i="1"/>
  <c r="I249" i="1"/>
  <c r="H257" i="1"/>
  <c r="I257" i="1"/>
  <c r="H265" i="1"/>
  <c r="I265" i="1"/>
  <c r="H273" i="1"/>
  <c r="I273" i="1"/>
  <c r="H281" i="1"/>
  <c r="I281" i="1"/>
  <c r="H289" i="1"/>
  <c r="I289" i="1"/>
  <c r="H297" i="1"/>
  <c r="I297" i="1"/>
  <c r="H305" i="1"/>
  <c r="I305" i="1"/>
  <c r="H312" i="1"/>
  <c r="I312" i="1"/>
  <c r="H320" i="1"/>
  <c r="I320" i="1"/>
  <c r="H328" i="1"/>
  <c r="I328" i="1"/>
  <c r="H336" i="1"/>
  <c r="I336" i="1"/>
  <c r="H344" i="1"/>
  <c r="I344" i="1"/>
  <c r="H352" i="1"/>
  <c r="I352" i="1"/>
  <c r="H360" i="1"/>
  <c r="I360" i="1"/>
  <c r="H368" i="1"/>
  <c r="I368" i="1"/>
  <c r="H376" i="1"/>
  <c r="I376" i="1"/>
  <c r="H384" i="1"/>
  <c r="I384" i="1"/>
  <c r="H392" i="1"/>
  <c r="I392" i="1"/>
  <c r="H407" i="1"/>
  <c r="I4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Emircan Aslanhan</author>
  </authors>
  <commentList>
    <comment ref="V118" authorId="0" shapeId="0" xr:uid="{E661DA21-1AEF-4B8F-9D10-D8D90C3E006E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Bu müşteriyi ne yapalım?
</t>
        </r>
      </text>
    </comment>
    <comment ref="W140" authorId="0" shapeId="0" xr:uid="{E19C8F6B-C4B6-47F6-8960-70E492B50D3F}">
      <text>
        <r>
          <rPr>
            <sz val="9"/>
            <color indexed="81"/>
            <rFont val="Tahoma"/>
            <charset val="1"/>
          </rPr>
          <t xml:space="preserve">
Contract Date</t>
        </r>
      </text>
    </comment>
    <comment ref="W158" authorId="0" shapeId="0" xr:uid="{3B501AAE-F8AA-4CA8-AB61-85D52DF1B1BE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Contract Date</t>
        </r>
      </text>
    </comment>
    <comment ref="Q181" authorId="0" shapeId="0" xr:uid="{13EE9BEC-5442-4099-8642-DE3995EC5C4D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Risk excelinde churn yazıyor ama gelir getirmeye devam ediyor</t>
        </r>
      </text>
    </comment>
    <comment ref="W213" authorId="0" shapeId="0" xr:uid="{14906679-12FE-4D03-A4AF-78E7A713BC2F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Contract Date</t>
        </r>
      </text>
    </comment>
    <comment ref="V258" authorId="0" shapeId="0" xr:uid="{19E505E6-2D4B-4398-811B-F8E4452D6F10}">
      <text>
        <r>
          <rPr>
            <b/>
            <sz val="9"/>
            <color indexed="81"/>
            <rFont val="Tahoma"/>
            <charset val="1"/>
          </rPr>
          <t xml:space="preserve">Contract Date'den dolayı Yes dönüyordu
</t>
        </r>
      </text>
    </comment>
    <comment ref="W258" authorId="0" shapeId="0" xr:uid="{B279D112-7B7E-4BB9-AAD9-F5E66E63EC01}">
      <text>
        <r>
          <rPr>
            <b/>
            <sz val="9"/>
            <color indexed="81"/>
            <rFont val="Tahoma"/>
            <charset val="1"/>
          </rPr>
          <t>Contract Date</t>
        </r>
      </text>
    </comment>
    <comment ref="V326" authorId="0" shapeId="0" xr:uid="{91DF6CA1-47E9-439D-BCFF-926A33E4E6DC}">
      <text>
        <r>
          <rPr>
            <b/>
            <sz val="9"/>
            <color indexed="81"/>
            <rFont val="Tahoma"/>
            <charset val="1"/>
          </rPr>
          <t xml:space="preserve">Contract Date
</t>
        </r>
      </text>
    </comment>
    <comment ref="W337" authorId="0" shapeId="0" xr:uid="{961F049E-40CE-4F4F-BD06-F8EEC21E85A8}">
      <text>
        <r>
          <rPr>
            <sz val="9"/>
            <color indexed="81"/>
            <rFont val="Tahoma"/>
            <charset val="1"/>
          </rPr>
          <t>Contract Date</t>
        </r>
      </text>
    </comment>
    <comment ref="BF342" authorId="0" shapeId="0" xr:uid="{BF6F09AB-EF7B-4605-83B7-08A88117E054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KISMİ CHURN OLMUŞ
</t>
        </r>
      </text>
    </comment>
    <comment ref="V359" authorId="0" shapeId="0" xr:uid="{BA6EB576-EB95-472A-89D4-717913810B26}">
      <text>
        <r>
          <rPr>
            <b/>
            <sz val="9"/>
            <color indexed="81"/>
            <rFont val="Tahoma"/>
            <charset val="1"/>
          </rPr>
          <t xml:space="preserve">Contract date
</t>
        </r>
      </text>
    </comment>
    <comment ref="V360" authorId="0" shapeId="0" xr:uid="{0400BA3F-425F-4001-B42A-EC0B5182A3C5}">
      <text>
        <r>
          <rPr>
            <b/>
            <sz val="9"/>
            <color indexed="81"/>
            <rFont val="Tahoma"/>
            <charset val="1"/>
          </rPr>
          <t>Contract Date</t>
        </r>
      </text>
    </comment>
    <comment ref="W362" authorId="0" shapeId="0" xr:uid="{AB926962-75E2-47FB-BCC9-6961BEF2EAE5}">
      <text>
        <r>
          <rPr>
            <b/>
            <sz val="9"/>
            <color indexed="81"/>
            <rFont val="Tahoma"/>
            <charset val="1"/>
          </rPr>
          <t>Contract Date</t>
        </r>
      </text>
    </comment>
    <comment ref="V363" authorId="0" shapeId="0" xr:uid="{D1198CD6-E243-470D-921F-4EEB8EEB1824}">
      <text>
        <r>
          <rPr>
            <b/>
            <sz val="9"/>
            <color indexed="81"/>
            <rFont val="Tahoma"/>
            <charset val="1"/>
          </rPr>
          <t xml:space="preserve">Contract Date
</t>
        </r>
      </text>
    </comment>
    <comment ref="V396" authorId="0" shapeId="0" xr:uid="{B18A0541-D5C4-421B-8395-CADDB1535F7F}">
      <text>
        <r>
          <rPr>
            <b/>
            <sz val="9"/>
            <color indexed="81"/>
            <rFont val="Tahoma"/>
            <charset val="1"/>
          </rPr>
          <t>Contract date</t>
        </r>
      </text>
    </comment>
    <comment ref="E397" authorId="0" shapeId="0" xr:uid="{58EAF98D-18F0-4E3C-BD05-80FFBB2AFBEB}">
      <text>
        <r>
          <rPr>
            <b/>
            <sz val="9"/>
            <color indexed="81"/>
            <rFont val="Tahoma"/>
            <charset val="1"/>
          </rPr>
          <t xml:space="preserve">İstisna tam 12 ay sonra geiiri yok tek aylığına müşterinin
</t>
        </r>
      </text>
    </comment>
    <comment ref="Q438" authorId="0" shapeId="0" xr:uid="{0BE43C4F-894D-4945-8093-C2A294AC1B7C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CHURN gözüküyorlar ama riskte booked churn</t>
        </r>
      </text>
    </comment>
    <comment ref="Q441" authorId="0" shapeId="0" xr:uid="{D4746891-E49A-49F7-8D43-8799EB2F2A3F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CHURN gözüküyorlar ama riskte booked churn</t>
        </r>
      </text>
    </comment>
    <comment ref="Q443" authorId="0" shapeId="0" xr:uid="{C18E9AFF-CBA1-46E3-82DB-6C5B0D294C03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CHURN gözüküyorlar ama riskte booked churn</t>
        </r>
      </text>
    </comment>
    <comment ref="Q449" authorId="0" shapeId="0" xr:uid="{7DEFB46E-E388-4734-B7F5-5815191F2C14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CHURN gözüküyorlar ama riskte booked churn</t>
        </r>
      </text>
    </comment>
    <comment ref="Q450" authorId="0" shapeId="0" xr:uid="{889A8EDA-B941-4928-9715-A491C4F94EE5}">
      <text>
        <r>
          <rPr>
            <b/>
            <sz val="9"/>
            <color indexed="81"/>
            <rFont val="Tahoma"/>
            <charset val="1"/>
          </rPr>
          <t>Emircan Aslanhan:</t>
        </r>
        <r>
          <rPr>
            <sz val="9"/>
            <color indexed="81"/>
            <rFont val="Tahoma"/>
            <charset val="1"/>
          </rPr>
          <t xml:space="preserve">
Riskte HİGH RİSKTİ ama zihni abinin churn listesinde vardı. CHURN yaptım.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<sst xmlns="http://schemas.openxmlformats.org/spreadsheetml/2006/main" count="2661" uniqueCount="706">
  <si>
    <t>2 DESIGN MIMARLIK INS. SAN. VE TIC. A.S.</t>
  </si>
  <si>
    <t>ACTIFIT SPOR VE SAĞLIK HİZMETLERİ SANAYİ VE TİCARE</t>
  </si>
  <si>
    <t>MAYA HOLDING - ADMA ALISVERIS</t>
  </si>
  <si>
    <t>AGDAS ADAPAZARI GAZ DAGITIM A.S.</t>
  </si>
  <si>
    <t>AGİTO BİLGİSAYAR VE DANIŞMANLIK HİZMETLERİ</t>
  </si>
  <si>
    <t>AKS GÜMRÜK MÜSAVIRLIK LTD. STI.</t>
  </si>
  <si>
    <t>AKSISTEM ELEK.SAN.VE TIC.LTD.STI.</t>
  </si>
  <si>
    <t>AKSOY PLASTIK SANAYI VE TIC. A.S.</t>
  </si>
  <si>
    <t>ALESTA SIGORTA</t>
  </si>
  <si>
    <t>ALPEGE ENDÜSTRIYEL METROLOJI SAN. VE HIZ. DIS. TIC</t>
  </si>
  <si>
    <t>ANTIK DANTEL SAN.TIC.A.S.</t>
  </si>
  <si>
    <t>ARENA BILGISAYAR</t>
  </si>
  <si>
    <t>ARI DÖKÜM MAK.SAN.VE TIC.LTD.STI.</t>
  </si>
  <si>
    <t>ARTI SINERJI BILISIM TEKNOLOJILERI TIC.LTD.STI.</t>
  </si>
  <si>
    <t>ARTSANA TURKEY ( CHICCO )</t>
  </si>
  <si>
    <t>ASE ASYA AFRİKA HIZLI LOJİSTİK SİSTEMLERİ ANONİM Ş</t>
  </si>
  <si>
    <t>ASİMETRİK SES IŞIK ve GÖRÜNTÜ SİSTEMLERİ AŞ (ASF)</t>
  </si>
  <si>
    <t>ATAKO TASIMACILIK DENIZCILIK A.S.</t>
  </si>
  <si>
    <t>ATG BİLİŞİM TEKNOLOJİLERİ ENDÜSTRİSİ LTD ŞTİ</t>
  </si>
  <si>
    <t>B2 YAZILIM A.S.</t>
  </si>
  <si>
    <t>BAKLAVACI GÜLLÜOGLU MEHMET NEJAT GÜLLÜ GIDA SAN.VE</t>
  </si>
  <si>
    <t>BANK OF BAHRAIN AND KUWAIT TÜRKIYE TEMS. OF. (BBK)</t>
  </si>
  <si>
    <t>BARIT MADEN TÜRK A.S.</t>
  </si>
  <si>
    <t>EDU ÇEVİRİ HİZMETLERİ LİMİTED ŞİRKETİ (BARLAS)</t>
  </si>
  <si>
    <t>BATI EGITIM INSAAT VE TURIZM HIZ. A.S.</t>
  </si>
  <si>
    <t>BELTAS BESIKTAS BELEDIYESI ISL.A.S</t>
  </si>
  <si>
    <t>BIESTERFELD PLASTIK TIC.A.S</t>
  </si>
  <si>
    <t>BİLSAR TEKSTIL SAN.VE DIS.TIC.A.S</t>
  </si>
  <si>
    <t>BIRCOM TELEKOMÜNIKASYON VE BILISIM HIZ.SAN.TIC.A.S</t>
  </si>
  <si>
    <t>BİS Çözüm Bilgisayar ve Entegrasyon Hizmetleri</t>
  </si>
  <si>
    <t>BOMBTEA GIDA IÇECEK REK.ORG.VE TIC..( DOSPRESSO )</t>
  </si>
  <si>
    <t>BOYTORUN MIMARLIK LTD.STI.</t>
  </si>
  <si>
    <t>BRANDCRAFTERS REKLAM TANITIM TASARIM ORG.IÇ VE DIS</t>
  </si>
  <si>
    <t>CAFFE NERO GIDA ÜRÜNLERI A.S.</t>
  </si>
  <si>
    <t>CAHAN AVM</t>
  </si>
  <si>
    <t>CAHAN ÇAY MMC</t>
  </si>
  <si>
    <t>CAHAN ENNA MMC</t>
  </si>
  <si>
    <t>CAHAN İNŞAAT</t>
  </si>
  <si>
    <t>CAHAN MOTORS</t>
  </si>
  <si>
    <t>CAHAN SENAYE KOMLEKSİ ASC</t>
  </si>
  <si>
    <t>CAHAN TABAK  BEYNELXALQ MMC</t>
  </si>
  <si>
    <t>CAPITOL ALISVERIS HIZ.TIC.A.S</t>
  </si>
  <si>
    <t>CCL LABEL TURKEY AMBALAJ SAN. VE TIC. A.S</t>
  </si>
  <si>
    <t>CENTRON BILGISAYAR SISTEMLERI SAN.&amp;TIC.LTD (OGNY)</t>
  </si>
  <si>
    <t>CHRONOS INSAN KAYNAKLARI DANISMANLIK LTD.STI.</t>
  </si>
  <si>
    <t>CHRONOS ISTIHDAM HIZMETLERI LTD.STI</t>
  </si>
  <si>
    <t>COMPUGROUP MEDICAL BILGI SISTEMLERI A.S. (CGM)</t>
  </si>
  <si>
    <t>DALYA GAYRIMENKUL GELISTIRME TICARET A.S</t>
  </si>
  <si>
    <t>DATA HIDROLIK MAKINA SANAYI A.S.</t>
  </si>
  <si>
    <t>DATASAFE ARSIVLEME HIZMETLERI A.S</t>
  </si>
  <si>
    <t>DB GÜMRÜK MÜŞAVİRLİĞİ LİMİTED ŞİRKET</t>
  </si>
  <si>
    <t>BDO DENET YEMİNLİ MALİ MÜŞAVİRLİK A.Ş.</t>
  </si>
  <si>
    <t>DERTEC ELEKTRONIK SES ISIK GÖRÜNTÜ SIS.SAN.TIC.LTD</t>
  </si>
  <si>
    <t>DİKEY VITAMIN KOZM.GIDATAKV. TIC.AS(SUPPLEMTLER)</t>
  </si>
  <si>
    <t>DÖNÜŞÜM OTOMOTİV VE SAN.TİC.A.Ş.</t>
  </si>
  <si>
    <t>ECE FITOTERAPI SAGLIK ÜRÜNLERI SANAYI VE TIC.A.S</t>
  </si>
  <si>
    <t>EGE SERAMIK SAN. VE TIC. A.S.</t>
  </si>
  <si>
    <t>EKSEN MEDIKAL TIBBI MALZ. VE GERÇ. PAZ. TUR. ITH.</t>
  </si>
  <si>
    <t>ELİG HUKUK BÜROSU, GÖNENÇ GÜRKAYNAK</t>
  </si>
  <si>
    <t>ENOCTA - AVEZ ELEKTRONIK ILETISIM</t>
  </si>
  <si>
    <t>ES DIL HIZ. VE DAN.TIC.A.S.</t>
  </si>
  <si>
    <t>ESM DANIŞMANLIK HİZMETLERİ AŞ.</t>
  </si>
  <si>
    <t>ESTIMA ARASTIRMA DANISMANLIK VE TIC.A.S</t>
  </si>
  <si>
    <t>ETUR TURİZM PAZARLAMA VE SEYAHAT LTD.ŞTİ.</t>
  </si>
  <si>
    <t>EVIDEA MAGAZACILIK A.S.</t>
  </si>
  <si>
    <t>EVRENSEL BAGIMSIZ DENETIM SMMM A.S</t>
  </si>
  <si>
    <t>FEILO SYLVANIA TR ELEKTRIK ÜRÜNLERI TIC. LTD.STI.</t>
  </si>
  <si>
    <t>FET RESTORAN ISLETMELERI A.S</t>
  </si>
  <si>
    <t>FRESENIUS KABI ILAÇ SAN. VE TIC. LTD. STI.</t>
  </si>
  <si>
    <t>GALSAN PLASTIK VE KALIP SAN. A.S</t>
  </si>
  <si>
    <t>GARDENSA PEYZAJ A.Ş.</t>
  </si>
  <si>
    <t>GRAND STAR TURİZM SAN.A.Ş.</t>
  </si>
  <si>
    <t>GTC İLETİŞİM DANIŞMANLIK ANONİM ŞİRKETİ</t>
  </si>
  <si>
    <t>Gülman Group - ÜSKÜDAR EĞİTİM HİZMETLERİ VE TİC.A.</t>
  </si>
  <si>
    <t>GUSTOGIYIM SAN. VE TIC. A.S</t>
  </si>
  <si>
    <t>HDI SIGORTA A.S.</t>
  </si>
  <si>
    <t>HIT REKLAM TAN. ORG.YAT.EMLAK GIDA TEKS.YAZ.DAN.IT</t>
  </si>
  <si>
    <t>HM IÇ VE DIS TICARET REKLAM. ORG.TUR. A.S.</t>
  </si>
  <si>
    <t>İBRAHİM POLAT HOLDİNG</t>
  </si>
  <si>
    <t>İBSA ILAÇ SAN VE TIC.LTD STI</t>
  </si>
  <si>
    <t>IDEASOFT YAZILIM SAN. VE TIC. A.S.</t>
  </si>
  <si>
    <t>İKİ MİMARİ PROJE VE DANIŞMANLIK A.Ş.</t>
  </si>
  <si>
    <t>İLERİ MEKANİK MAKINA KALIP IML.SAN. VETIC. A.S.</t>
  </si>
  <si>
    <t>TURASSİST SAĞLIK DESTEK HİZMETLERI ANONİM ŞİRKETİ</t>
  </si>
  <si>
    <t>INCOMET INSAAT SAN. VE TIC. LTD.STI.</t>
  </si>
  <si>
    <t>Türkiye Menkul Kıymetleştirme Şirketi (TMKS)</t>
  </si>
  <si>
    <t>INVEON BILGI TEKNOLOJILERI DANISMANLIK VE TIC. A.S</t>
  </si>
  <si>
    <t>İSTANBUL GÖMLEK GIYIM SAN.VE TIC.A.S</t>
  </si>
  <si>
    <t>İSTANBUL KÜLTÜR ÜNIVERSITESI (İKÜ)</t>
  </si>
  <si>
    <t>ISTANBUL REHBERLER ODASI</t>
  </si>
  <si>
    <t>İSTANBUL TURİZM OTELCİLİK AŞ (THE MARMARA HOTELS)</t>
  </si>
  <si>
    <t>İSTEM OKULLARI LTD.ŞTİ.</t>
  </si>
  <si>
    <t>ITO Bilgiyi Ticarilestirme ve Arastirma Vakfi Ikti</t>
  </si>
  <si>
    <t>KALANKAN MAKINA MOBILYA SAN.TIC.LTD.STI</t>
  </si>
  <si>
    <t>KALİTEST BELGELENDIRME VE EGITIM HIZMETLERI LTD.ST</t>
  </si>
  <si>
    <t>KARACA ZÜCCACIYE TICARET SANAYI A.S.</t>
  </si>
  <si>
    <t>MAYA HOLDING - KARTAL IST ALIŞVERİŞ MERKEZİ VE İŞLETMESİ A.Ş.</t>
  </si>
  <si>
    <t>KERAMIK MAKINA SAN. VE TIC.A.S.</t>
  </si>
  <si>
    <t>KIYI RESTORANT TURIZM GIDA LTD.STI.</t>
  </si>
  <si>
    <t>KOALAY - KONUT KREDISI COM TR DANISMANLIK A.S</t>
  </si>
  <si>
    <t>KONTAK ARTI İLETİŞİM HİZMETLERİ LTD.ŞTİ</t>
  </si>
  <si>
    <t>KOZA GIDA DAGITIM SAN. VE TIC. A.S.</t>
  </si>
  <si>
    <t>KOZMETIK VE TEMIZLIK ÜRÜNLERI SANAYICILERI DERNEGI</t>
  </si>
  <si>
    <t>LINK BILG.SIST.YAZILIM VE DONANIM SAN.VE TIC. AS</t>
  </si>
  <si>
    <t>LOGO YAZILIM SANAYİ TİC AŞ</t>
  </si>
  <si>
    <t>MAPPLİCO BİLGİ TEKNOLOJİLERİ ANONİM ŞİRKET</t>
  </si>
  <si>
    <t>MARGE ARAŞTIRMA GELİŞTİRME VE MÜHENDİSLİK  A.Ş.</t>
  </si>
  <si>
    <t>MARK GLOBAL LOJISTIK A.S.</t>
  </si>
  <si>
    <t>MARS LOJISTIK</t>
  </si>
  <si>
    <t>MARTAS OTOMOTIV YEDEK PARÇA TIC.VE SAN.A.S</t>
  </si>
  <si>
    <t>MATADOR ET ÜRÜNLERI VE REST.ISL.GIDA. - GÜRKAN ŞEF</t>
  </si>
  <si>
    <t>MAYA HOLDING - MAYA GAYRİMENKUL GELİŞTİRME A.Ş.</t>
  </si>
  <si>
    <t>MAYA HOLDING A.S</t>
  </si>
  <si>
    <t>MEDIALYZER MEDYA TEKNOLOJİLERİ ANONİM ŞİRKETİ</t>
  </si>
  <si>
    <t>MEDİKAL PARK HASTANELERİ (MLP CARE)</t>
  </si>
  <si>
    <t>MEDITEL MEDIKAL TEKNIK ELEKTRONIK A.S</t>
  </si>
  <si>
    <t>METRANS MAKINA ENT.ÜRN.SAN.VE TIC.A.S</t>
  </si>
  <si>
    <t>MİKRO YAZILIMEVI YAZ. HIZ. BILG. SAN.TIC. A.S.</t>
  </si>
  <si>
    <t>MIRORA ÇEVIRI LTD. STI. (MİRORA)</t>
  </si>
  <si>
    <t>MORE KONTRAT TASARIM VE INSAAT A.S.</t>
  </si>
  <si>
    <t>MOROGLU ARSEVEN AVUKATLIK ORTAKLIGI</t>
  </si>
  <si>
    <t>MSA MESLEKİ EĞİTİM VE TİCARET A.Ş.</t>
  </si>
  <si>
    <t>MTN KALIP SANAYİ VE TİCARET ANONİM ŞİRKETİ</t>
  </si>
  <si>
    <t>NEMA BAHÇE KÜLTÜRLERI ÜRETIM VE PAZARLAMA LTD.STI.</t>
  </si>
  <si>
    <t>VANORAVENTURES YAZILIM TEKNOLOJİLERİ (NO21)</t>
  </si>
  <si>
    <t>OGOO ILETISIM HIZMETLERI TICARET LIMITED SIRKETI</t>
  </si>
  <si>
    <t>OKAN KONFEKSIYON SAN. VE TIC. LTD.STI. (KİKİRİKİ)</t>
  </si>
  <si>
    <t>ONURFİX MONTAJ SİSTEMLERİ SAN. TİC. A.Ş.</t>
  </si>
  <si>
    <t>EMARAT BOSPHORUS TURIZIM (OPERA HOTEL)</t>
  </si>
  <si>
    <t>OPTIMUSFLOW YAZILIM - BARIS GÜLEÇYÜZ</t>
  </si>
  <si>
    <t>OSMANLI YATIRIM MENKUL DEGERLER A.S.</t>
  </si>
  <si>
    <t>PALMİYE TATİL KÖYÜ İŞLETMELERİ TURİZM VE TİCARET A</t>
  </si>
  <si>
    <t>PENINSULA EMLAK YATIRIM A.S.</t>
  </si>
  <si>
    <t>PESA ELEKTRIK MALZEMELERI SAN. ve TIC. LTD. STI.</t>
  </si>
  <si>
    <t>PMA BİLİŞİM A.Ş.</t>
  </si>
  <si>
    <t>POZITIF GÜMRÜK MÜSAVIRLIGI HIZMETLERI LTD. STI.</t>
  </si>
  <si>
    <t>PRO ILETISIM DAN. LTD.STI.</t>
  </si>
  <si>
    <t>PROSES MÜHENDISLIK ARITMA SISTEMLERI.INS.SAN.TIC.L</t>
  </si>
  <si>
    <t>PROTEL BILGISAYAR  A.Ş.</t>
  </si>
  <si>
    <t>PUSULA GÖRSEL VE DIJITAL PLATFORM LTD.STI.</t>
  </si>
  <si>
    <t>RAFINERI REKLAMCILIK HIZ.TIC.VE A.S</t>
  </si>
  <si>
    <t>REFORM CNC,LOJISTIK VE GERI DÖNÜSÜM SISTEMLERI GÖR</t>
  </si>
  <si>
    <t>REISSWOLF DÖKÜMAN YÖNETIMI HIZMETLERI A.S.</t>
  </si>
  <si>
    <t>REM MIMARLIK DEKORASYON RESTORASYON PROJE VE TAAH.</t>
  </si>
  <si>
    <t>SAFİ REZİSTANS IMALAT SAN.SAFI YILMAZ</t>
  </si>
  <si>
    <t>SAĞLIK BAHÇESİ EĞ. ARŞ. DAN VE İLETİŞİM A.Ş</t>
  </si>
  <si>
    <t>SAHİBİNDEN BILGI.TEKN.PAZ.VE TIC.A.S</t>
  </si>
  <si>
    <t>SAHLANLAR GIDA SAN.VE TICARET LTD.STI</t>
  </si>
  <si>
    <t>SAKLIKOY SPOR VE TUR (TAMER CANKAT)</t>
  </si>
  <si>
    <t>SANGO OTOMOTIV ÜRÜNLERI SANAYI VE TICARET A.S</t>
  </si>
  <si>
    <t>SAREM MAKINA SAN.VE TIC.LTD.STI</t>
  </si>
  <si>
    <t>ŞEKER SIGORTA A.S.</t>
  </si>
  <si>
    <t>ŞEKER YATIRIM MENKUL DEGERLER A.S.</t>
  </si>
  <si>
    <t>ALTIUM INTERNATIONAL LABORATUVAR CİHAZLARI A.Ş.</t>
  </si>
  <si>
    <t>ŞENER OTO YEDEK PARÇA SANAYI.TIC.A.S</t>
  </si>
  <si>
    <t>SETA SİSTEM ÇÖZÜMLERİ MÜH. LTD. ŞTİ.</t>
  </si>
  <si>
    <t>SİLKAR TURİZM YATIRIM VE İŞLETMELERİ A.Ş</t>
  </si>
  <si>
    <t>ŞÖLEN ÇIKOLATA GIDA</t>
  </si>
  <si>
    <t>SUNEXPRESS (GÜNEŞ HAVACILIK)</t>
  </si>
  <si>
    <t>SYS TELEKOMINIKASYON BILG. ELKT. SAN.TIC.AS.</t>
  </si>
  <si>
    <t>T&amp;C GARMENTS</t>
  </si>
  <si>
    <t>TAKSIM OTELCILIK A.S.</t>
  </si>
  <si>
    <t>TED GLOBAL AG</t>
  </si>
  <si>
    <t>TEKNOFIX TELEKOMÜNIKASYON VE BILISIM HIZ. SAN. VE</t>
  </si>
  <si>
    <t xml:space="preserve">TELESURE KURUMSAL SIGORTA VE REASÜRANS BROKERLIGI </t>
  </si>
  <si>
    <t>TRIO SES ISIK VE GÖRÜNTÜ SISTEMLERI A.S.</t>
  </si>
  <si>
    <t>TURGUT ALTON MIMARLIK MÜSAVIRLIK LTD.STI.</t>
  </si>
  <si>
    <t>TURKVEN Turk Ventures Advisory Limited</t>
  </si>
  <si>
    <t>TURSOY OTELCILIK VE TURIZM YATIRIMLARI A.S</t>
  </si>
  <si>
    <t>HBM GIDA SANAYİ VE DIŞ TİCARET</t>
  </si>
  <si>
    <t>VIKING TURIZM</t>
  </si>
  <si>
    <t>WEIR TURKEY MINERALLERI LTD.STI.</t>
  </si>
  <si>
    <t>YAYLAGÜL MULTİMEDYA BİLG.TİC.LTD ŞTİ (REVOTAS)</t>
  </si>
  <si>
    <t>YILDIZ BRONZ SAN VE TIC LTD. STI.</t>
  </si>
  <si>
    <t>ZAFER TAAHHÜT İNŞ. VE TİC. A.Ş.</t>
  </si>
  <si>
    <t>ZAMIL GROUP TURKEY INS.TURIZM VE ENDUSTRIYEL YATIR</t>
  </si>
  <si>
    <t>ZEKİ EDEBALI</t>
  </si>
  <si>
    <t>ZNN GIRISIM DANISMANLIK NURGÜL SENEFE MUSTAFAOGLU</t>
  </si>
  <si>
    <t>UNIFREE DUTY FREE İŞLETMECİLİĞİ A.Ş.</t>
  </si>
  <si>
    <t>TITAN HAVACILIK ANONIM SIRKETI</t>
  </si>
  <si>
    <t>ORBITER AVIATION LIMITED</t>
  </si>
  <si>
    <t>MULLEN LOWE ISTANBUL REKLAMCILIK A.S</t>
  </si>
  <si>
    <t>VIPFASHION TEKSTİL LİMİTED ŞİRKETİ</t>
  </si>
  <si>
    <t>PI SEYAHAT TEKNOLOJIDAGITIM VE DANISMANLIK A.S.</t>
  </si>
  <si>
    <t xml:space="preserve">FIRAT İNŞAAT END.SAN.VE TİC. A.Ş </t>
  </si>
  <si>
    <t>GLOBAL HASAR DANIŞMALIĞI A.Ş.</t>
  </si>
  <si>
    <t>UNNOX GROUP</t>
  </si>
  <si>
    <t>ABİDA BİLİŞİM TEKNOLOJİLERİ DANIŞMANLIK AŞ.</t>
  </si>
  <si>
    <t>ARTEK YAZILIMEVİ DAN. HİZ. TİC. LTD. ŞTİ.</t>
  </si>
  <si>
    <t>GEMSAN GEMİ VE GEMİ İŞLETMECİLİĞİ SANAYİ VE TİCARE</t>
  </si>
  <si>
    <t>CONVERGING EUROPE FUND III MANAGEMENT</t>
  </si>
  <si>
    <t xml:space="preserve">İNGENO DAN. ÇEVİRİ VE TIBBİ ARAŞ. ORG. TİC. İTH. </t>
  </si>
  <si>
    <t>ZONGULDAK KÖMÜR İŞLETMELERİ ANONİM ŞİRKETİ</t>
  </si>
  <si>
    <t>TEKSO TEKNİK SOĞUTMA SAN.ve TİC.A.Ş.</t>
  </si>
  <si>
    <t>TEKNOSA İÇ ve DIŞ TİCARET A.Ş.</t>
  </si>
  <si>
    <t>PRONET GÜVENLİK HİZMETLERİ A.Ş.</t>
  </si>
  <si>
    <t>HAKMAR MAĞAZACILIK</t>
  </si>
  <si>
    <t>FLO Magazacılık Hizmetleri ve Pazarlama A.Ş.</t>
  </si>
  <si>
    <t>ALTERNA GIDA SANAYI PAZARLAMA VE TİC. A.Ş.</t>
  </si>
  <si>
    <t>AXOFT BILISIM LIMITED SIRKETI</t>
  </si>
  <si>
    <t>OTOFORM OTOMOTIV TIC.VE SAN.A.S.</t>
  </si>
  <si>
    <t>Kentglobal Park Dış Tic AŞ</t>
  </si>
  <si>
    <t>BTYÖN TEKNOLOJİ A.Ş.</t>
  </si>
  <si>
    <t>TEKHNELOGOS YAZILIM MÜH MÜŞ BİL HİZ SAN</t>
  </si>
  <si>
    <t>ÇAVUŞPET AKARYAKIT SANAYİ VE TİC.LTD ŞTİ</t>
  </si>
  <si>
    <t>JONES LANG LASALLE GAYRIMENKUL HIZMETLERI TIC.A.Ş.</t>
  </si>
  <si>
    <t>GÜNEŞ ELEKTRONİK CİHAZLAR ve TİC. LTD.ŞTİ.</t>
  </si>
  <si>
    <t>CVS ÇAVUSOGLU AYAKKABI PAZARI TİC.A.Ş.</t>
  </si>
  <si>
    <t>ASAŞ ALÜMİNYUM SANAYİİ VE TİCARET A.Ş.</t>
  </si>
  <si>
    <t>AVEON GLOBAL SİGORTA ANONİM ŞİRKETİ</t>
  </si>
  <si>
    <t>Türkiye Finans Katılım Bankası</t>
  </si>
  <si>
    <t>İGM GÜMRÜK MÜŞAVİRLİĞİ</t>
  </si>
  <si>
    <t>ARKON CELİK SANAYI ve TICARET LTD. ŞTI.</t>
  </si>
  <si>
    <t>SEGMENTIFY</t>
  </si>
  <si>
    <t>SAH-96 MMC - BULUT HIZMETI</t>
  </si>
  <si>
    <t>ATESSONMEZ KIMYA SAN VE TIC AS</t>
  </si>
  <si>
    <t>GİSAŞ GEMI İNŞA SANAYI A.Ş.</t>
  </si>
  <si>
    <t>PELSAN AYDINLATMA SANAYİ VE TİCARET ANONİM ŞİRKETİ</t>
  </si>
  <si>
    <t>TRANSORIENT ULUSLARARASI LOJİSTİK VE TİCARET A.Ş</t>
  </si>
  <si>
    <t>OPSAN ORİJİNAL SAC PARÇA SAN.VE TİC. A.Ş.</t>
  </si>
  <si>
    <t>90PİXEL</t>
  </si>
  <si>
    <t>Acr Naturel Gıda Pazarlama Sanayi Ve Ticaret Limit</t>
  </si>
  <si>
    <t>HEXAROB OTOMASYON VE MÜHENDISLIK LTD. ŞTI.</t>
  </si>
  <si>
    <t>MODİS YAPI MİMARLIK</t>
  </si>
  <si>
    <t>Mia Istanbul Gayrimenkul</t>
  </si>
  <si>
    <t>TÜRK PVEI SİGORTA A.Ş.</t>
  </si>
  <si>
    <t>UGI SOFT YAZILIM</t>
  </si>
  <si>
    <t>AKTİF HUKUK</t>
  </si>
  <si>
    <t>ÖZEL ALEV OKULLARI</t>
  </si>
  <si>
    <t>M LORD DIŞ TİCARET A.Ş</t>
  </si>
  <si>
    <t>ROTAP TEKNOLOJİ YAZILIM</t>
  </si>
  <si>
    <t>ANTALYA SUBSTRAT YATIRIM LİMİTED ŞİRKETİ</t>
  </si>
  <si>
    <t>TİRYAKİ KALIP  PLASTİK METAL İMALAT SAN. VE TİC. L</t>
  </si>
  <si>
    <t>TRAKPAR YEDEK PARÇA SAN.DIŞ.TİC.LTD.ŞTİ.</t>
  </si>
  <si>
    <t>24 KARGO VE TAŞIMACILIK TİCARET A.Ş.</t>
  </si>
  <si>
    <t>SİNYAL ELEKTRONİK VE KOZMETİK ÜRÜNLER SAN. VE  P</t>
  </si>
  <si>
    <t>DEHA SANAT ETKİNLİKLERİ EĞİTİM VE ORGANİZASYON İTH</t>
  </si>
  <si>
    <t>BASIT GIDA ANONIM SIRKETI</t>
  </si>
  <si>
    <t>ANTAKYA BASIM YAYIN TURZ.İNŞ.TİC.LTD.ŞTİ</t>
  </si>
  <si>
    <t>Temel Tel Metal San.Tic.Ltd.STİ</t>
  </si>
  <si>
    <t>FYTECH</t>
  </si>
  <si>
    <t>Ada Design</t>
  </si>
  <si>
    <t>GAZİANTEP TİCARET ODASI</t>
  </si>
  <si>
    <t>ERDE DIŞ TİCARET LTD.  ŞTİ.</t>
  </si>
  <si>
    <t>DENGE AUTOMOTİVE</t>
  </si>
  <si>
    <t>KEY DİGİTAL PLATFORM TEKNOLOJİLERİ ANONİM ŞİRKETİ</t>
  </si>
  <si>
    <t>TRİO DENİZ ARAÇLARI TİCARET ANONİM ŞİRKET</t>
  </si>
  <si>
    <t>AROMSA BESİN AROMA KATKI MAD SAN TİC AŞ</t>
  </si>
  <si>
    <t>SONOROUS</t>
  </si>
  <si>
    <t>ATMO OTOMOTİV LİMİTED ŞİRKETİ</t>
  </si>
  <si>
    <t>GOSB</t>
  </si>
  <si>
    <t>BİLİRA TEKNOLOJİ ANONİM ŞİRKETİ</t>
  </si>
  <si>
    <t>ROSTHİL SU ARITIM TEKNOLOJİLERİ</t>
  </si>
  <si>
    <t>INFODROM YAZILIM DANIŞMANLIK HİZ.TİC.LTD.ŞTİ.</t>
  </si>
  <si>
    <t>NİLKY GIDA</t>
  </si>
  <si>
    <t>YAFES TEKNOLOJİ TİCARET LİMİTED ŞİRKETİ</t>
  </si>
  <si>
    <t>BOĞAZİÇİ SİGORTA</t>
  </si>
  <si>
    <t>CABİR HOLDİNG - MİLK ACADEMY</t>
  </si>
  <si>
    <t>SAF NUTRITION</t>
  </si>
  <si>
    <t>ESAYAN GRUP İNŞAAT AMBALAJ PEYZAJ TURİZM TAŞ. GERİ</t>
  </si>
  <si>
    <t>DİNAMİK TOPTAN GIDA PAZARLAMA SAN.TİC.LTD.ŞTİ</t>
  </si>
  <si>
    <t>HD ÇELİK MÜHENDİSLİK METAL İNŞAAT MÜTEAHHİTLİK SAN</t>
  </si>
  <si>
    <t>ENDEKS BİLİŞİM SAN. ve DIŞ TİC. A.Ş.</t>
  </si>
  <si>
    <t>BTI BİLİŞİM DANIŞMANLIK VE YAZILIM VE TİC. LTD. ŞT</t>
  </si>
  <si>
    <t>SMMM RECEP ÇETİN</t>
  </si>
  <si>
    <t>DEĞER ELEKTRİK - DEĞER İTHALAT İHRACAT ELEKTRİK MA</t>
  </si>
  <si>
    <t>NAR GIDA</t>
  </si>
  <si>
    <t>PENINSULA CORPORATE FINANCE DANIŞMANLIK A.Ş</t>
  </si>
  <si>
    <t>MEDICANA HASTANE İŞLETMECILIĞI A.Ş.</t>
  </si>
  <si>
    <t>İPSİZCAMBAZ</t>
  </si>
  <si>
    <t>MOBILTRUST</t>
  </si>
  <si>
    <t>VAILLANT GROUP TURKEY</t>
  </si>
  <si>
    <t>ALUNET MATERIAL SOLUTIONS ALÜMINYUM</t>
  </si>
  <si>
    <t>KURTARAN LASTİK VE PLASTİK ANONİM ŞİRKETİ</t>
  </si>
  <si>
    <t>Mehmet Doğru Ticaret Ltd.</t>
  </si>
  <si>
    <t>OTO NAMUK TRAKTÖR YEDEK PARÇA VE TARIM MAK.SAN.TİC</t>
  </si>
  <si>
    <t>PUCK GLOBAL -  MUZIP PERI REKLAM TANITIM HIZ. A.Ş.</t>
  </si>
  <si>
    <t>DORUK İLETİŞİM</t>
  </si>
  <si>
    <t>SİMETO GÜMRÜK MÜŞAVİRLİĞİ VE LOJİSTİK</t>
  </si>
  <si>
    <t>BABUR ARSLAN TUR. TİC. ÖZEL SAĞLIK HİZ VE SAN AŞ</t>
  </si>
  <si>
    <t>MİSBAHÇE GIDA VE TARIM ÜRÜNLERİ SAN.VE TİC.LTD.ŞTİ</t>
  </si>
  <si>
    <t>USTA ELLER BAKLAVA</t>
  </si>
  <si>
    <t>BRAVO YAZILIM VE DANIŞMANLIK HİZM. İÇ VE DIŞ TİC</t>
  </si>
  <si>
    <t>PROTEK ENDÜSTRİYEL OTOMASYON SİSTEMLERİ MAKİNA VE</t>
  </si>
  <si>
    <t>FT PORTFÖY</t>
  </si>
  <si>
    <t>ARTI DEĞER İNŞAAT OTOMOTİV SANAYİ VE DIŞ TİCARET A</t>
  </si>
  <si>
    <t>ARZ PORTFÖY</t>
  </si>
  <si>
    <t>BERSAY İLETİŞİM DANIŞMANLIĞI TİC.A.Ş</t>
  </si>
  <si>
    <t>FRT SU ARITMA SANAYİ TİCARET LİMİTED ŞİRKETİ</t>
  </si>
  <si>
    <t>Hannover Fairs Turkey Fuarcılık A.Ş.</t>
  </si>
  <si>
    <t>İHLAS PAZARLAMA A.Ş.</t>
  </si>
  <si>
    <t>IRMAK SAYA TRİKO SAN. VE TİC.LTD.ŞTİ.</t>
  </si>
  <si>
    <t>CNR HOLDİNG A.Ş.</t>
  </si>
  <si>
    <t>MFK TEKNOLOJİ VE OTOMASYON</t>
  </si>
  <si>
    <t>ÖZSEÇKİN PLASTİK SANAYİ VE TİCARET LİMİTED ŞİRKETİ</t>
  </si>
  <si>
    <t>HANMEY TARIM ÜRÜNLERİ SANAYİ VE TİC.LTD.ŞTİ</t>
  </si>
  <si>
    <t>ÜLGEN DENİZCİLİK VE LOJİSTİK SANAYİ TİCARET ANONİM</t>
  </si>
  <si>
    <t>E SİM TELEKOMÜNİKASYON LİMİTED SİRKETİ</t>
  </si>
  <si>
    <t>PRİME PORTFÖY YÖNETİMİ ANONİM ŞİRKETİ</t>
  </si>
  <si>
    <t>GÜNAY MOTORLU ARAÇLAR PAZARLAMA VE TİC. LTD. ŞTİ.</t>
  </si>
  <si>
    <t>ÇAĞBERK LOJİSTİK PAZARLAMA İÇ VE DIŞ TİCARET A.Ş</t>
  </si>
  <si>
    <t>ŞAHİNLER MOTORLU ARAÇLAR SAN.VE TİC. A.Ş</t>
  </si>
  <si>
    <t>BAUZADE YAPI MALZEMELERİ SANAYİ VE TİCARET LİMİTED</t>
  </si>
  <si>
    <t>İWİS TAHRİK SİSTEMLERİ SAN.TİC.LTD.ŞTİ</t>
  </si>
  <si>
    <t>TOGG</t>
  </si>
  <si>
    <t>IVC ENDUSTRIYEL URUNLER VANA</t>
  </si>
  <si>
    <t>ZEBRA TEKSTİL İNŞAAT SANAYİ VE TİCARET LİMİTED ŞİR</t>
  </si>
  <si>
    <t>BİGADİÇ ÜNAL GIDA TUR.SU ÜRN.HAY.KUY.DAYANIKLI TÜK</t>
  </si>
  <si>
    <t>PEDAŞ LED AYDINLATMA TEKNOLOJİLERİ A.Ş.</t>
  </si>
  <si>
    <t>KALE JET MOTORLARI</t>
  </si>
  <si>
    <t>DICLE ÜNIVERSITESI</t>
  </si>
  <si>
    <t xml:space="preserve">SOLVENTAS TEKNIK DEPOLAMA A.S. </t>
  </si>
  <si>
    <t>AKSAN KOZMETIK SAN. VE TIC. A.S.</t>
  </si>
  <si>
    <t>MAYEN TELEKOMİNİKASYON HİZMETLERİ A.Ş.</t>
  </si>
  <si>
    <t>EURO GIDA</t>
  </si>
  <si>
    <t>KALE HAVACILIK SANAYİ A.Ş.</t>
  </si>
  <si>
    <t>DIGITURK KREA IÇERIK HIZMETLERI VE PRODÜKSIYON A.S</t>
  </si>
  <si>
    <t>ICBC</t>
  </si>
  <si>
    <t xml:space="preserve">NEXTSOFTEK BILGI TEKNOLOJILERI YAZILIM A.S- EKSİT </t>
  </si>
  <si>
    <t>METRO İSTANBUL</t>
  </si>
  <si>
    <t>ABALIOGLU HOLDING</t>
  </si>
  <si>
    <t>FILIDEA TEKSTIL SAN. VE TIC. A.S</t>
  </si>
  <si>
    <t>KASTAS</t>
  </si>
  <si>
    <t>DENİZLİ RATEKS TEKSTİL SANAYİ VE TİCARET A.Ş.</t>
  </si>
  <si>
    <t>Rateks Baski Boya Sanayi ve Ticaret Anonim Şirketi</t>
  </si>
  <si>
    <t>MILLENICOM TELEKOMÜNİKASYON HİZMETLERİ</t>
  </si>
  <si>
    <t>AXA SIGORTA</t>
  </si>
  <si>
    <t>BOYNER HOLDING</t>
  </si>
  <si>
    <t xml:space="preserve">BEYMEN GRUP </t>
  </si>
  <si>
    <t>ABALIOĞLU YAĞ</t>
  </si>
  <si>
    <t>ÖZŞANAL PERAKENDE MAĞAZACILIK A.Ş.</t>
  </si>
  <si>
    <t>SİSKON OTOMASYON YAZILIM A.Ş.</t>
  </si>
  <si>
    <t>BEZMIALEM VAKIF ÜNIVERSITESI (REKTÖRLÜK)</t>
  </si>
  <si>
    <t>KALE HOLDING A.S.</t>
  </si>
  <si>
    <t>KARINCA LOJİSTİK A.Ş..</t>
  </si>
  <si>
    <t>SET KURUMSAL HİZ.TİC.A.Ş. (SETCARD)</t>
  </si>
  <si>
    <t>ÇYDD</t>
  </si>
  <si>
    <t>KISAN (TİBET ÖRS)</t>
  </si>
  <si>
    <t>TEKSAN JENARATÖR ELEK. SAN. TIC. A.S.</t>
  </si>
  <si>
    <t>CVS HAVALANDIRMA SİSTEMLERİ SAN.VE TİC.A.Ş.</t>
  </si>
  <si>
    <t>SARAN GIDA TEKSTİL İNŞAAT.SAN.VE DIŞ.TİC.LTD.ŞTİ.</t>
  </si>
  <si>
    <t>ACAR MENKUL DEĞERLER A.Ş</t>
  </si>
  <si>
    <t>HAS PORTFÖY YÖNETİMİ A.Ş</t>
  </si>
  <si>
    <t>MACKA YAYINCILIK VE EGLENCE A.Ş.</t>
  </si>
  <si>
    <t>Özdemir Çelik Konstrüksiyon İmalat Montaj Sanayi</t>
  </si>
  <si>
    <t>BUFALA SÜT ÜRÜNLERİ SANAYİ VE TİCARET A.Ş</t>
  </si>
  <si>
    <t>UÇARLAR TİC. KOLL.ŞTİ</t>
  </si>
  <si>
    <t>ARICIOĞLU OTOMOTİV SANAYİ VE TİCARET ANONİM ŞİRKET</t>
  </si>
  <si>
    <t>WEITNAUER DIŞ TİC.A.Ş. (DEM DIŞ TİC )</t>
  </si>
  <si>
    <t>WORKINTON</t>
  </si>
  <si>
    <t>DÜĞÜNÜMÜZ VAR FOTOĞRAFÇILIK HİZ. SAN. TİC. LTD. ŞT</t>
  </si>
  <si>
    <t>NESTINVEST PROJE PAZARLAMA ANONİM ŞİRKETİ</t>
  </si>
  <si>
    <t>HASGÜR OFİS MALZEMELERİ TEMİZLİK ÜRÜNLERİ LTD.ŞTİ.</t>
  </si>
  <si>
    <t>VENITURE BİLİŞİM TEKNOLOJİLERİ LİMİTED ŞİRKETİ</t>
  </si>
  <si>
    <t>METROPET İTHALAT İHRACAT İNŞAAT LİMİTED ŞİRKETİ</t>
  </si>
  <si>
    <t>POİNT KURYE HİMZETLERİ TİCARET LİMİTED ŞİRKETİ</t>
  </si>
  <si>
    <t>RENTMAK LOJISTIK TICARET ANONIM SIRKETI (GEMONT)</t>
  </si>
  <si>
    <t>CİTİX İST BİLİŞİM REKLAMCILIK TİCARET A.Ş</t>
  </si>
  <si>
    <t>EFEX ELEKTRİK MÜHENDİSLİK OTOMASYON</t>
  </si>
  <si>
    <t>EUROTEC MÜHENDISLIK</t>
  </si>
  <si>
    <t>ÖZ-SEL ECZA DEPOLARI (ÖZSEL)</t>
  </si>
  <si>
    <t>CAHAN TİCARET MMC</t>
  </si>
  <si>
    <t>DORUK SOĞUTMA SİSTEMLERİ SAN.VE TİCARETLTD.ŞTİ</t>
  </si>
  <si>
    <t>ELESA GANTER ENDÜST. VE MAKINE EKIPMANLARI SAN. VE</t>
  </si>
  <si>
    <t>PERNET - İNSAN KAYNAKLARI YÖN.SİST.VE TİC.A.Ş</t>
  </si>
  <si>
    <t>NATUREM TEKNIK MAKINE TIC.LTD.STI</t>
  </si>
  <si>
    <t>İD GEMİ ACENTELİĞİ TİC.LTD.ŞTİ.</t>
  </si>
  <si>
    <t>KARDEŞ ELEKTRIK SAN. VE TIC. AS.</t>
  </si>
  <si>
    <t>GUCCI TURKEY LÜKS ÜRÜNLER TIC.LTD.STI.</t>
  </si>
  <si>
    <t>PROFESYONEL PERAKENDE ÇÖZÜMLERİ SN.TC.A.Ş (PROPERA</t>
  </si>
  <si>
    <t>BOTTEGA VENETA TURKEY LUKS URUNLER TICARET LTD</t>
  </si>
  <si>
    <t>SAINT LAURENT TURKEY LÜKS ÜRÜNLER LİMİTED ŞİRKETİ</t>
  </si>
  <si>
    <t>AHMAD TEA ÇAY İTHALAT VE TİCARET LTD.ŞTİ</t>
  </si>
  <si>
    <t>Çerko Motor İç ve Dış Ticaret A.Ş.</t>
  </si>
  <si>
    <t>ALACA YAZILIM VE TEKNOLOJİ SAN.TİC.LTD.ŞTİ.</t>
  </si>
  <si>
    <t>ÇAMLIBEL KURUMSAL PAZARLAMA HİZ. GIDA HAYV. SÜT ÜR</t>
  </si>
  <si>
    <t>EREN GIDA MAD. TURİZM SAN. TİC. LTD. ŞTİ.</t>
  </si>
  <si>
    <t>SOLVOCODE YAZILIM ANONİM ŞİRKETİ</t>
  </si>
  <si>
    <t>Sinerji Gıda Kimya Tekstil San. Ve Tic. A.Ş.</t>
  </si>
  <si>
    <t>LIBA LABORATUARLARI A.S.</t>
  </si>
  <si>
    <t>ARSAN KİMYA SAN.TİC. A.Ş.</t>
  </si>
  <si>
    <t>Helsakam Konfeksiyon Yan Ürünleri San. ve Tic. A.Ş</t>
  </si>
  <si>
    <t>VAKIFBANK SPOR KULUBÜ DERNEĞİ</t>
  </si>
  <si>
    <t>Trada Teknoloji Anonim Şirketi</t>
  </si>
  <si>
    <t>POLİMAZ AMBALAJ SANAYİ TİC. LTD. ŞTİ.</t>
  </si>
  <si>
    <t>MİLA PROJE MAĞAZACILIK ANONİM ŞİRKETİ</t>
  </si>
  <si>
    <t>PROSİSTEM ELEKTRONİK SİSTEMLERİ SANAYİ VE TİCARET</t>
  </si>
  <si>
    <t>PİA BİLİŞİM HİZMETLERİ A.Ş.</t>
  </si>
  <si>
    <t>SESTEK SES VE İLETİŞİM BİLGİSAYAR TEKNOLOJİLERİ SA</t>
  </si>
  <si>
    <t>SHERPA YAZILIM EĞİTİM VE FİNANSAL DAN.TİC.LTD.ŞTİ.</t>
  </si>
  <si>
    <t>MEY Kozmetik İth.İhr.San.ve Tic.Ltd.Şti.</t>
  </si>
  <si>
    <t>KILIÇKAYA LPG GIDA NAK. TURIZM INS.TIC. LTD. ŞTI.</t>
  </si>
  <si>
    <t>FARMASU DOGAL KAY. SULARI MES VE GIDA MAD.ÜRET. PA</t>
  </si>
  <si>
    <t>PAMTEK METAL END. ÜRUNLER SAN. VE TIC.LTD.STI.</t>
  </si>
  <si>
    <t>PAYBOX ELEKTRONİK TİCARET ANONİM ŞİRKETİ</t>
  </si>
  <si>
    <t>BRİİSK LİMİTED</t>
  </si>
  <si>
    <t>HAZİRAN TEKNOLOJİ YAZILIM VE BİLİŞİM A.Ş.</t>
  </si>
  <si>
    <t>İPEKYOLU GÜMRÜK MÜŞAVİRLİĞİ LTD. ŞTİ.</t>
  </si>
  <si>
    <t>BURSA KAYNAK MAKİNE İNŞAAT YEDEK PARÇA NAKLİYE VE</t>
  </si>
  <si>
    <t>BUSEM HEDİYELİK EŞYA VE METAL SAN. TİC. LTD. ŞTİ.</t>
  </si>
  <si>
    <t>ALL PARTS OTOMOTİV VE DIŞ TİC. LTD.ŞTİ</t>
  </si>
  <si>
    <t>CAREWIND RÜZGAR TÜRBİNLERİ MONTAJ BAKIM VE SERVİS</t>
  </si>
  <si>
    <t>LEY MODA TEKSTİL TASARIM SANAYİ VE TİC LİMİTED</t>
  </si>
  <si>
    <t>MARKAHUB TEKSTİL</t>
  </si>
  <si>
    <t>ZEYMEL İÇ VE DIŞ TİC. A.Ş.</t>
  </si>
  <si>
    <t>AVM LOJİSTİK TİCARET ANONİM ŞİRKETİ</t>
  </si>
  <si>
    <t>NEPROTECH YAZILIM VE BILGI TEKNOLOJILERI</t>
  </si>
  <si>
    <t>MY FLOWERS TARIM SANAYİ TİC.LTD.ŞTİ</t>
  </si>
  <si>
    <t>Customer</t>
  </si>
  <si>
    <t>Starting MRR</t>
  </si>
  <si>
    <t>First Year Ending MRR</t>
  </si>
  <si>
    <t>Company Sector</t>
  </si>
  <si>
    <t>İnşaat &amp; Gayrimenkul</t>
  </si>
  <si>
    <t>Sağlık</t>
  </si>
  <si>
    <t>Perakende &amp; E-Ticaret</t>
  </si>
  <si>
    <t>Enerji</t>
  </si>
  <si>
    <t>Bilgi ve İletişim Teknolojileri</t>
  </si>
  <si>
    <t>Lojistik &amp; Ulaşım</t>
  </si>
  <si>
    <t>Üretim</t>
  </si>
  <si>
    <t>Finans</t>
  </si>
  <si>
    <t>Medya &amp; Yayıncılık</t>
  </si>
  <si>
    <t>Profesyonel Hizmetler</t>
  </si>
  <si>
    <t>Eğitim</t>
  </si>
  <si>
    <t>Kamu &amp; Belediyeler</t>
  </si>
  <si>
    <t>Turizm &amp; Otelcilik</t>
  </si>
  <si>
    <t>License Percent</t>
  </si>
  <si>
    <t>Exc. License MRR</t>
  </si>
  <si>
    <t>Customer Risk</t>
  </si>
  <si>
    <t>Churn</t>
  </si>
  <si>
    <t>Churned MRR</t>
  </si>
  <si>
    <t>NO RISK</t>
  </si>
  <si>
    <t>HIGH RISK</t>
  </si>
  <si>
    <t>MEGA METAL SAN. VE TİC. A.Ş.</t>
  </si>
  <si>
    <t>BACACI YATIRIM HOLDING ANONIM SIRKETI</t>
  </si>
  <si>
    <t>YEMEK PAY ELEKTRONİK PARA ve ODEME Hiz. A.S.</t>
  </si>
  <si>
    <t>LİLA KAĞIT SANAYİ VE TİCARET A.Ş.</t>
  </si>
  <si>
    <t>ARVATO LOJİSTİK DIŞ TİC.VE E TİC.HİZMETLERİ A.Ş.</t>
  </si>
  <si>
    <t>ÇAĞATAY EVCİL HAYVAN MAMALARI VE YEM ÜRÜNLERİ SAN.</t>
  </si>
  <si>
    <t>AYDIN ÜNİVERSİTESİ</t>
  </si>
  <si>
    <t>Obilet.com Turizm Seyahat Acentası</t>
  </si>
  <si>
    <t>ISOTEC ENERJİ A.Ş.</t>
  </si>
  <si>
    <t>NOBEL İLAÇ SANAYİİ VE TİCARET A.Ş.</t>
  </si>
  <si>
    <t>MİDAS MENKUL DEĞERLER A.Ş.</t>
  </si>
  <si>
    <t>KARBONSAN BASINÇLI KAPLAR SANAYİ VE TİCARET ANONİM</t>
  </si>
  <si>
    <t>INTRA MEDİKAL</t>
  </si>
  <si>
    <t>KALE PRATT</t>
  </si>
  <si>
    <t>DT MÜHENDİSLİK VE TAAHHÜT ANONİM SİRKETİ</t>
  </si>
  <si>
    <t>FUTURE LOJİSTİK</t>
  </si>
  <si>
    <t>SAĞLIK VE EĞİTİM VAKFI</t>
  </si>
  <si>
    <t>KOTON MAĞAZACILIK TEKSTİL SANAYİ VE TİCARET A.Ş.</t>
  </si>
  <si>
    <t>ASLANOBA YATIRIM GIDA SANAYİ VE TİCARET A.Ş.</t>
  </si>
  <si>
    <t>Torlak &amp; Karaduman Hukuk Bürosu</t>
  </si>
  <si>
    <t>SABANCI ÜNİVERSİTESİ</t>
  </si>
  <si>
    <t>MAPP MERCHANDISING GROUP</t>
  </si>
  <si>
    <t>SARAY DÖKÜM</t>
  </si>
  <si>
    <t>KARTAL KİMYA</t>
  </si>
  <si>
    <t>HOROZ LOJİSTİK KARGO HİZMETLERİ VE TİC. A.Ş.</t>
  </si>
  <si>
    <t>IMPACTA DÖNÜŞÜM A.Ş.</t>
  </si>
  <si>
    <t>ALVIMEDICA SAGLIK EKIPMANLARI PAZARLAMA</t>
  </si>
  <si>
    <t>LİSA YAZILIM</t>
  </si>
  <si>
    <t>REDINGTON</t>
  </si>
  <si>
    <t>BAHTİYAR OCAK</t>
  </si>
  <si>
    <t>MİNAR MOBİLYA SANAYİ VE TİCARET LİMİTED ŞİRKET</t>
  </si>
  <si>
    <t>BCM Uluslararası Madencilik iIracat San ve Tic</t>
  </si>
  <si>
    <t>Opus  Solutions</t>
  </si>
  <si>
    <t>GÜVEN PRES DÖKÜM</t>
  </si>
  <si>
    <t>AKSAL TEKSTIL VE ELYAF SANAYI TICARET ANONIM</t>
  </si>
  <si>
    <t>ADALON OTOMOTİV SANAYİ VE DIŞ TİC. LTD. STİ</t>
  </si>
  <si>
    <t>İQM TEKNOLOJİ YAZILIM LİMİTED ŞİRKETİ</t>
  </si>
  <si>
    <t>ASSERSAN</t>
  </si>
  <si>
    <t>Fi Commerce Teknoloji</t>
  </si>
  <si>
    <t>KARAVAN TURİZM SEYAHAT VE NAKLIYAT AS</t>
  </si>
  <si>
    <t>CARREFOURSA CARREFOUR SABANCI TİCARET MERKEZİ A.Ş</t>
  </si>
  <si>
    <t>FOM TURKEY</t>
  </si>
  <si>
    <t>FARMAZON BİLGİ TEKNOLOJİLERİ A.Ş.</t>
  </si>
  <si>
    <t>CHİP COMPUTER BİLGİ İŞLEM VE DAN.HİZ.LTD.ŞTİ.</t>
  </si>
  <si>
    <t>İZEM OTOMOTİV SEYAHAT TURİZM</t>
  </si>
  <si>
    <t>NİSHANE</t>
  </si>
  <si>
    <t>HELS ENDÜSTRİYEL MAMÜLLER SANAYİ TİC. LTD. ŞTİ.</t>
  </si>
  <si>
    <t>GENERAL VETERİNER İLAÇLARI A.Ş.</t>
  </si>
  <si>
    <t>NAVEK SPORTİF ÜRÜNLER VE DANIŞMANLIK AŞ</t>
  </si>
  <si>
    <t>BBS KALIP OTONASYON TEKNOLOJİK İMALAT SANAYİ VE Tİ</t>
  </si>
  <si>
    <t>DEMKA KAĞIT VE AMBALAJ SANAYİ TİCARET ANONİM ŞİRKE</t>
  </si>
  <si>
    <t>MATES DANIŞMANLIK</t>
  </si>
  <si>
    <t>Nobel Bilişim Sistem Yazılım ve Network Hizmetleri</t>
  </si>
  <si>
    <t>sobe diş ticaret tekstil ve sanayi limited şirketi</t>
  </si>
  <si>
    <t>HARUN TUNABOYLU</t>
  </si>
  <si>
    <t>BURGAN BANK A.S.</t>
  </si>
  <si>
    <t>ARTROTEK TIBBİ MALZEME SANAYİ VE TİC.LTD.ŞTİ</t>
  </si>
  <si>
    <t>KIRIKHAN MENSUCAT SAN. VE TİC. A.Ş.</t>
  </si>
  <si>
    <t>FORM MİMARLIK MÜHENDİSLİK HİZM.SAN.VE TİC.LTD.ŞTİ</t>
  </si>
  <si>
    <t>MARCUS GIDA TICARET ANONIM SIRKETI</t>
  </si>
  <si>
    <t>UTKU ORMAN ÜRÜNLERİ</t>
  </si>
  <si>
    <t>COŞAR &amp; ŞAHİN HUKUK BÜROSU</t>
  </si>
  <si>
    <t>DOGAN METE MİMARLIK INSAAT</t>
  </si>
  <si>
    <t>MODA ENERJİ</t>
  </si>
  <si>
    <t>MALKAN KANAAT KİMYEVİ BOYA İNŞAAT</t>
  </si>
  <si>
    <t>IMPERIUM CIKOLATA GIDA VE PAZARLAMA DIS TİCARET LS</t>
  </si>
  <si>
    <t>INFOTECH BİLİŞİM VE İLETİŞİM TEKNOLOJİLERİ SAN. VE</t>
  </si>
  <si>
    <t>AYDEMİRLER ÇELİK A.Ş.</t>
  </si>
  <si>
    <t>KARTAL RULMANS</t>
  </si>
  <si>
    <t>BS GÜMRÜK</t>
  </si>
  <si>
    <t>İZMİR EKRAN (MUD BİLİŞİM)</t>
  </si>
  <si>
    <t>NOVA GÜÇ AKTARIM VE HAREKET SİS SAN TİC A.Ş</t>
  </si>
  <si>
    <t>RAHMET GIDA NAKLİYE İNŞAAT TİC.SAN.LTD.ŞTİ</t>
  </si>
  <si>
    <t>VONTECH ELEKTRONİK VE TİC.LTD.ŞTİ</t>
  </si>
  <si>
    <t>ÖNDERLER İŞ MAKİNALARI</t>
  </si>
  <si>
    <t>SAYKOM BİLGİSAYAR TİC. VE SAN. LTD. ŞTİ.</t>
  </si>
  <si>
    <t>MADEŞ METAL SAN. TİC. LTD. ŞTİ.</t>
  </si>
  <si>
    <t>SENAMED</t>
  </si>
  <si>
    <t>KANGURU GIDA SAN TURİZM DANIŞ. VE TİC.LTD.ŞTİ</t>
  </si>
  <si>
    <t>TOPCU DENTAL MEDİKAL SAN.TİC.LTD.ŞTİ</t>
  </si>
  <si>
    <t>SEMPOLY YAPI</t>
  </si>
  <si>
    <t>DÖRTSAN GRUP HİDROLİK OTOMOTİV SAN. VE DIŞ TİC. LT</t>
  </si>
  <si>
    <t>LEPO TEKNİK MÜHENDİSLİK MAKİNA MADEN SANAYİ VE TİC</t>
  </si>
  <si>
    <t>KARACAYOL İNŞAAT MADENCİLİK TUR MAK SAN TİC LTD ŞT</t>
  </si>
  <si>
    <t>SERET ET VE GIDA SAN. TİC. LTD. ŞTİ.</t>
  </si>
  <si>
    <t>ERGÜ AYDINLATMA ELEKTRIK HIRDAVAT INSAAT TAAHHÜT</t>
  </si>
  <si>
    <t>HALBACH TEKNOLOJİK BASKILAR SAN VE TİC LTD ŞTİ</t>
  </si>
  <si>
    <t>MELTEM TURİZM NAKLİYAT OTO ALIM SATIM VE YEDEK PAR</t>
  </si>
  <si>
    <t>BİRZE MÜHENDİSLİK HİZMETLERİ SAN. TİC. LTD. ŞTİ.</t>
  </si>
  <si>
    <t>NEU OTOMOTİV DÖVME ÇELİK SANAYİ VE TİCARET ANONİM</t>
  </si>
  <si>
    <t>EGEPAK AMBALAJ GIDA PAKETLEME SAN.VE TİC.LTD.ŞTİ</t>
  </si>
  <si>
    <t>KARO PORSELEN SERAMİK PAZARLAMA TİC.A.Ş</t>
  </si>
  <si>
    <t>BAYEDİ A.Ş</t>
  </si>
  <si>
    <t>ESENTEKS TEKSTİL SAN. VE TİC. LTD. ŞTİ.</t>
  </si>
  <si>
    <t>JANUS BARKOD TEKNOLOJİLERİ VE TURİZM SAN.TİC.LTD.Ş</t>
  </si>
  <si>
    <t>İGGNİTA MAKİNA SAN. VE TİC. A. Ş.</t>
  </si>
  <si>
    <t>WEDİACORP TEKNOLOJİ MEDYA İLETİŞİM TURİZM SANAYİ V</t>
  </si>
  <si>
    <t>YEYKİM QUATTRO YAPI ENDÜSTRİ KİMYA SANAYİ VE TİCAR</t>
  </si>
  <si>
    <t>PRODIGITAL - P REKLAM ÜRÜNLERİ SATIŞ VE UYGULAMA L</t>
  </si>
  <si>
    <t>ÖZSAĞDIÇLAR</t>
  </si>
  <si>
    <t>EGGO GROUP (URFASAN)</t>
  </si>
  <si>
    <t>TAZE DÜNYA GIDA SANAYİ VE TİCARET A.Ş.</t>
  </si>
  <si>
    <t>ERDOĞANLAR OTOMOTİV MAK SAN. TİC. LTD. ŞTİ.</t>
  </si>
  <si>
    <t>ARON MIMARLIK</t>
  </si>
  <si>
    <t>SİMURG İLAÇ KİMYA SAN. TİC. LTD. ŞTİ.</t>
  </si>
  <si>
    <t>EVRENSEL MEKANIK İZOLASYON İNŞAAT SAN.TİC.LTD.ŞTİ.</t>
  </si>
  <si>
    <t>ÇELİK KULE METALÜRJİ SAN.VE TİC.LTD.ŞTİ</t>
  </si>
  <si>
    <t>EMG GÜÇ VE ENERJİ SİST YAPI MALZİ İTH.İHRTİC LTD Ş</t>
  </si>
  <si>
    <t>CD VİNÇ TEKSTİL MAKİNA SAN. VE TİC LTD. ŞTİ.</t>
  </si>
  <si>
    <t>BUDDY DIŞ TİCARET SAN. A.Ş</t>
  </si>
  <si>
    <t>LAYDA BİLGİSAYAR YAZILIM ve DANIŞMANLIK LTD.ŞTİ.</t>
  </si>
  <si>
    <t>AGS.AKIN YANGIN SÖNDÜRME CİHAZLARI VE GÜVENLİK SİS</t>
  </si>
  <si>
    <t>AKSİN TEKNİK HIRDAVAT VE YAPI MALZEMELERİ SAN.TİC.</t>
  </si>
  <si>
    <t>ADA GROUP MEKANİK VE MÜHENDİSLİK İNŞAAT SAN.LTD.ŞT</t>
  </si>
  <si>
    <t>KHD ELEKTRONİK LTD. ŞTİ.</t>
  </si>
  <si>
    <t>BEREKET LIFE TEKSTİL MEFRUŞAT SAN. ve TİC. LTD. ŞT</t>
  </si>
  <si>
    <t>İZKA TEMİZLİK GIDA ÜRÜNLERİ PAZARLAMA SAN. VE TİC.</t>
  </si>
  <si>
    <t>ATLAS PSA OTOMOTİV YED. PAR. İNŞ. SAN. VE TİC. LTD</t>
  </si>
  <si>
    <t>ORONTES GIDA SANAYİ VE TİCARET A.Ş</t>
  </si>
  <si>
    <t>GÜLER MOBİLYA VE BEYAZ EŞYA - HASAN GÜLER</t>
  </si>
  <si>
    <t>DİNAMİK BARKOD OTOMASYON YAZILIM MÜHENDİSLİK BİLİŞ</t>
  </si>
  <si>
    <t>KAYRA İPLİK A.Ş.</t>
  </si>
  <si>
    <t>SERTAN TEKNİK KESİCİ TAKIM SANAYİ TİC.LTD.ŞTİ</t>
  </si>
  <si>
    <t>FİNE OTEL TURİZM İŞLT. A.Ş</t>
  </si>
  <si>
    <t>Vigo Teknoloji ve Lojistik A.Ş.</t>
  </si>
  <si>
    <t>LKG MÜHENDISLIK VE ARGE HIZMETLERI LTD. ŞTI.</t>
  </si>
  <si>
    <t>DEMİRSOY PASLANMAZ ÇELİK DÖKÜM SAN.VE TİC.LTD.ŞTİ</t>
  </si>
  <si>
    <t>İDİLSU TEKS.TUR.İNŞ.TAAH.İTH.İHR.VETİC.LTD.ŞTİ</t>
  </si>
  <si>
    <t>4D ENDÜSTRİYEL ÇÖZÜMLER SANAYİ VE TİCARET LİMİTED</t>
  </si>
  <si>
    <t>KOREL ELEKTRİK VE GEMİ MALZEMELERİ SAN.TİC.LTD.ŞTİ</t>
  </si>
  <si>
    <t>TARGET MUTFAK SİSTEM ÇÖZÜMLERİ A.Ş</t>
  </si>
  <si>
    <t>DBB MÜHENDİSLİK ELEKTRİK TAAHHÜT İNŞAAT TİCARET LT</t>
  </si>
  <si>
    <t>SAREM TURİZM GIDA TİCARET LİMİTED ŞİRKETİ</t>
  </si>
  <si>
    <t>ASYAMED TEKNİK TIBBI MALZEMELER - ASLAN BURSALI</t>
  </si>
  <si>
    <t>BY SELMA ÖZKAN / MELİSA COLLECTION</t>
  </si>
  <si>
    <t>EMTEK SU VE ISI TEKN İNŞ SAN DIŞ TİC LTD ŞTİ</t>
  </si>
  <si>
    <t>MURAT UYSAL YAPI MALZEMELERİ SANAYİ VE DIŞ TİCARET</t>
  </si>
  <si>
    <t>EZA İNTERNET HİZMETLERİ PAZARLAMA TİC. A.Ş</t>
  </si>
  <si>
    <t>PETROLİGHT KİMYA SANAYİ VE DIŞ TİC.LTD.ŞTİ</t>
  </si>
  <si>
    <t>ANDRİALİ CONTRACT TEKSTİL SAN.TİC.LTD.ŞTİ</t>
  </si>
  <si>
    <t>ASN FORKLİFT İŞ MAKİNALARI SAN.VE TİC.LTD.ŞTİ</t>
  </si>
  <si>
    <t>ENVAWİSE LOJİSTİK ANONİM ŞİRKETİ</t>
  </si>
  <si>
    <t>KATRE ISI SAN.TİC.A.Ş.</t>
  </si>
  <si>
    <t>DOĞUŞ TEKNOLOJİ</t>
  </si>
  <si>
    <t>TÜRKİYE SINAI KALKINMA BANKASI A.S.</t>
  </si>
  <si>
    <t>ULUSAL FAKTORING A.S.</t>
  </si>
  <si>
    <t>WYNDHAM HOTEL ( Reisler Turizm  )</t>
  </si>
  <si>
    <t>BADE HALI</t>
  </si>
  <si>
    <t>COCA-COLA İÇECEK A.Ş.</t>
  </si>
  <si>
    <t>FYK MOBILE</t>
  </si>
  <si>
    <t>ŞEKERBANK T.A.S.</t>
  </si>
  <si>
    <t>Welldermo Sağlık Güzellik ve Spor Ürünleri San. Ti</t>
  </si>
  <si>
    <t>SUNTEL BANYO MUTFAK AKSESUARLARI SAN. TİC. LTD.ŞTİ</t>
  </si>
  <si>
    <t>VELOSİ ELEKTRONİK TİC.LTD.ŞTİ</t>
  </si>
  <si>
    <t>AFFIDEA</t>
  </si>
  <si>
    <t>ASTAY GAYRIMENKUL INSAAT YATIRIM VE TURIZM A.S.</t>
  </si>
  <si>
    <t>AYDOGAN KARDESLER INS. SAN. VE TIC.LTD.STI.</t>
  </si>
  <si>
    <t xml:space="preserve">AZE MEDYA ANONİM ŞİRKETİ </t>
  </si>
  <si>
    <t>COGİTO PARK COGNİTİVE DİJİTAL TEKN. VE YATIRIM A.Ş</t>
  </si>
  <si>
    <t>DAM BILGI TEKNOLOJILERI A.S.</t>
  </si>
  <si>
    <t>DIGITAY TEKNOLOJI VE YAZILIM TICARET LIMITED SIRKE</t>
  </si>
  <si>
    <t>GENMAK GENEL MAKİNA SANAYİ VE TİCARET LTD.ŞTİ.</t>
  </si>
  <si>
    <t>HARE GROUP ORGANİZASYON TURİZM SANAYİ TİCARET A.Ş</t>
  </si>
  <si>
    <t>INTER MEDYA TİCARET LTD.ŞTİ.</t>
  </si>
  <si>
    <t>KENTPARK ALISVERIS MERKEZI VE ILETMECILIK AS.</t>
  </si>
  <si>
    <t>PSH PERAKENDE SATIS HIZMETLERI GIDA ANONIM SIRKETI</t>
  </si>
  <si>
    <t>SEZER TEKSTIL SAN.TIC.A.S</t>
  </si>
  <si>
    <t>SOYKP IS MERKEZI ISLETMECILIGI A.S.</t>
  </si>
  <si>
    <t>STRADA SEYAHAT ACENTELIGI LTD. STI</t>
  </si>
  <si>
    <t>TEKYAZ TEKNOLOJIK  YAZILIMLAR VE MAKINE  TIC. A.S.</t>
  </si>
  <si>
    <t>TERAKKI VAKFI ÖZEL SISLI TERAKKI LISESI</t>
  </si>
  <si>
    <t>TK 34 YIYECEK IÇECEK GIDA RESTORAN TUR.TIC.SAN.LTD</t>
  </si>
  <si>
    <t>TSM DANISMANLIK ORGA.VE PAZ. AS.</t>
  </si>
  <si>
    <t>UMTAS ULUSLARARASI MAKINA TIC. A.S.</t>
  </si>
  <si>
    <t>YARGICI KONFEKSIYON IHRACAT VE TICARET AS.</t>
  </si>
  <si>
    <t>DEVON YAPI ÜRÜNLERİ İTH. SAN. ve TİC. A.Ş.</t>
  </si>
  <si>
    <t>KGM ENERJİ TİC.LTD.ŞTİ.</t>
  </si>
  <si>
    <t>TÜM TEKNOLOJI ÜRETIM MERKEZI A.Ş.</t>
  </si>
  <si>
    <t>SHOPISTANBUL TEKNOLOJI VE TICARET LIMITED SIRKETI</t>
  </si>
  <si>
    <t>BASKENT HOLDING A S.</t>
  </si>
  <si>
    <t>GÜLENYÜZ SİGORTA</t>
  </si>
  <si>
    <t>SÜTPLUS GIDA TÜKETİM MADDELERİ SAN.VE TİC.LTD.ŞTİ.</t>
  </si>
  <si>
    <t>ULU MOTOR SAN. VE TİC.. A.Ş</t>
  </si>
  <si>
    <t>DAĞCIOĞLU BAHARAT</t>
  </si>
  <si>
    <t>TEDMARİNE GEMİ ACENTELİĞİ ANONİM ŞİRKETİ</t>
  </si>
  <si>
    <t>ALBAŞLAR İNŞAAT TESİSAT TEKNİK YAPI MAL</t>
  </si>
  <si>
    <t>TS Verim Danışmanlık ve Turizm Ltd Şti.</t>
  </si>
  <si>
    <t>Royal Duchess Marine Denizcilik A.Ş.</t>
  </si>
  <si>
    <t>METU KİMYA</t>
  </si>
  <si>
    <t>NOBEL BIOCARE</t>
  </si>
  <si>
    <t>PRİNCEPS LEGEM KURUMSAL DANIŞMANLIK LTD.ŞTİ</t>
  </si>
  <si>
    <t>Mor Elma Yayıncılık</t>
  </si>
  <si>
    <t>Fortis Plastik Sanayi Ticaret Ltd.Şti.</t>
  </si>
  <si>
    <t>Mastcolor Plastik San Ve Tic Ltd Şti</t>
  </si>
  <si>
    <t>VMM VAROL MAKİNA SAN.TİC.LTD.ŞTİ.</t>
  </si>
  <si>
    <t>SONÇAĞ MÜHENDİSLİK - SİNAN SONÇAĞI</t>
  </si>
  <si>
    <t>Bisam Cephe Sistemleri AS</t>
  </si>
  <si>
    <t>Birleşik Araştırmacılar</t>
  </si>
  <si>
    <t>AKAR TAAHHÜT YAPI İNŞAAT</t>
  </si>
  <si>
    <t>Dizayn Teknik Boru ve Elemanları San. ve Tic A.Ş.</t>
  </si>
  <si>
    <t>APEC ÇELİK YAPI SİSTEMLERİ A.Ş.</t>
  </si>
  <si>
    <t>CNMAR DENİZCİLİK VE LOJİSTİK HİZMETLERİ LİMİTED Şİ</t>
  </si>
  <si>
    <t>AŞÇIOĞLU İŞ ORTAKLIĞI</t>
  </si>
  <si>
    <t>BİLGİLİ GRUP MÜHENDİSLİK VE TİC. LTD. ŞTİ.</t>
  </si>
  <si>
    <t>TIED UP DEKORASYON ÜRÜNLERİ SAN.TİC.LTD.ŞTİ.</t>
  </si>
  <si>
    <t>ANATORIAS DIŞ TİCARET LTD. ŞTİ.</t>
  </si>
  <si>
    <t>HİVA TEKSTİL ÜRÜNLERİ SAN. VE TİC. LTD.ŞTİ</t>
  </si>
  <si>
    <t>SL INVEST DANIŞMANLIK ANONİM ŞİRKETİ</t>
  </si>
  <si>
    <t>Atomy Turkey Kozmetik ve Sağlıklı Ürünler Limited</t>
  </si>
  <si>
    <t>SADIK GROUP YATIRIM İNŞAAT VE TİCARET LİMİTED ŞİRK</t>
  </si>
  <si>
    <t>Segment</t>
  </si>
  <si>
    <t>Enterprise</t>
  </si>
  <si>
    <t>SMB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</si>
  <si>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</si>
  <si>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</si>
  <si>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</si>
  <si>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</si>
  <si>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</si>
  <si>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</si>
  <si>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</si>
  <si>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</si>
  <si>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</si>
  <si>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</si>
  <si>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</si>
  <si>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</si>
  <si>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FY23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</si>
  <si>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</si>
  <si>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</si>
  <si>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</si>
  <si>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</si>
  <si>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</si>
  <si>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</si>
  <si>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</si>
  <si>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</si>
  <si>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</si>
  <si>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</si>
  <si>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</si>
  <si>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</si>
  <si>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FY24</t>
  </si>
  <si>
    <t>Jan.25</t>
  </si>
  <si>
    <t>Feb.25</t>
  </si>
  <si>
    <t>Mar.25</t>
  </si>
  <si>
    <t>Apr.25</t>
  </si>
  <si>
    <t>May.25</t>
  </si>
  <si>
    <t>Jun.25</t>
  </si>
  <si>
    <t>Jul.25</t>
  </si>
  <si>
    <t>Aug.25</t>
  </si>
  <si>
    <t>Sep.25</t>
  </si>
  <si>
    <t>Oct.25</t>
  </si>
  <si>
    <t>2025</t>
  </si>
  <si>
    <t>Contract Date</t>
  </si>
  <si>
    <t>Second Year Ending MRR</t>
  </si>
  <si>
    <t>MRR Growth (0-1)</t>
  </si>
  <si>
    <t>MRR Growth (0-2)</t>
  </si>
  <si>
    <t>MRR Growth(1-2)</t>
  </si>
  <si>
    <t>MRR Growth (0-today)</t>
  </si>
  <si>
    <t>TÜRKİYE ŞİŞE VE CAM FABRİKALARI A.Ş.</t>
  </si>
  <si>
    <t>DEMANT ISITME CIHAZLARI SAN.VE TIC.A.S. (SES)</t>
  </si>
  <si>
    <t>AN GIDA ÜRÜNLERİ ÜRETİM VE PAZARLA ( KORHAN SERA )</t>
  </si>
  <si>
    <t>PİMMS ULUSLARARASI REKLAM ÜRÜNLERI A.S.</t>
  </si>
  <si>
    <t>BOĞAZIÇI ISTANBUL REKLAM VE ORGANIZASYON PEYZAJ SP</t>
  </si>
  <si>
    <t>Ömür Akkor Anadolu  Gastronomi Vakfı</t>
  </si>
  <si>
    <t>Mikro Hosted</t>
  </si>
  <si>
    <t>Churn Date</t>
  </si>
  <si>
    <t>CHURN</t>
  </si>
  <si>
    <t>LOW RISK</t>
  </si>
  <si>
    <t>BOOKED CHURN</t>
  </si>
  <si>
    <t>Current MRR</t>
  </si>
  <si>
    <t>Lifetime before being churn</t>
  </si>
  <si>
    <t>First Year Ending Exc. License MRR</t>
  </si>
  <si>
    <t>Second Year Ending Exc. License MRR</t>
  </si>
  <si>
    <t>DoesCustomerCompleteItsFirstYear</t>
  </si>
  <si>
    <t>DoesCustomersCompleteItsSecondYear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</si>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</sst>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1" fillId="3" borderId="0" xfId="0" applyFont="1" applyFill="1"/>
    <xf numFmtId="14" fontId="5" fillId="3" borderId="0" xfId="2" applyNumberFormat="1" applyFont="1" applyFill="1" applyAlignment="1">
      <alignment horizontal="right"/>
    </xf>
    <xf numFmtId="14" fontId="5" fillId="3" borderId="0" xfId="2" applyNumberFormat="1" applyFont="1" applyFill="1" applyAlignment="1">
      <alignment horizontal="left"/>
    </xf>
    <xf numFmtId="14" fontId="5" fillId="3" borderId="0" xfId="2" quotePrefix="1" applyNumberFormat="1" applyFont="1" applyFill="1" applyAlignment="1">
      <alignment horizontal="right"/>
    </xf>
    <xf numFmtId="0" fontId="0" fillId="2" borderId="0" xfId="0" applyFill="1"/>
    <xf numFmtId="3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/>
    <xf numFmtId="0" fontId="3" fillId="2" borderId="0" xfId="1" applyFont="1" applyFill="1"/>
    <xf numFmtId="14" fontId="3" fillId="2" borderId="0" xfId="1" applyNumberFormat="1" applyFont="1" applyFill="1"/>
    <xf numFmtId="10" fontId="0" fillId="4" borderId="0" xfId="0" applyNumberFormat="1" applyFill="1"/>
    <xf numFmtId="3" fontId="1" fillId="3" borderId="0" xfId="0" applyNumberFormat="1" applyFont="1" applyFill="1"/>
    <xf numFmtId="165" fontId="0" fillId="4" borderId="0" xfId="0" applyNumberFormat="1" applyFill="1"/>
    <xf numFmtId="3" fontId="0" fillId="4" borderId="0" xfId="0" applyNumberFormat="1" applyFill="1"/>
    <xf numFmtId="0" fontId="0" fillId="4" borderId="0" xfId="0" applyFill="1"/>
  </cellXfs>
  <cellStyles count="4">
    <cellStyle name="Comma 2 3 5 2 2" xfId="3" xr:uid="{5D85A49B-A200-498C-9BD3-886849BDA669}"/>
    <cellStyle name="Normal" xfId="0" builtinId="0"/>
    <cellStyle name="Normal 3 2 2" xfId="2" xr:uid="{D0C84DFD-36B5-428B-9AAB-02F7F3B0089A}"/>
    <cellStyle name="Normal 3 3" xfId="1" xr:uid="{E9BEC36C-5D4A-4345-8665-1D5AAC56D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rcan.aslanhan\Downloads\Product%20Detail.xlsx" TargetMode="External"/><Relationship Id="rId1" Type="http://schemas.openxmlformats.org/officeDocument/2006/relationships/externalLinkPath" Target="/Users/emircan.aslanhan/Downloads/Product%20Detai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rcan.aslanhan\Desktop\Revenue%20Engine%20Oct%20(version%202).xlsx" TargetMode="External"/><Relationship Id="rId1" Type="http://schemas.openxmlformats.org/officeDocument/2006/relationships/externalLinkPath" Target="/Users/emircan.aslanhan/Desktop/Revenue%20Engine%20Oct%20(version%20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rcan.aslanhan\Desktop\Churn_List_Oct.25_v1.xlsx" TargetMode="External"/><Relationship Id="rId1" Type="http://schemas.openxmlformats.org/officeDocument/2006/relationships/externalLinkPath" Target="/Users/emircan.aslanhan/Desktop/Churn_List_Oct.25_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rcan%20Aslanhan\Downloads\Riskli%20M&#252;&#351;teri%20Format%20-%2013112025.xlsx" TargetMode="External"/><Relationship Id="rId1" Type="http://schemas.openxmlformats.org/officeDocument/2006/relationships/externalLinkPath" Target="/Users/Emircan%20Aslanhan/Downloads/Riskli%20M&#252;&#351;teri%20Format%20-%2013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2">
          <cell r="B2" t="str">
            <v>MİKRO YAZILIMEVI YAZ. HIZ. BILG. SAN.TIC. A.S.</v>
          </cell>
          <cell r="C2" t="str">
            <v>ENTERPRISE</v>
          </cell>
          <cell r="D2">
            <v>289279.18387458782</v>
          </cell>
          <cell r="E2">
            <v>2.6913450230396847E-3</v>
          </cell>
          <cell r="F2">
            <v>0.97860439791169374</v>
          </cell>
          <cell r="H2">
            <v>1.8704257065266551E-2</v>
          </cell>
        </row>
        <row r="3">
          <cell r="B3" t="str">
            <v>FLO Magazacılık Hizmetleri ve Pazarlama A.Ş.</v>
          </cell>
          <cell r="C3" t="str">
            <v>ENTERPRISE</v>
          </cell>
          <cell r="D3">
            <v>80235.455823027965</v>
          </cell>
          <cell r="E3">
            <v>0.22033356056924683</v>
          </cell>
          <cell r="F3">
            <v>0.49034543176912182</v>
          </cell>
          <cell r="H3">
            <v>0.19781585966045662</v>
          </cell>
        </row>
        <row r="4">
          <cell r="B4" t="str">
            <v>TÜRKİYE ŞİŞE VE CAM FABRİKALARI A.Ş.</v>
          </cell>
          <cell r="C4" t="str">
            <v>ENTERPRISE</v>
          </cell>
          <cell r="D4">
            <v>79427</v>
          </cell>
          <cell r="G4">
            <v>1</v>
          </cell>
        </row>
        <row r="5">
          <cell r="B5" t="str">
            <v>MEDICAL PARK HASTANELERİ (MLP CARE) ********||||||</v>
          </cell>
          <cell r="C5" t="str">
            <v>ENTERPRISE</v>
          </cell>
          <cell r="D5">
            <v>79195.04222592579</v>
          </cell>
          <cell r="E5">
            <v>0.24640099523221923</v>
          </cell>
          <cell r="F5">
            <v>0.75359900476777997</v>
          </cell>
        </row>
        <row r="6">
          <cell r="B6" t="str">
            <v>Türkiye'nin Otomobili Girişim Grubu San.veTic. A.Ş</v>
          </cell>
          <cell r="C6" t="str">
            <v>ENTERPRISE</v>
          </cell>
          <cell r="D6">
            <v>52640.973836010533</v>
          </cell>
          <cell r="E6">
            <v>1</v>
          </cell>
        </row>
        <row r="7">
          <cell r="B7" t="str">
            <v>SAHİBİNDEN BILGI.TEKN.PAZ.VE TIC.A.S</v>
          </cell>
          <cell r="C7" t="str">
            <v>ENTERPRISE</v>
          </cell>
          <cell r="D7">
            <v>38430.902667873066</v>
          </cell>
          <cell r="E7">
            <v>0.97190157402805488</v>
          </cell>
          <cell r="F7">
            <v>2.3478303793816827E-2</v>
          </cell>
          <cell r="H7">
            <v>4.6201221781282682E-3</v>
          </cell>
        </row>
        <row r="8">
          <cell r="B8" t="str">
            <v>EKSİM HOLDİNG</v>
          </cell>
          <cell r="C8" t="str">
            <v>ENTERPRISE</v>
          </cell>
          <cell r="D8">
            <v>30800</v>
          </cell>
          <cell r="E8">
            <v>1</v>
          </cell>
        </row>
        <row r="9">
          <cell r="B9" t="str">
            <v>LOGO YAZILIM SANAYİ TİC AŞ</v>
          </cell>
          <cell r="C9" t="str">
            <v>ENTERPRISE</v>
          </cell>
          <cell r="D9">
            <v>28399.265035</v>
          </cell>
          <cell r="E9">
            <v>4.4640063693113102E-2</v>
          </cell>
          <cell r="F9">
            <v>0.95535993630688709</v>
          </cell>
        </row>
        <row r="10">
          <cell r="B10" t="str">
            <v>TRAKYA ELEKTRİK DAĞITIM A.Ş.</v>
          </cell>
          <cell r="C10" t="str">
            <v>ENTERPRISE</v>
          </cell>
          <cell r="D10">
            <v>26518.65</v>
          </cell>
          <cell r="E10">
            <v>3.2241460255329736E-2</v>
          </cell>
          <cell r="F10">
            <v>0.94569859325418149</v>
          </cell>
          <cell r="G10">
            <v>1.1312793072045522E-2</v>
          </cell>
          <cell r="H10">
            <v>1.0747153418443246E-2</v>
          </cell>
        </row>
        <row r="11">
          <cell r="B11" t="str">
            <v>İSTANBUL KÜLTÜR ÜNIVERSITESI (İKÜ)</v>
          </cell>
          <cell r="C11" t="str">
            <v>ENTERPRISE</v>
          </cell>
          <cell r="D11">
            <v>22470.578661042193</v>
          </cell>
          <cell r="E11">
            <v>0.26526958116684968</v>
          </cell>
          <cell r="F11">
            <v>0.5179892738372075</v>
          </cell>
          <cell r="H11">
            <v>6.4973849673539502E-2</v>
          </cell>
        </row>
        <row r="12">
          <cell r="B12" t="str">
            <v>AVEON GLOBAL SİGORTA ANONİM ŞİRKETİ</v>
          </cell>
          <cell r="C12" t="str">
            <v>ENTERPRISE</v>
          </cell>
          <cell r="D12">
            <v>16839.575881038021</v>
          </cell>
          <cell r="E12">
            <v>0.17477159174489879</v>
          </cell>
          <cell r="F12">
            <v>0.32753653886323475</v>
          </cell>
          <cell r="H12">
            <v>0.29174844038276093</v>
          </cell>
        </row>
        <row r="13">
          <cell r="B13" t="str">
            <v>ARENA BILGISAYAR</v>
          </cell>
          <cell r="C13" t="str">
            <v>ENTERPRISE</v>
          </cell>
          <cell r="D13">
            <v>14520.046197810821</v>
          </cell>
          <cell r="E13">
            <v>0.46623187597212817</v>
          </cell>
          <cell r="F13">
            <v>0.26125861121749627</v>
          </cell>
          <cell r="H13">
            <v>0.26562248238101804</v>
          </cell>
        </row>
        <row r="14">
          <cell r="B14" t="str">
            <v>BEYMEN GRUP</v>
          </cell>
          <cell r="C14" t="str">
            <v>ENTERPRISE</v>
          </cell>
          <cell r="D14">
            <v>13913.999565000002</v>
          </cell>
          <cell r="E14">
            <v>0.76062205403698391</v>
          </cell>
          <cell r="F14">
            <v>0.18331027854966014</v>
          </cell>
          <cell r="H14">
            <v>5.606766741335599E-2</v>
          </cell>
        </row>
        <row r="15">
          <cell r="B15" t="str">
            <v>TEKHNELOGOS YAZILIM MÜH MÜŞ BİL HİZ SAN</v>
          </cell>
          <cell r="C15" t="str">
            <v>ENTERPRISE</v>
          </cell>
          <cell r="D15">
            <v>11866.082515682381</v>
          </cell>
          <cell r="E15">
            <v>0.18738241390213595</v>
          </cell>
          <cell r="F15">
            <v>0.39731793025341811</v>
          </cell>
          <cell r="H15">
            <v>0.41529965584444617</v>
          </cell>
        </row>
        <row r="16">
          <cell r="B16" t="str">
            <v>AROMSA BESİN AROMA KATKI MAD SAN TİC AŞ</v>
          </cell>
          <cell r="C16" t="str">
            <v>ENTERPRISE</v>
          </cell>
          <cell r="D16">
            <v>11808.599999999997</v>
          </cell>
          <cell r="E16">
            <v>0.7183239334044681</v>
          </cell>
          <cell r="F16">
            <v>8.9584878817133284E-2</v>
          </cell>
          <cell r="H16">
            <v>0.17379028843385336</v>
          </cell>
        </row>
        <row r="17">
          <cell r="B17" t="str">
            <v>COMPUGROUP MEDICAL BILGI SISTEMLERI A.S. (CGM)</v>
          </cell>
          <cell r="C17" t="str">
            <v>ENTERPRISE</v>
          </cell>
          <cell r="D17">
            <v>11417.878729523554</v>
          </cell>
          <cell r="E17">
            <v>0.2004369827125545</v>
          </cell>
          <cell r="F17">
            <v>0.22353256226137033</v>
          </cell>
          <cell r="H17">
            <v>0.29978579743969941</v>
          </cell>
        </row>
        <row r="18">
          <cell r="B18" t="str">
            <v>AGDAS ADAPAZARI GAZ DAGITIM A.S.</v>
          </cell>
          <cell r="C18" t="str">
            <v>ENTERPRISE</v>
          </cell>
          <cell r="D18">
            <v>11210.338763733303</v>
          </cell>
          <cell r="E18">
            <v>0.66272698445037614</v>
          </cell>
          <cell r="F18">
            <v>6.5711123788894488E-2</v>
          </cell>
          <cell r="H18">
            <v>0.2675212643619756</v>
          </cell>
        </row>
        <row r="19">
          <cell r="B19" t="str">
            <v>EVIDEA MAGAZACILIK A.S.</v>
          </cell>
          <cell r="C19" t="str">
            <v>ENTERPRISE</v>
          </cell>
          <cell r="D19">
            <v>10541.866366627368</v>
          </cell>
          <cell r="E19">
            <v>0.1260783466326586</v>
          </cell>
          <cell r="F19">
            <v>0.47031138749672818</v>
          </cell>
          <cell r="H19">
            <v>0.40361026587061338</v>
          </cell>
        </row>
        <row r="20">
          <cell r="B20" t="str">
            <v>INVEON BILGI TEKNOLOJILERI DANISMANLIK VE TIC. A.S</v>
          </cell>
          <cell r="C20" t="str">
            <v>ENTERPRISE</v>
          </cell>
          <cell r="D20">
            <v>9965.4203609737888</v>
          </cell>
          <cell r="E20">
            <v>1.9316796786000255E-2</v>
          </cell>
          <cell r="F20">
            <v>0.78917012652813279</v>
          </cell>
          <cell r="H20">
            <v>2.5438797824410091E-2</v>
          </cell>
        </row>
        <row r="21">
          <cell r="B21" t="str">
            <v>MARS LOJISTIK</v>
          </cell>
          <cell r="C21" t="str">
            <v>ENTERPRISE</v>
          </cell>
          <cell r="D21">
            <v>9949.9858319999985</v>
          </cell>
          <cell r="E21">
            <v>0.74945324806569036</v>
          </cell>
          <cell r="F21">
            <v>1.3518712716896662E-2</v>
          </cell>
          <cell r="H21">
            <v>0.16775959887618061</v>
          </cell>
        </row>
        <row r="22">
          <cell r="B22" t="str">
            <v>GOSB</v>
          </cell>
          <cell r="C22" t="str">
            <v>ENTERPRISE</v>
          </cell>
          <cell r="D22">
            <v>9800</v>
          </cell>
          <cell r="E22">
            <v>1</v>
          </cell>
        </row>
        <row r="23">
          <cell r="B23" t="str">
            <v>ELİG HUKUK BÜROSU, GÖNENÇ GÜRKAYNAK</v>
          </cell>
          <cell r="C23" t="str">
            <v>SMB</v>
          </cell>
          <cell r="D23">
            <v>9552.8482029999996</v>
          </cell>
          <cell r="E23">
            <v>0.17697857896130542</v>
          </cell>
          <cell r="F23">
            <v>9.4715071753768129E-2</v>
          </cell>
          <cell r="H23">
            <v>0.7107723116408029</v>
          </cell>
        </row>
        <row r="24">
          <cell r="B24" t="str">
            <v>CARREFOURSA CARREFOUR SABANCI TİCARET MERKEZİ A.Ş</v>
          </cell>
          <cell r="C24" t="str">
            <v>ENTERPRISE</v>
          </cell>
          <cell r="D24">
            <v>9291.0610509259022</v>
          </cell>
          <cell r="E24">
            <v>1</v>
          </cell>
        </row>
        <row r="25">
          <cell r="B25" t="str">
            <v>SUNEXPRESS (GÜNEŞ HAVACILIK)</v>
          </cell>
          <cell r="C25" t="str">
            <v>ENTERPRISE</v>
          </cell>
          <cell r="D25">
            <v>9274.01561134246</v>
          </cell>
          <cell r="E25">
            <v>7.9087683715499707E-2</v>
          </cell>
          <cell r="F25">
            <v>0.86113238672281744</v>
          </cell>
          <cell r="H25">
            <v>5.9779929561682925E-2</v>
          </cell>
        </row>
        <row r="26">
          <cell r="B26" t="str">
            <v>ALTERNA GIDA SANAYI PAZARLAMA VE TİC. A.Ş.</v>
          </cell>
          <cell r="C26" t="str">
            <v>SMB</v>
          </cell>
          <cell r="D26">
            <v>8861.2760717372439</v>
          </cell>
          <cell r="E26">
            <v>0.27086544063248952</v>
          </cell>
          <cell r="F26">
            <v>0.24258888952305982</v>
          </cell>
          <cell r="H26">
            <v>0.48654566984445069</v>
          </cell>
        </row>
        <row r="27">
          <cell r="B27" t="str">
            <v>DİKEY VITAMIN KOZM.GIDATAKV.TIC.AS(SUPPLEMTLER)</v>
          </cell>
          <cell r="C27" t="str">
            <v>ENTERPRISE</v>
          </cell>
          <cell r="D27">
            <v>8743.8161173910721</v>
          </cell>
          <cell r="E27">
            <v>0.25078655889570678</v>
          </cell>
          <cell r="F27">
            <v>0.54265322094510815</v>
          </cell>
          <cell r="G27">
            <v>3.7452111035006876E-2</v>
          </cell>
          <cell r="H27">
            <v>0.16910810912417817</v>
          </cell>
        </row>
        <row r="28">
          <cell r="B28" t="str">
            <v>OSMANLI YATIRIM MENKUL DEGERLER A.S.</v>
          </cell>
          <cell r="C28" t="str">
            <v>ENTERPRISE</v>
          </cell>
          <cell r="D28">
            <v>8680.6658414927006</v>
          </cell>
          <cell r="E28">
            <v>0.40893432121034329</v>
          </cell>
          <cell r="F28">
            <v>0.34446718859487885</v>
          </cell>
          <cell r="H28">
            <v>0.24659849019477784</v>
          </cell>
        </row>
        <row r="29">
          <cell r="B29" t="str">
            <v>KOALAY - KONUT KREDISI COM TR DANISMANLIK A.S</v>
          </cell>
          <cell r="C29" t="str">
            <v>ENTERPRISE</v>
          </cell>
          <cell r="D29">
            <v>8549.5960554215999</v>
          </cell>
          <cell r="E29">
            <v>0.10157208271232702</v>
          </cell>
          <cell r="F29">
            <v>0.5041256030890533</v>
          </cell>
          <cell r="H29">
            <v>0.39430231419861977</v>
          </cell>
        </row>
        <row r="30">
          <cell r="B30" t="str">
            <v>CAHAN HOLDİNG</v>
          </cell>
          <cell r="C30" t="str">
            <v>SMB</v>
          </cell>
          <cell r="D30">
            <v>8419.6185589999986</v>
          </cell>
          <cell r="E30">
            <v>0.26915506303757719</v>
          </cell>
          <cell r="F30">
            <v>0.63532190009749356</v>
          </cell>
          <cell r="H30">
            <v>9.5523036864929328E-2</v>
          </cell>
        </row>
        <row r="31">
          <cell r="B31" t="str">
            <v>TEKNOSA İÇ ve DIŞ TİCARET A.Ş.</v>
          </cell>
          <cell r="C31" t="str">
            <v>ENTERPRISE</v>
          </cell>
          <cell r="D31">
            <v>8377.0069829999993</v>
          </cell>
          <cell r="E31">
            <v>0.62778985509650742</v>
          </cell>
          <cell r="F31">
            <v>0.21069661116217797</v>
          </cell>
          <cell r="H31">
            <v>0.1615135337413148</v>
          </cell>
        </row>
        <row r="32">
          <cell r="B32" t="str">
            <v>MİGROS TİCARET A.Ş.</v>
          </cell>
          <cell r="C32" t="str">
            <v>ENTERPRISE</v>
          </cell>
          <cell r="D32">
            <v>7500</v>
          </cell>
          <cell r="E32">
            <v>1</v>
          </cell>
        </row>
        <row r="33">
          <cell r="B33" t="str">
            <v>MARTAS OTOMOTIV YEDEK PARÇA TIC.VE SAN.A.S</v>
          </cell>
          <cell r="C33" t="str">
            <v>ENTERPRISE</v>
          </cell>
          <cell r="D33">
            <v>7157.9534132775079</v>
          </cell>
          <cell r="E33">
            <v>0.14414187421783189</v>
          </cell>
          <cell r="F33">
            <v>0.69604906138215084</v>
          </cell>
          <cell r="H33">
            <v>0.15980906440001738</v>
          </cell>
        </row>
        <row r="34">
          <cell r="B34" t="str">
            <v>DIGITURK KREA IÇERIK HIZMETLERI VE PRODÜKSIYON A.S</v>
          </cell>
          <cell r="C34" t="str">
            <v>ENTERPRISE</v>
          </cell>
          <cell r="D34">
            <v>6935.8509157214376</v>
          </cell>
          <cell r="E34">
            <v>1</v>
          </cell>
        </row>
        <row r="35">
          <cell r="B35" t="str">
            <v>MEGA METAL SAN. VE TİC. A.Ş.</v>
          </cell>
          <cell r="C35" t="str">
            <v>ENTERPRISE</v>
          </cell>
          <cell r="D35">
            <v>6500</v>
          </cell>
          <cell r="E35">
            <v>1</v>
          </cell>
        </row>
        <row r="36">
          <cell r="B36" t="str">
            <v>SABANCI ÜNİVERSİTESİ</v>
          </cell>
          <cell r="C36" t="str">
            <v>ENTERPRISE</v>
          </cell>
          <cell r="D36">
            <v>6166</v>
          </cell>
          <cell r="E36">
            <v>1</v>
          </cell>
        </row>
        <row r="37">
          <cell r="B37" t="str">
            <v>BEZMIALEM VAKIF ÜNIVERSITESI (REKTÖRLÜK)</v>
          </cell>
          <cell r="C37" t="str">
            <v>ENTERPRISE</v>
          </cell>
          <cell r="D37">
            <v>6064.3402147504148</v>
          </cell>
          <cell r="E37">
            <v>9.5106731121703536E-2</v>
          </cell>
          <cell r="F37">
            <v>0.22990597384421599</v>
          </cell>
          <cell r="H37">
            <v>0.60166649367375313</v>
          </cell>
        </row>
        <row r="38">
          <cell r="B38" t="str">
            <v>İSTANBUL TURİZM OTELCİLİK AŞ (THE MARMARA HOTELS)</v>
          </cell>
          <cell r="C38" t="str">
            <v>SMB</v>
          </cell>
          <cell r="D38">
            <v>6015.8493545116253</v>
          </cell>
          <cell r="E38">
            <v>5.7775200047966921E-2</v>
          </cell>
          <cell r="F38">
            <v>0.48427746387655823</v>
          </cell>
          <cell r="H38">
            <v>0.39611644097931559</v>
          </cell>
        </row>
        <row r="39">
          <cell r="B39" t="str">
            <v>AKSA - KAZANCI HOLDİNG A.Ş.</v>
          </cell>
          <cell r="C39" t="str">
            <v>ENTERPRISE</v>
          </cell>
          <cell r="D39">
            <v>6000</v>
          </cell>
        </row>
        <row r="40">
          <cell r="B40" t="str">
            <v>UNIFREE DUTY FREE İŞLETMECİLİĞİ A.Ş.</v>
          </cell>
          <cell r="C40" t="str">
            <v>ENTERPRISE</v>
          </cell>
          <cell r="D40">
            <v>5885.6443361488036</v>
          </cell>
          <cell r="E40">
            <v>0.26208167930891491</v>
          </cell>
          <cell r="F40">
            <v>0.27081893922872724</v>
          </cell>
          <cell r="H40">
            <v>0.46709938146235791</v>
          </cell>
        </row>
        <row r="41">
          <cell r="B41" t="str">
            <v>SESTEK SES VE İLETİŞİM BİLGİSAYAR TEKNOLOJİLERİ SA</v>
          </cell>
          <cell r="C41" t="str">
            <v>ENTERPRISE</v>
          </cell>
          <cell r="D41">
            <v>5872.5420999999997</v>
          </cell>
          <cell r="E41">
            <v>0.21539905180075256</v>
          </cell>
          <cell r="F41">
            <v>0.63049392187414044</v>
          </cell>
          <cell r="H41">
            <v>0.15410702632510714</v>
          </cell>
        </row>
        <row r="42">
          <cell r="B42" t="str">
            <v>GUSTOGIYIM SAN. VE TIC. A.S</v>
          </cell>
          <cell r="C42" t="str">
            <v>SMB</v>
          </cell>
          <cell r="D42">
            <v>5861.792287315503</v>
          </cell>
          <cell r="E42">
            <v>5.2878873249578635E-2</v>
          </cell>
          <cell r="F42">
            <v>0.5160513521860145</v>
          </cell>
          <cell r="H42">
            <v>0.43106977456440698</v>
          </cell>
        </row>
        <row r="43">
          <cell r="B43" t="str">
            <v>TEKNOFIX TELEKOMÜNIKASYON VE BILISIM HIZ. SAN. VE</v>
          </cell>
          <cell r="C43" t="str">
            <v>SMB</v>
          </cell>
          <cell r="D43">
            <v>5800.0460492605771</v>
          </cell>
          <cell r="E43">
            <v>0.43646490952221828</v>
          </cell>
          <cell r="F43">
            <v>0.40797405424724814</v>
          </cell>
          <cell r="H43">
            <v>0.15556103623053355</v>
          </cell>
        </row>
        <row r="44">
          <cell r="B44" t="str">
            <v>ASİMETRİK SES IŞIK ve GÖRÜNTÜ SİSTEMLERİ AŞ (ASF)</v>
          </cell>
          <cell r="C44" t="str">
            <v>SMB</v>
          </cell>
          <cell r="D44">
            <v>5738.6218469999994</v>
          </cell>
          <cell r="E44">
            <v>0.31141847810276185</v>
          </cell>
          <cell r="F44">
            <v>0.25309466309568462</v>
          </cell>
          <cell r="G44">
            <v>1.9168365320587401E-3</v>
          </cell>
          <cell r="H44">
            <v>0.43357002226949498</v>
          </cell>
        </row>
        <row r="45">
          <cell r="B45" t="str">
            <v>BACACI YATIRIM HOLDING ANONIM SIRKETI</v>
          </cell>
          <cell r="C45" t="str">
            <v>SMB</v>
          </cell>
          <cell r="D45">
            <v>5672.5067690000014</v>
          </cell>
          <cell r="E45">
            <v>0.37491246226840763</v>
          </cell>
          <cell r="F45">
            <v>0.72415943766677238</v>
          </cell>
          <cell r="G45">
            <v>-0.19391779415962115</v>
          </cell>
          <cell r="H45">
            <v>9.4845894224441063E-2</v>
          </cell>
        </row>
        <row r="46">
          <cell r="B46" t="str">
            <v>KOZA GIDA DAGITIM SAN. VE TIC. A.S.</v>
          </cell>
          <cell r="C46" t="str">
            <v>SMB</v>
          </cell>
          <cell r="D46">
            <v>5513.6655340481966</v>
          </cell>
          <cell r="E46">
            <v>0.19188050356723463</v>
          </cell>
          <cell r="F46">
            <v>0.28976253248899009</v>
          </cell>
          <cell r="H46">
            <v>0.46213302397395389</v>
          </cell>
        </row>
        <row r="47">
          <cell r="B47" t="str">
            <v>PİA BİLİŞİM HİZMETLERİ A.Ş.</v>
          </cell>
          <cell r="C47" t="str">
            <v>ENTERPRISE</v>
          </cell>
          <cell r="D47">
            <v>5326.8896610351931</v>
          </cell>
          <cell r="E47">
            <v>0.29394179753526867</v>
          </cell>
          <cell r="F47">
            <v>0.53686941550854395</v>
          </cell>
          <cell r="H47">
            <v>0.16918878695618728</v>
          </cell>
        </row>
        <row r="48">
          <cell r="B48" t="str">
            <v>YEMEK PAY ELEKTRONİK PARA ve ODEME Hiz. A.S.</v>
          </cell>
          <cell r="C48" t="str">
            <v>ENTERPRISE</v>
          </cell>
          <cell r="D48">
            <v>5037.7687109153276</v>
          </cell>
          <cell r="E48">
            <v>1</v>
          </cell>
        </row>
        <row r="49">
          <cell r="B49" t="str">
            <v>LİLA KAĞIT SANAYİ VE TİCARET A.Ş.</v>
          </cell>
          <cell r="C49" t="str">
            <v>ENTERPRISE</v>
          </cell>
          <cell r="D49">
            <v>4867.5184234656008</v>
          </cell>
          <cell r="E49">
            <v>0.12531053540415074</v>
          </cell>
          <cell r="F49">
            <v>0.45009381470785376</v>
          </cell>
          <cell r="H49">
            <v>0.42459564988799542</v>
          </cell>
        </row>
        <row r="50">
          <cell r="B50" t="str">
            <v>ARVATO LOJİSTİK DIŞ TİC.VE E TİC.HİZMETLERİ A.Ş.</v>
          </cell>
          <cell r="C50" t="str">
            <v>ENTERPRISE</v>
          </cell>
          <cell r="D50">
            <v>4608.8985702711498</v>
          </cell>
          <cell r="E50">
            <v>0.89013157894736838</v>
          </cell>
          <cell r="F50">
            <v>0.10986842105263156</v>
          </cell>
        </row>
        <row r="51">
          <cell r="B51" t="str">
            <v>BDO DENET YEMİNLİ MALİ MÜŞAVİRLİK A.Ş.</v>
          </cell>
          <cell r="C51" t="str">
            <v>SMB</v>
          </cell>
          <cell r="D51">
            <v>4455.6606911038643</v>
          </cell>
          <cell r="E51">
            <v>0.19599023930747136</v>
          </cell>
          <cell r="F51">
            <v>0.61675168676510317</v>
          </cell>
          <cell r="H51">
            <v>0.17735155485479581</v>
          </cell>
        </row>
        <row r="52">
          <cell r="B52" t="str">
            <v>BİLSAR TEKSTIL SAN.VE DIS.TIC.A.S</v>
          </cell>
          <cell r="C52" t="str">
            <v>SMB</v>
          </cell>
          <cell r="D52">
            <v>4220.1794866695618</v>
          </cell>
          <cell r="E52">
            <v>0.11643173476901809</v>
          </cell>
          <cell r="F52">
            <v>0.18059342509184489</v>
          </cell>
          <cell r="H52">
            <v>0.6464180039301729</v>
          </cell>
        </row>
        <row r="53">
          <cell r="B53" t="str">
            <v>TÜRK PVEI SİGORTA A.Ş.</v>
          </cell>
          <cell r="C53" t="str">
            <v>ENTERPRISE</v>
          </cell>
          <cell r="D53">
            <v>4145.5986508298447</v>
          </cell>
          <cell r="E53">
            <v>0.59159674088057479</v>
          </cell>
          <cell r="F53">
            <v>0.23947228943671986</v>
          </cell>
          <cell r="H53">
            <v>0.16893096968270516</v>
          </cell>
        </row>
        <row r="54">
          <cell r="B54" t="str">
            <v>Türkiye Menkul Kıymetleştirme Şirketi (TMKS)</v>
          </cell>
          <cell r="C54" t="str">
            <v>SMB</v>
          </cell>
          <cell r="D54">
            <v>3854.9966065245835</v>
          </cell>
          <cell r="E54">
            <v>0.44520554090526782</v>
          </cell>
          <cell r="F54">
            <v>0.25360186142208213</v>
          </cell>
          <cell r="H54">
            <v>0.23904744963044974</v>
          </cell>
        </row>
        <row r="55">
          <cell r="B55" t="str">
            <v>ÇAĞATAY EVCİL HAYVAN MAMALARI VE YEM ÜRÜNLERİ SAN.</v>
          </cell>
          <cell r="C55" t="str">
            <v>ENTERPRISE</v>
          </cell>
          <cell r="D55">
            <v>3768.7171975187953</v>
          </cell>
          <cell r="E55">
            <v>0.16670543696520299</v>
          </cell>
          <cell r="F55">
            <v>0.76827713203702863</v>
          </cell>
          <cell r="H55">
            <v>6.5017430997768286E-2</v>
          </cell>
        </row>
        <row r="56">
          <cell r="B56" t="str">
            <v>PRONET GÜVENLİK HİZMETLERİ A.Ş.</v>
          </cell>
          <cell r="C56" t="str">
            <v>ENTERPRISE</v>
          </cell>
          <cell r="D56">
            <v>3700</v>
          </cell>
          <cell r="F56">
            <v>0.54602702702702699</v>
          </cell>
          <cell r="H56">
            <v>0.45397297297297301</v>
          </cell>
        </row>
        <row r="57">
          <cell r="B57" t="str">
            <v>ARSAN KİMYA SAN.TİC. A.Ş.</v>
          </cell>
          <cell r="C57" t="str">
            <v>SMB</v>
          </cell>
          <cell r="D57">
            <v>3656.4362290000008</v>
          </cell>
          <cell r="E57">
            <v>0.48275904226087341</v>
          </cell>
          <cell r="F57">
            <v>0.32831831538008743</v>
          </cell>
          <cell r="H57">
            <v>0.10499622472699222</v>
          </cell>
        </row>
        <row r="58">
          <cell r="B58" t="str">
            <v>TURASSİST SAĞLIK DESTEK HİZMETLERI ANONİM ŞİRKETİ</v>
          </cell>
          <cell r="C58" t="str">
            <v>SMB</v>
          </cell>
          <cell r="D58">
            <v>3584.8334980408149</v>
          </cell>
          <cell r="E58">
            <v>0.18965908042234433</v>
          </cell>
          <cell r="F58">
            <v>0.59912193693329918</v>
          </cell>
          <cell r="G58">
            <v>3.8393228976618524E-2</v>
          </cell>
          <cell r="H58">
            <v>0.17282575366773767</v>
          </cell>
        </row>
        <row r="59">
          <cell r="B59" t="str">
            <v>ARICIOĞLU OTOMOTİV SANAYİ VE TİCARET ANONİM ŞİRKET</v>
          </cell>
          <cell r="C59" t="str">
            <v>SMB</v>
          </cell>
          <cell r="D59">
            <v>3515.0364208183141</v>
          </cell>
          <cell r="E59">
            <v>0.61037090260879168</v>
          </cell>
          <cell r="F59">
            <v>4.2673811034105707E-3</v>
          </cell>
          <cell r="G59">
            <v>2.7470687748431241E-2</v>
          </cell>
          <cell r="H59">
            <v>0.3578910285393665</v>
          </cell>
        </row>
        <row r="60">
          <cell r="B60" t="str">
            <v>MOROGLU ARSEVEN AVUKATLIK ORTAKLIGI</v>
          </cell>
          <cell r="C60" t="str">
            <v>ENTERPRISE</v>
          </cell>
          <cell r="D60">
            <v>3508.6314750000006</v>
          </cell>
          <cell r="E60">
            <v>0.36462274340168477</v>
          </cell>
          <cell r="F60">
            <v>5.9264074178665339E-2</v>
          </cell>
          <cell r="H60">
            <v>0.26211326312063016</v>
          </cell>
        </row>
        <row r="61">
          <cell r="B61" t="str">
            <v>AKTİF HUKUK</v>
          </cell>
          <cell r="C61" t="str">
            <v>SMB</v>
          </cell>
          <cell r="D61">
            <v>3405.6916259999998</v>
          </cell>
          <cell r="E61">
            <v>0.51262440576585544</v>
          </cell>
          <cell r="F61">
            <v>0.17845073856959945</v>
          </cell>
          <cell r="H61">
            <v>0.30892485566454519</v>
          </cell>
        </row>
        <row r="62">
          <cell r="B62" t="str">
            <v>ASE ASYA AFRİKA HIZLI LOJİSTİK SİSTEMLERİ ANONİM Ş</v>
          </cell>
          <cell r="C62" t="str">
            <v>SMB</v>
          </cell>
          <cell r="D62">
            <v>3342.0254130624267</v>
          </cell>
          <cell r="E62">
            <v>0.35747861737523973</v>
          </cell>
          <cell r="F62">
            <v>0.51346719984049194</v>
          </cell>
          <cell r="H62">
            <v>0.12905418278426833</v>
          </cell>
        </row>
        <row r="63">
          <cell r="B63" t="str">
            <v>VANORAVENTURES YAZILIM TEKNOLOJİLERİ (NO21)</v>
          </cell>
          <cell r="C63" t="str">
            <v>ENTERPRISE</v>
          </cell>
          <cell r="D63">
            <v>3283.2031386599256</v>
          </cell>
          <cell r="E63">
            <v>0.12555815620020719</v>
          </cell>
          <cell r="F63">
            <v>0.73260170142566994</v>
          </cell>
          <cell r="H63">
            <v>0.14184014237412301</v>
          </cell>
        </row>
        <row r="64">
          <cell r="B64" t="str">
            <v>TELESURE KURUMSAL SIGORTA VE REASÜRANS BROKERLIGI</v>
          </cell>
          <cell r="C64" t="str">
            <v>SMB</v>
          </cell>
          <cell r="D64">
            <v>3257.5304341232513</v>
          </cell>
          <cell r="E64">
            <v>0.30659018678940536</v>
          </cell>
          <cell r="F64">
            <v>0.19196575666331681</v>
          </cell>
          <cell r="H64">
            <v>0.408231611511784</v>
          </cell>
        </row>
        <row r="65">
          <cell r="B65" t="str">
            <v>İPSİZCAMBAZ</v>
          </cell>
          <cell r="C65" t="str">
            <v>ENTERPRISE</v>
          </cell>
          <cell r="D65">
            <v>3252.91</v>
          </cell>
          <cell r="F65">
            <v>0.96874183423457771</v>
          </cell>
          <cell r="H65">
            <v>3.1258165765422348E-2</v>
          </cell>
        </row>
        <row r="66">
          <cell r="B66" t="str">
            <v>SONOROUS</v>
          </cell>
          <cell r="C66" t="str">
            <v>SMB</v>
          </cell>
          <cell r="D66">
            <v>3211.3268780000003</v>
          </cell>
          <cell r="E66">
            <v>0.35275250263701119</v>
          </cell>
          <cell r="F66">
            <v>0.3602412077466503</v>
          </cell>
          <cell r="H66">
            <v>0.24962298839514147</v>
          </cell>
        </row>
        <row r="67">
          <cell r="B67" t="str">
            <v>ŞÖLEN ÇIKOLATA GIDA</v>
          </cell>
          <cell r="C67" t="str">
            <v>ENTERPRISE</v>
          </cell>
          <cell r="D67">
            <v>3190</v>
          </cell>
          <cell r="E67">
            <v>1</v>
          </cell>
        </row>
        <row r="68">
          <cell r="B68" t="str">
            <v>OPSAN ORİJİNAL SAC PARÇA SAN.VE TİC. A.Ş.</v>
          </cell>
          <cell r="C68" t="str">
            <v>ENTERPRISE</v>
          </cell>
          <cell r="D68">
            <v>2860.7311049713035</v>
          </cell>
          <cell r="E68">
            <v>0.97952218352069709</v>
          </cell>
          <cell r="F68">
            <v>2.0477816479302958E-2</v>
          </cell>
        </row>
        <row r="69">
          <cell r="B69" t="str">
            <v>ENDEKS BİLİŞİM SAN. ve DIŞ TİC. A.Ş.</v>
          </cell>
          <cell r="C69" t="str">
            <v>ENTERPRISE</v>
          </cell>
          <cell r="D69">
            <v>2849.9850000000006</v>
          </cell>
          <cell r="E69">
            <v>0.26371612482170959</v>
          </cell>
          <cell r="F69">
            <v>0.34359180837793873</v>
          </cell>
          <cell r="H69">
            <v>0.39269206680035151</v>
          </cell>
        </row>
        <row r="70">
          <cell r="B70" t="str">
            <v>Gülman Group - ÜSKÜDAR EĞİTİM HİZMETLERİ VE TİC.A.</v>
          </cell>
          <cell r="C70" t="str">
            <v>SMB</v>
          </cell>
          <cell r="D70">
            <v>2746.420202144674</v>
          </cell>
          <cell r="E70">
            <v>0.20541581654942509</v>
          </cell>
          <cell r="F70">
            <v>0.43868426368986868</v>
          </cell>
          <cell r="H70">
            <v>0.35589991976070623</v>
          </cell>
        </row>
        <row r="71">
          <cell r="B71" t="str">
            <v>CCL LABEL TURKEY AMBALAJ SAN. VE TIC. A.S</v>
          </cell>
          <cell r="C71" t="str">
            <v>SMB</v>
          </cell>
          <cell r="D71">
            <v>2693.7402709886815</v>
          </cell>
          <cell r="E71">
            <v>0.25665016407637847</v>
          </cell>
          <cell r="F71">
            <v>0.46652315129801181</v>
          </cell>
          <cell r="H71">
            <v>0.20258047679556007</v>
          </cell>
        </row>
        <row r="72">
          <cell r="B72" t="str">
            <v>GALSAN PLASTIK VE KALIP SAN. A.S</v>
          </cell>
          <cell r="C72" t="str">
            <v>SMB</v>
          </cell>
          <cell r="D72">
            <v>2543.9457799695651</v>
          </cell>
          <cell r="E72">
            <v>0.17102604965821389</v>
          </cell>
          <cell r="F72">
            <v>0.2392743035442792</v>
          </cell>
          <cell r="G72">
            <v>4.7170816667891262E-3</v>
          </cell>
          <cell r="H72">
            <v>0.58498256513071778</v>
          </cell>
        </row>
        <row r="73">
          <cell r="B73" t="str">
            <v>MARK GLOBAL LOJISTIK A.S.</v>
          </cell>
          <cell r="C73" t="str">
            <v>SMB</v>
          </cell>
          <cell r="D73">
            <v>2507.1595108745751</v>
          </cell>
          <cell r="E73">
            <v>0.41723398090157249</v>
          </cell>
          <cell r="H73">
            <v>0.5827660190984274</v>
          </cell>
        </row>
        <row r="74">
          <cell r="B74" t="str">
            <v>AYDIN ÜNİVERSİTESİ</v>
          </cell>
          <cell r="C74" t="str">
            <v>ENTERPRISE</v>
          </cell>
          <cell r="D74">
            <v>2500</v>
          </cell>
          <cell r="E74">
            <v>0.22320000000000001</v>
          </cell>
          <cell r="F74">
            <v>0.419074</v>
          </cell>
          <cell r="H74">
            <v>0.30404799999999998</v>
          </cell>
        </row>
        <row r="75">
          <cell r="B75" t="str">
            <v>Vigo Teknoloji ve Lojistik A.Ş.</v>
          </cell>
          <cell r="C75" t="str">
            <v>ENTERPRISE</v>
          </cell>
          <cell r="D75">
            <v>2500</v>
          </cell>
          <cell r="E75">
            <v>1</v>
          </cell>
        </row>
        <row r="76">
          <cell r="B76" t="str">
            <v>KOTON MAĞAZACILIK TEKSTİL SANAYİ VE TİCARET A.Ş.</v>
          </cell>
          <cell r="C76" t="str">
            <v>ENTERPRISE</v>
          </cell>
          <cell r="D76">
            <v>2425.7360896163941</v>
          </cell>
          <cell r="E76">
            <v>1</v>
          </cell>
        </row>
        <row r="77">
          <cell r="B77" t="str">
            <v>Obilet.com Turizm Seyahat Acentası</v>
          </cell>
          <cell r="C77" t="str">
            <v>ENTERPRISE</v>
          </cell>
          <cell r="D77">
            <v>2425.7360896163941</v>
          </cell>
          <cell r="E77">
            <v>1</v>
          </cell>
        </row>
        <row r="78">
          <cell r="B78" t="str">
            <v>ENOCTA - AVEZ ELEKTRONIK ILETISIM</v>
          </cell>
          <cell r="C78" t="str">
            <v>ENTERPRISE</v>
          </cell>
          <cell r="D78">
            <v>2425.7356071860013</v>
          </cell>
          <cell r="E78">
            <v>1</v>
          </cell>
        </row>
        <row r="79">
          <cell r="B79" t="str">
            <v>SET KURUMSAL HİZ.TİC.A.Ş. (SETCARD)</v>
          </cell>
          <cell r="C79" t="str">
            <v>ENTERPRISE</v>
          </cell>
          <cell r="D79">
            <v>2388.2106741363164</v>
          </cell>
          <cell r="E79">
            <v>0.68155869690164705</v>
          </cell>
          <cell r="F79">
            <v>0.1653521716555659</v>
          </cell>
          <cell r="H79">
            <v>9.4556460303732867E-2</v>
          </cell>
        </row>
        <row r="80">
          <cell r="B80" t="str">
            <v>FET RESTORAN ISLETMELERI A.S</v>
          </cell>
          <cell r="C80" t="str">
            <v>SMB</v>
          </cell>
          <cell r="D80">
            <v>2324.7248567222005</v>
          </cell>
          <cell r="E80">
            <v>5.4354819511055689E-2</v>
          </cell>
          <cell r="F80">
            <v>0.46932093784996992</v>
          </cell>
          <cell r="H80">
            <v>0.18682761767110079</v>
          </cell>
        </row>
        <row r="81">
          <cell r="B81" t="str">
            <v>TURSOY OTELCILIK VE TURIZM YATIRIMLARI A.S</v>
          </cell>
          <cell r="C81" t="str">
            <v>SMB</v>
          </cell>
          <cell r="D81">
            <v>2306.9288451232192</v>
          </cell>
          <cell r="E81">
            <v>0.30932739423908706</v>
          </cell>
          <cell r="F81">
            <v>0.2682726587087641</v>
          </cell>
          <cell r="H81">
            <v>0.42239994705214884</v>
          </cell>
        </row>
        <row r="82">
          <cell r="B82" t="str">
            <v>ACAR MENKUL DEĞERLER A.Ş</v>
          </cell>
          <cell r="C82" t="str">
            <v>SMB</v>
          </cell>
          <cell r="D82">
            <v>2305.1187690000002</v>
          </cell>
          <cell r="E82">
            <v>0.2450121523434613</v>
          </cell>
          <cell r="F82">
            <v>0.55084652256371436</v>
          </cell>
          <cell r="H82">
            <v>0.20414132509282429</v>
          </cell>
        </row>
        <row r="83">
          <cell r="B83" t="str">
            <v>POZITIF GÜMRÜK MÜSAVIRLIGI HIZMETLERI LTD. STI.</v>
          </cell>
          <cell r="C83" t="str">
            <v>SMB</v>
          </cell>
          <cell r="D83">
            <v>2270.1575936839868</v>
          </cell>
          <cell r="E83">
            <v>0.29771297282636194</v>
          </cell>
          <cell r="F83">
            <v>0.38479570291964527</v>
          </cell>
          <cell r="H83">
            <v>0.31749132425399312</v>
          </cell>
        </row>
        <row r="84">
          <cell r="B84" t="str">
            <v>PELSAN AYDINLATMA SANAYİ VE TİCARET ANONİM ŞİRKETİ</v>
          </cell>
          <cell r="C84" t="str">
            <v>SMB</v>
          </cell>
          <cell r="D84">
            <v>2268.0000049999999</v>
          </cell>
          <cell r="E84">
            <v>0.16005290970005973</v>
          </cell>
          <cell r="F84">
            <v>0.69135802316720019</v>
          </cell>
          <cell r="H84">
            <v>8.2451501140979933E-2</v>
          </cell>
        </row>
        <row r="85">
          <cell r="B85" t="str">
            <v>İSTANBUL GÖMLEK GIYIM SAN.VE TIC.A.S</v>
          </cell>
          <cell r="C85" t="str">
            <v>SMB</v>
          </cell>
          <cell r="D85">
            <v>2259.3128586666667</v>
          </cell>
          <cell r="E85">
            <v>0.34604124346965753</v>
          </cell>
          <cell r="F85">
            <v>0.30199708525656022</v>
          </cell>
          <cell r="H85">
            <v>0.2726080473114042</v>
          </cell>
        </row>
        <row r="86">
          <cell r="B86" t="str">
            <v>VAILLANT GROUP TURKEY</v>
          </cell>
          <cell r="C86" t="str">
            <v>ENTERPRISE</v>
          </cell>
          <cell r="D86">
            <v>2253.4217433280128</v>
          </cell>
          <cell r="E86">
            <v>1</v>
          </cell>
        </row>
        <row r="87">
          <cell r="B87" t="str">
            <v>ISOTEC ENERJİ A.Ş.</v>
          </cell>
          <cell r="C87" t="str">
            <v>SMB</v>
          </cell>
          <cell r="D87">
            <v>2250.0102190000002</v>
          </cell>
          <cell r="E87">
            <v>0.77257881067428158</v>
          </cell>
          <cell r="F87">
            <v>0.14897710115689033</v>
          </cell>
          <cell r="H87">
            <v>7.8444088168827988E-2</v>
          </cell>
        </row>
        <row r="88">
          <cell r="B88" t="str">
            <v>METRANS MAKINA ENT.ÜRN.SAN.VE TIC.A.S</v>
          </cell>
          <cell r="C88" t="str">
            <v>SMB</v>
          </cell>
          <cell r="D88">
            <v>2222.5809910874041</v>
          </cell>
          <cell r="E88">
            <v>0.31525357811352295</v>
          </cell>
          <cell r="F88">
            <v>0.13057156304482562</v>
          </cell>
          <cell r="H88">
            <v>0.45480516213064659</v>
          </cell>
        </row>
        <row r="89">
          <cell r="B89" t="str">
            <v>HAKMAR MAĞAZACILIK</v>
          </cell>
          <cell r="C89" t="str">
            <v>ENTERPRISE</v>
          </cell>
          <cell r="D89">
            <v>2215.2200000000003</v>
          </cell>
          <cell r="E89">
            <v>0.1057953611830879</v>
          </cell>
          <cell r="F89">
            <v>0.33399210913588712</v>
          </cell>
          <cell r="H89">
            <v>0.468939428138063</v>
          </cell>
        </row>
        <row r="90">
          <cell r="B90" t="str">
            <v>FİNE OTEL TURİZM İŞLT. A.Ş</v>
          </cell>
          <cell r="C90" t="str">
            <v>ENTERPRISE</v>
          </cell>
          <cell r="D90">
            <v>2134.8001169999998</v>
          </cell>
          <cell r="E90">
            <v>4.9465989419373829E-2</v>
          </cell>
          <cell r="F90">
            <v>0.88926363732253833</v>
          </cell>
          <cell r="H90">
            <v>6.127037325808804E-2</v>
          </cell>
        </row>
        <row r="91">
          <cell r="B91" t="str">
            <v>BIESTERFELD PLASTIK TIC.A.S</v>
          </cell>
          <cell r="C91" t="str">
            <v>SMB</v>
          </cell>
          <cell r="D91">
            <v>2131.9805834944573</v>
          </cell>
          <cell r="E91">
            <v>0.39840888166428662</v>
          </cell>
          <cell r="F91">
            <v>0.27206903869319182</v>
          </cell>
          <cell r="H91">
            <v>0.3295220796425215</v>
          </cell>
        </row>
        <row r="92">
          <cell r="B92" t="str">
            <v>ACTIFIT SPOR VE SAĞLIK HİZMETLERİ SANAYİ VE TİCARE</v>
          </cell>
          <cell r="C92" t="str">
            <v>SMB</v>
          </cell>
          <cell r="D92">
            <v>2108.0230000000001</v>
          </cell>
          <cell r="E92">
            <v>0.66692346335879626</v>
          </cell>
          <cell r="F92">
            <v>0.14736556479696852</v>
          </cell>
          <cell r="H92">
            <v>0.12783684048988081</v>
          </cell>
        </row>
        <row r="93">
          <cell r="B93" t="str">
            <v>NOBEL İLAÇ SANAYİİ VE TİCARET A.Ş.</v>
          </cell>
          <cell r="C93" t="str">
            <v>ENTERPRISE</v>
          </cell>
          <cell r="D93">
            <v>2106.7517938318383</v>
          </cell>
          <cell r="E93">
            <v>1</v>
          </cell>
        </row>
        <row r="94">
          <cell r="B94" t="str">
            <v>QUİCK SİGORTA A.Ş.</v>
          </cell>
          <cell r="C94" t="str">
            <v>ENTERPRISE</v>
          </cell>
          <cell r="D94">
            <v>2100</v>
          </cell>
          <cell r="E94">
            <v>1</v>
          </cell>
        </row>
        <row r="95">
          <cell r="B95" t="str">
            <v>MILLENICOM TELEKOMÜNİKASYON HİZMETLERİ</v>
          </cell>
          <cell r="C95" t="str">
            <v>ENTERPRISE</v>
          </cell>
          <cell r="D95">
            <v>2065.5144248822303</v>
          </cell>
          <cell r="E95">
            <v>1</v>
          </cell>
        </row>
        <row r="96">
          <cell r="B96" t="str">
            <v>AKSOY PLASTIK SANAYI VE TIC. A.S.</v>
          </cell>
          <cell r="C96" t="str">
            <v>SMB</v>
          </cell>
          <cell r="D96">
            <v>2055.4825799999999</v>
          </cell>
          <cell r="E96">
            <v>0.46570545492046933</v>
          </cell>
          <cell r="F96">
            <v>0.21951552321109918</v>
          </cell>
          <cell r="H96">
            <v>0.29783479653717138</v>
          </cell>
        </row>
        <row r="97">
          <cell r="B97" t="str">
            <v>MİDAS MENKUL DEĞERLER A.Ş.</v>
          </cell>
          <cell r="C97" t="str">
            <v>ENTERPRISE</v>
          </cell>
          <cell r="D97">
            <v>2000</v>
          </cell>
          <cell r="E97">
            <v>1</v>
          </cell>
        </row>
        <row r="98">
          <cell r="B98" t="str">
            <v>EMARAT BOSPHORUS TURIZIM (OPERA HOTEL)</v>
          </cell>
          <cell r="C98" t="str">
            <v>SMB</v>
          </cell>
          <cell r="D98">
            <v>1936.3092741903604</v>
          </cell>
          <cell r="E98">
            <v>0.45682190580163812</v>
          </cell>
          <cell r="F98">
            <v>0.27209344809872771</v>
          </cell>
          <cell r="G98">
            <v>4.3639722809948552E-2</v>
          </cell>
          <cell r="H98">
            <v>0.2274449232896856</v>
          </cell>
        </row>
        <row r="99">
          <cell r="B99" t="str">
            <v>MAYA HOLDING A.S</v>
          </cell>
          <cell r="C99" t="str">
            <v>SMB</v>
          </cell>
          <cell r="D99">
            <v>1886.1748019999995</v>
          </cell>
          <cell r="E99">
            <v>0.6483546899806375</v>
          </cell>
          <cell r="F99">
            <v>6.510587930121231E-2</v>
          </cell>
          <cell r="H99">
            <v>9.7151122900007894E-2</v>
          </cell>
        </row>
        <row r="100">
          <cell r="B100" t="str">
            <v>BABUR ARSLAN TUR. TİC. ÖZEL SAĞLIK HİZ VE SAN AŞ</v>
          </cell>
          <cell r="C100" t="str">
            <v>SMB</v>
          </cell>
          <cell r="D100">
            <v>1836.7974170598527</v>
          </cell>
          <cell r="E100">
            <v>0.28294895963982064</v>
          </cell>
          <cell r="F100">
            <v>0.49404967762824281</v>
          </cell>
          <cell r="H100">
            <v>0.16656911112384407</v>
          </cell>
        </row>
        <row r="101">
          <cell r="B101" t="str">
            <v>EGE SERAMIK SAN. VE TIC. A.S.</v>
          </cell>
          <cell r="C101" t="str">
            <v>ENTERPRISE</v>
          </cell>
          <cell r="D101">
            <v>1833.0071989999999</v>
          </cell>
          <cell r="E101">
            <v>0.64657360355517079</v>
          </cell>
          <cell r="F101">
            <v>0.14970469518597893</v>
          </cell>
          <cell r="H101">
            <v>0.15209522644106105</v>
          </cell>
        </row>
        <row r="102">
          <cell r="B102" t="str">
            <v>İHLAS PAZARLAMA A.Ş.</v>
          </cell>
          <cell r="C102" t="str">
            <v>ENTERPRISE</v>
          </cell>
          <cell r="D102">
            <v>1810</v>
          </cell>
          <cell r="F102">
            <v>0.7806629834254144</v>
          </cell>
          <cell r="H102">
            <v>0.21933701657458562</v>
          </cell>
        </row>
        <row r="103">
          <cell r="B103" t="str">
            <v>DENGE AUTOMOTİVE</v>
          </cell>
          <cell r="C103" t="str">
            <v>SMB</v>
          </cell>
          <cell r="D103">
            <v>1783.8072709999999</v>
          </cell>
          <cell r="E103">
            <v>0.14336312008451277</v>
          </cell>
          <cell r="F103">
            <v>0.37575679048793387</v>
          </cell>
          <cell r="H103">
            <v>0.48088008942755339</v>
          </cell>
        </row>
        <row r="104">
          <cell r="B104" t="str">
            <v>YAYLAGÜL MULTİMEDYA BİLG.TİC.LTD ŞTİ (REVOTAS)</v>
          </cell>
          <cell r="C104" t="str">
            <v>SMB</v>
          </cell>
          <cell r="D104">
            <v>1715.4803010581061</v>
          </cell>
          <cell r="E104">
            <v>0</v>
          </cell>
          <cell r="F104">
            <v>1</v>
          </cell>
        </row>
        <row r="105">
          <cell r="B105" t="str">
            <v>KARBONSAN BASINÇLI KAPLAR SANAYİ VE TİCARET ANONİM</v>
          </cell>
          <cell r="C105" t="str">
            <v>SMB</v>
          </cell>
          <cell r="D105">
            <v>1670.01117</v>
          </cell>
          <cell r="E105">
            <v>0.4528798367258825</v>
          </cell>
          <cell r="F105">
            <v>0.19186915318656222</v>
          </cell>
          <cell r="G105">
            <v>4.1915887305113052E-2</v>
          </cell>
          <cell r="H105">
            <v>0.31333512278244219</v>
          </cell>
        </row>
        <row r="106">
          <cell r="B106" t="str">
            <v>AXA SIGORTA</v>
          </cell>
          <cell r="C106" t="str">
            <v>ENTERPRISE</v>
          </cell>
          <cell r="D106">
            <v>1564.1408944497541</v>
          </cell>
          <cell r="E106">
            <v>1</v>
          </cell>
        </row>
        <row r="107">
          <cell r="B107" t="str">
            <v>CHRONOS INSAN KAYNAKLARI DANISMANLIK LTD.STI.</v>
          </cell>
          <cell r="C107" t="str">
            <v>SMB</v>
          </cell>
          <cell r="D107">
            <v>1541.2157450869431</v>
          </cell>
          <cell r="E107">
            <v>7.0346287144481393E-2</v>
          </cell>
          <cell r="F107">
            <v>0.37833889344831567</v>
          </cell>
          <cell r="H107">
            <v>0.55131481940720306</v>
          </cell>
        </row>
        <row r="108">
          <cell r="B108" t="str">
            <v>REM MIMARLIK DEKORASYON RESTORASYON PROJE VE TAAH.</v>
          </cell>
          <cell r="C108" t="str">
            <v>SMB</v>
          </cell>
          <cell r="D108">
            <v>1532.5025268165123</v>
          </cell>
          <cell r="E108">
            <v>6.8942574666453177E-2</v>
          </cell>
          <cell r="F108">
            <v>0.87798557448979531</v>
          </cell>
          <cell r="H108">
            <v>5.3071850843751552E-2</v>
          </cell>
        </row>
        <row r="109">
          <cell r="B109" t="str">
            <v>INTRA MEDİKAL</v>
          </cell>
          <cell r="C109" t="str">
            <v>SMB</v>
          </cell>
          <cell r="D109">
            <v>1511.2335838310134</v>
          </cell>
          <cell r="E109">
            <v>0.2194191011235955</v>
          </cell>
          <cell r="F109">
            <v>0.5438272873194222</v>
          </cell>
          <cell r="H109">
            <v>0.23675361155698232</v>
          </cell>
        </row>
        <row r="110">
          <cell r="B110" t="str">
            <v>TRİO DENİZ ARAÇLARI TİCARET ANONİM ŞİRKET</v>
          </cell>
          <cell r="C110" t="str">
            <v>SMB</v>
          </cell>
          <cell r="D110">
            <v>1508.9976495833332</v>
          </cell>
          <cell r="E110">
            <v>0.33394517478040947</v>
          </cell>
          <cell r="F110">
            <v>0.25386067755359015</v>
          </cell>
          <cell r="H110">
            <v>0.41219414766600043</v>
          </cell>
        </row>
        <row r="111">
          <cell r="B111" t="str">
            <v>KALE PRATT</v>
          </cell>
          <cell r="C111" t="str">
            <v>ENTERPRISE</v>
          </cell>
          <cell r="D111">
            <v>1500.9242054501437</v>
          </cell>
          <cell r="E111">
            <v>1</v>
          </cell>
        </row>
        <row r="112">
          <cell r="B112" t="str">
            <v>BİS Çözüm Bilgisayar ve Entegrasyon Hizmetleri</v>
          </cell>
          <cell r="C112" t="str">
            <v>SMB</v>
          </cell>
          <cell r="D112">
            <v>1484.5340146174856</v>
          </cell>
          <cell r="E112">
            <v>0.14945396838825534</v>
          </cell>
          <cell r="F112">
            <v>0.69607088767308911</v>
          </cell>
          <cell r="H112">
            <v>0.15447514393865552</v>
          </cell>
        </row>
        <row r="113">
          <cell r="B113" t="str">
            <v>BOYTORUN MIMARLIK LTD.STI.</v>
          </cell>
          <cell r="C113" t="str">
            <v>SMB</v>
          </cell>
          <cell r="D113">
            <v>1439.3407914949717</v>
          </cell>
          <cell r="E113">
            <v>0.44377079080979054</v>
          </cell>
          <cell r="F113">
            <v>0.14153317838537172</v>
          </cell>
          <cell r="H113">
            <v>0.31096526052289103</v>
          </cell>
        </row>
        <row r="114">
          <cell r="B114" t="str">
            <v>MIRORA ÇEVIRI LTD. STI. (MİRORA)</v>
          </cell>
          <cell r="C114" t="str">
            <v>SMB</v>
          </cell>
          <cell r="D114">
            <v>1411.3189250000003</v>
          </cell>
          <cell r="E114">
            <v>0.38898188798821631</v>
          </cell>
          <cell r="F114">
            <v>0.27797857596219783</v>
          </cell>
          <cell r="G114">
            <v>1.859962304409685E-2</v>
          </cell>
          <cell r="H114">
            <v>0.31443991300548879</v>
          </cell>
        </row>
        <row r="115">
          <cell r="B115" t="str">
            <v>90PİXEL</v>
          </cell>
          <cell r="C115" t="str">
            <v>SMB</v>
          </cell>
          <cell r="D115">
            <v>1386.2714530000001</v>
          </cell>
          <cell r="E115">
            <v>0.18982045286335417</v>
          </cell>
          <cell r="F115">
            <v>0.7885387639155258</v>
          </cell>
          <cell r="H115">
            <v>2.164078322111997E-2</v>
          </cell>
        </row>
        <row r="116">
          <cell r="B116" t="str">
            <v>NAR GIDA</v>
          </cell>
          <cell r="C116" t="str">
            <v>SMB</v>
          </cell>
          <cell r="D116">
            <v>1373.0010360000003</v>
          </cell>
          <cell r="E116">
            <v>0.32452769977370932</v>
          </cell>
          <cell r="F116">
            <v>0.15279971573160558</v>
          </cell>
          <cell r="H116">
            <v>0.52267258449468479</v>
          </cell>
        </row>
        <row r="117">
          <cell r="B117" t="str">
            <v>DT MÜHENDİSLİK VE TAAHHÜT ANONİM SİRKETİ</v>
          </cell>
          <cell r="C117" t="str">
            <v>SMB</v>
          </cell>
          <cell r="D117">
            <v>1353.138616</v>
          </cell>
          <cell r="E117">
            <v>0.28884009618715961</v>
          </cell>
          <cell r="F117">
            <v>0.21317283875372012</v>
          </cell>
          <cell r="G117">
            <v>4.4341355194906361E-2</v>
          </cell>
          <cell r="H117">
            <v>0.37974345120603675</v>
          </cell>
        </row>
        <row r="118">
          <cell r="B118" t="str">
            <v>FUTURE LOJİSTİK</v>
          </cell>
          <cell r="C118" t="str">
            <v>SMB</v>
          </cell>
          <cell r="D118">
            <v>1350.0199480000001</v>
          </cell>
          <cell r="E118">
            <v>0.2936088385858428</v>
          </cell>
          <cell r="F118">
            <v>0.62520717582759744</v>
          </cell>
          <cell r="H118">
            <v>8.1183985586559634E-2</v>
          </cell>
        </row>
        <row r="119">
          <cell r="B119" t="str">
            <v>WORKINTON</v>
          </cell>
          <cell r="C119" t="str">
            <v>SMB</v>
          </cell>
          <cell r="D119">
            <v>1348.7517916822917</v>
          </cell>
          <cell r="E119">
            <v>0.35238950536763852</v>
          </cell>
          <cell r="F119">
            <v>0.51616091044623003</v>
          </cell>
          <cell r="H119">
            <v>0.13144958418613137</v>
          </cell>
        </row>
        <row r="120">
          <cell r="B120" t="str">
            <v>SAĞLIK VE EĞİTİM VAKFI</v>
          </cell>
          <cell r="C120" t="str">
            <v>SMB</v>
          </cell>
          <cell r="D120">
            <v>1344.3732268849183</v>
          </cell>
          <cell r="E120">
            <v>0.54130862794042611</v>
          </cell>
          <cell r="H120">
            <v>0.45869137205957394</v>
          </cell>
        </row>
        <row r="121">
          <cell r="B121" t="str">
            <v>MACKA YAYINCILIK VE EGLENCE A.Ş.</v>
          </cell>
          <cell r="C121" t="str">
            <v>SMB</v>
          </cell>
          <cell r="D121">
            <v>1333.9451654352013</v>
          </cell>
          <cell r="E121">
            <v>0.13832820544373647</v>
          </cell>
          <cell r="F121">
            <v>0.68131159787393569</v>
          </cell>
          <cell r="H121">
            <v>0.18036019668232775</v>
          </cell>
        </row>
        <row r="122">
          <cell r="B122" t="str">
            <v>İBRAHİM POLAT HOLDİNG</v>
          </cell>
          <cell r="C122" t="str">
            <v>SMB</v>
          </cell>
          <cell r="D122">
            <v>1325.3470866419273</v>
          </cell>
          <cell r="E122">
            <v>0.35831093883185949</v>
          </cell>
          <cell r="F122">
            <v>0.62452007940358989</v>
          </cell>
          <cell r="H122">
            <v>1.7168981764550624E-2</v>
          </cell>
        </row>
        <row r="123">
          <cell r="B123" t="str">
            <v>T&amp;C GARMENTS</v>
          </cell>
          <cell r="C123" t="str">
            <v>SMB</v>
          </cell>
          <cell r="D123">
            <v>1322.2990933333335</v>
          </cell>
          <cell r="E123">
            <v>2.4339122791704852E-2</v>
          </cell>
          <cell r="F123">
            <v>0.86817384895834748</v>
          </cell>
          <cell r="H123">
            <v>0.10748702824994751</v>
          </cell>
        </row>
        <row r="124">
          <cell r="B124" t="str">
            <v>ŞEKER YATIRIM MENKUL DEGERLER A.S.</v>
          </cell>
          <cell r="C124" t="str">
            <v>ENTERPRISE</v>
          </cell>
          <cell r="D124">
            <v>1301.2904700000001</v>
          </cell>
          <cell r="E124">
            <v>0.37702051256857355</v>
          </cell>
          <cell r="F124">
            <v>0.36010069296826558</v>
          </cell>
          <cell r="H124">
            <v>0.17834732163987951</v>
          </cell>
        </row>
        <row r="125">
          <cell r="B125" t="str">
            <v>SOLVENTAS TEKNIK DEPOLAMA A.S.</v>
          </cell>
          <cell r="C125" t="str">
            <v>SMB</v>
          </cell>
          <cell r="D125">
            <v>1257.8678750066706</v>
          </cell>
          <cell r="E125">
            <v>0.63999876579160009</v>
          </cell>
          <cell r="F125">
            <v>0.36000123420840002</v>
          </cell>
          <cell r="H125">
            <v>0</v>
          </cell>
        </row>
        <row r="126">
          <cell r="B126" t="str">
            <v>PALMİYE TATİL KÖYÜ İŞLETMELERİ TURİZM VE TİCARET A</v>
          </cell>
          <cell r="C126" t="str">
            <v>SMB</v>
          </cell>
          <cell r="D126">
            <v>1251.9990250000001</v>
          </cell>
          <cell r="E126">
            <v>0.25401697097966985</v>
          </cell>
          <cell r="F126">
            <v>0.41861855683154381</v>
          </cell>
          <cell r="H126">
            <v>0.32736447218878623</v>
          </cell>
        </row>
        <row r="127">
          <cell r="B127" t="str">
            <v>GARDENSA PEYZAJ A.Ş.</v>
          </cell>
          <cell r="C127" t="str">
            <v>SMB</v>
          </cell>
          <cell r="D127">
            <v>1248.1708000000003</v>
          </cell>
          <cell r="E127">
            <v>0.34476888259202981</v>
          </cell>
          <cell r="F127">
            <v>0.26031845000700216</v>
          </cell>
          <cell r="H127">
            <v>0.39491266740096781</v>
          </cell>
        </row>
        <row r="128">
          <cell r="B128" t="str">
            <v>LIBA LABORATUARLARI A.S.</v>
          </cell>
          <cell r="C128" t="str">
            <v>SMB</v>
          </cell>
          <cell r="D128">
            <v>1232.6706666666666</v>
          </cell>
          <cell r="E128">
            <v>0.54280516125961731</v>
          </cell>
          <cell r="F128">
            <v>0.14359390937617292</v>
          </cell>
          <cell r="H128">
            <v>0.151432715740241</v>
          </cell>
        </row>
        <row r="129">
          <cell r="B129" t="str">
            <v>LINK BILG.SIST.YAZILIM VE DONANIM SAN.VE TIC. AS</v>
          </cell>
          <cell r="C129" t="str">
            <v>SMB</v>
          </cell>
          <cell r="D129">
            <v>1203.3154343333335</v>
          </cell>
          <cell r="E129">
            <v>0.46255343205862626</v>
          </cell>
          <cell r="F129">
            <v>0.30267853266735972</v>
          </cell>
          <cell r="H129">
            <v>0.23476803527401383</v>
          </cell>
        </row>
        <row r="130">
          <cell r="B130" t="str">
            <v>PROSES MÜHENDISLIK ARITMA SISTEMLERI.INS.SAN.TIC.L</v>
          </cell>
          <cell r="C130" t="str">
            <v>SMB</v>
          </cell>
          <cell r="D130">
            <v>1156.3402549999996</v>
          </cell>
          <cell r="E130">
            <v>0.39011970399664081</v>
          </cell>
          <cell r="F130">
            <v>0.40656335189161097</v>
          </cell>
          <cell r="H130">
            <v>5.7923730243223281E-2</v>
          </cell>
        </row>
        <row r="131">
          <cell r="B131" t="str">
            <v>ALESTA SIGORTA</v>
          </cell>
          <cell r="C131" t="str">
            <v>SMB</v>
          </cell>
          <cell r="D131">
            <v>1146.142399610912</v>
          </cell>
          <cell r="E131">
            <v>0.20109931337417028</v>
          </cell>
          <cell r="F131">
            <v>0.63133742558421613</v>
          </cell>
          <cell r="H131">
            <v>9.1671888907496002E-2</v>
          </cell>
        </row>
        <row r="132">
          <cell r="B132" t="str">
            <v>DORUK İLETİŞİM</v>
          </cell>
          <cell r="C132" t="str">
            <v>SMB</v>
          </cell>
          <cell r="D132">
            <v>1121.7935342247104</v>
          </cell>
          <cell r="E132">
            <v>0.11649836095018258</v>
          </cell>
          <cell r="F132">
            <v>0.70793017149203563</v>
          </cell>
          <cell r="H132">
            <v>6.0000013323245227E-2</v>
          </cell>
        </row>
        <row r="133">
          <cell r="B133" t="str">
            <v>SAREM MAKINA SAN.VE TIC.LTD.STI</v>
          </cell>
          <cell r="C133" t="str">
            <v>SMB</v>
          </cell>
          <cell r="D133">
            <v>1078.5240782598919</v>
          </cell>
          <cell r="E133">
            <v>0.5037429794629662</v>
          </cell>
          <cell r="F133">
            <v>0.34749163436330283</v>
          </cell>
          <cell r="H133">
            <v>1.4947185069812925E-2</v>
          </cell>
        </row>
        <row r="134">
          <cell r="B134" t="str">
            <v>HM IÇ VE DIS TICARET REKLAM. ORG.TUR. A.S.</v>
          </cell>
          <cell r="C134" t="str">
            <v>SMB</v>
          </cell>
          <cell r="D134">
            <v>1043.2115807066652</v>
          </cell>
          <cell r="E134">
            <v>0.1980952977759747</v>
          </cell>
          <cell r="F134">
            <v>0.12818011258751888</v>
          </cell>
          <cell r="H134">
            <v>0.61822785597794505</v>
          </cell>
        </row>
        <row r="135">
          <cell r="B135" t="str">
            <v>DATA HIDROLIK MAKINA SANAYI A.S.</v>
          </cell>
          <cell r="C135" t="str">
            <v>SMB</v>
          </cell>
          <cell r="D135">
            <v>1033.1114726862797</v>
          </cell>
          <cell r="E135">
            <v>0.39766836140903139</v>
          </cell>
          <cell r="F135">
            <v>0.31417321860675257</v>
          </cell>
          <cell r="H135">
            <v>0.28815841998421576</v>
          </cell>
        </row>
        <row r="136">
          <cell r="B136" t="str">
            <v>METRO İSTANBUL</v>
          </cell>
          <cell r="C136" t="str">
            <v>ENTERPRISE</v>
          </cell>
          <cell r="D136">
            <v>1030.9378380869673</v>
          </cell>
          <cell r="E136">
            <v>1</v>
          </cell>
        </row>
        <row r="137">
          <cell r="B137" t="str">
            <v>ASLANOBA YATIRIM GIDA SANAYİ VE TİCARET A.Ş.</v>
          </cell>
          <cell r="C137" t="str">
            <v>SMB</v>
          </cell>
          <cell r="D137">
            <v>1000</v>
          </cell>
          <cell r="E137">
            <v>0.26100000000000001</v>
          </cell>
          <cell r="F137">
            <v>0.73899999999999999</v>
          </cell>
        </row>
        <row r="138">
          <cell r="B138" t="str">
            <v>VIKING TURIZM</v>
          </cell>
          <cell r="C138" t="str">
            <v>SMB</v>
          </cell>
          <cell r="D138">
            <v>995.53019936785313</v>
          </cell>
          <cell r="E138">
            <v>0.14396697619031665</v>
          </cell>
          <cell r="F138">
            <v>0.7922106861306919</v>
          </cell>
          <cell r="H138">
            <v>6.3822337678991467E-2</v>
          </cell>
        </row>
        <row r="139">
          <cell r="B139" t="str">
            <v>PI SEYAHAT TEKNOLOJIDAGITIM VE DANISMANLIK A.S.</v>
          </cell>
          <cell r="C139" t="str">
            <v>SMB</v>
          </cell>
          <cell r="D139">
            <v>973.97879319629544</v>
          </cell>
          <cell r="E139">
            <v>0.28728244037177669</v>
          </cell>
          <cell r="F139">
            <v>0.66127855544613734</v>
          </cell>
          <cell r="H139">
            <v>5.1439004182085926E-2</v>
          </cell>
        </row>
        <row r="140">
          <cell r="B140" t="str">
            <v>Torlak &amp; Karaduman Hukuk Bürosu</v>
          </cell>
          <cell r="C140" t="str">
            <v>SMB</v>
          </cell>
          <cell r="D140">
            <v>953.33333333333337</v>
          </cell>
          <cell r="E140">
            <v>0.53019230769230763</v>
          </cell>
          <cell r="F140">
            <v>0.10652097902097901</v>
          </cell>
          <cell r="G140">
            <v>3.4965034965034968E-2</v>
          </cell>
          <cell r="H140">
            <v>0.3283216783216783</v>
          </cell>
        </row>
        <row r="141">
          <cell r="B141" t="str">
            <v>İBSA ILAÇ SAN VE TIC.LTD STI</v>
          </cell>
          <cell r="C141" t="str">
            <v>SMB</v>
          </cell>
          <cell r="D141">
            <v>947.77033094317471</v>
          </cell>
          <cell r="E141">
            <v>0.52056160670351181</v>
          </cell>
          <cell r="F141">
            <v>2.4951094431130711E-2</v>
          </cell>
          <cell r="H141">
            <v>0.45448729886535749</v>
          </cell>
        </row>
        <row r="142">
          <cell r="B142" t="str">
            <v>KARINCA LOJİSTİK A.Ş..</v>
          </cell>
          <cell r="C142" t="str">
            <v>SMB</v>
          </cell>
          <cell r="D142">
            <v>921.7797532541249</v>
          </cell>
          <cell r="E142">
            <v>0.90850744599610433</v>
          </cell>
          <cell r="F142">
            <v>0</v>
          </cell>
          <cell r="H142">
            <v>0</v>
          </cell>
        </row>
        <row r="143">
          <cell r="B143" t="str">
            <v>TEKSAN JENARATÖR ELEK. SAN. TIC. A.S.</v>
          </cell>
          <cell r="C143" t="str">
            <v>SMB</v>
          </cell>
          <cell r="D143">
            <v>914.00169753981845</v>
          </cell>
          <cell r="E143">
            <v>0.11049384509002305</v>
          </cell>
          <cell r="F143">
            <v>0.68303457417485569</v>
          </cell>
          <cell r="H143">
            <v>1.0520084712656161E-2</v>
          </cell>
        </row>
        <row r="144">
          <cell r="B144" t="str">
            <v>MAPP MERCHANDISING GROUP</v>
          </cell>
          <cell r="C144" t="str">
            <v>SMB</v>
          </cell>
          <cell r="D144">
            <v>907.89999899999998</v>
          </cell>
          <cell r="E144">
            <v>0.22190510543221181</v>
          </cell>
          <cell r="F144">
            <v>0.60737124640089346</v>
          </cell>
          <cell r="H144">
            <v>0.17072364816689464</v>
          </cell>
        </row>
        <row r="145">
          <cell r="B145" t="str">
            <v>ETUR TURİZM PAZARLAMA VE SEYAHAT LTD.ŞTİ.</v>
          </cell>
          <cell r="C145" t="str">
            <v>SMB</v>
          </cell>
          <cell r="D145">
            <v>904.67266515882739</v>
          </cell>
          <cell r="E145">
            <v>0.10800670971242511</v>
          </cell>
          <cell r="F145">
            <v>0.17862934629871116</v>
          </cell>
          <cell r="H145">
            <v>0.54635097652950215</v>
          </cell>
        </row>
        <row r="146">
          <cell r="B146" t="str">
            <v>KERAMIK MAKINA SAN. VE TIC.A.S.</v>
          </cell>
          <cell r="C146" t="str">
            <v>SMB</v>
          </cell>
          <cell r="D146">
            <v>897.20571859197332</v>
          </cell>
          <cell r="E146">
            <v>0.19033201159797269</v>
          </cell>
          <cell r="F146">
            <v>4.8665817335201408E-2</v>
          </cell>
          <cell r="H146">
            <v>0.76100217106682599</v>
          </cell>
        </row>
        <row r="147">
          <cell r="B147" t="str">
            <v>Helsakam Konfeksiyon Yan Ürünleri San. ve Tic. A.Ş</v>
          </cell>
          <cell r="C147" t="str">
            <v>SMB</v>
          </cell>
          <cell r="D147">
            <v>874.999999</v>
          </cell>
          <cell r="E147">
            <v>0.2557543911494336</v>
          </cell>
          <cell r="F147">
            <v>0.24125036941857186</v>
          </cell>
          <cell r="H147">
            <v>6.0571428640653062E-2</v>
          </cell>
        </row>
        <row r="148">
          <cell r="B148" t="str">
            <v>WEITNAUER DIŞ TİC.A.Ş. (DEM DIŞ TİC )</v>
          </cell>
          <cell r="C148" t="str">
            <v>SMB</v>
          </cell>
          <cell r="D148">
            <v>830.00823099999991</v>
          </cell>
          <cell r="E148">
            <v>0.31588998784278327</v>
          </cell>
          <cell r="F148">
            <v>0.53437403200884648</v>
          </cell>
          <cell r="H148">
            <v>0.14973598014837036</v>
          </cell>
        </row>
        <row r="149">
          <cell r="B149" t="str">
            <v>CAPITOL ALISVERIS HIZ.TIC.A.S</v>
          </cell>
          <cell r="C149" t="str">
            <v>SMB</v>
          </cell>
          <cell r="D149">
            <v>827.64489612189493</v>
          </cell>
          <cell r="E149">
            <v>0.4803971578411862</v>
          </cell>
          <cell r="F149">
            <v>0.18925990688427841</v>
          </cell>
          <cell r="G149">
            <v>2.4164952981301797E-3</v>
          </cell>
          <cell r="H149">
            <v>0.32792643997640514</v>
          </cell>
        </row>
        <row r="150">
          <cell r="B150" t="str">
            <v>BELTAS BESIKTAS BELEDIYESI ISL.A.S</v>
          </cell>
          <cell r="C150" t="str">
            <v>SMB</v>
          </cell>
          <cell r="D150">
            <v>827.41309015733339</v>
          </cell>
          <cell r="E150">
            <v>0.14008774658895085</v>
          </cell>
          <cell r="F150">
            <v>0.31004535771182978</v>
          </cell>
          <cell r="H150">
            <v>0.5498668956992192</v>
          </cell>
        </row>
        <row r="151">
          <cell r="B151" t="str">
            <v>IDEASOFT YAZILIM SAN. VE TIC. A.S.</v>
          </cell>
          <cell r="C151" t="str">
            <v>SMB</v>
          </cell>
          <cell r="D151">
            <v>804.70671900000002</v>
          </cell>
          <cell r="E151">
            <v>0.53954926651979407</v>
          </cell>
          <cell r="F151">
            <v>0.2408848570829443</v>
          </cell>
          <cell r="H151">
            <v>0.16985832573867202</v>
          </cell>
        </row>
        <row r="152">
          <cell r="B152" t="str">
            <v>DEMANT ISITME CIHAZLARI SAN.VE TIC.A.S. (SES)</v>
          </cell>
          <cell r="C152" t="str">
            <v>SMB</v>
          </cell>
          <cell r="D152">
            <v>783.47335052371636</v>
          </cell>
          <cell r="E152">
            <v>0.29738557808157873</v>
          </cell>
          <cell r="F152">
            <v>0.23279262104866844</v>
          </cell>
          <cell r="H152">
            <v>0.34218504087893187</v>
          </cell>
        </row>
        <row r="153">
          <cell r="B153" t="str">
            <v>SYS TELEKOMINIKASYON BILG. ELKT. SAN.TIC.AS.</v>
          </cell>
          <cell r="C153" t="str">
            <v>ENTERPRISE</v>
          </cell>
          <cell r="D153">
            <v>782.22039908210138</v>
          </cell>
          <cell r="E153">
            <v>0.1062255492194219</v>
          </cell>
          <cell r="F153">
            <v>0.67793672717106934</v>
          </cell>
          <cell r="H153">
            <v>0.21583772360950865</v>
          </cell>
        </row>
        <row r="154">
          <cell r="B154" t="str">
            <v>MEDITEL MEDIKAL TEKNIK ELEKTRONIK A.S</v>
          </cell>
          <cell r="C154" t="str">
            <v>SMB</v>
          </cell>
          <cell r="D154">
            <v>777.82803066615566</v>
          </cell>
          <cell r="E154">
            <v>0.8279296113578265</v>
          </cell>
          <cell r="F154">
            <v>3.4507848104309437E-2</v>
          </cell>
          <cell r="H154">
            <v>0.13756254053786404</v>
          </cell>
        </row>
        <row r="155">
          <cell r="B155" t="str">
            <v>SARAY DÖKÜM</v>
          </cell>
          <cell r="C155" t="str">
            <v>SMB</v>
          </cell>
          <cell r="D155">
            <v>775.00034000000005</v>
          </cell>
          <cell r="E155">
            <v>0.20836155504138229</v>
          </cell>
          <cell r="F155">
            <v>0.58670675808993833</v>
          </cell>
          <cell r="H155">
            <v>0.2049316868686793</v>
          </cell>
        </row>
        <row r="156">
          <cell r="B156" t="str">
            <v>KARTAL KİMYA</v>
          </cell>
          <cell r="C156" t="str">
            <v>SMB</v>
          </cell>
          <cell r="D156">
            <v>772.01673299999993</v>
          </cell>
          <cell r="E156">
            <v>0.23974313261419947</v>
          </cell>
          <cell r="F156">
            <v>0.50894834684884993</v>
          </cell>
          <cell r="H156">
            <v>0.25130852053695057</v>
          </cell>
        </row>
        <row r="157">
          <cell r="B157" t="str">
            <v>ELESA GANTER ENDÜST. VE MAKINE EKIPMANLARI SAN. VE</v>
          </cell>
          <cell r="C157" t="str">
            <v>SMB</v>
          </cell>
          <cell r="D157">
            <v>753.30880263240874</v>
          </cell>
          <cell r="E157">
            <v>0.75906295085660058</v>
          </cell>
          <cell r="F157">
            <v>1.9912152821768541E-2</v>
          </cell>
          <cell r="H157">
            <v>0.22102489632163083</v>
          </cell>
        </row>
        <row r="158">
          <cell r="B158" t="str">
            <v>BAKLAVACI GÜLLÜOGLU MEHMET NEJAT GÜLLÜ GIDA SAN.VE</v>
          </cell>
          <cell r="C158" t="str">
            <v>SMB</v>
          </cell>
          <cell r="D158">
            <v>750.73485086574522</v>
          </cell>
          <cell r="E158">
            <v>0.12249245226904827</v>
          </cell>
          <cell r="F158">
            <v>0.59560186936520998</v>
          </cell>
          <cell r="H158">
            <v>0.28190567836574176</v>
          </cell>
        </row>
        <row r="159">
          <cell r="B159" t="str">
            <v>HOROZ LOJİSTİK KARGO HİZMETLERİ VE TİC. A.Ş.</v>
          </cell>
          <cell r="C159" t="str">
            <v>ENTERPRISE</v>
          </cell>
          <cell r="D159">
            <v>750</v>
          </cell>
          <cell r="E159">
            <v>1</v>
          </cell>
        </row>
        <row r="160">
          <cell r="B160" t="str">
            <v>GRAND STAR TURİZM SAN.A.Ş.</v>
          </cell>
          <cell r="C160" t="str">
            <v>SMB</v>
          </cell>
          <cell r="D160">
            <v>743.68813822329389</v>
          </cell>
          <cell r="E160">
            <v>0.15127302718233523</v>
          </cell>
          <cell r="F160">
            <v>0.36518268998822678</v>
          </cell>
          <cell r="H160">
            <v>0.48354428282943784</v>
          </cell>
        </row>
        <row r="161">
          <cell r="B161" t="str">
            <v>SEGMENTIFY</v>
          </cell>
          <cell r="C161" t="str">
            <v>SMB</v>
          </cell>
          <cell r="D161">
            <v>740.00859000000014</v>
          </cell>
          <cell r="E161">
            <v>0.17942801718017892</v>
          </cell>
          <cell r="F161">
            <v>0.82057198281982102</v>
          </cell>
        </row>
        <row r="162">
          <cell r="B162" t="str">
            <v>TEKSO TEKNİK SOĞUTMA SAN.ve TİC.A.Ş.</v>
          </cell>
          <cell r="C162" t="str">
            <v>SMB</v>
          </cell>
          <cell r="D162">
            <v>700.94665599999996</v>
          </cell>
          <cell r="E162">
            <v>0.36201286050503684</v>
          </cell>
          <cell r="F162">
            <v>0.56418979763276034</v>
          </cell>
          <cell r="H162">
            <v>7.3797341862202992E-2</v>
          </cell>
        </row>
        <row r="163">
          <cell r="B163" t="str">
            <v>IMPACTA DÖNÜŞÜM A.Ş.</v>
          </cell>
          <cell r="C163" t="str">
            <v>SMB</v>
          </cell>
          <cell r="D163">
            <v>700.00000566666654</v>
          </cell>
          <cell r="E163">
            <v>0.29913735698317384</v>
          </cell>
          <cell r="F163">
            <v>0.60197652643638055</v>
          </cell>
          <cell r="H163">
            <v>9.8886116580445743E-2</v>
          </cell>
        </row>
        <row r="164">
          <cell r="B164" t="str">
            <v>ALVIMEDICA SAGLIK EKIPMANLARI PAZARLAMA</v>
          </cell>
          <cell r="C164" t="str">
            <v>SMB</v>
          </cell>
          <cell r="D164">
            <v>700</v>
          </cell>
          <cell r="E164">
            <v>5.7142857142857141E-2</v>
          </cell>
          <cell r="F164">
            <v>0.41714285714285715</v>
          </cell>
          <cell r="H164">
            <v>0.16857142857142857</v>
          </cell>
        </row>
        <row r="165">
          <cell r="B165" t="str">
            <v>MAYEN TELEKOMİNİKASYON HİZMETLERİ A.Ş.</v>
          </cell>
          <cell r="C165" t="str">
            <v>SMB</v>
          </cell>
          <cell r="D165">
            <v>684.05259700443912</v>
          </cell>
          <cell r="E165">
            <v>0.21497454384123155</v>
          </cell>
          <cell r="F165">
            <v>0.28822155323053406</v>
          </cell>
          <cell r="H165">
            <v>0.3362314550185202</v>
          </cell>
        </row>
        <row r="166">
          <cell r="B166" t="str">
            <v>ÇAVUŞPET AKARYAKIT SANAYİ VE TİC.LTD ŞTİ</v>
          </cell>
          <cell r="C166" t="str">
            <v>SMB</v>
          </cell>
          <cell r="D166">
            <v>674.99921166666672</v>
          </cell>
          <cell r="E166">
            <v>0.24866366967386605</v>
          </cell>
          <cell r="F166">
            <v>0.59726207630854833</v>
          </cell>
          <cell r="H166">
            <v>0.15407425401758554</v>
          </cell>
        </row>
        <row r="167">
          <cell r="B167" t="str">
            <v>AN GIDA ÜRÜNLERİ ÜRETİM VE PAZARLA ( KORHAN SERA )</v>
          </cell>
          <cell r="C167" t="str">
            <v>SMB</v>
          </cell>
          <cell r="D167">
            <v>658.30554474755354</v>
          </cell>
          <cell r="E167">
            <v>1</v>
          </cell>
        </row>
        <row r="168">
          <cell r="B168" t="str">
            <v>AKS GÜMRÜK MÜSAVIRLIK LTD. STI.</v>
          </cell>
          <cell r="C168" t="str">
            <v>SMB</v>
          </cell>
          <cell r="D168">
            <v>638.05615911111101</v>
          </cell>
          <cell r="E168">
            <v>0.2558000101862159</v>
          </cell>
          <cell r="F168">
            <v>0.42668920613395439</v>
          </cell>
          <cell r="H168">
            <v>0.31751078367982988</v>
          </cell>
        </row>
        <row r="169">
          <cell r="B169" t="str">
            <v>KALANKAN MAKINA MOBILYA SAN.TIC.LTD.STI</v>
          </cell>
          <cell r="C169" t="str">
            <v>SMB</v>
          </cell>
          <cell r="D169">
            <v>634.35</v>
          </cell>
          <cell r="E169">
            <v>0.4729250413809411</v>
          </cell>
          <cell r="H169">
            <v>0.52707495861905895</v>
          </cell>
        </row>
        <row r="170">
          <cell r="B170" t="str">
            <v>Hannover Fairs Turkey Fuarcılık A.Ş.</v>
          </cell>
          <cell r="C170" t="str">
            <v>SMB</v>
          </cell>
          <cell r="D170">
            <v>625.59715039078606</v>
          </cell>
          <cell r="E170">
            <v>0.23704892704906644</v>
          </cell>
          <cell r="F170">
            <v>0.3384150876515698</v>
          </cell>
          <cell r="H170">
            <v>0.42453598529936371</v>
          </cell>
        </row>
        <row r="171">
          <cell r="B171" t="str">
            <v>LİSA YAZILIM</v>
          </cell>
          <cell r="C171" t="str">
            <v>SMB</v>
          </cell>
          <cell r="D171">
            <v>619.98871399999996</v>
          </cell>
          <cell r="E171">
            <v>0.20196168603159445</v>
          </cell>
          <cell r="F171">
            <v>0.54930038613573862</v>
          </cell>
          <cell r="H171">
            <v>0.24873792783266699</v>
          </cell>
        </row>
        <row r="172">
          <cell r="B172" t="str">
            <v>ARZ PORTFÖY</v>
          </cell>
          <cell r="C172" t="str">
            <v>SMB</v>
          </cell>
          <cell r="D172">
            <v>615.99999800000001</v>
          </cell>
          <cell r="E172">
            <v>0.1968251012883932</v>
          </cell>
          <cell r="F172">
            <v>0.60025282013069092</v>
          </cell>
          <cell r="H172">
            <v>0.20292207858091585</v>
          </cell>
        </row>
        <row r="173">
          <cell r="B173" t="str">
            <v>REDINGTON</v>
          </cell>
          <cell r="C173" t="str">
            <v>ENTERPRISE</v>
          </cell>
          <cell r="D173">
            <v>610</v>
          </cell>
          <cell r="E173">
            <v>0.23</v>
          </cell>
          <cell r="F173">
            <v>0.48330000000000001</v>
          </cell>
          <cell r="H173">
            <v>5.3340000000000005E-2</v>
          </cell>
        </row>
        <row r="174">
          <cell r="B174" t="str">
            <v>BAHTİYAR OCAK</v>
          </cell>
          <cell r="C174" t="str">
            <v>SMB</v>
          </cell>
          <cell r="D174">
            <v>607.5</v>
          </cell>
          <cell r="E174">
            <v>0.29069958847736627</v>
          </cell>
          <cell r="F174">
            <v>0.31316872427983539</v>
          </cell>
          <cell r="H174">
            <v>0.39613168724279829</v>
          </cell>
        </row>
        <row r="175">
          <cell r="B175" t="str">
            <v>EVRENSEL BAGIMSIZ DENETIM SMMM A.S</v>
          </cell>
          <cell r="C175" t="str">
            <v>SMB</v>
          </cell>
          <cell r="D175">
            <v>606.76273956165323</v>
          </cell>
          <cell r="E175">
            <v>0.1864506336383368</v>
          </cell>
          <cell r="F175">
            <v>0.27735599592731158</v>
          </cell>
          <cell r="H175">
            <v>0.53619337043435167</v>
          </cell>
        </row>
        <row r="176">
          <cell r="B176" t="str">
            <v>FIRAT İNŞAAT END.SAN.VE TİC. A.Ş</v>
          </cell>
          <cell r="C176" t="str">
            <v>SMB</v>
          </cell>
          <cell r="D176">
            <v>598.22179999999992</v>
          </cell>
          <cell r="E176">
            <v>0.50351725731158592</v>
          </cell>
          <cell r="F176">
            <v>0.26852381507995865</v>
          </cell>
          <cell r="H176">
            <v>0.22795892760845562</v>
          </cell>
        </row>
        <row r="177">
          <cell r="B177" t="str">
            <v>ÖZŞANAL PERAKENDE MAĞAZACILIK A.Ş.</v>
          </cell>
          <cell r="C177" t="str">
            <v>SMB</v>
          </cell>
          <cell r="D177">
            <v>594.30529373238312</v>
          </cell>
          <cell r="E177">
            <v>0.42539385725236684</v>
          </cell>
          <cell r="F177">
            <v>0.18683421475209872</v>
          </cell>
          <cell r="H177">
            <v>0.30292288172288523</v>
          </cell>
        </row>
        <row r="178">
          <cell r="B178" t="str">
            <v>MİNAR MOBİLYA SANAYİ VE TİCARET LİMİTED ŞİRKET</v>
          </cell>
          <cell r="C178" t="str">
            <v>SMB</v>
          </cell>
          <cell r="D178">
            <v>585</v>
          </cell>
          <cell r="E178">
            <v>9.914529914529914E-2</v>
          </cell>
          <cell r="F178">
            <v>0.62222222222222223</v>
          </cell>
          <cell r="H178">
            <v>0.27863247863247864</v>
          </cell>
        </row>
        <row r="179">
          <cell r="B179" t="str">
            <v>DÖNÜŞÜM OTOMOTİV VE SAN.TİC.A.Ş.</v>
          </cell>
          <cell r="C179" t="str">
            <v>SMB</v>
          </cell>
          <cell r="D179">
            <v>558.82272000000012</v>
          </cell>
          <cell r="E179">
            <v>0.12583778626609882</v>
          </cell>
          <cell r="F179">
            <v>0.68025043971011045</v>
          </cell>
          <cell r="H179">
            <v>0.19391177402379053</v>
          </cell>
        </row>
        <row r="180">
          <cell r="B180" t="str">
            <v>B2 YAZILIM A.S.</v>
          </cell>
          <cell r="C180" t="str">
            <v>SMB</v>
          </cell>
          <cell r="D180">
            <v>554.03824578043213</v>
          </cell>
          <cell r="E180">
            <v>0.18980346078221821</v>
          </cell>
          <cell r="F180">
            <v>0.53195805733662538</v>
          </cell>
          <cell r="H180">
            <v>9.3601711283718414E-2</v>
          </cell>
        </row>
        <row r="181">
          <cell r="B181" t="str">
            <v>ABALIOGLU HOLDING</v>
          </cell>
          <cell r="C181" t="str">
            <v>SMB</v>
          </cell>
          <cell r="D181">
            <v>550.12280299999998</v>
          </cell>
          <cell r="E181">
            <v>0.29120770694538906</v>
          </cell>
          <cell r="F181">
            <v>0.43249034888670118</v>
          </cell>
          <cell r="H181">
            <v>0.21813311381677084</v>
          </cell>
        </row>
        <row r="182">
          <cell r="B182" t="str">
            <v>TURKVEN Turk Ventures Advisory Limited</v>
          </cell>
          <cell r="C182" t="str">
            <v>SMB</v>
          </cell>
          <cell r="D182">
            <v>546.1216907623118</v>
          </cell>
          <cell r="E182">
            <v>0.58067953741162148</v>
          </cell>
          <cell r="F182">
            <v>0</v>
          </cell>
          <cell r="H182">
            <v>0.41932046258837852</v>
          </cell>
        </row>
        <row r="183">
          <cell r="B183" t="str">
            <v>BCM Uluslararası Madencilik iIracat San ve Tic</v>
          </cell>
          <cell r="C183" t="str">
            <v>SMB</v>
          </cell>
          <cell r="D183">
            <v>539.99999800000001</v>
          </cell>
          <cell r="E183">
            <v>0.13505456161131318</v>
          </cell>
          <cell r="F183">
            <v>0.4205009922981518</v>
          </cell>
          <cell r="H183">
            <v>0.44444444609053496</v>
          </cell>
        </row>
        <row r="184">
          <cell r="B184" t="str">
            <v>BOĞAZIÇI ISTANBUL REKLAM VE ORGANIZASYON PEYZAJ SP</v>
          </cell>
          <cell r="C184" t="str">
            <v>SMB</v>
          </cell>
          <cell r="D184">
            <v>533.43837628503366</v>
          </cell>
          <cell r="E184">
            <v>0.11888684156106401</v>
          </cell>
          <cell r="F184">
            <v>0.67998070254493692</v>
          </cell>
          <cell r="H184">
            <v>0.20113245589399897</v>
          </cell>
        </row>
        <row r="185">
          <cell r="B185" t="str">
            <v>PİMMS ULUSLARARASI REKLAM ÜRÜNLERI A.S.</v>
          </cell>
          <cell r="C185" t="str">
            <v>SMB</v>
          </cell>
          <cell r="D185">
            <v>530.67950302728627</v>
          </cell>
          <cell r="E185">
            <v>0.28641565293846372</v>
          </cell>
          <cell r="F185">
            <v>0.2572511642549356</v>
          </cell>
          <cell r="H185">
            <v>0.35646122676221048</v>
          </cell>
        </row>
        <row r="186">
          <cell r="B186" t="str">
            <v>PROSİSTEM ELEKTRONİK SİSTEMLERİ SANAYİ VE TİCARET</v>
          </cell>
          <cell r="C186" t="str">
            <v>SMB</v>
          </cell>
          <cell r="D186">
            <v>530.27169786297463</v>
          </cell>
          <cell r="E186">
            <v>0.25225907845434214</v>
          </cell>
          <cell r="F186">
            <v>0.61954391853707147</v>
          </cell>
          <cell r="H186">
            <v>0.12819700300858633</v>
          </cell>
        </row>
        <row r="187">
          <cell r="B187" t="str">
            <v>KALİTEST BELGELENDIRME VE EGITIM HIZMETLERI LTD.ST</v>
          </cell>
          <cell r="C187" t="str">
            <v>SMB</v>
          </cell>
          <cell r="D187">
            <v>526.73798493156028</v>
          </cell>
          <cell r="E187">
            <v>0.38723014813154627</v>
          </cell>
          <cell r="F187">
            <v>0.21625392559224749</v>
          </cell>
          <cell r="H187">
            <v>0.39651592627620624</v>
          </cell>
        </row>
        <row r="188">
          <cell r="B188" t="str">
            <v>BANK OF BAHRAIN AND KUWAIT TÜRKIYE TEMS. OF. (BBK)</v>
          </cell>
          <cell r="C188" t="str">
            <v>SMB</v>
          </cell>
          <cell r="D188">
            <v>526.66666666666674</v>
          </cell>
          <cell r="E188">
            <v>0.90981012658227833</v>
          </cell>
          <cell r="G188">
            <v>9.01898734177215E-2</v>
          </cell>
        </row>
        <row r="189">
          <cell r="B189" t="str">
            <v>MORE KONTRAT TASARIM VE INSAAT A.S.</v>
          </cell>
          <cell r="C189" t="str">
            <v>SMB</v>
          </cell>
          <cell r="D189">
            <v>515.23500000000001</v>
          </cell>
          <cell r="F189">
            <v>2.1805583859792133E-2</v>
          </cell>
          <cell r="H189">
            <v>0.97819441614020786</v>
          </cell>
        </row>
        <row r="190">
          <cell r="B190" t="str">
            <v>Opus  Solutions</v>
          </cell>
          <cell r="C190" t="str">
            <v>SMB</v>
          </cell>
          <cell r="D190">
            <v>512.49420299999997</v>
          </cell>
          <cell r="E190">
            <v>0.35670259864383286</v>
          </cell>
          <cell r="F190">
            <v>0.37349447443408451</v>
          </cell>
          <cell r="H190">
            <v>0.26980292692208269</v>
          </cell>
        </row>
        <row r="191">
          <cell r="B191" t="str">
            <v>SAFİ REZİSTANS IMALAT SAN.SAFI YILMAZ</v>
          </cell>
          <cell r="C191" t="str">
            <v>SMB</v>
          </cell>
          <cell r="D191">
            <v>510.01019000000002</v>
          </cell>
          <cell r="E191">
            <v>0.47690623593226633</v>
          </cell>
          <cell r="F191">
            <v>0.32034095240332355</v>
          </cell>
          <cell r="H191">
            <v>0.20275281166441009</v>
          </cell>
        </row>
        <row r="192">
          <cell r="B192" t="str">
            <v>WEIR TURKEY MINERALLERI LTD.STI.</v>
          </cell>
          <cell r="C192" t="str">
            <v>SMB</v>
          </cell>
          <cell r="D192">
            <v>502.34728094390243</v>
          </cell>
          <cell r="E192">
            <v>9.5790306477987294E-2</v>
          </cell>
          <cell r="F192">
            <v>0.78606974692492981</v>
          </cell>
          <cell r="H192">
            <v>9.3560773160128896E-2</v>
          </cell>
        </row>
        <row r="193">
          <cell r="B193" t="str">
            <v>TAKSIM OTELCILIK A.S.</v>
          </cell>
          <cell r="C193" t="str">
            <v>SMB</v>
          </cell>
          <cell r="D193">
            <v>501.14378022701652</v>
          </cell>
          <cell r="E193">
            <v>0.58481482784758354</v>
          </cell>
          <cell r="F193">
            <v>0.31005233653625908</v>
          </cell>
          <cell r="H193">
            <v>0.10513283561615744</v>
          </cell>
        </row>
        <row r="194">
          <cell r="B194" t="str">
            <v>VIPFASHION TEKSTİL LİMİTED ŞİRKETİ</v>
          </cell>
          <cell r="C194" t="str">
            <v>SMB</v>
          </cell>
          <cell r="D194">
            <v>495.04804344978481</v>
          </cell>
          <cell r="E194">
            <v>0.18288170452587488</v>
          </cell>
          <cell r="F194">
            <v>0.52092908913962988</v>
          </cell>
          <cell r="H194">
            <v>0.29618920633449525</v>
          </cell>
        </row>
        <row r="195">
          <cell r="B195" t="str">
            <v>SAF NUTRITION</v>
          </cell>
          <cell r="C195" t="str">
            <v>SMB</v>
          </cell>
          <cell r="D195">
            <v>495.000001</v>
          </cell>
          <cell r="E195">
            <v>0.21301788037774166</v>
          </cell>
          <cell r="F195">
            <v>0.58092151397793634</v>
          </cell>
          <cell r="H195">
            <v>0.20606060564432202</v>
          </cell>
        </row>
        <row r="196">
          <cell r="B196" t="str">
            <v>ATESSONMEZ KIMYA SAN VE TIC AS</v>
          </cell>
          <cell r="C196" t="str">
            <v>SMB</v>
          </cell>
          <cell r="D196">
            <v>491.71986300000003</v>
          </cell>
          <cell r="E196">
            <v>0.29005165284527057</v>
          </cell>
          <cell r="F196">
            <v>0.5138610884222099</v>
          </cell>
          <cell r="H196">
            <v>0.19608725873251939</v>
          </cell>
        </row>
        <row r="197">
          <cell r="B197" t="str">
            <v>GÜVEN PRES DÖKÜM</v>
          </cell>
          <cell r="C197" t="str">
            <v>SMB</v>
          </cell>
          <cell r="D197">
            <v>481.01051000000001</v>
          </cell>
          <cell r="E197">
            <v>0.18320410919919403</v>
          </cell>
          <cell r="F197">
            <v>0.48624178294981535</v>
          </cell>
          <cell r="H197">
            <v>0.3305541078509906</v>
          </cell>
        </row>
        <row r="198">
          <cell r="B198" t="str">
            <v>AKSISTEM ELEK.SAN.VE TIC.LTD.STI.</v>
          </cell>
          <cell r="C198" t="str">
            <v>SMB</v>
          </cell>
          <cell r="D198">
            <v>478.74450000000002</v>
          </cell>
          <cell r="E198">
            <v>0.69626554456500278</v>
          </cell>
          <cell r="F198">
            <v>0</v>
          </cell>
          <cell r="H198">
            <v>0.30373445543499716</v>
          </cell>
        </row>
        <row r="199">
          <cell r="B199" t="str">
            <v>BASIT GIDA ANONIM SIRKETI</v>
          </cell>
          <cell r="C199" t="str">
            <v>SMB</v>
          </cell>
          <cell r="D199">
            <v>478.24009200000006</v>
          </cell>
          <cell r="E199">
            <v>0.49881378828439998</v>
          </cell>
          <cell r="F199">
            <v>0.34302297683566019</v>
          </cell>
          <cell r="H199">
            <v>0.15816323487993975</v>
          </cell>
        </row>
        <row r="200">
          <cell r="B200" t="str">
            <v>ZEBRA TEKSTİL İNŞAAT SANAYİ VE TİCARET LİMİTED ŞİR</v>
          </cell>
          <cell r="C200" t="str">
            <v>SMB</v>
          </cell>
          <cell r="D200">
            <v>474.995318</v>
          </cell>
          <cell r="E200">
            <v>0.24438008671066522</v>
          </cell>
          <cell r="F200">
            <v>0.58088134881363196</v>
          </cell>
          <cell r="H200">
            <v>0.17473856447570291</v>
          </cell>
        </row>
        <row r="201">
          <cell r="B201" t="str">
            <v>DB GÜMRÜK MÜŞAVİRLİĞİ LİMİTED ŞİRKET</v>
          </cell>
          <cell r="C201" t="str">
            <v>SMB</v>
          </cell>
          <cell r="D201">
            <v>468.61120499999998</v>
          </cell>
          <cell r="E201">
            <v>0.39311125733751928</v>
          </cell>
          <cell r="F201">
            <v>0.30244484017406287</v>
          </cell>
          <cell r="H201">
            <v>0.30444390248841785</v>
          </cell>
        </row>
        <row r="202">
          <cell r="B202" t="str">
            <v>ISTANBUL REHBERLER ODASI</v>
          </cell>
          <cell r="C202" t="str">
            <v>SMB</v>
          </cell>
          <cell r="D202">
            <v>465.50795151438706</v>
          </cell>
          <cell r="E202">
            <v>0.37845839151540867</v>
          </cell>
          <cell r="F202">
            <v>0.29888427762210118</v>
          </cell>
          <cell r="H202">
            <v>0.32265733086249004</v>
          </cell>
        </row>
        <row r="203">
          <cell r="B203" t="str">
            <v>FT PORTFÖY</v>
          </cell>
          <cell r="C203" t="str">
            <v>SMB</v>
          </cell>
          <cell r="D203">
            <v>461.33675600000004</v>
          </cell>
          <cell r="E203">
            <v>0.40056121389989569</v>
          </cell>
          <cell r="F203">
            <v>0.53371218269025156</v>
          </cell>
          <cell r="H203">
            <v>6.572660340985273E-2</v>
          </cell>
        </row>
        <row r="204">
          <cell r="B204" t="str">
            <v>AKSAL TEKSTIL VE ELYAF SANAYI TICARET ANONIM</v>
          </cell>
          <cell r="C204" t="str">
            <v>SMB</v>
          </cell>
          <cell r="D204">
            <v>450.01209700000004</v>
          </cell>
          <cell r="E204">
            <v>0.31398098616002312</v>
          </cell>
          <cell r="F204">
            <v>0.55609058882699314</v>
          </cell>
          <cell r="H204">
            <v>0.1299284250129836</v>
          </cell>
        </row>
        <row r="205">
          <cell r="B205" t="str">
            <v>CNR HOLDİNG A.Ş.</v>
          </cell>
          <cell r="C205" t="str">
            <v>SMB</v>
          </cell>
          <cell r="D205">
            <v>450.01155799999998</v>
          </cell>
          <cell r="E205">
            <v>0.31008672670580611</v>
          </cell>
          <cell r="F205">
            <v>0.66593611135649988</v>
          </cell>
          <cell r="H205">
            <v>2.3977161937694051E-2</v>
          </cell>
        </row>
        <row r="206">
          <cell r="B206" t="str">
            <v>BOMBTEA GIDA IÇECEK REK.ORG.VE TIC..( DOSPRESSO )</v>
          </cell>
          <cell r="C206" t="str">
            <v>SMB</v>
          </cell>
          <cell r="D206">
            <v>444.69266030476945</v>
          </cell>
          <cell r="E206">
            <v>6.5318785174693431E-2</v>
          </cell>
          <cell r="F206">
            <v>0.32918170053376378</v>
          </cell>
          <cell r="H206">
            <v>0.60549951429154281</v>
          </cell>
        </row>
        <row r="207">
          <cell r="B207" t="str">
            <v>BTI BİLİŞİM DANIŞMANLIK VE YAZILIM VE TİC. LTD. ŞT</v>
          </cell>
          <cell r="C207" t="str">
            <v>SMB</v>
          </cell>
          <cell r="D207">
            <v>440.009998</v>
          </cell>
          <cell r="E207">
            <v>7.7347674268074262E-2</v>
          </cell>
          <cell r="F207">
            <v>0.36811947168527748</v>
          </cell>
          <cell r="H207">
            <v>0.55453285404664832</v>
          </cell>
        </row>
        <row r="208">
          <cell r="B208" t="str">
            <v>ADALON OTOMOTİV SANAYİ VE DIŞ TİC. LTD. STİ</v>
          </cell>
          <cell r="C208" t="str">
            <v>SMB</v>
          </cell>
          <cell r="D208">
            <v>439.60000099999996</v>
          </cell>
          <cell r="E208">
            <v>0.23502443304134574</v>
          </cell>
          <cell r="F208">
            <v>0.64668621326959475</v>
          </cell>
          <cell r="H208">
            <v>0.11828935368905971</v>
          </cell>
        </row>
        <row r="209">
          <cell r="B209" t="str">
            <v>Sinerji Gıda Kimya Tekstil San. Ve Tic. A.Ş.</v>
          </cell>
          <cell r="C209" t="str">
            <v>SMB</v>
          </cell>
          <cell r="D209">
            <v>425.00666499999994</v>
          </cell>
          <cell r="E209">
            <v>0.22049685503167349</v>
          </cell>
          <cell r="F209">
            <v>0.65009340971158669</v>
          </cell>
          <cell r="H209">
            <v>0.12940973525674004</v>
          </cell>
        </row>
        <row r="210">
          <cell r="B210" t="str">
            <v>İQM TEKNOLOJİ YAZILIM LİMİTED ŞİRKETİ</v>
          </cell>
          <cell r="C210" t="str">
            <v>SMB</v>
          </cell>
          <cell r="D210">
            <v>420</v>
          </cell>
          <cell r="E210">
            <v>5.3571428571428568E-2</v>
          </cell>
          <cell r="F210">
            <v>0.89166666666666672</v>
          </cell>
          <cell r="H210">
            <v>5.4761904761904762E-2</v>
          </cell>
        </row>
        <row r="211">
          <cell r="B211" t="str">
            <v>ŞENER OTO YEDEK PARÇA SANAYI.TIC.A.S</v>
          </cell>
          <cell r="C211" t="str">
            <v>SMB</v>
          </cell>
          <cell r="D211">
            <v>417.77831683024215</v>
          </cell>
          <cell r="E211">
            <v>0.42553265612030228</v>
          </cell>
          <cell r="F211">
            <v>0.57446734387969767</v>
          </cell>
        </row>
        <row r="212">
          <cell r="B212" t="str">
            <v>ASSERSAN</v>
          </cell>
          <cell r="C212" t="str">
            <v>SMB</v>
          </cell>
          <cell r="D212">
            <v>415.00000100000005</v>
          </cell>
          <cell r="E212">
            <v>0.31611621610574403</v>
          </cell>
          <cell r="F212">
            <v>0.40747833154824492</v>
          </cell>
          <cell r="H212">
            <v>0.27640545234601094</v>
          </cell>
        </row>
        <row r="213">
          <cell r="B213" t="str">
            <v>EKSEN MEDIKAL TIBBI MALZ. VE GERÇ. PAZ. TUR. ITH.</v>
          </cell>
          <cell r="C213" t="str">
            <v>SMB</v>
          </cell>
          <cell r="D213">
            <v>414.22689500000007</v>
          </cell>
          <cell r="E213">
            <v>2.8637013055369077E-2</v>
          </cell>
          <cell r="F213">
            <v>0.71659922999446934</v>
          </cell>
          <cell r="H213">
            <v>0.25476375695016129</v>
          </cell>
        </row>
        <row r="214">
          <cell r="B214" t="str">
            <v>GUCCI TURKEY LÜKS ÜRÜNLER TIC.LTD.STI.</v>
          </cell>
          <cell r="C214" t="str">
            <v>SMB</v>
          </cell>
          <cell r="D214">
            <v>409.73530937040994</v>
          </cell>
          <cell r="E214">
            <v>9.316384720580756E-2</v>
          </cell>
          <cell r="F214">
            <v>0.42022088098828281</v>
          </cell>
          <cell r="H214">
            <v>0.48661527180590952</v>
          </cell>
        </row>
        <row r="215">
          <cell r="B215" t="str">
            <v>TITAN HAVACILIK ANONIM SIRKETI</v>
          </cell>
          <cell r="C215" t="str">
            <v>SMB</v>
          </cell>
          <cell r="D215">
            <v>408.34000000000003</v>
          </cell>
          <cell r="H215">
            <v>1</v>
          </cell>
        </row>
        <row r="216">
          <cell r="B216" t="str">
            <v>Fi Commerce Teknoloji</v>
          </cell>
          <cell r="C216" t="str">
            <v>SMB</v>
          </cell>
          <cell r="D216">
            <v>402.99999500000001</v>
          </cell>
          <cell r="E216">
            <v>0.30063059678201737</v>
          </cell>
          <cell r="F216">
            <v>0.43529754386225233</v>
          </cell>
          <cell r="H216">
            <v>0.26407185935573024</v>
          </cell>
        </row>
        <row r="217">
          <cell r="B217" t="str">
            <v>Temel Tel Metal San.Tic.Ltd.STİ</v>
          </cell>
          <cell r="C217" t="str">
            <v>SMB</v>
          </cell>
          <cell r="D217">
            <v>401.25047399999994</v>
          </cell>
          <cell r="E217">
            <v>0.34344524412948113</v>
          </cell>
          <cell r="F217">
            <v>0.48055496378055373</v>
          </cell>
          <cell r="H217">
            <v>0.17599979208996527</v>
          </cell>
        </row>
        <row r="218">
          <cell r="B218" t="str">
            <v>TED GLOBAL AG</v>
          </cell>
          <cell r="C218" t="str">
            <v>SMB</v>
          </cell>
          <cell r="D218">
            <v>400.68</v>
          </cell>
          <cell r="F218">
            <v>0.70899470899470896</v>
          </cell>
          <cell r="H218">
            <v>0.29100529100529099</v>
          </cell>
        </row>
        <row r="219">
          <cell r="B219" t="str">
            <v>OTOFORM OTOMOTIV TIC.VE SAN.A.S.</v>
          </cell>
          <cell r="C219" t="str">
            <v>SMB</v>
          </cell>
          <cell r="D219">
            <v>400</v>
          </cell>
          <cell r="E219">
            <v>0.13250000000000001</v>
          </cell>
          <cell r="F219">
            <v>0.56999999999999995</v>
          </cell>
          <cell r="H219">
            <v>0.29749999999999999</v>
          </cell>
        </row>
        <row r="220">
          <cell r="B220" t="str">
            <v>ANTALYA SUBSTRAT YATIRIM LİMİTED ŞİRKETİ</v>
          </cell>
          <cell r="C220" t="str">
            <v>SMB</v>
          </cell>
          <cell r="D220">
            <v>399.98599999999999</v>
          </cell>
          <cell r="E220">
            <v>0.17155020425714898</v>
          </cell>
          <cell r="F220">
            <v>0.53659958098533456</v>
          </cell>
          <cell r="H220">
            <v>0.29185021475751649</v>
          </cell>
        </row>
        <row r="221">
          <cell r="B221" t="str">
            <v>KARAVAN TURİZM SEYAHAT VE NAKLIYAT AS</v>
          </cell>
          <cell r="C221" t="str">
            <v>SMB</v>
          </cell>
          <cell r="D221">
            <v>397.01630899999992</v>
          </cell>
          <cell r="E221">
            <v>0.2775701236998806</v>
          </cell>
          <cell r="F221">
            <v>0.46968682336926371</v>
          </cell>
          <cell r="H221">
            <v>0.25274305293085586</v>
          </cell>
        </row>
        <row r="222">
          <cell r="B222" t="str">
            <v>AGİTO BİLGİSAYAR VE DANIŞMANLIK HİZMETLERİ</v>
          </cell>
          <cell r="C222" t="str">
            <v>SMB</v>
          </cell>
          <cell r="D222">
            <v>388.06998733765761</v>
          </cell>
          <cell r="F222">
            <v>1</v>
          </cell>
          <cell r="H222">
            <v>0</v>
          </cell>
        </row>
        <row r="223">
          <cell r="B223" t="str">
            <v>MEY Kozmetik İth.İhr.San.ve Tic.Ltd.Şti.</v>
          </cell>
          <cell r="C223" t="str">
            <v>SMB</v>
          </cell>
          <cell r="D223">
            <v>386.14081499999992</v>
          </cell>
          <cell r="E223">
            <v>0.46484494005120908</v>
          </cell>
          <cell r="F223">
            <v>0.33652023291036981</v>
          </cell>
          <cell r="H223">
            <v>0.19863482703842125</v>
          </cell>
        </row>
        <row r="224">
          <cell r="B224" t="str">
            <v>FOM TURKEY</v>
          </cell>
          <cell r="C224" t="str">
            <v>SMB</v>
          </cell>
          <cell r="D224">
            <v>368.44360373013524</v>
          </cell>
          <cell r="E224">
            <v>0.32092147853646341</v>
          </cell>
          <cell r="F224">
            <v>0.45215066263671189</v>
          </cell>
          <cell r="H224">
            <v>0.22692785882682456</v>
          </cell>
        </row>
        <row r="225">
          <cell r="B225" t="str">
            <v>RENTMAK LOJISTIK TICARET ANONIM SIRKETI (GEMONT)</v>
          </cell>
          <cell r="C225" t="str">
            <v>SMB</v>
          </cell>
          <cell r="D225">
            <v>365.99985399999997</v>
          </cell>
          <cell r="E225">
            <v>0.26702238520565097</v>
          </cell>
          <cell r="F225">
            <v>0.53631086967592079</v>
          </cell>
          <cell r="H225">
            <v>0.19666674511842838</v>
          </cell>
        </row>
        <row r="226">
          <cell r="B226" t="str">
            <v>FEILO SYLVANIA TR ELEKTRIK ÜRÜNLERI TIC. LTD.STI.</v>
          </cell>
          <cell r="C226" t="str">
            <v>SMB</v>
          </cell>
          <cell r="D226">
            <v>365.7</v>
          </cell>
          <cell r="E226">
            <v>1</v>
          </cell>
        </row>
        <row r="227">
          <cell r="B227" t="str">
            <v>AHMAD TEA ÇAY İTHALAT VE TİCARET LTD.ŞTİ</v>
          </cell>
          <cell r="C227" t="str">
            <v>SMB</v>
          </cell>
          <cell r="D227">
            <v>364.49450000000002</v>
          </cell>
          <cell r="E227">
            <v>0.21536676136402605</v>
          </cell>
          <cell r="F227">
            <v>0.53497240699105197</v>
          </cell>
          <cell r="H227">
            <v>0.24966083164492192</v>
          </cell>
        </row>
        <row r="228">
          <cell r="B228" t="str">
            <v>ÖZ-SEL ECZA DEPOLARI (ÖZSEL)</v>
          </cell>
          <cell r="C228" t="str">
            <v>SMB</v>
          </cell>
          <cell r="D228">
            <v>355.00362299999995</v>
          </cell>
          <cell r="E228">
            <v>0.30827310176493611</v>
          </cell>
          <cell r="F228">
            <v>0.38175096314439594</v>
          </cell>
          <cell r="H228">
            <v>0.31770825054368534</v>
          </cell>
        </row>
        <row r="229">
          <cell r="B229" t="str">
            <v>DALYA GAYRIMENKUL GELISTIRME TICARET A.S</v>
          </cell>
          <cell r="C229" t="str">
            <v>SMB</v>
          </cell>
          <cell r="D229">
            <v>353.53843990529924</v>
          </cell>
          <cell r="E229">
            <v>0.35880183195716442</v>
          </cell>
          <cell r="H229">
            <v>0.15670205484540747</v>
          </cell>
        </row>
        <row r="230">
          <cell r="B230" t="str">
            <v>GLOBAL HASAR DANIŞMALIĞI A.Ş.</v>
          </cell>
          <cell r="C230" t="str">
            <v>SMB</v>
          </cell>
          <cell r="D230">
            <v>350.01761200000004</v>
          </cell>
          <cell r="E230">
            <v>0.32939036793382842</v>
          </cell>
          <cell r="F230">
            <v>0.40611207015491546</v>
          </cell>
          <cell r="H230">
            <v>0.26449756191125601</v>
          </cell>
        </row>
        <row r="231">
          <cell r="B231" t="str">
            <v>EUROTEC MÜHENDISLIK</v>
          </cell>
          <cell r="C231" t="str">
            <v>SMB</v>
          </cell>
          <cell r="D231">
            <v>350</v>
          </cell>
          <cell r="E231">
            <v>0.14285714285714285</v>
          </cell>
          <cell r="F231">
            <v>0.34285714285714286</v>
          </cell>
          <cell r="H231">
            <v>8.5714285714285715E-2</v>
          </cell>
        </row>
        <row r="232">
          <cell r="B232" t="str">
            <v>FARMAZON BİLGİ TEKNOLOJİLERİ A.Ş.</v>
          </cell>
          <cell r="C232" t="str">
            <v>SMB</v>
          </cell>
          <cell r="D232">
            <v>350</v>
          </cell>
          <cell r="E232">
            <v>0.55285714285714282</v>
          </cell>
          <cell r="F232">
            <v>0.35914285714285715</v>
          </cell>
          <cell r="H232">
            <v>8.8000000000000009E-2</v>
          </cell>
        </row>
        <row r="233">
          <cell r="B233" t="str">
            <v>INFODROM YAZILIM DANIŞMANLIK HİZ.TİC.LTD.ŞTİ.</v>
          </cell>
          <cell r="C233" t="str">
            <v>SMB</v>
          </cell>
          <cell r="D233">
            <v>348.33396716666664</v>
          </cell>
          <cell r="E233">
            <v>0.12658270531386207</v>
          </cell>
          <cell r="F233">
            <v>0.6715037864933493</v>
          </cell>
          <cell r="H233">
            <v>0.20191350819278872</v>
          </cell>
        </row>
        <row r="234">
          <cell r="B234" t="str">
            <v>FARMASU DOGAL KAY. SULARI MES VE GIDA MAD.ÜRET. PA</v>
          </cell>
          <cell r="C234" t="str">
            <v>SMB</v>
          </cell>
          <cell r="D234">
            <v>347.43062290477047</v>
          </cell>
          <cell r="E234">
            <v>8.6788005808538266E-2</v>
          </cell>
          <cell r="F234">
            <v>0.7417010401987828</v>
          </cell>
          <cell r="H234">
            <v>0.17151095399267888</v>
          </cell>
        </row>
        <row r="235">
          <cell r="B235" t="str">
            <v>IVC ENDUSTRIYEL URUNLER VANA</v>
          </cell>
          <cell r="C235" t="str">
            <v>SMB</v>
          </cell>
          <cell r="D235">
            <v>339.60305254629509</v>
          </cell>
          <cell r="E235">
            <v>0.18154428571428574</v>
          </cell>
          <cell r="F235">
            <v>0.45865642857142863</v>
          </cell>
          <cell r="H235">
            <v>0.35979928571428577</v>
          </cell>
        </row>
        <row r="236">
          <cell r="B236" t="str">
            <v>CHİP COMPUTER BİLGİ İŞLEM VE DAN.HİZ.LTD.ŞTİ.</v>
          </cell>
          <cell r="C236" t="str">
            <v>SMB</v>
          </cell>
          <cell r="D236">
            <v>338.87513695705962</v>
          </cell>
          <cell r="E236">
            <v>0.28357559690969703</v>
          </cell>
          <cell r="F236">
            <v>0.56154765258884043</v>
          </cell>
          <cell r="H236">
            <v>0.15487675050146241</v>
          </cell>
        </row>
        <row r="237">
          <cell r="B237" t="str">
            <v>TRANSORIENT ULUSLARARASI LOJİSTİK VE TİCARET A.Ş</v>
          </cell>
          <cell r="C237" t="str">
            <v>SMB</v>
          </cell>
          <cell r="D237">
            <v>336.34601199999997</v>
          </cell>
          <cell r="E237">
            <v>0.16361207517453782</v>
          </cell>
          <cell r="F237">
            <v>0.34335398333784917</v>
          </cell>
          <cell r="H237">
            <v>0.49303394148761315</v>
          </cell>
        </row>
        <row r="238">
          <cell r="B238" t="str">
            <v>İZEM OTOMOTİV SEYAHAT TURİZM</v>
          </cell>
          <cell r="C238" t="str">
            <v>SMB</v>
          </cell>
          <cell r="D238">
            <v>332.01773600000001</v>
          </cell>
          <cell r="E238">
            <v>0.37282089954375208</v>
          </cell>
          <cell r="F238">
            <v>0.45646641298704599</v>
          </cell>
          <cell r="H238">
            <v>0.17071268746920193</v>
          </cell>
        </row>
        <row r="239">
          <cell r="B239" t="str">
            <v>ARTSANA TURKEY ( CHICCO )</v>
          </cell>
          <cell r="C239" t="str">
            <v>SMB</v>
          </cell>
          <cell r="D239">
            <v>321.62560499999995</v>
          </cell>
          <cell r="E239">
            <v>4.7359428985761259E-2</v>
          </cell>
          <cell r="F239">
            <v>0.12283847860931349</v>
          </cell>
          <cell r="H239">
            <v>0.82980209240492542</v>
          </cell>
        </row>
        <row r="240">
          <cell r="B240" t="str">
            <v>NİSHANE</v>
          </cell>
          <cell r="C240" t="str">
            <v>SMB</v>
          </cell>
          <cell r="D240">
            <v>320</v>
          </cell>
          <cell r="E240">
            <v>0.50218750000000001</v>
          </cell>
          <cell r="F240">
            <v>0.35725000000000001</v>
          </cell>
          <cell r="H240">
            <v>0.14056250000000001</v>
          </cell>
        </row>
        <row r="241">
          <cell r="B241" t="str">
            <v>ATG BİLİŞİM TEKNOLOJİLERİ ENDÜSTRİSİ LTD ŞTİ</v>
          </cell>
          <cell r="C241" t="str">
            <v>SMB</v>
          </cell>
          <cell r="D241">
            <v>313.90064529431447</v>
          </cell>
          <cell r="E241">
            <v>0.34028619490521356</v>
          </cell>
          <cell r="F241">
            <v>0.65971380509478661</v>
          </cell>
        </row>
        <row r="242">
          <cell r="B242" t="str">
            <v>HELS ENDÜSTRİYEL MAMÜLLER SANAYİ TİC. LTD. ŞTİ.</v>
          </cell>
          <cell r="C242" t="str">
            <v>SMB</v>
          </cell>
          <cell r="D242">
            <v>311.98968100000002</v>
          </cell>
          <cell r="E242">
            <v>0.30232599904482099</v>
          </cell>
          <cell r="F242">
            <v>0.4711992509777912</v>
          </cell>
          <cell r="H242">
            <v>0.22647474997738787</v>
          </cell>
        </row>
        <row r="243">
          <cell r="B243" t="str">
            <v>GENERAL VETERİNER İLAÇLARI A.Ş.</v>
          </cell>
          <cell r="C243" t="str">
            <v>SMB</v>
          </cell>
          <cell r="D243">
            <v>300</v>
          </cell>
          <cell r="E243">
            <v>0.40599999999999997</v>
          </cell>
          <cell r="F243">
            <v>0.40233333333333332</v>
          </cell>
          <cell r="H243">
            <v>0.19166666666666668</v>
          </cell>
        </row>
        <row r="244">
          <cell r="B244" t="str">
            <v>PRO ILETISIM DAN. LTD.STI.</v>
          </cell>
          <cell r="C244" t="str">
            <v>SMB</v>
          </cell>
          <cell r="D244">
            <v>298.25079999999997</v>
          </cell>
          <cell r="E244">
            <v>2.9052730118410412E-2</v>
          </cell>
          <cell r="F244">
            <v>0.38610390986377913</v>
          </cell>
          <cell r="H244">
            <v>0.58484336001781057</v>
          </cell>
        </row>
        <row r="245">
          <cell r="B245" t="str">
            <v>PESA ELEKTRIK MALZEMELERI SAN. ve TIC. LTD. STI.</v>
          </cell>
          <cell r="C245" t="str">
            <v>SMB</v>
          </cell>
          <cell r="D245">
            <v>297.73316563411169</v>
          </cell>
          <cell r="E245">
            <v>0.12586443208731632</v>
          </cell>
          <cell r="F245">
            <v>0.37704694398200228</v>
          </cell>
          <cell r="H245">
            <v>0.49708862393068143</v>
          </cell>
        </row>
        <row r="246">
          <cell r="B246" t="str">
            <v>PROTEL BILGISAYAR  A.Ş.</v>
          </cell>
          <cell r="C246" t="str">
            <v>ENTERPRISE</v>
          </cell>
          <cell r="D246">
            <v>296.99675999999999</v>
          </cell>
          <cell r="E246">
            <v>0.10192838467328734</v>
          </cell>
          <cell r="F246">
            <v>0.85625297730520689</v>
          </cell>
          <cell r="H246">
            <v>4.1818638021505691E-2</v>
          </cell>
        </row>
        <row r="247">
          <cell r="B247" t="str">
            <v>ARTI SINERJI BILISIM TEKNOLOJILERI TIC.LTD.STI.</v>
          </cell>
          <cell r="C247" t="str">
            <v>SMB</v>
          </cell>
          <cell r="D247">
            <v>290.01297066666666</v>
          </cell>
          <cell r="E247">
            <v>5.6342307595548098E-2</v>
          </cell>
          <cell r="F247">
            <v>0.74654007199163064</v>
          </cell>
          <cell r="H247">
            <v>0.19711762041282124</v>
          </cell>
        </row>
        <row r="248">
          <cell r="B248" t="str">
            <v>CENTRON BILGISAYAR SISTEMLERI SAN.&amp;TIC.LTD (OGNY)</v>
          </cell>
          <cell r="C248" t="str">
            <v>SMB</v>
          </cell>
          <cell r="D248">
            <v>288.98870300000004</v>
          </cell>
          <cell r="E248">
            <v>0.32386411312417285</v>
          </cell>
          <cell r="F248">
            <v>0.55900328048463532</v>
          </cell>
          <cell r="H248">
            <v>0.11713260639119169</v>
          </cell>
        </row>
        <row r="249">
          <cell r="B249" t="str">
            <v>NAVEK SPORTİF ÜRÜNLER VE DANIŞMANLIK AŞ</v>
          </cell>
          <cell r="C249" t="str">
            <v>SMB</v>
          </cell>
          <cell r="D249">
            <v>285</v>
          </cell>
          <cell r="E249">
            <v>4.912280701754386E-2</v>
          </cell>
          <cell r="F249">
            <v>0.7929824561403509</v>
          </cell>
          <cell r="H249">
            <v>0.15789473684210525</v>
          </cell>
        </row>
        <row r="250">
          <cell r="B250" t="str">
            <v>NİLKY GIDA</v>
          </cell>
          <cell r="C250" t="str">
            <v>SMB</v>
          </cell>
          <cell r="D250">
            <v>280.01630000000006</v>
          </cell>
          <cell r="E250">
            <v>9.4674488592271219E-2</v>
          </cell>
          <cell r="F250">
            <v>0.60891419535219904</v>
          </cell>
          <cell r="H250">
            <v>0.29641131605552956</v>
          </cell>
        </row>
        <row r="251">
          <cell r="B251" t="str">
            <v>DEMKA KAĞIT VE AMBALAJ SANAYİ TİCARET ANONİM ŞİRKE</v>
          </cell>
          <cell r="C251" t="str">
            <v>SMB</v>
          </cell>
          <cell r="D251">
            <v>275</v>
          </cell>
          <cell r="E251">
            <v>0.25454545454545452</v>
          </cell>
          <cell r="F251">
            <v>0.69090909090909092</v>
          </cell>
          <cell r="H251">
            <v>5.4545454545454543E-2</v>
          </cell>
        </row>
        <row r="252">
          <cell r="B252" t="str">
            <v>BBS KALIP OTONASYON TEKNOLOJİK İMALAT SANAYİ VE Tİ</v>
          </cell>
          <cell r="C252" t="str">
            <v>SMB</v>
          </cell>
          <cell r="D252">
            <v>275</v>
          </cell>
          <cell r="E252">
            <v>5.0909090909090911E-2</v>
          </cell>
          <cell r="F252">
            <v>0.85636363636363633</v>
          </cell>
          <cell r="H252">
            <v>9.2727272727272728E-2</v>
          </cell>
        </row>
        <row r="253">
          <cell r="B253" t="str">
            <v>DEHA SANAT ETKİNLİKLERİ EĞİTİM VE ORGANİZASYON İTH</v>
          </cell>
          <cell r="C253" t="str">
            <v>SMB</v>
          </cell>
          <cell r="D253">
            <v>271.98934400000002</v>
          </cell>
          <cell r="E253">
            <v>0.26397800349119555</v>
          </cell>
          <cell r="F253">
            <v>0.53000216067288275</v>
          </cell>
          <cell r="H253">
            <v>0.20601983583592157</v>
          </cell>
        </row>
        <row r="254">
          <cell r="B254" t="str">
            <v>KOZMETIK VE TEMIZLIK ÜRÜNLERI SANAYICILERI DERNEGI</v>
          </cell>
          <cell r="C254" t="str">
            <v>SMB</v>
          </cell>
          <cell r="D254">
            <v>268.71010291993935</v>
          </cell>
          <cell r="E254">
            <v>0.32434972555637254</v>
          </cell>
          <cell r="F254">
            <v>0.19668963198964087</v>
          </cell>
          <cell r="H254">
            <v>0.33382281705700173</v>
          </cell>
        </row>
        <row r="255">
          <cell r="B255" t="str">
            <v>İPEKYOLU GÜMRÜK MÜŞAVİRLİĞİ LTD. ŞTİ.</v>
          </cell>
          <cell r="C255" t="str">
            <v>SMB</v>
          </cell>
          <cell r="D255">
            <v>263.99958699999996</v>
          </cell>
          <cell r="E255">
            <v>0.2421119810312431</v>
          </cell>
          <cell r="F255">
            <v>0.612054457494284</v>
          </cell>
          <cell r="H255">
            <v>0.14583356147447307</v>
          </cell>
        </row>
        <row r="256">
          <cell r="B256" t="str">
            <v>KURTARAN LASTİK VE PLASTİK ANONİM ŞİRKETİ</v>
          </cell>
          <cell r="C256" t="str">
            <v>SMB</v>
          </cell>
          <cell r="D256">
            <v>260.011101</v>
          </cell>
          <cell r="E256">
            <v>0.1744219182395601</v>
          </cell>
          <cell r="F256">
            <v>0.72942834083072483</v>
          </cell>
          <cell r="H256">
            <v>9.614974092971515E-2</v>
          </cell>
        </row>
        <row r="257">
          <cell r="B257" t="str">
            <v>MATES DANIŞMANLIK</v>
          </cell>
          <cell r="C257" t="str">
            <v>SMB</v>
          </cell>
          <cell r="D257">
            <v>260.00000199999999</v>
          </cell>
          <cell r="E257">
            <v>0.10514411072966069</v>
          </cell>
          <cell r="F257">
            <v>0.66419343719851198</v>
          </cell>
          <cell r="H257">
            <v>0.23066245207182728</v>
          </cell>
        </row>
        <row r="258">
          <cell r="B258" t="str">
            <v>Nobel Bilişim Sistem Yazılım ve Network Hizmetleri</v>
          </cell>
          <cell r="C258" t="str">
            <v>SMB</v>
          </cell>
          <cell r="D258">
            <v>260</v>
          </cell>
          <cell r="E258">
            <v>0.43846153846153846</v>
          </cell>
          <cell r="F258">
            <v>0.50769230769230766</v>
          </cell>
          <cell r="H258">
            <v>5.3846153846153849E-2</v>
          </cell>
        </row>
        <row r="259">
          <cell r="B259" t="str">
            <v>Sobe Diş Ticaret Tekstil ve Sanayi Limited Şirketi</v>
          </cell>
          <cell r="C259" t="str">
            <v>SMB</v>
          </cell>
          <cell r="D259">
            <v>259.990002</v>
          </cell>
          <cell r="E259">
            <v>0.43818729614071855</v>
          </cell>
          <cell r="F259">
            <v>0.51869727667450838</v>
          </cell>
          <cell r="H259">
            <v>4.3115427184773056E-2</v>
          </cell>
        </row>
        <row r="260">
          <cell r="B260" t="str">
            <v>HARUN TUNABOYLU</v>
          </cell>
          <cell r="C260" t="str">
            <v>SMB</v>
          </cell>
          <cell r="D260">
            <v>250.01000100000002</v>
          </cell>
          <cell r="E260">
            <v>0.37242997731118765</v>
          </cell>
          <cell r="F260">
            <v>0.46088998255713781</v>
          </cell>
          <cell r="H260">
            <v>0.16668004013167453</v>
          </cell>
        </row>
        <row r="261">
          <cell r="B261" t="str">
            <v>BURGAN BANK A.S.</v>
          </cell>
          <cell r="C261" t="str">
            <v>ENTERPRISE</v>
          </cell>
          <cell r="D261">
            <v>249.999864</v>
          </cell>
          <cell r="E261">
            <v>1</v>
          </cell>
        </row>
        <row r="262">
          <cell r="B262" t="str">
            <v>MSA MESLEKİ EĞİTİM VE TİCARET A.Ş.</v>
          </cell>
          <cell r="C262" t="str">
            <v>SMB</v>
          </cell>
          <cell r="D262">
            <v>243.73447834545391</v>
          </cell>
          <cell r="E262">
            <v>7.5107948577229952E-2</v>
          </cell>
          <cell r="F262">
            <v>0.78129316365936863</v>
          </cell>
          <cell r="H262">
            <v>0.1435988877634013</v>
          </cell>
        </row>
        <row r="263">
          <cell r="B263" t="str">
            <v>BAUZADE YAPI MALZEMELERİ SANAYİ VE TİCARET LİMİTED</v>
          </cell>
          <cell r="C263" t="str">
            <v>SMB</v>
          </cell>
          <cell r="D263">
            <v>231.81364799999997</v>
          </cell>
          <cell r="E263">
            <v>0.24613747073252568</v>
          </cell>
          <cell r="F263">
            <v>0.62229132859338809</v>
          </cell>
          <cell r="H263">
            <v>0.13157120067408629</v>
          </cell>
        </row>
        <row r="264">
          <cell r="B264" t="str">
            <v>SAINT LAURENT TURKEY LÜKS ÜRÜNLER LİMİTED ŞİRKETİ</v>
          </cell>
          <cell r="C264" t="str">
            <v>SMB</v>
          </cell>
          <cell r="D264">
            <v>222.64951199999996</v>
          </cell>
          <cell r="E264">
            <v>0.27068552479019142</v>
          </cell>
          <cell r="F264">
            <v>0.67451983456402098</v>
          </cell>
          <cell r="H264">
            <v>5.4794640645787721E-2</v>
          </cell>
        </row>
        <row r="265">
          <cell r="B265" t="str">
            <v>ZAFER TAAHHÜT İNŞ. VE TİC. A.Ş.</v>
          </cell>
          <cell r="C265" t="str">
            <v>SMB</v>
          </cell>
          <cell r="D265">
            <v>222.34194223837224</v>
          </cell>
          <cell r="E265">
            <v>0.14529603413728717</v>
          </cell>
          <cell r="F265">
            <v>0.67615161828406756</v>
          </cell>
          <cell r="H265">
            <v>0.17855234757864524</v>
          </cell>
        </row>
        <row r="266">
          <cell r="B266" t="str">
            <v>FORM MİMARLIK MÜHENDİSLİK HİZM.SAN.VE TİC.LTD.ŞTİ</v>
          </cell>
          <cell r="C266" t="str">
            <v>SMB</v>
          </cell>
          <cell r="D266">
            <v>222.33351999999999</v>
          </cell>
          <cell r="E266">
            <v>0.17454136920064953</v>
          </cell>
          <cell r="F266">
            <v>0.59472419183576097</v>
          </cell>
          <cell r="H266">
            <v>0.23073443896358947</v>
          </cell>
        </row>
        <row r="267">
          <cell r="B267" t="str">
            <v>MARCUS GIDA TICARET ANONIM SIRKETI</v>
          </cell>
          <cell r="C267" t="str">
            <v>SMB</v>
          </cell>
          <cell r="D267">
            <v>222.00043800000003</v>
          </cell>
          <cell r="E267">
            <v>0.23346236821388608</v>
          </cell>
          <cell r="F267">
            <v>0.63052820643534047</v>
          </cell>
          <cell r="H267">
            <v>0.13600942535077337</v>
          </cell>
        </row>
        <row r="268">
          <cell r="B268" t="str">
            <v>HBM GIDA SANAYİ VE DIŞ TİCARET</v>
          </cell>
          <cell r="C268" t="str">
            <v>SMB</v>
          </cell>
          <cell r="D268">
            <v>221.6</v>
          </cell>
          <cell r="H268">
            <v>1</v>
          </cell>
        </row>
        <row r="269">
          <cell r="B269" t="str">
            <v>FRT SU ARITMA SANAYİ TİCARET LİMİTED ŞİRKETİ</v>
          </cell>
          <cell r="C269" t="str">
            <v>SMB</v>
          </cell>
          <cell r="D269">
            <v>220.00000199999999</v>
          </cell>
          <cell r="E269">
            <v>0.21129738898820555</v>
          </cell>
          <cell r="F269">
            <v>0.65233897588782752</v>
          </cell>
          <cell r="H269">
            <v>0.13636363512396696</v>
          </cell>
        </row>
        <row r="270">
          <cell r="B270" t="str">
            <v>GAZİANTEP TİCARET ODASI</v>
          </cell>
          <cell r="C270" t="str">
            <v>SMB</v>
          </cell>
          <cell r="D270">
            <v>208.33316666666667</v>
          </cell>
          <cell r="E270">
            <v>0.35198028158422523</v>
          </cell>
          <cell r="F270">
            <v>0.528019622415698</v>
          </cell>
          <cell r="H270">
            <v>0.1200000960000768</v>
          </cell>
        </row>
        <row r="271">
          <cell r="B271" t="str">
            <v>DÜĞÜNÜMÜZ VAR FOTOĞRAFÇILIK HİZ. SAN. TİC. LTD. ŞT</v>
          </cell>
          <cell r="C271" t="str">
            <v>SMB</v>
          </cell>
          <cell r="D271">
            <v>207.49759999999998</v>
          </cell>
          <cell r="E271">
            <v>0.18237319371404778</v>
          </cell>
          <cell r="F271">
            <v>0.71828107891368398</v>
          </cell>
          <cell r="H271">
            <v>9.9345727372268419E-2</v>
          </cell>
        </row>
        <row r="272">
          <cell r="B272" t="str">
            <v>ARTI DEĞER İNŞAAT OTOMOTİV SANAYİ VE DIŞ TİCARET A</v>
          </cell>
          <cell r="C272" t="str">
            <v>SMB</v>
          </cell>
          <cell r="D272">
            <v>203.01224700000003</v>
          </cell>
          <cell r="E272">
            <v>0.16132887785828998</v>
          </cell>
          <cell r="F272">
            <v>0.60223218454401894</v>
          </cell>
          <cell r="H272">
            <v>0.2364389375976908</v>
          </cell>
        </row>
        <row r="273">
          <cell r="B273" t="str">
            <v>MFK TEKNOLOJİ VE OTOMASYON</v>
          </cell>
          <cell r="C273" t="str">
            <v>SMB</v>
          </cell>
          <cell r="D273">
            <v>201.99393199999997</v>
          </cell>
          <cell r="E273">
            <v>0.18586415259246503</v>
          </cell>
          <cell r="F273">
            <v>0.71086541847207574</v>
          </cell>
          <cell r="H273">
            <v>0.10327042893545932</v>
          </cell>
        </row>
        <row r="274">
          <cell r="B274" t="str">
            <v>ALUNET MATERIAL SOLUTIONS ALÜMINYUM</v>
          </cell>
          <cell r="C274" t="str">
            <v>SMB</v>
          </cell>
          <cell r="D274">
            <v>200.00540899999999</v>
          </cell>
          <cell r="E274">
            <v>0.2480370868369865</v>
          </cell>
          <cell r="F274">
            <v>0.62696629369658696</v>
          </cell>
          <cell r="H274">
            <v>0.12499661946642654</v>
          </cell>
        </row>
        <row r="275">
          <cell r="B275" t="str">
            <v>FILIDEA TEKSTIL SAN. VE TIC. A.S</v>
          </cell>
          <cell r="C275" t="str">
            <v>SMB</v>
          </cell>
          <cell r="D275">
            <v>200.00299999999999</v>
          </cell>
          <cell r="E275">
            <v>0.41339879901801474</v>
          </cell>
          <cell r="F275">
            <v>0.13095803562946556</v>
          </cell>
          <cell r="H275">
            <v>0.35724464133038009</v>
          </cell>
        </row>
        <row r="276">
          <cell r="B276" t="str">
            <v>UTKU ORMAN ÜRÜNLERİ</v>
          </cell>
          <cell r="C276" t="str">
            <v>SMB</v>
          </cell>
          <cell r="D276">
            <v>200.000214</v>
          </cell>
          <cell r="E276">
            <v>0.28549703951816774</v>
          </cell>
          <cell r="F276">
            <v>0.54139976570225068</v>
          </cell>
          <cell r="H276">
            <v>0.17310319477958161</v>
          </cell>
        </row>
        <row r="277">
          <cell r="B277" t="str">
            <v>Ada Design</v>
          </cell>
          <cell r="C277" t="str">
            <v>SMB</v>
          </cell>
          <cell r="D277">
            <v>200.00000008333333</v>
          </cell>
          <cell r="E277">
            <v>0.25510294489370711</v>
          </cell>
          <cell r="F277">
            <v>0.64489705514795959</v>
          </cell>
          <cell r="H277">
            <v>9.9999999958333335E-2</v>
          </cell>
        </row>
        <row r="278">
          <cell r="B278" t="str">
            <v>COŞAR &amp; ŞAHİN HUKUK BÜROSU</v>
          </cell>
          <cell r="C278" t="str">
            <v>SMB</v>
          </cell>
          <cell r="D278">
            <v>200</v>
          </cell>
          <cell r="E278">
            <v>0.41</v>
          </cell>
          <cell r="F278">
            <v>0.48</v>
          </cell>
          <cell r="H278">
            <v>0.11</v>
          </cell>
        </row>
        <row r="279">
          <cell r="B279" t="str">
            <v>Trada Teknoloji Anonim Şirketi</v>
          </cell>
          <cell r="C279" t="str">
            <v>SMB</v>
          </cell>
          <cell r="D279">
            <v>197.76</v>
          </cell>
          <cell r="E279">
            <v>0.15589603559870552</v>
          </cell>
          <cell r="F279">
            <v>0.59632888349514557</v>
          </cell>
          <cell r="H279">
            <v>0.24777508090614889</v>
          </cell>
        </row>
        <row r="280">
          <cell r="B280" t="str">
            <v>POİNT KURYE HİMZETLERİ TİCARET LİMİTED ŞİRKETİ</v>
          </cell>
          <cell r="C280" t="str">
            <v>SMB</v>
          </cell>
          <cell r="D280">
            <v>197</v>
          </cell>
          <cell r="E280">
            <v>0.1848223350253807</v>
          </cell>
          <cell r="F280">
            <v>0.66796954314720813</v>
          </cell>
          <cell r="H280">
            <v>0.14720812182741116</v>
          </cell>
        </row>
        <row r="281">
          <cell r="B281" t="str">
            <v>NATUREM TEKNIK MAKINE TIC.LTD.STI</v>
          </cell>
          <cell r="C281" t="str">
            <v>SMB</v>
          </cell>
          <cell r="D281">
            <v>193.75013033333332</v>
          </cell>
          <cell r="E281">
            <v>0.10830956671132803</v>
          </cell>
          <cell r="F281">
            <v>0.84627936706196571</v>
          </cell>
          <cell r="H281">
            <v>4.5411066226706417E-2</v>
          </cell>
        </row>
        <row r="282">
          <cell r="B282" t="str">
            <v>Çerko Motor İç ve Dış Ticaret A.Ş.</v>
          </cell>
          <cell r="C282" t="str">
            <v>SMB</v>
          </cell>
          <cell r="D282">
            <v>190.17395400000004</v>
          </cell>
          <cell r="E282">
            <v>0.18136007205276908</v>
          </cell>
          <cell r="F282">
            <v>0.62951939254520628</v>
          </cell>
          <cell r="H282">
            <v>0.18912053540202459</v>
          </cell>
        </row>
        <row r="283">
          <cell r="B283" t="str">
            <v>MODİS YAPI MİMARLIK</v>
          </cell>
          <cell r="C283" t="str">
            <v>SMB</v>
          </cell>
          <cell r="D283">
            <v>189.00000199999999</v>
          </cell>
          <cell r="E283">
            <v>0.26169705543177724</v>
          </cell>
          <cell r="F283">
            <v>0.58486379275276401</v>
          </cell>
          <cell r="H283">
            <v>0.15343915181545872</v>
          </cell>
        </row>
        <row r="284">
          <cell r="B284" t="str">
            <v>BATI EGITIM INSAAT VE TURIZM HIZ. A.S.</v>
          </cell>
          <cell r="C284" t="str">
            <v>SMB</v>
          </cell>
          <cell r="D284">
            <v>187.09510403982085</v>
          </cell>
          <cell r="E284">
            <v>0.62051385382650892</v>
          </cell>
          <cell r="F284">
            <v>4.8103877683963674E-2</v>
          </cell>
          <cell r="H284">
            <v>0.33138226848952751</v>
          </cell>
        </row>
        <row r="285">
          <cell r="B285" t="str">
            <v>M LORD DIŞ TİCARET A.Ş</v>
          </cell>
          <cell r="C285" t="str">
            <v>SMB</v>
          </cell>
          <cell r="D285">
            <v>186.98093699999995</v>
          </cell>
          <cell r="E285">
            <v>0.27885687084774857</v>
          </cell>
          <cell r="F285">
            <v>0.60348407602642418</v>
          </cell>
          <cell r="H285">
            <v>0.1176590531258275</v>
          </cell>
        </row>
        <row r="286">
          <cell r="B286" t="str">
            <v>RAFINERI REKLAMCILIK HIZ.TIC.VE A.S</v>
          </cell>
          <cell r="C286" t="str">
            <v>SMB</v>
          </cell>
          <cell r="D286">
            <v>186.56</v>
          </cell>
          <cell r="H286">
            <v>1</v>
          </cell>
        </row>
        <row r="287">
          <cell r="B287" t="str">
            <v>MODA ENERJİ</v>
          </cell>
          <cell r="C287" t="str">
            <v>SMB</v>
          </cell>
          <cell r="D287">
            <v>186.40630383314814</v>
          </cell>
          <cell r="E287">
            <v>0.3509457906837401</v>
          </cell>
          <cell r="F287">
            <v>0.48863308541835843</v>
          </cell>
          <cell r="H287">
            <v>0.16042112389790153</v>
          </cell>
        </row>
        <row r="288">
          <cell r="B288" t="str">
            <v>EREN GIDA MAD. TURİZM SAN. TİC. LTD. ŞTİ.</v>
          </cell>
          <cell r="C288" t="str">
            <v>SMB</v>
          </cell>
          <cell r="D288">
            <v>186.13999499999997</v>
          </cell>
          <cell r="E288">
            <v>0.25056409827452725</v>
          </cell>
          <cell r="F288">
            <v>0.62984849118535757</v>
          </cell>
          <cell r="H288">
            <v>0.11958741054011526</v>
          </cell>
        </row>
        <row r="289">
          <cell r="B289" t="str">
            <v>DOGAN METE MİMARLIK INSAAT</v>
          </cell>
          <cell r="C289" t="str">
            <v>SMB</v>
          </cell>
          <cell r="D289">
            <v>186.00530000000001</v>
          </cell>
          <cell r="E289">
            <v>0.34239814134328433</v>
          </cell>
          <cell r="F289">
            <v>0.52237006149824761</v>
          </cell>
          <cell r="H289">
            <v>0.13523179715846806</v>
          </cell>
        </row>
        <row r="290">
          <cell r="B290" t="str">
            <v>BRANDCRAFTERS REKLAM TANITIM TASARIM ORG.IÇ VE DIS</v>
          </cell>
          <cell r="C290" t="str">
            <v>SMB</v>
          </cell>
          <cell r="D290">
            <v>184.875</v>
          </cell>
          <cell r="F290">
            <v>0.16700473292765383</v>
          </cell>
          <cell r="H290">
            <v>0.83299526707234617</v>
          </cell>
        </row>
        <row r="291">
          <cell r="B291" t="str">
            <v>BOTTEGA VENETA TURKEY LUKS URUNLER TICARET LTD</v>
          </cell>
          <cell r="C291" t="str">
            <v>SMB</v>
          </cell>
          <cell r="D291">
            <v>184.206245</v>
          </cell>
          <cell r="E291">
            <v>0.27106771000081997</v>
          </cell>
          <cell r="F291">
            <v>0.66270217928822117</v>
          </cell>
          <cell r="H291">
            <v>6.6230110710958787E-2</v>
          </cell>
        </row>
        <row r="292">
          <cell r="B292" t="str">
            <v>TRIO SES ISIK VE GÖRÜNTÜ SISTEMLERI A.S.</v>
          </cell>
          <cell r="C292" t="str">
            <v>SMB</v>
          </cell>
          <cell r="D292">
            <v>184</v>
          </cell>
          <cell r="H292">
            <v>1</v>
          </cell>
        </row>
        <row r="293">
          <cell r="B293" t="str">
            <v>NESTINVEST PROJE PAZARLAMA ANONİM ŞİRKETİ</v>
          </cell>
          <cell r="C293" t="str">
            <v>SMB</v>
          </cell>
          <cell r="D293">
            <v>180.99999999999997</v>
          </cell>
          <cell r="E293">
            <v>0.15983425414364644</v>
          </cell>
          <cell r="F293">
            <v>0.66337016574585639</v>
          </cell>
          <cell r="H293">
            <v>0.17679558011049726</v>
          </cell>
        </row>
        <row r="294">
          <cell r="B294" t="str">
            <v>MALKAN KANAAT KİMYEVİ BOYA İNŞAAT</v>
          </cell>
          <cell r="C294" t="str">
            <v>SMB</v>
          </cell>
          <cell r="D294">
            <v>180.00042799999997</v>
          </cell>
          <cell r="E294">
            <v>0.40872385592327598</v>
          </cell>
          <cell r="F294">
            <v>0.48875658784544684</v>
          </cell>
          <cell r="H294">
            <v>0.10251955623127743</v>
          </cell>
        </row>
        <row r="295">
          <cell r="B295" t="str">
            <v>IMPERIUM CIKOLATA GIDA VE PAZARLAMA DIS TİCARET LS</v>
          </cell>
          <cell r="C295" t="str">
            <v>SMB</v>
          </cell>
          <cell r="D295">
            <v>180</v>
          </cell>
          <cell r="E295">
            <v>0.38432334444444444</v>
          </cell>
          <cell r="F295">
            <v>0.45957594999999996</v>
          </cell>
          <cell r="H295">
            <v>0.15610070555555555</v>
          </cell>
        </row>
        <row r="296">
          <cell r="B296" t="str">
            <v>ÇAMLIBEL KURUMSAL PAZARLAMA HİZ. GIDA HAYV. SÜT ÜR</v>
          </cell>
          <cell r="C296" t="str">
            <v>SMB</v>
          </cell>
          <cell r="D296">
            <v>179</v>
          </cell>
          <cell r="E296">
            <v>0.23463687150837989</v>
          </cell>
          <cell r="F296">
            <v>0.6033519553072626</v>
          </cell>
          <cell r="H296">
            <v>0.16201117318435754</v>
          </cell>
        </row>
        <row r="297">
          <cell r="B297" t="str">
            <v>PROTEK ENDÜSTRİYEL OTOMASYON SİSTEMLERİ MAKİNA VE</v>
          </cell>
          <cell r="C297" t="str">
            <v>SMB</v>
          </cell>
          <cell r="D297">
            <v>177.005391</v>
          </cell>
          <cell r="E297">
            <v>0.206057910405678</v>
          </cell>
          <cell r="F297">
            <v>0.69394513526427004</v>
          </cell>
          <cell r="H297">
            <v>9.9996954330052026E-2</v>
          </cell>
        </row>
        <row r="298">
          <cell r="B298" t="str">
            <v>ÇYDD</v>
          </cell>
          <cell r="C298" t="str">
            <v>SMB</v>
          </cell>
          <cell r="D298">
            <v>175.28682150948705</v>
          </cell>
          <cell r="E298">
            <v>0.69193348629989648</v>
          </cell>
          <cell r="H298">
            <v>0.30806651370010357</v>
          </cell>
        </row>
        <row r="299">
          <cell r="B299" t="str">
            <v>GÜNAY MOTORLU ARAÇLAR PAZARLAMA VE TİC. LTD. ŞTİ.</v>
          </cell>
          <cell r="C299" t="str">
            <v>SMB</v>
          </cell>
          <cell r="D299">
            <v>175.20000000000002</v>
          </cell>
          <cell r="E299">
            <v>0.2179949862062405</v>
          </cell>
          <cell r="F299">
            <v>0.46450769311263307</v>
          </cell>
          <cell r="H299">
            <v>0.31749732068112629</v>
          </cell>
        </row>
        <row r="300">
          <cell r="B300" t="str">
            <v>KIRIKHAN MENSUCAT SAN. VE TİC. A.Ş.</v>
          </cell>
          <cell r="C300" t="str">
            <v>SMB</v>
          </cell>
          <cell r="D300">
            <v>175.16649483333333</v>
          </cell>
          <cell r="E300">
            <v>0.21784540732503802</v>
          </cell>
          <cell r="F300">
            <v>0.46459654233970987</v>
          </cell>
          <cell r="H300">
            <v>0.31755805033525203</v>
          </cell>
        </row>
        <row r="301">
          <cell r="B301" t="str">
            <v>AYDEMİRLER ÇELİK A.Ş.</v>
          </cell>
          <cell r="C301" t="str">
            <v>SMB</v>
          </cell>
          <cell r="D301">
            <v>175.00150333333332</v>
          </cell>
          <cell r="E301">
            <v>0.2055449961753662</v>
          </cell>
          <cell r="F301">
            <v>0.49510298111534312</v>
          </cell>
          <cell r="H301">
            <v>0.29935202270929068</v>
          </cell>
        </row>
        <row r="302">
          <cell r="B302" t="str">
            <v>SAHLANLAR GIDA SAN.VE TICARET LTD.STI</v>
          </cell>
          <cell r="C302" t="str">
            <v>SMB</v>
          </cell>
          <cell r="D302">
            <v>174</v>
          </cell>
          <cell r="H302">
            <v>1</v>
          </cell>
        </row>
        <row r="303">
          <cell r="B303" t="str">
            <v>MTN KALIP SANAYİ VE TİCARET ANONİM ŞİRKETİ</v>
          </cell>
          <cell r="C303" t="str">
            <v>SMB</v>
          </cell>
          <cell r="D303">
            <v>173.85444525841365</v>
          </cell>
          <cell r="F303">
            <v>1</v>
          </cell>
        </row>
        <row r="304">
          <cell r="B304" t="str">
            <v>GÜNEŞ ELEKTRONİK CİHAZLAR ve TİC. LTD.ŞTİ.</v>
          </cell>
          <cell r="C304" t="str">
            <v>SMB</v>
          </cell>
          <cell r="D304">
            <v>173.00521700000002</v>
          </cell>
          <cell r="E304">
            <v>0.27267398531687054</v>
          </cell>
          <cell r="F304">
            <v>0.55392083927734959</v>
          </cell>
          <cell r="H304">
            <v>0.17340517540577979</v>
          </cell>
        </row>
        <row r="305">
          <cell r="B305" t="str">
            <v>ALPEGE ENDÜSTRIYEL METROLOJI SAN. VE HIZ. DIS. TIC</v>
          </cell>
          <cell r="C305" t="str">
            <v>SMB</v>
          </cell>
          <cell r="D305">
            <v>172.83333333333334</v>
          </cell>
          <cell r="E305">
            <v>0.99807135969141747</v>
          </cell>
          <cell r="H305">
            <v>1.9286403085824492E-3</v>
          </cell>
        </row>
        <row r="306">
          <cell r="B306" t="str">
            <v>METROPET İTHALAT İHRACAT İNŞAAT LİMİTED ŞİRKETİ</v>
          </cell>
          <cell r="C306" t="str">
            <v>SMB</v>
          </cell>
          <cell r="D306">
            <v>170.67226000000005</v>
          </cell>
          <cell r="E306">
            <v>0.16606527622004882</v>
          </cell>
          <cell r="F306">
            <v>0.54074120773932421</v>
          </cell>
          <cell r="H306">
            <v>0.29319351604062649</v>
          </cell>
        </row>
        <row r="307">
          <cell r="B307" t="str">
            <v>KARTAL RULMANS</v>
          </cell>
          <cell r="C307" t="str">
            <v>SMB</v>
          </cell>
          <cell r="D307">
            <v>169.80166257525846</v>
          </cell>
          <cell r="E307">
            <v>0.24523853957209232</v>
          </cell>
          <cell r="F307">
            <v>0.46510859550782868</v>
          </cell>
          <cell r="H307">
            <v>0.2896528649200788</v>
          </cell>
        </row>
        <row r="308">
          <cell r="B308" t="str">
            <v>INFOTECH BİLİŞİM VE İLETİŞİM TEKNOLOJİLERİ SAN. VE</v>
          </cell>
          <cell r="C308" t="str">
            <v>SMB</v>
          </cell>
          <cell r="D308">
            <v>169.0253454005618</v>
          </cell>
          <cell r="E308">
            <v>0.20708993961241043</v>
          </cell>
          <cell r="F308">
            <v>0.63003150113504536</v>
          </cell>
          <cell r="H308">
            <v>0.16287855925254413</v>
          </cell>
        </row>
        <row r="309">
          <cell r="B309" t="str">
            <v>POLİMAZ AMBALAJ SANAYİ TİC. LTD. ŞTİ.</v>
          </cell>
          <cell r="C309" t="str">
            <v>SMB</v>
          </cell>
          <cell r="D309">
            <v>169</v>
          </cell>
          <cell r="E309">
            <v>0.23615384615384619</v>
          </cell>
          <cell r="F309">
            <v>0.56562130177514791</v>
          </cell>
          <cell r="H309">
            <v>0.19822485207100593</v>
          </cell>
        </row>
        <row r="310">
          <cell r="B310" t="str">
            <v>ATMO OTOMOTİV LİMİTED ŞİRKETİ</v>
          </cell>
          <cell r="C310" t="str">
            <v>SMB</v>
          </cell>
          <cell r="D310">
            <v>166.16666666666666</v>
          </cell>
          <cell r="F310">
            <v>0.87863590772316957</v>
          </cell>
          <cell r="H310">
            <v>0.12136409227683051</v>
          </cell>
        </row>
        <row r="311">
          <cell r="B311" t="str">
            <v>MULLEN LOWE ISTANBUL REKLAMCILIK A.S</v>
          </cell>
          <cell r="C311" t="str">
            <v>SMB</v>
          </cell>
          <cell r="D311">
            <v>163.48000000000002</v>
          </cell>
          <cell r="F311">
            <v>0.26119402985074625</v>
          </cell>
        </row>
        <row r="312">
          <cell r="B312" t="str">
            <v>ARKON CELİK SANAYI ve TICARET LTD. ŞTI.</v>
          </cell>
          <cell r="C312" t="str">
            <v>SMB</v>
          </cell>
          <cell r="D312">
            <v>160.00536700000004</v>
          </cell>
          <cell r="E312">
            <v>0.27743938114275873</v>
          </cell>
          <cell r="F312">
            <v>0.54132902304458308</v>
          </cell>
          <cell r="H312">
            <v>0.18123159581265794</v>
          </cell>
        </row>
        <row r="313">
          <cell r="B313" t="str">
            <v>KEY DİGİTAL PLATFORM TEKNOLOJİLERİ ANONİM ŞİRKETİ</v>
          </cell>
          <cell r="C313" t="str">
            <v>SMB</v>
          </cell>
          <cell r="D313">
            <v>154.16666674999999</v>
          </cell>
          <cell r="E313">
            <v>0.22031199069172325</v>
          </cell>
          <cell r="F313">
            <v>0.68887719854655294</v>
          </cell>
          <cell r="H313">
            <v>9.0810810761723898E-2</v>
          </cell>
        </row>
        <row r="314">
          <cell r="B314" t="str">
            <v>ÜLGEN DENİZCİLİK VE LOJİSTİK SANAYİ TİCARET ANONİM</v>
          </cell>
          <cell r="C314" t="str">
            <v>SMB</v>
          </cell>
          <cell r="D314">
            <v>151.25000016666667</v>
          </cell>
          <cell r="E314">
            <v>0.20852040087215384</v>
          </cell>
          <cell r="F314">
            <v>0.65924819431487802</v>
          </cell>
          <cell r="H314">
            <v>0.13223140481296816</v>
          </cell>
        </row>
        <row r="315">
          <cell r="B315" t="str">
            <v>EMEÇ GIDA PAZARLAMA NAKLİYAT SAN. VE TİC.LTD.ŞTİ.</v>
          </cell>
          <cell r="C315" t="str">
            <v>SMB</v>
          </cell>
          <cell r="D315">
            <v>150.0004825</v>
          </cell>
          <cell r="E315">
            <v>0.33201240924897241</v>
          </cell>
          <cell r="F315">
            <v>0.36651928491852237</v>
          </cell>
          <cell r="H315">
            <v>0.30146830583250511</v>
          </cell>
        </row>
        <row r="316">
          <cell r="B316" t="str">
            <v>BS GÜMRÜK</v>
          </cell>
          <cell r="C316" t="str">
            <v>SMB</v>
          </cell>
          <cell r="D316">
            <v>150</v>
          </cell>
          <cell r="E316">
            <v>0.96</v>
          </cell>
          <cell r="H316">
            <v>0.04</v>
          </cell>
        </row>
        <row r="317">
          <cell r="B317" t="str">
            <v>CVS ÇAVUSOGLU AYAKKABI PAZARI TİC.A.Ş.</v>
          </cell>
          <cell r="C317" t="str">
            <v>SMB</v>
          </cell>
          <cell r="D317">
            <v>149.99641199999999</v>
          </cell>
          <cell r="E317">
            <v>0.23736941120964947</v>
          </cell>
          <cell r="F317">
            <v>0.6000333661314512</v>
          </cell>
          <cell r="H317">
            <v>0.16259722265889934</v>
          </cell>
        </row>
        <row r="318">
          <cell r="B318" t="str">
            <v>EDU ÇEVİRİ HİZMETLERİ LİMİTED ŞİRKETİ (BARLAS)</v>
          </cell>
          <cell r="C318" t="str">
            <v>SMB</v>
          </cell>
          <cell r="D318">
            <v>147.0118584534477</v>
          </cell>
          <cell r="E318">
            <v>0.30316408975987225</v>
          </cell>
          <cell r="F318">
            <v>6.12195512299432E-2</v>
          </cell>
          <cell r="H318">
            <v>0.63561635901018454</v>
          </cell>
        </row>
        <row r="319">
          <cell r="B319" t="str">
            <v>HD ÇELİK MÜHENDİSLİK METAL İNŞAAT MÜTEAHHİTLİK SAN</v>
          </cell>
          <cell r="C319" t="str">
            <v>SMB</v>
          </cell>
          <cell r="D319">
            <v>146</v>
          </cell>
          <cell r="F319">
            <v>1</v>
          </cell>
        </row>
        <row r="320">
          <cell r="B320" t="str">
            <v>VAKIFBANK SPOR KULUBÜ DERNEĞİ</v>
          </cell>
          <cell r="C320" t="str">
            <v>SMB</v>
          </cell>
          <cell r="D320">
            <v>144.04666666666665</v>
          </cell>
          <cell r="E320">
            <v>0.24883139723237843</v>
          </cell>
          <cell r="F320">
            <v>0.65397787753968628</v>
          </cell>
          <cell r="H320">
            <v>9.7190725227935398E-2</v>
          </cell>
        </row>
        <row r="321">
          <cell r="B321" t="str">
            <v>SOLVOCODE YAZILIM ANONİM ŞİRKETİ</v>
          </cell>
          <cell r="C321" t="str">
            <v>SMB</v>
          </cell>
          <cell r="D321">
            <v>140.00181499999999</v>
          </cell>
          <cell r="E321">
            <v>0.24198997705851172</v>
          </cell>
          <cell r="F321">
            <v>0.60086920301711799</v>
          </cell>
          <cell r="H321">
            <v>0.15714081992437026</v>
          </cell>
        </row>
        <row r="322">
          <cell r="B322" t="str">
            <v>ÖZSEÇKİN PLASTİK SANAYİ VE TİCARET LİMİTED ŞİRKETİ</v>
          </cell>
          <cell r="C322" t="str">
            <v>SMB</v>
          </cell>
          <cell r="D322">
            <v>140.000001</v>
          </cell>
          <cell r="E322">
            <v>0.21661202702419979</v>
          </cell>
          <cell r="F322">
            <v>0.67624511659824915</v>
          </cell>
          <cell r="H322">
            <v>0.10714285637755103</v>
          </cell>
        </row>
        <row r="323">
          <cell r="B323" t="str">
            <v>İZMİR EKRAN (MUD BİLİŞİM)</v>
          </cell>
          <cell r="C323" t="str">
            <v>SMB</v>
          </cell>
          <cell r="D323">
            <v>138.13</v>
          </cell>
          <cell r="H323">
            <v>1</v>
          </cell>
        </row>
        <row r="324">
          <cell r="B324" t="str">
            <v>PAMTEK METAL END. ÜRUNLER SAN. VE TIC.LTD.STI.</v>
          </cell>
          <cell r="C324" t="str">
            <v>SMB</v>
          </cell>
          <cell r="D324">
            <v>138</v>
          </cell>
          <cell r="E324">
            <v>0.44927536231884058</v>
          </cell>
          <cell r="F324">
            <v>0.55072463768115942</v>
          </cell>
        </row>
        <row r="325">
          <cell r="B325" t="str">
            <v>NOVA GÜÇ AKTARIM VE HAREKET SİS SAN TİC A.Ş</v>
          </cell>
          <cell r="C325" t="str">
            <v>SMB</v>
          </cell>
          <cell r="D325">
            <v>137.99957366666666</v>
          </cell>
          <cell r="E325">
            <v>0.21799565988272701</v>
          </cell>
          <cell r="F325">
            <v>0.4645091273724008</v>
          </cell>
          <cell r="H325">
            <v>0.31749521274487225</v>
          </cell>
        </row>
        <row r="326">
          <cell r="B326" t="str">
            <v>BUFALA SÜT ÜRÜNLERİ SANAYİ VE TİCARET A.Ş</v>
          </cell>
          <cell r="C326" t="str">
            <v>SMB</v>
          </cell>
          <cell r="D326">
            <v>137.77936266666666</v>
          </cell>
          <cell r="E326">
            <v>0.21490331299930915</v>
          </cell>
          <cell r="F326">
            <v>0.45772169258691686</v>
          </cell>
          <cell r="H326">
            <v>0.32737499441377399</v>
          </cell>
        </row>
        <row r="327">
          <cell r="B327" t="str">
            <v>PERNET - İNSAN KAYNAKLARI YÖN.SİST.VE TİC.A.Ş</v>
          </cell>
          <cell r="C327" t="str">
            <v>SMB</v>
          </cell>
          <cell r="D327">
            <v>137.70571408819006</v>
          </cell>
          <cell r="E327">
            <v>7.899171893012788E-2</v>
          </cell>
          <cell r="F327">
            <v>0.67413550808053213</v>
          </cell>
          <cell r="H327">
            <v>0.24687277298933985</v>
          </cell>
        </row>
        <row r="328">
          <cell r="B328" t="str">
            <v>KILIÇKAYA LPG GIDA NAK. TURIZM INS.TIC. LTD. ŞTI.</v>
          </cell>
          <cell r="C328" t="str">
            <v>SMB</v>
          </cell>
          <cell r="D328">
            <v>134.49999</v>
          </cell>
          <cell r="E328">
            <v>0.26765801246527976</v>
          </cell>
          <cell r="F328">
            <v>0.73234198753472024</v>
          </cell>
        </row>
        <row r="329">
          <cell r="B329" t="str">
            <v>RAHMET GIDA NAKLİYE İNŞAAT TİC.SAN.LTD.ŞTİ</v>
          </cell>
          <cell r="C329" t="str">
            <v>SMB</v>
          </cell>
          <cell r="D329">
            <v>129.99999900000003</v>
          </cell>
          <cell r="E329">
            <v>0.33168859485914298</v>
          </cell>
          <cell r="F329">
            <v>0.3661610105089308</v>
          </cell>
          <cell r="H329">
            <v>0.30215039463192606</v>
          </cell>
        </row>
        <row r="330">
          <cell r="B330" t="str">
            <v>ASELSAN KONYA SILAH SISTEMLERI A.Ş.</v>
          </cell>
          <cell r="C330" t="str">
            <v>OTHER</v>
          </cell>
          <cell r="D330">
            <v>129.83365008333334</v>
          </cell>
          <cell r="E330">
            <v>0.50834279062198506</v>
          </cell>
          <cell r="F330">
            <v>0.49165720937801483</v>
          </cell>
          <cell r="H330">
            <v>0</v>
          </cell>
        </row>
        <row r="331">
          <cell r="B331" t="str">
            <v>PMA BİLİŞİM A.Ş.</v>
          </cell>
          <cell r="C331" t="str">
            <v>SMB</v>
          </cell>
          <cell r="D331">
            <v>127.76214000000003</v>
          </cell>
          <cell r="E331">
            <v>4.8931240506772965E-2</v>
          </cell>
          <cell r="F331">
            <v>0.74425397069898802</v>
          </cell>
          <cell r="H331">
            <v>0.20681478879423898</v>
          </cell>
        </row>
        <row r="332">
          <cell r="B332" t="str">
            <v>Ömür Akkor Anadolu  Gastronomi Vakfı</v>
          </cell>
          <cell r="C332" t="str">
            <v>SMB</v>
          </cell>
          <cell r="D332">
            <v>125</v>
          </cell>
          <cell r="H332">
            <v>1</v>
          </cell>
        </row>
        <row r="333">
          <cell r="B333" t="str">
            <v>ÖNDERLER İŞ MAKİNALARI</v>
          </cell>
          <cell r="C333" t="str">
            <v>SMB</v>
          </cell>
          <cell r="D333">
            <v>124.99833083333331</v>
          </cell>
          <cell r="E333">
            <v>0.42487317880651437</v>
          </cell>
          <cell r="F333">
            <v>0.29810185465343253</v>
          </cell>
          <cell r="H333">
            <v>0.27702496654005326</v>
          </cell>
        </row>
        <row r="334">
          <cell r="B334" t="str">
            <v>DEĞER ELEKTRİK - DEĞER İTHALAT İHRACAT ELEKTRİK MA</v>
          </cell>
          <cell r="C334" t="str">
            <v>SMB</v>
          </cell>
          <cell r="D334">
            <v>124.82970833333334</v>
          </cell>
          <cell r="E334">
            <v>0.23264536052949467</v>
          </cell>
          <cell r="F334">
            <v>0.33284754864376903</v>
          </cell>
          <cell r="H334">
            <v>0.43450709082673622</v>
          </cell>
        </row>
        <row r="335">
          <cell r="B335" t="str">
            <v>SETA SİSTEM ÇÖZÜMLERİ MÜH. LTD. ŞTİ.</v>
          </cell>
          <cell r="C335" t="str">
            <v>SMB</v>
          </cell>
          <cell r="D335">
            <v>124</v>
          </cell>
          <cell r="H335">
            <v>1</v>
          </cell>
        </row>
        <row r="336">
          <cell r="B336" t="str">
            <v>Mehmet Doğru Ticaret Ltd.</v>
          </cell>
          <cell r="C336" t="str">
            <v>SMB</v>
          </cell>
          <cell r="D336">
            <v>123.20079650000001</v>
          </cell>
          <cell r="E336">
            <v>0.27789434042606476</v>
          </cell>
          <cell r="F336">
            <v>0.30669176179663199</v>
          </cell>
          <cell r="H336">
            <v>0.41541389777730314</v>
          </cell>
        </row>
        <row r="337">
          <cell r="B337" t="str">
            <v>SAYKOM BİLGİSAYAR TİC. VE SAN. LTD. ŞTİ.</v>
          </cell>
          <cell r="C337" t="str">
            <v>SMB</v>
          </cell>
          <cell r="D337">
            <v>122.999</v>
          </cell>
          <cell r="E337">
            <v>0.25436285660859032</v>
          </cell>
          <cell r="F337">
            <v>0.4676748997959333</v>
          </cell>
          <cell r="H337">
            <v>0.27796224359547639</v>
          </cell>
        </row>
        <row r="338">
          <cell r="B338" t="str">
            <v>MADEŞ METAL SAN. TİC. LTD. ŞTİ.</v>
          </cell>
          <cell r="C338" t="str">
            <v>SMB</v>
          </cell>
          <cell r="D338">
            <v>120.00000366666667</v>
          </cell>
          <cell r="E338">
            <v>0.29239604037123212</v>
          </cell>
          <cell r="F338">
            <v>0.38807987425311496</v>
          </cell>
          <cell r="H338">
            <v>0.31952408537565291</v>
          </cell>
        </row>
        <row r="339">
          <cell r="B339" t="str">
            <v>SİNYAL ELEKTRONİK VE KOZMETİK ÜRÜNLER SAN. VE  P</v>
          </cell>
          <cell r="C339" t="str">
            <v>SMB</v>
          </cell>
          <cell r="D339">
            <v>119.99999800000002</v>
          </cell>
          <cell r="E339">
            <v>0.43922668232044465</v>
          </cell>
          <cell r="F339">
            <v>0.52522965042049408</v>
          </cell>
          <cell r="H339">
            <v>3.5543667259061121E-2</v>
          </cell>
        </row>
        <row r="340">
          <cell r="B340" t="str">
            <v>VONTECH ELEKTRONİK VE TİC.LTD.ŞTİ</v>
          </cell>
          <cell r="C340" t="str">
            <v>SMB</v>
          </cell>
          <cell r="D340">
            <v>119.20414700000001</v>
          </cell>
          <cell r="E340">
            <v>0.29185455267760102</v>
          </cell>
          <cell r="F340">
            <v>0.38837685739238592</v>
          </cell>
          <cell r="H340">
            <v>0.31976858993001311</v>
          </cell>
        </row>
        <row r="341">
          <cell r="B341" t="str">
            <v>SENAMED TEKNİK VE TIBBİ SİSTEMLER SAN. TİC.A.Ş</v>
          </cell>
          <cell r="C341" t="str">
            <v>SMB</v>
          </cell>
          <cell r="D341">
            <v>119.20000533333335</v>
          </cell>
          <cell r="E341">
            <v>0.29239603697333166</v>
          </cell>
          <cell r="F341">
            <v>0.38807988406242122</v>
          </cell>
          <cell r="H341">
            <v>0.31952407896424695</v>
          </cell>
        </row>
        <row r="342">
          <cell r="B342" t="str">
            <v>TRAKPAR YEDEK PARÇA SAN.DIŞ.TİC.LTD.ŞTİ.</v>
          </cell>
          <cell r="C342" t="str">
            <v>SMB</v>
          </cell>
          <cell r="D342">
            <v>119.2</v>
          </cell>
          <cell r="F342">
            <v>1</v>
          </cell>
        </row>
        <row r="343">
          <cell r="B343" t="str">
            <v>ÇAĞBERK LOJİSTİK PAZARLAMA İÇ VE DIŞ TİCARET A.Ş</v>
          </cell>
          <cell r="C343" t="str">
            <v>SMB</v>
          </cell>
          <cell r="D343">
            <v>119.2</v>
          </cell>
          <cell r="E343">
            <v>0.29239604865771812</v>
          </cell>
          <cell r="F343">
            <v>0.38807985738255035</v>
          </cell>
          <cell r="H343">
            <v>0.31952409395973153</v>
          </cell>
        </row>
        <row r="344">
          <cell r="B344" t="str">
            <v>KANGURU GIDA SAN TURİZM DANIŞ. VE TİC.LTD.ŞTİ</v>
          </cell>
          <cell r="C344" t="str">
            <v>SMB</v>
          </cell>
          <cell r="D344">
            <v>119.2</v>
          </cell>
          <cell r="E344">
            <v>0.29239604865771812</v>
          </cell>
          <cell r="F344">
            <v>0.38807985738255035</v>
          </cell>
          <cell r="H344">
            <v>0.31952409395973153</v>
          </cell>
        </row>
        <row r="345">
          <cell r="B345" t="str">
            <v>APEC ÇELİK YAPI SİSTEMLERİ A.Ş.</v>
          </cell>
          <cell r="C345" t="str">
            <v>SMB</v>
          </cell>
          <cell r="D345">
            <v>116.47575984363704</v>
          </cell>
          <cell r="E345">
            <v>0.28407413317818603</v>
          </cell>
          <cell r="F345">
            <v>0.40552423168007978</v>
          </cell>
          <cell r="H345">
            <v>0.31040163514173424</v>
          </cell>
        </row>
        <row r="346">
          <cell r="B346" t="str">
            <v>SHERPA YAZILIM EĞİTİM VE FİNANSAL DAN.TİC.LTD.ŞTİ.</v>
          </cell>
          <cell r="C346" t="str">
            <v>SMB</v>
          </cell>
          <cell r="D346">
            <v>112.4</v>
          </cell>
          <cell r="E346">
            <v>0.2952349288256228</v>
          </cell>
          <cell r="F346">
            <v>0.46988962633451953</v>
          </cell>
          <cell r="H346">
            <v>0.23487544483985762</v>
          </cell>
        </row>
        <row r="347">
          <cell r="B347" t="str">
            <v>REISSWOLF DÖKÜMAN YÖNETIMI HIZMETLERI A.S.</v>
          </cell>
          <cell r="C347" t="str">
            <v>SMB</v>
          </cell>
          <cell r="D347">
            <v>112.01872021398226</v>
          </cell>
          <cell r="G347">
            <v>0.8571667309764277</v>
          </cell>
          <cell r="H347">
            <v>0.14283326902357227</v>
          </cell>
        </row>
        <row r="348">
          <cell r="B348" t="str">
            <v>TOPCU DENTAL MEDİKAL SAN.TİC.LTD.ŞTİ</v>
          </cell>
          <cell r="C348" t="str">
            <v>SMB</v>
          </cell>
          <cell r="D348">
            <v>111.83206066666666</v>
          </cell>
          <cell r="E348">
            <v>0.22747015642640009</v>
          </cell>
          <cell r="F348">
            <v>0.32723181556206205</v>
          </cell>
          <cell r="H348">
            <v>0.44529802801153789</v>
          </cell>
        </row>
        <row r="349">
          <cell r="B349" t="str">
            <v>YAFES TEKNOLOJİ TİCARET LİMİTED ŞİRKETİ</v>
          </cell>
          <cell r="C349" t="str">
            <v>SMB</v>
          </cell>
          <cell r="D349">
            <v>111.41799708333335</v>
          </cell>
          <cell r="E349">
            <v>0.17854968470776636</v>
          </cell>
          <cell r="F349">
            <v>0.73169820825587528</v>
          </cell>
          <cell r="H349">
            <v>8.9752107036358372E-2</v>
          </cell>
        </row>
        <row r="350">
          <cell r="B350" t="str">
            <v>ARTROTEK TIBBİ MALZEME SANAYİ VE TİC.LTD.ŞTİ</v>
          </cell>
          <cell r="C350" t="str">
            <v>SMB</v>
          </cell>
          <cell r="D350">
            <v>110.50083333333333</v>
          </cell>
          <cell r="E350">
            <v>0.23051374122367099</v>
          </cell>
          <cell r="F350">
            <v>0.55420784307810655</v>
          </cell>
          <cell r="H350">
            <v>0.21527841569822245</v>
          </cell>
        </row>
        <row r="351">
          <cell r="B351" t="str">
            <v>SEMPOLY YAPI</v>
          </cell>
          <cell r="C351" t="str">
            <v>SMB</v>
          </cell>
          <cell r="D351">
            <v>110.00074016666666</v>
          </cell>
          <cell r="E351">
            <v>0.36504564595800953</v>
          </cell>
          <cell r="F351">
            <v>0.34926395366482094</v>
          </cell>
          <cell r="H351">
            <v>0.28569040037716958</v>
          </cell>
        </row>
        <row r="352">
          <cell r="B352" t="str">
            <v>DÖRTSAN GRUP HİDROLİK OTOMOTİV SAN. VE DIŞ TİC. LT</v>
          </cell>
          <cell r="C352" t="str">
            <v>SMB</v>
          </cell>
          <cell r="D352">
            <v>109.20697800000001</v>
          </cell>
          <cell r="E352">
            <v>0.33194680105514868</v>
          </cell>
          <cell r="F352">
            <v>0.36643587005951217</v>
          </cell>
          <cell r="H352">
            <v>0.30161732888533921</v>
          </cell>
        </row>
        <row r="353">
          <cell r="B353" t="str">
            <v>LEPO TEKNİK MÜHENDİSLİK MAKİNA MADEN SANAYİ VE TİC</v>
          </cell>
          <cell r="C353" t="str">
            <v>SMB</v>
          </cell>
          <cell r="D353">
            <v>108.33388224999999</v>
          </cell>
          <cell r="E353">
            <v>0.3451295881780021</v>
          </cell>
          <cell r="F353">
            <v>0.39053741963847455</v>
          </cell>
          <cell r="H353">
            <v>0.26433299218352346</v>
          </cell>
        </row>
        <row r="354">
          <cell r="B354" t="str">
            <v>KARACAYOL İNŞAAT MADENCİLİK TUR MAK SAN TİC LTD ŞT</v>
          </cell>
          <cell r="C354" t="str">
            <v>SMB</v>
          </cell>
          <cell r="D354">
            <v>108.33267625000001</v>
          </cell>
          <cell r="E354">
            <v>0.31535513659634773</v>
          </cell>
          <cell r="F354">
            <v>0.39736781634248597</v>
          </cell>
          <cell r="H354">
            <v>0.28727704706116619</v>
          </cell>
        </row>
        <row r="355">
          <cell r="B355" t="str">
            <v>SERET ET VE GIDA SAN. TİC. LTD. ŞTİ.</v>
          </cell>
          <cell r="C355" t="str">
            <v>SMB</v>
          </cell>
          <cell r="D355">
            <v>107.49944383333334</v>
          </cell>
          <cell r="E355">
            <v>0.29312166611937956</v>
          </cell>
          <cell r="F355">
            <v>0.32358582062927665</v>
          </cell>
          <cell r="H355">
            <v>0.38329251325134372</v>
          </cell>
        </row>
        <row r="356">
          <cell r="B356" t="str">
            <v>İWİS TAHRİK SİSTEMLERİ SAN.TİC.LTD.ŞTİ</v>
          </cell>
          <cell r="C356" t="str">
            <v>SMB</v>
          </cell>
          <cell r="D356">
            <v>106.20000000000003</v>
          </cell>
          <cell r="E356">
            <v>0.34879198367859382</v>
          </cell>
          <cell r="F356">
            <v>0.3840660648148147</v>
          </cell>
          <cell r="H356">
            <v>0.26714195150659126</v>
          </cell>
        </row>
        <row r="357">
          <cell r="B357" t="str">
            <v>ESENTEKS TEKSTİL SAN. VE TİC. LTD. ŞTİ.</v>
          </cell>
          <cell r="C357" t="str">
            <v>SMB</v>
          </cell>
          <cell r="D357">
            <v>106.19855383333335</v>
          </cell>
          <cell r="E357">
            <v>0.34878311580523508</v>
          </cell>
          <cell r="F357">
            <v>0.38407129486287739</v>
          </cell>
          <cell r="H357">
            <v>0.26714558933188731</v>
          </cell>
        </row>
        <row r="358">
          <cell r="B358" t="str">
            <v>ERGÜ AYDINLATMA ELEKTRIK HIRDAVAT INSAAT TAAHHÜT</v>
          </cell>
          <cell r="C358" t="str">
            <v>SMB</v>
          </cell>
          <cell r="D358">
            <v>106.185051</v>
          </cell>
          <cell r="E358">
            <v>0.42673843985816795</v>
          </cell>
          <cell r="F358">
            <v>0.53871709304919002</v>
          </cell>
          <cell r="H358">
            <v>3.4544467092641883E-2</v>
          </cell>
        </row>
        <row r="359">
          <cell r="B359" t="str">
            <v>ALACA YAZILIM VE TEKNOLOJİ SAN.TİC.LTD.ŞTİ.</v>
          </cell>
          <cell r="C359" t="str">
            <v>SMB</v>
          </cell>
          <cell r="D359">
            <v>105.99999999999997</v>
          </cell>
          <cell r="E359">
            <v>0.35358490566037748</v>
          </cell>
          <cell r="F359">
            <v>0.55207547169811333</v>
          </cell>
          <cell r="H359">
            <v>9.4339622641509455E-2</v>
          </cell>
        </row>
        <row r="360">
          <cell r="B360" t="str">
            <v>HALBACH TEKNOLOJİK BASKILAR SAN VE TİC LTD ŞTİ</v>
          </cell>
          <cell r="C360" t="str">
            <v>SMB</v>
          </cell>
          <cell r="D360">
            <v>105.00742299999999</v>
          </cell>
          <cell r="E360">
            <v>0.33166514332991487</v>
          </cell>
          <cell r="F360">
            <v>0.36613512551393629</v>
          </cell>
          <cell r="H360">
            <v>0.30219973115614884</v>
          </cell>
        </row>
        <row r="361">
          <cell r="B361" t="str">
            <v>MELTEM TURİZM NAKLİYAT OTO ALIM SATIM VE YEDEK PAR</v>
          </cell>
          <cell r="C361" t="str">
            <v>SMB</v>
          </cell>
          <cell r="D361">
            <v>104.99957408333331</v>
          </cell>
          <cell r="E361">
            <v>0.42487857028124826</v>
          </cell>
          <cell r="F361">
            <v>0.29809904093983997</v>
          </cell>
          <cell r="H361">
            <v>0.277022388778912</v>
          </cell>
        </row>
        <row r="362">
          <cell r="B362" t="str">
            <v>BİRZE MÜHENDİSLİK HİZMETLERİ SAN. TİC. LTD. ŞTİ.</v>
          </cell>
          <cell r="C362" t="str">
            <v>SMB</v>
          </cell>
          <cell r="D362">
            <v>104.99916674999997</v>
          </cell>
          <cell r="E362">
            <v>0.42487627407767026</v>
          </cell>
          <cell r="F362">
            <v>0.29810026167025128</v>
          </cell>
          <cell r="H362">
            <v>0.27702346425207869</v>
          </cell>
        </row>
        <row r="363">
          <cell r="B363" t="str">
            <v>NEU OTOMOTİV DÖVME ÇELİK SANAYİ VE TİCARET ANONİM</v>
          </cell>
          <cell r="C363" t="str">
            <v>SMB</v>
          </cell>
          <cell r="D363">
            <v>104.99916466666666</v>
          </cell>
          <cell r="E363">
            <v>0.42488421907889845</v>
          </cell>
          <cell r="F363">
            <v>0.29810024774355826</v>
          </cell>
          <cell r="H363">
            <v>0.27701553317754329</v>
          </cell>
        </row>
        <row r="364">
          <cell r="B364" t="str">
            <v>HANMEY TARIM ÜRÜNLERİ SANAYİ VE TİC.LTD.ŞTİ</v>
          </cell>
          <cell r="C364" t="str">
            <v>SMB</v>
          </cell>
          <cell r="D364">
            <v>103.20079458333332</v>
          </cell>
          <cell r="E364">
            <v>0.33166865595879003</v>
          </cell>
          <cell r="F364">
            <v>0.36620844654591589</v>
          </cell>
          <cell r="H364">
            <v>0.30212289749529425</v>
          </cell>
        </row>
        <row r="365">
          <cell r="B365" t="str">
            <v>KAYRA İPLİK A.Ş.</v>
          </cell>
          <cell r="C365" t="str">
            <v>SMB</v>
          </cell>
          <cell r="D365">
            <v>103.20000525</v>
          </cell>
          <cell r="E365">
            <v>0.3316885732425871</v>
          </cell>
          <cell r="F365">
            <v>0.3661610399966525</v>
          </cell>
          <cell r="H365">
            <v>0.30215038676076034</v>
          </cell>
        </row>
        <row r="366">
          <cell r="B366" t="str">
            <v>MİSBAHÇE GIDA VE TARIM ÜRÜNLERİ SAN.VE TİC.LTD.ŞTİ</v>
          </cell>
          <cell r="C366" t="str">
            <v>SMB</v>
          </cell>
          <cell r="D366">
            <v>103.19973758333335</v>
          </cell>
          <cell r="E366">
            <v>0.35898305510145384</v>
          </cell>
          <cell r="F366">
            <v>0.36613144779387036</v>
          </cell>
          <cell r="H366">
            <v>0.27488549710467564</v>
          </cell>
        </row>
        <row r="367">
          <cell r="B367" t="str">
            <v>EGEPAK AMBALAJ GIDA PAKETLEME SAN.VE TİC.LTD.ŞTİ</v>
          </cell>
          <cell r="C367" t="str">
            <v>SMB</v>
          </cell>
          <cell r="D367">
            <v>103.19938716666668</v>
          </cell>
          <cell r="E367">
            <v>0.33169055979681583</v>
          </cell>
          <cell r="F367">
            <v>0.36616318294900463</v>
          </cell>
          <cell r="H367">
            <v>0.30214625725417943</v>
          </cell>
        </row>
        <row r="368">
          <cell r="B368" t="str">
            <v>KARO PORSELEN SERAMİK PAZARLAMA TİC.A.Ş</v>
          </cell>
          <cell r="C368" t="str">
            <v>SMB</v>
          </cell>
          <cell r="D368">
            <v>103.19916675</v>
          </cell>
          <cell r="E368">
            <v>0.24259934976655226</v>
          </cell>
          <cell r="F368">
            <v>0.7574006502334476</v>
          </cell>
        </row>
        <row r="369">
          <cell r="B369" t="str">
            <v>BAYEDİ A.Ş</v>
          </cell>
          <cell r="C369" t="str">
            <v>SMB</v>
          </cell>
          <cell r="D369">
            <v>103.19903958333333</v>
          </cell>
          <cell r="E369">
            <v>0.24260772371932807</v>
          </cell>
          <cell r="F369">
            <v>0.75739227628067196</v>
          </cell>
        </row>
        <row r="370">
          <cell r="B370" t="str">
            <v>24 KARGO VE TAŞIMACILIK TİCARET A.Ş.</v>
          </cell>
          <cell r="C370" t="str">
            <v>SMB</v>
          </cell>
          <cell r="D370">
            <v>103.19787091666667</v>
          </cell>
          <cell r="E370">
            <v>0.4192873662572032</v>
          </cell>
          <cell r="F370">
            <v>0.36613302836946193</v>
          </cell>
          <cell r="H370">
            <v>0.21457960537333468</v>
          </cell>
        </row>
        <row r="371">
          <cell r="B371" t="str">
            <v>JANUS BARKOD TEKNOLOJİLERİ VE TURİZM SAN.TİC.LTD.Ş</v>
          </cell>
          <cell r="C371" t="str">
            <v>SMB</v>
          </cell>
          <cell r="D371">
            <v>103.18321099999999</v>
          </cell>
          <cell r="E371">
            <v>0.29737402725332907</v>
          </cell>
          <cell r="F371">
            <v>0.43173430607814683</v>
          </cell>
          <cell r="H371">
            <v>0.27089166666852421</v>
          </cell>
        </row>
        <row r="372">
          <cell r="B372" t="str">
            <v>İGGNİTA MAKİNA SAN. VE TİC. A. Ş.</v>
          </cell>
          <cell r="C372" t="str">
            <v>SMB</v>
          </cell>
          <cell r="D372">
            <v>102.99999999999999</v>
          </cell>
          <cell r="E372">
            <v>0.33168859223300973</v>
          </cell>
          <cell r="F372">
            <v>0.36616100970873788</v>
          </cell>
          <cell r="H372">
            <v>0.30215039805825245</v>
          </cell>
        </row>
        <row r="373">
          <cell r="B373" t="str">
            <v>BERSAY İLETİŞİM DANIŞMANLIĞI TİC.A.Ş</v>
          </cell>
          <cell r="C373" t="str">
            <v>SMB</v>
          </cell>
          <cell r="D373">
            <v>102.99941425000002</v>
          </cell>
          <cell r="E373">
            <v>0.33172092691455929</v>
          </cell>
          <cell r="F373">
            <v>0.36614036051827992</v>
          </cell>
          <cell r="H373">
            <v>0.30213871256716068</v>
          </cell>
        </row>
        <row r="374">
          <cell r="B374" t="str">
            <v>WEDİACORP TEKNOLOJİ MEDYA İLETİŞİM TURİZM SANAYİ V</v>
          </cell>
          <cell r="C374" t="str">
            <v>SMB</v>
          </cell>
          <cell r="D374">
            <v>102.99921575</v>
          </cell>
          <cell r="E374">
            <v>0.33083275765945169</v>
          </cell>
          <cell r="F374">
            <v>0.36701454043190934</v>
          </cell>
          <cell r="H374">
            <v>0.30215270190863885</v>
          </cell>
        </row>
        <row r="375">
          <cell r="B375" t="str">
            <v>YEYKİM QUATTRO YAPI ENDÜSTRİ KİMYA SANAYİ VE TİCAR</v>
          </cell>
          <cell r="C375" t="str">
            <v>SMB</v>
          </cell>
          <cell r="D375">
            <v>102.99908625</v>
          </cell>
          <cell r="E375">
            <v>0.33168269571258779</v>
          </cell>
          <cell r="F375">
            <v>0.36616422248438468</v>
          </cell>
          <cell r="H375">
            <v>0.30215308180302747</v>
          </cell>
        </row>
        <row r="376">
          <cell r="B376" t="str">
            <v>CVS HAVALANDIRMA SİSTEMLERİ SAN.VE TİC.A.Ş.</v>
          </cell>
          <cell r="C376" t="str">
            <v>SMB</v>
          </cell>
          <cell r="D376">
            <v>102.32954608333333</v>
          </cell>
          <cell r="E376">
            <v>0.28382515879641029</v>
          </cell>
          <cell r="F376">
            <v>0.40602128945402433</v>
          </cell>
          <cell r="H376">
            <v>0.31015355174956549</v>
          </cell>
        </row>
        <row r="377">
          <cell r="B377" t="str">
            <v>ATLAS PSA OTOMOTİV YED. PAR. İNŞ. SAN. VE TİC. LTD</v>
          </cell>
          <cell r="C377" t="str">
            <v>SMB</v>
          </cell>
          <cell r="D377">
            <v>101.99965974999999</v>
          </cell>
          <cell r="E377">
            <v>0.33168319384189582</v>
          </cell>
          <cell r="F377">
            <v>0.3661713244097366</v>
          </cell>
          <cell r="H377">
            <v>0.30214548174836764</v>
          </cell>
        </row>
        <row r="378">
          <cell r="B378" t="str">
            <v>SMMM RECEP ÇETİN</v>
          </cell>
          <cell r="C378" t="str">
            <v>SMB</v>
          </cell>
          <cell r="D378">
            <v>101.8281965</v>
          </cell>
          <cell r="E378">
            <v>0.28544583097537884</v>
          </cell>
          <cell r="F378">
            <v>0.40304721656016623</v>
          </cell>
          <cell r="H378">
            <v>0.31150695246445481</v>
          </cell>
        </row>
        <row r="379">
          <cell r="B379" t="str">
            <v>ÖZSAĞDIÇLAR</v>
          </cell>
          <cell r="C379" t="str">
            <v>SMB</v>
          </cell>
          <cell r="D379">
            <v>101.0723571443588</v>
          </cell>
          <cell r="E379">
            <v>0.39748601082337875</v>
          </cell>
          <cell r="F379">
            <v>0.47518813484862882</v>
          </cell>
          <cell r="H379">
            <v>0.12732585432799226</v>
          </cell>
        </row>
        <row r="380">
          <cell r="B380" t="str">
            <v>PRODIGITAL - P REKLAM ÜRÜNLERİ SATIŞ VE UYGULAMA L</v>
          </cell>
          <cell r="C380" t="str">
            <v>SMB</v>
          </cell>
          <cell r="D380">
            <v>100.00088591666668</v>
          </cell>
          <cell r="E380">
            <v>0.29239345963760882</v>
          </cell>
          <cell r="F380">
            <v>0.38807641863299458</v>
          </cell>
          <cell r="H380">
            <v>0.3195301217293966</v>
          </cell>
        </row>
        <row r="381">
          <cell r="B381" t="str">
            <v>BTYÖN TEKNOLOJİ A.Ş.</v>
          </cell>
          <cell r="C381" t="str">
            <v>SMB</v>
          </cell>
          <cell r="D381">
            <v>99.999821249999997</v>
          </cell>
          <cell r="E381">
            <v>0.35376666652458305</v>
          </cell>
          <cell r="F381">
            <v>0.54623315472509737</v>
          </cell>
          <cell r="H381">
            <v>0.10000017875031952</v>
          </cell>
        </row>
        <row r="382">
          <cell r="B382" t="str">
            <v>TAZE DÜNYA GIDA SANAYİ VE TİCARET A.Ş.</v>
          </cell>
          <cell r="C382" t="str">
            <v>SMB</v>
          </cell>
          <cell r="D382">
            <v>99.333333416666676</v>
          </cell>
          <cell r="E382">
            <v>0.29239604925134555</v>
          </cell>
          <cell r="F382">
            <v>0.38807985705697989</v>
          </cell>
          <cell r="H382">
            <v>0.31952409369167439</v>
          </cell>
        </row>
        <row r="383">
          <cell r="B383" t="str">
            <v>ESAYAN GRUP İNŞAAT AMBALAJ PEYZAJ TURİZM TAŞ. GERİ</v>
          </cell>
          <cell r="C383" t="str">
            <v>SMB</v>
          </cell>
          <cell r="D383">
            <v>99.330297000000016</v>
          </cell>
          <cell r="E383">
            <v>0.29240498747325799</v>
          </cell>
          <cell r="F383">
            <v>0.38809172022644134</v>
          </cell>
          <cell r="H383">
            <v>0.3195032923003005</v>
          </cell>
        </row>
        <row r="384">
          <cell r="B384" t="str">
            <v>BİLİRA TEKNOLOJİ ANONİM ŞİRKETİ</v>
          </cell>
          <cell r="C384" t="str">
            <v>SMB</v>
          </cell>
          <cell r="D384">
            <v>99.330196583333347</v>
          </cell>
          <cell r="E384">
            <v>0.29237370238131816</v>
          </cell>
          <cell r="F384">
            <v>0.38809211256309467</v>
          </cell>
          <cell r="H384">
            <v>0.31953418505558689</v>
          </cell>
        </row>
        <row r="385">
          <cell r="B385" t="str">
            <v>TİRYAKİ KALIP  PLASTİK METAL İMALAT SAN. VE TİC. L</v>
          </cell>
          <cell r="C385" t="str">
            <v>SMB</v>
          </cell>
          <cell r="D385">
            <v>99.33</v>
          </cell>
          <cell r="F385">
            <v>1</v>
          </cell>
        </row>
        <row r="386">
          <cell r="B386" t="str">
            <v>MARKAHUB TEKSTİL</v>
          </cell>
          <cell r="C386" t="str">
            <v>SMB</v>
          </cell>
          <cell r="D386">
            <v>99.33</v>
          </cell>
          <cell r="F386">
            <v>1</v>
          </cell>
        </row>
        <row r="387">
          <cell r="B387" t="str">
            <v>BUSEM HEDİYELİK EŞYA VE METAL SAN. TİC. LTD. ŞTİ.</v>
          </cell>
          <cell r="C387" t="str">
            <v>SMB</v>
          </cell>
          <cell r="D387">
            <v>99.328718583333341</v>
          </cell>
          <cell r="E387">
            <v>0.29239143687969804</v>
          </cell>
          <cell r="F387">
            <v>0.3880824075834603</v>
          </cell>
          <cell r="H387">
            <v>0.31952615553684155</v>
          </cell>
        </row>
        <row r="388">
          <cell r="B388" t="str">
            <v>ERDOĞANLAR OTOMOTİV MAK SAN. TİC. LTD. ŞTİ.</v>
          </cell>
          <cell r="C388" t="str">
            <v>SMB</v>
          </cell>
          <cell r="D388">
            <v>98.999135416666647</v>
          </cell>
          <cell r="E388">
            <v>0.29239860238678439</v>
          </cell>
          <cell r="F388">
            <v>0.38808324778088876</v>
          </cell>
          <cell r="H388">
            <v>0.31951814983232707</v>
          </cell>
        </row>
        <row r="389">
          <cell r="B389" t="str">
            <v>ARON MIMARLIK</v>
          </cell>
          <cell r="C389" t="str">
            <v>SMB</v>
          </cell>
          <cell r="D389">
            <v>97.169755687946832</v>
          </cell>
          <cell r="E389">
            <v>0.16049902720461262</v>
          </cell>
          <cell r="F389">
            <v>0.58680489093476218</v>
          </cell>
          <cell r="H389">
            <v>0.2526960818606252</v>
          </cell>
        </row>
        <row r="390">
          <cell r="B390" t="str">
            <v>KIYI RESTORANT TURIZM GIDA LTD.STI.</v>
          </cell>
          <cell r="C390" t="str">
            <v>SMB</v>
          </cell>
          <cell r="D390">
            <v>96.23</v>
          </cell>
          <cell r="E390">
            <v>0.13831653330562196</v>
          </cell>
          <cell r="F390">
            <v>0.56375142886833629</v>
          </cell>
          <cell r="H390">
            <v>0.29793203782604177</v>
          </cell>
        </row>
        <row r="391">
          <cell r="B391" t="str">
            <v>DORUK SOĞUTMA SİSTEMLERİ SAN.VE TİCARETLTD.ŞTİ</v>
          </cell>
          <cell r="C391" t="str">
            <v>SMB</v>
          </cell>
          <cell r="D391">
            <v>96.057199999999995</v>
          </cell>
          <cell r="E391">
            <v>5.3961597881262417E-2</v>
          </cell>
          <cell r="F391">
            <v>0.579894063120724</v>
          </cell>
          <cell r="H391">
            <v>0.36614433899801369</v>
          </cell>
        </row>
        <row r="392">
          <cell r="B392" t="str">
            <v>SİMURG İLAÇ KİMYA SAN. TİC. LTD. ŞTİ.</v>
          </cell>
          <cell r="C392" t="str">
            <v>SMB</v>
          </cell>
          <cell r="D392">
            <v>94.998424916666664</v>
          </cell>
          <cell r="E392">
            <v>0.29240089707838218</v>
          </cell>
          <cell r="F392">
            <v>0.38808629142017032</v>
          </cell>
          <cell r="H392">
            <v>0.31951281150144756</v>
          </cell>
        </row>
        <row r="393">
          <cell r="B393" t="str">
            <v>EFEX ELEKTRİK MÜHENDİSLİK OTOMASYON</v>
          </cell>
          <cell r="C393" t="str">
            <v>SMB</v>
          </cell>
          <cell r="D393">
            <v>94.083333333333329</v>
          </cell>
          <cell r="F393">
            <v>1</v>
          </cell>
        </row>
        <row r="394">
          <cell r="B394" t="str">
            <v>Özdemir Çelik Konstrüksiyon İmalat Montaj Sanayi</v>
          </cell>
          <cell r="C394" t="str">
            <v>SMB</v>
          </cell>
          <cell r="D394">
            <v>93.876662166666662</v>
          </cell>
          <cell r="E394">
            <v>0.28772403910902439</v>
          </cell>
          <cell r="F394">
            <v>0.39785734339762857</v>
          </cell>
          <cell r="H394">
            <v>0.3144186174933471</v>
          </cell>
        </row>
        <row r="395">
          <cell r="B395" t="str">
            <v>UÇARLAR TİC. KOLL.ŞTİ</v>
          </cell>
          <cell r="C395" t="str">
            <v>SMB</v>
          </cell>
          <cell r="D395">
            <v>93.33359691666665</v>
          </cell>
          <cell r="E395">
            <v>0.2923960590636297</v>
          </cell>
          <cell r="F395">
            <v>0.38807983616381986</v>
          </cell>
          <cell r="H395">
            <v>0.31952410477255055</v>
          </cell>
        </row>
        <row r="396">
          <cell r="B396" t="str">
            <v>AVM LOJİSTİK TİCARET ANONİM ŞİRKETİ</v>
          </cell>
          <cell r="C396" t="str">
            <v>SMB</v>
          </cell>
          <cell r="D396">
            <v>89.603333333333325</v>
          </cell>
          <cell r="F396">
            <v>1</v>
          </cell>
        </row>
        <row r="397">
          <cell r="B397" t="str">
            <v>ALL PARTS OTOMOTİV VE DIŞ TİC. LTD.ŞTİ</v>
          </cell>
          <cell r="C397" t="str">
            <v>SMB</v>
          </cell>
          <cell r="D397">
            <v>88.500833416666666</v>
          </cell>
          <cell r="E397">
            <v>0.3223252367469937</v>
          </cell>
          <cell r="F397">
            <v>0.38406244726126643</v>
          </cell>
          <cell r="H397">
            <v>0.29361231599173993</v>
          </cell>
        </row>
        <row r="398">
          <cell r="B398" t="str">
            <v>UNNOX GROUP</v>
          </cell>
          <cell r="C398" t="str">
            <v>SMB</v>
          </cell>
          <cell r="D398">
            <v>86.416666666666657</v>
          </cell>
          <cell r="E398">
            <v>0.69431051108968189</v>
          </cell>
          <cell r="H398">
            <v>0.30568948891031827</v>
          </cell>
        </row>
        <row r="399">
          <cell r="B399" t="str">
            <v>BURSA KAYNAK MAKİNE İNŞAAT YEDEK PARÇA NAKLİYE VE</v>
          </cell>
          <cell r="C399" t="str">
            <v>SMB</v>
          </cell>
          <cell r="D399">
            <v>86.001364833333341</v>
          </cell>
          <cell r="E399">
            <v>0.32855107557217472</v>
          </cell>
          <cell r="F399">
            <v>0.36805287599805897</v>
          </cell>
          <cell r="H399">
            <v>0.30339604842976625</v>
          </cell>
        </row>
        <row r="400">
          <cell r="B400" t="str">
            <v>EVRENSEL MEKANIK İZOLASYON İNŞAAT SAN.TİC.LTD.ŞTİ.</v>
          </cell>
          <cell r="C400" t="str">
            <v>SMB</v>
          </cell>
          <cell r="D400">
            <v>86.000904750000004</v>
          </cell>
          <cell r="E400">
            <v>0.33168510067331586</v>
          </cell>
          <cell r="F400">
            <v>0.36616767685807394</v>
          </cell>
          <cell r="H400">
            <v>0.30214722246861014</v>
          </cell>
        </row>
        <row r="401">
          <cell r="B401" t="str">
            <v>SARAN GIDA TEKSTİL İNŞAAT.SAN.VE DIŞ.TİC.LTD.ŞTİ.</v>
          </cell>
          <cell r="C401" t="str">
            <v>SMB</v>
          </cell>
          <cell r="D401">
            <v>86.000882333333323</v>
          </cell>
          <cell r="E401">
            <v>0.33169544768275194</v>
          </cell>
          <cell r="F401">
            <v>0.36615725109207897</v>
          </cell>
          <cell r="H401">
            <v>0.30214730122516925</v>
          </cell>
        </row>
        <row r="402">
          <cell r="B402" t="str">
            <v>ORONTES GIDA SANAYİ VE TİCARET A.Ş</v>
          </cell>
          <cell r="C402" t="str">
            <v>SMB</v>
          </cell>
          <cell r="D402">
            <v>86.000503166666675</v>
          </cell>
          <cell r="E402">
            <v>0.29239433868506104</v>
          </cell>
          <cell r="F402">
            <v>0.38807758700342021</v>
          </cell>
          <cell r="H402">
            <v>0.31952807431151869</v>
          </cell>
        </row>
        <row r="403">
          <cell r="B403" t="str">
            <v>CAREWIND RÜZGAR TÜRBİNLERİ MONTAJ BAKIM VE SERVİS</v>
          </cell>
          <cell r="C403" t="str">
            <v>SMB</v>
          </cell>
          <cell r="D403">
            <v>86.000461583333333</v>
          </cell>
          <cell r="E403">
            <v>0.33168680987089161</v>
          </cell>
          <cell r="F403">
            <v>0.36615904248552683</v>
          </cell>
          <cell r="H403">
            <v>0.30215414764358162</v>
          </cell>
        </row>
        <row r="404">
          <cell r="B404" t="str">
            <v>PUCK GLOBAL -  MUZIP PERI REKLAM TANITIM HIZ. A.Ş.</v>
          </cell>
          <cell r="C404" t="str">
            <v>SMB</v>
          </cell>
          <cell r="D404">
            <v>86.000461416666667</v>
          </cell>
          <cell r="E404">
            <v>0.33168681051369203</v>
          </cell>
          <cell r="F404">
            <v>0.36615904319513359</v>
          </cell>
          <cell r="H404">
            <v>0.30215414629117443</v>
          </cell>
        </row>
        <row r="405">
          <cell r="B405" t="str">
            <v>ÇELİK KULE METALÜRJİ SAN.VE TİC.LTD.ŞTİ</v>
          </cell>
          <cell r="C405" t="str">
            <v>SMB</v>
          </cell>
          <cell r="D405">
            <v>86.000461416666653</v>
          </cell>
          <cell r="E405">
            <v>0.33168681051369209</v>
          </cell>
          <cell r="F405">
            <v>0.36615904319513365</v>
          </cell>
          <cell r="H405">
            <v>0.30215414629117449</v>
          </cell>
        </row>
        <row r="406">
          <cell r="B406" t="str">
            <v>EMG GÜÇ VE ENERJİ SİST YAPI MALZİ İTH.İHRTİC LTD Ş</v>
          </cell>
          <cell r="C406" t="str">
            <v>SMB</v>
          </cell>
          <cell r="D406">
            <v>86</v>
          </cell>
          <cell r="F406">
            <v>1</v>
          </cell>
        </row>
        <row r="407">
          <cell r="B407" t="str">
            <v>CD VİNÇ TEKSTİL MAKİNA SAN. VE TİC LTD. ŞTİ.</v>
          </cell>
          <cell r="C407" t="str">
            <v>SMB</v>
          </cell>
          <cell r="D407">
            <v>85.999999916666653</v>
          </cell>
          <cell r="E407">
            <v>0.3589312862005149</v>
          </cell>
          <cell r="F407">
            <v>0.36616100810674523</v>
          </cell>
          <cell r="H407">
            <v>0.27490770569274009</v>
          </cell>
        </row>
        <row r="408">
          <cell r="B408" t="str">
            <v>BİGADİÇ ÜNAL GIDA TUR.SU ÜRN.HAY.KUY.DAYANIKLI TÜK</v>
          </cell>
          <cell r="C408" t="str">
            <v>SMB</v>
          </cell>
          <cell r="D408">
            <v>85.967128999999986</v>
          </cell>
          <cell r="E408">
            <v>0.33181541982168561</v>
          </cell>
          <cell r="F408">
            <v>0.36630101954434241</v>
          </cell>
          <cell r="H408">
            <v>0.30188356063397215</v>
          </cell>
        </row>
        <row r="409">
          <cell r="B409" t="str">
            <v>BUDDY DIŞ TİCARET SAN. A.Ş</v>
          </cell>
          <cell r="C409" t="str">
            <v>SMB</v>
          </cell>
          <cell r="D409">
            <v>85.967128999999986</v>
          </cell>
          <cell r="E409">
            <v>0.33181541982168561</v>
          </cell>
          <cell r="F409">
            <v>0.36630101954434235</v>
          </cell>
          <cell r="H409">
            <v>0.30188356063397215</v>
          </cell>
        </row>
        <row r="410">
          <cell r="B410" t="str">
            <v>LAYDA BİLGİSAYAR YAZILIM ve DANIŞMANLIK LTD.ŞTİ.</v>
          </cell>
          <cell r="C410" t="str">
            <v>SMB</v>
          </cell>
          <cell r="D410">
            <v>80.010002</v>
          </cell>
          <cell r="E410">
            <v>0.38427530597986986</v>
          </cell>
          <cell r="F410">
            <v>0.45951851119813747</v>
          </cell>
          <cell r="H410">
            <v>0.15620618282199267</v>
          </cell>
        </row>
        <row r="411">
          <cell r="B411" t="str">
            <v>CİTİX İST BİLİŞİM REKLAMCILIK TİCARET A.Ş</v>
          </cell>
          <cell r="C411" t="str">
            <v>SMB</v>
          </cell>
          <cell r="D411">
            <v>79.666666666666671</v>
          </cell>
          <cell r="F411">
            <v>1</v>
          </cell>
        </row>
        <row r="412">
          <cell r="B412" t="str">
            <v>AGS.AKIN YANGIN SÖNDÜRME CİHAZLARI VE GÜVENLİK SİS</v>
          </cell>
          <cell r="C412" t="str">
            <v>SMB</v>
          </cell>
          <cell r="D412">
            <v>78.836446060119442</v>
          </cell>
          <cell r="E412">
            <v>0.35381956924133623</v>
          </cell>
          <cell r="F412">
            <v>0.42308902736429604</v>
          </cell>
          <cell r="H412">
            <v>0.2230914033943677</v>
          </cell>
        </row>
        <row r="413">
          <cell r="B413" t="str">
            <v>GÜLER MOBİLYA VE BEYAZ EŞYA - HASAN GÜLER</v>
          </cell>
          <cell r="C413" t="str">
            <v>SMB</v>
          </cell>
          <cell r="D413">
            <v>75.00136508333334</v>
          </cell>
          <cell r="E413">
            <v>0.33150349737912155</v>
          </cell>
          <cell r="F413">
            <v>0.36615009788360725</v>
          </cell>
          <cell r="H413">
            <v>0.30234640473727109</v>
          </cell>
        </row>
        <row r="414">
          <cell r="B414" t="str">
            <v>REFORM CNC,LOJISTIK VE GERI DÖNÜSÜM SISTEMLERI GÖR</v>
          </cell>
          <cell r="C414" t="str">
            <v>SMB</v>
          </cell>
          <cell r="D414">
            <v>75</v>
          </cell>
          <cell r="H414">
            <v>1</v>
          </cell>
        </row>
        <row r="415">
          <cell r="B415" t="str">
            <v>ADA GROUP MEKANİK VE MÜHENDİSLİK İNŞAAT SAN.LTD.ŞT</v>
          </cell>
          <cell r="C415" t="str">
            <v>SMB</v>
          </cell>
          <cell r="D415">
            <v>74.99832825</v>
          </cell>
          <cell r="E415">
            <v>0.33223182655852512</v>
          </cell>
          <cell r="F415">
            <v>0.36586283619372995</v>
          </cell>
          <cell r="H415">
            <v>0.30190533724774504</v>
          </cell>
        </row>
        <row r="416">
          <cell r="B416" t="str">
            <v>KHD ELEKTRONİK LTD. ŞTİ.</v>
          </cell>
          <cell r="C416" t="str">
            <v>SMB</v>
          </cell>
          <cell r="D416">
            <v>74.166668083333334</v>
          </cell>
          <cell r="E416">
            <v>0.3316885835520158</v>
          </cell>
          <cell r="F416">
            <v>0.36616102334299166</v>
          </cell>
          <cell r="H416">
            <v>0.30215039310499253</v>
          </cell>
        </row>
        <row r="417">
          <cell r="B417" t="str">
            <v>DERTEC ELEKTRONIK SES ISIK GÖRÜNTÜ SIS.SAN.TIC.LTD</v>
          </cell>
          <cell r="C417" t="str">
            <v>SMB</v>
          </cell>
          <cell r="D417">
            <v>73.44</v>
          </cell>
          <cell r="H417">
            <v>1</v>
          </cell>
        </row>
        <row r="418">
          <cell r="B418" t="str">
            <v>PUSULA GÖRSEL VE DIJITAL PLATFORM LTD.STI.</v>
          </cell>
          <cell r="C418" t="str">
            <v>SMB</v>
          </cell>
          <cell r="D418">
            <v>70.180172785181668</v>
          </cell>
          <cell r="E418">
            <v>8.3398813558255638E-2</v>
          </cell>
          <cell r="F418">
            <v>0.36350602257546411</v>
          </cell>
          <cell r="H418">
            <v>0.55309516386628022</v>
          </cell>
        </row>
        <row r="419">
          <cell r="B419" t="str">
            <v>DİNAMİK BARKOD OTOMASYON YAZILIM MÜHENDİSLİK BİLİŞ</v>
          </cell>
          <cell r="C419" t="str">
            <v>SMB</v>
          </cell>
          <cell r="D419">
            <v>70.000350416666663</v>
          </cell>
          <cell r="E419">
            <v>0.28457955993208389</v>
          </cell>
          <cell r="F419">
            <v>0.45664584976690686</v>
          </cell>
          <cell r="H419">
            <v>0.25877459030100924</v>
          </cell>
        </row>
        <row r="420">
          <cell r="B420" t="str">
            <v>ŞAHİNLER MOTORLU ARAÇLAR SAN.VE TİC. A.Ş</v>
          </cell>
          <cell r="C420" t="str">
            <v>SMB</v>
          </cell>
          <cell r="D420">
            <v>70</v>
          </cell>
          <cell r="E420">
            <v>0.35714285714285715</v>
          </cell>
          <cell r="F420">
            <v>0.42857142857142855</v>
          </cell>
          <cell r="H420">
            <v>0.21428571428571427</v>
          </cell>
        </row>
        <row r="421">
          <cell r="B421" t="str">
            <v>HAS PORTFÖY YÖNETİMİ A.Ş</v>
          </cell>
          <cell r="C421" t="str">
            <v>SMB</v>
          </cell>
          <cell r="D421">
            <v>65</v>
          </cell>
          <cell r="E421">
            <v>0.23076923076923078</v>
          </cell>
          <cell r="F421">
            <v>0.30769230769230771</v>
          </cell>
          <cell r="H421">
            <v>0.46153846153846156</v>
          </cell>
        </row>
        <row r="422">
          <cell r="B422" t="str">
            <v>BEREKET LIFE TEKSTİL MEFRUŞAT SAN. ve TİC. LTD. ŞT</v>
          </cell>
          <cell r="C422" t="str">
            <v>SMB</v>
          </cell>
          <cell r="D422">
            <v>62.997876999999988</v>
          </cell>
          <cell r="E422">
            <v>0.33169976902554993</v>
          </cell>
          <cell r="F422">
            <v>0.36617334871988366</v>
          </cell>
          <cell r="H422">
            <v>0.30212688225456663</v>
          </cell>
        </row>
        <row r="423">
          <cell r="B423" t="str">
            <v>NEPROTECH YAZILIM VE BILGI TEKNOLOJILERI</v>
          </cell>
          <cell r="C423" t="str">
            <v>SMB</v>
          </cell>
          <cell r="D423">
            <v>62.584356916666664</v>
          </cell>
          <cell r="E423">
            <v>0.27863007401704509</v>
          </cell>
          <cell r="F423">
            <v>0.4171724339161042</v>
          </cell>
          <cell r="H423">
            <v>0.30419749206685082</v>
          </cell>
        </row>
        <row r="424">
          <cell r="B424" t="str">
            <v>ZNN GIRISIM DANISMANLIK NURGÜL SENEFE MUSTAFAOGLU</v>
          </cell>
          <cell r="C424" t="str">
            <v>SMB</v>
          </cell>
          <cell r="D424">
            <v>61.5</v>
          </cell>
          <cell r="H424">
            <v>1</v>
          </cell>
        </row>
        <row r="425">
          <cell r="B425" t="str">
            <v>ABİDA BİLİŞİM TEKNOLOJİLERİ DANIŞMANLIK AŞ.</v>
          </cell>
          <cell r="C425" t="str">
            <v>SMB</v>
          </cell>
          <cell r="D425">
            <v>60</v>
          </cell>
          <cell r="E425">
            <v>0.29399999999999998</v>
          </cell>
          <cell r="F425">
            <v>0.20599999999999999</v>
          </cell>
          <cell r="H425">
            <v>0.5</v>
          </cell>
        </row>
        <row r="426">
          <cell r="B426" t="str">
            <v>Hündür Bilişim Teknolojileri Yaz. ve Dan.Hiz.Tic.L</v>
          </cell>
          <cell r="C426" t="str">
            <v>SMB</v>
          </cell>
          <cell r="D426">
            <v>60</v>
          </cell>
          <cell r="H426">
            <v>1</v>
          </cell>
        </row>
        <row r="427">
          <cell r="B427" t="str">
            <v>Acr Naturel Gıda Pazarlama Sanayi Ve Ticaret Limit</v>
          </cell>
          <cell r="C427" t="str">
            <v>SMB</v>
          </cell>
          <cell r="D427">
            <v>60</v>
          </cell>
          <cell r="E427">
            <v>1</v>
          </cell>
        </row>
        <row r="428">
          <cell r="B428" t="str">
            <v>İZKA TEMİZLİK GIDA ÜRÜNLERİ PAZARLAMA SAN. VE TİC.</v>
          </cell>
          <cell r="C428" t="str">
            <v>SMB</v>
          </cell>
          <cell r="D428">
            <v>58.999418916666656</v>
          </cell>
          <cell r="E428">
            <v>0.33169185577303717</v>
          </cell>
          <cell r="F428">
            <v>0.36615476581522888</v>
          </cell>
          <cell r="H428">
            <v>0.30215337841173406</v>
          </cell>
        </row>
        <row r="429">
          <cell r="B429" t="str">
            <v>BRAVO YAZILIM VE DANIŞMANLIK HİZM. İÇ VE DIŞ TİC</v>
          </cell>
          <cell r="C429" t="str">
            <v>SMB</v>
          </cell>
          <cell r="D429">
            <v>54.999376833333336</v>
          </cell>
          <cell r="E429">
            <v>0.35885869779597285</v>
          </cell>
          <cell r="F429">
            <v>0.36620249009427408</v>
          </cell>
          <cell r="H429">
            <v>0.27493881210975296</v>
          </cell>
        </row>
        <row r="430">
          <cell r="B430" t="str">
            <v>KASTAS</v>
          </cell>
          <cell r="C430" t="str">
            <v>SMB</v>
          </cell>
          <cell r="D430">
            <v>54</v>
          </cell>
          <cell r="E430">
            <v>0.99166666666666659</v>
          </cell>
          <cell r="F430">
            <v>8.3333333333333332E-3</v>
          </cell>
          <cell r="H430">
            <v>0</v>
          </cell>
        </row>
        <row r="431">
          <cell r="B431" t="str">
            <v>2 DESIGN MIMARLIK INS. SAN. VE TIC. A.S.</v>
          </cell>
          <cell r="C431" t="str">
            <v>SMB</v>
          </cell>
          <cell r="D431">
            <v>49.666666666666664</v>
          </cell>
          <cell r="H431">
            <v>1</v>
          </cell>
        </row>
        <row r="432">
          <cell r="B432" t="str">
            <v>E SİM TELEKOMÜNİKASYON LİMİTED SİRKETİ</v>
          </cell>
          <cell r="C432" t="str">
            <v>SMB</v>
          </cell>
          <cell r="D432">
            <v>48.5</v>
          </cell>
          <cell r="H432">
            <v>1</v>
          </cell>
        </row>
        <row r="433">
          <cell r="B433" t="str">
            <v>OPTIMUSFLOW YAZILIM - BARIS GÜLEÇYÜZ</v>
          </cell>
          <cell r="C433" t="str">
            <v>SMB</v>
          </cell>
          <cell r="D433">
            <v>44.39078363404375</v>
          </cell>
          <cell r="E433">
            <v>8.3385868936927149E-2</v>
          </cell>
          <cell r="F433">
            <v>0.36169573465511073</v>
          </cell>
          <cell r="H433">
            <v>0.55491839640796214</v>
          </cell>
        </row>
        <row r="434">
          <cell r="B434" t="str">
            <v>MEDİCANA HASTANE İŞLETMECİLİĞİ A.Ş.</v>
          </cell>
          <cell r="C434" t="str">
            <v>ENTERPRISE</v>
          </cell>
          <cell r="D434">
            <v>39.75</v>
          </cell>
          <cell r="H434">
            <v>1</v>
          </cell>
        </row>
        <row r="435">
          <cell r="B435" t="str">
            <v>CONVERGING EUROPE FUND III MANAGEMENT</v>
          </cell>
          <cell r="C435" t="str">
            <v>SMB</v>
          </cell>
          <cell r="D435">
            <v>37.5</v>
          </cell>
          <cell r="H435">
            <v>1</v>
          </cell>
        </row>
        <row r="436">
          <cell r="B436" t="str">
            <v>ARI DÖKÜM MAK.SAN.VE TIC.LTD.STI.</v>
          </cell>
          <cell r="C436" t="str">
            <v>SMB</v>
          </cell>
          <cell r="D436">
            <v>30.725990452302749</v>
          </cell>
          <cell r="E436">
            <v>1</v>
          </cell>
        </row>
        <row r="437">
          <cell r="B437" t="str">
            <v>ERDE DIŞ TİCARET LTD.  ŞTİ.</v>
          </cell>
          <cell r="C437" t="str">
            <v>SMB</v>
          </cell>
          <cell r="D437">
            <v>28</v>
          </cell>
          <cell r="F437">
            <v>1</v>
          </cell>
        </row>
        <row r="438">
          <cell r="B438" t="str">
            <v>ZAMIL GROUP TURKEY INS.TURIZM VE ENDUSTRIYEL YATIR</v>
          </cell>
          <cell r="C438" t="str">
            <v>SMB</v>
          </cell>
          <cell r="D438">
            <v>27.234466666666666</v>
          </cell>
          <cell r="H438">
            <v>1</v>
          </cell>
        </row>
        <row r="439">
          <cell r="B439" t="str">
            <v>TREO BİLGİ TEKNOLOJİLERİ</v>
          </cell>
          <cell r="C439" t="str">
            <v>SMB</v>
          </cell>
          <cell r="D439">
            <v>25</v>
          </cell>
          <cell r="H439">
            <v>1</v>
          </cell>
        </row>
        <row r="440">
          <cell r="B440" t="str">
            <v>INCOMET INSAAT SAN. VE TIC. LTD.STI.</v>
          </cell>
          <cell r="C440" t="str">
            <v>SMB</v>
          </cell>
          <cell r="D440">
            <v>24</v>
          </cell>
          <cell r="H440">
            <v>1</v>
          </cell>
        </row>
        <row r="441">
          <cell r="B441" t="str">
            <v>BOĞAZİÇİ SİGORTA</v>
          </cell>
          <cell r="C441" t="str">
            <v>SMB</v>
          </cell>
          <cell r="D441">
            <v>24</v>
          </cell>
          <cell r="F441">
            <v>1</v>
          </cell>
        </row>
        <row r="442">
          <cell r="B442" t="str">
            <v>İLERİ MEKANİK MAKINA KALIP IML.SAN. VETIC. A.S.</v>
          </cell>
          <cell r="C442" t="str">
            <v>SMB</v>
          </cell>
          <cell r="D442">
            <v>13</v>
          </cell>
          <cell r="H442">
            <v>1</v>
          </cell>
        </row>
        <row r="443">
          <cell r="B443" t="str">
            <v>GTC İLETİŞİM DANIŞMANLIK ANONİM ŞİRKETİ</v>
          </cell>
          <cell r="C443" t="str">
            <v>SMB</v>
          </cell>
          <cell r="D443">
            <v>9.9999979166666666</v>
          </cell>
          <cell r="F443">
            <v>1</v>
          </cell>
        </row>
        <row r="444">
          <cell r="B444" t="str">
            <v>HAZİRAN TEKNOLOJİ YAZILIM VE BİLİŞİM A.Ş.</v>
          </cell>
          <cell r="C444" t="str">
            <v>SMB</v>
          </cell>
          <cell r="D444">
            <v>8</v>
          </cell>
          <cell r="H444">
            <v>1</v>
          </cell>
        </row>
        <row r="445">
          <cell r="B445" t="str">
            <v>MİPOS TEKNOLOJİ - ÖZER BABAOĞLU</v>
          </cell>
          <cell r="C445" t="str">
            <v>SMB</v>
          </cell>
          <cell r="D445">
            <v>5.5</v>
          </cell>
          <cell r="F445">
            <v>1</v>
          </cell>
        </row>
        <row r="446">
          <cell r="B446" t="str">
            <v>HIT REKLAM TAN. ORG.YAT.EMLAK GIDA TEKS.YAZ.DAN.IT</v>
          </cell>
          <cell r="C446" t="str">
            <v>SMB</v>
          </cell>
          <cell r="D446">
            <v>5.1666666666666661</v>
          </cell>
          <cell r="H446">
            <v>1</v>
          </cell>
        </row>
        <row r="447">
          <cell r="B447" t="str">
            <v>YILDIZ BRONZ SAN VE TIC LTD. STI.</v>
          </cell>
          <cell r="C447" t="str">
            <v>SMB</v>
          </cell>
          <cell r="D447">
            <v>3.166666666666667</v>
          </cell>
          <cell r="H447">
            <v>1</v>
          </cell>
        </row>
        <row r="448">
          <cell r="B448" t="str">
            <v>KONTAK ARTI İLETİŞİM HİZMETLERİ LTD.ŞTİ</v>
          </cell>
          <cell r="C448" t="str">
            <v>SMB</v>
          </cell>
          <cell r="D448">
            <v>2</v>
          </cell>
          <cell r="H448">
            <v>1</v>
          </cell>
        </row>
        <row r="449">
          <cell r="B449" t="str">
            <v>ONURFİX MONTAJ SİSTEMLERİ SAN. TİC. A.Ş.</v>
          </cell>
          <cell r="C449" t="str">
            <v>SMB</v>
          </cell>
          <cell r="D449">
            <v>1</v>
          </cell>
          <cell r="H449">
            <v>1</v>
          </cell>
        </row>
        <row r="450">
          <cell r="B450" t="str">
            <v>AKSAN KOZMETIK SAN. VE TIC. A.S.</v>
          </cell>
          <cell r="C450" t="str">
            <v>SMB</v>
          </cell>
          <cell r="D450">
            <v>0</v>
          </cell>
        </row>
        <row r="451">
          <cell r="B451" t="str">
            <v>ALTINFIÇI GIDA ve IÇECEK DAGITIM IHR.ITH.TUR.INS.S</v>
          </cell>
          <cell r="C451" t="str">
            <v>OTHER</v>
          </cell>
          <cell r="D451">
            <v>0</v>
          </cell>
        </row>
        <row r="452">
          <cell r="B452" t="str">
            <v>ANTIK DANTEL SAN.TIC.A.S.</v>
          </cell>
          <cell r="C452" t="str">
            <v>SMB</v>
          </cell>
          <cell r="D452">
            <v>0</v>
          </cell>
        </row>
        <row r="453">
          <cell r="B453" t="str">
            <v>ASTAY GAYRIMENKUL INSAAT YATIRIM VE TURIZM A.S.</v>
          </cell>
          <cell r="C453" t="str">
            <v>SMB</v>
          </cell>
          <cell r="D453">
            <v>0</v>
          </cell>
        </row>
        <row r="454">
          <cell r="B454" t="str">
            <v>AYDOGAN KARDESLER INS. SAN. VE TIC.LTD.STI.</v>
          </cell>
          <cell r="C454" t="str">
            <v>SMB</v>
          </cell>
          <cell r="D454">
            <v>0</v>
          </cell>
        </row>
        <row r="455">
          <cell r="B455" t="str">
            <v>BARIT MADEN TÜRK A.S.</v>
          </cell>
          <cell r="C455" t="str">
            <v>SMB</v>
          </cell>
          <cell r="D455">
            <v>0</v>
          </cell>
        </row>
        <row r="456">
          <cell r="B456" t="str">
            <v>BIRCOM TELEKOMÜNIKASYON VE BILISIM HIZ.SAN.TIC.A.S</v>
          </cell>
          <cell r="C456" t="str">
            <v>SMB</v>
          </cell>
          <cell r="D456">
            <v>0</v>
          </cell>
        </row>
        <row r="457">
          <cell r="B457" t="str">
            <v>CAFFE NERO GIDA ÜRÜNLERI A.S.</v>
          </cell>
          <cell r="C457" t="str">
            <v>SMB</v>
          </cell>
          <cell r="D457">
            <v>0</v>
          </cell>
        </row>
        <row r="458">
          <cell r="B458" t="str">
            <v>CHRONOS ISTIHDAM HIZMETLERI LTD.STI</v>
          </cell>
          <cell r="C458" t="str">
            <v>SMB</v>
          </cell>
          <cell r="D458">
            <v>0</v>
          </cell>
        </row>
        <row r="459">
          <cell r="B459" t="str">
            <v>COGİTO PARK COGNİTİVE DİJİTAL TEKN. VE YATIRIM A.Ş</v>
          </cell>
          <cell r="C459" t="str">
            <v>SMB</v>
          </cell>
          <cell r="D459">
            <v>0</v>
          </cell>
        </row>
        <row r="460">
          <cell r="B460" t="str">
            <v>DATASAFE ARSIVLEME HIZMETLERI A.S</v>
          </cell>
          <cell r="C460" t="str">
            <v>SMB</v>
          </cell>
          <cell r="D460">
            <v>0</v>
          </cell>
        </row>
        <row r="461">
          <cell r="B461" t="str">
            <v>DIGITAY TEKNOLOJI VE YAZILIM TICARET LIMITED SIRKE</v>
          </cell>
          <cell r="C461" t="str">
            <v>SMB</v>
          </cell>
          <cell r="D461">
            <v>0</v>
          </cell>
        </row>
        <row r="462">
          <cell r="B462" t="str">
            <v>ECE FITOTERAPI SAGLIK ÜRÜNLERI SANAYI VE TIC.A.S</v>
          </cell>
          <cell r="C462" t="str">
            <v>SMB</v>
          </cell>
          <cell r="D462">
            <v>0</v>
          </cell>
        </row>
        <row r="463">
          <cell r="B463" t="str">
            <v>ES DIL HIZ. VE DAN.TIC.A.S.</v>
          </cell>
          <cell r="C463" t="str">
            <v>SMB</v>
          </cell>
          <cell r="D463">
            <v>0</v>
          </cell>
        </row>
        <row r="464">
          <cell r="B464" t="str">
            <v>ESTIMA ARASTIRMA DANISMANLIK VE TIC.A.S</v>
          </cell>
          <cell r="C464" t="str">
            <v>SMB</v>
          </cell>
          <cell r="D464">
            <v>0</v>
          </cell>
        </row>
        <row r="465">
          <cell r="B465" t="str">
            <v>FRESENIUS KABI ILAÇ SAN. VE TIC. LTD. STI.</v>
          </cell>
          <cell r="C465" t="str">
            <v>SMB</v>
          </cell>
          <cell r="D465">
            <v>0</v>
          </cell>
        </row>
        <row r="466">
          <cell r="B466" t="str">
            <v>ITO Bilgiyi Ticarilestirme ve Arastirma Vakfi Ikti</v>
          </cell>
          <cell r="C466" t="str">
            <v>SMB</v>
          </cell>
          <cell r="D466">
            <v>0</v>
          </cell>
        </row>
        <row r="467">
          <cell r="B467" t="str">
            <v>KENTPARK ALISVERIS MERKEZI VE ILETMECILIK AS.</v>
          </cell>
          <cell r="C467" t="str">
            <v>SMB</v>
          </cell>
          <cell r="D467">
            <v>0</v>
          </cell>
        </row>
        <row r="468">
          <cell r="B468" t="str">
            <v>MASTERTEK BILGI TEKNOLOJILERI TIC.LTD.STI.</v>
          </cell>
          <cell r="C468" t="str">
            <v>SMB</v>
          </cell>
          <cell r="D468">
            <v>0</v>
          </cell>
        </row>
        <row r="469">
          <cell r="B469" t="str">
            <v>MATADOR ET ÜRÜNLERI VE REST.ISL.GIDA. - GÜRKAN ŞEF</v>
          </cell>
          <cell r="C469" t="str">
            <v>SMB</v>
          </cell>
          <cell r="D469">
            <v>0</v>
          </cell>
        </row>
        <row r="470">
          <cell r="B470" t="str">
            <v>NEMA BAHÇE KÜLTÜRLERI ÜRETIM VE PAZARLAMA LTD.STI.</v>
          </cell>
          <cell r="C470" t="str">
            <v>SMB</v>
          </cell>
          <cell r="D470">
            <v>0</v>
          </cell>
        </row>
        <row r="471">
          <cell r="B471" t="str">
            <v>OGOO ILETISIM HIZMETLERI TICARET LIMITED SIRKETI</v>
          </cell>
          <cell r="C471" t="str">
            <v>SMB</v>
          </cell>
          <cell r="D471">
            <v>0</v>
          </cell>
        </row>
        <row r="472">
          <cell r="B472" t="str">
            <v>OKAN KONFEKSIYON SAN. VE TIC. LTD.STI. (KİKİRİKİ)</v>
          </cell>
          <cell r="C472" t="str">
            <v>SMB</v>
          </cell>
          <cell r="D472">
            <v>0</v>
          </cell>
        </row>
        <row r="473">
          <cell r="B473" t="str">
            <v>PENINSULA ENERJI VE TEKNOLOJI YATIRIMLARI A.S.</v>
          </cell>
          <cell r="C473" t="str">
            <v>SMB</v>
          </cell>
          <cell r="D473">
            <v>0</v>
          </cell>
        </row>
        <row r="474">
          <cell r="B474" t="str">
            <v>PROBI INSAAT PROJE BILGI ISLEM MERKEZI A.S.</v>
          </cell>
          <cell r="C474" t="str">
            <v>SMB</v>
          </cell>
          <cell r="D474">
            <v>0</v>
          </cell>
        </row>
        <row r="475">
          <cell r="B475" t="str">
            <v>PSH PERAKENDE SATIS HIZMETLERI GIDA ANONIM SIRKETI</v>
          </cell>
          <cell r="C475" t="str">
            <v>SMB</v>
          </cell>
          <cell r="D475">
            <v>0</v>
          </cell>
        </row>
        <row r="476">
          <cell r="B476" t="str">
            <v>SANGO OTOMOTIV ÜRÜNLERI SANAYI VE TICARET A.S</v>
          </cell>
          <cell r="C476" t="str">
            <v>OTHER</v>
          </cell>
          <cell r="D476">
            <v>0</v>
          </cell>
        </row>
        <row r="477">
          <cell r="B477" t="str">
            <v>ALTIUM INTERNATIONAL LABORATUVAR CİHAZLARI A.Ş.</v>
          </cell>
          <cell r="C477" t="str">
            <v>SMB</v>
          </cell>
          <cell r="D477">
            <v>0</v>
          </cell>
        </row>
        <row r="478">
          <cell r="B478" t="str">
            <v>SEZER TEKSTIL SAN.TIC.A.S</v>
          </cell>
          <cell r="C478" t="str">
            <v>SMB</v>
          </cell>
          <cell r="D478">
            <v>0</v>
          </cell>
        </row>
        <row r="479">
          <cell r="B479" t="str">
            <v>SOYKP IS MERKEZI ISLETMECILIGI A.S.</v>
          </cell>
          <cell r="C479" t="str">
            <v>SMB</v>
          </cell>
          <cell r="D479">
            <v>0</v>
          </cell>
        </row>
        <row r="480">
          <cell r="B480" t="str">
            <v>STANDARDS AND PARTNERS DANISMANLIK A.S</v>
          </cell>
          <cell r="C480" t="str">
            <v>SMB</v>
          </cell>
          <cell r="D480">
            <v>0</v>
          </cell>
        </row>
        <row r="481">
          <cell r="B481" t="str">
            <v>TEKYAZ TEKNOLOJIK  YAZILIMLAR VE MAKINE  TIC. A.S.</v>
          </cell>
          <cell r="C481" t="str">
            <v>SMB</v>
          </cell>
          <cell r="D481">
            <v>0</v>
          </cell>
        </row>
        <row r="482">
          <cell r="B482" t="str">
            <v>TSM DANISMANLIK ORGA.VE PAZ. AS.</v>
          </cell>
          <cell r="C482" t="str">
            <v>SMB</v>
          </cell>
          <cell r="D482">
            <v>0</v>
          </cell>
        </row>
        <row r="483">
          <cell r="B483" t="str">
            <v>TURGUT ALTON MIMARLIK MÜSAVIRLIK LTD.STI.</v>
          </cell>
          <cell r="C483" t="str">
            <v>SMB</v>
          </cell>
          <cell r="D483">
            <v>0</v>
          </cell>
        </row>
        <row r="484">
          <cell r="B484" t="str">
            <v>ÜÇLER SÜPERMARKET GIDA SAN. A.S.</v>
          </cell>
          <cell r="C484" t="str">
            <v>SMB</v>
          </cell>
          <cell r="D484">
            <v>0</v>
          </cell>
        </row>
        <row r="485">
          <cell r="B485" t="str">
            <v>UMTAS ULUSLARARASI MAKINA TIC. A.S.</v>
          </cell>
          <cell r="C485" t="str">
            <v>SMB</v>
          </cell>
          <cell r="D485">
            <v>0</v>
          </cell>
        </row>
        <row r="486">
          <cell r="B486" t="str">
            <v>ZEKİ EDEBALI</v>
          </cell>
          <cell r="C486" t="str">
            <v>SMB</v>
          </cell>
          <cell r="D486">
            <v>0</v>
          </cell>
        </row>
        <row r="487">
          <cell r="B487" t="str">
            <v>ADMA ALIŞVERİŞ MERKEZLERİ YATIRIM VE İŞLETMESİ A.Ş</v>
          </cell>
          <cell r="C487" t="str">
            <v>OTHER</v>
          </cell>
          <cell r="D487">
            <v>0</v>
          </cell>
        </row>
        <row r="488">
          <cell r="B488" t="str">
            <v>GENMAK GENEL MAKİNA SANAYİ VE TİCARET LTD.ŞTİ.</v>
          </cell>
          <cell r="C488" t="str">
            <v>SMB</v>
          </cell>
          <cell r="D488">
            <v>0</v>
          </cell>
        </row>
        <row r="489">
          <cell r="B489" t="str">
            <v>MAYA GAYRİMENKUL GELİŞTİRME A.Ş.</v>
          </cell>
          <cell r="C489" t="str">
            <v>OTHER</v>
          </cell>
          <cell r="D489">
            <v>0</v>
          </cell>
        </row>
        <row r="490">
          <cell r="B490" t="str">
            <v>KARTAL IST ALIŞVERİŞ MERKEZİ VE İŞLETMESİ A.Ş.</v>
          </cell>
          <cell r="C490" t="str">
            <v>OTHER</v>
          </cell>
          <cell r="D490">
            <v>0</v>
          </cell>
        </row>
        <row r="491">
          <cell r="B491" t="str">
            <v>PROFESYONEL PERAKENDE ÇÖZÜMLERİ SN.TC.A.Ş (PROPERA</v>
          </cell>
          <cell r="C491" t="str">
            <v>SMB</v>
          </cell>
          <cell r="D491">
            <v>0</v>
          </cell>
        </row>
        <row r="492">
          <cell r="B492" t="str">
            <v>CAHAN AVM</v>
          </cell>
          <cell r="C492" t="str">
            <v>OTHER</v>
          </cell>
          <cell r="D492">
            <v>0</v>
          </cell>
        </row>
        <row r="493">
          <cell r="B493" t="str">
            <v>ADS ASANSÖR DEZENFEKTAN SISTEMLERI SAN.TIC.A.S.</v>
          </cell>
          <cell r="C493" t="str">
            <v>SMB</v>
          </cell>
          <cell r="D493">
            <v>0</v>
          </cell>
        </row>
        <row r="494">
          <cell r="B494" t="str">
            <v>DAM BILGI TEKNOLOJILERI A.S.</v>
          </cell>
          <cell r="C494" t="str">
            <v>SMB</v>
          </cell>
          <cell r="D494">
            <v>0</v>
          </cell>
        </row>
        <row r="495">
          <cell r="B495" t="str">
            <v>HASAT MAGAZACILIK A.S.</v>
          </cell>
          <cell r="C495" t="str">
            <v>SMB</v>
          </cell>
          <cell r="D495">
            <v>0</v>
          </cell>
        </row>
        <row r="496">
          <cell r="B496" t="str">
            <v>SOLIDICT YAZILIM DANISMANLIK VE BILISIM TEKNOLOJIL</v>
          </cell>
          <cell r="C496" t="str">
            <v>OTHER</v>
          </cell>
          <cell r="D496">
            <v>0</v>
          </cell>
        </row>
        <row r="497">
          <cell r="B497" t="str">
            <v>STRADA SEYAHAT ACENTELIGI LTD. STI</v>
          </cell>
          <cell r="C497" t="str">
            <v>SMB</v>
          </cell>
          <cell r="D497">
            <v>0</v>
          </cell>
        </row>
        <row r="498">
          <cell r="B498" t="str">
            <v>SAKLIKOY SPOR VE TUR (TAMER CANKAT)</v>
          </cell>
          <cell r="C498" t="str">
            <v>SMB</v>
          </cell>
          <cell r="D498">
            <v>0</v>
          </cell>
        </row>
        <row r="499">
          <cell r="B499" t="str">
            <v>YU TURIZM SANAYI VE TICARET A.S. (The Sudd Coffe.)</v>
          </cell>
          <cell r="C499" t="str">
            <v>SMB</v>
          </cell>
          <cell r="D499">
            <v>0</v>
          </cell>
        </row>
        <row r="500">
          <cell r="B500" t="str">
            <v xml:space="preserve"> APLUS DIAGNOSTICS LABORATUVAR SANAYI VE TIC. A.S.</v>
          </cell>
          <cell r="C500" t="str">
            <v>SMB</v>
          </cell>
          <cell r="D500">
            <v>0</v>
          </cell>
        </row>
        <row r="501">
          <cell r="B501" t="str">
            <v>AFFIDEA</v>
          </cell>
          <cell r="C501" t="str">
            <v>SMB</v>
          </cell>
          <cell r="D501">
            <v>0</v>
          </cell>
        </row>
        <row r="502">
          <cell r="B502" t="str">
            <v>ATAKO TASIMACILIK DENIZCILIK A.S.</v>
          </cell>
          <cell r="C502" t="str">
            <v>SMB</v>
          </cell>
          <cell r="D502">
            <v>0</v>
          </cell>
        </row>
        <row r="503">
          <cell r="B503" t="str">
            <v>CİVİL MAGAZACILIK A.S.</v>
          </cell>
          <cell r="C503" t="str">
            <v>SMB</v>
          </cell>
          <cell r="D503">
            <v>0</v>
          </cell>
        </row>
        <row r="504">
          <cell r="B504" t="str">
            <v>DICLE ÜNIVERSITESI</v>
          </cell>
          <cell r="C504" t="str">
            <v>SMB</v>
          </cell>
          <cell r="D504">
            <v>0</v>
          </cell>
        </row>
        <row r="505">
          <cell r="B505" t="str">
            <v>DOĞUŞ TEKNOLOJİ</v>
          </cell>
          <cell r="C505" t="str">
            <v>ENTERPRISE</v>
          </cell>
          <cell r="D505">
            <v>0</v>
          </cell>
        </row>
        <row r="506">
          <cell r="B506" t="str">
            <v>FORTECH BILISIM LTD.STI.</v>
          </cell>
          <cell r="C506" t="str">
            <v>OTHER</v>
          </cell>
          <cell r="D506">
            <v>0</v>
          </cell>
        </row>
        <row r="507">
          <cell r="B507" t="str">
            <v>HDI SIGORTA A.S.</v>
          </cell>
          <cell r="C507" t="str">
            <v>ENTERPRISE</v>
          </cell>
          <cell r="D507">
            <v>0</v>
          </cell>
        </row>
        <row r="508">
          <cell r="B508" t="str">
            <v>KALE HOLDING A.S.</v>
          </cell>
          <cell r="C508" t="str">
            <v>ENTERPRISE</v>
          </cell>
          <cell r="D508">
            <v>0</v>
          </cell>
        </row>
        <row r="509">
          <cell r="B509" t="str">
            <v>KARACA ZÜCCACIYE TICARET SANAYI A.S.</v>
          </cell>
          <cell r="C509" t="str">
            <v>ENTERPRISE</v>
          </cell>
          <cell r="D509">
            <v>0</v>
          </cell>
        </row>
        <row r="510">
          <cell r="B510" t="str">
            <v>KARDEŞ ELEKTRIK SAN. VE TIC. AS.</v>
          </cell>
          <cell r="C510" t="str">
            <v>SMB</v>
          </cell>
          <cell r="D510">
            <v>0</v>
          </cell>
        </row>
        <row r="511">
          <cell r="B511" t="str">
            <v>NEXTSOFTEK BILGI TEKNOLOJILERI YAZILIM A.S- EKSİT</v>
          </cell>
          <cell r="C511" t="str">
            <v>SMB</v>
          </cell>
          <cell r="D511">
            <v>0</v>
          </cell>
        </row>
        <row r="512">
          <cell r="B512" t="str">
            <v>AUTOROLA</v>
          </cell>
          <cell r="C512" t="str">
            <v>SMB</v>
          </cell>
          <cell r="D512">
            <v>0</v>
          </cell>
        </row>
        <row r="513">
          <cell r="B513" t="str">
            <v>KISAN (TİBET ÖRS)</v>
          </cell>
          <cell r="C513" t="str">
            <v>SMB</v>
          </cell>
          <cell r="D513">
            <v>0</v>
          </cell>
        </row>
        <row r="514">
          <cell r="B514" t="str">
            <v>ŞEKER SIGORTA A.S.</v>
          </cell>
          <cell r="C514" t="str">
            <v>OTHER</v>
          </cell>
          <cell r="D514">
            <v>0</v>
          </cell>
        </row>
        <row r="515">
          <cell r="B515" t="str">
            <v>ŞEKERBANK T.A.S.</v>
          </cell>
          <cell r="C515" t="str">
            <v>ENTERPRISE</v>
          </cell>
          <cell r="D515">
            <v>0</v>
          </cell>
        </row>
        <row r="516">
          <cell r="B516" t="str">
            <v>SHAYA MAGAZACILIK A.Ş.</v>
          </cell>
          <cell r="C516" t="str">
            <v>SMB</v>
          </cell>
          <cell r="D516">
            <v>0</v>
          </cell>
        </row>
        <row r="517">
          <cell r="B517" t="str">
            <v>TERAKKI VAKFI ÖZEL SISLI TERAKKI LISESI</v>
          </cell>
          <cell r="C517" t="str">
            <v>SMB</v>
          </cell>
          <cell r="D517">
            <v>0</v>
          </cell>
        </row>
        <row r="518">
          <cell r="B518" t="str">
            <v>TURKISH DO &amp; CO</v>
          </cell>
          <cell r="C518" t="str">
            <v>SMB</v>
          </cell>
          <cell r="D518">
            <v>0</v>
          </cell>
        </row>
        <row r="519">
          <cell r="B519" t="str">
            <v>TÜRKİYE SINAI KALKINMA BANKASI A.S.</v>
          </cell>
          <cell r="C519" t="str">
            <v>ENTERPRISE</v>
          </cell>
          <cell r="D519">
            <v>0</v>
          </cell>
        </row>
        <row r="520">
          <cell r="B520" t="str">
            <v>ULUSAL FAKTORING A.S.</v>
          </cell>
          <cell r="C520" t="str">
            <v>ENTERPRISE</v>
          </cell>
          <cell r="D520">
            <v>0</v>
          </cell>
        </row>
        <row r="521">
          <cell r="B521" t="str">
            <v>YARGICI KONFEKSIYON IHRACAT VE TICARET AS.</v>
          </cell>
          <cell r="C521" t="str">
            <v>SMB</v>
          </cell>
          <cell r="D521">
            <v>0</v>
          </cell>
        </row>
        <row r="522">
          <cell r="B522" t="str">
            <v>INTER MEDYA TİCARET LTD.ŞTİ.</v>
          </cell>
          <cell r="C522" t="str">
            <v>SMB</v>
          </cell>
          <cell r="D522">
            <v>0</v>
          </cell>
        </row>
        <row r="523">
          <cell r="B523" t="str">
            <v>İSTEM OKULLARI LTD.ŞTİ.</v>
          </cell>
          <cell r="C523" t="str">
            <v>SMB</v>
          </cell>
          <cell r="D523">
            <v>0</v>
          </cell>
        </row>
        <row r="524">
          <cell r="B524" t="str">
            <v>MEDIALYZER MEDYA TEKNOLOJİLERİ ANONİM ŞİRKETİ</v>
          </cell>
          <cell r="C524" t="str">
            <v>ENTERPRISE</v>
          </cell>
          <cell r="D524">
            <v>0</v>
          </cell>
        </row>
        <row r="525">
          <cell r="B525" t="str">
            <v>MARGE ARAŞTIRMA GELİŞTİRME VE MÜHENDİSLİK  A.Ş.</v>
          </cell>
          <cell r="C525" t="str">
            <v>SMB</v>
          </cell>
          <cell r="D525">
            <v>0</v>
          </cell>
        </row>
        <row r="526">
          <cell r="B526" t="str">
            <v>SİLKAR TURİZM YATIRIM VE İŞLETMELERİ A.Ş</v>
          </cell>
          <cell r="C526" t="str">
            <v>SMB</v>
          </cell>
          <cell r="D526">
            <v>0</v>
          </cell>
        </row>
        <row r="527">
          <cell r="B527" t="str">
            <v>QATARİ DİAR İSTANBUL GAYRİMENKUL GELİŞTİRME YATIRI</v>
          </cell>
          <cell r="C527" t="str">
            <v>SMB</v>
          </cell>
          <cell r="D527">
            <v>0</v>
          </cell>
        </row>
        <row r="528">
          <cell r="B528" t="str">
            <v>ABALIOĞLU YAĞ</v>
          </cell>
          <cell r="C528" t="str">
            <v>SMB</v>
          </cell>
          <cell r="D528">
            <v>0</v>
          </cell>
        </row>
        <row r="529">
          <cell r="B529" t="str">
            <v>SAĞLIK BAHÇESİ EĞ. ARŞ. DAN VE İLETİŞİM A.Ş</v>
          </cell>
          <cell r="C529" t="str">
            <v>SMB</v>
          </cell>
          <cell r="D529">
            <v>0</v>
          </cell>
        </row>
        <row r="530">
          <cell r="B530" t="str">
            <v>İKİ MİMARİ PROJE VE DANIŞMANLIK A.Ş.</v>
          </cell>
          <cell r="C530" t="str">
            <v>SMB</v>
          </cell>
          <cell r="D530">
            <v>0</v>
          </cell>
        </row>
        <row r="531">
          <cell r="B531" t="str">
            <v>CAHAN ÇAY MMC</v>
          </cell>
          <cell r="C531" t="str">
            <v>OTHER</v>
          </cell>
          <cell r="D531">
            <v>0</v>
          </cell>
        </row>
        <row r="532">
          <cell r="B532" t="str">
            <v>İNNOVA BİLİŞİM ÇÖZÜMLERİ A.Ş.</v>
          </cell>
          <cell r="C532" t="str">
            <v>OTHER</v>
          </cell>
          <cell r="D532">
            <v>0</v>
          </cell>
        </row>
        <row r="533">
          <cell r="B533" t="str">
            <v>KALE HAVACILIK SANAYİ A.Ş.</v>
          </cell>
          <cell r="C533" t="str">
            <v>ENTERPRISE</v>
          </cell>
          <cell r="D533">
            <v>0</v>
          </cell>
        </row>
        <row r="534">
          <cell r="B534" t="str">
            <v>CAHAN İNŞAAT</v>
          </cell>
          <cell r="C534" t="str">
            <v>OTHER</v>
          </cell>
          <cell r="D534">
            <v>0</v>
          </cell>
        </row>
        <row r="535">
          <cell r="B535" t="str">
            <v>CAHAN SENAYE KOMLEKSİ ASC</v>
          </cell>
          <cell r="C535" t="str">
            <v>OTHER</v>
          </cell>
          <cell r="D535">
            <v>0</v>
          </cell>
        </row>
        <row r="536">
          <cell r="B536" t="str">
            <v>ESM DANIŞMANLIK HİZMETLERİ AŞ.</v>
          </cell>
          <cell r="C536" t="str">
            <v>SMB</v>
          </cell>
          <cell r="D536">
            <v>0</v>
          </cell>
        </row>
        <row r="537">
          <cell r="B537" t="str">
            <v>TAYPA TEKSTİL GİYİM SAN. ve Tic. A.Ş. (EUROTAY)</v>
          </cell>
          <cell r="C537" t="str">
            <v>SMB</v>
          </cell>
          <cell r="D537">
            <v>0</v>
          </cell>
        </row>
        <row r="538">
          <cell r="B538" t="str">
            <v>YGBS EASY LIFE YÖNETİM HİZMETLERİ A.Ş.</v>
          </cell>
          <cell r="C538" t="str">
            <v>SMB</v>
          </cell>
          <cell r="D538">
            <v>0</v>
          </cell>
        </row>
        <row r="539">
          <cell r="B539" t="str">
            <v>KAYA TRİKO ( ALTIN FIÇI )</v>
          </cell>
          <cell r="C539" t="str">
            <v>OTHER</v>
          </cell>
          <cell r="D539">
            <v>0</v>
          </cell>
        </row>
        <row r="540">
          <cell r="B540" t="str">
            <v>CAHAN TABAK BEYNELXALQ MMC</v>
          </cell>
          <cell r="C540" t="str">
            <v>OTHER</v>
          </cell>
          <cell r="D540">
            <v>0</v>
          </cell>
        </row>
        <row r="541">
          <cell r="B541" t="str">
            <v>CAHAN TİCARET MMC</v>
          </cell>
          <cell r="C541" t="str">
            <v>OTHER</v>
          </cell>
          <cell r="D541">
            <v>0</v>
          </cell>
        </row>
        <row r="542">
          <cell r="B542" t="str">
            <v>BOYNER HOLDING</v>
          </cell>
          <cell r="C542" t="str">
            <v>ENTERPRISE</v>
          </cell>
          <cell r="D542">
            <v>0</v>
          </cell>
        </row>
        <row r="543">
          <cell r="B543" t="str">
            <v>HARE GROUP ORGANİZASYON TURİZM SANAYİ TİCARET A.Ş</v>
          </cell>
          <cell r="C543" t="str">
            <v>SMB</v>
          </cell>
          <cell r="D543">
            <v>0</v>
          </cell>
        </row>
        <row r="544">
          <cell r="B544" t="str">
            <v>CAHAN MOTORS</v>
          </cell>
          <cell r="C544" t="str">
            <v>OTHER</v>
          </cell>
          <cell r="D544">
            <v>0</v>
          </cell>
        </row>
        <row r="545">
          <cell r="B545" t="str">
            <v>MAPPLİCO BİLGİ TEKNOLOJİLERİ ANONİM ŞİRKET</v>
          </cell>
          <cell r="C545" t="str">
            <v>SMB</v>
          </cell>
          <cell r="D545">
            <v>0</v>
          </cell>
        </row>
        <row r="546">
          <cell r="B546" t="str">
            <v>BADE HALI</v>
          </cell>
          <cell r="C546" t="str">
            <v>ENTERPRISE</v>
          </cell>
          <cell r="D546">
            <v>0</v>
          </cell>
        </row>
        <row r="547">
          <cell r="B547" t="str">
            <v>CAHAN ENNA MMC</v>
          </cell>
          <cell r="C547" t="str">
            <v>OTHER</v>
          </cell>
          <cell r="D547">
            <v>0</v>
          </cell>
        </row>
        <row r="548">
          <cell r="B548" t="str">
            <v>AZE MEDYA ANONİM ŞİRKETİ</v>
          </cell>
          <cell r="C548" t="str">
            <v>SMB</v>
          </cell>
          <cell r="D548">
            <v>0</v>
          </cell>
        </row>
        <row r="549">
          <cell r="B549" t="str">
            <v>EURO GIDA</v>
          </cell>
          <cell r="C549" t="str">
            <v>OTHER</v>
          </cell>
          <cell r="D549">
            <v>0</v>
          </cell>
        </row>
        <row r="550">
          <cell r="B550" t="str">
            <v>ENOCTA - IYIGO AVEZ ELEKTRONIK ILETISIM</v>
          </cell>
          <cell r="C550" t="str">
            <v>ENTERPRISE</v>
          </cell>
          <cell r="D550">
            <v>0</v>
          </cell>
        </row>
        <row r="551">
          <cell r="B551" t="str">
            <v>FORCE&amp;BROTHERS DANIŞMANLIK A.Ş.</v>
          </cell>
          <cell r="C551" t="str">
            <v>SMB</v>
          </cell>
          <cell r="D551">
            <v>0</v>
          </cell>
        </row>
        <row r="552">
          <cell r="B552" t="str">
            <v>GEMSAN GEMİ VE GEMİ İŞLETMECİLİĞİ SANAYİ VE TİCARE</v>
          </cell>
          <cell r="C552" t="str">
            <v>SMB</v>
          </cell>
          <cell r="D552">
            <v>0</v>
          </cell>
        </row>
        <row r="553">
          <cell r="B553" t="str">
            <v>WYNDHAM HOTEL ( Reisler Turizm  )</v>
          </cell>
          <cell r="C553" t="str">
            <v>ENTERPRISE</v>
          </cell>
          <cell r="D553">
            <v>0</v>
          </cell>
        </row>
        <row r="554">
          <cell r="B554" t="str">
            <v>SPINE YÖNETİM İŞLETİM VE PAZARLAMA A.Ş.</v>
          </cell>
          <cell r="C554" t="str">
            <v>SMB</v>
          </cell>
          <cell r="D554">
            <v>0</v>
          </cell>
        </row>
        <row r="555">
          <cell r="B555" t="str">
            <v>ARTEK YAZILIMEVİ DAN. HİZ. TİC. LTD. ŞTİ.</v>
          </cell>
          <cell r="C555" t="str">
            <v>SMB</v>
          </cell>
          <cell r="D555">
            <v>0</v>
          </cell>
        </row>
        <row r="556">
          <cell r="B556" t="str">
            <v>KAT TURİZM GAYRİMENKUL YATIRIMLARI ve İŞLETME A.Ş.</v>
          </cell>
          <cell r="C556" t="str">
            <v>SMB</v>
          </cell>
          <cell r="D556">
            <v>0</v>
          </cell>
        </row>
        <row r="557">
          <cell r="B557" t="str">
            <v>ICBC</v>
          </cell>
          <cell r="C557" t="str">
            <v>ENTERPRISE</v>
          </cell>
          <cell r="D557">
            <v>0</v>
          </cell>
        </row>
        <row r="558">
          <cell r="B558" t="str">
            <v>CNMAR DENİZCİLİK VE LOJİSTİK HİZMETLERİ LİMİTED Şİ</v>
          </cell>
          <cell r="C558" t="str">
            <v>SMB</v>
          </cell>
          <cell r="D558">
            <v>0</v>
          </cell>
        </row>
        <row r="559">
          <cell r="B559" t="str">
            <v>PAYBOX ELEKTRONİK TİCARET ANONİM ŞİRKETİ</v>
          </cell>
          <cell r="C559" t="str">
            <v>SMB</v>
          </cell>
          <cell r="D559">
            <v>0</v>
          </cell>
        </row>
        <row r="560">
          <cell r="B560" t="str">
            <v>HASGÜR OFİS MALZEMELERİ TEMİZLİK ÜRÜNLERİ LTD.ŞTİ.</v>
          </cell>
          <cell r="C560" t="str">
            <v>SMB</v>
          </cell>
          <cell r="D560">
            <v>0</v>
          </cell>
        </row>
        <row r="561">
          <cell r="B561" t="str">
            <v>TÜM TEKNOLOJI ÜRETIM MERKEZI A.Ş.</v>
          </cell>
          <cell r="C561" t="str">
            <v>SMB</v>
          </cell>
          <cell r="D561">
            <v>0</v>
          </cell>
        </row>
        <row r="562">
          <cell r="B562" t="str">
            <v>DEVON YAPI ÜRÜNLERİ İTH. SAN. ve TİC. A.Ş.</v>
          </cell>
          <cell r="C562" t="str">
            <v>SMB</v>
          </cell>
          <cell r="D562">
            <v>0</v>
          </cell>
        </row>
        <row r="563">
          <cell r="B563" t="str">
            <v>VENITURE BİLİŞİM TEKNOLOJİLERİ LİMİTED ŞİRKETİ</v>
          </cell>
          <cell r="C563" t="str">
            <v>SMB</v>
          </cell>
          <cell r="D563">
            <v>0</v>
          </cell>
        </row>
        <row r="564">
          <cell r="B564" t="str">
            <v>ZONGULDAK KÖMÜR İŞLETMELERİ ANONİM ŞİRKETİ</v>
          </cell>
          <cell r="C564" t="str">
            <v>SMB</v>
          </cell>
          <cell r="D564">
            <v>0</v>
          </cell>
        </row>
        <row r="565">
          <cell r="B565" t="str">
            <v>İNGENO DAN. ÇEVİRİ VE TIBBİ ARAŞ. ORG. TİC. İTH.</v>
          </cell>
          <cell r="C565" t="str">
            <v>SMB</v>
          </cell>
          <cell r="D565">
            <v>0</v>
          </cell>
        </row>
        <row r="566">
          <cell r="B566" t="str">
            <v>AŞÇIOĞLU İŞ ORTAKLIĞI</v>
          </cell>
          <cell r="C566" t="str">
            <v>OTHER</v>
          </cell>
          <cell r="D566">
            <v>0</v>
          </cell>
        </row>
        <row r="567">
          <cell r="B567" t="str">
            <v>BILGILI GRUP MÜHENDISLIK VE TICARET LTD. ŞTİ.</v>
          </cell>
          <cell r="C567" t="str">
            <v>SMB</v>
          </cell>
          <cell r="D567">
            <v>0</v>
          </cell>
        </row>
        <row r="568">
          <cell r="B568" t="str">
            <v>TIED UP DEKORASYON ÜRÜNLERİ SAN.TİC.LTD.ŞTİ.</v>
          </cell>
          <cell r="C568" t="str">
            <v>OTHER</v>
          </cell>
          <cell r="D568">
            <v>0</v>
          </cell>
        </row>
        <row r="569">
          <cell r="B569" t="str">
            <v>GİSAŞ GEMI İNŞA SANAYI A.Ş.</v>
          </cell>
          <cell r="C569" t="str">
            <v>SMB</v>
          </cell>
          <cell r="D569">
            <v>0</v>
          </cell>
        </row>
        <row r="570">
          <cell r="B570" t="str">
            <v>LKG MÜHENDISLIK VE ARGE HIZMETLERI LTD. ŞTI.</v>
          </cell>
          <cell r="C570" t="str">
            <v>SMB</v>
          </cell>
          <cell r="D570">
            <v>0</v>
          </cell>
        </row>
        <row r="571">
          <cell r="B571" t="str">
            <v>ASAŞ ALÜMİNYUM SANAYİİ VE TİCARET A.Ş.</v>
          </cell>
          <cell r="C571" t="str">
            <v>ENTERPRISE</v>
          </cell>
          <cell r="D571">
            <v>0</v>
          </cell>
        </row>
        <row r="572">
          <cell r="B572" t="str">
            <v>İSTANBUL MEMORIAL SAĞLIK YATIRIMLARI A.Ş.</v>
          </cell>
          <cell r="C572" t="str">
            <v>OTHER</v>
          </cell>
          <cell r="D572">
            <v>0</v>
          </cell>
        </row>
        <row r="573">
          <cell r="B573" t="str">
            <v>HEXAROB OTOMASYON VE MÜHENDISLIK LTD. ŞTI.</v>
          </cell>
          <cell r="C573" t="str">
            <v>SMB</v>
          </cell>
          <cell r="D573">
            <v>0</v>
          </cell>
        </row>
        <row r="574">
          <cell r="B574" t="str">
            <v>COCA-COLA İÇECEK A.Ş.</v>
          </cell>
          <cell r="C574" t="str">
            <v>OTHER</v>
          </cell>
          <cell r="D574">
            <v>0</v>
          </cell>
        </row>
        <row r="575">
          <cell r="B575" t="str">
            <v>AXOFT BILISIM LIMITED SIRKETI</v>
          </cell>
          <cell r="C575" t="str">
            <v>SMB</v>
          </cell>
          <cell r="D575">
            <v>0</v>
          </cell>
        </row>
        <row r="576">
          <cell r="B576" t="str">
            <v>DENİZLİ RATEKS TEKSTİL SANAYİ VE TİCARET A.Ş.</v>
          </cell>
          <cell r="C576" t="str">
            <v>SMB</v>
          </cell>
          <cell r="D576">
            <v>0</v>
          </cell>
        </row>
        <row r="577">
          <cell r="B577" t="str">
            <v>KGM ENERJİ TİC.LTD.ŞTİ.</v>
          </cell>
          <cell r="C577" t="str">
            <v>SMB</v>
          </cell>
          <cell r="D577">
            <v>0</v>
          </cell>
        </row>
        <row r="578">
          <cell r="B578" t="str">
            <v>SİSKON OTOMASYON YAZILIM A.Ş.</v>
          </cell>
          <cell r="C578" t="str">
            <v>ENTERPRISE</v>
          </cell>
          <cell r="D578">
            <v>0</v>
          </cell>
        </row>
        <row r="579">
          <cell r="B579" t="str">
            <v>İD GEMİ ACENTELİĞİ TİC.LTD.ŞTİ.</v>
          </cell>
          <cell r="C579" t="str">
            <v>SMB</v>
          </cell>
          <cell r="D579">
            <v>0</v>
          </cell>
        </row>
        <row r="580">
          <cell r="B580" t="str">
            <v>BRİİSK LİMİTED</v>
          </cell>
          <cell r="C580" t="str">
            <v>SMB</v>
          </cell>
          <cell r="D580">
            <v>0</v>
          </cell>
        </row>
        <row r="581">
          <cell r="B581" t="str">
            <v>VK BİLGİ TEKNOLOJİLERİ ANONİM ŞİRKETİ</v>
          </cell>
          <cell r="C581" t="str">
            <v>SMB</v>
          </cell>
          <cell r="D581">
            <v>0</v>
          </cell>
        </row>
        <row r="582">
          <cell r="B582" t="str">
            <v>Kentglobal Park Dış Tic AŞ</v>
          </cell>
          <cell r="C582" t="str">
            <v>SMB</v>
          </cell>
          <cell r="D582">
            <v>0</v>
          </cell>
        </row>
        <row r="583">
          <cell r="B583" t="str">
            <v>SHOPISTANBUL TEKNOLOJI VE TICARET LIMITED SIRKETI</v>
          </cell>
          <cell r="C583" t="str">
            <v>SMB</v>
          </cell>
          <cell r="D583">
            <v>0</v>
          </cell>
        </row>
        <row r="584">
          <cell r="B584" t="str">
            <v>JONES LANG LASALLE GAYRIMENKUL HIZMETLERI TIC.A.Ş.</v>
          </cell>
          <cell r="C584" t="str">
            <v>SMB</v>
          </cell>
          <cell r="D584">
            <v>0</v>
          </cell>
        </row>
        <row r="585">
          <cell r="B585" t="str">
            <v>MİLA PROJE MAĞAZACILIK ANONİM ŞİRKETİ</v>
          </cell>
          <cell r="C585" t="str">
            <v>SMB</v>
          </cell>
          <cell r="D585">
            <v>0</v>
          </cell>
        </row>
        <row r="586">
          <cell r="B586" t="str">
            <v>GÜLENYÜZ SİGORTA</v>
          </cell>
          <cell r="C586" t="str">
            <v>SMB</v>
          </cell>
          <cell r="D586">
            <v>0</v>
          </cell>
        </row>
        <row r="587">
          <cell r="B587" t="str">
            <v>BASKENT HOLDING A S.</v>
          </cell>
          <cell r="C587" t="str">
            <v>SMB</v>
          </cell>
          <cell r="D587">
            <v>0</v>
          </cell>
        </row>
        <row r="588">
          <cell r="B588" t="str">
            <v>LEY MODA TEKSTİL TASARIM SANAYİ VE TİC LİMİTED</v>
          </cell>
          <cell r="C588" t="str">
            <v>SMB</v>
          </cell>
          <cell r="D588">
            <v>0</v>
          </cell>
        </row>
        <row r="589">
          <cell r="B589" t="str">
            <v>Rateks Baski Boya Sanayi ve Ticaret Anonim Şirketi</v>
          </cell>
          <cell r="C589" t="str">
            <v>SMB</v>
          </cell>
          <cell r="D589">
            <v>0</v>
          </cell>
        </row>
        <row r="590">
          <cell r="B590" t="str">
            <v>İGM GÜMRÜK MÜŞAVİRLİĞİ</v>
          </cell>
          <cell r="C590" t="str">
            <v>SMB</v>
          </cell>
          <cell r="D590">
            <v>0</v>
          </cell>
        </row>
        <row r="591">
          <cell r="B591" t="str">
            <v>ROTAP TEKNOLOJİ YAZILIM</v>
          </cell>
          <cell r="C591" t="str">
            <v>SMB</v>
          </cell>
          <cell r="D591">
            <v>0</v>
          </cell>
        </row>
        <row r="592">
          <cell r="B592" t="str">
            <v>Dizayn Teknik Boru ve Elemanları San. ve Tic A.Ş.</v>
          </cell>
          <cell r="C592" t="str">
            <v>SMB</v>
          </cell>
          <cell r="D592">
            <v>0</v>
          </cell>
        </row>
        <row r="593">
          <cell r="B593" t="str">
            <v>ANATORIAS DIŞ TİCARET LTD. ŞTİ.</v>
          </cell>
          <cell r="C593" t="str">
            <v>SMB</v>
          </cell>
          <cell r="D593">
            <v>0</v>
          </cell>
        </row>
        <row r="594">
          <cell r="B594" t="str">
            <v>SÜTPLUS GIDA TÜKETİM MADDELERİ SAN.VE TİC.LTD.ŞTİ.</v>
          </cell>
          <cell r="C594" t="str">
            <v>SMB</v>
          </cell>
          <cell r="D594">
            <v>0</v>
          </cell>
        </row>
        <row r="595">
          <cell r="B595" t="str">
            <v>ÖZEL ALEV OKULLARI</v>
          </cell>
          <cell r="C595" t="str">
            <v>SMB</v>
          </cell>
          <cell r="D595">
            <v>0</v>
          </cell>
        </row>
        <row r="596">
          <cell r="B596" t="str">
            <v>FYK MOBILE</v>
          </cell>
          <cell r="C596" t="str">
            <v>ENTERPRISE</v>
          </cell>
          <cell r="D596">
            <v>0</v>
          </cell>
        </row>
        <row r="597">
          <cell r="B597" t="str">
            <v>SL INVEST DANIŞMANLIK ANONİM ŞİRKETİ</v>
          </cell>
          <cell r="C597" t="str">
            <v>SMB</v>
          </cell>
          <cell r="D597">
            <v>0</v>
          </cell>
        </row>
        <row r="598">
          <cell r="B598" t="str">
            <v>SAREM TURİZM GIDA TİCARET LİMİTED ŞİRKETİ</v>
          </cell>
          <cell r="C598" t="str">
            <v>SMB</v>
          </cell>
          <cell r="D598">
            <v>0</v>
          </cell>
        </row>
        <row r="599">
          <cell r="B599" t="str">
            <v>ASYAMED TEKNİK TIBBI MALZEMELER - ASLAN BURSALI</v>
          </cell>
          <cell r="C599" t="str">
            <v>SMB</v>
          </cell>
          <cell r="D599">
            <v>0</v>
          </cell>
        </row>
        <row r="600">
          <cell r="B600" t="str">
            <v>EMTEK SU VE ISI TEKN İNŞ SAN DIŞ TİC LTD ŞTİ</v>
          </cell>
          <cell r="C600" t="str">
            <v>SMB</v>
          </cell>
          <cell r="D600">
            <v>0</v>
          </cell>
        </row>
        <row r="601">
          <cell r="B601" t="str">
            <v>MURAT UYSAL YAPI MALZEMELERİ SANAYİ VE DIŞ TİCARET</v>
          </cell>
          <cell r="C601" t="str">
            <v>SMB</v>
          </cell>
          <cell r="D601">
            <v>0</v>
          </cell>
        </row>
        <row r="602">
          <cell r="B602" t="str">
            <v>TARGET MUTFAK SİSTEM ÇÖZÜMLERİ A.Ş</v>
          </cell>
          <cell r="C602" t="str">
            <v>SMB</v>
          </cell>
          <cell r="D602">
            <v>0</v>
          </cell>
        </row>
        <row r="603">
          <cell r="B603" t="str">
            <v>SADIK GROUP YATIRIM İNŞAAT VE TİCARET LİMİTED ŞİRK</v>
          </cell>
          <cell r="C603" t="str">
            <v>SMB</v>
          </cell>
          <cell r="D603">
            <v>0</v>
          </cell>
        </row>
        <row r="604">
          <cell r="B604" t="str">
            <v>BY SELMA ÖZKAN / MELİSA COLLECTION</v>
          </cell>
          <cell r="C604" t="str">
            <v>SMB</v>
          </cell>
          <cell r="D604">
            <v>0</v>
          </cell>
        </row>
        <row r="605">
          <cell r="B605" t="str">
            <v>Atomy Turkey Kozmetik ve Sağlıklı Ürünler Limited</v>
          </cell>
          <cell r="C605" t="str">
            <v>SMB</v>
          </cell>
          <cell r="D605">
            <v>0</v>
          </cell>
        </row>
        <row r="606">
          <cell r="B606" t="str">
            <v>ZEYMEL İÇ VE DIŞ TİC. A.Ş.</v>
          </cell>
          <cell r="C606" t="str">
            <v>SMB</v>
          </cell>
          <cell r="D606">
            <v>0</v>
          </cell>
        </row>
        <row r="607">
          <cell r="B607" t="str">
            <v>ANTAKYA BASIM YAYIN TURZ.İNŞ.TİC.LTD.ŞTİ</v>
          </cell>
          <cell r="C607" t="str">
            <v>SMB</v>
          </cell>
          <cell r="D607">
            <v>0</v>
          </cell>
        </row>
        <row r="608">
          <cell r="B608" t="str">
            <v>FYTECH</v>
          </cell>
          <cell r="C608" t="str">
            <v>SMB</v>
          </cell>
          <cell r="D608">
            <v>0</v>
          </cell>
        </row>
        <row r="609">
          <cell r="B609" t="str">
            <v>TEDMARİNE GEMİ ACENTELİĞİ ANONİM ŞİRKETİ</v>
          </cell>
          <cell r="C609" t="str">
            <v>SMB</v>
          </cell>
          <cell r="D609">
            <v>0</v>
          </cell>
        </row>
        <row r="610">
          <cell r="B610" t="str">
            <v>DAĞCIOĞLU BAHARAT</v>
          </cell>
          <cell r="C610" t="str">
            <v>SMB</v>
          </cell>
          <cell r="D610">
            <v>0</v>
          </cell>
        </row>
        <row r="611">
          <cell r="B611" t="str">
            <v>ULU MOTOR SAN. VE TİC.. A.Ş</v>
          </cell>
          <cell r="C611" t="str">
            <v>SMB</v>
          </cell>
          <cell r="D611">
            <v>0</v>
          </cell>
        </row>
        <row r="612">
          <cell r="B612" t="str">
            <v>ARTI SISTEM LTD. ŞTI.</v>
          </cell>
          <cell r="C612" t="str">
            <v>OTHER</v>
          </cell>
          <cell r="D612">
            <v>0</v>
          </cell>
        </row>
        <row r="613">
          <cell r="B613" t="str">
            <v>BMC OTOMOTİV SANAYİ VE TİCARET A.Ş.</v>
          </cell>
          <cell r="C613" t="str">
            <v>OTHER</v>
          </cell>
          <cell r="D613">
            <v>0</v>
          </cell>
        </row>
        <row r="614">
          <cell r="B614" t="str">
            <v>HABITAT DERNEĞI</v>
          </cell>
          <cell r="C614" t="str">
            <v>OTHER</v>
          </cell>
          <cell r="D614">
            <v>0</v>
          </cell>
        </row>
        <row r="615">
          <cell r="B615" t="str">
            <v>İNTERAKTİFKREDİ DANIŞMANLIK ANONOM ŞİRKETİ</v>
          </cell>
          <cell r="C615" t="str">
            <v>OTHER</v>
          </cell>
          <cell r="D615">
            <v>0</v>
          </cell>
        </row>
        <row r="616">
          <cell r="B616" t="str">
            <v>KATRE ISI SAN.TİC.A.Ş.</v>
          </cell>
          <cell r="C616" t="str">
            <v>OTHER</v>
          </cell>
          <cell r="D616">
            <v>0</v>
          </cell>
        </row>
        <row r="617">
          <cell r="B617" t="str">
            <v>MAKSIMUM BILGISAYAR LTD.ŞTI.</v>
          </cell>
          <cell r="C617" t="str">
            <v>OTHER</v>
          </cell>
          <cell r="D617">
            <v>0</v>
          </cell>
        </row>
        <row r="618">
          <cell r="B618" t="str">
            <v>NERO TURIZM VE TICARET A.Ş.</v>
          </cell>
          <cell r="C618" t="str">
            <v>OTHER</v>
          </cell>
          <cell r="D618">
            <v>0</v>
          </cell>
        </row>
        <row r="619">
          <cell r="B619" t="str">
            <v>NOKTA ELEKTRONIK MEDYA A.Ş. ( HABER7 )</v>
          </cell>
          <cell r="C619" t="str">
            <v>OTHER</v>
          </cell>
          <cell r="D619">
            <v>0</v>
          </cell>
        </row>
        <row r="620">
          <cell r="B620" t="str">
            <v>SİSTEMA SİSTEM VE BİLGİ ÇÖZÜMLERİ ORGANİZASYON DAN</v>
          </cell>
          <cell r="C620" t="str">
            <v>OTHER</v>
          </cell>
          <cell r="D620">
            <v>0</v>
          </cell>
        </row>
        <row r="621">
          <cell r="B621" t="str">
            <v>SPITALUL DE ONCOLOGIE MONZA S.R.L.</v>
          </cell>
          <cell r="C621" t="str">
            <v>OTHER</v>
          </cell>
          <cell r="D621">
            <v>0</v>
          </cell>
        </row>
        <row r="622">
          <cell r="B622" t="str">
            <v>SUN TEKSTİL SAN.VE TİC.A.Ş.</v>
          </cell>
          <cell r="C622" t="str">
            <v>SMB</v>
          </cell>
          <cell r="D622">
            <v>0</v>
          </cell>
        </row>
        <row r="623">
          <cell r="B623" t="str">
            <v>TAG BILIŞIM TICARET VE PAZARLAMA ANONIM ŞIRKETI</v>
          </cell>
          <cell r="C623" t="str">
            <v>OTHER</v>
          </cell>
          <cell r="D623">
            <v>0</v>
          </cell>
        </row>
        <row r="624">
          <cell r="B624" t="str">
            <v>TUNÇEL TURİZM İTH. İHR. VE TİC. LTD. ŞTİ.</v>
          </cell>
          <cell r="C624" t="str">
            <v>OTHER</v>
          </cell>
          <cell r="D624">
            <v>0</v>
          </cell>
        </row>
        <row r="625">
          <cell r="B625" t="str">
            <v>UDEA ELEKTRONIK SANAYI VE TICARET A.Ş.</v>
          </cell>
          <cell r="C625" t="str">
            <v>OTHER</v>
          </cell>
          <cell r="D625">
            <v>0</v>
          </cell>
        </row>
        <row r="626">
          <cell r="B626" t="str">
            <v>EZA İNTERNET HİZMETLERİ PAZARLAMA TİC. A.Ş</v>
          </cell>
          <cell r="C626" t="str">
            <v>SMB</v>
          </cell>
          <cell r="D626">
            <v>0</v>
          </cell>
        </row>
        <row r="627">
          <cell r="B627" t="str">
            <v>ROSTHİL SU ARITIM TEKNOLOJİLERİ</v>
          </cell>
          <cell r="C627" t="str">
            <v>SMB</v>
          </cell>
          <cell r="D627">
            <v>0</v>
          </cell>
        </row>
        <row r="628">
          <cell r="B628" t="str">
            <v>CABİR HOLDİNG - MİLK ACADEMY</v>
          </cell>
          <cell r="C628" t="str">
            <v>SMB</v>
          </cell>
          <cell r="D628">
            <v>0</v>
          </cell>
        </row>
        <row r="629">
          <cell r="B629" t="str">
            <v>EKİN ENFORMASYON SİSTEMLERİ SAN.VE TİC.LTD.ŞTİ.</v>
          </cell>
          <cell r="C629" t="str">
            <v>SMB</v>
          </cell>
          <cell r="D629">
            <v>0</v>
          </cell>
        </row>
        <row r="630">
          <cell r="B630" t="str">
            <v>DİNAMİK TOPTAN GIDA PAZARLAMA SAN.TİC.LTD.ŞTİ</v>
          </cell>
          <cell r="C630" t="str">
            <v>SMB</v>
          </cell>
          <cell r="D630">
            <v>0</v>
          </cell>
        </row>
        <row r="631">
          <cell r="B631" t="str">
            <v>PENINSULA CORPORATE FINANCE DANIŞMANLIK A.Ş</v>
          </cell>
          <cell r="C631" t="str">
            <v>SMB</v>
          </cell>
          <cell r="D631">
            <v>0</v>
          </cell>
        </row>
        <row r="632">
          <cell r="B632" t="str">
            <v>Royal Duchess Marine Denizcilik A.Ş.</v>
          </cell>
          <cell r="C632" t="str">
            <v>SMB</v>
          </cell>
          <cell r="D632">
            <v>0</v>
          </cell>
        </row>
        <row r="633">
          <cell r="B633" t="str">
            <v>TS Verim Danışmanlık ve Turizm Ltd Şti.</v>
          </cell>
          <cell r="C633" t="str">
            <v>SMB</v>
          </cell>
          <cell r="D633">
            <v>0</v>
          </cell>
        </row>
        <row r="634">
          <cell r="B634" t="str">
            <v>METU KİMYA</v>
          </cell>
          <cell r="C634" t="str">
            <v>SMB</v>
          </cell>
          <cell r="D634">
            <v>0</v>
          </cell>
        </row>
        <row r="635">
          <cell r="B635" t="str">
            <v>M.BULUT İNŞAAT / MEHMET BULUT</v>
          </cell>
          <cell r="C635" t="str">
            <v>SMB</v>
          </cell>
          <cell r="D635">
            <v>0</v>
          </cell>
        </row>
        <row r="636">
          <cell r="B636" t="str">
            <v>HİVA TEKSTİL ÜRÜNLERİ SAN. VE TİC. LTD.ŞTİ</v>
          </cell>
          <cell r="C636" t="str">
            <v>SMB</v>
          </cell>
          <cell r="D636">
            <v>0</v>
          </cell>
        </row>
        <row r="637">
          <cell r="B637" t="str">
            <v>OTO NAMUK TRAKTÖR YEDEK PARÇA VE TARIM MAK.SAN.TİC</v>
          </cell>
          <cell r="C637" t="str">
            <v>SMB</v>
          </cell>
          <cell r="D637">
            <v>0</v>
          </cell>
        </row>
        <row r="638">
          <cell r="B638" t="str">
            <v>Welldermo Sağlık Güzellik ve Spor Ürünleri San. Ti</v>
          </cell>
          <cell r="C638" t="str">
            <v>SMB</v>
          </cell>
          <cell r="D638">
            <v>0</v>
          </cell>
        </row>
        <row r="639">
          <cell r="B639" t="str">
            <v>PRİNCEPS LEGEM KURUMSAL DANIŞMANLIK LTD.ŞTİ</v>
          </cell>
          <cell r="C639" t="str">
            <v>SMB</v>
          </cell>
          <cell r="D639">
            <v>0</v>
          </cell>
        </row>
        <row r="640">
          <cell r="B640" t="str">
            <v>USTA ELLER BAKLAVA</v>
          </cell>
          <cell r="C640" t="str">
            <v>SMB</v>
          </cell>
          <cell r="D640">
            <v>0</v>
          </cell>
        </row>
        <row r="641">
          <cell r="B641" t="str">
            <v>SİMETO GÜMRÜK MÜŞAVİRLİĞİ VE LOJİSTİK</v>
          </cell>
          <cell r="C641" t="str">
            <v>SMB</v>
          </cell>
          <cell r="D641">
            <v>0</v>
          </cell>
        </row>
        <row r="642">
          <cell r="B642" t="str">
            <v>SUNTEL BANYO MUTFAK AKSESUARLARI SAN. TİC. LTD.ŞTİ</v>
          </cell>
          <cell r="C642" t="str">
            <v>SMB</v>
          </cell>
          <cell r="D642">
            <v>0</v>
          </cell>
        </row>
        <row r="643">
          <cell r="B643" t="str">
            <v>Organikasyon Gıda Turizm ve Organizasyon Ltd. Şti.</v>
          </cell>
          <cell r="C643" t="str">
            <v>SMB</v>
          </cell>
          <cell r="D643">
            <v>0</v>
          </cell>
        </row>
        <row r="644">
          <cell r="B644" t="str">
            <v>Mor Elma Yayıncılık</v>
          </cell>
          <cell r="C644" t="str">
            <v>SMB</v>
          </cell>
          <cell r="D644">
            <v>0</v>
          </cell>
        </row>
        <row r="645">
          <cell r="B645" t="str">
            <v>VELOSİ ELEKTRONİK TİC.LTD.ŞTİ</v>
          </cell>
          <cell r="C645" t="str">
            <v>SMB</v>
          </cell>
          <cell r="D645">
            <v>0</v>
          </cell>
        </row>
        <row r="646">
          <cell r="B646" t="str">
            <v>PİSANO MÜŞTERİ İLETİŞİM ÇÖZÜMLERİ</v>
          </cell>
          <cell r="C646" t="str">
            <v>ENTERPRISE</v>
          </cell>
          <cell r="D646">
            <v>0</v>
          </cell>
        </row>
        <row r="647">
          <cell r="B647" t="str">
            <v>BODRUM MİLAS AKARYAKIT OTOMOTİV TURİZM İNŞAAT YATI</v>
          </cell>
          <cell r="C647" t="str">
            <v>SMB</v>
          </cell>
          <cell r="D647">
            <v>0</v>
          </cell>
        </row>
        <row r="648">
          <cell r="B648" t="str">
            <v>IRMAK SAYA TRİKO SAN. VE TİC.LTD.ŞTİ.</v>
          </cell>
          <cell r="C648" t="str">
            <v>SMB</v>
          </cell>
          <cell r="D648">
            <v>0</v>
          </cell>
        </row>
        <row r="649">
          <cell r="B649" t="str">
            <v>KALE JET MOTORLARI</v>
          </cell>
          <cell r="C649" t="str">
            <v>ENTERPRISE</v>
          </cell>
          <cell r="D649">
            <v>0</v>
          </cell>
        </row>
        <row r="650">
          <cell r="B650" t="str">
            <v>Fortis Plastik Sanayi Ticaret Ltd.Şti.</v>
          </cell>
          <cell r="C650" t="str">
            <v>SMB</v>
          </cell>
          <cell r="D650">
            <v>0</v>
          </cell>
        </row>
        <row r="651">
          <cell r="B651" t="str">
            <v>Mastcolor Plastik San Ve Tic Ltd Şti</v>
          </cell>
          <cell r="C651" t="str">
            <v>SMB</v>
          </cell>
          <cell r="D651">
            <v>0</v>
          </cell>
        </row>
        <row r="652">
          <cell r="B652" t="str">
            <v>PETROLİGHT KİMYA SANAYİ VE DIŞ TİC.LTD.ŞTİ</v>
          </cell>
          <cell r="C652" t="str">
            <v>SMB</v>
          </cell>
          <cell r="D652">
            <v>0</v>
          </cell>
        </row>
        <row r="653">
          <cell r="B653" t="str">
            <v>ASN FORKLİFT İŞ MAKİNALARI SAN.VE TİC.LTD.ŞTİ</v>
          </cell>
          <cell r="C653" t="str">
            <v>SMB</v>
          </cell>
          <cell r="D653">
            <v>0</v>
          </cell>
        </row>
        <row r="654">
          <cell r="B654" t="str">
            <v>4D ENDÜSTRİYEL ÇÖZÜMLER SANAYİ VE TİCARET LİMİTED</v>
          </cell>
          <cell r="C654" t="str">
            <v>SMB</v>
          </cell>
          <cell r="D654">
            <v>0</v>
          </cell>
        </row>
        <row r="655">
          <cell r="B655" t="str">
            <v>ENVAWİSE LOJİSTİK ANONİM ŞİRKETİ</v>
          </cell>
          <cell r="C655" t="str">
            <v>SMB</v>
          </cell>
          <cell r="D655">
            <v>0</v>
          </cell>
        </row>
        <row r="656">
          <cell r="B656" t="str">
            <v>PRİME PORTFÖY YÖNETİMİ ANONİM ŞİRKETİ</v>
          </cell>
          <cell r="C656" t="str">
            <v>SMB</v>
          </cell>
          <cell r="D656">
            <v>0</v>
          </cell>
        </row>
        <row r="657">
          <cell r="B657" t="str">
            <v>Mobiltrust</v>
          </cell>
          <cell r="C657" t="str">
            <v>OTHER</v>
          </cell>
          <cell r="D657">
            <v>0</v>
          </cell>
        </row>
        <row r="658">
          <cell r="B658" t="str">
            <v>PEDAŞ LED AYDINLATMA TEKNOLOJİLERİ A.Ş.</v>
          </cell>
          <cell r="C658" t="str">
            <v>SMB</v>
          </cell>
          <cell r="D658">
            <v>0</v>
          </cell>
        </row>
        <row r="659">
          <cell r="B659" t="str">
            <v>MY FLOWERS TARIM SANAYİ TİC.LTD.ŞTİ</v>
          </cell>
          <cell r="C659" t="str">
            <v>SMB</v>
          </cell>
          <cell r="D659">
            <v>0</v>
          </cell>
        </row>
        <row r="660">
          <cell r="B660" t="str">
            <v>Bisam Cephe Sistemleri AS</v>
          </cell>
          <cell r="C660" t="str">
            <v>SMB</v>
          </cell>
          <cell r="D660">
            <v>0</v>
          </cell>
        </row>
        <row r="661">
          <cell r="B661" t="str">
            <v>SONÇAĞ MÜHENDİSLİK - SİNAN SONÇAĞI</v>
          </cell>
          <cell r="C661" t="str">
            <v>SMB</v>
          </cell>
          <cell r="D661">
            <v>0</v>
          </cell>
        </row>
        <row r="662">
          <cell r="B662" t="str">
            <v>SERTAN TEKNİK KESİCİ TAKIM SANAYİ TİC.LTD.ŞTİ</v>
          </cell>
          <cell r="C662" t="str">
            <v>SMB</v>
          </cell>
          <cell r="D662">
            <v>0</v>
          </cell>
        </row>
        <row r="663">
          <cell r="B663" t="str">
            <v>İDİLSU TEKS.TUR.İNŞ.TAAH.İTH.İHR.VETİC.LTD.ŞTİ</v>
          </cell>
          <cell r="C663" t="str">
            <v>SMB</v>
          </cell>
          <cell r="D663">
            <v>0</v>
          </cell>
        </row>
        <row r="664">
          <cell r="B664" t="str">
            <v>VMM VAROL MAKİNA SAN.TİC.LTD.ŞTİ.</v>
          </cell>
          <cell r="C664" t="str">
            <v>SMB</v>
          </cell>
          <cell r="D664">
            <v>0</v>
          </cell>
        </row>
        <row r="665">
          <cell r="B665" t="str">
            <v>Birleşik Araştırmacılar</v>
          </cell>
          <cell r="C665" t="str">
            <v>SMB</v>
          </cell>
          <cell r="D665">
            <v>0</v>
          </cell>
        </row>
        <row r="666">
          <cell r="B666" t="str">
            <v>ANDRİALİ CONTRACT TEKSTİL SAN.TİC.LTD.ŞTİ</v>
          </cell>
          <cell r="C666" t="str">
            <v>SMB</v>
          </cell>
          <cell r="D666">
            <v>0</v>
          </cell>
        </row>
        <row r="667">
          <cell r="B667" t="str">
            <v>GÜROK GRUP</v>
          </cell>
          <cell r="C667" t="str">
            <v>ENTERPRISE</v>
          </cell>
          <cell r="D667">
            <v>0</v>
          </cell>
        </row>
        <row r="668">
          <cell r="B668" t="str">
            <v>DEMİRSOY PASLANMAZ ÇELİK DÖKÜM SAN.VE TİC.LTD.ŞTİ</v>
          </cell>
          <cell r="C668" t="str">
            <v>SMB</v>
          </cell>
          <cell r="D668">
            <v>0</v>
          </cell>
        </row>
        <row r="669">
          <cell r="B669" t="str">
            <v>AKAR TAAHHÜT YAPI İNŞAAT</v>
          </cell>
          <cell r="C669" t="str">
            <v>SMB</v>
          </cell>
          <cell r="D669">
            <v>0</v>
          </cell>
        </row>
        <row r="670">
          <cell r="B670" t="str">
            <v>DBB MÜHENDİSLİK ELEKTRİK TAAHHÜT İNŞAAT TİCARET LT</v>
          </cell>
          <cell r="C670" t="str">
            <v>SMB</v>
          </cell>
          <cell r="D670">
            <v>0</v>
          </cell>
        </row>
        <row r="671">
          <cell r="B671" t="str">
            <v>ART Teknik Iklimlendirme ve Otomotiv A.Ş</v>
          </cell>
          <cell r="C671" t="str">
            <v>SMB</v>
          </cell>
          <cell r="D671">
            <v>0</v>
          </cell>
        </row>
        <row r="672">
          <cell r="B672" t="str">
            <v>AKSİN TEKNİK HIRDAVAT VE YAPI MALZEMELERİ SAN.TİC.</v>
          </cell>
          <cell r="C672" t="str">
            <v>SMB</v>
          </cell>
          <cell r="D672">
            <v>0</v>
          </cell>
        </row>
        <row r="673">
          <cell r="B673" t="str">
            <v>EGGO GROUP (URFASAN)</v>
          </cell>
          <cell r="C673" t="str">
            <v>SMB</v>
          </cell>
          <cell r="D673">
            <v>0</v>
          </cell>
        </row>
        <row r="674">
          <cell r="B674" t="str">
            <v>KOREL ELEKTRİK VE GEMİ MALZEMELERİ SAN.TİC.LTD.ŞTİ</v>
          </cell>
          <cell r="C674" t="str">
            <v>SMB</v>
          </cell>
          <cell r="D674">
            <v>0</v>
          </cell>
        </row>
        <row r="675">
          <cell r="B675" t="str">
            <v>ALB MENKUL DEGERLER A.S.</v>
          </cell>
          <cell r="C675" t="str">
            <v>SMB</v>
          </cell>
        </row>
        <row r="676">
          <cell r="B676" t="str">
            <v>EUREKO SİGORTA  A.Ş.</v>
          </cell>
          <cell r="C676" t="str">
            <v>ENTERPRISE</v>
          </cell>
        </row>
        <row r="677">
          <cell r="B677" t="str">
            <v>EBEBEK MAĞAZACILIK A.Ş.</v>
          </cell>
          <cell r="C677" t="str">
            <v>ENTERPRISE</v>
          </cell>
        </row>
        <row r="678">
          <cell r="B678" t="str">
            <v>TÜRKİYE FİNANS KATILIM BANKASI A.Ş.</v>
          </cell>
          <cell r="C678" t="str">
            <v>ENTERPRISE</v>
          </cell>
        </row>
        <row r="679">
          <cell r="B679" t="str">
            <v>BESTCLOUDFOR.ME</v>
          </cell>
          <cell r="C679" t="str">
            <v>OTHER</v>
          </cell>
        </row>
        <row r="680">
          <cell r="B680" t="str">
            <v>Siro Silk Road Temiz Enerji Depolama Teknolojileri</v>
          </cell>
          <cell r="C680" t="str">
            <v>ENTERPRISE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2"/>
      <sheetName val="Check1"/>
      <sheetName val="NOT"/>
      <sheetName val="DIFFERENCES"/>
      <sheetName val="Revenue_Engine_2025 Oct.25"/>
      <sheetName val="Oct.25"/>
      <sheetName val="Revenue_Engine_2025 Sep.25"/>
      <sheetName val="Sep.25"/>
      <sheetName val="Aug.25"/>
      <sheetName val="Jul.25"/>
      <sheetName val="Jun.25"/>
      <sheetName val="May.25"/>
      <sheetName val="Apr.25"/>
      <sheetName val="Mar.25"/>
      <sheetName val="Feb.25"/>
      <sheetName val="Jan.25"/>
      <sheetName val="Dec.24"/>
      <sheetName val="Revenue_Engine_2025 Aug.25"/>
      <sheetName val="Revenue_Engine_2025 Jul.25"/>
      <sheetName val="Revenue_Engine_2025 Jun.25"/>
      <sheetName val="Revenue_Engine_2025 May.25"/>
      <sheetName val="Revenue_Engine_2025 Apr.25"/>
      <sheetName val="Revenue_Engine_2025 Mar.25"/>
      <sheetName val="Revenue_Engine_2025 Feb.25"/>
      <sheetName val="Revenue_Engine_2025 Jan.25"/>
    </sheetNames>
    <sheetDataSet>
      <sheetData sheetId="0"/>
      <sheetData sheetId="1"/>
      <sheetData sheetId="2"/>
      <sheetData sheetId="3"/>
      <sheetData sheetId="4">
        <row r="14">
          <cell r="C14" t="str">
            <v>2 DESIGN MIMARLIK INS. SAN. VE TIC. A.S.</v>
          </cell>
          <cell r="D14" t="str">
            <v>SMB</v>
          </cell>
          <cell r="E14">
            <v>0</v>
          </cell>
          <cell r="F14" t="str">
            <v>A-MB446</v>
          </cell>
          <cell r="G14">
            <v>44652</v>
          </cell>
        </row>
        <row r="15">
          <cell r="C15" t="str">
            <v>TL</v>
          </cell>
          <cell r="D15" t="str">
            <v>SMB</v>
          </cell>
          <cell r="G15">
            <v>44652</v>
          </cell>
        </row>
        <row r="16">
          <cell r="C16" t="str">
            <v>TL</v>
          </cell>
          <cell r="D16" t="str">
            <v>SMB</v>
          </cell>
        </row>
        <row r="17">
          <cell r="C17" t="str">
            <v>USD</v>
          </cell>
          <cell r="D17" t="str">
            <v>SMB</v>
          </cell>
        </row>
        <row r="18">
          <cell r="C18" t="str">
            <v>USD</v>
          </cell>
          <cell r="D18" t="str">
            <v>SMB</v>
          </cell>
          <cell r="G18">
            <v>44652</v>
          </cell>
        </row>
        <row r="19">
          <cell r="C19" t="str">
            <v>USD</v>
          </cell>
          <cell r="D19" t="str">
            <v>SMB</v>
          </cell>
          <cell r="G19">
            <v>45687</v>
          </cell>
        </row>
        <row r="20">
          <cell r="C20" t="str">
            <v>USD</v>
          </cell>
          <cell r="D20" t="str">
            <v>SMB</v>
          </cell>
          <cell r="G20">
            <v>45687</v>
          </cell>
        </row>
        <row r="21">
          <cell r="C21" t="str">
            <v>USD</v>
          </cell>
          <cell r="D21" t="str">
            <v>SMB</v>
          </cell>
          <cell r="G21">
            <v>45674</v>
          </cell>
        </row>
        <row r="22">
          <cell r="C22" t="str">
            <v>USD</v>
          </cell>
          <cell r="D22" t="str">
            <v>SMB</v>
          </cell>
          <cell r="G22">
            <v>45726</v>
          </cell>
        </row>
        <row r="23">
          <cell r="C23" t="str">
            <v>USD</v>
          </cell>
          <cell r="D23" t="str">
            <v>SMB</v>
          </cell>
        </row>
        <row r="24">
          <cell r="C24" t="str">
            <v>USD</v>
          </cell>
          <cell r="D24" t="str">
            <v>SMB</v>
          </cell>
        </row>
        <row r="25">
          <cell r="C25" t="str">
            <v>EUR</v>
          </cell>
          <cell r="D25" t="str">
            <v>SMB</v>
          </cell>
        </row>
        <row r="26">
          <cell r="C26" t="str">
            <v>Kur Sabitleme</v>
          </cell>
          <cell r="D26" t="str">
            <v>SMB</v>
          </cell>
        </row>
        <row r="27">
          <cell r="C27" t="str">
            <v>ACTIFIT SPOR VE SAĞLIK HİZMETLERİ SANAYİ VE TİCARE</v>
          </cell>
          <cell r="D27" t="str">
            <v>SMB</v>
          </cell>
          <cell r="E27">
            <v>0</v>
          </cell>
          <cell r="F27" t="str">
            <v>A-MB364</v>
          </cell>
          <cell r="G27">
            <v>44530</v>
          </cell>
        </row>
        <row r="28">
          <cell r="C28" t="str">
            <v>TL</v>
          </cell>
          <cell r="D28" t="str">
            <v>SMB</v>
          </cell>
          <cell r="G28">
            <v>44530</v>
          </cell>
        </row>
        <row r="29">
          <cell r="C29" t="str">
            <v>USD</v>
          </cell>
          <cell r="D29" t="str">
            <v>SMB</v>
          </cell>
          <cell r="G29">
            <v>45013</v>
          </cell>
        </row>
        <row r="30">
          <cell r="C30" t="str">
            <v>USD</v>
          </cell>
          <cell r="D30" t="str">
            <v>SMB</v>
          </cell>
          <cell r="G30">
            <v>45807</v>
          </cell>
        </row>
        <row r="31">
          <cell r="C31" t="str">
            <v>EUR</v>
          </cell>
          <cell r="D31" t="str">
            <v>SMB</v>
          </cell>
        </row>
        <row r="32">
          <cell r="C32" t="str">
            <v>Kur Sabitleme</v>
          </cell>
          <cell r="D32" t="str">
            <v>SMB</v>
          </cell>
        </row>
        <row r="33">
          <cell r="C33" t="str">
            <v>MAYA HOLDING - ADMA ALISVERIS</v>
          </cell>
          <cell r="D33" t="str">
            <v>SMB</v>
          </cell>
          <cell r="E33">
            <v>0</v>
          </cell>
          <cell r="F33" t="str">
            <v>A-MB453</v>
          </cell>
          <cell r="G33">
            <v>40815</v>
          </cell>
        </row>
        <row r="34">
          <cell r="C34" t="str">
            <v>TL</v>
          </cell>
          <cell r="D34" t="str">
            <v>SMB</v>
          </cell>
        </row>
        <row r="35">
          <cell r="C35" t="str">
            <v>USD</v>
          </cell>
          <cell r="D35" t="str">
            <v>SMB</v>
          </cell>
          <cell r="G35">
            <v>40815</v>
          </cell>
        </row>
        <row r="36">
          <cell r="C36" t="str">
            <v>EUR</v>
          </cell>
          <cell r="D36" t="str">
            <v>SMB</v>
          </cell>
        </row>
        <row r="37">
          <cell r="C37" t="str">
            <v>Kur Sabitleme</v>
          </cell>
          <cell r="D37" t="str">
            <v>SMB</v>
          </cell>
        </row>
        <row r="38">
          <cell r="C38" t="str">
            <v>AFFIDEA</v>
          </cell>
          <cell r="D38" t="str">
            <v>SMB</v>
          </cell>
          <cell r="E38">
            <v>0</v>
          </cell>
          <cell r="F38" t="str">
            <v>…..</v>
          </cell>
          <cell r="G38">
            <v>43717</v>
          </cell>
        </row>
        <row r="39">
          <cell r="C39" t="str">
            <v>TL</v>
          </cell>
          <cell r="D39" t="str">
            <v>SMB</v>
          </cell>
        </row>
        <row r="40">
          <cell r="C40" t="str">
            <v>USD</v>
          </cell>
          <cell r="D40" t="str">
            <v>SMB</v>
          </cell>
        </row>
        <row r="41">
          <cell r="C41" t="str">
            <v>EUR</v>
          </cell>
          <cell r="D41" t="str">
            <v>SMB</v>
          </cell>
          <cell r="G41">
            <v>43717</v>
          </cell>
        </row>
        <row r="42">
          <cell r="C42" t="str">
            <v>Kur Sabitleme</v>
          </cell>
          <cell r="D42" t="str">
            <v>SMB</v>
          </cell>
        </row>
        <row r="43">
          <cell r="C43" t="str">
            <v>AGDAS ADAPAZARI GAZ DAGITIM A.S.</v>
          </cell>
          <cell r="D43" t="str">
            <v>Enterprise</v>
          </cell>
          <cell r="E43">
            <v>0</v>
          </cell>
          <cell r="F43" t="str">
            <v>A-MB384</v>
          </cell>
          <cell r="G43">
            <v>45044</v>
          </cell>
        </row>
        <row r="44">
          <cell r="C44" t="str">
            <v>TL</v>
          </cell>
          <cell r="D44" t="str">
            <v>Enterprise</v>
          </cell>
          <cell r="G44">
            <v>45044</v>
          </cell>
        </row>
        <row r="45">
          <cell r="C45" t="str">
            <v>TL</v>
          </cell>
          <cell r="D45" t="str">
            <v>Enterprise</v>
          </cell>
        </row>
        <row r="46">
          <cell r="C46" t="str">
            <v>TL</v>
          </cell>
          <cell r="D46" t="str">
            <v>Enterprise</v>
          </cell>
        </row>
        <row r="47">
          <cell r="C47" t="str">
            <v>USD</v>
          </cell>
          <cell r="D47" t="str">
            <v>Enterprise</v>
          </cell>
          <cell r="G47">
            <v>45044</v>
          </cell>
        </row>
        <row r="48">
          <cell r="C48" t="str">
            <v>EUR</v>
          </cell>
          <cell r="D48" t="str">
            <v>Enterprise</v>
          </cell>
        </row>
        <row r="49">
          <cell r="C49" t="str">
            <v>Kur Sabitleme</v>
          </cell>
          <cell r="D49" t="str">
            <v>Enterprise</v>
          </cell>
        </row>
        <row r="50">
          <cell r="C50" t="str">
            <v>AGİTO BİLGİSAYAR VE DANIŞMANLIK HİZMETLERİ</v>
          </cell>
          <cell r="D50" t="str">
            <v>SMB</v>
          </cell>
          <cell r="E50">
            <v>0</v>
          </cell>
          <cell r="F50" t="str">
            <v>A-MB375</v>
          </cell>
          <cell r="G50">
            <v>45062</v>
          </cell>
        </row>
        <row r="51">
          <cell r="C51" t="str">
            <v>TL</v>
          </cell>
          <cell r="D51" t="str">
            <v>SMB</v>
          </cell>
          <cell r="G51">
            <v>45062</v>
          </cell>
        </row>
        <row r="52">
          <cell r="C52" t="str">
            <v>USD</v>
          </cell>
          <cell r="D52" t="str">
            <v>SMB</v>
          </cell>
        </row>
        <row r="53">
          <cell r="C53" t="str">
            <v>EUR</v>
          </cell>
          <cell r="D53" t="str">
            <v>SMB</v>
          </cell>
        </row>
        <row r="54">
          <cell r="C54" t="str">
            <v>Kur Sabitleme</v>
          </cell>
          <cell r="D54" t="str">
            <v>SMB</v>
          </cell>
        </row>
        <row r="55">
          <cell r="C55" t="str">
            <v>AKS GÜMRÜK MÜSAVIRLIK LTD. STI.</v>
          </cell>
          <cell r="D55" t="str">
            <v>SMB</v>
          </cell>
          <cell r="E55">
            <v>0</v>
          </cell>
          <cell r="F55" t="str">
            <v>A-MB179</v>
          </cell>
          <cell r="G55">
            <v>45055</v>
          </cell>
        </row>
        <row r="56">
          <cell r="C56" t="str">
            <v>TL</v>
          </cell>
          <cell r="D56" t="str">
            <v>SMB</v>
          </cell>
        </row>
        <row r="57">
          <cell r="C57" t="str">
            <v>USD</v>
          </cell>
          <cell r="D57" t="str">
            <v>SMB</v>
          </cell>
          <cell r="G57">
            <v>45055</v>
          </cell>
        </row>
        <row r="58">
          <cell r="C58" t="str">
            <v>USD</v>
          </cell>
          <cell r="D58" t="str">
            <v>SMB</v>
          </cell>
          <cell r="G58">
            <v>45701</v>
          </cell>
        </row>
        <row r="59">
          <cell r="C59" t="str">
            <v>EUR</v>
          </cell>
          <cell r="D59" t="str">
            <v>SMB</v>
          </cell>
        </row>
        <row r="60">
          <cell r="C60" t="str">
            <v>Kur Sabitleme</v>
          </cell>
          <cell r="D60" t="str">
            <v>SMB</v>
          </cell>
        </row>
        <row r="61">
          <cell r="C61" t="str">
            <v>AKSISTEM ELEK.SAN.VE TIC.LTD.STI.</v>
          </cell>
          <cell r="D61" t="str">
            <v>SMB</v>
          </cell>
          <cell r="E61">
            <v>0</v>
          </cell>
          <cell r="F61" t="str">
            <v>A-MB020</v>
          </cell>
          <cell r="G61">
            <v>42370</v>
          </cell>
        </row>
        <row r="62">
          <cell r="C62" t="str">
            <v>TL</v>
          </cell>
          <cell r="D62" t="str">
            <v>SMB</v>
          </cell>
          <cell r="G62">
            <v>44655</v>
          </cell>
        </row>
        <row r="63">
          <cell r="C63" t="str">
            <v>USD</v>
          </cell>
          <cell r="D63" t="str">
            <v>SMB</v>
          </cell>
          <cell r="G63">
            <v>42370</v>
          </cell>
        </row>
        <row r="64">
          <cell r="C64" t="str">
            <v>USD</v>
          </cell>
          <cell r="D64" t="str">
            <v>SMB</v>
          </cell>
          <cell r="G64">
            <v>45554</v>
          </cell>
        </row>
        <row r="65">
          <cell r="C65" t="str">
            <v>USD</v>
          </cell>
          <cell r="D65" t="str">
            <v>SMB</v>
          </cell>
          <cell r="G65">
            <v>44561</v>
          </cell>
        </row>
        <row r="66">
          <cell r="C66" t="str">
            <v>EUR</v>
          </cell>
          <cell r="D66" t="str">
            <v>SMB</v>
          </cell>
        </row>
        <row r="67">
          <cell r="C67" t="str">
            <v>Kur Sabitleme</v>
          </cell>
          <cell r="D67" t="str">
            <v>SMB</v>
          </cell>
        </row>
        <row r="68">
          <cell r="C68" t="str">
            <v>AKSOY PLASTIK SANAYI VE TIC. A.S.</v>
          </cell>
          <cell r="D68" t="str">
            <v>SMB</v>
          </cell>
          <cell r="E68">
            <v>0</v>
          </cell>
          <cell r="F68" t="str">
            <v>A-MB194</v>
          </cell>
          <cell r="G68">
            <v>43251</v>
          </cell>
        </row>
        <row r="69">
          <cell r="C69" t="str">
            <v>TL</v>
          </cell>
          <cell r="D69" t="str">
            <v>SMB</v>
          </cell>
        </row>
        <row r="70">
          <cell r="C70" t="str">
            <v>USD</v>
          </cell>
          <cell r="D70" t="str">
            <v>SMB</v>
          </cell>
          <cell r="G70">
            <v>44861</v>
          </cell>
        </row>
        <row r="71">
          <cell r="C71" t="str">
            <v>USD</v>
          </cell>
          <cell r="D71" t="str">
            <v>SMB</v>
          </cell>
          <cell r="G71">
            <v>43251</v>
          </cell>
        </row>
        <row r="72">
          <cell r="C72" t="str">
            <v>USD</v>
          </cell>
          <cell r="D72" t="str">
            <v>SMB</v>
          </cell>
          <cell r="G72">
            <v>45595</v>
          </cell>
        </row>
        <row r="73">
          <cell r="C73" t="str">
            <v>USD</v>
          </cell>
          <cell r="D73" t="str">
            <v>SMB</v>
          </cell>
          <cell r="G73">
            <v>45610</v>
          </cell>
        </row>
        <row r="74">
          <cell r="C74" t="str">
            <v>USD</v>
          </cell>
          <cell r="D74" t="str">
            <v>SMB</v>
          </cell>
          <cell r="G74">
            <v>45518</v>
          </cell>
        </row>
        <row r="75">
          <cell r="C75" t="str">
            <v>USD</v>
          </cell>
          <cell r="D75" t="str">
            <v>SMB</v>
          </cell>
        </row>
        <row r="76">
          <cell r="C76" t="str">
            <v>USD</v>
          </cell>
          <cell r="D76" t="str">
            <v>SMB</v>
          </cell>
        </row>
        <row r="77">
          <cell r="C77" t="str">
            <v>EUR</v>
          </cell>
          <cell r="D77" t="str">
            <v>SMB</v>
          </cell>
        </row>
        <row r="78">
          <cell r="C78" t="str">
            <v>Kur Sabitleme</v>
          </cell>
          <cell r="D78" t="str">
            <v>SMB</v>
          </cell>
          <cell r="G78">
            <v>43251</v>
          </cell>
        </row>
        <row r="79">
          <cell r="C79" t="str">
            <v>ALESTA SIGORTA</v>
          </cell>
          <cell r="D79" t="str">
            <v>SMB</v>
          </cell>
          <cell r="E79">
            <v>0</v>
          </cell>
          <cell r="F79" t="str">
            <v>A-MB380</v>
          </cell>
          <cell r="G79">
            <v>44165</v>
          </cell>
        </row>
        <row r="80">
          <cell r="C80" t="str">
            <v>TL</v>
          </cell>
          <cell r="D80" t="str">
            <v>SMB</v>
          </cell>
          <cell r="G80">
            <v>44165</v>
          </cell>
        </row>
        <row r="81">
          <cell r="C81" t="str">
            <v>TL</v>
          </cell>
          <cell r="D81" t="str">
            <v>SMB</v>
          </cell>
          <cell r="G81">
            <v>44895</v>
          </cell>
        </row>
        <row r="82">
          <cell r="C82" t="str">
            <v>USD</v>
          </cell>
          <cell r="D82" t="str">
            <v>SMB</v>
          </cell>
        </row>
        <row r="83">
          <cell r="C83" t="str">
            <v>EUR</v>
          </cell>
          <cell r="D83" t="str">
            <v>SMB</v>
          </cell>
        </row>
        <row r="84">
          <cell r="C84" t="str">
            <v>Kur Sabitleme</v>
          </cell>
          <cell r="D84" t="str">
            <v>SMB</v>
          </cell>
        </row>
        <row r="85">
          <cell r="C85" t="str">
            <v>ALPEGE ENDÜSTRIYEL METROLOJI SAN. VE HIZ. DIS. TIC</v>
          </cell>
          <cell r="D85" t="str">
            <v>SMB</v>
          </cell>
          <cell r="E85">
            <v>0</v>
          </cell>
          <cell r="F85" t="str">
            <v>A-MB045</v>
          </cell>
          <cell r="G85">
            <v>41759</v>
          </cell>
        </row>
        <row r="86">
          <cell r="C86" t="str">
            <v>TL</v>
          </cell>
          <cell r="D86" t="str">
            <v>SMB</v>
          </cell>
        </row>
        <row r="87">
          <cell r="C87" t="str">
            <v>USD</v>
          </cell>
          <cell r="D87" t="str">
            <v>SMB</v>
          </cell>
          <cell r="G87">
            <v>41759</v>
          </cell>
        </row>
        <row r="88">
          <cell r="C88" t="str">
            <v>USD</v>
          </cell>
          <cell r="D88" t="str">
            <v>SMB</v>
          </cell>
          <cell r="G88">
            <v>45601</v>
          </cell>
        </row>
        <row r="89">
          <cell r="C89" t="str">
            <v>EUR</v>
          </cell>
          <cell r="D89" t="str">
            <v>SMB</v>
          </cell>
        </row>
        <row r="90">
          <cell r="C90" t="str">
            <v>Kur Sabitleme</v>
          </cell>
          <cell r="D90" t="str">
            <v>SMB</v>
          </cell>
        </row>
        <row r="91">
          <cell r="C91" t="str">
            <v>ALVIMEDICA SAGLIK EKIPMANLARI PAZARLAMA</v>
          </cell>
          <cell r="D91" t="str">
            <v>SMB</v>
          </cell>
          <cell r="E91">
            <v>0</v>
          </cell>
          <cell r="F91" t="str">
            <v>A-MB784</v>
          </cell>
          <cell r="G91">
            <v>45595</v>
          </cell>
        </row>
        <row r="92">
          <cell r="C92" t="str">
            <v>TL</v>
          </cell>
          <cell r="D92" t="str">
            <v>SMB</v>
          </cell>
        </row>
        <row r="93">
          <cell r="C93" t="str">
            <v>USD</v>
          </cell>
          <cell r="D93" t="str">
            <v>SMB</v>
          </cell>
          <cell r="G93">
            <v>45595</v>
          </cell>
        </row>
        <row r="94">
          <cell r="C94" t="str">
            <v>EUR</v>
          </cell>
          <cell r="D94" t="str">
            <v>SMB</v>
          </cell>
        </row>
        <row r="95">
          <cell r="C95" t="str">
            <v>Kur Sabitleme</v>
          </cell>
          <cell r="D95" t="str">
            <v>SMB</v>
          </cell>
        </row>
        <row r="96">
          <cell r="C96" t="str">
            <v>ANTIK DANTEL SAN.TIC.A.S.</v>
          </cell>
          <cell r="D96" t="str">
            <v>SMB</v>
          </cell>
          <cell r="E96">
            <v>0</v>
          </cell>
          <cell r="F96" t="str">
            <v>A-MB222</v>
          </cell>
          <cell r="G96">
            <v>43371</v>
          </cell>
        </row>
        <row r="97">
          <cell r="C97" t="str">
            <v>TL</v>
          </cell>
          <cell r="D97" t="str">
            <v>SMB</v>
          </cell>
          <cell r="G97">
            <v>43371</v>
          </cell>
        </row>
        <row r="98">
          <cell r="C98" t="str">
            <v>TL</v>
          </cell>
          <cell r="D98" t="str">
            <v>SMB</v>
          </cell>
          <cell r="G98">
            <v>45610</v>
          </cell>
        </row>
        <row r="99">
          <cell r="C99" t="str">
            <v>USD</v>
          </cell>
          <cell r="D99" t="str">
            <v>SMB</v>
          </cell>
          <cell r="G99">
            <v>43524</v>
          </cell>
        </row>
        <row r="100">
          <cell r="C100" t="str">
            <v>USD</v>
          </cell>
          <cell r="D100" t="str">
            <v>SMB</v>
          </cell>
        </row>
        <row r="101">
          <cell r="C101" t="str">
            <v>EUR</v>
          </cell>
          <cell r="D101" t="str">
            <v>SMB</v>
          </cell>
        </row>
        <row r="102">
          <cell r="C102" t="str">
            <v>Kur Sabitleme</v>
          </cell>
          <cell r="D102" t="str">
            <v>SMB</v>
          </cell>
        </row>
        <row r="103">
          <cell r="C103" t="str">
            <v>ARENA BILGISAYAR</v>
          </cell>
          <cell r="D103" t="str">
            <v>Enterprise</v>
          </cell>
          <cell r="E103">
            <v>0</v>
          </cell>
          <cell r="F103" t="str">
            <v>A-MB381</v>
          </cell>
          <cell r="G103">
            <v>43435</v>
          </cell>
        </row>
        <row r="104">
          <cell r="C104" t="str">
            <v>TL</v>
          </cell>
          <cell r="D104" t="str">
            <v>Enterprise</v>
          </cell>
          <cell r="G104">
            <v>44562</v>
          </cell>
        </row>
        <row r="105">
          <cell r="C105" t="str">
            <v>TL</v>
          </cell>
          <cell r="D105" t="str">
            <v>Enterprise</v>
          </cell>
          <cell r="G105">
            <v>43435</v>
          </cell>
        </row>
        <row r="106">
          <cell r="C106" t="str">
            <v>USD</v>
          </cell>
          <cell r="D106" t="str">
            <v>Enterprise</v>
          </cell>
          <cell r="G106">
            <v>44562</v>
          </cell>
        </row>
        <row r="107">
          <cell r="C107" t="str">
            <v>USD</v>
          </cell>
          <cell r="D107" t="str">
            <v>Enterprise</v>
          </cell>
          <cell r="G107">
            <v>43435</v>
          </cell>
        </row>
        <row r="108">
          <cell r="C108" t="str">
            <v>USD</v>
          </cell>
          <cell r="D108" t="str">
            <v>Enterprise</v>
          </cell>
          <cell r="G108">
            <v>45444</v>
          </cell>
        </row>
        <row r="109">
          <cell r="C109" t="str">
            <v>EUR</v>
          </cell>
          <cell r="D109" t="str">
            <v>Enterprise</v>
          </cell>
        </row>
        <row r="110">
          <cell r="C110" t="str">
            <v>Kur Sabitleme</v>
          </cell>
          <cell r="D110" t="str">
            <v>Enterprise</v>
          </cell>
        </row>
        <row r="111">
          <cell r="C111" t="str">
            <v>ARI DÖKÜM MAK.SAN.VE TIC.LTD.STI.</v>
          </cell>
          <cell r="D111" t="str">
            <v>SMB</v>
          </cell>
          <cell r="E111">
            <v>0</v>
          </cell>
          <cell r="F111" t="str">
            <v>A-MB288</v>
          </cell>
          <cell r="G111">
            <v>45099</v>
          </cell>
        </row>
        <row r="112">
          <cell r="C112" t="str">
            <v>TL</v>
          </cell>
          <cell r="D112" t="str">
            <v>SMB</v>
          </cell>
          <cell r="G112">
            <v>45789</v>
          </cell>
        </row>
        <row r="113">
          <cell r="C113" t="str">
            <v>USD</v>
          </cell>
          <cell r="D113" t="str">
            <v>SMB</v>
          </cell>
          <cell r="G113">
            <v>45099</v>
          </cell>
        </row>
        <row r="114">
          <cell r="C114" t="str">
            <v>EUR</v>
          </cell>
          <cell r="D114" t="str">
            <v>SMB</v>
          </cell>
        </row>
        <row r="115">
          <cell r="C115" t="str">
            <v>Kur Sabitleme</v>
          </cell>
          <cell r="D115" t="str">
            <v>SMB</v>
          </cell>
        </row>
        <row r="116">
          <cell r="C116" t="str">
            <v>ARTI SINERJI BILISIM TEKNOLOJILERI TIC.LTD.STI.</v>
          </cell>
          <cell r="D116" t="str">
            <v>SMB</v>
          </cell>
          <cell r="E116">
            <v>0</v>
          </cell>
          <cell r="F116" t="str">
            <v>A-MB280</v>
          </cell>
          <cell r="G116">
            <v>44775</v>
          </cell>
        </row>
        <row r="117">
          <cell r="C117" t="str">
            <v>TL</v>
          </cell>
          <cell r="D117" t="str">
            <v>SMB</v>
          </cell>
        </row>
        <row r="118">
          <cell r="C118" t="str">
            <v>USD</v>
          </cell>
          <cell r="D118" t="str">
            <v>SMB</v>
          </cell>
          <cell r="G118">
            <v>44775</v>
          </cell>
        </row>
        <row r="119">
          <cell r="C119" t="str">
            <v>USD</v>
          </cell>
          <cell r="D119" t="str">
            <v>SMB</v>
          </cell>
          <cell r="G119">
            <v>45547</v>
          </cell>
        </row>
        <row r="120">
          <cell r="C120" t="str">
            <v>EUR</v>
          </cell>
          <cell r="D120" t="str">
            <v>SMB</v>
          </cell>
        </row>
        <row r="121">
          <cell r="C121" t="str">
            <v>Kur Sabitleme</v>
          </cell>
          <cell r="D121" t="str">
            <v>SMB</v>
          </cell>
        </row>
        <row r="122">
          <cell r="C122" t="str">
            <v>ARTSANA TURKEY ( CHICCO )</v>
          </cell>
          <cell r="D122" t="str">
            <v>SMB</v>
          </cell>
          <cell r="E122">
            <v>0</v>
          </cell>
          <cell r="F122" t="str">
            <v>A-MB378</v>
          </cell>
          <cell r="G122">
            <v>44779</v>
          </cell>
        </row>
        <row r="123">
          <cell r="C123" t="str">
            <v>TL</v>
          </cell>
          <cell r="D123" t="str">
            <v>SMB</v>
          </cell>
        </row>
        <row r="124">
          <cell r="C124" t="str">
            <v>USD</v>
          </cell>
          <cell r="D124" t="str">
            <v>SMB</v>
          </cell>
          <cell r="G124">
            <v>44779</v>
          </cell>
        </row>
        <row r="125">
          <cell r="C125" t="str">
            <v>EUR</v>
          </cell>
          <cell r="D125" t="str">
            <v>SMB</v>
          </cell>
        </row>
        <row r="126">
          <cell r="C126" t="str">
            <v>Kur Sabitleme</v>
          </cell>
          <cell r="D126" t="str">
            <v>SMB</v>
          </cell>
        </row>
        <row r="127">
          <cell r="C127" t="str">
            <v>ASE ASYA AFRİKA HIZLI LOJİSTİK SİSTEMLERİ ANONİM Ş</v>
          </cell>
          <cell r="D127" t="str">
            <v>SMB</v>
          </cell>
          <cell r="E127">
            <v>0</v>
          </cell>
          <cell r="F127" t="str">
            <v>A-MB083</v>
          </cell>
          <cell r="G127">
            <v>44562</v>
          </cell>
        </row>
        <row r="128">
          <cell r="C128" t="str">
            <v>TL</v>
          </cell>
          <cell r="D128" t="str">
            <v>SMB</v>
          </cell>
          <cell r="G128">
            <v>45643</v>
          </cell>
        </row>
        <row r="129">
          <cell r="C129" t="str">
            <v>TL</v>
          </cell>
          <cell r="D129" t="str">
            <v>SMB</v>
          </cell>
          <cell r="G129">
            <v>44562</v>
          </cell>
        </row>
        <row r="130">
          <cell r="C130" t="str">
            <v>TL</v>
          </cell>
          <cell r="D130" t="str">
            <v>SMB</v>
          </cell>
          <cell r="G130">
            <v>45590</v>
          </cell>
        </row>
        <row r="131">
          <cell r="C131" t="str">
            <v>USD</v>
          </cell>
          <cell r="D131" t="str">
            <v>SMB</v>
          </cell>
          <cell r="G131">
            <v>44562</v>
          </cell>
        </row>
        <row r="132">
          <cell r="C132" t="str">
            <v>USD</v>
          </cell>
          <cell r="D132" t="str">
            <v>SMB</v>
          </cell>
          <cell r="G132">
            <v>45701</v>
          </cell>
        </row>
        <row r="133">
          <cell r="C133" t="str">
            <v>USD</v>
          </cell>
          <cell r="D133" t="str">
            <v>SMB</v>
          </cell>
          <cell r="G133">
            <v>45701</v>
          </cell>
        </row>
        <row r="134">
          <cell r="C134" t="str">
            <v>USD</v>
          </cell>
          <cell r="D134" t="str">
            <v>SMB</v>
          </cell>
          <cell r="G134">
            <v>45643</v>
          </cell>
        </row>
        <row r="135">
          <cell r="C135" t="str">
            <v>USD</v>
          </cell>
          <cell r="D135" t="str">
            <v>SMB</v>
          </cell>
          <cell r="G135">
            <v>45625</v>
          </cell>
        </row>
        <row r="136">
          <cell r="C136" t="str">
            <v>EUR</v>
          </cell>
          <cell r="D136" t="str">
            <v>SMB</v>
          </cell>
        </row>
        <row r="137">
          <cell r="C137" t="str">
            <v>Kur Sabitleme</v>
          </cell>
          <cell r="D137" t="str">
            <v>SMB</v>
          </cell>
        </row>
        <row r="138">
          <cell r="C138" t="str">
            <v>ASİMETRİK SES IŞIK ve GÖRÜNTÜ SİSTEMLERİ AŞ (ASF)</v>
          </cell>
          <cell r="D138" t="str">
            <v>SMB</v>
          </cell>
          <cell r="E138">
            <v>0</v>
          </cell>
          <cell r="F138" t="str">
            <v>A-MB226</v>
          </cell>
          <cell r="G138">
            <v>44715</v>
          </cell>
        </row>
        <row r="139">
          <cell r="C139" t="str">
            <v>TL</v>
          </cell>
          <cell r="D139" t="str">
            <v>SMB</v>
          </cell>
        </row>
        <row r="140">
          <cell r="C140" t="str">
            <v>USD</v>
          </cell>
          <cell r="D140" t="str">
            <v>SMB</v>
          </cell>
          <cell r="G140">
            <v>44715</v>
          </cell>
        </row>
        <row r="141">
          <cell r="C141" t="str">
            <v>USD</v>
          </cell>
          <cell r="D141" t="str">
            <v>SMB</v>
          </cell>
        </row>
        <row r="142">
          <cell r="C142" t="str">
            <v>USD</v>
          </cell>
          <cell r="D142" t="str">
            <v>SMB</v>
          </cell>
          <cell r="G142">
            <v>45688</v>
          </cell>
        </row>
        <row r="143">
          <cell r="C143" t="str">
            <v>USD</v>
          </cell>
          <cell r="D143" t="str">
            <v>SMB</v>
          </cell>
          <cell r="G143">
            <v>45677</v>
          </cell>
        </row>
        <row r="144">
          <cell r="C144" t="str">
            <v>USD</v>
          </cell>
          <cell r="D144" t="str">
            <v>SMB</v>
          </cell>
          <cell r="G144">
            <v>45772</v>
          </cell>
        </row>
        <row r="145">
          <cell r="C145" t="str">
            <v>USD</v>
          </cell>
          <cell r="D145" t="str">
            <v>SMB</v>
          </cell>
          <cell r="G145">
            <v>45566</v>
          </cell>
        </row>
        <row r="146">
          <cell r="C146" t="str">
            <v>EUR</v>
          </cell>
          <cell r="D146" t="str">
            <v>SMB</v>
          </cell>
        </row>
        <row r="147">
          <cell r="C147" t="str">
            <v>Kur Sabitleme</v>
          </cell>
          <cell r="D147" t="str">
            <v>SMB</v>
          </cell>
        </row>
        <row r="148">
          <cell r="C148" t="str">
            <v>ASTAY GAYRIMENKUL INSAAT YATIRIM VE TURIZM A.S.</v>
          </cell>
          <cell r="D148" t="str">
            <v>SMB</v>
          </cell>
          <cell r="E148">
            <v>0</v>
          </cell>
          <cell r="F148" t="str">
            <v>…..</v>
          </cell>
          <cell r="G148">
            <v>40787</v>
          </cell>
        </row>
        <row r="149">
          <cell r="C149" t="str">
            <v>TL</v>
          </cell>
          <cell r="D149" t="str">
            <v>SMB</v>
          </cell>
        </row>
        <row r="150">
          <cell r="C150" t="str">
            <v>USD</v>
          </cell>
          <cell r="D150" t="str">
            <v>SMB</v>
          </cell>
          <cell r="G150">
            <v>40787</v>
          </cell>
        </row>
        <row r="151">
          <cell r="C151" t="str">
            <v>USD</v>
          </cell>
          <cell r="D151" t="str">
            <v>SMB</v>
          </cell>
        </row>
        <row r="152">
          <cell r="C152" t="str">
            <v>EUR</v>
          </cell>
          <cell r="D152" t="str">
            <v>SMB</v>
          </cell>
        </row>
        <row r="153">
          <cell r="C153" t="str">
            <v>Kur Sabitleme</v>
          </cell>
          <cell r="D153" t="str">
            <v>SMB</v>
          </cell>
        </row>
        <row r="154">
          <cell r="C154" t="str">
            <v>ATAKO TASIMACILIK DENIZCILIK A.S.</v>
          </cell>
          <cell r="D154" t="str">
            <v>SMB</v>
          </cell>
          <cell r="E154">
            <v>0</v>
          </cell>
          <cell r="F154" t="str">
            <v>A-MB383</v>
          </cell>
          <cell r="G154">
            <v>43189</v>
          </cell>
        </row>
        <row r="155">
          <cell r="C155" t="str">
            <v>TL</v>
          </cell>
          <cell r="D155" t="str">
            <v>SMB</v>
          </cell>
          <cell r="G155">
            <v>43189</v>
          </cell>
        </row>
        <row r="156">
          <cell r="C156" t="str">
            <v>USD</v>
          </cell>
          <cell r="D156" t="str">
            <v>SMB</v>
          </cell>
        </row>
        <row r="157">
          <cell r="C157" t="str">
            <v>EUR</v>
          </cell>
          <cell r="D157" t="str">
            <v>SMB</v>
          </cell>
        </row>
        <row r="158">
          <cell r="C158" t="str">
            <v>Kur Sabitleme</v>
          </cell>
          <cell r="D158" t="str">
            <v>SMB</v>
          </cell>
        </row>
        <row r="159">
          <cell r="C159" t="str">
            <v>ATG BİLİŞİM TEKNOLOJİLERİ ENDÜSTRİSİ LTD ŞTİ</v>
          </cell>
          <cell r="D159" t="str">
            <v>SMB</v>
          </cell>
          <cell r="E159">
            <v>0</v>
          </cell>
          <cell r="F159" t="str">
            <v>A-MB516</v>
          </cell>
          <cell r="G159">
            <v>44665</v>
          </cell>
        </row>
        <row r="160">
          <cell r="C160" t="str">
            <v>TL</v>
          </cell>
          <cell r="D160" t="str">
            <v>SMB</v>
          </cell>
          <cell r="G160">
            <v>44665</v>
          </cell>
        </row>
        <row r="161">
          <cell r="C161" t="str">
            <v>USD</v>
          </cell>
          <cell r="D161" t="str">
            <v>SMB</v>
          </cell>
          <cell r="G161">
            <v>45044</v>
          </cell>
        </row>
        <row r="162">
          <cell r="C162" t="str">
            <v>EUR</v>
          </cell>
          <cell r="D162" t="str">
            <v>SMB</v>
          </cell>
        </row>
        <row r="163">
          <cell r="C163" t="str">
            <v>Kur Sabitleme</v>
          </cell>
          <cell r="D163" t="str">
            <v>SMB</v>
          </cell>
        </row>
        <row r="164">
          <cell r="C164" t="str">
            <v>AUTOROLA</v>
          </cell>
          <cell r="D164" t="str">
            <v>SMB</v>
          </cell>
          <cell r="E164">
            <v>0</v>
          </cell>
          <cell r="F164" t="str">
            <v>…..</v>
          </cell>
          <cell r="G164" t="str">
            <v/>
          </cell>
        </row>
        <row r="165">
          <cell r="C165" t="str">
            <v>TL</v>
          </cell>
          <cell r="D165" t="str">
            <v>SMB</v>
          </cell>
        </row>
        <row r="166">
          <cell r="C166" t="str">
            <v>USD</v>
          </cell>
          <cell r="D166" t="str">
            <v>SMB</v>
          </cell>
        </row>
        <row r="167">
          <cell r="C167" t="str">
            <v>EUR</v>
          </cell>
          <cell r="D167" t="str">
            <v>SMB</v>
          </cell>
        </row>
        <row r="168">
          <cell r="C168" t="str">
            <v>Kur Sabitleme</v>
          </cell>
          <cell r="D168" t="str">
            <v>SMB</v>
          </cell>
        </row>
        <row r="169">
          <cell r="C169" t="str">
            <v>AYDOGAN KARDESLER INS. SAN. VE TIC.LTD.STI.</v>
          </cell>
          <cell r="D169" t="str">
            <v>SMB</v>
          </cell>
          <cell r="E169">
            <v>0</v>
          </cell>
          <cell r="F169" t="str">
            <v>…..</v>
          </cell>
          <cell r="G169">
            <v>43098</v>
          </cell>
        </row>
        <row r="170">
          <cell r="C170" t="str">
            <v>TL</v>
          </cell>
          <cell r="D170" t="str">
            <v>SMB</v>
          </cell>
          <cell r="G170">
            <v>43098</v>
          </cell>
        </row>
        <row r="171">
          <cell r="C171" t="str">
            <v>USD</v>
          </cell>
          <cell r="D171" t="str">
            <v>SMB</v>
          </cell>
          <cell r="G171">
            <v>44655</v>
          </cell>
        </row>
        <row r="172">
          <cell r="C172" t="str">
            <v>USD</v>
          </cell>
          <cell r="D172" t="str">
            <v>SMB</v>
          </cell>
          <cell r="G172">
            <v>44767</v>
          </cell>
        </row>
        <row r="173">
          <cell r="C173" t="str">
            <v>EUR</v>
          </cell>
          <cell r="D173" t="str">
            <v>SMB</v>
          </cell>
        </row>
        <row r="174">
          <cell r="C174" t="str">
            <v>Kur Sabitleme</v>
          </cell>
          <cell r="D174" t="str">
            <v>SMB</v>
          </cell>
        </row>
        <row r="175">
          <cell r="C175" t="str">
            <v xml:space="preserve">AZE MEDYA ANONİM ŞİRKETİ </v>
          </cell>
          <cell r="D175" t="str">
            <v>SMB</v>
          </cell>
          <cell r="E175">
            <v>0</v>
          </cell>
          <cell r="F175" t="str">
            <v>…..</v>
          </cell>
          <cell r="G175">
            <v>44718</v>
          </cell>
        </row>
        <row r="176">
          <cell r="C176" t="str">
            <v>TL</v>
          </cell>
          <cell r="D176" t="str">
            <v>SMB</v>
          </cell>
        </row>
        <row r="177">
          <cell r="C177" t="str">
            <v>USD</v>
          </cell>
          <cell r="D177" t="str">
            <v>SMB</v>
          </cell>
          <cell r="G177">
            <v>44718</v>
          </cell>
        </row>
        <row r="178">
          <cell r="C178" t="str">
            <v>EUR</v>
          </cell>
          <cell r="D178" t="str">
            <v>SMB</v>
          </cell>
        </row>
        <row r="179">
          <cell r="C179" t="str">
            <v>Kur Sabitleme</v>
          </cell>
          <cell r="D179" t="str">
            <v>SMB</v>
          </cell>
        </row>
        <row r="180">
          <cell r="C180" t="str">
            <v>B2 YAZILIM A.S.</v>
          </cell>
          <cell r="D180" t="str">
            <v>SMB</v>
          </cell>
          <cell r="E180">
            <v>0</v>
          </cell>
          <cell r="F180" t="str">
            <v>A-MB497</v>
          </cell>
          <cell r="G180">
            <v>44036</v>
          </cell>
        </row>
        <row r="181">
          <cell r="C181" t="str">
            <v>TL</v>
          </cell>
          <cell r="D181" t="str">
            <v>SMB</v>
          </cell>
          <cell r="G181">
            <v>44036</v>
          </cell>
        </row>
        <row r="182">
          <cell r="C182" t="str">
            <v>USD</v>
          </cell>
          <cell r="D182" t="str">
            <v>SMB</v>
          </cell>
        </row>
        <row r="183">
          <cell r="C183" t="str">
            <v>EUR</v>
          </cell>
          <cell r="D183" t="str">
            <v>SMB</v>
          </cell>
        </row>
        <row r="184">
          <cell r="C184" t="str">
            <v>Kur Sabitleme</v>
          </cell>
          <cell r="D184" t="str">
            <v>SMB</v>
          </cell>
        </row>
        <row r="185">
          <cell r="C185" t="str">
            <v>BAKLAVACI GÜLLÜOGLU MEHMET NEJAT GÜLLÜ GIDA SAN.VE</v>
          </cell>
          <cell r="D185" t="str">
            <v>SMB</v>
          </cell>
          <cell r="E185">
            <v>0</v>
          </cell>
          <cell r="F185" t="str">
            <v>A-MB340</v>
          </cell>
          <cell r="G185">
            <v>44986</v>
          </cell>
        </row>
        <row r="186">
          <cell r="C186" t="str">
            <v>TL</v>
          </cell>
          <cell r="D186" t="str">
            <v>SMB</v>
          </cell>
          <cell r="G186">
            <v>44986</v>
          </cell>
        </row>
        <row r="187">
          <cell r="C187" t="str">
            <v>TL</v>
          </cell>
          <cell r="D187" t="str">
            <v>SMB</v>
          </cell>
        </row>
        <row r="188">
          <cell r="C188" t="str">
            <v>TL</v>
          </cell>
          <cell r="D188" t="str">
            <v>SMB</v>
          </cell>
          <cell r="G188">
            <v>44986</v>
          </cell>
        </row>
        <row r="189">
          <cell r="C189" t="str">
            <v>USD</v>
          </cell>
          <cell r="D189" t="str">
            <v>SMB</v>
          </cell>
          <cell r="G189">
            <v>44986</v>
          </cell>
        </row>
        <row r="190">
          <cell r="C190" t="str">
            <v>USD</v>
          </cell>
          <cell r="D190" t="str">
            <v>SMB</v>
          </cell>
          <cell r="G190">
            <v>45526</v>
          </cell>
        </row>
        <row r="191">
          <cell r="C191" t="str">
            <v>EUR</v>
          </cell>
          <cell r="D191" t="str">
            <v>SMB</v>
          </cell>
        </row>
        <row r="192">
          <cell r="C192" t="str">
            <v>Kur Sabitleme</v>
          </cell>
          <cell r="D192" t="str">
            <v>SMB</v>
          </cell>
        </row>
        <row r="193">
          <cell r="C193" t="str">
            <v>BANK OF BAHRAIN AND KUWAIT TÜRKIYE TEMS. OF. (BBK)</v>
          </cell>
          <cell r="D193" t="str">
            <v>SMB</v>
          </cell>
          <cell r="E193">
            <v>0</v>
          </cell>
          <cell r="F193" t="str">
            <v>A-MB133</v>
          </cell>
          <cell r="G193">
            <v>42699</v>
          </cell>
        </row>
        <row r="194">
          <cell r="C194" t="str">
            <v>TL</v>
          </cell>
          <cell r="D194" t="str">
            <v>SMB</v>
          </cell>
        </row>
        <row r="195">
          <cell r="C195" t="str">
            <v>USD</v>
          </cell>
          <cell r="D195" t="str">
            <v>SMB</v>
          </cell>
          <cell r="G195">
            <v>42699</v>
          </cell>
        </row>
        <row r="196">
          <cell r="C196" t="str">
            <v>USD</v>
          </cell>
          <cell r="D196" t="str">
            <v>SMB</v>
          </cell>
          <cell r="G196">
            <v>45721</v>
          </cell>
        </row>
        <row r="197">
          <cell r="C197" t="str">
            <v>EUR</v>
          </cell>
          <cell r="D197" t="str">
            <v>SMB</v>
          </cell>
        </row>
        <row r="198">
          <cell r="C198" t="str">
            <v>Kur Sabitleme</v>
          </cell>
          <cell r="D198" t="str">
            <v>SMB</v>
          </cell>
        </row>
        <row r="199">
          <cell r="C199" t="str">
            <v>BARIT MADEN TÜRK A.S.</v>
          </cell>
          <cell r="D199" t="str">
            <v>SMB</v>
          </cell>
          <cell r="E199">
            <v>0</v>
          </cell>
          <cell r="F199" t="str">
            <v>A-MB295</v>
          </cell>
          <cell r="G199">
            <v>44011</v>
          </cell>
        </row>
        <row r="200">
          <cell r="C200" t="str">
            <v>TL</v>
          </cell>
          <cell r="D200" t="str">
            <v>SMB</v>
          </cell>
        </row>
        <row r="201">
          <cell r="C201" t="str">
            <v>USD</v>
          </cell>
          <cell r="D201" t="str">
            <v>SMB</v>
          </cell>
          <cell r="G201">
            <v>44011</v>
          </cell>
        </row>
        <row r="202">
          <cell r="C202" t="str">
            <v>USD</v>
          </cell>
          <cell r="D202" t="str">
            <v>SMB</v>
          </cell>
          <cell r="G202">
            <v>44652</v>
          </cell>
        </row>
        <row r="203">
          <cell r="C203" t="str">
            <v>USD</v>
          </cell>
          <cell r="D203" t="str">
            <v>SMB</v>
          </cell>
          <cell r="G203">
            <v>44713</v>
          </cell>
        </row>
        <row r="204">
          <cell r="C204" t="str">
            <v>USD</v>
          </cell>
          <cell r="D204" t="str">
            <v>SMB</v>
          </cell>
          <cell r="G204">
            <v>44713</v>
          </cell>
        </row>
        <row r="205">
          <cell r="C205" t="str">
            <v>EUR</v>
          </cell>
          <cell r="D205" t="str">
            <v>SMB</v>
          </cell>
        </row>
        <row r="206">
          <cell r="C206" t="str">
            <v>Kur Sabitleme</v>
          </cell>
          <cell r="D206" t="str">
            <v>SMB</v>
          </cell>
        </row>
        <row r="207">
          <cell r="C207" t="str">
            <v>EDU ÇEVİRİ HİZMETLERİ LİMİTED ŞİRKETİ (BARLAS)</v>
          </cell>
          <cell r="D207" t="str">
            <v>SMB</v>
          </cell>
          <cell r="E207">
            <v>0</v>
          </cell>
          <cell r="F207" t="str">
            <v>A-MB534</v>
          </cell>
          <cell r="G207">
            <v>41213</v>
          </cell>
        </row>
        <row r="208">
          <cell r="C208" t="str">
            <v>TL</v>
          </cell>
          <cell r="D208" t="str">
            <v>SMB</v>
          </cell>
          <cell r="G208">
            <v>41213</v>
          </cell>
        </row>
        <row r="209">
          <cell r="C209" t="str">
            <v>TL</v>
          </cell>
          <cell r="D209" t="str">
            <v>SMB</v>
          </cell>
          <cell r="G209">
            <v>44889</v>
          </cell>
        </row>
        <row r="210">
          <cell r="C210" t="str">
            <v>USD</v>
          </cell>
          <cell r="D210" t="str">
            <v>SMB</v>
          </cell>
          <cell r="G210">
            <v>43180</v>
          </cell>
        </row>
        <row r="211">
          <cell r="C211" t="str">
            <v>EUR</v>
          </cell>
          <cell r="D211" t="str">
            <v>SMB</v>
          </cell>
        </row>
        <row r="212">
          <cell r="C212" t="str">
            <v>Kur Sabitleme</v>
          </cell>
          <cell r="D212" t="str">
            <v>SMB</v>
          </cell>
        </row>
        <row r="213">
          <cell r="C213" t="str">
            <v>BATI EGITIM INSAAT VE TURIZM HIZ. A.S.</v>
          </cell>
          <cell r="D213" t="str">
            <v>SMB</v>
          </cell>
          <cell r="E213">
            <v>0</v>
          </cell>
          <cell r="F213" t="str">
            <v>A-MB074</v>
          </cell>
          <cell r="G213">
            <v>45017</v>
          </cell>
        </row>
        <row r="214">
          <cell r="C214" t="str">
            <v>TL</v>
          </cell>
          <cell r="D214" t="str">
            <v>SMB</v>
          </cell>
          <cell r="G214">
            <v>45017</v>
          </cell>
        </row>
        <row r="215">
          <cell r="C215" t="str">
            <v>USD</v>
          </cell>
          <cell r="D215" t="str">
            <v>SMB</v>
          </cell>
          <cell r="G215">
            <v>45017</v>
          </cell>
        </row>
        <row r="216">
          <cell r="C216" t="str">
            <v>USD</v>
          </cell>
          <cell r="D216" t="str">
            <v>SMB</v>
          </cell>
        </row>
        <row r="217">
          <cell r="C217" t="str">
            <v>USD</v>
          </cell>
          <cell r="D217" t="str">
            <v>SMB</v>
          </cell>
          <cell r="G217">
            <v>45947</v>
          </cell>
        </row>
        <row r="218">
          <cell r="C218" t="str">
            <v>USD</v>
          </cell>
          <cell r="D218" t="str">
            <v>SMB</v>
          </cell>
        </row>
        <row r="219">
          <cell r="C219" t="str">
            <v>EUR</v>
          </cell>
          <cell r="D219" t="str">
            <v>SMB</v>
          </cell>
        </row>
        <row r="220">
          <cell r="C220" t="str">
            <v>Kur Sabitleme</v>
          </cell>
          <cell r="D220" t="str">
            <v>SMB</v>
          </cell>
        </row>
        <row r="221">
          <cell r="C221" t="str">
            <v>BELTAS BESIKTAS BELEDIYESI ISL.A.S</v>
          </cell>
          <cell r="D221" t="str">
            <v>SMB</v>
          </cell>
          <cell r="E221">
            <v>0</v>
          </cell>
          <cell r="F221" t="str">
            <v>A-MB015</v>
          </cell>
          <cell r="G221">
            <v>42064</v>
          </cell>
        </row>
        <row r="222">
          <cell r="C222" t="str">
            <v>TL</v>
          </cell>
          <cell r="D222" t="str">
            <v>SMB</v>
          </cell>
          <cell r="G222">
            <v>42064</v>
          </cell>
        </row>
        <row r="223">
          <cell r="C223" t="str">
            <v>USD</v>
          </cell>
          <cell r="D223" t="str">
            <v>SMB</v>
          </cell>
          <cell r="G223">
            <v>45043</v>
          </cell>
        </row>
        <row r="224">
          <cell r="C224" t="str">
            <v>USD</v>
          </cell>
          <cell r="D224" t="str">
            <v>SMB</v>
          </cell>
          <cell r="G224">
            <v>45838</v>
          </cell>
        </row>
        <row r="225">
          <cell r="C225" t="str">
            <v>USD</v>
          </cell>
          <cell r="D225" t="str">
            <v>SMB</v>
          </cell>
          <cell r="G225">
            <v>45671</v>
          </cell>
        </row>
        <row r="226">
          <cell r="C226" t="str">
            <v>EUR</v>
          </cell>
          <cell r="D226" t="str">
            <v>SMB</v>
          </cell>
        </row>
        <row r="227">
          <cell r="C227" t="str">
            <v>Kur Sabitleme</v>
          </cell>
          <cell r="D227" t="str">
            <v>SMB</v>
          </cell>
        </row>
        <row r="228">
          <cell r="C228" t="str">
            <v>BOYNER HOLDING</v>
          </cell>
          <cell r="D228" t="str">
            <v>Enterprise</v>
          </cell>
          <cell r="E228" t="str">
            <v>HEWLETT PACKARD TEKNOLOJİ ÇÖZÜMLERİ LTD.ŞTİ.</v>
          </cell>
          <cell r="F228" t="str">
            <v>A-MB401</v>
          </cell>
          <cell r="G228">
            <v>44743</v>
          </cell>
        </row>
        <row r="229">
          <cell r="C229" t="str">
            <v>TL</v>
          </cell>
          <cell r="D229" t="str">
            <v>Enterprise</v>
          </cell>
        </row>
        <row r="230">
          <cell r="C230" t="str">
            <v>TL</v>
          </cell>
          <cell r="D230" t="str">
            <v>Enterprise</v>
          </cell>
          <cell r="G230">
            <v>44743</v>
          </cell>
        </row>
        <row r="231">
          <cell r="C231" t="str">
            <v>USD</v>
          </cell>
          <cell r="D231" t="str">
            <v>Enterprise</v>
          </cell>
        </row>
        <row r="232">
          <cell r="C232" t="str">
            <v>EUR</v>
          </cell>
          <cell r="D232" t="str">
            <v>Enterprise</v>
          </cell>
        </row>
        <row r="233">
          <cell r="C233" t="str">
            <v>Kur Sabitleme</v>
          </cell>
          <cell r="D233" t="str">
            <v>Enterprise</v>
          </cell>
        </row>
        <row r="234">
          <cell r="C234" t="str">
            <v xml:space="preserve">BEYMEN GRUP </v>
          </cell>
          <cell r="D234" t="str">
            <v>Enterprise</v>
          </cell>
          <cell r="E234">
            <v>0</v>
          </cell>
          <cell r="F234" t="str">
            <v>A-MB401</v>
          </cell>
          <cell r="G234">
            <v>44896</v>
          </cell>
        </row>
        <row r="235">
          <cell r="C235" t="str">
            <v>TL</v>
          </cell>
          <cell r="D235" t="str">
            <v>Enterprise</v>
          </cell>
          <cell r="G235">
            <v>44896</v>
          </cell>
        </row>
        <row r="236">
          <cell r="C236" t="str">
            <v>TL</v>
          </cell>
          <cell r="D236" t="str">
            <v>Enterprise</v>
          </cell>
          <cell r="G236">
            <v>44927</v>
          </cell>
        </row>
        <row r="237">
          <cell r="C237" t="str">
            <v>USD</v>
          </cell>
          <cell r="D237" t="str">
            <v>Enterprise</v>
          </cell>
        </row>
        <row r="238">
          <cell r="C238" t="str">
            <v>USD</v>
          </cell>
          <cell r="D238" t="str">
            <v>Enterprise</v>
          </cell>
        </row>
        <row r="239">
          <cell r="C239" t="str">
            <v>EUR</v>
          </cell>
          <cell r="D239" t="str">
            <v>Enterprise</v>
          </cell>
        </row>
        <row r="240">
          <cell r="C240" t="str">
            <v>Kur Sabitleme</v>
          </cell>
          <cell r="D240" t="str">
            <v>Enterprise</v>
          </cell>
        </row>
        <row r="241">
          <cell r="C241" t="str">
            <v>BIESTERFELD PLASTIK TIC.A.S</v>
          </cell>
          <cell r="D241" t="str">
            <v>SMB</v>
          </cell>
          <cell r="E241">
            <v>0</v>
          </cell>
          <cell r="F241" t="str">
            <v>A-MB008</v>
          </cell>
          <cell r="G241">
            <v>44452</v>
          </cell>
        </row>
        <row r="242">
          <cell r="C242" t="str">
            <v>TL</v>
          </cell>
          <cell r="D242" t="str">
            <v>SMB</v>
          </cell>
          <cell r="G242">
            <v>44452</v>
          </cell>
        </row>
        <row r="243">
          <cell r="C243" t="str">
            <v>USD</v>
          </cell>
          <cell r="D243" t="str">
            <v>SMB</v>
          </cell>
          <cell r="G243">
            <v>44452</v>
          </cell>
        </row>
        <row r="244">
          <cell r="C244" t="str">
            <v>USD</v>
          </cell>
          <cell r="D244" t="str">
            <v>SMB</v>
          </cell>
          <cell r="G244">
            <v>45350</v>
          </cell>
        </row>
        <row r="245">
          <cell r="C245" t="str">
            <v>USD</v>
          </cell>
          <cell r="D245" t="str">
            <v>SMB</v>
          </cell>
          <cell r="G245">
            <v>45688</v>
          </cell>
        </row>
        <row r="246">
          <cell r="C246" t="str">
            <v>USD</v>
          </cell>
          <cell r="D246" t="str">
            <v>SMB</v>
          </cell>
          <cell r="G246">
            <v>45854</v>
          </cell>
        </row>
        <row r="247">
          <cell r="C247" t="str">
            <v>EUR</v>
          </cell>
          <cell r="D247" t="str">
            <v>SMB</v>
          </cell>
        </row>
        <row r="248">
          <cell r="C248" t="str">
            <v>Kur Sabitleme</v>
          </cell>
          <cell r="D248" t="str">
            <v>SMB</v>
          </cell>
        </row>
        <row r="249">
          <cell r="C249" t="str">
            <v>BİLSAR TEKSTIL SAN.VE DIS.TIC.A.S</v>
          </cell>
          <cell r="D249" t="str">
            <v>SMB</v>
          </cell>
          <cell r="E249">
            <v>0</v>
          </cell>
          <cell r="F249" t="str">
            <v>A-MB442</v>
          </cell>
          <cell r="G249">
            <v>45139</v>
          </cell>
        </row>
        <row r="250">
          <cell r="C250" t="str">
            <v>TL</v>
          </cell>
          <cell r="D250" t="str">
            <v>SMB</v>
          </cell>
          <cell r="G250">
            <v>45139</v>
          </cell>
        </row>
        <row r="251">
          <cell r="C251" t="str">
            <v>USD</v>
          </cell>
          <cell r="D251" t="str">
            <v>SMB</v>
          </cell>
          <cell r="G251">
            <v>45139</v>
          </cell>
        </row>
        <row r="252">
          <cell r="C252" t="str">
            <v>USD</v>
          </cell>
          <cell r="D252" t="str">
            <v>SMB</v>
          </cell>
          <cell r="G252">
            <v>45714</v>
          </cell>
        </row>
        <row r="253">
          <cell r="C253" t="str">
            <v>USD</v>
          </cell>
          <cell r="D253" t="str">
            <v>SMB</v>
          </cell>
        </row>
        <row r="254">
          <cell r="C254" t="str">
            <v>EUR</v>
          </cell>
          <cell r="D254" t="str">
            <v>SMB</v>
          </cell>
        </row>
        <row r="255">
          <cell r="C255" t="str">
            <v>Kur Sabitleme</v>
          </cell>
          <cell r="D255" t="str">
            <v>SMB</v>
          </cell>
        </row>
        <row r="256">
          <cell r="C256" t="str">
            <v>BIRCOM TELEKOMÜNIKASYON VE BILISIM HIZ.SAN.TIC.A.S</v>
          </cell>
          <cell r="D256" t="str">
            <v>SMB</v>
          </cell>
          <cell r="E256">
            <v>0</v>
          </cell>
          <cell r="F256" t="str">
            <v>A-MB108</v>
          </cell>
          <cell r="G256">
            <v>43862</v>
          </cell>
        </row>
        <row r="257">
          <cell r="C257" t="str">
            <v>TL</v>
          </cell>
          <cell r="D257" t="str">
            <v>SMB</v>
          </cell>
        </row>
        <row r="258">
          <cell r="C258" t="str">
            <v>USD</v>
          </cell>
          <cell r="D258" t="str">
            <v>SMB</v>
          </cell>
          <cell r="G258">
            <v>43862</v>
          </cell>
        </row>
        <row r="259">
          <cell r="C259" t="str">
            <v>USD</v>
          </cell>
          <cell r="D259" t="str">
            <v>SMB</v>
          </cell>
          <cell r="G259">
            <v>45671</v>
          </cell>
        </row>
        <row r="260">
          <cell r="C260" t="str">
            <v>EUR</v>
          </cell>
          <cell r="D260" t="str">
            <v>SMB</v>
          </cell>
        </row>
        <row r="261">
          <cell r="C261" t="str">
            <v>Kur Sabitleme</v>
          </cell>
          <cell r="D261" t="str">
            <v>SMB</v>
          </cell>
        </row>
        <row r="262">
          <cell r="C262" t="str">
            <v>BİS Çözüm Bilgisayar ve Entegrasyon Hizmetleri</v>
          </cell>
          <cell r="D262" t="str">
            <v>SMB</v>
          </cell>
          <cell r="E262">
            <v>0</v>
          </cell>
          <cell r="F262" t="str">
            <v>A-MB352</v>
          </cell>
          <cell r="G262">
            <v>44347</v>
          </cell>
        </row>
        <row r="263">
          <cell r="C263" t="str">
            <v>TL</v>
          </cell>
          <cell r="D263" t="str">
            <v>SMB</v>
          </cell>
          <cell r="G263">
            <v>44347</v>
          </cell>
        </row>
        <row r="264">
          <cell r="C264" t="str">
            <v>TL</v>
          </cell>
          <cell r="D264" t="str">
            <v>SMB</v>
          </cell>
          <cell r="G264">
            <v>45554</v>
          </cell>
        </row>
        <row r="265">
          <cell r="C265" t="str">
            <v>USD</v>
          </cell>
          <cell r="D265" t="str">
            <v>SMB</v>
          </cell>
        </row>
        <row r="266">
          <cell r="C266" t="str">
            <v>EUR</v>
          </cell>
          <cell r="D266" t="str">
            <v>SMB</v>
          </cell>
        </row>
        <row r="267">
          <cell r="C267" t="str">
            <v>Kur Sabitleme</v>
          </cell>
          <cell r="D267" t="str">
            <v>SMB</v>
          </cell>
          <cell r="G267">
            <v>45198</v>
          </cell>
        </row>
        <row r="268">
          <cell r="C268" t="str">
            <v>BOĞAZIÇI ISTANBUL REKLAM VE ORGANIZASYON PEYZAJ SP</v>
          </cell>
          <cell r="D268" t="str">
            <v>SMB</v>
          </cell>
          <cell r="E268">
            <v>0</v>
          </cell>
          <cell r="F268" t="str">
            <v>A-MB361</v>
          </cell>
          <cell r="G268">
            <v>44894</v>
          </cell>
        </row>
        <row r="269">
          <cell r="C269" t="str">
            <v>TL</v>
          </cell>
          <cell r="D269" t="str">
            <v>SMB</v>
          </cell>
          <cell r="G269">
            <v>44894</v>
          </cell>
        </row>
        <row r="270">
          <cell r="C270" t="str">
            <v>USD</v>
          </cell>
          <cell r="D270" t="str">
            <v>SMB</v>
          </cell>
          <cell r="G270">
            <v>45044</v>
          </cell>
        </row>
        <row r="271">
          <cell r="C271" t="str">
            <v>EUR</v>
          </cell>
          <cell r="D271" t="str">
            <v>SMB</v>
          </cell>
        </row>
        <row r="272">
          <cell r="C272" t="str">
            <v>Kur Sabitleme</v>
          </cell>
          <cell r="D272" t="str">
            <v>SMB</v>
          </cell>
        </row>
        <row r="273">
          <cell r="C273" t="str">
            <v>BOMBTEA GIDA IÇECEK REK.ORG.VE TIC..( DOSPRESSO )</v>
          </cell>
          <cell r="D273" t="str">
            <v>SMB</v>
          </cell>
          <cell r="E273">
            <v>0</v>
          </cell>
          <cell r="F273" t="str">
            <v>A-MB304</v>
          </cell>
          <cell r="G273">
            <v>44791</v>
          </cell>
        </row>
        <row r="274">
          <cell r="C274" t="str">
            <v>TL</v>
          </cell>
          <cell r="D274" t="str">
            <v>SMB</v>
          </cell>
          <cell r="G274">
            <v>44791</v>
          </cell>
        </row>
        <row r="275">
          <cell r="C275" t="str">
            <v>USD</v>
          </cell>
          <cell r="D275" t="str">
            <v>SMB</v>
          </cell>
          <cell r="G275">
            <v>45047</v>
          </cell>
        </row>
        <row r="276">
          <cell r="C276" t="str">
            <v>USD</v>
          </cell>
          <cell r="D276" t="str">
            <v>SMB</v>
          </cell>
          <cell r="G276">
            <v>45216</v>
          </cell>
        </row>
        <row r="277">
          <cell r="C277" t="str">
            <v>EUR</v>
          </cell>
          <cell r="D277" t="str">
            <v>SMB</v>
          </cell>
        </row>
        <row r="278">
          <cell r="C278" t="str">
            <v>Kur Sabitleme</v>
          </cell>
          <cell r="D278" t="str">
            <v>SMB</v>
          </cell>
        </row>
        <row r="279">
          <cell r="C279" t="str">
            <v>BOYTORUN MIMARLIK LTD.STI.</v>
          </cell>
          <cell r="D279" t="str">
            <v>SMB</v>
          </cell>
          <cell r="E279">
            <v>0</v>
          </cell>
          <cell r="F279" t="str">
            <v>A-MB148</v>
          </cell>
          <cell r="G279">
            <v>44903</v>
          </cell>
        </row>
        <row r="280">
          <cell r="C280" t="str">
            <v>TL</v>
          </cell>
          <cell r="D280" t="str">
            <v>SMB</v>
          </cell>
          <cell r="G280">
            <v>44903</v>
          </cell>
        </row>
        <row r="281">
          <cell r="C281" t="str">
            <v>TL</v>
          </cell>
          <cell r="D281" t="str">
            <v>SMB</v>
          </cell>
          <cell r="G281">
            <v>44903</v>
          </cell>
        </row>
        <row r="282">
          <cell r="C282" t="str">
            <v>USD</v>
          </cell>
          <cell r="D282" t="str">
            <v>SMB</v>
          </cell>
          <cell r="G282">
            <v>44903</v>
          </cell>
        </row>
        <row r="283">
          <cell r="C283" t="str">
            <v>USD</v>
          </cell>
          <cell r="D283" t="str">
            <v>SMB</v>
          </cell>
          <cell r="G283">
            <v>45111</v>
          </cell>
        </row>
        <row r="284">
          <cell r="C284" t="str">
            <v>USD</v>
          </cell>
          <cell r="D284" t="str">
            <v>SMB</v>
          </cell>
          <cell r="G284">
            <v>45671</v>
          </cell>
        </row>
        <row r="285">
          <cell r="C285" t="str">
            <v>USD</v>
          </cell>
          <cell r="D285" t="str">
            <v>SMB</v>
          </cell>
          <cell r="G285">
            <v>45699</v>
          </cell>
        </row>
        <row r="286">
          <cell r="C286" t="str">
            <v>USD</v>
          </cell>
          <cell r="D286" t="str">
            <v>SMB</v>
          </cell>
        </row>
        <row r="287">
          <cell r="C287" t="str">
            <v>USD</v>
          </cell>
          <cell r="D287" t="str">
            <v>SMB</v>
          </cell>
        </row>
        <row r="288">
          <cell r="C288" t="str">
            <v>EUR</v>
          </cell>
          <cell r="D288" t="str">
            <v>SMB</v>
          </cell>
        </row>
        <row r="289">
          <cell r="C289" t="str">
            <v>Kur Sabitleme</v>
          </cell>
          <cell r="D289" t="str">
            <v>SMB</v>
          </cell>
        </row>
        <row r="290">
          <cell r="C290" t="str">
            <v>BRANDCRAFTERS REKLAM TANITIM TASARIM ORG.IÇ VE DIS</v>
          </cell>
          <cell r="D290" t="str">
            <v>SMB</v>
          </cell>
          <cell r="E290">
            <v>0</v>
          </cell>
          <cell r="F290" t="str">
            <v>A-MB115</v>
          </cell>
          <cell r="G290">
            <v>42461</v>
          </cell>
        </row>
        <row r="291">
          <cell r="C291" t="str">
            <v>TL</v>
          </cell>
          <cell r="D291" t="str">
            <v>SMB</v>
          </cell>
        </row>
        <row r="292">
          <cell r="C292" t="str">
            <v>USD</v>
          </cell>
          <cell r="D292" t="str">
            <v>SMB</v>
          </cell>
          <cell r="G292">
            <v>42461</v>
          </cell>
        </row>
        <row r="293">
          <cell r="C293" t="str">
            <v>USD</v>
          </cell>
          <cell r="D293" t="str">
            <v>SMB</v>
          </cell>
        </row>
        <row r="294">
          <cell r="C294" t="str">
            <v>USD</v>
          </cell>
          <cell r="D294" t="str">
            <v>SMB</v>
          </cell>
          <cell r="G294">
            <v>45937</v>
          </cell>
        </row>
        <row r="295">
          <cell r="C295" t="str">
            <v>USD</v>
          </cell>
          <cell r="D295" t="str">
            <v>SMB</v>
          </cell>
        </row>
        <row r="296">
          <cell r="C296" t="str">
            <v>EUR</v>
          </cell>
          <cell r="D296" t="str">
            <v>SMB</v>
          </cell>
        </row>
        <row r="297">
          <cell r="C297" t="str">
            <v>Kur Sabitleme</v>
          </cell>
          <cell r="D297" t="str">
            <v>SMB</v>
          </cell>
        </row>
        <row r="298">
          <cell r="C298" t="str">
            <v>CAFFE NERO GIDA ÜRÜNLERI A.S.</v>
          </cell>
          <cell r="D298" t="str">
            <v>SMB</v>
          </cell>
          <cell r="E298">
            <v>0</v>
          </cell>
          <cell r="F298" t="str">
            <v>…..</v>
          </cell>
          <cell r="G298">
            <v>42618</v>
          </cell>
        </row>
        <row r="299">
          <cell r="C299" t="str">
            <v>TL</v>
          </cell>
          <cell r="D299" t="str">
            <v>SMB</v>
          </cell>
          <cell r="G299">
            <v>42618</v>
          </cell>
        </row>
        <row r="300">
          <cell r="C300" t="str">
            <v>USD</v>
          </cell>
          <cell r="D300" t="str">
            <v>SMB</v>
          </cell>
          <cell r="G300">
            <v>45047</v>
          </cell>
        </row>
        <row r="301">
          <cell r="C301" t="str">
            <v>EUR</v>
          </cell>
          <cell r="D301" t="str">
            <v>SMB</v>
          </cell>
        </row>
        <row r="302">
          <cell r="C302" t="str">
            <v>Kur Sabitleme</v>
          </cell>
          <cell r="D302" t="str">
            <v>SMB</v>
          </cell>
        </row>
        <row r="303">
          <cell r="C303" t="str">
            <v>CAHAN AVM</v>
          </cell>
          <cell r="D303" t="str">
            <v>SMB</v>
          </cell>
          <cell r="E303" t="str">
            <v>LAYDA BİLGİSAYAR YAZILIM ve DANIŞMANLIK LTD.ŞTİ.</v>
          </cell>
          <cell r="F303" t="str">
            <v>A-MB365</v>
          </cell>
          <cell r="G303">
            <v>45016</v>
          </cell>
        </row>
        <row r="304">
          <cell r="C304" t="str">
            <v>TL</v>
          </cell>
          <cell r="D304" t="str">
            <v>SMB</v>
          </cell>
        </row>
        <row r="305">
          <cell r="C305" t="str">
            <v>USD</v>
          </cell>
          <cell r="D305" t="str">
            <v>SMB</v>
          </cell>
          <cell r="G305">
            <v>45016</v>
          </cell>
        </row>
        <row r="306">
          <cell r="C306" t="str">
            <v>EUR</v>
          </cell>
          <cell r="D306" t="str">
            <v>SMB</v>
          </cell>
        </row>
        <row r="307">
          <cell r="C307" t="str">
            <v>Kur Sabitleme</v>
          </cell>
          <cell r="D307" t="str">
            <v>SMB</v>
          </cell>
        </row>
        <row r="308">
          <cell r="C308" t="str">
            <v>CAHAN ÇAY MMC</v>
          </cell>
          <cell r="D308" t="str">
            <v>SMB</v>
          </cell>
          <cell r="E308" t="str">
            <v>LAYDA BİLGİSAYAR YAZILIM ve DANIŞMANLIK LTD.ŞTİ.</v>
          </cell>
          <cell r="F308" t="str">
            <v>A-MB440</v>
          </cell>
          <cell r="G308">
            <v>44855</v>
          </cell>
        </row>
        <row r="309">
          <cell r="C309" t="str">
            <v>TL</v>
          </cell>
          <cell r="D309" t="str">
            <v>SMB</v>
          </cell>
          <cell r="G309">
            <v>44855</v>
          </cell>
        </row>
        <row r="310">
          <cell r="C310" t="str">
            <v>USD</v>
          </cell>
          <cell r="D310" t="str">
            <v>SMB</v>
          </cell>
          <cell r="G310">
            <v>45016</v>
          </cell>
        </row>
        <row r="311">
          <cell r="C311" t="str">
            <v>EUR</v>
          </cell>
          <cell r="D311" t="str">
            <v>SMB</v>
          </cell>
        </row>
        <row r="312">
          <cell r="C312" t="str">
            <v>Kur Sabitleme</v>
          </cell>
          <cell r="D312" t="str">
            <v>SMB</v>
          </cell>
        </row>
        <row r="313">
          <cell r="C313" t="str">
            <v>CAHAN ENNA MMC</v>
          </cell>
          <cell r="D313" t="str">
            <v>SMB</v>
          </cell>
          <cell r="E313" t="str">
            <v>LAYDA BİLGİSAYAR YAZILIM ve DANIŞMANLIK LTD.ŞTİ.</v>
          </cell>
          <cell r="F313" t="str">
            <v>A-MB531</v>
          </cell>
          <cell r="G313">
            <v>44855</v>
          </cell>
        </row>
        <row r="314">
          <cell r="C314" t="str">
            <v>TL</v>
          </cell>
          <cell r="D314" t="str">
            <v>SMB</v>
          </cell>
          <cell r="G314">
            <v>44855</v>
          </cell>
        </row>
        <row r="315">
          <cell r="C315" t="str">
            <v>USD</v>
          </cell>
          <cell r="D315" t="str">
            <v>SMB</v>
          </cell>
          <cell r="G315">
            <v>45596</v>
          </cell>
        </row>
        <row r="316">
          <cell r="C316" t="str">
            <v>EUR</v>
          </cell>
          <cell r="D316" t="str">
            <v>SMB</v>
          </cell>
        </row>
        <row r="317">
          <cell r="C317" t="str">
            <v>Kur Sabitleme</v>
          </cell>
          <cell r="D317" t="str">
            <v>SMB</v>
          </cell>
        </row>
        <row r="318">
          <cell r="C318" t="str">
            <v>CAHAN İNŞAAT</v>
          </cell>
          <cell r="D318" t="str">
            <v>SMB</v>
          </cell>
          <cell r="E318" t="str">
            <v>LAYDA BİLGİSAYAR YAZILIM ve DANIŞMANLIK LTD.ŞTİ.</v>
          </cell>
          <cell r="F318" t="str">
            <v>A-MB496</v>
          </cell>
          <cell r="G318">
            <v>44855</v>
          </cell>
        </row>
        <row r="319">
          <cell r="C319" t="str">
            <v>TL</v>
          </cell>
          <cell r="D319" t="str">
            <v>SMB</v>
          </cell>
          <cell r="G319">
            <v>44855</v>
          </cell>
        </row>
        <row r="320">
          <cell r="C320" t="str">
            <v>USD</v>
          </cell>
          <cell r="D320" t="str">
            <v>SMB</v>
          </cell>
          <cell r="G320">
            <v>45016</v>
          </cell>
        </row>
        <row r="321">
          <cell r="C321" t="str">
            <v>EUR</v>
          </cell>
          <cell r="D321" t="str">
            <v>SMB</v>
          </cell>
        </row>
        <row r="322">
          <cell r="C322" t="str">
            <v>Kur Sabitleme</v>
          </cell>
          <cell r="D322" t="str">
            <v>SMB</v>
          </cell>
        </row>
        <row r="323">
          <cell r="C323" t="str">
            <v>CAHAN MOTORS</v>
          </cell>
          <cell r="D323" t="str">
            <v>SMB</v>
          </cell>
          <cell r="E323" t="str">
            <v>LAYDA BİLGİSAYAR YAZILIM ve DANIŞMANLIK LTD.ŞTİ.</v>
          </cell>
          <cell r="F323" t="str">
            <v>A-MB517</v>
          </cell>
          <cell r="G323">
            <v>44855</v>
          </cell>
        </row>
        <row r="324">
          <cell r="C324" t="str">
            <v>TL</v>
          </cell>
          <cell r="D324" t="str">
            <v>SMB</v>
          </cell>
          <cell r="G324">
            <v>44855</v>
          </cell>
        </row>
        <row r="325">
          <cell r="C325" t="str">
            <v>USD</v>
          </cell>
          <cell r="D325" t="str">
            <v>SMB</v>
          </cell>
          <cell r="G325">
            <v>45016</v>
          </cell>
        </row>
        <row r="326">
          <cell r="C326" t="str">
            <v>EUR</v>
          </cell>
          <cell r="D326" t="str">
            <v>SMB</v>
          </cell>
        </row>
        <row r="327">
          <cell r="C327" t="str">
            <v>Kur Sabitleme</v>
          </cell>
          <cell r="D327" t="str">
            <v>SMB</v>
          </cell>
        </row>
        <row r="328">
          <cell r="C328" t="str">
            <v>CAHAN SENAYE KOMLEKSİ ASC</v>
          </cell>
          <cell r="D328" t="str">
            <v>SMB</v>
          </cell>
          <cell r="E328" t="str">
            <v>LAYDA BİLGİSAYAR YAZILIM ve DANIŞMANLIK LTD.ŞTİ.</v>
          </cell>
          <cell r="F328" t="str">
            <v>A-MB505</v>
          </cell>
          <cell r="G328">
            <v>44855</v>
          </cell>
        </row>
        <row r="329">
          <cell r="C329" t="str">
            <v>TL</v>
          </cell>
          <cell r="D329" t="str">
            <v>SMB</v>
          </cell>
          <cell r="G329">
            <v>44855</v>
          </cell>
        </row>
        <row r="330">
          <cell r="C330" t="str">
            <v>USD</v>
          </cell>
          <cell r="D330" t="str">
            <v>SMB</v>
          </cell>
          <cell r="G330">
            <v>45016</v>
          </cell>
        </row>
        <row r="331">
          <cell r="C331" t="str">
            <v>EUR</v>
          </cell>
          <cell r="D331" t="str">
            <v>SMB</v>
          </cell>
        </row>
        <row r="332">
          <cell r="C332" t="str">
            <v>Kur Sabitleme</v>
          </cell>
          <cell r="D332" t="str">
            <v>SMB</v>
          </cell>
        </row>
        <row r="333">
          <cell r="C333" t="str">
            <v>CAHAN TABAK  BEYNELXALQ MMC</v>
          </cell>
          <cell r="D333" t="str">
            <v>SMB</v>
          </cell>
          <cell r="E333" t="str">
            <v>LAYDA BİLGİSAYAR YAZILIM ve DANIŞMANLIK LTD.ŞTİ.</v>
          </cell>
          <cell r="F333" t="str">
            <v>…..</v>
          </cell>
          <cell r="G333">
            <v>44855</v>
          </cell>
        </row>
        <row r="334">
          <cell r="C334" t="str">
            <v>TL</v>
          </cell>
          <cell r="D334" t="str">
            <v>SMB</v>
          </cell>
          <cell r="G334">
            <v>44855</v>
          </cell>
        </row>
        <row r="335">
          <cell r="C335" t="str">
            <v>USD</v>
          </cell>
          <cell r="D335" t="str">
            <v>SMB</v>
          </cell>
          <cell r="G335">
            <v>45016</v>
          </cell>
        </row>
        <row r="336">
          <cell r="C336" t="str">
            <v>EUR</v>
          </cell>
          <cell r="D336" t="str">
            <v>SMB</v>
          </cell>
        </row>
        <row r="337">
          <cell r="C337" t="str">
            <v>Kur Sabitleme</v>
          </cell>
          <cell r="D337" t="str">
            <v>SMB</v>
          </cell>
        </row>
        <row r="338">
          <cell r="C338" t="str">
            <v>CAPITOL ALISVERIS HIZ.TIC.A.S</v>
          </cell>
          <cell r="D338" t="str">
            <v>SMB</v>
          </cell>
          <cell r="E338">
            <v>0</v>
          </cell>
          <cell r="F338" t="str">
            <v>A-MB014</v>
          </cell>
          <cell r="G338">
            <v>45383</v>
          </cell>
        </row>
        <row r="339">
          <cell r="C339" t="str">
            <v>TL</v>
          </cell>
          <cell r="D339" t="str">
            <v>SMB</v>
          </cell>
          <cell r="G339">
            <v>45383</v>
          </cell>
        </row>
        <row r="340">
          <cell r="C340" t="str">
            <v>TL</v>
          </cell>
          <cell r="D340" t="str">
            <v>SMB</v>
          </cell>
          <cell r="G340">
            <v>45383</v>
          </cell>
        </row>
        <row r="341">
          <cell r="C341" t="str">
            <v>USD</v>
          </cell>
          <cell r="D341" t="str">
            <v>SMB</v>
          </cell>
          <cell r="G341">
            <v>45383</v>
          </cell>
        </row>
        <row r="342">
          <cell r="C342" t="str">
            <v>USD</v>
          </cell>
          <cell r="D342" t="str">
            <v>SMB</v>
          </cell>
          <cell r="G342">
            <v>45688</v>
          </cell>
        </row>
        <row r="343">
          <cell r="C343" t="str">
            <v>USD</v>
          </cell>
          <cell r="D343" t="str">
            <v>SMB</v>
          </cell>
          <cell r="G343">
            <v>45684</v>
          </cell>
        </row>
        <row r="344">
          <cell r="C344" t="str">
            <v>USD</v>
          </cell>
          <cell r="D344" t="str">
            <v>SMB</v>
          </cell>
          <cell r="G344">
            <v>45699</v>
          </cell>
        </row>
        <row r="345">
          <cell r="C345" t="str">
            <v>USD</v>
          </cell>
          <cell r="D345" t="str">
            <v>SMB</v>
          </cell>
          <cell r="G345">
            <v>45562</v>
          </cell>
        </row>
        <row r="346">
          <cell r="C346" t="str">
            <v>USD</v>
          </cell>
          <cell r="D346" t="str">
            <v>SMB</v>
          </cell>
          <cell r="G346">
            <v>45580</v>
          </cell>
        </row>
        <row r="347">
          <cell r="C347" t="str">
            <v>USD</v>
          </cell>
          <cell r="D347" t="str">
            <v>SMB</v>
          </cell>
          <cell r="G347">
            <v>45825</v>
          </cell>
        </row>
        <row r="348">
          <cell r="C348" t="str">
            <v>USD</v>
          </cell>
          <cell r="D348" t="str">
            <v>SMB</v>
          </cell>
          <cell r="G348">
            <v>45894</v>
          </cell>
        </row>
        <row r="349">
          <cell r="C349" t="str">
            <v>USD</v>
          </cell>
          <cell r="D349" t="str">
            <v>SMB</v>
          </cell>
        </row>
        <row r="350">
          <cell r="C350" t="str">
            <v>USD</v>
          </cell>
          <cell r="D350" t="str">
            <v>SMB</v>
          </cell>
        </row>
        <row r="351">
          <cell r="C351" t="str">
            <v>USD</v>
          </cell>
          <cell r="D351" t="str">
            <v>SMB</v>
          </cell>
        </row>
        <row r="352">
          <cell r="C352" t="str">
            <v>EUR</v>
          </cell>
          <cell r="D352" t="str">
            <v>SMB</v>
          </cell>
        </row>
        <row r="353">
          <cell r="C353" t="str">
            <v>Kur Sabitleme</v>
          </cell>
          <cell r="D353" t="str">
            <v>SMB</v>
          </cell>
        </row>
        <row r="354">
          <cell r="C354" t="str">
            <v>CCL LABEL TURKEY AMBALAJ SAN. VE TIC. A.S</v>
          </cell>
          <cell r="D354" t="str">
            <v>SMB</v>
          </cell>
          <cell r="E354">
            <v>0</v>
          </cell>
          <cell r="F354" t="str">
            <v>A-MB058</v>
          </cell>
          <cell r="G354">
            <v>41759</v>
          </cell>
        </row>
        <row r="355">
          <cell r="C355" t="str">
            <v>TL</v>
          </cell>
          <cell r="D355" t="str">
            <v>SMB</v>
          </cell>
          <cell r="G355">
            <v>41759</v>
          </cell>
        </row>
        <row r="356">
          <cell r="C356" t="str">
            <v>TL</v>
          </cell>
          <cell r="D356" t="str">
            <v>SMB</v>
          </cell>
          <cell r="G356">
            <v>44861</v>
          </cell>
        </row>
        <row r="357">
          <cell r="C357" t="str">
            <v>USD</v>
          </cell>
          <cell r="D357" t="str">
            <v>SMB</v>
          </cell>
          <cell r="G357">
            <v>42730</v>
          </cell>
        </row>
        <row r="358">
          <cell r="C358" t="str">
            <v>USD</v>
          </cell>
          <cell r="D358" t="str">
            <v>SMB</v>
          </cell>
          <cell r="G358">
            <v>45559</v>
          </cell>
        </row>
        <row r="359">
          <cell r="C359" t="str">
            <v>USD</v>
          </cell>
          <cell r="D359" t="str">
            <v>SMB</v>
          </cell>
          <cell r="G359">
            <v>45706</v>
          </cell>
        </row>
        <row r="360">
          <cell r="C360" t="str">
            <v>EUR</v>
          </cell>
          <cell r="D360" t="str">
            <v>SMB</v>
          </cell>
        </row>
        <row r="361">
          <cell r="C361" t="str">
            <v>Kur Sabitleme</v>
          </cell>
          <cell r="D361" t="str">
            <v>SMB</v>
          </cell>
        </row>
        <row r="362">
          <cell r="C362" t="str">
            <v>CENTRON BILGISAYAR SISTEMLERI SAN.&amp;TIC.LTD (OGNY)</v>
          </cell>
          <cell r="D362" t="str">
            <v>SMB</v>
          </cell>
          <cell r="E362">
            <v>0</v>
          </cell>
          <cell r="F362" t="str">
            <v>A-MB309</v>
          </cell>
          <cell r="G362">
            <v>44070</v>
          </cell>
        </row>
        <row r="363">
          <cell r="C363" t="str">
            <v>TL</v>
          </cell>
          <cell r="D363" t="str">
            <v>SMB</v>
          </cell>
        </row>
        <row r="364">
          <cell r="C364" t="str">
            <v>USD</v>
          </cell>
          <cell r="D364" t="str">
            <v>SMB</v>
          </cell>
          <cell r="G364">
            <v>44070</v>
          </cell>
        </row>
        <row r="365">
          <cell r="C365" t="str">
            <v>USD</v>
          </cell>
          <cell r="D365" t="str">
            <v>SMB</v>
          </cell>
          <cell r="G365">
            <v>45656</v>
          </cell>
        </row>
        <row r="366">
          <cell r="C366" t="str">
            <v>EUR</v>
          </cell>
          <cell r="D366" t="str">
            <v>SMB</v>
          </cell>
        </row>
        <row r="367">
          <cell r="C367" t="str">
            <v>Kur Sabitleme</v>
          </cell>
          <cell r="D367" t="str">
            <v>SMB</v>
          </cell>
        </row>
        <row r="368">
          <cell r="C368" t="str">
            <v>CHRONOS INSAN KAYNAKLARI DANISMANLIK LTD.STI.</v>
          </cell>
          <cell r="D368" t="str">
            <v>SMB</v>
          </cell>
          <cell r="E368">
            <v>0</v>
          </cell>
          <cell r="F368" t="str">
            <v>A-MB035</v>
          </cell>
          <cell r="G368">
            <v>41789</v>
          </cell>
        </row>
        <row r="369">
          <cell r="C369" t="str">
            <v>TL</v>
          </cell>
          <cell r="D369" t="str">
            <v>SMB</v>
          </cell>
          <cell r="G369">
            <v>41789</v>
          </cell>
        </row>
        <row r="370">
          <cell r="C370" t="str">
            <v>USD</v>
          </cell>
          <cell r="D370" t="str">
            <v>SMB</v>
          </cell>
          <cell r="G370">
            <v>44854</v>
          </cell>
        </row>
        <row r="371">
          <cell r="C371" t="str">
            <v>USD</v>
          </cell>
          <cell r="D371" t="str">
            <v>SMB</v>
          </cell>
          <cell r="G371">
            <v>45784</v>
          </cell>
        </row>
        <row r="372">
          <cell r="C372" t="str">
            <v>EUR</v>
          </cell>
          <cell r="D372" t="str">
            <v>SMB</v>
          </cell>
        </row>
        <row r="373">
          <cell r="C373" t="str">
            <v>Kur Sabitleme</v>
          </cell>
          <cell r="D373" t="str">
            <v>SMB</v>
          </cell>
        </row>
        <row r="374">
          <cell r="C374" t="str">
            <v>CHRONOS ISTIHDAM HIZMETLERI LTD.STI</v>
          </cell>
          <cell r="D374" t="str">
            <v>SMB</v>
          </cell>
          <cell r="E374">
            <v>0</v>
          </cell>
          <cell r="F374" t="str">
            <v>A-MB207</v>
          </cell>
          <cell r="G374">
            <v>40263</v>
          </cell>
        </row>
        <row r="375">
          <cell r="C375" t="str">
            <v>TL</v>
          </cell>
          <cell r="D375" t="str">
            <v>SMB</v>
          </cell>
          <cell r="G375">
            <v>40263</v>
          </cell>
        </row>
        <row r="376">
          <cell r="C376" t="str">
            <v>USD</v>
          </cell>
          <cell r="D376" t="str">
            <v>SMB</v>
          </cell>
          <cell r="G376">
            <v>45041</v>
          </cell>
        </row>
        <row r="377">
          <cell r="C377" t="str">
            <v>EUR</v>
          </cell>
          <cell r="D377" t="str">
            <v>SMB</v>
          </cell>
        </row>
        <row r="378">
          <cell r="C378" t="str">
            <v>Kur Sabitleme</v>
          </cell>
          <cell r="D378" t="str">
            <v>SMB</v>
          </cell>
        </row>
        <row r="379">
          <cell r="C379" t="str">
            <v>CİVİL MAGAZACILIK A.S.</v>
          </cell>
          <cell r="D379" t="str">
            <v>SMB</v>
          </cell>
          <cell r="E379">
            <v>0</v>
          </cell>
          <cell r="F379" t="str">
            <v>…..</v>
          </cell>
          <cell r="G379" t="str">
            <v/>
          </cell>
        </row>
        <row r="380">
          <cell r="C380" t="str">
            <v>TL</v>
          </cell>
          <cell r="D380" t="str">
            <v>SMB</v>
          </cell>
        </row>
        <row r="381">
          <cell r="C381" t="str">
            <v>USD</v>
          </cell>
          <cell r="D381" t="str">
            <v>SMB</v>
          </cell>
        </row>
        <row r="382">
          <cell r="C382" t="str">
            <v>EUR</v>
          </cell>
          <cell r="D382" t="str">
            <v>SMB</v>
          </cell>
        </row>
        <row r="383">
          <cell r="C383" t="str">
            <v>Kur Sabitleme</v>
          </cell>
          <cell r="D383" t="str">
            <v>SMB</v>
          </cell>
        </row>
        <row r="384">
          <cell r="C384" t="str">
            <v>COGİTO PARK COGNİTİVE DİJİTAL TEKN. VE YATIRIM A.Ş</v>
          </cell>
          <cell r="D384" t="str">
            <v>SMB</v>
          </cell>
          <cell r="E384">
            <v>0</v>
          </cell>
          <cell r="F384" t="str">
            <v>…..</v>
          </cell>
          <cell r="G384">
            <v>44166</v>
          </cell>
        </row>
        <row r="385">
          <cell r="C385" t="str">
            <v>TL</v>
          </cell>
          <cell r="D385" t="str">
            <v>SMB</v>
          </cell>
          <cell r="G385">
            <v>44166</v>
          </cell>
        </row>
        <row r="386">
          <cell r="C386" t="str">
            <v>USD</v>
          </cell>
          <cell r="D386" t="str">
            <v>SMB</v>
          </cell>
        </row>
        <row r="387">
          <cell r="C387" t="str">
            <v>EUR</v>
          </cell>
          <cell r="D387" t="str">
            <v>SMB</v>
          </cell>
        </row>
        <row r="388">
          <cell r="C388" t="str">
            <v>Kur Sabitleme</v>
          </cell>
          <cell r="D388" t="str">
            <v>SMB</v>
          </cell>
        </row>
        <row r="389">
          <cell r="C389" t="str">
            <v>COMPUGROUP MEDICAL BILGI SISTEMLERI A.S. (CGM)</v>
          </cell>
          <cell r="D389" t="str">
            <v>Enterprise</v>
          </cell>
          <cell r="E389">
            <v>0</v>
          </cell>
          <cell r="F389" t="str">
            <v>A-MB278</v>
          </cell>
          <cell r="G389">
            <v>43922</v>
          </cell>
        </row>
        <row r="390">
          <cell r="C390" t="str">
            <v>TL</v>
          </cell>
          <cell r="D390" t="str">
            <v>Enterprise</v>
          </cell>
          <cell r="G390">
            <v>43922</v>
          </cell>
        </row>
        <row r="391">
          <cell r="C391" t="str">
            <v>TL</v>
          </cell>
          <cell r="D391" t="str">
            <v>Enterprise</v>
          </cell>
          <cell r="G391">
            <v>45413</v>
          </cell>
        </row>
        <row r="392">
          <cell r="C392" t="str">
            <v>USD</v>
          </cell>
          <cell r="D392" t="str">
            <v>Enterprise</v>
          </cell>
          <cell r="G392">
            <v>44713</v>
          </cell>
        </row>
        <row r="393">
          <cell r="C393" t="str">
            <v>USD</v>
          </cell>
          <cell r="D393" t="str">
            <v>Enterprise</v>
          </cell>
          <cell r="G393">
            <v>45413</v>
          </cell>
        </row>
        <row r="394">
          <cell r="C394" t="str">
            <v>USD</v>
          </cell>
          <cell r="D394" t="str">
            <v>Enterprise</v>
          </cell>
          <cell r="G394">
            <v>45068</v>
          </cell>
        </row>
        <row r="395">
          <cell r="C395" t="str">
            <v>USD</v>
          </cell>
          <cell r="D395" t="str">
            <v>Enterprise</v>
          </cell>
          <cell r="G395">
            <v>45226</v>
          </cell>
        </row>
        <row r="396">
          <cell r="C396" t="str">
            <v>USD</v>
          </cell>
          <cell r="D396" t="str">
            <v>Enterprise</v>
          </cell>
          <cell r="G396">
            <v>45535</v>
          </cell>
        </row>
        <row r="397">
          <cell r="C397" t="str">
            <v>USD</v>
          </cell>
          <cell r="D397" t="str">
            <v>Enterprise</v>
          </cell>
          <cell r="G397">
            <v>45535</v>
          </cell>
        </row>
        <row r="398">
          <cell r="C398" t="str">
            <v>USD</v>
          </cell>
          <cell r="D398" t="str">
            <v>Enterprise</v>
          </cell>
          <cell r="G398">
            <v>45412</v>
          </cell>
        </row>
        <row r="399">
          <cell r="C399" t="str">
            <v>EUR</v>
          </cell>
          <cell r="D399" t="str">
            <v>Enterprise</v>
          </cell>
        </row>
        <row r="400">
          <cell r="C400" t="str">
            <v>Kur Sabitleme</v>
          </cell>
          <cell r="D400" t="str">
            <v>Enterprise</v>
          </cell>
        </row>
        <row r="401">
          <cell r="C401" t="str">
            <v>DALYA GAYRIMENKUL GELISTIRME TICARET A.S</v>
          </cell>
          <cell r="D401" t="str">
            <v>SMB</v>
          </cell>
          <cell r="E401">
            <v>0</v>
          </cell>
          <cell r="F401" t="str">
            <v>A-MB028</v>
          </cell>
          <cell r="G401">
            <v>40544</v>
          </cell>
        </row>
        <row r="402">
          <cell r="C402" t="str">
            <v>TL</v>
          </cell>
          <cell r="D402" t="str">
            <v>SMB</v>
          </cell>
          <cell r="G402">
            <v>44612</v>
          </cell>
        </row>
        <row r="403">
          <cell r="C403" t="str">
            <v>USD</v>
          </cell>
          <cell r="D403" t="str">
            <v>SMB</v>
          </cell>
          <cell r="G403">
            <v>40544</v>
          </cell>
        </row>
        <row r="404">
          <cell r="C404" t="str">
            <v>EUR</v>
          </cell>
          <cell r="D404" t="str">
            <v>SMB</v>
          </cell>
        </row>
        <row r="405">
          <cell r="C405" t="str">
            <v>Kur Sabitleme</v>
          </cell>
          <cell r="D405" t="str">
            <v>SMB</v>
          </cell>
        </row>
        <row r="406">
          <cell r="C406" t="str">
            <v>DAM BILGI TEKNOLOJILERI A.S.</v>
          </cell>
          <cell r="D406" t="str">
            <v>SMB</v>
          </cell>
          <cell r="E406">
            <v>0</v>
          </cell>
          <cell r="F406" t="str">
            <v>…..</v>
          </cell>
          <cell r="G406">
            <v>42186</v>
          </cell>
        </row>
        <row r="407">
          <cell r="C407" t="str">
            <v>TL</v>
          </cell>
          <cell r="D407" t="str">
            <v>SMB</v>
          </cell>
        </row>
        <row r="408">
          <cell r="C408" t="str">
            <v>USD</v>
          </cell>
          <cell r="D408" t="str">
            <v>SMB</v>
          </cell>
          <cell r="G408">
            <v>42186</v>
          </cell>
        </row>
        <row r="409">
          <cell r="C409" t="str">
            <v>EUR</v>
          </cell>
          <cell r="D409" t="str">
            <v>SMB</v>
          </cell>
        </row>
        <row r="410">
          <cell r="C410" t="str">
            <v>Kur Sabitleme</v>
          </cell>
          <cell r="D410" t="str">
            <v>SMB</v>
          </cell>
        </row>
        <row r="411">
          <cell r="C411" t="str">
            <v>DATA HIDROLIK MAKINA SANAYI A.S.</v>
          </cell>
          <cell r="D411" t="str">
            <v>SMB</v>
          </cell>
          <cell r="E411">
            <v>0</v>
          </cell>
          <cell r="F411" t="str">
            <v>A-MB019</v>
          </cell>
          <cell r="G411">
            <v>41759</v>
          </cell>
        </row>
        <row r="412">
          <cell r="C412" t="str">
            <v>TL</v>
          </cell>
          <cell r="D412" t="str">
            <v>SMB</v>
          </cell>
          <cell r="G412">
            <v>43418</v>
          </cell>
        </row>
        <row r="413">
          <cell r="C413" t="str">
            <v>TL</v>
          </cell>
          <cell r="D413" t="str">
            <v>SMB</v>
          </cell>
          <cell r="G413">
            <v>44266</v>
          </cell>
        </row>
        <row r="414">
          <cell r="C414" t="str">
            <v>TL</v>
          </cell>
          <cell r="D414" t="str">
            <v>SMB</v>
          </cell>
        </row>
        <row r="415">
          <cell r="C415" t="str">
            <v>USD</v>
          </cell>
          <cell r="D415" t="str">
            <v>SMB</v>
          </cell>
          <cell r="G415">
            <v>41759</v>
          </cell>
        </row>
        <row r="416">
          <cell r="C416" t="str">
            <v>USD</v>
          </cell>
          <cell r="D416" t="str">
            <v>SMB</v>
          </cell>
          <cell r="G416">
            <v>45624</v>
          </cell>
        </row>
        <row r="417">
          <cell r="C417" t="str">
            <v>USD</v>
          </cell>
          <cell r="D417" t="str">
            <v>SMB</v>
          </cell>
          <cell r="G417">
            <v>45831</v>
          </cell>
        </row>
        <row r="418">
          <cell r="C418" t="str">
            <v>USD</v>
          </cell>
          <cell r="D418" t="str">
            <v>SMB</v>
          </cell>
          <cell r="G418">
            <v>45702</v>
          </cell>
        </row>
        <row r="419">
          <cell r="C419" t="str">
            <v>USD</v>
          </cell>
          <cell r="D419" t="str">
            <v>SMB</v>
          </cell>
        </row>
        <row r="420">
          <cell r="C420" t="str">
            <v>EUR</v>
          </cell>
          <cell r="D420" t="str">
            <v>SMB</v>
          </cell>
        </row>
        <row r="421">
          <cell r="C421" t="str">
            <v>Kur Sabitleme</v>
          </cell>
          <cell r="D421" t="str">
            <v>SMB</v>
          </cell>
        </row>
        <row r="422">
          <cell r="C422" t="str">
            <v>DATASAFE ARSIVLEME HIZMETLERI A.S</v>
          </cell>
          <cell r="D422" t="str">
            <v>SMB</v>
          </cell>
          <cell r="E422">
            <v>0</v>
          </cell>
          <cell r="F422" t="str">
            <v>A-MB044</v>
          </cell>
          <cell r="G422">
            <v>40551</v>
          </cell>
        </row>
        <row r="423">
          <cell r="C423" t="str">
            <v>TL</v>
          </cell>
          <cell r="D423" t="str">
            <v>SMB</v>
          </cell>
          <cell r="G423">
            <v>40551</v>
          </cell>
        </row>
        <row r="424">
          <cell r="C424" t="str">
            <v>TL</v>
          </cell>
          <cell r="D424" t="str">
            <v>SMB</v>
          </cell>
          <cell r="G424">
            <v>44952</v>
          </cell>
        </row>
        <row r="425">
          <cell r="C425" t="str">
            <v>USD</v>
          </cell>
          <cell r="D425" t="str">
            <v>SMB</v>
          </cell>
          <cell r="G425">
            <v>40551</v>
          </cell>
        </row>
        <row r="426">
          <cell r="C426" t="str">
            <v>USD</v>
          </cell>
          <cell r="D426" t="str">
            <v>SMB</v>
          </cell>
          <cell r="G426">
            <v>40551</v>
          </cell>
        </row>
        <row r="427">
          <cell r="C427" t="str">
            <v>USD</v>
          </cell>
          <cell r="D427" t="str">
            <v>SMB</v>
          </cell>
          <cell r="G427">
            <v>44165</v>
          </cell>
        </row>
        <row r="428">
          <cell r="C428" t="str">
            <v>USD</v>
          </cell>
          <cell r="D428" t="str">
            <v>SMB</v>
          </cell>
        </row>
        <row r="429">
          <cell r="C429" t="str">
            <v>USD</v>
          </cell>
          <cell r="D429" t="str">
            <v>SMB</v>
          </cell>
        </row>
        <row r="430">
          <cell r="C430" t="str">
            <v>EUR</v>
          </cell>
          <cell r="D430" t="str">
            <v>SMB</v>
          </cell>
        </row>
        <row r="431">
          <cell r="C431" t="str">
            <v>Kur Sabitleme</v>
          </cell>
          <cell r="D431" t="str">
            <v>SMB</v>
          </cell>
        </row>
        <row r="432">
          <cell r="C432" t="str">
            <v>DB GÜMRÜK MÜŞAVİRLİĞİ LİMİTED ŞİRKET</v>
          </cell>
          <cell r="D432" t="str">
            <v>SMB</v>
          </cell>
          <cell r="E432">
            <v>0</v>
          </cell>
          <cell r="F432" t="str">
            <v>A-MB518</v>
          </cell>
          <cell r="G432">
            <v>44644</v>
          </cell>
        </row>
        <row r="433">
          <cell r="C433" t="str">
            <v>TL</v>
          </cell>
          <cell r="D433" t="str">
            <v>SMB</v>
          </cell>
        </row>
        <row r="434">
          <cell r="C434" t="str">
            <v>USD</v>
          </cell>
          <cell r="D434" t="str">
            <v>SMB</v>
          </cell>
          <cell r="G434">
            <v>44644</v>
          </cell>
        </row>
        <row r="435">
          <cell r="C435" t="str">
            <v>EUR</v>
          </cell>
          <cell r="D435" t="str">
            <v>SMB</v>
          </cell>
        </row>
        <row r="436">
          <cell r="C436" t="str">
            <v>Kur Sabitleme</v>
          </cell>
          <cell r="D436" t="str">
            <v>SMB</v>
          </cell>
        </row>
        <row r="437">
          <cell r="C437" t="str">
            <v>BDO DENET YEMİNLİ MALİ MÜŞAVİRLİK A.Ş.</v>
          </cell>
          <cell r="D437" t="str">
            <v>SMB</v>
          </cell>
          <cell r="E437">
            <v>0</v>
          </cell>
          <cell r="F437" t="str">
            <v>A-MB379</v>
          </cell>
          <cell r="G437">
            <v>44136</v>
          </cell>
        </row>
        <row r="438">
          <cell r="C438" t="str">
            <v>TL</v>
          </cell>
          <cell r="D438" t="str">
            <v>SMB</v>
          </cell>
          <cell r="G438">
            <v>44136</v>
          </cell>
        </row>
        <row r="439">
          <cell r="C439" t="str">
            <v>USD</v>
          </cell>
          <cell r="D439" t="str">
            <v>SMB</v>
          </cell>
          <cell r="G439">
            <v>45259</v>
          </cell>
        </row>
        <row r="440">
          <cell r="C440" t="str">
            <v>USD</v>
          </cell>
          <cell r="D440" t="str">
            <v>SMB</v>
          </cell>
          <cell r="G440">
            <v>45790</v>
          </cell>
        </row>
        <row r="441">
          <cell r="C441" t="str">
            <v>EUR</v>
          </cell>
          <cell r="D441" t="str">
            <v>SMB</v>
          </cell>
        </row>
        <row r="442">
          <cell r="C442" t="str">
            <v>Kur Sabitleme</v>
          </cell>
          <cell r="D442" t="str">
            <v>SMB</v>
          </cell>
        </row>
        <row r="443">
          <cell r="C443" t="str">
            <v>DERTEC ELEKTRONIK SES ISIK GÖRÜNTÜ SIS.SAN.TIC.LTD</v>
          </cell>
          <cell r="D443" t="str">
            <v>SMB</v>
          </cell>
          <cell r="E443">
            <v>0</v>
          </cell>
          <cell r="F443" t="str">
            <v>A-MB181</v>
          </cell>
          <cell r="G443">
            <v>40551</v>
          </cell>
        </row>
        <row r="444">
          <cell r="C444" t="str">
            <v>TL</v>
          </cell>
          <cell r="D444" t="str">
            <v>SMB</v>
          </cell>
        </row>
        <row r="445">
          <cell r="C445" t="str">
            <v>USD</v>
          </cell>
          <cell r="D445" t="str">
            <v>SMB</v>
          </cell>
          <cell r="G445">
            <v>40551</v>
          </cell>
        </row>
        <row r="446">
          <cell r="C446" t="str">
            <v>USD</v>
          </cell>
          <cell r="D446" t="str">
            <v>SMB</v>
          </cell>
          <cell r="G446">
            <v>45803</v>
          </cell>
        </row>
        <row r="447">
          <cell r="C447" t="str">
            <v>EUR</v>
          </cell>
          <cell r="D447" t="str">
            <v>SMB</v>
          </cell>
        </row>
        <row r="448">
          <cell r="C448" t="str">
            <v>Kur Sabitleme</v>
          </cell>
          <cell r="D448" t="str">
            <v>SMB</v>
          </cell>
        </row>
        <row r="449">
          <cell r="C449" t="str">
            <v>DIGITAY TEKNOLOJI VE YAZILIM TICARET LIMITED SIRKE</v>
          </cell>
          <cell r="D449" t="str">
            <v>SMB</v>
          </cell>
          <cell r="E449">
            <v>0</v>
          </cell>
          <cell r="F449" t="str">
            <v>…..</v>
          </cell>
          <cell r="G449">
            <v>43525</v>
          </cell>
        </row>
        <row r="450">
          <cell r="C450" t="str">
            <v>TL</v>
          </cell>
          <cell r="D450" t="str">
            <v>SMB</v>
          </cell>
        </row>
        <row r="451">
          <cell r="C451" t="str">
            <v>USD</v>
          </cell>
          <cell r="D451" t="str">
            <v>SMB</v>
          </cell>
          <cell r="G451">
            <v>43525</v>
          </cell>
        </row>
        <row r="452">
          <cell r="C452" t="str">
            <v>EUR</v>
          </cell>
          <cell r="D452" t="str">
            <v>SMB</v>
          </cell>
        </row>
        <row r="453">
          <cell r="C453" t="str">
            <v>Kur Sabitleme</v>
          </cell>
          <cell r="D453" t="str">
            <v>SMB</v>
          </cell>
        </row>
        <row r="454">
          <cell r="C454" t="str">
            <v>DİKEY VITAMIN KOZM.GIDATAKV. TIC.AS(SUPPLEMTLER)</v>
          </cell>
          <cell r="D454" t="str">
            <v>Enterprise</v>
          </cell>
          <cell r="E454">
            <v>0</v>
          </cell>
          <cell r="F454" t="str">
            <v>A-MB302</v>
          </cell>
          <cell r="G454">
            <v>44013</v>
          </cell>
        </row>
        <row r="455">
          <cell r="C455" t="str">
            <v>TL</v>
          </cell>
          <cell r="D455" t="str">
            <v>Enterprise</v>
          </cell>
          <cell r="G455">
            <v>44013</v>
          </cell>
        </row>
        <row r="456">
          <cell r="C456" t="str">
            <v>USD</v>
          </cell>
          <cell r="D456" t="str">
            <v>Enterprise</v>
          </cell>
          <cell r="G456">
            <v>44652</v>
          </cell>
        </row>
        <row r="457">
          <cell r="C457" t="str">
            <v>EUR</v>
          </cell>
          <cell r="D457" t="str">
            <v>Enterprise</v>
          </cell>
        </row>
        <row r="458">
          <cell r="C458" t="str">
            <v>Kur Sabitleme</v>
          </cell>
          <cell r="D458" t="str">
            <v>Enterprise</v>
          </cell>
        </row>
        <row r="459">
          <cell r="C459" t="str">
            <v>DOĞUŞ TEKNOLOJİ</v>
          </cell>
          <cell r="D459" t="str">
            <v>Enterprise</v>
          </cell>
          <cell r="E459">
            <v>0</v>
          </cell>
          <cell r="F459" t="str">
            <v>…..</v>
          </cell>
          <cell r="G459">
            <v>43878</v>
          </cell>
        </row>
        <row r="460">
          <cell r="C460" t="str">
            <v>TL</v>
          </cell>
          <cell r="D460" t="str">
            <v>Enterprise</v>
          </cell>
          <cell r="G460">
            <v>43878</v>
          </cell>
        </row>
        <row r="461">
          <cell r="C461" t="str">
            <v>USD</v>
          </cell>
          <cell r="D461" t="str">
            <v>Enterprise</v>
          </cell>
        </row>
        <row r="462">
          <cell r="C462" t="str">
            <v>EUR</v>
          </cell>
          <cell r="D462" t="str">
            <v>Enterprise</v>
          </cell>
        </row>
        <row r="463">
          <cell r="C463" t="str">
            <v>Kur Sabitleme</v>
          </cell>
          <cell r="D463" t="str">
            <v>Enterprise</v>
          </cell>
        </row>
        <row r="464">
          <cell r="C464" t="str">
            <v>DÖNÜŞÜM OTOMOTİV VE SAN.TİC.A.Ş.</v>
          </cell>
          <cell r="D464" t="str">
            <v>SMB</v>
          </cell>
          <cell r="E464">
            <v>0</v>
          </cell>
          <cell r="F464" t="str">
            <v>A-MB508</v>
          </cell>
          <cell r="G464">
            <v>44562</v>
          </cell>
        </row>
        <row r="465">
          <cell r="C465" t="str">
            <v>TL</v>
          </cell>
          <cell r="D465" t="str">
            <v>SMB</v>
          </cell>
        </row>
        <row r="466">
          <cell r="C466" t="str">
            <v>USD</v>
          </cell>
          <cell r="D466" t="str">
            <v>SMB</v>
          </cell>
          <cell r="G466">
            <v>44562</v>
          </cell>
        </row>
        <row r="467">
          <cell r="C467" t="str">
            <v>EUR</v>
          </cell>
          <cell r="D467" t="str">
            <v>SMB</v>
          </cell>
        </row>
        <row r="468">
          <cell r="C468" t="str">
            <v>Kur Sabitleme</v>
          </cell>
          <cell r="D468" t="str">
            <v>SMB</v>
          </cell>
        </row>
        <row r="469">
          <cell r="C469" t="str">
            <v>ECE FITOTERAPI SAGLIK ÜRÜNLERI SANAYI VE TIC.A.S</v>
          </cell>
          <cell r="D469" t="str">
            <v>SMB</v>
          </cell>
          <cell r="E469">
            <v>0</v>
          </cell>
          <cell r="F469" t="str">
            <v>…..</v>
          </cell>
          <cell r="G469">
            <v>41759</v>
          </cell>
        </row>
        <row r="470">
          <cell r="C470" t="str">
            <v>TL</v>
          </cell>
          <cell r="D470" t="str">
            <v>SMB</v>
          </cell>
        </row>
        <row r="471">
          <cell r="C471" t="str">
            <v>USD</v>
          </cell>
          <cell r="D471" t="str">
            <v>SMB</v>
          </cell>
          <cell r="G471">
            <v>41759</v>
          </cell>
        </row>
        <row r="472">
          <cell r="C472" t="str">
            <v>EUR</v>
          </cell>
          <cell r="D472" t="str">
            <v>SMB</v>
          </cell>
        </row>
        <row r="473">
          <cell r="C473" t="str">
            <v>Kur Sabitleme</v>
          </cell>
          <cell r="D473" t="str">
            <v>SMB</v>
          </cell>
        </row>
        <row r="474">
          <cell r="C474" t="str">
            <v>EGE SERAMIK SAN. VE TIC. A.S.</v>
          </cell>
          <cell r="D474" t="str">
            <v>Enterprise</v>
          </cell>
          <cell r="E474">
            <v>0</v>
          </cell>
          <cell r="F474" t="str">
            <v>A-MB396</v>
          </cell>
          <cell r="G474">
            <v>43262</v>
          </cell>
        </row>
        <row r="475">
          <cell r="C475" t="str">
            <v>TL</v>
          </cell>
          <cell r="D475" t="str">
            <v>Enterprise</v>
          </cell>
        </row>
        <row r="476">
          <cell r="C476" t="str">
            <v>USD</v>
          </cell>
          <cell r="D476" t="str">
            <v>Enterprise</v>
          </cell>
          <cell r="G476">
            <v>44063</v>
          </cell>
        </row>
        <row r="477">
          <cell r="C477" t="str">
            <v>USD</v>
          </cell>
          <cell r="D477" t="str">
            <v>Enterprise</v>
          </cell>
          <cell r="G477">
            <v>43262</v>
          </cell>
        </row>
        <row r="478">
          <cell r="C478" t="str">
            <v>EUR</v>
          </cell>
          <cell r="D478" t="str">
            <v>Enterprise</v>
          </cell>
        </row>
        <row r="479">
          <cell r="C479" t="str">
            <v>Kur Sabitleme</v>
          </cell>
          <cell r="D479" t="str">
            <v>Enterprise</v>
          </cell>
        </row>
        <row r="480">
          <cell r="C480" t="str">
            <v>EKSEN MEDIKAL TIBBI MALZ. VE GERÇ. PAZ. TUR. ITH.</v>
          </cell>
          <cell r="D480" t="str">
            <v>SMB</v>
          </cell>
          <cell r="E480">
            <v>0</v>
          </cell>
          <cell r="F480" t="str">
            <v>A-MB246</v>
          </cell>
          <cell r="G480">
            <v>43585</v>
          </cell>
        </row>
        <row r="481">
          <cell r="C481" t="str">
            <v>TL</v>
          </cell>
          <cell r="D481" t="str">
            <v>SMB</v>
          </cell>
        </row>
        <row r="482">
          <cell r="C482" t="str">
            <v>USD</v>
          </cell>
          <cell r="D482" t="str">
            <v>SMB</v>
          </cell>
          <cell r="G482">
            <v>43585</v>
          </cell>
        </row>
        <row r="483">
          <cell r="C483" t="str">
            <v>EUR</v>
          </cell>
          <cell r="D483" t="str">
            <v>SMB</v>
          </cell>
        </row>
        <row r="484">
          <cell r="C484" t="str">
            <v>Kur Sabitleme</v>
          </cell>
          <cell r="D484" t="str">
            <v>SMB</v>
          </cell>
        </row>
        <row r="485">
          <cell r="C485" t="str">
            <v>ELİG HUKUK BÜROSU, GÖNENÇ GÜRKAYNAK</v>
          </cell>
          <cell r="D485" t="str">
            <v>SMB</v>
          </cell>
          <cell r="E485">
            <v>0</v>
          </cell>
          <cell r="F485" t="str">
            <v>A-MB397</v>
          </cell>
          <cell r="G485">
            <v>44774</v>
          </cell>
        </row>
        <row r="486">
          <cell r="C486" t="str">
            <v>TL</v>
          </cell>
          <cell r="D486" t="str">
            <v>SMB</v>
          </cell>
        </row>
        <row r="487">
          <cell r="C487" t="str">
            <v>USD</v>
          </cell>
          <cell r="D487" t="str">
            <v>SMB</v>
          </cell>
          <cell r="G487">
            <v>44774</v>
          </cell>
        </row>
        <row r="488">
          <cell r="C488" t="str">
            <v>USD</v>
          </cell>
          <cell r="D488" t="str">
            <v>SMB</v>
          </cell>
          <cell r="G488">
            <v>45320</v>
          </cell>
        </row>
        <row r="489">
          <cell r="C489" t="str">
            <v>USD</v>
          </cell>
          <cell r="D489" t="str">
            <v>SMB</v>
          </cell>
          <cell r="G489">
            <v>45566</v>
          </cell>
        </row>
        <row r="490">
          <cell r="C490" t="str">
            <v>USD</v>
          </cell>
          <cell r="D490" t="str">
            <v>SMB</v>
          </cell>
          <cell r="G490">
            <v>45688</v>
          </cell>
        </row>
        <row r="491">
          <cell r="C491" t="str">
            <v>USD</v>
          </cell>
          <cell r="D491" t="str">
            <v>SMB</v>
          </cell>
          <cell r="G491">
            <v>45688</v>
          </cell>
        </row>
        <row r="492">
          <cell r="C492" t="str">
            <v>USD</v>
          </cell>
          <cell r="D492" t="str">
            <v>SMB</v>
          </cell>
          <cell r="G492">
            <v>45656</v>
          </cell>
        </row>
        <row r="493">
          <cell r="C493" t="str">
            <v>EUR</v>
          </cell>
          <cell r="D493" t="str">
            <v>SMB</v>
          </cell>
        </row>
        <row r="494">
          <cell r="C494" t="str">
            <v>Kur Sabitleme</v>
          </cell>
          <cell r="D494" t="str">
            <v>SMB</v>
          </cell>
        </row>
        <row r="495">
          <cell r="C495" t="str">
            <v>ENOCTA - AVEZ ELEKTRONIK ILETISIM</v>
          </cell>
          <cell r="D495" t="str">
            <v>Enterprise</v>
          </cell>
          <cell r="E495">
            <v>0</v>
          </cell>
          <cell r="F495" t="str">
            <v>A-MB386</v>
          </cell>
          <cell r="G495">
            <v>45017</v>
          </cell>
        </row>
        <row r="496">
          <cell r="C496" t="str">
            <v>TL</v>
          </cell>
          <cell r="D496" t="str">
            <v>Enterprise</v>
          </cell>
          <cell r="G496">
            <v>45017</v>
          </cell>
        </row>
        <row r="497">
          <cell r="C497" t="str">
            <v>TL</v>
          </cell>
          <cell r="D497" t="str">
            <v>Enterprise</v>
          </cell>
        </row>
        <row r="498">
          <cell r="C498" t="str">
            <v>TL</v>
          </cell>
          <cell r="D498" t="str">
            <v>Enterprise</v>
          </cell>
        </row>
        <row r="499">
          <cell r="C499" t="str">
            <v>USD</v>
          </cell>
          <cell r="D499" t="str">
            <v>Enterprise</v>
          </cell>
        </row>
        <row r="500">
          <cell r="C500" t="str">
            <v>EUR</v>
          </cell>
          <cell r="D500" t="str">
            <v>Enterprise</v>
          </cell>
        </row>
        <row r="501">
          <cell r="C501" t="str">
            <v>Kur Sabitleme</v>
          </cell>
          <cell r="D501" t="str">
            <v>Enterprise</v>
          </cell>
        </row>
        <row r="502">
          <cell r="C502" t="str">
            <v>ES DIL HIZ. VE DAN.TIC.A.S.</v>
          </cell>
          <cell r="D502" t="str">
            <v>SMB</v>
          </cell>
          <cell r="E502">
            <v>0</v>
          </cell>
          <cell r="F502" t="str">
            <v>A-MB069</v>
          </cell>
          <cell r="G502">
            <v>40299</v>
          </cell>
        </row>
        <row r="503">
          <cell r="C503" t="str">
            <v>TL</v>
          </cell>
          <cell r="D503" t="str">
            <v>SMB</v>
          </cell>
        </row>
        <row r="504">
          <cell r="C504" t="str">
            <v>USD</v>
          </cell>
          <cell r="D504" t="str">
            <v>SMB</v>
          </cell>
          <cell r="G504">
            <v>44774</v>
          </cell>
        </row>
        <row r="505">
          <cell r="C505" t="str">
            <v>USD</v>
          </cell>
          <cell r="D505" t="str">
            <v>SMB</v>
          </cell>
          <cell r="G505">
            <v>40299</v>
          </cell>
        </row>
        <row r="506">
          <cell r="C506" t="str">
            <v>EUR</v>
          </cell>
          <cell r="D506" t="str">
            <v>SMB</v>
          </cell>
        </row>
        <row r="507">
          <cell r="C507" t="str">
            <v>Kur Sabitleme</v>
          </cell>
          <cell r="D507" t="str">
            <v>SMB</v>
          </cell>
        </row>
        <row r="508">
          <cell r="C508" t="str">
            <v>ESM DANIŞMANLIK HİZMETLERİ AŞ.</v>
          </cell>
          <cell r="D508" t="str">
            <v>SMB</v>
          </cell>
          <cell r="E508">
            <v>0</v>
          </cell>
          <cell r="F508" t="str">
            <v>A-MB240</v>
          </cell>
          <cell r="G508">
            <v>44650</v>
          </cell>
        </row>
        <row r="509">
          <cell r="C509" t="str">
            <v>TL</v>
          </cell>
          <cell r="D509" t="str">
            <v>SMB</v>
          </cell>
        </row>
        <row r="510">
          <cell r="C510" t="str">
            <v>USD</v>
          </cell>
          <cell r="D510" t="str">
            <v>SMB</v>
          </cell>
          <cell r="G510">
            <v>44650</v>
          </cell>
        </row>
        <row r="511">
          <cell r="C511" t="str">
            <v>USD</v>
          </cell>
          <cell r="D511" t="str">
            <v>SMB</v>
          </cell>
          <cell r="G511">
            <v>44992</v>
          </cell>
        </row>
        <row r="512">
          <cell r="C512" t="str">
            <v>EUR</v>
          </cell>
          <cell r="D512" t="str">
            <v>SMB</v>
          </cell>
        </row>
        <row r="513">
          <cell r="C513" t="str">
            <v>Kur Sabitleme</v>
          </cell>
          <cell r="D513" t="str">
            <v>SMB</v>
          </cell>
        </row>
        <row r="514">
          <cell r="C514" t="str">
            <v>ESTIMA ARASTIRMA DANISMANLIK VE TIC.A.S</v>
          </cell>
          <cell r="D514" t="str">
            <v>SMB</v>
          </cell>
          <cell r="E514">
            <v>0</v>
          </cell>
          <cell r="F514" t="str">
            <v>A-MB281</v>
          </cell>
          <cell r="G514">
            <v>43831</v>
          </cell>
        </row>
        <row r="515">
          <cell r="C515" t="str">
            <v>TL</v>
          </cell>
          <cell r="D515" t="str">
            <v>SMB</v>
          </cell>
          <cell r="G515">
            <v>43831</v>
          </cell>
        </row>
        <row r="516">
          <cell r="C516" t="str">
            <v>USD</v>
          </cell>
          <cell r="D516" t="str">
            <v>SMB</v>
          </cell>
          <cell r="G516">
            <v>45014</v>
          </cell>
        </row>
        <row r="517">
          <cell r="C517" t="str">
            <v>USD</v>
          </cell>
          <cell r="D517" t="str">
            <v>SMB</v>
          </cell>
          <cell r="G517">
            <v>45554</v>
          </cell>
        </row>
        <row r="518">
          <cell r="C518" t="str">
            <v>USD</v>
          </cell>
          <cell r="D518" t="str">
            <v>SMB</v>
          </cell>
        </row>
        <row r="519">
          <cell r="C519" t="str">
            <v>USD</v>
          </cell>
          <cell r="D519" t="str">
            <v>SMB</v>
          </cell>
        </row>
        <row r="520">
          <cell r="C520" t="str">
            <v>USD</v>
          </cell>
          <cell r="D520" t="str">
            <v>SMB</v>
          </cell>
        </row>
        <row r="521">
          <cell r="C521" t="str">
            <v>EUR</v>
          </cell>
          <cell r="D521" t="str">
            <v>SMB</v>
          </cell>
        </row>
        <row r="522">
          <cell r="C522" t="str">
            <v>Kur Sabitleme</v>
          </cell>
          <cell r="D522" t="str">
            <v>SMB</v>
          </cell>
        </row>
        <row r="523">
          <cell r="C523" t="str">
            <v>ETUR TURİZM PAZARLAMA VE SEYAHAT LTD.ŞTİ.</v>
          </cell>
          <cell r="D523" t="str">
            <v>SMB</v>
          </cell>
          <cell r="E523">
            <v>0</v>
          </cell>
          <cell r="F523" t="str">
            <v>A-MB043</v>
          </cell>
          <cell r="G523">
            <v>44172</v>
          </cell>
        </row>
        <row r="524">
          <cell r="C524" t="str">
            <v>TL</v>
          </cell>
          <cell r="D524" t="str">
            <v>SMB</v>
          </cell>
          <cell r="G524">
            <v>44172</v>
          </cell>
        </row>
        <row r="525">
          <cell r="C525" t="str">
            <v>USD</v>
          </cell>
          <cell r="D525" t="str">
            <v>SMB</v>
          </cell>
          <cell r="G525">
            <v>44944</v>
          </cell>
        </row>
        <row r="526">
          <cell r="C526" t="str">
            <v>USD</v>
          </cell>
          <cell r="D526" t="str">
            <v>SMB</v>
          </cell>
          <cell r="G526">
            <v>45701</v>
          </cell>
        </row>
        <row r="527">
          <cell r="C527" t="str">
            <v>EUR</v>
          </cell>
          <cell r="D527" t="str">
            <v>SMB</v>
          </cell>
        </row>
        <row r="528">
          <cell r="C528" t="str">
            <v>Kur Sabitleme</v>
          </cell>
          <cell r="D528" t="str">
            <v>SMB</v>
          </cell>
        </row>
        <row r="529">
          <cell r="C529" t="str">
            <v>EVIDEA MAGAZACILIK A.S.</v>
          </cell>
          <cell r="D529" t="str">
            <v>Enterprise</v>
          </cell>
          <cell r="E529">
            <v>0</v>
          </cell>
          <cell r="F529" t="str">
            <v>A-MB292</v>
          </cell>
          <cell r="G529">
            <v>43922</v>
          </cell>
        </row>
        <row r="530">
          <cell r="C530" t="str">
            <v>TL</v>
          </cell>
          <cell r="D530" t="str">
            <v>Enterprise</v>
          </cell>
          <cell r="G530">
            <v>43922</v>
          </cell>
        </row>
        <row r="531">
          <cell r="C531" t="str">
            <v>TL</v>
          </cell>
          <cell r="D531" t="str">
            <v>Enterprise</v>
          </cell>
          <cell r="G531">
            <v>45170</v>
          </cell>
        </row>
        <row r="532">
          <cell r="C532" t="str">
            <v>TL</v>
          </cell>
          <cell r="D532" t="str">
            <v>Enterprise</v>
          </cell>
          <cell r="G532">
            <v>45806</v>
          </cell>
        </row>
        <row r="533">
          <cell r="C533" t="str">
            <v>USD</v>
          </cell>
          <cell r="D533" t="str">
            <v>Enterprise</v>
          </cell>
          <cell r="G533">
            <v>45170</v>
          </cell>
        </row>
        <row r="534">
          <cell r="C534" t="str">
            <v>USD</v>
          </cell>
          <cell r="D534" t="str">
            <v>Enterprise</v>
          </cell>
          <cell r="G534">
            <v>43922</v>
          </cell>
        </row>
        <row r="535">
          <cell r="C535" t="str">
            <v>USD</v>
          </cell>
          <cell r="D535" t="str">
            <v>Enterprise</v>
          </cell>
          <cell r="G535">
            <v>44552</v>
          </cell>
        </row>
        <row r="536">
          <cell r="C536" t="str">
            <v>USD</v>
          </cell>
          <cell r="D536" t="str">
            <v>Enterprise</v>
          </cell>
          <cell r="G536">
            <v>45806</v>
          </cell>
        </row>
        <row r="537">
          <cell r="C537" t="str">
            <v>USD</v>
          </cell>
          <cell r="D537" t="str">
            <v>Enterprise</v>
          </cell>
          <cell r="G537">
            <v>45807</v>
          </cell>
        </row>
        <row r="538">
          <cell r="C538" t="str">
            <v>EUR</v>
          </cell>
          <cell r="D538" t="str">
            <v>Enterprise</v>
          </cell>
        </row>
        <row r="539">
          <cell r="C539" t="str">
            <v>Kur Sabitleme</v>
          </cell>
          <cell r="D539" t="str">
            <v>Enterprise</v>
          </cell>
        </row>
        <row r="540">
          <cell r="C540" t="str">
            <v>EVRENSEL BAGIMSIZ DENETIM SMMM A.S</v>
          </cell>
          <cell r="D540" t="str">
            <v>SMB</v>
          </cell>
          <cell r="E540">
            <v>0</v>
          </cell>
          <cell r="F540" t="str">
            <v>A-MB463</v>
          </cell>
          <cell r="G540">
            <v>39995</v>
          </cell>
        </row>
        <row r="541">
          <cell r="C541" t="str">
            <v>TL</v>
          </cell>
          <cell r="D541" t="str">
            <v>SMB</v>
          </cell>
          <cell r="G541">
            <v>42064</v>
          </cell>
        </row>
        <row r="542">
          <cell r="C542" t="str">
            <v>USD</v>
          </cell>
          <cell r="D542" t="str">
            <v>SMB</v>
          </cell>
          <cell r="G542">
            <v>39995</v>
          </cell>
        </row>
        <row r="543">
          <cell r="C543" t="str">
            <v>USD</v>
          </cell>
          <cell r="D543" t="str">
            <v>SMB</v>
          </cell>
          <cell r="G543">
            <v>45831</v>
          </cell>
        </row>
        <row r="544">
          <cell r="C544" t="str">
            <v>USD</v>
          </cell>
          <cell r="D544" t="str">
            <v>SMB</v>
          </cell>
          <cell r="G544">
            <v>44774</v>
          </cell>
        </row>
        <row r="545">
          <cell r="C545" t="str">
            <v>USD</v>
          </cell>
          <cell r="D545" t="str">
            <v>SMB</v>
          </cell>
          <cell r="G545">
            <v>45492</v>
          </cell>
        </row>
        <row r="546">
          <cell r="C546" t="str">
            <v>EUR</v>
          </cell>
          <cell r="D546" t="str">
            <v>SMB</v>
          </cell>
        </row>
        <row r="547">
          <cell r="C547" t="str">
            <v>Kur Sabitleme</v>
          </cell>
          <cell r="D547" t="str">
            <v>SMB</v>
          </cell>
        </row>
        <row r="548">
          <cell r="C548" t="str">
            <v>FEILO SYLVANIA TR ELEKTRIK ÜRÜNLERI TIC. LTD.STI.</v>
          </cell>
          <cell r="D548" t="str">
            <v>SMB</v>
          </cell>
          <cell r="E548">
            <v>0</v>
          </cell>
          <cell r="F548" t="str">
            <v>A-MB186</v>
          </cell>
          <cell r="G548">
            <v>43132</v>
          </cell>
        </row>
        <row r="549">
          <cell r="C549" t="str">
            <v>TL</v>
          </cell>
          <cell r="D549" t="str">
            <v>SMB</v>
          </cell>
        </row>
        <row r="550">
          <cell r="C550" t="str">
            <v>USD</v>
          </cell>
          <cell r="D550" t="str">
            <v>SMB</v>
          </cell>
          <cell r="G550">
            <v>43132</v>
          </cell>
        </row>
        <row r="551">
          <cell r="C551" t="str">
            <v>EUR</v>
          </cell>
          <cell r="D551" t="str">
            <v>SMB</v>
          </cell>
        </row>
        <row r="552">
          <cell r="C552" t="str">
            <v>Kur Sabitleme</v>
          </cell>
          <cell r="D552" t="str">
            <v>SMB</v>
          </cell>
        </row>
        <row r="553">
          <cell r="C553" t="str">
            <v>FET RESTORAN ISLETMELERI A.S</v>
          </cell>
          <cell r="D553" t="str">
            <v>SMB</v>
          </cell>
          <cell r="E553">
            <v>0</v>
          </cell>
          <cell r="F553" t="str">
            <v>A-MB082</v>
          </cell>
          <cell r="G553">
            <v>45015</v>
          </cell>
        </row>
        <row r="554">
          <cell r="C554" t="str">
            <v>TL</v>
          </cell>
          <cell r="D554" t="str">
            <v>SMB</v>
          </cell>
          <cell r="G554">
            <v>45015</v>
          </cell>
        </row>
        <row r="555">
          <cell r="C555" t="str">
            <v>USD</v>
          </cell>
          <cell r="D555" t="str">
            <v>SMB</v>
          </cell>
          <cell r="G555">
            <v>45015</v>
          </cell>
        </row>
        <row r="556">
          <cell r="C556" t="str">
            <v>USD</v>
          </cell>
          <cell r="D556" t="str">
            <v>SMB</v>
          </cell>
          <cell r="G556">
            <v>45775</v>
          </cell>
        </row>
        <row r="557">
          <cell r="C557" t="str">
            <v>EUR</v>
          </cell>
          <cell r="D557" t="str">
            <v>SMB</v>
          </cell>
        </row>
        <row r="558">
          <cell r="C558" t="str">
            <v>Kur Sabitleme</v>
          </cell>
          <cell r="D558" t="str">
            <v>SMB</v>
          </cell>
        </row>
        <row r="559">
          <cell r="C559" t="str">
            <v>FRESENIUS KABI ILAÇ SAN. VE TIC. LTD. STI.</v>
          </cell>
          <cell r="D559" t="str">
            <v>SMB</v>
          </cell>
          <cell r="E559">
            <v>0</v>
          </cell>
          <cell r="F559" t="str">
            <v>…..</v>
          </cell>
          <cell r="G559">
            <v>44459</v>
          </cell>
        </row>
        <row r="560">
          <cell r="C560" t="str">
            <v>TL</v>
          </cell>
          <cell r="D560" t="str">
            <v>SMB</v>
          </cell>
          <cell r="G560">
            <v>44459</v>
          </cell>
        </row>
        <row r="561">
          <cell r="C561" t="str">
            <v>USD</v>
          </cell>
          <cell r="D561" t="str">
            <v>SMB</v>
          </cell>
        </row>
        <row r="562">
          <cell r="C562" t="str">
            <v>EUR</v>
          </cell>
          <cell r="D562" t="str">
            <v>SMB</v>
          </cell>
        </row>
        <row r="563">
          <cell r="C563" t="str">
            <v>Kur Sabitleme</v>
          </cell>
          <cell r="D563" t="str">
            <v>SMB</v>
          </cell>
        </row>
        <row r="564">
          <cell r="C564" t="str">
            <v>GALSAN PLASTIK VE KALIP SAN. A.S</v>
          </cell>
          <cell r="D564" t="str">
            <v>SMB</v>
          </cell>
          <cell r="E564">
            <v>0</v>
          </cell>
          <cell r="F564" t="str">
            <v>A-MB452</v>
          </cell>
          <cell r="G564">
            <v>43983</v>
          </cell>
        </row>
        <row r="565">
          <cell r="C565" t="str">
            <v>TL</v>
          </cell>
          <cell r="D565" t="str">
            <v>SMB</v>
          </cell>
          <cell r="G565">
            <v>43992</v>
          </cell>
        </row>
        <row r="566">
          <cell r="C566" t="str">
            <v>USD</v>
          </cell>
          <cell r="D566" t="str">
            <v>SMB</v>
          </cell>
          <cell r="G566">
            <v>43983</v>
          </cell>
        </row>
        <row r="567">
          <cell r="C567" t="str">
            <v>USD</v>
          </cell>
          <cell r="D567" t="str">
            <v>SMB</v>
          </cell>
          <cell r="G567">
            <v>45076</v>
          </cell>
        </row>
        <row r="568">
          <cell r="C568" t="str">
            <v>USD</v>
          </cell>
          <cell r="D568" t="str">
            <v>SMB</v>
          </cell>
          <cell r="G568">
            <v>45947</v>
          </cell>
        </row>
        <row r="569">
          <cell r="C569" t="str">
            <v>USD</v>
          </cell>
          <cell r="D569" t="str">
            <v>SMB</v>
          </cell>
          <cell r="G569">
            <v>45622</v>
          </cell>
        </row>
        <row r="570">
          <cell r="C570" t="str">
            <v>USD</v>
          </cell>
          <cell r="D570" t="str">
            <v>SMB</v>
          </cell>
          <cell r="G570">
            <v>45863</v>
          </cell>
        </row>
        <row r="571">
          <cell r="C571" t="str">
            <v>USD</v>
          </cell>
          <cell r="D571" t="str">
            <v>SMB</v>
          </cell>
          <cell r="G571">
            <v>45866</v>
          </cell>
        </row>
        <row r="572">
          <cell r="C572" t="str">
            <v>USD</v>
          </cell>
          <cell r="D572" t="str">
            <v>SMB</v>
          </cell>
          <cell r="G572">
            <v>45554</v>
          </cell>
        </row>
        <row r="573">
          <cell r="C573" t="str">
            <v>EUR</v>
          </cell>
          <cell r="D573" t="str">
            <v>SMB</v>
          </cell>
        </row>
        <row r="574">
          <cell r="C574" t="str">
            <v>Kur Sabitleme</v>
          </cell>
          <cell r="D574" t="str">
            <v>SMB</v>
          </cell>
        </row>
        <row r="575">
          <cell r="C575" t="str">
            <v>GARDENSA PEYZAJ A.Ş.</v>
          </cell>
          <cell r="D575" t="str">
            <v>SMB</v>
          </cell>
          <cell r="E575">
            <v>0</v>
          </cell>
          <cell r="F575" t="str">
            <v>A-MB348</v>
          </cell>
          <cell r="G575">
            <v>42794</v>
          </cell>
        </row>
        <row r="576">
          <cell r="C576" t="str">
            <v>TL</v>
          </cell>
          <cell r="D576" t="str">
            <v>SMB</v>
          </cell>
        </row>
        <row r="577">
          <cell r="C577" t="str">
            <v>USD</v>
          </cell>
          <cell r="D577" t="str">
            <v>SMB</v>
          </cell>
          <cell r="G577">
            <v>42794</v>
          </cell>
        </row>
        <row r="578">
          <cell r="C578" t="str">
            <v>USD</v>
          </cell>
          <cell r="D578" t="str">
            <v>SMB</v>
          </cell>
        </row>
        <row r="579">
          <cell r="C579" t="str">
            <v>USD</v>
          </cell>
          <cell r="D579" t="str">
            <v>SMB</v>
          </cell>
        </row>
        <row r="580">
          <cell r="C580" t="str">
            <v>EUR</v>
          </cell>
          <cell r="D580" t="str">
            <v>SMB</v>
          </cell>
        </row>
        <row r="581">
          <cell r="C581" t="str">
            <v>Kur Sabitleme</v>
          </cell>
          <cell r="D581" t="str">
            <v>SMB</v>
          </cell>
          <cell r="G581">
            <v>42794</v>
          </cell>
        </row>
        <row r="582">
          <cell r="C582" t="str">
            <v>GENMAK GENEL MAKİNA SANAYİ VE TİCARET LTD.ŞTİ.</v>
          </cell>
          <cell r="D582" t="str">
            <v>SMB</v>
          </cell>
          <cell r="E582">
            <v>0</v>
          </cell>
          <cell r="F582" t="str">
            <v>…..</v>
          </cell>
          <cell r="G582">
            <v>43054</v>
          </cell>
        </row>
        <row r="583">
          <cell r="C583" t="str">
            <v>TL</v>
          </cell>
          <cell r="D583" t="str">
            <v>SMB</v>
          </cell>
        </row>
        <row r="584">
          <cell r="C584" t="str">
            <v>USD</v>
          </cell>
          <cell r="D584" t="str">
            <v>SMB</v>
          </cell>
          <cell r="G584">
            <v>43054</v>
          </cell>
        </row>
        <row r="585">
          <cell r="C585" t="str">
            <v>EUR</v>
          </cell>
          <cell r="D585" t="str">
            <v>SMB</v>
          </cell>
        </row>
        <row r="586">
          <cell r="C586" t="str">
            <v>Kur Sabitleme</v>
          </cell>
          <cell r="D586" t="str">
            <v>SMB</v>
          </cell>
        </row>
        <row r="587">
          <cell r="C587" t="str">
            <v>GRAND STAR TURİZM SAN.A.Ş.</v>
          </cell>
          <cell r="D587" t="str">
            <v>SMB</v>
          </cell>
          <cell r="E587">
            <v>0</v>
          </cell>
          <cell r="F587" t="str">
            <v>A-MB105</v>
          </cell>
          <cell r="G587">
            <v>44935</v>
          </cell>
        </row>
        <row r="588">
          <cell r="C588" t="str">
            <v>TL</v>
          </cell>
          <cell r="D588" t="str">
            <v>SMB</v>
          </cell>
          <cell r="G588">
            <v>44935</v>
          </cell>
        </row>
        <row r="589">
          <cell r="C589" t="str">
            <v>USD</v>
          </cell>
          <cell r="D589" t="str">
            <v>SMB</v>
          </cell>
          <cell r="G589">
            <v>45042</v>
          </cell>
        </row>
        <row r="590">
          <cell r="C590" t="str">
            <v>USD</v>
          </cell>
          <cell r="D590" t="str">
            <v>SMB</v>
          </cell>
          <cell r="G590">
            <v>45610</v>
          </cell>
        </row>
        <row r="591">
          <cell r="C591" t="str">
            <v>USD</v>
          </cell>
          <cell r="D591" t="str">
            <v>SMB</v>
          </cell>
        </row>
        <row r="592">
          <cell r="C592" t="str">
            <v>EUR</v>
          </cell>
          <cell r="D592" t="str">
            <v>SMB</v>
          </cell>
        </row>
        <row r="593">
          <cell r="C593" t="str">
            <v>Kur Sabitleme</v>
          </cell>
          <cell r="D593" t="str">
            <v>SMB</v>
          </cell>
        </row>
        <row r="594">
          <cell r="C594" t="str">
            <v>GTC İLETİŞİM DANIŞMANLIK ANONİM ŞİRKETİ</v>
          </cell>
          <cell r="D594" t="str">
            <v>SMB</v>
          </cell>
          <cell r="E594">
            <v>0</v>
          </cell>
          <cell r="F594" t="str">
            <v>A-MB075</v>
          </cell>
          <cell r="G594">
            <v>43554</v>
          </cell>
        </row>
        <row r="595">
          <cell r="C595" t="str">
            <v>TL</v>
          </cell>
          <cell r="D595" t="str">
            <v>SMB</v>
          </cell>
          <cell r="G595">
            <v>43554</v>
          </cell>
        </row>
        <row r="596">
          <cell r="C596" t="str">
            <v>USD</v>
          </cell>
          <cell r="D596" t="str">
            <v>SMB</v>
          </cell>
          <cell r="G596">
            <v>44540</v>
          </cell>
        </row>
        <row r="597">
          <cell r="C597" t="str">
            <v>USD</v>
          </cell>
          <cell r="D597" t="str">
            <v>SMB</v>
          </cell>
          <cell r="G597">
            <v>44697</v>
          </cell>
        </row>
        <row r="598">
          <cell r="C598" t="str">
            <v>USD</v>
          </cell>
          <cell r="D598" t="str">
            <v>SMB</v>
          </cell>
          <cell r="G598">
            <v>44671</v>
          </cell>
        </row>
        <row r="599">
          <cell r="C599" t="str">
            <v>USD</v>
          </cell>
          <cell r="D599" t="str">
            <v>SMB</v>
          </cell>
          <cell r="G599">
            <v>44648</v>
          </cell>
        </row>
        <row r="600">
          <cell r="C600" t="str">
            <v>USD</v>
          </cell>
          <cell r="D600" t="str">
            <v>SMB</v>
          </cell>
          <cell r="G600">
            <v>44617</v>
          </cell>
        </row>
        <row r="601">
          <cell r="C601" t="str">
            <v>USD</v>
          </cell>
          <cell r="D601" t="str">
            <v>SMB</v>
          </cell>
          <cell r="G601">
            <v>45257</v>
          </cell>
        </row>
        <row r="602">
          <cell r="C602" t="str">
            <v>USD</v>
          </cell>
          <cell r="D602" t="str">
            <v>SMB</v>
          </cell>
        </row>
        <row r="603">
          <cell r="C603" t="str">
            <v>EUR</v>
          </cell>
          <cell r="D603" t="str">
            <v>SMB</v>
          </cell>
        </row>
        <row r="604">
          <cell r="C604" t="str">
            <v>Kur Sabitleme</v>
          </cell>
          <cell r="D604" t="str">
            <v>SMB</v>
          </cell>
        </row>
        <row r="605">
          <cell r="C605" t="str">
            <v>Gülman Group - ÜSKÜDAR EĞİTİM HİZMETLERİ VE TİC.A.</v>
          </cell>
          <cell r="D605" t="str">
            <v>SMB</v>
          </cell>
          <cell r="E605">
            <v>0</v>
          </cell>
          <cell r="F605" t="str">
            <v>A-MB501</v>
          </cell>
          <cell r="G605">
            <v>44546</v>
          </cell>
        </row>
        <row r="606">
          <cell r="C606" t="str">
            <v>TL</v>
          </cell>
          <cell r="D606" t="str">
            <v>SMB</v>
          </cell>
          <cell r="G606">
            <v>44546</v>
          </cell>
        </row>
        <row r="607">
          <cell r="C607" t="str">
            <v>TL</v>
          </cell>
          <cell r="D607" t="str">
            <v>SMB</v>
          </cell>
          <cell r="G607">
            <v>44546</v>
          </cell>
        </row>
        <row r="608">
          <cell r="C608" t="str">
            <v>TL</v>
          </cell>
          <cell r="D608" t="str">
            <v>SMB</v>
          </cell>
          <cell r="G608">
            <v>45729</v>
          </cell>
        </row>
        <row r="609">
          <cell r="C609" t="str">
            <v>USD</v>
          </cell>
          <cell r="D609" t="str">
            <v>SMB</v>
          </cell>
          <cell r="G609">
            <v>45835</v>
          </cell>
        </row>
        <row r="610">
          <cell r="C610" t="str">
            <v>USD</v>
          </cell>
          <cell r="D610" t="str">
            <v>SMB</v>
          </cell>
        </row>
        <row r="611">
          <cell r="C611" t="str">
            <v>EUR</v>
          </cell>
          <cell r="D611" t="str">
            <v>SMB</v>
          </cell>
        </row>
        <row r="612">
          <cell r="C612" t="str">
            <v>Kur Sabitleme</v>
          </cell>
          <cell r="D612" t="str">
            <v>SMB</v>
          </cell>
        </row>
        <row r="613">
          <cell r="C613" t="str">
            <v>GUSTOGIYIM SAN. VE TIC. A.S</v>
          </cell>
          <cell r="D613" t="str">
            <v>SMB</v>
          </cell>
          <cell r="E613">
            <v>0</v>
          </cell>
          <cell r="F613" t="str">
            <v>A-MB060</v>
          </cell>
          <cell r="G613">
            <v>41759</v>
          </cell>
        </row>
        <row r="614">
          <cell r="C614" t="str">
            <v>TL</v>
          </cell>
          <cell r="D614" t="str">
            <v>SMB</v>
          </cell>
          <cell r="G614">
            <v>41759</v>
          </cell>
        </row>
        <row r="615">
          <cell r="C615" t="str">
            <v>TL</v>
          </cell>
          <cell r="D615" t="str">
            <v>SMB</v>
          </cell>
          <cell r="G615">
            <v>43192</v>
          </cell>
        </row>
        <row r="616">
          <cell r="C616" t="str">
            <v>TL</v>
          </cell>
          <cell r="D616" t="str">
            <v>SMB</v>
          </cell>
          <cell r="G616">
            <v>45518</v>
          </cell>
        </row>
        <row r="617">
          <cell r="C617" t="str">
            <v>USD</v>
          </cell>
          <cell r="D617" t="str">
            <v>SMB</v>
          </cell>
          <cell r="G617">
            <v>44860</v>
          </cell>
        </row>
        <row r="618">
          <cell r="C618" t="str">
            <v>USD</v>
          </cell>
          <cell r="D618" t="str">
            <v>SMB</v>
          </cell>
          <cell r="G618">
            <v>45504</v>
          </cell>
        </row>
        <row r="619">
          <cell r="C619" t="str">
            <v>USD</v>
          </cell>
          <cell r="D619" t="str">
            <v>SMB</v>
          </cell>
          <cell r="G619">
            <v>45636</v>
          </cell>
        </row>
        <row r="620">
          <cell r="C620" t="str">
            <v>USD</v>
          </cell>
          <cell r="D620" t="str">
            <v>SMB</v>
          </cell>
          <cell r="G620">
            <v>45526</v>
          </cell>
        </row>
        <row r="621">
          <cell r="C621" t="str">
            <v>USD</v>
          </cell>
          <cell r="D621" t="str">
            <v>SMB</v>
          </cell>
          <cell r="G621">
            <v>45636</v>
          </cell>
        </row>
        <row r="622">
          <cell r="C622" t="str">
            <v>EUR</v>
          </cell>
          <cell r="D622" t="str">
            <v>SMB</v>
          </cell>
        </row>
        <row r="623">
          <cell r="C623" t="str">
            <v>Kur Sabitleme</v>
          </cell>
          <cell r="D623" t="str">
            <v>SMB</v>
          </cell>
        </row>
        <row r="624">
          <cell r="C624" t="str">
            <v>HARE GROUP ORGANİZASYON TURİZM SANAYİ TİCARET A.Ş</v>
          </cell>
          <cell r="D624" t="str">
            <v>SMB</v>
          </cell>
          <cell r="E624">
            <v>0</v>
          </cell>
          <cell r="F624" t="str">
            <v>…..</v>
          </cell>
          <cell r="G624">
            <v>42837</v>
          </cell>
        </row>
        <row r="625">
          <cell r="C625" t="str">
            <v>TL</v>
          </cell>
          <cell r="D625" t="str">
            <v>SMB</v>
          </cell>
        </row>
        <row r="626">
          <cell r="C626" t="str">
            <v>USD</v>
          </cell>
          <cell r="D626" t="str">
            <v>SMB</v>
          </cell>
          <cell r="G626">
            <v>42837</v>
          </cell>
        </row>
        <row r="627">
          <cell r="C627" t="str">
            <v>EUR</v>
          </cell>
          <cell r="D627" t="str">
            <v>SMB</v>
          </cell>
        </row>
        <row r="628">
          <cell r="C628" t="str">
            <v>Kur Sabitleme</v>
          </cell>
          <cell r="D628" t="str">
            <v>SMB</v>
          </cell>
        </row>
        <row r="629">
          <cell r="C629" t="str">
            <v>HASAT MAGAZACILIK A.S.</v>
          </cell>
          <cell r="D629" t="str">
            <v>SMB</v>
          </cell>
          <cell r="E629">
            <v>0</v>
          </cell>
          <cell r="F629" t="str">
            <v>…..</v>
          </cell>
          <cell r="G629" t="str">
            <v/>
          </cell>
        </row>
        <row r="630">
          <cell r="C630" t="str">
            <v>TL</v>
          </cell>
          <cell r="D630" t="str">
            <v>SMB</v>
          </cell>
        </row>
        <row r="631">
          <cell r="C631" t="str">
            <v>USD</v>
          </cell>
          <cell r="D631" t="str">
            <v>SMB</v>
          </cell>
        </row>
        <row r="632">
          <cell r="C632" t="str">
            <v>EUR</v>
          </cell>
          <cell r="D632" t="str">
            <v>SMB</v>
          </cell>
        </row>
        <row r="633">
          <cell r="C633" t="str">
            <v>Kur Sabitleme</v>
          </cell>
          <cell r="D633" t="str">
            <v>SMB</v>
          </cell>
        </row>
        <row r="634">
          <cell r="C634" t="str">
            <v>HDI SIGORTA A.S.</v>
          </cell>
          <cell r="D634" t="str">
            <v>Enterprise</v>
          </cell>
          <cell r="E634">
            <v>0</v>
          </cell>
          <cell r="F634" t="str">
            <v>A-MB366</v>
          </cell>
          <cell r="G634">
            <v>44075</v>
          </cell>
        </row>
        <row r="635">
          <cell r="C635" t="str">
            <v>TL</v>
          </cell>
          <cell r="D635" t="str">
            <v>Enterprise</v>
          </cell>
          <cell r="G635">
            <v>45261</v>
          </cell>
        </row>
        <row r="636">
          <cell r="C636" t="str">
            <v>TL</v>
          </cell>
          <cell r="D636" t="str">
            <v>Enterprise</v>
          </cell>
          <cell r="G636">
            <v>44986</v>
          </cell>
        </row>
        <row r="637">
          <cell r="C637" t="str">
            <v>USD</v>
          </cell>
          <cell r="D637" t="str">
            <v>Enterprise</v>
          </cell>
        </row>
        <row r="638">
          <cell r="C638" t="str">
            <v>USD</v>
          </cell>
          <cell r="D638" t="str">
            <v>Enterprise</v>
          </cell>
          <cell r="G638">
            <v>44454</v>
          </cell>
        </row>
        <row r="639">
          <cell r="C639" t="str">
            <v>USD</v>
          </cell>
          <cell r="D639" t="str">
            <v>Enterprise</v>
          </cell>
          <cell r="G639">
            <v>44606</v>
          </cell>
        </row>
        <row r="640">
          <cell r="C640" t="str">
            <v>EUR</v>
          </cell>
          <cell r="D640" t="str">
            <v>Enterprise</v>
          </cell>
        </row>
        <row r="641">
          <cell r="C641" t="str">
            <v>Kur Sabitleme</v>
          </cell>
          <cell r="D641" t="str">
            <v>Enterprise</v>
          </cell>
          <cell r="G641">
            <v>44075</v>
          </cell>
        </row>
        <row r="642">
          <cell r="C642" t="str">
            <v>HIT REKLAM TAN. ORG.YAT.EMLAK GIDA TEKS.YAZ.DAN.IT</v>
          </cell>
          <cell r="D642" t="str">
            <v>SMB</v>
          </cell>
          <cell r="E642">
            <v>0</v>
          </cell>
          <cell r="F642" t="str">
            <v>A-MB171</v>
          </cell>
          <cell r="G642">
            <v>45083</v>
          </cell>
        </row>
        <row r="643">
          <cell r="C643" t="str">
            <v>TL</v>
          </cell>
          <cell r="D643" t="str">
            <v>SMB</v>
          </cell>
        </row>
        <row r="644">
          <cell r="C644" t="str">
            <v>USD</v>
          </cell>
          <cell r="D644" t="str">
            <v>SMB</v>
          </cell>
          <cell r="G644">
            <v>45083</v>
          </cell>
        </row>
        <row r="645">
          <cell r="C645" t="str">
            <v>USD</v>
          </cell>
          <cell r="D645" t="str">
            <v>SMB</v>
          </cell>
          <cell r="G645">
            <v>45504</v>
          </cell>
        </row>
        <row r="646">
          <cell r="C646" t="str">
            <v>USD</v>
          </cell>
          <cell r="D646" t="str">
            <v>SMB</v>
          </cell>
          <cell r="G646">
            <v>45772</v>
          </cell>
        </row>
        <row r="647">
          <cell r="C647" t="str">
            <v>EUR</v>
          </cell>
          <cell r="D647" t="str">
            <v>SMB</v>
          </cell>
        </row>
        <row r="648">
          <cell r="C648" t="str">
            <v>Kur Sabitleme</v>
          </cell>
          <cell r="D648" t="str">
            <v>SMB</v>
          </cell>
        </row>
        <row r="649">
          <cell r="C649" t="str">
            <v>HM IÇ VE DIS TICARET REKLAM. ORG.TUR. A.S.</v>
          </cell>
          <cell r="D649" t="str">
            <v>SMB</v>
          </cell>
          <cell r="E649">
            <v>0</v>
          </cell>
          <cell r="F649" t="str">
            <v>A-MB129</v>
          </cell>
          <cell r="G649">
            <v>42597</v>
          </cell>
        </row>
        <row r="650">
          <cell r="C650" t="str">
            <v>TL</v>
          </cell>
          <cell r="D650" t="str">
            <v>SMB</v>
          </cell>
          <cell r="G650">
            <v>42597</v>
          </cell>
        </row>
        <row r="651">
          <cell r="C651" t="str">
            <v>USD</v>
          </cell>
          <cell r="D651" t="str">
            <v>SMB</v>
          </cell>
        </row>
        <row r="652">
          <cell r="C652" t="str">
            <v>USD</v>
          </cell>
          <cell r="D652" t="str">
            <v>SMB</v>
          </cell>
          <cell r="G652">
            <v>44860</v>
          </cell>
        </row>
        <row r="653">
          <cell r="C653" t="str">
            <v>USD</v>
          </cell>
          <cell r="D653" t="str">
            <v>SMB</v>
          </cell>
          <cell r="G653">
            <v>44639</v>
          </cell>
        </row>
        <row r="654">
          <cell r="C654" t="str">
            <v>USD</v>
          </cell>
          <cell r="D654" t="str">
            <v>SMB</v>
          </cell>
          <cell r="G654">
            <v>44742</v>
          </cell>
        </row>
        <row r="655">
          <cell r="C655" t="str">
            <v>USD</v>
          </cell>
          <cell r="D655" t="str">
            <v>SMB</v>
          </cell>
          <cell r="G655">
            <v>45230</v>
          </cell>
        </row>
        <row r="656">
          <cell r="C656" t="str">
            <v>USD</v>
          </cell>
          <cell r="D656" t="str">
            <v>SMB</v>
          </cell>
          <cell r="G656">
            <v>45547</v>
          </cell>
        </row>
        <row r="657">
          <cell r="C657" t="str">
            <v>EUR</v>
          </cell>
          <cell r="D657" t="str">
            <v>SMB</v>
          </cell>
        </row>
        <row r="658">
          <cell r="C658" t="str">
            <v>Kur Sabitleme</v>
          </cell>
          <cell r="D658" t="str">
            <v>SMB</v>
          </cell>
        </row>
        <row r="659">
          <cell r="C659" t="str">
            <v>İBRAHİM POLAT HOLDİNG</v>
          </cell>
          <cell r="D659" t="str">
            <v>SMB</v>
          </cell>
          <cell r="E659">
            <v>0</v>
          </cell>
          <cell r="F659" t="str">
            <v>A-MB405</v>
          </cell>
          <cell r="G659">
            <v>44650</v>
          </cell>
        </row>
        <row r="660">
          <cell r="C660" t="str">
            <v>TL</v>
          </cell>
          <cell r="D660" t="str">
            <v>SMB</v>
          </cell>
          <cell r="G660">
            <v>44650</v>
          </cell>
        </row>
        <row r="661">
          <cell r="C661" t="str">
            <v>USD</v>
          </cell>
          <cell r="D661" t="str">
            <v>SMB</v>
          </cell>
          <cell r="G661">
            <v>45160</v>
          </cell>
        </row>
        <row r="662">
          <cell r="C662" t="str">
            <v>EUR</v>
          </cell>
          <cell r="D662" t="str">
            <v>SMB</v>
          </cell>
        </row>
        <row r="663">
          <cell r="C663" t="str">
            <v>Kur Sabitleme</v>
          </cell>
          <cell r="D663" t="str">
            <v>SMB</v>
          </cell>
        </row>
        <row r="664">
          <cell r="C664" t="str">
            <v>İBSA ILAÇ SAN VE TIC.LTD STI</v>
          </cell>
          <cell r="D664" t="str">
            <v>SMB</v>
          </cell>
          <cell r="E664">
            <v>0</v>
          </cell>
          <cell r="F664" t="str">
            <v>A-MB022</v>
          </cell>
          <cell r="G664">
            <v>43556</v>
          </cell>
        </row>
        <row r="665">
          <cell r="C665" t="str">
            <v>TL</v>
          </cell>
          <cell r="D665" t="str">
            <v>SMB</v>
          </cell>
          <cell r="G665">
            <v>45261</v>
          </cell>
        </row>
        <row r="666">
          <cell r="C666" t="str">
            <v>USD</v>
          </cell>
          <cell r="D666" t="str">
            <v>SMB</v>
          </cell>
          <cell r="G666">
            <v>44949</v>
          </cell>
        </row>
        <row r="667">
          <cell r="C667" t="str">
            <v>USD</v>
          </cell>
          <cell r="D667" t="str">
            <v>SMB</v>
          </cell>
          <cell r="G667">
            <v>45261</v>
          </cell>
        </row>
        <row r="668">
          <cell r="C668" t="str">
            <v>USD</v>
          </cell>
          <cell r="D668" t="str">
            <v>SMB</v>
          </cell>
          <cell r="G668">
            <v>45261</v>
          </cell>
        </row>
        <row r="669">
          <cell r="C669" t="str">
            <v>EUR</v>
          </cell>
          <cell r="D669" t="str">
            <v>SMB</v>
          </cell>
        </row>
        <row r="670">
          <cell r="C670" t="str">
            <v>Kur Sabitleme</v>
          </cell>
          <cell r="D670" t="str">
            <v>SMB</v>
          </cell>
          <cell r="G670">
            <v>43556</v>
          </cell>
        </row>
        <row r="671">
          <cell r="C671" t="str">
            <v>IDEASOFT YAZILIM SAN. VE TIC. A.S.</v>
          </cell>
          <cell r="D671" t="str">
            <v>SMB</v>
          </cell>
          <cell r="E671">
            <v>0</v>
          </cell>
          <cell r="F671" t="str">
            <v>A-MB113</v>
          </cell>
          <cell r="G671">
            <v>42492</v>
          </cell>
        </row>
        <row r="672">
          <cell r="C672" t="str">
            <v>TL</v>
          </cell>
          <cell r="D672" t="str">
            <v>SMB</v>
          </cell>
        </row>
        <row r="673">
          <cell r="C673" t="str">
            <v>USD</v>
          </cell>
          <cell r="D673" t="str">
            <v>SMB</v>
          </cell>
          <cell r="G673">
            <v>42492</v>
          </cell>
        </row>
        <row r="674">
          <cell r="C674" t="str">
            <v>USD</v>
          </cell>
          <cell r="D674" t="str">
            <v>SMB</v>
          </cell>
          <cell r="G674">
            <v>44643</v>
          </cell>
        </row>
        <row r="675">
          <cell r="C675" t="str">
            <v>USD</v>
          </cell>
          <cell r="D675" t="str">
            <v>SMB</v>
          </cell>
          <cell r="G675">
            <v>44763</v>
          </cell>
        </row>
        <row r="676">
          <cell r="C676" t="str">
            <v>USD</v>
          </cell>
          <cell r="D676" t="str">
            <v>SMB</v>
          </cell>
          <cell r="G676">
            <v>45768</v>
          </cell>
        </row>
        <row r="677">
          <cell r="C677" t="str">
            <v>USD</v>
          </cell>
          <cell r="D677" t="str">
            <v>SMB</v>
          </cell>
          <cell r="G677">
            <v>45772</v>
          </cell>
        </row>
        <row r="678">
          <cell r="C678" t="str">
            <v>EUR</v>
          </cell>
          <cell r="D678" t="str">
            <v>SMB</v>
          </cell>
        </row>
        <row r="679">
          <cell r="C679" t="str">
            <v>Kur Sabitleme</v>
          </cell>
          <cell r="D679" t="str">
            <v>SMB</v>
          </cell>
        </row>
        <row r="680">
          <cell r="C680" t="str">
            <v>İKİ MİMARİ PROJE VE DANIŞMANLIK A.Ş.</v>
          </cell>
          <cell r="D680" t="str">
            <v>SMB</v>
          </cell>
          <cell r="E680">
            <v>0</v>
          </cell>
          <cell r="F680" t="str">
            <v>A-MB467</v>
          </cell>
          <cell r="G680">
            <v>41759</v>
          </cell>
        </row>
        <row r="681">
          <cell r="C681" t="str">
            <v>TL</v>
          </cell>
          <cell r="D681" t="str">
            <v>SMB</v>
          </cell>
        </row>
        <row r="682">
          <cell r="C682" t="str">
            <v>USD</v>
          </cell>
          <cell r="D682" t="str">
            <v>SMB</v>
          </cell>
          <cell r="G682">
            <v>41759</v>
          </cell>
        </row>
        <row r="683">
          <cell r="C683" t="str">
            <v>EUR</v>
          </cell>
          <cell r="D683" t="str">
            <v>SMB</v>
          </cell>
        </row>
        <row r="684">
          <cell r="C684" t="str">
            <v>Kur Sabitleme</v>
          </cell>
          <cell r="D684" t="str">
            <v>SMB</v>
          </cell>
        </row>
        <row r="685">
          <cell r="C685" t="str">
            <v>İLERİ MEKANİK MAKINA KALIP IML.SAN. VETIC. A.S.</v>
          </cell>
          <cell r="D685" t="str">
            <v>SMB</v>
          </cell>
          <cell r="E685">
            <v>0</v>
          </cell>
          <cell r="F685" t="str">
            <v>A-MB003</v>
          </cell>
          <cell r="G685">
            <v>41759</v>
          </cell>
        </row>
        <row r="686">
          <cell r="C686" t="str">
            <v>TL</v>
          </cell>
          <cell r="D686" t="str">
            <v>SMB</v>
          </cell>
          <cell r="G686">
            <v>44652</v>
          </cell>
        </row>
        <row r="687">
          <cell r="C687" t="str">
            <v>TL</v>
          </cell>
          <cell r="D687" t="str">
            <v>SMB</v>
          </cell>
          <cell r="G687">
            <v>44636</v>
          </cell>
        </row>
        <row r="688">
          <cell r="C688" t="str">
            <v>USD</v>
          </cell>
          <cell r="D688" t="str">
            <v>SMB</v>
          </cell>
          <cell r="G688">
            <v>41759</v>
          </cell>
        </row>
        <row r="689">
          <cell r="C689" t="str">
            <v>USD</v>
          </cell>
          <cell r="D689" t="str">
            <v>SMB</v>
          </cell>
          <cell r="G689">
            <v>45684</v>
          </cell>
        </row>
        <row r="690">
          <cell r="C690" t="str">
            <v>USD</v>
          </cell>
          <cell r="D690" t="str">
            <v>SMB</v>
          </cell>
          <cell r="G690">
            <v>44872</v>
          </cell>
        </row>
        <row r="691">
          <cell r="C691" t="str">
            <v>EUR</v>
          </cell>
          <cell r="D691" t="str">
            <v>SMB</v>
          </cell>
        </row>
        <row r="692">
          <cell r="C692" t="str">
            <v>Kur Sabitleme</v>
          </cell>
          <cell r="D692" t="str">
            <v>SMB</v>
          </cell>
        </row>
        <row r="693">
          <cell r="C693" t="str">
            <v>TURASSİST SAĞLIK DESTEK HİZMETLERI ANONİM ŞİRKETİ</v>
          </cell>
          <cell r="D693" t="str">
            <v>SMB</v>
          </cell>
          <cell r="E693">
            <v>0</v>
          </cell>
          <cell r="F693" t="str">
            <v>A-MB214</v>
          </cell>
          <cell r="G693">
            <v>43472</v>
          </cell>
        </row>
        <row r="694">
          <cell r="C694" t="str">
            <v>TL</v>
          </cell>
          <cell r="D694" t="str">
            <v>SMB</v>
          </cell>
          <cell r="G694">
            <v>43472</v>
          </cell>
        </row>
        <row r="695">
          <cell r="C695" t="str">
            <v>TL</v>
          </cell>
          <cell r="D695" t="str">
            <v>SMB</v>
          </cell>
          <cell r="G695">
            <v>44538</v>
          </cell>
        </row>
        <row r="696">
          <cell r="C696" t="str">
            <v>TL</v>
          </cell>
          <cell r="D696" t="str">
            <v>SMB</v>
          </cell>
          <cell r="G696">
            <v>45761</v>
          </cell>
        </row>
        <row r="697">
          <cell r="C697" t="str">
            <v>TL</v>
          </cell>
          <cell r="D697" t="str">
            <v>SMB</v>
          </cell>
          <cell r="G697">
            <v>45761</v>
          </cell>
        </row>
        <row r="698">
          <cell r="C698" t="str">
            <v>TL</v>
          </cell>
          <cell r="D698" t="str">
            <v>SMB</v>
          </cell>
          <cell r="G698">
            <v>45688</v>
          </cell>
        </row>
        <row r="699">
          <cell r="C699" t="str">
            <v>USD</v>
          </cell>
          <cell r="D699" t="str">
            <v>SMB</v>
          </cell>
          <cell r="G699">
            <v>43525</v>
          </cell>
        </row>
        <row r="700">
          <cell r="C700" t="str">
            <v>USD</v>
          </cell>
          <cell r="D700" t="str">
            <v>SMB</v>
          </cell>
          <cell r="G700">
            <v>45547</v>
          </cell>
        </row>
        <row r="701">
          <cell r="C701" t="str">
            <v>USD</v>
          </cell>
          <cell r="D701" t="str">
            <v>SMB</v>
          </cell>
          <cell r="G701">
            <v>45595</v>
          </cell>
        </row>
        <row r="702">
          <cell r="C702" t="str">
            <v>USD</v>
          </cell>
          <cell r="D702" t="str">
            <v>SMB</v>
          </cell>
          <cell r="G702">
            <v>45845</v>
          </cell>
        </row>
        <row r="703">
          <cell r="C703" t="str">
            <v>USD</v>
          </cell>
          <cell r="D703" t="str">
            <v>SMB</v>
          </cell>
          <cell r="G703">
            <v>45595</v>
          </cell>
        </row>
        <row r="704">
          <cell r="C704" t="str">
            <v>USD</v>
          </cell>
          <cell r="D704" t="str">
            <v>SMB</v>
          </cell>
          <cell r="G704">
            <v>45380</v>
          </cell>
        </row>
        <row r="705">
          <cell r="C705" t="str">
            <v>EUR</v>
          </cell>
          <cell r="D705" t="str">
            <v>SMB</v>
          </cell>
        </row>
        <row r="706">
          <cell r="C706" t="str">
            <v>Kur Sabitleme</v>
          </cell>
          <cell r="D706" t="str">
            <v>SMB</v>
          </cell>
        </row>
        <row r="707">
          <cell r="C707" t="str">
            <v>INCOMET INSAAT SAN. VE TIC. LTD.STI.</v>
          </cell>
          <cell r="D707" t="str">
            <v>SMB</v>
          </cell>
          <cell r="E707">
            <v>0</v>
          </cell>
          <cell r="F707" t="str">
            <v>A-MB071</v>
          </cell>
          <cell r="G707">
            <v>43542</v>
          </cell>
        </row>
        <row r="708">
          <cell r="C708" t="str">
            <v>TL</v>
          </cell>
          <cell r="D708" t="str">
            <v>SMB</v>
          </cell>
        </row>
        <row r="709">
          <cell r="C709" t="str">
            <v>USD</v>
          </cell>
          <cell r="D709" t="str">
            <v>SMB</v>
          </cell>
          <cell r="G709">
            <v>43542</v>
          </cell>
        </row>
        <row r="710">
          <cell r="C710" t="str">
            <v>USD</v>
          </cell>
          <cell r="D710" t="str">
            <v>SMB</v>
          </cell>
          <cell r="G710">
            <v>45231</v>
          </cell>
        </row>
        <row r="711">
          <cell r="C711" t="str">
            <v>EUR</v>
          </cell>
          <cell r="D711" t="str">
            <v>SMB</v>
          </cell>
        </row>
        <row r="712">
          <cell r="C712" t="str">
            <v>Kur Sabitleme</v>
          </cell>
          <cell r="D712" t="str">
            <v>SMB</v>
          </cell>
        </row>
        <row r="713">
          <cell r="C713" t="str">
            <v>Türkiye Menkul Kıymetleştirme Şirketi (TMKS)</v>
          </cell>
          <cell r="D713" t="str">
            <v>SMB</v>
          </cell>
          <cell r="E713" t="str">
            <v>İNNOVA BİLİŞİM ÇÖZÜMLERİ A.Ş.</v>
          </cell>
          <cell r="F713" t="str">
            <v>A-MB376</v>
          </cell>
          <cell r="G713">
            <v>44562</v>
          </cell>
        </row>
        <row r="714">
          <cell r="C714" t="str">
            <v>TL</v>
          </cell>
          <cell r="D714" t="str">
            <v>SMB</v>
          </cell>
          <cell r="G714">
            <v>45671</v>
          </cell>
        </row>
        <row r="715">
          <cell r="C715" t="str">
            <v>TL</v>
          </cell>
          <cell r="D715" t="str">
            <v>SMB</v>
          </cell>
          <cell r="G715">
            <v>45835</v>
          </cell>
        </row>
        <row r="716">
          <cell r="C716" t="str">
            <v>TL</v>
          </cell>
          <cell r="D716" t="str">
            <v>SMB</v>
          </cell>
          <cell r="G716">
            <v>44562</v>
          </cell>
        </row>
        <row r="717">
          <cell r="C717" t="str">
            <v>TL</v>
          </cell>
          <cell r="D717" t="str">
            <v>SMB</v>
          </cell>
          <cell r="G717">
            <v>45230</v>
          </cell>
        </row>
        <row r="718">
          <cell r="C718" t="str">
            <v>USD</v>
          </cell>
          <cell r="D718" t="str">
            <v>SMB</v>
          </cell>
          <cell r="G718">
            <v>44562</v>
          </cell>
        </row>
        <row r="719">
          <cell r="C719" t="str">
            <v>USD</v>
          </cell>
          <cell r="D719" t="str">
            <v>SMB</v>
          </cell>
          <cell r="G719">
            <v>44999</v>
          </cell>
        </row>
        <row r="720">
          <cell r="C720" t="str">
            <v>USD</v>
          </cell>
          <cell r="D720" t="str">
            <v>SMB</v>
          </cell>
          <cell r="G720">
            <v>44734</v>
          </cell>
        </row>
        <row r="721">
          <cell r="C721" t="str">
            <v>USD</v>
          </cell>
          <cell r="D721" t="str">
            <v>SMB</v>
          </cell>
          <cell r="G721">
            <v>45322</v>
          </cell>
        </row>
        <row r="722">
          <cell r="C722" t="str">
            <v>USD</v>
          </cell>
          <cell r="D722" t="str">
            <v>SMB</v>
          </cell>
          <cell r="G722">
            <v>45671</v>
          </cell>
        </row>
        <row r="723">
          <cell r="C723" t="str">
            <v>USD</v>
          </cell>
          <cell r="D723" t="str">
            <v>SMB</v>
          </cell>
          <cell r="G723">
            <v>45916</v>
          </cell>
        </row>
        <row r="724">
          <cell r="C724" t="str">
            <v>USD</v>
          </cell>
          <cell r="D724" t="str">
            <v>SMB</v>
          </cell>
          <cell r="G724">
            <v>45671</v>
          </cell>
        </row>
        <row r="725">
          <cell r="C725" t="str">
            <v>USD</v>
          </cell>
          <cell r="D725" t="str">
            <v>SMB</v>
          </cell>
          <cell r="G725">
            <v>45695</v>
          </cell>
        </row>
        <row r="726">
          <cell r="C726" t="str">
            <v>USD</v>
          </cell>
          <cell r="D726" t="str">
            <v>SMB</v>
          </cell>
        </row>
        <row r="727">
          <cell r="C727" t="str">
            <v>EUR</v>
          </cell>
          <cell r="D727" t="str">
            <v>SMB</v>
          </cell>
        </row>
        <row r="728">
          <cell r="C728" t="str">
            <v>Kur Sabitleme</v>
          </cell>
          <cell r="D728" t="str">
            <v>SMB</v>
          </cell>
        </row>
        <row r="729">
          <cell r="C729" t="str">
            <v>INTER MEDYA TİCARET LTD.ŞTİ.</v>
          </cell>
          <cell r="D729" t="str">
            <v>SMB</v>
          </cell>
          <cell r="E729">
            <v>0</v>
          </cell>
          <cell r="F729" t="str">
            <v>…..</v>
          </cell>
          <cell r="G729">
            <v>41760</v>
          </cell>
        </row>
        <row r="730">
          <cell r="C730" t="str">
            <v>TL</v>
          </cell>
          <cell r="D730" t="str">
            <v>SMB</v>
          </cell>
          <cell r="G730">
            <v>41820</v>
          </cell>
        </row>
        <row r="731">
          <cell r="C731" t="str">
            <v>USD</v>
          </cell>
          <cell r="D731" t="str">
            <v>SMB</v>
          </cell>
          <cell r="G731">
            <v>41760</v>
          </cell>
        </row>
        <row r="732">
          <cell r="C732" t="str">
            <v>EUR</v>
          </cell>
          <cell r="D732" t="str">
            <v>SMB</v>
          </cell>
        </row>
        <row r="733">
          <cell r="C733" t="str">
            <v>Kur Sabitleme</v>
          </cell>
          <cell r="D733" t="str">
            <v>SMB</v>
          </cell>
        </row>
        <row r="734">
          <cell r="C734" t="str">
            <v>INVEON BILGI TEKNOLOJILERI DANISMANLIK VE TIC. A.S</v>
          </cell>
          <cell r="D734" t="str">
            <v>Enterprise</v>
          </cell>
          <cell r="E734">
            <v>0</v>
          </cell>
          <cell r="F734" t="str">
            <v>A-MB125</v>
          </cell>
          <cell r="G734">
            <v>42737</v>
          </cell>
        </row>
        <row r="735">
          <cell r="C735" t="str">
            <v>TL</v>
          </cell>
          <cell r="D735" t="str">
            <v>Enterprise</v>
          </cell>
          <cell r="G735">
            <v>43466</v>
          </cell>
        </row>
        <row r="736">
          <cell r="C736" t="str">
            <v>TL</v>
          </cell>
          <cell r="D736" t="str">
            <v>Enterprise</v>
          </cell>
          <cell r="G736">
            <v>43466</v>
          </cell>
        </row>
        <row r="737">
          <cell r="C737" t="str">
            <v>USD</v>
          </cell>
          <cell r="D737" t="str">
            <v>Enterprise</v>
          </cell>
          <cell r="G737">
            <v>42737</v>
          </cell>
        </row>
        <row r="738">
          <cell r="C738" t="str">
            <v>USD</v>
          </cell>
          <cell r="D738" t="str">
            <v>Enterprise</v>
          </cell>
          <cell r="G738">
            <v>45288</v>
          </cell>
        </row>
        <row r="739">
          <cell r="C739" t="str">
            <v>USD</v>
          </cell>
          <cell r="D739" t="str">
            <v>Enterprise</v>
          </cell>
        </row>
        <row r="740">
          <cell r="C740" t="str">
            <v>EUR</v>
          </cell>
          <cell r="D740" t="str">
            <v>Enterprise</v>
          </cell>
        </row>
        <row r="741">
          <cell r="C741" t="str">
            <v>Kur Sabitleme</v>
          </cell>
          <cell r="D741" t="str">
            <v>Enterprise</v>
          </cell>
        </row>
        <row r="742">
          <cell r="C742" t="str">
            <v>İSTANBUL GÖMLEK GIYIM SAN.VE TIC.A.S</v>
          </cell>
          <cell r="D742" t="str">
            <v>SMB</v>
          </cell>
          <cell r="E742">
            <v>0</v>
          </cell>
          <cell r="F742" t="str">
            <v>A-MB009</v>
          </cell>
          <cell r="G742">
            <v>39934</v>
          </cell>
        </row>
        <row r="743">
          <cell r="C743" t="str">
            <v>TL</v>
          </cell>
          <cell r="D743" t="str">
            <v>SMB</v>
          </cell>
        </row>
        <row r="744">
          <cell r="C744" t="str">
            <v>USD</v>
          </cell>
          <cell r="D744" t="str">
            <v>SMB</v>
          </cell>
          <cell r="G744">
            <v>39934</v>
          </cell>
        </row>
        <row r="745">
          <cell r="C745" t="str">
            <v>USD</v>
          </cell>
          <cell r="D745" t="str">
            <v>SMB</v>
          </cell>
          <cell r="G745">
            <v>45043</v>
          </cell>
        </row>
        <row r="746">
          <cell r="C746" t="str">
            <v>USD</v>
          </cell>
          <cell r="D746" t="str">
            <v>SMB</v>
          </cell>
          <cell r="G746">
            <v>45199</v>
          </cell>
        </row>
        <row r="747">
          <cell r="C747" t="str">
            <v>USD</v>
          </cell>
          <cell r="D747" t="str">
            <v>SMB</v>
          </cell>
          <cell r="G747">
            <v>45583</v>
          </cell>
        </row>
        <row r="748">
          <cell r="C748" t="str">
            <v>USD</v>
          </cell>
          <cell r="D748" t="str">
            <v>SMB</v>
          </cell>
          <cell r="G748">
            <v>45772</v>
          </cell>
        </row>
        <row r="749">
          <cell r="C749" t="str">
            <v>USD</v>
          </cell>
          <cell r="D749" t="str">
            <v>SMB</v>
          </cell>
          <cell r="G749">
            <v>45873</v>
          </cell>
        </row>
        <row r="750">
          <cell r="C750" t="str">
            <v>USD</v>
          </cell>
          <cell r="D750" t="str">
            <v>SMB</v>
          </cell>
        </row>
        <row r="751">
          <cell r="C751" t="str">
            <v>EUR</v>
          </cell>
          <cell r="D751" t="str">
            <v>SMB</v>
          </cell>
        </row>
        <row r="752">
          <cell r="C752" t="str">
            <v>Kur Sabitleme</v>
          </cell>
          <cell r="D752" t="str">
            <v>SMB</v>
          </cell>
        </row>
        <row r="753">
          <cell r="C753" t="str">
            <v>İSTANBUL KÜLTÜR ÜNIVERSITESI (İKÜ)</v>
          </cell>
          <cell r="D753" t="str">
            <v>Enterprise</v>
          </cell>
          <cell r="E753">
            <v>0</v>
          </cell>
          <cell r="F753" t="str">
            <v>A-MB407</v>
          </cell>
          <cell r="G753">
            <v>44836</v>
          </cell>
        </row>
        <row r="754">
          <cell r="C754" t="str">
            <v>TL</v>
          </cell>
          <cell r="D754" t="str">
            <v>Enterprise</v>
          </cell>
          <cell r="G754">
            <v>44836</v>
          </cell>
        </row>
        <row r="755">
          <cell r="C755" t="str">
            <v>USD</v>
          </cell>
          <cell r="D755" t="str">
            <v>Enterprise</v>
          </cell>
          <cell r="G755">
            <v>45161</v>
          </cell>
        </row>
        <row r="756">
          <cell r="C756" t="str">
            <v>USD</v>
          </cell>
          <cell r="D756" t="str">
            <v>Enterprise</v>
          </cell>
          <cell r="G756">
            <v>45198</v>
          </cell>
        </row>
        <row r="757">
          <cell r="C757" t="str">
            <v>USD</v>
          </cell>
          <cell r="D757" t="str">
            <v>Enterprise</v>
          </cell>
          <cell r="G757">
            <v>45239</v>
          </cell>
        </row>
        <row r="758">
          <cell r="C758" t="str">
            <v>USD</v>
          </cell>
          <cell r="D758" t="str">
            <v>Enterprise</v>
          </cell>
          <cell r="G758">
            <v>45239</v>
          </cell>
        </row>
        <row r="759">
          <cell r="C759" t="str">
            <v>EUR</v>
          </cell>
          <cell r="D759" t="str">
            <v>Enterprise</v>
          </cell>
        </row>
        <row r="760">
          <cell r="C760" t="str">
            <v>Kur Sabitleme</v>
          </cell>
          <cell r="D760" t="str">
            <v>Enterprise</v>
          </cell>
        </row>
        <row r="761">
          <cell r="C761" t="str">
            <v>ISTANBUL REHBERLER ODASI</v>
          </cell>
          <cell r="D761" t="str">
            <v>SMB</v>
          </cell>
          <cell r="E761">
            <v>0</v>
          </cell>
          <cell r="F761" t="str">
            <v>A-MB139</v>
          </cell>
          <cell r="G761">
            <v>42767</v>
          </cell>
        </row>
        <row r="762">
          <cell r="C762" t="str">
            <v>TL</v>
          </cell>
          <cell r="D762" t="str">
            <v>SMB</v>
          </cell>
          <cell r="G762">
            <v>42767</v>
          </cell>
        </row>
        <row r="763">
          <cell r="C763" t="str">
            <v>USD</v>
          </cell>
          <cell r="D763" t="str">
            <v>SMB</v>
          </cell>
          <cell r="G763">
            <v>45049</v>
          </cell>
        </row>
        <row r="764">
          <cell r="C764" t="str">
            <v>EUR</v>
          </cell>
          <cell r="D764" t="str">
            <v>SMB</v>
          </cell>
        </row>
        <row r="765">
          <cell r="C765" t="str">
            <v>Kur Sabitleme</v>
          </cell>
          <cell r="D765" t="str">
            <v>SMB</v>
          </cell>
        </row>
        <row r="766">
          <cell r="C766" t="str">
            <v>İSTANBUL TURİZM OTELCİLİK AŞ (THE MARMARA HOTELS)</v>
          </cell>
          <cell r="D766" t="str">
            <v>SMB</v>
          </cell>
          <cell r="E766">
            <v>0</v>
          </cell>
          <cell r="F766" t="str">
            <v>A-MB580</v>
          </cell>
          <cell r="G766">
            <v>44057</v>
          </cell>
        </row>
        <row r="767">
          <cell r="C767" t="str">
            <v>TL</v>
          </cell>
          <cell r="D767" t="str">
            <v>SMB</v>
          </cell>
          <cell r="G767">
            <v>44057</v>
          </cell>
        </row>
        <row r="768">
          <cell r="C768" t="str">
            <v>TL</v>
          </cell>
          <cell r="D768" t="str">
            <v>SMB</v>
          </cell>
          <cell r="G768">
            <v>44057</v>
          </cell>
        </row>
        <row r="769">
          <cell r="C769" t="str">
            <v>TL</v>
          </cell>
          <cell r="D769" t="str">
            <v>SMB</v>
          </cell>
          <cell r="G769">
            <v>44057</v>
          </cell>
        </row>
        <row r="770">
          <cell r="C770" t="str">
            <v>TL</v>
          </cell>
          <cell r="D770" t="str">
            <v>SMB</v>
          </cell>
          <cell r="G770">
            <v>44057</v>
          </cell>
        </row>
        <row r="771">
          <cell r="C771" t="str">
            <v>TL</v>
          </cell>
          <cell r="D771" t="str">
            <v>SMB</v>
          </cell>
          <cell r="G771">
            <v>44057</v>
          </cell>
        </row>
        <row r="772">
          <cell r="C772" t="str">
            <v>TL</v>
          </cell>
          <cell r="D772" t="str">
            <v>SMB</v>
          </cell>
          <cell r="G772">
            <v>44057</v>
          </cell>
        </row>
        <row r="773">
          <cell r="C773" t="str">
            <v>TL</v>
          </cell>
          <cell r="D773" t="str">
            <v>SMB</v>
          </cell>
          <cell r="G773">
            <v>45530</v>
          </cell>
        </row>
        <row r="774">
          <cell r="C774" t="str">
            <v>TL</v>
          </cell>
          <cell r="D774" t="str">
            <v>SMB</v>
          </cell>
          <cell r="G774">
            <v>45530</v>
          </cell>
        </row>
        <row r="775">
          <cell r="C775" t="str">
            <v>TL</v>
          </cell>
          <cell r="D775" t="str">
            <v>SMB</v>
          </cell>
          <cell r="G775">
            <v>45530</v>
          </cell>
        </row>
        <row r="776">
          <cell r="C776" t="str">
            <v>TL</v>
          </cell>
          <cell r="D776" t="str">
            <v>SMB</v>
          </cell>
          <cell r="G776">
            <v>45530</v>
          </cell>
        </row>
        <row r="777">
          <cell r="C777" t="str">
            <v>TL</v>
          </cell>
          <cell r="D777" t="str">
            <v>SMB</v>
          </cell>
          <cell r="G777">
            <v>45534</v>
          </cell>
        </row>
        <row r="778">
          <cell r="C778" t="str">
            <v>TL</v>
          </cell>
          <cell r="D778" t="str">
            <v>SMB</v>
          </cell>
          <cell r="G778">
            <v>44787</v>
          </cell>
        </row>
        <row r="779">
          <cell r="C779" t="str">
            <v>TL</v>
          </cell>
          <cell r="D779" t="str">
            <v>SMB</v>
          </cell>
          <cell r="G779">
            <v>44057</v>
          </cell>
        </row>
        <row r="780">
          <cell r="C780" t="str">
            <v>TL</v>
          </cell>
          <cell r="D780" t="str">
            <v>SMB</v>
          </cell>
          <cell r="G780">
            <v>44057</v>
          </cell>
        </row>
        <row r="781">
          <cell r="C781" t="str">
            <v>USD</v>
          </cell>
          <cell r="D781" t="str">
            <v>SMB</v>
          </cell>
        </row>
        <row r="782">
          <cell r="C782" t="str">
            <v>EUR</v>
          </cell>
          <cell r="D782" t="str">
            <v>SMB</v>
          </cell>
        </row>
        <row r="783">
          <cell r="C783" t="str">
            <v>Kur Sabitleme</v>
          </cell>
          <cell r="D783" t="str">
            <v>SMB</v>
          </cell>
        </row>
        <row r="784">
          <cell r="C784" t="str">
            <v>İSTEM OKULLARI LTD.ŞTİ.</v>
          </cell>
          <cell r="D784" t="str">
            <v>SMB</v>
          </cell>
          <cell r="E784">
            <v>0</v>
          </cell>
          <cell r="F784" t="str">
            <v>…..</v>
          </cell>
          <cell r="G784">
            <v>44197</v>
          </cell>
        </row>
        <row r="785">
          <cell r="C785" t="str">
            <v>TL</v>
          </cell>
          <cell r="D785" t="str">
            <v>SMB</v>
          </cell>
          <cell r="G785">
            <v>44197</v>
          </cell>
        </row>
        <row r="786">
          <cell r="C786" t="str">
            <v>USD</v>
          </cell>
          <cell r="D786" t="str">
            <v>SMB</v>
          </cell>
        </row>
        <row r="787">
          <cell r="C787" t="str">
            <v>EUR</v>
          </cell>
          <cell r="D787" t="str">
            <v>SMB</v>
          </cell>
        </row>
        <row r="788">
          <cell r="C788" t="str">
            <v>Kur Sabitleme</v>
          </cell>
          <cell r="D788" t="str">
            <v>SMB</v>
          </cell>
        </row>
        <row r="789">
          <cell r="C789" t="str">
            <v>ITO Bilgiyi Ticarilestirme ve Arastirma Vakfi Ikti</v>
          </cell>
          <cell r="D789" t="str">
            <v>SMB</v>
          </cell>
          <cell r="E789">
            <v>0</v>
          </cell>
          <cell r="F789" t="str">
            <v>…..</v>
          </cell>
          <cell r="G789">
            <v>44211</v>
          </cell>
        </row>
        <row r="790">
          <cell r="C790" t="str">
            <v>TL</v>
          </cell>
          <cell r="D790" t="str">
            <v>SMB</v>
          </cell>
          <cell r="G790">
            <v>44211</v>
          </cell>
        </row>
        <row r="791">
          <cell r="C791" t="str">
            <v>USD</v>
          </cell>
          <cell r="D791" t="str">
            <v>SMB</v>
          </cell>
        </row>
        <row r="792">
          <cell r="C792" t="str">
            <v>EUR</v>
          </cell>
          <cell r="D792" t="str">
            <v>SMB</v>
          </cell>
        </row>
        <row r="793">
          <cell r="C793" t="str">
            <v>Kur Sabitleme</v>
          </cell>
          <cell r="D793" t="str">
            <v>SMB</v>
          </cell>
        </row>
        <row r="794">
          <cell r="C794" t="str">
            <v>KALANKAN MAKINA MOBILYA SAN.TIC.LTD.STI</v>
          </cell>
          <cell r="D794" t="str">
            <v>SMB</v>
          </cell>
          <cell r="E794">
            <v>0</v>
          </cell>
          <cell r="F794" t="str">
            <v>A-MB245</v>
          </cell>
          <cell r="G794">
            <v>43585</v>
          </cell>
        </row>
        <row r="795">
          <cell r="C795" t="str">
            <v>TL</v>
          </cell>
          <cell r="D795" t="str">
            <v>SMB</v>
          </cell>
        </row>
        <row r="796">
          <cell r="C796" t="str">
            <v>USD</v>
          </cell>
          <cell r="D796" t="str">
            <v>SMB</v>
          </cell>
          <cell r="G796">
            <v>43585</v>
          </cell>
        </row>
        <row r="797">
          <cell r="C797" t="str">
            <v>USD</v>
          </cell>
          <cell r="D797" t="str">
            <v>SMB</v>
          </cell>
          <cell r="G797">
            <v>45547</v>
          </cell>
        </row>
        <row r="798">
          <cell r="C798" t="str">
            <v>USD</v>
          </cell>
          <cell r="D798" t="str">
            <v>SMB</v>
          </cell>
          <cell r="G798">
            <v>45896</v>
          </cell>
        </row>
        <row r="799">
          <cell r="C799" t="str">
            <v>EUR</v>
          </cell>
          <cell r="D799" t="str">
            <v>SMB</v>
          </cell>
        </row>
        <row r="800">
          <cell r="C800" t="str">
            <v>Kur Sabitleme</v>
          </cell>
          <cell r="D800" t="str">
            <v>SMB</v>
          </cell>
        </row>
        <row r="801">
          <cell r="C801" t="str">
            <v>KALİTEST BELGELENDIRME VE EGITIM HIZMETLERI LTD.ST</v>
          </cell>
          <cell r="D801" t="str">
            <v>SMB</v>
          </cell>
          <cell r="E801">
            <v>0</v>
          </cell>
          <cell r="F801" t="str">
            <v>A-MB284</v>
          </cell>
          <cell r="G801">
            <v>43889</v>
          </cell>
        </row>
        <row r="802">
          <cell r="C802" t="str">
            <v>TL</v>
          </cell>
          <cell r="D802" t="str">
            <v>SMB</v>
          </cell>
          <cell r="G802">
            <v>43889</v>
          </cell>
        </row>
        <row r="803">
          <cell r="C803" t="str">
            <v>USD</v>
          </cell>
          <cell r="D803" t="str">
            <v>SMB</v>
          </cell>
          <cell r="G803">
            <v>43889</v>
          </cell>
        </row>
        <row r="804">
          <cell r="C804" t="str">
            <v>EUR</v>
          </cell>
          <cell r="D804" t="str">
            <v>SMB</v>
          </cell>
        </row>
        <row r="805">
          <cell r="C805" t="str">
            <v>Kur Sabitleme</v>
          </cell>
          <cell r="D805" t="str">
            <v>SMB</v>
          </cell>
        </row>
        <row r="806">
          <cell r="C806" t="str">
            <v>KARACA ZÜCCACIYE TICARET SANAYI A.S.</v>
          </cell>
          <cell r="D806" t="str">
            <v>Enterprise</v>
          </cell>
          <cell r="E806">
            <v>0</v>
          </cell>
          <cell r="F806" t="str">
            <v>A-MB408</v>
          </cell>
          <cell r="G806">
            <v>43101</v>
          </cell>
        </row>
        <row r="807">
          <cell r="C807" t="str">
            <v>TL</v>
          </cell>
          <cell r="D807" t="str">
            <v>Enterprise</v>
          </cell>
        </row>
        <row r="808">
          <cell r="C808" t="str">
            <v>USD</v>
          </cell>
          <cell r="D808" t="str">
            <v>Enterprise</v>
          </cell>
          <cell r="G808">
            <v>43101</v>
          </cell>
        </row>
        <row r="809">
          <cell r="C809" t="str">
            <v>USD</v>
          </cell>
          <cell r="D809" t="str">
            <v>Enterprise</v>
          </cell>
        </row>
        <row r="810">
          <cell r="C810" t="str">
            <v>EUR</v>
          </cell>
          <cell r="D810" t="str">
            <v>Enterprise</v>
          </cell>
        </row>
        <row r="811">
          <cell r="C811" t="str">
            <v>Kur Sabitleme</v>
          </cell>
          <cell r="D811" t="str">
            <v>Enterprise</v>
          </cell>
        </row>
        <row r="812">
          <cell r="C812" t="str">
            <v>MAYA HOLDING - KARTAL IST ALIŞVERİŞ MERKEZİ VE İŞLETMESİ A.Ş.</v>
          </cell>
          <cell r="D812" t="str">
            <v>SMB</v>
          </cell>
          <cell r="E812">
            <v>0</v>
          </cell>
          <cell r="F812" t="str">
            <v>A-MB234</v>
          </cell>
          <cell r="G812">
            <v>43465</v>
          </cell>
        </row>
        <row r="813">
          <cell r="C813" t="str">
            <v>TL</v>
          </cell>
          <cell r="D813" t="str">
            <v>SMB</v>
          </cell>
        </row>
        <row r="814">
          <cell r="C814" t="str">
            <v>USD</v>
          </cell>
          <cell r="D814" t="str">
            <v>SMB</v>
          </cell>
          <cell r="G814">
            <v>43465</v>
          </cell>
        </row>
        <row r="815">
          <cell r="C815" t="str">
            <v>EUR</v>
          </cell>
          <cell r="D815" t="str">
            <v>SMB</v>
          </cell>
        </row>
        <row r="816">
          <cell r="C816" t="str">
            <v>Kur Sabitleme</v>
          </cell>
          <cell r="D816" t="str">
            <v>SMB</v>
          </cell>
        </row>
        <row r="817">
          <cell r="C817" t="str">
            <v>KENTPARK ALISVERIS MERKEZI VE ILETMECILIK AS.</v>
          </cell>
          <cell r="D817" t="str">
            <v>SMB</v>
          </cell>
          <cell r="E817">
            <v>0</v>
          </cell>
          <cell r="F817" t="str">
            <v>…..</v>
          </cell>
          <cell r="G817">
            <v>42128</v>
          </cell>
        </row>
        <row r="818">
          <cell r="C818" t="str">
            <v>TL</v>
          </cell>
          <cell r="D818" t="str">
            <v>SMB</v>
          </cell>
        </row>
        <row r="819">
          <cell r="C819" t="str">
            <v>USD</v>
          </cell>
          <cell r="D819" t="str">
            <v>SMB</v>
          </cell>
          <cell r="G819">
            <v>42128</v>
          </cell>
        </row>
        <row r="820">
          <cell r="C820" t="str">
            <v>EUR</v>
          </cell>
          <cell r="D820" t="str">
            <v>SMB</v>
          </cell>
        </row>
        <row r="821">
          <cell r="C821" t="str">
            <v>Kur Sabitleme</v>
          </cell>
          <cell r="D821" t="str">
            <v>SMB</v>
          </cell>
        </row>
        <row r="822">
          <cell r="C822" t="str">
            <v>KERAMIK MAKINA SAN. VE TIC.A.S.</v>
          </cell>
          <cell r="D822" t="str">
            <v>SMB</v>
          </cell>
          <cell r="E822">
            <v>0</v>
          </cell>
          <cell r="F822" t="str">
            <v>A-MB078</v>
          </cell>
          <cell r="G822">
            <v>44636</v>
          </cell>
        </row>
        <row r="823">
          <cell r="C823" t="str">
            <v>TL</v>
          </cell>
          <cell r="D823" t="str">
            <v>SMB</v>
          </cell>
          <cell r="G823">
            <v>44636</v>
          </cell>
        </row>
        <row r="824">
          <cell r="C824" t="str">
            <v>TL</v>
          </cell>
          <cell r="D824" t="str">
            <v>SMB</v>
          </cell>
          <cell r="G824">
            <v>45231</v>
          </cell>
        </row>
        <row r="825">
          <cell r="C825" t="str">
            <v>TL</v>
          </cell>
          <cell r="D825" t="str">
            <v>SMB</v>
          </cell>
          <cell r="G825">
            <v>44957</v>
          </cell>
        </row>
        <row r="826">
          <cell r="C826" t="str">
            <v>TL</v>
          </cell>
          <cell r="D826" t="str">
            <v>SMB</v>
          </cell>
          <cell r="G826">
            <v>44927</v>
          </cell>
        </row>
        <row r="827">
          <cell r="C827" t="str">
            <v>TL</v>
          </cell>
          <cell r="D827" t="str">
            <v>SMB</v>
          </cell>
          <cell r="G827">
            <v>45323</v>
          </cell>
        </row>
        <row r="828">
          <cell r="C828" t="str">
            <v>TL</v>
          </cell>
          <cell r="D828" t="str">
            <v>SMB</v>
          </cell>
          <cell r="G828">
            <v>45716</v>
          </cell>
        </row>
        <row r="829">
          <cell r="C829" t="str">
            <v>USD</v>
          </cell>
          <cell r="D829" t="str">
            <v>SMB</v>
          </cell>
          <cell r="G829">
            <v>45504</v>
          </cell>
        </row>
        <row r="830">
          <cell r="C830" t="str">
            <v>USD</v>
          </cell>
          <cell r="D830" t="str">
            <v>SMB</v>
          </cell>
          <cell r="G830">
            <v>45854</v>
          </cell>
        </row>
        <row r="831">
          <cell r="C831" t="str">
            <v>USD</v>
          </cell>
          <cell r="D831" t="str">
            <v>SMB</v>
          </cell>
          <cell r="G831">
            <v>45862</v>
          </cell>
        </row>
        <row r="832">
          <cell r="C832" t="str">
            <v>USD</v>
          </cell>
          <cell r="D832" t="str">
            <v>SMB</v>
          </cell>
          <cell r="G832">
            <v>45352</v>
          </cell>
        </row>
        <row r="833">
          <cell r="C833" t="str">
            <v>USD</v>
          </cell>
          <cell r="D833" t="str">
            <v>SMB</v>
          </cell>
          <cell r="G833">
            <v>45716</v>
          </cell>
        </row>
        <row r="834">
          <cell r="C834" t="str">
            <v>EUR</v>
          </cell>
          <cell r="D834" t="str">
            <v>SMB</v>
          </cell>
        </row>
        <row r="835">
          <cell r="C835" t="str">
            <v>Kur Sabitleme</v>
          </cell>
          <cell r="D835" t="str">
            <v>SMB</v>
          </cell>
        </row>
        <row r="836">
          <cell r="C836" t="str">
            <v>KIYI RESTORANT TURIZM GIDA LTD.STI.</v>
          </cell>
          <cell r="D836" t="str">
            <v>SMB</v>
          </cell>
          <cell r="E836">
            <v>0</v>
          </cell>
          <cell r="F836" t="str">
            <v>A-MB279</v>
          </cell>
          <cell r="G836">
            <v>44927</v>
          </cell>
        </row>
        <row r="837">
          <cell r="C837" t="str">
            <v>TL</v>
          </cell>
          <cell r="D837" t="str">
            <v>SMB</v>
          </cell>
        </row>
        <row r="838">
          <cell r="C838" t="str">
            <v>USD</v>
          </cell>
          <cell r="D838" t="str">
            <v>SMB</v>
          </cell>
          <cell r="G838">
            <v>44927</v>
          </cell>
        </row>
        <row r="839">
          <cell r="C839" t="str">
            <v>USD</v>
          </cell>
          <cell r="D839" t="str">
            <v>SMB</v>
          </cell>
          <cell r="G839">
            <v>45043</v>
          </cell>
        </row>
        <row r="840">
          <cell r="C840" t="str">
            <v>EUR</v>
          </cell>
          <cell r="D840" t="str">
            <v>SMB</v>
          </cell>
        </row>
        <row r="841">
          <cell r="C841" t="str">
            <v>Kur Sabitleme</v>
          </cell>
          <cell r="D841" t="str">
            <v>SMB</v>
          </cell>
        </row>
        <row r="842">
          <cell r="C842" t="str">
            <v>KOALAY - KONUT KREDISI COM TR DANISMANLIK A.S</v>
          </cell>
          <cell r="D842" t="str">
            <v>Enterprise</v>
          </cell>
          <cell r="E842">
            <v>0</v>
          </cell>
          <cell r="F842" t="str">
            <v>A-MB251</v>
          </cell>
          <cell r="G842">
            <v>43952</v>
          </cell>
        </row>
        <row r="843">
          <cell r="C843" t="str">
            <v>TL</v>
          </cell>
          <cell r="D843" t="str">
            <v>Enterprise</v>
          </cell>
          <cell r="G843">
            <v>45671</v>
          </cell>
        </row>
        <row r="844">
          <cell r="C844" t="str">
            <v>TL</v>
          </cell>
          <cell r="D844" t="str">
            <v>Enterprise</v>
          </cell>
          <cell r="G844">
            <v>45017</v>
          </cell>
        </row>
        <row r="845">
          <cell r="C845" t="str">
            <v>TL</v>
          </cell>
          <cell r="D845" t="str">
            <v>Enterprise</v>
          </cell>
          <cell r="G845">
            <v>45687</v>
          </cell>
        </row>
        <row r="846">
          <cell r="C846" t="str">
            <v>USD</v>
          </cell>
          <cell r="D846" t="str">
            <v>Enterprise</v>
          </cell>
          <cell r="G846">
            <v>43952</v>
          </cell>
        </row>
        <row r="847">
          <cell r="C847" t="str">
            <v>USD</v>
          </cell>
          <cell r="D847" t="str">
            <v>Enterprise</v>
          </cell>
          <cell r="G847">
            <v>43952</v>
          </cell>
        </row>
        <row r="848">
          <cell r="C848" t="str">
            <v>USD</v>
          </cell>
          <cell r="D848" t="str">
            <v>Enterprise</v>
          </cell>
        </row>
        <row r="849">
          <cell r="C849" t="str">
            <v>EUR</v>
          </cell>
          <cell r="D849" t="str">
            <v>Enterprise</v>
          </cell>
        </row>
        <row r="850">
          <cell r="C850" t="str">
            <v>Kur Sabitleme</v>
          </cell>
          <cell r="D850" t="str">
            <v>Enterprise</v>
          </cell>
          <cell r="G850">
            <v>43952</v>
          </cell>
        </row>
        <row r="851">
          <cell r="C851" t="str">
            <v>KONTAK ARTI İLETİŞİM HİZMETLERİ LTD.ŞTİ</v>
          </cell>
          <cell r="D851" t="str">
            <v>SMB</v>
          </cell>
          <cell r="E851">
            <v>0</v>
          </cell>
          <cell r="F851" t="str">
            <v>A-MB024</v>
          </cell>
          <cell r="G851">
            <v>40210</v>
          </cell>
        </row>
        <row r="852">
          <cell r="C852" t="str">
            <v>TL</v>
          </cell>
          <cell r="D852" t="str">
            <v>SMB</v>
          </cell>
        </row>
        <row r="853">
          <cell r="C853" t="str">
            <v>USD</v>
          </cell>
          <cell r="D853" t="str">
            <v>SMB</v>
          </cell>
          <cell r="G853">
            <v>40210</v>
          </cell>
        </row>
        <row r="854">
          <cell r="C854" t="str">
            <v>USD</v>
          </cell>
          <cell r="D854" t="str">
            <v>SMB</v>
          </cell>
          <cell r="G854">
            <v>45772</v>
          </cell>
        </row>
        <row r="855">
          <cell r="C855" t="str">
            <v>EUR</v>
          </cell>
          <cell r="D855" t="str">
            <v>SMB</v>
          </cell>
        </row>
        <row r="856">
          <cell r="C856" t="str">
            <v>Kur Sabitleme</v>
          </cell>
          <cell r="D856" t="str">
            <v>SMB</v>
          </cell>
        </row>
        <row r="857">
          <cell r="C857" t="str">
            <v>AN GIDA ÜRÜNLERİ ÜRETİM VE PAZARLA ( KORHAN SERA )</v>
          </cell>
          <cell r="D857" t="str">
            <v>SMB</v>
          </cell>
          <cell r="E857" t="e">
            <v>#N/A</v>
          </cell>
          <cell r="F857" t="str">
            <v>A-MB294</v>
          </cell>
          <cell r="G857">
            <v>43194</v>
          </cell>
        </row>
        <row r="858">
          <cell r="C858" t="str">
            <v>TL</v>
          </cell>
          <cell r="D858" t="str">
            <v>SMB</v>
          </cell>
          <cell r="G858">
            <v>43194</v>
          </cell>
        </row>
        <row r="859">
          <cell r="C859" t="str">
            <v>USD</v>
          </cell>
          <cell r="D859" t="str">
            <v>SMB</v>
          </cell>
        </row>
        <row r="860">
          <cell r="C860" t="str">
            <v>EUR</v>
          </cell>
          <cell r="D860" t="str">
            <v>SMB</v>
          </cell>
        </row>
        <row r="861">
          <cell r="C861" t="str">
            <v>Kur Sabitleme</v>
          </cell>
          <cell r="D861" t="str">
            <v>SMB</v>
          </cell>
        </row>
        <row r="862">
          <cell r="C862" t="str">
            <v>KOZA GIDA DAGITIM SAN. VE TIC. A.S.</v>
          </cell>
          <cell r="D862" t="str">
            <v>SMB</v>
          </cell>
          <cell r="E862">
            <v>0</v>
          </cell>
          <cell r="F862" t="str">
            <v>A-MB174</v>
          </cell>
          <cell r="G862">
            <v>43831</v>
          </cell>
        </row>
        <row r="863">
          <cell r="C863" t="str">
            <v>TL</v>
          </cell>
          <cell r="D863" t="str">
            <v>SMB</v>
          </cell>
          <cell r="G863">
            <v>44956</v>
          </cell>
        </row>
        <row r="864">
          <cell r="C864" t="str">
            <v>TL</v>
          </cell>
          <cell r="D864" t="str">
            <v>SMB</v>
          </cell>
          <cell r="G864">
            <v>43831</v>
          </cell>
        </row>
        <row r="865">
          <cell r="C865" t="str">
            <v>USD</v>
          </cell>
          <cell r="D865" t="str">
            <v>SMB</v>
          </cell>
          <cell r="G865">
            <v>44956</v>
          </cell>
        </row>
        <row r="866">
          <cell r="C866" t="str">
            <v>USD</v>
          </cell>
          <cell r="D866" t="str">
            <v>SMB</v>
          </cell>
          <cell r="G866">
            <v>45243</v>
          </cell>
        </row>
        <row r="867">
          <cell r="C867" t="str">
            <v>USD</v>
          </cell>
          <cell r="D867" t="str">
            <v>SMB</v>
          </cell>
          <cell r="G867">
            <v>43831</v>
          </cell>
        </row>
        <row r="868">
          <cell r="C868" t="str">
            <v>USD</v>
          </cell>
          <cell r="D868" t="str">
            <v>SMB</v>
          </cell>
          <cell r="G868">
            <v>45596</v>
          </cell>
        </row>
        <row r="869">
          <cell r="C869" t="str">
            <v>EUR</v>
          </cell>
          <cell r="D869" t="str">
            <v>SMB</v>
          </cell>
        </row>
        <row r="870">
          <cell r="C870" t="str">
            <v>Kur Sabitleme</v>
          </cell>
          <cell r="D870" t="str">
            <v>SMB</v>
          </cell>
        </row>
        <row r="871">
          <cell r="C871" t="str">
            <v>KOZMETIK VE TEMIZLIK ÜRÜNLERI SANAYICILERI DERNEGI</v>
          </cell>
          <cell r="D871" t="str">
            <v>SMB</v>
          </cell>
          <cell r="E871">
            <v>0</v>
          </cell>
          <cell r="F871" t="str">
            <v>A-MB218</v>
          </cell>
          <cell r="G871">
            <v>44317</v>
          </cell>
        </row>
        <row r="872">
          <cell r="C872" t="str">
            <v>TL</v>
          </cell>
          <cell r="D872" t="str">
            <v>SMB</v>
          </cell>
          <cell r="G872">
            <v>44317</v>
          </cell>
        </row>
        <row r="873">
          <cell r="C873" t="str">
            <v>USD</v>
          </cell>
          <cell r="D873" t="str">
            <v>SMB</v>
          </cell>
          <cell r="G873">
            <v>44624</v>
          </cell>
        </row>
        <row r="874">
          <cell r="C874" t="str">
            <v>USD</v>
          </cell>
          <cell r="D874" t="str">
            <v>SMB</v>
          </cell>
          <cell r="G874">
            <v>44317</v>
          </cell>
        </row>
        <row r="875">
          <cell r="C875" t="str">
            <v>USD</v>
          </cell>
          <cell r="D875" t="str">
            <v>SMB</v>
          </cell>
          <cell r="G875">
            <v>45825</v>
          </cell>
        </row>
        <row r="876">
          <cell r="C876" t="str">
            <v>USD</v>
          </cell>
          <cell r="D876" t="str">
            <v>SMB</v>
          </cell>
          <cell r="G876">
            <v>45483</v>
          </cell>
        </row>
        <row r="877">
          <cell r="C877" t="str">
            <v>USD</v>
          </cell>
          <cell r="D877" t="str">
            <v>SMB</v>
          </cell>
          <cell r="G877">
            <v>45547</v>
          </cell>
        </row>
        <row r="878">
          <cell r="C878" t="str">
            <v>EUR</v>
          </cell>
          <cell r="D878" t="str">
            <v>SMB</v>
          </cell>
        </row>
        <row r="879">
          <cell r="C879" t="str">
            <v>Kur Sabitleme</v>
          </cell>
          <cell r="D879" t="str">
            <v>SMB</v>
          </cell>
        </row>
        <row r="880">
          <cell r="C880" t="str">
            <v>LINK BILG.SIST.YAZILIM VE DONANIM SAN.VE TIC. AS</v>
          </cell>
          <cell r="D880" t="str">
            <v>SMB</v>
          </cell>
          <cell r="E880">
            <v>0</v>
          </cell>
          <cell r="F880" t="str">
            <v>A-MB046</v>
          </cell>
          <cell r="G880">
            <v>43623</v>
          </cell>
        </row>
        <row r="881">
          <cell r="C881" t="str">
            <v>TL</v>
          </cell>
          <cell r="D881" t="str">
            <v>SMB</v>
          </cell>
        </row>
        <row r="882">
          <cell r="C882" t="str">
            <v>USD</v>
          </cell>
          <cell r="D882" t="str">
            <v>SMB</v>
          </cell>
          <cell r="G882">
            <v>44866</v>
          </cell>
        </row>
        <row r="883">
          <cell r="C883" t="str">
            <v>USD</v>
          </cell>
          <cell r="D883" t="str">
            <v>SMB</v>
          </cell>
          <cell r="G883">
            <v>45379</v>
          </cell>
        </row>
        <row r="884">
          <cell r="C884" t="str">
            <v>USD</v>
          </cell>
          <cell r="D884" t="str">
            <v>SMB</v>
          </cell>
          <cell r="G884">
            <v>45380</v>
          </cell>
        </row>
        <row r="885">
          <cell r="C885" t="str">
            <v>USD</v>
          </cell>
          <cell r="D885" t="str">
            <v>SMB</v>
          </cell>
          <cell r="G885">
            <v>45189</v>
          </cell>
        </row>
        <row r="886">
          <cell r="C886" t="str">
            <v>USD</v>
          </cell>
          <cell r="D886" t="str">
            <v>SMB</v>
          </cell>
          <cell r="G886">
            <v>45595</v>
          </cell>
        </row>
        <row r="887">
          <cell r="C887" t="str">
            <v>USD</v>
          </cell>
          <cell r="D887" t="str">
            <v>SMB</v>
          </cell>
          <cell r="G887">
            <v>45595</v>
          </cell>
        </row>
        <row r="888">
          <cell r="C888" t="str">
            <v>USD</v>
          </cell>
          <cell r="D888" t="str">
            <v>SMB</v>
          </cell>
          <cell r="G888">
            <v>43623</v>
          </cell>
        </row>
        <row r="889">
          <cell r="C889" t="str">
            <v>EUR</v>
          </cell>
          <cell r="D889" t="str">
            <v>SMB</v>
          </cell>
        </row>
        <row r="890">
          <cell r="C890" t="str">
            <v>Kur Sabitleme</v>
          </cell>
          <cell r="D890" t="str">
            <v>SMB</v>
          </cell>
          <cell r="G890">
            <v>45189</v>
          </cell>
        </row>
        <row r="891">
          <cell r="C891" t="str">
            <v>Kur Sabitleme</v>
          </cell>
          <cell r="D891" t="str">
            <v>SMB</v>
          </cell>
        </row>
        <row r="892">
          <cell r="C892" t="str">
            <v>LOGO YAZILIM SANAYİ TİC AŞ</v>
          </cell>
          <cell r="D892" t="str">
            <v>Enterprise</v>
          </cell>
          <cell r="E892">
            <v>0</v>
          </cell>
          <cell r="F892" t="str">
            <v>A-MB296</v>
          </cell>
          <cell r="G892">
            <v>43905</v>
          </cell>
        </row>
        <row r="893">
          <cell r="C893" t="str">
            <v>TL</v>
          </cell>
          <cell r="D893" t="str">
            <v>Enterprise</v>
          </cell>
          <cell r="G893">
            <v>43905</v>
          </cell>
        </row>
        <row r="894">
          <cell r="C894" t="str">
            <v>TL</v>
          </cell>
          <cell r="D894" t="str">
            <v>Enterprise</v>
          </cell>
          <cell r="G894">
            <v>43997</v>
          </cell>
        </row>
        <row r="895">
          <cell r="C895" t="str">
            <v>TL</v>
          </cell>
          <cell r="D895" t="str">
            <v>Enterprise</v>
          </cell>
          <cell r="G895">
            <v>44743</v>
          </cell>
        </row>
        <row r="896">
          <cell r="C896" t="str">
            <v>TL</v>
          </cell>
          <cell r="D896" t="str">
            <v>Enterprise</v>
          </cell>
          <cell r="G896">
            <v>45078</v>
          </cell>
        </row>
        <row r="897">
          <cell r="C897" t="str">
            <v>USD</v>
          </cell>
          <cell r="D897" t="str">
            <v>Enterprise</v>
          </cell>
          <cell r="G897">
            <v>45000</v>
          </cell>
        </row>
        <row r="898">
          <cell r="C898" t="str">
            <v>USD</v>
          </cell>
          <cell r="D898" t="str">
            <v>Enterprise</v>
          </cell>
        </row>
        <row r="899">
          <cell r="C899" t="str">
            <v>USD</v>
          </cell>
          <cell r="D899" t="str">
            <v>Enterprise</v>
          </cell>
        </row>
        <row r="900">
          <cell r="C900" t="str">
            <v>EUR</v>
          </cell>
          <cell r="D900" t="str">
            <v>Enterprise</v>
          </cell>
        </row>
        <row r="901">
          <cell r="C901" t="str">
            <v>Kur Sabitleme</v>
          </cell>
          <cell r="D901" t="str">
            <v>Enterprise</v>
          </cell>
        </row>
        <row r="902">
          <cell r="C902" t="str">
            <v>MAPPLİCO BİLGİ TEKNOLOJİLERİ ANONİM ŞİRKET</v>
          </cell>
          <cell r="D902" t="str">
            <v>SMB</v>
          </cell>
          <cell r="E902">
            <v>0</v>
          </cell>
          <cell r="F902" t="str">
            <v>A-MB523</v>
          </cell>
          <cell r="G902">
            <v>44712</v>
          </cell>
        </row>
        <row r="903">
          <cell r="C903" t="str">
            <v>TL</v>
          </cell>
          <cell r="D903" t="str">
            <v>SMB</v>
          </cell>
        </row>
        <row r="904">
          <cell r="C904" t="str">
            <v>USD</v>
          </cell>
          <cell r="D904" t="str">
            <v>SMB</v>
          </cell>
          <cell r="G904">
            <v>44712</v>
          </cell>
        </row>
        <row r="905">
          <cell r="C905" t="str">
            <v>EUR</v>
          </cell>
          <cell r="D905" t="str">
            <v>SMB</v>
          </cell>
        </row>
        <row r="906">
          <cell r="C906" t="str">
            <v>Kur Sabitleme</v>
          </cell>
          <cell r="D906" t="str">
            <v>SMB</v>
          </cell>
        </row>
        <row r="907">
          <cell r="C907" t="str">
            <v>MARGE ARAŞTIRMA GELİŞTİRME VE MÜHENDİSLİK  A.Ş.</v>
          </cell>
          <cell r="D907" t="str">
            <v>SMB</v>
          </cell>
          <cell r="E907">
            <v>0</v>
          </cell>
          <cell r="F907" t="str">
            <v>…..</v>
          </cell>
          <cell r="G907">
            <v>42035</v>
          </cell>
        </row>
        <row r="908">
          <cell r="C908" t="str">
            <v>TL</v>
          </cell>
          <cell r="D908" t="str">
            <v>SMB</v>
          </cell>
        </row>
        <row r="909">
          <cell r="C909" t="str">
            <v>USD</v>
          </cell>
          <cell r="D909" t="str">
            <v>SMB</v>
          </cell>
          <cell r="G909">
            <v>42035</v>
          </cell>
        </row>
        <row r="910">
          <cell r="C910" t="str">
            <v>EUR</v>
          </cell>
          <cell r="D910" t="str">
            <v>SMB</v>
          </cell>
        </row>
        <row r="911">
          <cell r="C911" t="str">
            <v>Kur Sabitleme</v>
          </cell>
          <cell r="D911" t="str">
            <v>SMB</v>
          </cell>
        </row>
        <row r="912">
          <cell r="C912" t="str">
            <v>MARK GLOBAL LOJISTIK A.S.</v>
          </cell>
          <cell r="D912" t="str">
            <v>SMB</v>
          </cell>
          <cell r="E912">
            <v>0</v>
          </cell>
          <cell r="F912" t="str">
            <v>A-MB197</v>
          </cell>
          <cell r="G912">
            <v>41739</v>
          </cell>
        </row>
        <row r="913">
          <cell r="C913" t="str">
            <v>TL</v>
          </cell>
          <cell r="D913" t="str">
            <v>SMB</v>
          </cell>
          <cell r="G913">
            <v>44743</v>
          </cell>
        </row>
        <row r="914">
          <cell r="C914" t="str">
            <v>TL</v>
          </cell>
          <cell r="D914" t="str">
            <v>SMB</v>
          </cell>
          <cell r="G914">
            <v>45474</v>
          </cell>
        </row>
        <row r="915">
          <cell r="C915" t="str">
            <v>USD</v>
          </cell>
          <cell r="D915" t="str">
            <v>SMB</v>
          </cell>
          <cell r="G915">
            <v>41739</v>
          </cell>
        </row>
        <row r="916">
          <cell r="C916" t="str">
            <v>USD</v>
          </cell>
          <cell r="D916" t="str">
            <v>SMB</v>
          </cell>
          <cell r="G916">
            <v>44713</v>
          </cell>
        </row>
        <row r="917">
          <cell r="C917" t="str">
            <v>USD</v>
          </cell>
          <cell r="D917" t="str">
            <v>SMB</v>
          </cell>
          <cell r="G917">
            <v>44806</v>
          </cell>
        </row>
        <row r="918">
          <cell r="C918" t="str">
            <v>USD</v>
          </cell>
          <cell r="D918" t="str">
            <v>SMB</v>
          </cell>
          <cell r="G918">
            <v>44806</v>
          </cell>
        </row>
        <row r="919">
          <cell r="C919" t="str">
            <v>USD</v>
          </cell>
          <cell r="D919" t="str">
            <v>SMB</v>
          </cell>
          <cell r="G919">
            <v>45553</v>
          </cell>
        </row>
        <row r="920">
          <cell r="C920" t="str">
            <v>USD</v>
          </cell>
          <cell r="D920" t="str">
            <v>SMB</v>
          </cell>
        </row>
        <row r="921">
          <cell r="C921" t="str">
            <v>USD</v>
          </cell>
          <cell r="D921" t="str">
            <v>SMB</v>
          </cell>
        </row>
        <row r="922">
          <cell r="C922" t="str">
            <v>USD</v>
          </cell>
          <cell r="D922" t="str">
            <v>SMB</v>
          </cell>
        </row>
        <row r="923">
          <cell r="C923" t="str">
            <v>USD</v>
          </cell>
          <cell r="D923" t="str">
            <v>SMB</v>
          </cell>
        </row>
        <row r="924">
          <cell r="C924" t="str">
            <v>EUR</v>
          </cell>
          <cell r="D924" t="str">
            <v>SMB</v>
          </cell>
        </row>
        <row r="925">
          <cell r="C925" t="str">
            <v>Kur Sabitleme</v>
          </cell>
          <cell r="D925" t="str">
            <v>SMB</v>
          </cell>
        </row>
        <row r="926">
          <cell r="C926" t="str">
            <v>MARS LOJISTIK</v>
          </cell>
          <cell r="D926" t="str">
            <v>Enterprise</v>
          </cell>
          <cell r="E926">
            <v>0</v>
          </cell>
          <cell r="F926" t="str">
            <v>A-MB363</v>
          </cell>
          <cell r="G926">
            <v>42549</v>
          </cell>
        </row>
        <row r="927">
          <cell r="C927" t="str">
            <v>TL</v>
          </cell>
          <cell r="D927" t="str">
            <v>Enterprise</v>
          </cell>
        </row>
        <row r="928">
          <cell r="C928" t="str">
            <v>USD</v>
          </cell>
          <cell r="D928" t="str">
            <v>Enterprise</v>
          </cell>
          <cell r="G928">
            <v>42549</v>
          </cell>
        </row>
        <row r="929">
          <cell r="C929" t="str">
            <v>USD</v>
          </cell>
          <cell r="D929" t="str">
            <v>Enterprise</v>
          </cell>
        </row>
        <row r="930">
          <cell r="C930" t="str">
            <v>EUR</v>
          </cell>
          <cell r="D930" t="str">
            <v>Enterprise</v>
          </cell>
        </row>
        <row r="931">
          <cell r="C931" t="str">
            <v>Kur Sabitleme</v>
          </cell>
          <cell r="D931" t="str">
            <v>Enterprise</v>
          </cell>
        </row>
        <row r="932">
          <cell r="C932" t="str">
            <v>MARTAS OTOMOTIV YEDEK PARÇA TIC.VE SAN.A.S</v>
          </cell>
          <cell r="D932" t="str">
            <v>Enterprise</v>
          </cell>
          <cell r="E932">
            <v>0</v>
          </cell>
          <cell r="F932" t="str">
            <v>A-MB010</v>
          </cell>
          <cell r="G932">
            <v>44166</v>
          </cell>
        </row>
        <row r="933">
          <cell r="C933" t="str">
            <v>TL</v>
          </cell>
          <cell r="D933" t="str">
            <v>Enterprise</v>
          </cell>
          <cell r="G933">
            <v>44166</v>
          </cell>
        </row>
        <row r="934">
          <cell r="C934" t="str">
            <v>USD</v>
          </cell>
          <cell r="D934" t="str">
            <v>Enterprise</v>
          </cell>
        </row>
        <row r="935">
          <cell r="C935" t="str">
            <v>USD</v>
          </cell>
          <cell r="D935" t="str">
            <v>Enterprise</v>
          </cell>
        </row>
        <row r="936">
          <cell r="C936" t="str">
            <v>USD</v>
          </cell>
          <cell r="D936" t="str">
            <v>Enterprise</v>
          </cell>
          <cell r="G936">
            <v>45901</v>
          </cell>
        </row>
        <row r="937">
          <cell r="C937" t="str">
            <v>EUR</v>
          </cell>
          <cell r="D937" t="str">
            <v>Enterprise</v>
          </cell>
        </row>
        <row r="938">
          <cell r="C938" t="str">
            <v>Kur Sabitleme</v>
          </cell>
          <cell r="D938" t="str">
            <v>Enterprise</v>
          </cell>
        </row>
        <row r="939">
          <cell r="C939" t="str">
            <v>MASTERTEK BILGI TEKNOLOJILERI TIC.LTD.STI.</v>
          </cell>
          <cell r="D939" t="str">
            <v>SMB</v>
          </cell>
          <cell r="E939">
            <v>0</v>
          </cell>
          <cell r="F939" t="str">
            <v>…..</v>
          </cell>
          <cell r="G939">
            <v>44044</v>
          </cell>
        </row>
        <row r="940">
          <cell r="C940" t="str">
            <v>TL</v>
          </cell>
          <cell r="D940" t="str">
            <v>SMB</v>
          </cell>
          <cell r="G940">
            <v>44044</v>
          </cell>
        </row>
        <row r="941">
          <cell r="C941" t="str">
            <v>USD</v>
          </cell>
          <cell r="D941" t="str">
            <v>SMB</v>
          </cell>
        </row>
        <row r="942">
          <cell r="C942" t="str">
            <v>EUR</v>
          </cell>
          <cell r="D942" t="str">
            <v>SMB</v>
          </cell>
        </row>
        <row r="943">
          <cell r="C943" t="str">
            <v>Kur Sabitleme</v>
          </cell>
          <cell r="D943" t="str">
            <v>SMB</v>
          </cell>
        </row>
        <row r="944">
          <cell r="C944" t="str">
            <v>MATADOR ET ÜRÜNLERI VE REST.ISL.GIDA. - GÜRKAN ŞEF</v>
          </cell>
          <cell r="D944" t="str">
            <v>SMB</v>
          </cell>
          <cell r="E944">
            <v>0</v>
          </cell>
          <cell r="F944" t="str">
            <v>A-MB151</v>
          </cell>
          <cell r="G944">
            <v>42857</v>
          </cell>
        </row>
        <row r="945">
          <cell r="C945" t="str">
            <v>TL</v>
          </cell>
          <cell r="D945" t="str">
            <v>SMB</v>
          </cell>
          <cell r="G945">
            <v>44484</v>
          </cell>
        </row>
        <row r="946">
          <cell r="C946" t="str">
            <v>USD</v>
          </cell>
          <cell r="D946" t="str">
            <v>SMB</v>
          </cell>
          <cell r="G946">
            <v>42857</v>
          </cell>
        </row>
        <row r="947">
          <cell r="C947" t="str">
            <v>EUR</v>
          </cell>
          <cell r="D947" t="str">
            <v>SMB</v>
          </cell>
        </row>
        <row r="948">
          <cell r="C948" t="str">
            <v>Kur Sabitleme</v>
          </cell>
          <cell r="D948" t="str">
            <v>SMB</v>
          </cell>
        </row>
        <row r="949">
          <cell r="C949" t="str">
            <v>MAYA HOLDING - MAYA GAYRİMENKUL GELİŞTİRME A.Ş.</v>
          </cell>
          <cell r="D949" t="str">
            <v>SMB</v>
          </cell>
          <cell r="E949">
            <v>0</v>
          </cell>
          <cell r="F949" t="str">
            <v>…..</v>
          </cell>
          <cell r="G949">
            <v>43189</v>
          </cell>
        </row>
        <row r="950">
          <cell r="C950" t="str">
            <v>TL</v>
          </cell>
          <cell r="D950" t="str">
            <v>SMB</v>
          </cell>
        </row>
        <row r="951">
          <cell r="C951" t="str">
            <v>USD</v>
          </cell>
          <cell r="D951" t="str">
            <v>SMB</v>
          </cell>
          <cell r="G951">
            <v>43189</v>
          </cell>
        </row>
        <row r="952">
          <cell r="C952" t="str">
            <v>EUR</v>
          </cell>
          <cell r="D952" t="str">
            <v>SMB</v>
          </cell>
        </row>
        <row r="953">
          <cell r="C953" t="str">
            <v>Kur Sabitleme</v>
          </cell>
          <cell r="D953" t="str">
            <v>SMB</v>
          </cell>
        </row>
        <row r="954">
          <cell r="C954" t="str">
            <v>MAYA HOLDING A.S</v>
          </cell>
          <cell r="D954" t="str">
            <v>SMB</v>
          </cell>
          <cell r="E954">
            <v>0</v>
          </cell>
          <cell r="F954" t="str">
            <v>A-MB454</v>
          </cell>
          <cell r="G954">
            <v>40405</v>
          </cell>
        </row>
        <row r="955">
          <cell r="C955" t="str">
            <v>TL</v>
          </cell>
          <cell r="D955" t="str">
            <v>SMB</v>
          </cell>
        </row>
        <row r="956">
          <cell r="C956" t="str">
            <v>USD</v>
          </cell>
          <cell r="D956" t="str">
            <v>SMB</v>
          </cell>
          <cell r="G956">
            <v>40405</v>
          </cell>
        </row>
        <row r="957">
          <cell r="C957" t="str">
            <v>EUR</v>
          </cell>
          <cell r="D957" t="str">
            <v>SMB</v>
          </cell>
        </row>
        <row r="958">
          <cell r="C958" t="str">
            <v>Kur Sabitleme</v>
          </cell>
          <cell r="D958" t="str">
            <v>SMB</v>
          </cell>
        </row>
        <row r="959">
          <cell r="C959" t="str">
            <v>MEDIALYZER MEDYA TEKNOLOJİLERİ ANONİM ŞİRKETİ</v>
          </cell>
          <cell r="D959" t="str">
            <v>SMB</v>
          </cell>
          <cell r="E959">
            <v>0</v>
          </cell>
          <cell r="F959" t="str">
            <v>A-MB351</v>
          </cell>
          <cell r="G959">
            <v>44382</v>
          </cell>
        </row>
        <row r="960">
          <cell r="C960" t="str">
            <v>TL</v>
          </cell>
          <cell r="D960" t="str">
            <v>SMB</v>
          </cell>
          <cell r="G960">
            <v>44382</v>
          </cell>
        </row>
        <row r="961">
          <cell r="C961" t="str">
            <v>USD</v>
          </cell>
          <cell r="D961" t="str">
            <v>SMB</v>
          </cell>
          <cell r="G961">
            <v>45070</v>
          </cell>
        </row>
        <row r="962">
          <cell r="C962" t="str">
            <v>USD</v>
          </cell>
          <cell r="D962" t="str">
            <v>SMB</v>
          </cell>
          <cell r="G962">
            <v>45482</v>
          </cell>
        </row>
        <row r="963">
          <cell r="C963" t="str">
            <v>EUR</v>
          </cell>
          <cell r="D963" t="str">
            <v>SMB</v>
          </cell>
        </row>
        <row r="964">
          <cell r="C964" t="str">
            <v>Kur Sabitleme</v>
          </cell>
          <cell r="D964" t="str">
            <v>SMB</v>
          </cell>
        </row>
        <row r="965">
          <cell r="C965" t="str">
            <v>MEDİKAL PARK HASTANELERİ (MLP CARE)</v>
          </cell>
          <cell r="D965" t="str">
            <v>Enterprise</v>
          </cell>
          <cell r="E965">
            <v>0</v>
          </cell>
          <cell r="F965" t="str">
            <v>A-MB-G03</v>
          </cell>
          <cell r="G965">
            <v>44593</v>
          </cell>
        </row>
        <row r="966">
          <cell r="C966" t="str">
            <v>TL</v>
          </cell>
          <cell r="D966" t="str">
            <v>Enterprise</v>
          </cell>
          <cell r="G966">
            <v>44593</v>
          </cell>
        </row>
        <row r="967">
          <cell r="C967" t="str">
            <v>USD</v>
          </cell>
          <cell r="D967" t="str">
            <v>Enterprise</v>
          </cell>
          <cell r="G967">
            <v>44593</v>
          </cell>
        </row>
        <row r="968">
          <cell r="C968" t="str">
            <v>USD</v>
          </cell>
          <cell r="D968" t="str">
            <v>Enterprise</v>
          </cell>
        </row>
        <row r="969">
          <cell r="C969" t="str">
            <v>USD</v>
          </cell>
          <cell r="D969" t="str">
            <v>Enterprise</v>
          </cell>
        </row>
        <row r="970">
          <cell r="C970" t="str">
            <v>EUR</v>
          </cell>
          <cell r="D970" t="str">
            <v>Enterprise</v>
          </cell>
        </row>
        <row r="971">
          <cell r="C971" t="str">
            <v>Kur Sabitleme</v>
          </cell>
          <cell r="D971" t="str">
            <v>Enterprise</v>
          </cell>
        </row>
        <row r="972">
          <cell r="C972" t="str">
            <v>MEDITEL MEDIKAL TEKNIK ELEKTRONIK A.S</v>
          </cell>
          <cell r="D972" t="str">
            <v>SMB</v>
          </cell>
          <cell r="E972">
            <v>0</v>
          </cell>
          <cell r="F972" t="str">
            <v>A-MB491</v>
          </cell>
          <cell r="G972">
            <v>41759</v>
          </cell>
        </row>
        <row r="973">
          <cell r="C973" t="str">
            <v>TL</v>
          </cell>
          <cell r="D973" t="str">
            <v>SMB</v>
          </cell>
          <cell r="G973">
            <v>41759</v>
          </cell>
        </row>
        <row r="974">
          <cell r="C974" t="str">
            <v>USD</v>
          </cell>
          <cell r="D974" t="str">
            <v>SMB</v>
          </cell>
          <cell r="G974">
            <v>45160</v>
          </cell>
        </row>
        <row r="975">
          <cell r="C975" t="str">
            <v>USD</v>
          </cell>
          <cell r="D975" t="str">
            <v>SMB</v>
          </cell>
          <cell r="G975">
            <v>45701</v>
          </cell>
        </row>
        <row r="976">
          <cell r="C976" t="str">
            <v>USD</v>
          </cell>
          <cell r="D976" t="str">
            <v>SMB</v>
          </cell>
        </row>
        <row r="977">
          <cell r="C977" t="str">
            <v>EUR</v>
          </cell>
          <cell r="D977" t="str">
            <v>SMB</v>
          </cell>
        </row>
        <row r="978">
          <cell r="C978" t="str">
            <v>Kur Sabitleme</v>
          </cell>
          <cell r="D978" t="str">
            <v>SMB</v>
          </cell>
        </row>
        <row r="979">
          <cell r="C979" t="str">
            <v>METRANS MAKINA ENT.ÜRN.SAN.VE TIC.A.S</v>
          </cell>
          <cell r="D979" t="str">
            <v>SMB</v>
          </cell>
          <cell r="E979">
            <v>0</v>
          </cell>
          <cell r="F979" t="str">
            <v>A-MB005</v>
          </cell>
          <cell r="G979">
            <v>43862</v>
          </cell>
        </row>
        <row r="980">
          <cell r="C980" t="str">
            <v>TL</v>
          </cell>
          <cell r="D980" t="str">
            <v>SMB</v>
          </cell>
          <cell r="G980">
            <v>43862</v>
          </cell>
        </row>
        <row r="981">
          <cell r="C981" t="str">
            <v>USD</v>
          </cell>
          <cell r="D981" t="str">
            <v>SMB</v>
          </cell>
          <cell r="G981">
            <v>43862</v>
          </cell>
        </row>
        <row r="982">
          <cell r="C982" t="str">
            <v>USD</v>
          </cell>
          <cell r="D982" t="str">
            <v>SMB</v>
          </cell>
          <cell r="G982">
            <v>45526</v>
          </cell>
        </row>
        <row r="983">
          <cell r="C983" t="str">
            <v>USD</v>
          </cell>
          <cell r="D983" t="str">
            <v>SMB</v>
          </cell>
          <cell r="G983">
            <v>45650</v>
          </cell>
        </row>
        <row r="984">
          <cell r="C984" t="str">
            <v>USD</v>
          </cell>
          <cell r="D984" t="str">
            <v>SMB</v>
          </cell>
        </row>
        <row r="985">
          <cell r="C985" t="str">
            <v>EUR</v>
          </cell>
          <cell r="D985" t="str">
            <v>SMB</v>
          </cell>
        </row>
        <row r="986">
          <cell r="C986" t="str">
            <v>Kur Sabitleme</v>
          </cell>
          <cell r="D986" t="str">
            <v>SMB</v>
          </cell>
        </row>
        <row r="987">
          <cell r="C987" t="str">
            <v>MİKRO YAZILIMEVI YAZ. HIZ. BILG. SAN.TIC. A.S.</v>
          </cell>
          <cell r="D987" t="str">
            <v>Enterprise</v>
          </cell>
          <cell r="E987">
            <v>0</v>
          </cell>
          <cell r="F987" t="str">
            <v>A-MB305</v>
          </cell>
          <cell r="G987">
            <v>44084</v>
          </cell>
        </row>
        <row r="988">
          <cell r="C988" t="str">
            <v>TL</v>
          </cell>
          <cell r="D988" t="str">
            <v>Enterprise</v>
          </cell>
          <cell r="G988">
            <v>44084</v>
          </cell>
        </row>
        <row r="989">
          <cell r="C989" t="str">
            <v>TL</v>
          </cell>
          <cell r="D989" t="str">
            <v>Enterprise</v>
          </cell>
          <cell r="G989">
            <v>44084</v>
          </cell>
        </row>
        <row r="990">
          <cell r="C990" t="str">
            <v>TL</v>
          </cell>
          <cell r="D990" t="str">
            <v>Enterprise</v>
          </cell>
          <cell r="G990">
            <v>44084</v>
          </cell>
        </row>
        <row r="991">
          <cell r="C991" t="str">
            <v>TL</v>
          </cell>
          <cell r="D991" t="str">
            <v>Enterprise</v>
          </cell>
          <cell r="G991">
            <v>44084</v>
          </cell>
        </row>
        <row r="992">
          <cell r="C992" t="str">
            <v>TL</v>
          </cell>
          <cell r="D992" t="str">
            <v>Enterprise</v>
          </cell>
          <cell r="G992">
            <v>44084</v>
          </cell>
        </row>
        <row r="993">
          <cell r="C993" t="str">
            <v>TL</v>
          </cell>
          <cell r="D993" t="str">
            <v>Enterprise</v>
          </cell>
          <cell r="G993">
            <v>44084</v>
          </cell>
        </row>
        <row r="994">
          <cell r="C994" t="str">
            <v>TL</v>
          </cell>
          <cell r="D994" t="str">
            <v>Enterprise</v>
          </cell>
          <cell r="G994">
            <v>44084</v>
          </cell>
        </row>
        <row r="995">
          <cell r="C995" t="str">
            <v>USD</v>
          </cell>
          <cell r="D995" t="str">
            <v>Enterprise</v>
          </cell>
          <cell r="G995">
            <v>44362</v>
          </cell>
        </row>
        <row r="996">
          <cell r="C996" t="str">
            <v>USD</v>
          </cell>
          <cell r="D996" t="str">
            <v>Enterprise</v>
          </cell>
          <cell r="G996">
            <v>44602</v>
          </cell>
        </row>
        <row r="997">
          <cell r="C997" t="str">
            <v>USD</v>
          </cell>
          <cell r="D997" t="str">
            <v>Enterprise</v>
          </cell>
          <cell r="G997">
            <v>44749</v>
          </cell>
        </row>
        <row r="998">
          <cell r="C998" t="str">
            <v>USD</v>
          </cell>
          <cell r="D998" t="str">
            <v>Enterprise</v>
          </cell>
        </row>
        <row r="999">
          <cell r="C999" t="str">
            <v>USD</v>
          </cell>
          <cell r="D999" t="str">
            <v>Enterprise</v>
          </cell>
          <cell r="G999">
            <v>45169</v>
          </cell>
        </row>
        <row r="1000">
          <cell r="C1000" t="str">
            <v>USD</v>
          </cell>
          <cell r="D1000" t="str">
            <v>Enterprise</v>
          </cell>
          <cell r="G1000">
            <v>45169</v>
          </cell>
        </row>
        <row r="1001">
          <cell r="C1001" t="str">
            <v>USD</v>
          </cell>
          <cell r="D1001" t="str">
            <v>Enterprise</v>
          </cell>
          <cell r="G1001">
            <v>45054</v>
          </cell>
        </row>
        <row r="1002">
          <cell r="C1002" t="str">
            <v>USD</v>
          </cell>
          <cell r="D1002" t="str">
            <v>Enterprise</v>
          </cell>
        </row>
        <row r="1003">
          <cell r="C1003" t="str">
            <v>USD</v>
          </cell>
          <cell r="D1003" t="str">
            <v>Enterprise</v>
          </cell>
        </row>
        <row r="1004">
          <cell r="C1004" t="str">
            <v>USD</v>
          </cell>
          <cell r="D1004" t="str">
            <v>Enterprise</v>
          </cell>
          <cell r="G1004">
            <v>44362</v>
          </cell>
        </row>
        <row r="1005">
          <cell r="C1005" t="str">
            <v>USD</v>
          </cell>
          <cell r="D1005" t="str">
            <v>Enterprise</v>
          </cell>
        </row>
        <row r="1006">
          <cell r="C1006" t="str">
            <v>USD</v>
          </cell>
          <cell r="D1006" t="str">
            <v>Enterprise</v>
          </cell>
          <cell r="G1006">
            <v>44362</v>
          </cell>
        </row>
        <row r="1007">
          <cell r="C1007" t="str">
            <v>USD</v>
          </cell>
          <cell r="D1007" t="str">
            <v>Enterprise</v>
          </cell>
        </row>
        <row r="1008">
          <cell r="C1008" t="str">
            <v>USD</v>
          </cell>
          <cell r="D1008" t="str">
            <v>Enterprise</v>
          </cell>
          <cell r="G1008">
            <v>44362</v>
          </cell>
        </row>
        <row r="1009">
          <cell r="C1009" t="str">
            <v>USD</v>
          </cell>
          <cell r="D1009" t="str">
            <v>Enterprise</v>
          </cell>
          <cell r="G1009">
            <v>44362</v>
          </cell>
        </row>
        <row r="1010">
          <cell r="C1010" t="str">
            <v>USD</v>
          </cell>
          <cell r="D1010" t="str">
            <v>Enterprise</v>
          </cell>
          <cell r="G1010">
            <v>44362</v>
          </cell>
        </row>
        <row r="1011">
          <cell r="C1011" t="str">
            <v>USD</v>
          </cell>
          <cell r="D1011" t="str">
            <v>Enterprise</v>
          </cell>
          <cell r="G1011">
            <v>44804</v>
          </cell>
        </row>
        <row r="1012">
          <cell r="C1012" t="str">
            <v>USD</v>
          </cell>
          <cell r="D1012" t="str">
            <v>Enterprise</v>
          </cell>
          <cell r="G1012">
            <v>44985</v>
          </cell>
        </row>
        <row r="1013">
          <cell r="C1013" t="str">
            <v>USD</v>
          </cell>
          <cell r="D1013" t="str">
            <v>Enterprise</v>
          </cell>
          <cell r="G1013">
            <v>45143</v>
          </cell>
        </row>
        <row r="1014">
          <cell r="C1014" t="str">
            <v>USD</v>
          </cell>
          <cell r="D1014" t="str">
            <v>Enterprise</v>
          </cell>
        </row>
        <row r="1015">
          <cell r="C1015" t="str">
            <v>USD</v>
          </cell>
          <cell r="D1015" t="str">
            <v>Enterprise</v>
          </cell>
        </row>
        <row r="1016">
          <cell r="C1016" t="str">
            <v>EUR</v>
          </cell>
          <cell r="D1016" t="str">
            <v>Enterprise</v>
          </cell>
        </row>
        <row r="1017">
          <cell r="C1017" t="str">
            <v>Kur Sabitleme</v>
          </cell>
          <cell r="D1017" t="str">
            <v>Enterprise</v>
          </cell>
        </row>
        <row r="1018">
          <cell r="C1018" t="str">
            <v>MIRORA ÇEVIRI LTD. STI. (MİRORA)</v>
          </cell>
          <cell r="D1018" t="str">
            <v>SMB</v>
          </cell>
          <cell r="E1018">
            <v>0</v>
          </cell>
          <cell r="F1018" t="str">
            <v>A-MB011</v>
          </cell>
          <cell r="G1018">
            <v>44136</v>
          </cell>
        </row>
        <row r="1019">
          <cell r="C1019" t="str">
            <v>TL</v>
          </cell>
          <cell r="D1019" t="str">
            <v>SMB</v>
          </cell>
        </row>
        <row r="1020">
          <cell r="C1020" t="str">
            <v>USD</v>
          </cell>
          <cell r="D1020" t="str">
            <v>SMB</v>
          </cell>
          <cell r="G1020">
            <v>44676</v>
          </cell>
        </row>
        <row r="1021">
          <cell r="C1021" t="str">
            <v>USD</v>
          </cell>
          <cell r="D1021" t="str">
            <v>SMB</v>
          </cell>
          <cell r="G1021">
            <v>44136</v>
          </cell>
        </row>
        <row r="1022">
          <cell r="C1022" t="str">
            <v>USD</v>
          </cell>
          <cell r="D1022" t="str">
            <v>SMB</v>
          </cell>
          <cell r="G1022">
            <v>45667</v>
          </cell>
        </row>
        <row r="1023">
          <cell r="C1023" t="str">
            <v>USD</v>
          </cell>
          <cell r="D1023" t="str">
            <v>SMB</v>
          </cell>
          <cell r="G1023">
            <v>45651</v>
          </cell>
        </row>
        <row r="1024">
          <cell r="C1024" t="str">
            <v>USD</v>
          </cell>
          <cell r="D1024" t="str">
            <v>SMB</v>
          </cell>
        </row>
        <row r="1025">
          <cell r="C1025" t="str">
            <v>USD</v>
          </cell>
          <cell r="D1025" t="str">
            <v>SMB</v>
          </cell>
        </row>
        <row r="1026">
          <cell r="C1026" t="str">
            <v>EUR</v>
          </cell>
          <cell r="D1026" t="str">
            <v>SMB</v>
          </cell>
        </row>
        <row r="1027">
          <cell r="C1027" t="str">
            <v>Kur Sabitleme</v>
          </cell>
          <cell r="D1027" t="str">
            <v>SMB</v>
          </cell>
          <cell r="G1027">
            <v>44136</v>
          </cell>
        </row>
        <row r="1028">
          <cell r="C1028" t="str">
            <v>MORE KONTRAT TASARIM VE INSAAT A.S.</v>
          </cell>
          <cell r="D1028" t="str">
            <v>SMB</v>
          </cell>
          <cell r="E1028">
            <v>0</v>
          </cell>
          <cell r="F1028" t="str">
            <v>A-MB191</v>
          </cell>
          <cell r="G1028">
            <v>41681</v>
          </cell>
        </row>
        <row r="1029">
          <cell r="C1029" t="str">
            <v>TL</v>
          </cell>
          <cell r="D1029" t="str">
            <v>SMB</v>
          </cell>
        </row>
        <row r="1030">
          <cell r="C1030" t="str">
            <v>USD</v>
          </cell>
          <cell r="D1030" t="str">
            <v>SMB</v>
          </cell>
          <cell r="G1030">
            <v>41681</v>
          </cell>
        </row>
        <row r="1031">
          <cell r="C1031" t="str">
            <v>EUR</v>
          </cell>
          <cell r="D1031" t="str">
            <v>SMB</v>
          </cell>
        </row>
        <row r="1032">
          <cell r="C1032" t="str">
            <v>Kur Sabitleme</v>
          </cell>
          <cell r="D1032" t="str">
            <v>SMB</v>
          </cell>
        </row>
        <row r="1033">
          <cell r="C1033" t="str">
            <v>MOROGLU ARSEVEN AVUKATLIK ORTAKLIGI</v>
          </cell>
          <cell r="D1033" t="str">
            <v>Enterprise</v>
          </cell>
          <cell r="E1033">
            <v>0</v>
          </cell>
          <cell r="F1033" t="str">
            <v>A-MB051</v>
          </cell>
          <cell r="G1033">
            <v>44896</v>
          </cell>
        </row>
        <row r="1034">
          <cell r="C1034" t="str">
            <v>TL</v>
          </cell>
          <cell r="D1034" t="str">
            <v>Enterprise</v>
          </cell>
        </row>
        <row r="1035">
          <cell r="C1035" t="str">
            <v>USD</v>
          </cell>
          <cell r="D1035" t="str">
            <v>Enterprise</v>
          </cell>
          <cell r="G1035">
            <v>44896</v>
          </cell>
        </row>
        <row r="1036">
          <cell r="C1036" t="str">
            <v>USD</v>
          </cell>
          <cell r="D1036" t="str">
            <v>Enterprise</v>
          </cell>
        </row>
        <row r="1037">
          <cell r="C1037" t="str">
            <v>EUR</v>
          </cell>
          <cell r="D1037" t="str">
            <v>Enterprise</v>
          </cell>
        </row>
        <row r="1038">
          <cell r="C1038" t="str">
            <v>Kur Sabitleme</v>
          </cell>
          <cell r="D1038" t="str">
            <v>Enterprise</v>
          </cell>
        </row>
        <row r="1039">
          <cell r="C1039" t="str">
            <v>MSA MESLEKİ EĞİTİM VE TİCARET A.Ş.</v>
          </cell>
          <cell r="D1039" t="str">
            <v>SMB</v>
          </cell>
          <cell r="E1039">
            <v>0</v>
          </cell>
          <cell r="F1039" t="str">
            <v>A-MB514</v>
          </cell>
          <cell r="G1039">
            <v>44652</v>
          </cell>
        </row>
        <row r="1040">
          <cell r="C1040" t="str">
            <v>TL</v>
          </cell>
          <cell r="D1040" t="str">
            <v>SMB</v>
          </cell>
          <cell r="G1040">
            <v>44652</v>
          </cell>
        </row>
        <row r="1041">
          <cell r="C1041" t="str">
            <v>USD</v>
          </cell>
          <cell r="D1041" t="str">
            <v>SMB</v>
          </cell>
          <cell r="G1041">
            <v>44652</v>
          </cell>
        </row>
        <row r="1042">
          <cell r="C1042" t="str">
            <v>EUR</v>
          </cell>
          <cell r="D1042" t="str">
            <v>SMB</v>
          </cell>
        </row>
        <row r="1043">
          <cell r="C1043" t="str">
            <v>Kur Sabitleme</v>
          </cell>
          <cell r="D1043" t="str">
            <v>SMB</v>
          </cell>
        </row>
        <row r="1044">
          <cell r="C1044" t="str">
            <v>MTN KALIP SANAYİ VE TİCARET ANONİM ŞİRKETİ</v>
          </cell>
          <cell r="D1044" t="str">
            <v>SMB</v>
          </cell>
          <cell r="E1044">
            <v>0</v>
          </cell>
          <cell r="F1044" t="str">
            <v>A-MB796</v>
          </cell>
          <cell r="G1044">
            <v>44738</v>
          </cell>
        </row>
        <row r="1045">
          <cell r="C1045" t="str">
            <v>TL</v>
          </cell>
          <cell r="D1045" t="str">
            <v>SMB</v>
          </cell>
          <cell r="G1045">
            <v>44738</v>
          </cell>
        </row>
        <row r="1046">
          <cell r="C1046" t="str">
            <v>USD</v>
          </cell>
          <cell r="D1046" t="str">
            <v>SMB</v>
          </cell>
          <cell r="G1046">
            <v>45625</v>
          </cell>
        </row>
        <row r="1047">
          <cell r="C1047" t="str">
            <v>EUR</v>
          </cell>
          <cell r="D1047" t="str">
            <v>SMB</v>
          </cell>
        </row>
        <row r="1048">
          <cell r="C1048" t="str">
            <v>Kur Sabitleme</v>
          </cell>
          <cell r="D1048" t="str">
            <v>SMB</v>
          </cell>
        </row>
        <row r="1049">
          <cell r="C1049" t="str">
            <v>NEMA BAHÇE KÜLTÜRLERI ÜRETIM VE PAZARLAMA LTD.STI.</v>
          </cell>
          <cell r="D1049" t="str">
            <v>SMB</v>
          </cell>
          <cell r="E1049">
            <v>0</v>
          </cell>
          <cell r="F1049" t="str">
            <v>…..</v>
          </cell>
          <cell r="G1049">
            <v>44255</v>
          </cell>
        </row>
        <row r="1050">
          <cell r="C1050" t="str">
            <v>TL</v>
          </cell>
          <cell r="D1050" t="str">
            <v>SMB</v>
          </cell>
          <cell r="G1050">
            <v>44255</v>
          </cell>
        </row>
        <row r="1051">
          <cell r="C1051" t="str">
            <v>USD</v>
          </cell>
          <cell r="D1051" t="str">
            <v>SMB</v>
          </cell>
          <cell r="G1051">
            <v>45043</v>
          </cell>
        </row>
        <row r="1052">
          <cell r="C1052" t="str">
            <v>EUR</v>
          </cell>
          <cell r="D1052" t="str">
            <v>SMB</v>
          </cell>
        </row>
        <row r="1053">
          <cell r="C1053" t="str">
            <v>Kur Sabitleme</v>
          </cell>
          <cell r="D1053" t="str">
            <v>SMB</v>
          </cell>
        </row>
        <row r="1054">
          <cell r="C1054" t="str">
            <v>VANORAVENTURES YAZILIM TEKNOLOJİLERİ (NO21)</v>
          </cell>
          <cell r="D1054" t="str">
            <v>Enterprise</v>
          </cell>
          <cell r="E1054">
            <v>0</v>
          </cell>
          <cell r="F1054" t="str">
            <v>A-MB504</v>
          </cell>
          <cell r="G1054">
            <v>44585</v>
          </cell>
        </row>
        <row r="1055">
          <cell r="C1055" t="str">
            <v>TL</v>
          </cell>
          <cell r="D1055" t="str">
            <v>Enterprise</v>
          </cell>
          <cell r="G1055">
            <v>44585</v>
          </cell>
        </row>
        <row r="1056">
          <cell r="C1056" t="str">
            <v>TL</v>
          </cell>
          <cell r="D1056" t="str">
            <v>Enterprise</v>
          </cell>
          <cell r="G1056">
            <v>44585</v>
          </cell>
        </row>
        <row r="1057">
          <cell r="C1057" t="str">
            <v>USD</v>
          </cell>
          <cell r="D1057" t="str">
            <v>Enterprise</v>
          </cell>
        </row>
        <row r="1058">
          <cell r="C1058" t="str">
            <v>EUR</v>
          </cell>
          <cell r="D1058" t="str">
            <v>Enterprise</v>
          </cell>
        </row>
        <row r="1059">
          <cell r="C1059" t="str">
            <v>Kur Sabitleme</v>
          </cell>
          <cell r="D1059" t="str">
            <v>Enterprise</v>
          </cell>
        </row>
        <row r="1060">
          <cell r="C1060" t="str">
            <v>OGOO ILETISIM HIZMETLERI TICARET LIMITED SIRKETI</v>
          </cell>
          <cell r="D1060" t="str">
            <v>SMB</v>
          </cell>
          <cell r="E1060">
            <v>0</v>
          </cell>
          <cell r="F1060" t="str">
            <v>…..</v>
          </cell>
          <cell r="G1060">
            <v>43891</v>
          </cell>
        </row>
        <row r="1061">
          <cell r="C1061" t="str">
            <v>TL</v>
          </cell>
          <cell r="D1061" t="str">
            <v>SMB</v>
          </cell>
        </row>
        <row r="1062">
          <cell r="C1062" t="str">
            <v>USD</v>
          </cell>
          <cell r="D1062" t="str">
            <v>SMB</v>
          </cell>
          <cell r="G1062">
            <v>43891</v>
          </cell>
        </row>
        <row r="1063">
          <cell r="C1063" t="str">
            <v>EUR</v>
          </cell>
          <cell r="D1063" t="str">
            <v>SMB</v>
          </cell>
        </row>
        <row r="1064">
          <cell r="C1064" t="str">
            <v>Kur Sabitleme</v>
          </cell>
          <cell r="D1064" t="str">
            <v>SMB</v>
          </cell>
          <cell r="G1064">
            <v>43891</v>
          </cell>
        </row>
        <row r="1065">
          <cell r="C1065" t="str">
            <v>OKAN KONFEKSIYON SAN. VE TIC. LTD.STI. (KİKİRİKİ)</v>
          </cell>
          <cell r="D1065" t="str">
            <v>SMB</v>
          </cell>
          <cell r="E1065">
            <v>0</v>
          </cell>
          <cell r="F1065" t="str">
            <v>A-MB134</v>
          </cell>
          <cell r="G1065">
            <v>42675</v>
          </cell>
        </row>
        <row r="1066">
          <cell r="C1066" t="str">
            <v>TL</v>
          </cell>
          <cell r="D1066" t="str">
            <v>SMB</v>
          </cell>
          <cell r="G1066">
            <v>42675</v>
          </cell>
        </row>
        <row r="1067">
          <cell r="C1067" t="str">
            <v>USD</v>
          </cell>
          <cell r="D1067" t="str">
            <v>SMB</v>
          </cell>
          <cell r="G1067">
            <v>45047</v>
          </cell>
        </row>
        <row r="1068">
          <cell r="C1068" t="str">
            <v>USD</v>
          </cell>
          <cell r="D1068" t="str">
            <v>SMB</v>
          </cell>
        </row>
        <row r="1069">
          <cell r="C1069" t="str">
            <v>USD</v>
          </cell>
          <cell r="D1069" t="str">
            <v>SMB</v>
          </cell>
          <cell r="G1069">
            <v>45444</v>
          </cell>
        </row>
        <row r="1070">
          <cell r="C1070" t="str">
            <v>EUR</v>
          </cell>
          <cell r="D1070" t="str">
            <v>SMB</v>
          </cell>
        </row>
        <row r="1071">
          <cell r="C1071" t="str">
            <v>Kur Sabitleme</v>
          </cell>
          <cell r="D1071" t="str">
            <v>SMB</v>
          </cell>
        </row>
        <row r="1072">
          <cell r="C1072" t="str">
            <v>ONURFİX MONTAJ SİSTEMLERİ SAN. TİC. A.Ş.</v>
          </cell>
          <cell r="D1072" t="str">
            <v>SMB</v>
          </cell>
          <cell r="E1072">
            <v>0</v>
          </cell>
          <cell r="F1072" t="str">
            <v>A-MB451</v>
          </cell>
          <cell r="G1072">
            <v>40603</v>
          </cell>
        </row>
        <row r="1073">
          <cell r="C1073" t="str">
            <v>TL</v>
          </cell>
          <cell r="D1073" t="str">
            <v>SMB</v>
          </cell>
        </row>
        <row r="1074">
          <cell r="C1074" t="str">
            <v>USD</v>
          </cell>
          <cell r="D1074" t="str">
            <v>SMB</v>
          </cell>
          <cell r="G1074">
            <v>40603</v>
          </cell>
        </row>
        <row r="1075">
          <cell r="C1075" t="str">
            <v>USD</v>
          </cell>
          <cell r="D1075" t="str">
            <v>SMB</v>
          </cell>
          <cell r="G1075">
            <v>45658</v>
          </cell>
        </row>
        <row r="1076">
          <cell r="C1076" t="str">
            <v>USD</v>
          </cell>
          <cell r="D1076" t="str">
            <v>SMB</v>
          </cell>
          <cell r="G1076">
            <v>45504</v>
          </cell>
        </row>
        <row r="1077">
          <cell r="C1077" t="str">
            <v>EUR</v>
          </cell>
          <cell r="D1077" t="str">
            <v>SMB</v>
          </cell>
        </row>
        <row r="1078">
          <cell r="C1078" t="str">
            <v>Kur Sabitleme</v>
          </cell>
          <cell r="D1078" t="str">
            <v>SMB</v>
          </cell>
        </row>
        <row r="1079">
          <cell r="C1079" t="str">
            <v>EMARAT BOSPHORUS TURIZIM (OPERA HOTEL)</v>
          </cell>
          <cell r="D1079" t="str">
            <v>SMB</v>
          </cell>
          <cell r="E1079">
            <v>0</v>
          </cell>
          <cell r="F1079" t="str">
            <v>A-MB700</v>
          </cell>
          <cell r="G1079">
            <v>43382</v>
          </cell>
        </row>
        <row r="1080">
          <cell r="C1080" t="str">
            <v>TL</v>
          </cell>
          <cell r="D1080" t="str">
            <v>SMB</v>
          </cell>
          <cell r="G1080">
            <v>45047</v>
          </cell>
        </row>
        <row r="1081">
          <cell r="C1081" t="str">
            <v>TL</v>
          </cell>
          <cell r="D1081" t="str">
            <v>SMB</v>
          </cell>
          <cell r="G1081">
            <v>43382</v>
          </cell>
        </row>
        <row r="1082">
          <cell r="C1082" t="str">
            <v>USD</v>
          </cell>
          <cell r="D1082" t="str">
            <v>SMB</v>
          </cell>
          <cell r="G1082">
            <v>45474</v>
          </cell>
        </row>
        <row r="1083">
          <cell r="C1083" t="str">
            <v>USD</v>
          </cell>
          <cell r="D1083" t="str">
            <v>SMB</v>
          </cell>
          <cell r="G1083">
            <v>45483</v>
          </cell>
        </row>
        <row r="1084">
          <cell r="C1084" t="str">
            <v>USD</v>
          </cell>
          <cell r="D1084" t="str">
            <v>SMB</v>
          </cell>
          <cell r="G1084">
            <v>44669</v>
          </cell>
        </row>
        <row r="1085">
          <cell r="C1085" t="str">
            <v>USD</v>
          </cell>
          <cell r="D1085" t="str">
            <v>SMB</v>
          </cell>
          <cell r="G1085">
            <v>44777</v>
          </cell>
        </row>
        <row r="1086">
          <cell r="C1086" t="str">
            <v>USD</v>
          </cell>
          <cell r="D1086" t="str">
            <v>SMB</v>
          </cell>
          <cell r="G1086">
            <v>44833</v>
          </cell>
        </row>
        <row r="1087">
          <cell r="C1087" t="str">
            <v>USD</v>
          </cell>
          <cell r="D1087" t="str">
            <v>SMB</v>
          </cell>
          <cell r="G1087">
            <v>44868</v>
          </cell>
        </row>
        <row r="1088">
          <cell r="C1088" t="str">
            <v>USD</v>
          </cell>
          <cell r="D1088" t="str">
            <v>SMB</v>
          </cell>
          <cell r="G1088">
            <v>44952</v>
          </cell>
        </row>
        <row r="1089">
          <cell r="C1089" t="str">
            <v>USD</v>
          </cell>
          <cell r="D1089" t="str">
            <v>SMB</v>
          </cell>
          <cell r="G1089">
            <v>45050</v>
          </cell>
        </row>
        <row r="1090">
          <cell r="C1090" t="str">
            <v>USD</v>
          </cell>
          <cell r="D1090" t="str">
            <v>SMB</v>
          </cell>
          <cell r="G1090">
            <v>45251</v>
          </cell>
        </row>
        <row r="1091">
          <cell r="C1091" t="str">
            <v>USD</v>
          </cell>
          <cell r="D1091" t="str">
            <v>SMB</v>
          </cell>
          <cell r="G1091">
            <v>45701</v>
          </cell>
        </row>
        <row r="1092">
          <cell r="C1092" t="str">
            <v>USD</v>
          </cell>
          <cell r="D1092" t="str">
            <v>SMB</v>
          </cell>
          <cell r="G1092">
            <v>45701</v>
          </cell>
        </row>
        <row r="1093">
          <cell r="C1093" t="str">
            <v>EUR</v>
          </cell>
          <cell r="D1093" t="str">
            <v>SMB</v>
          </cell>
        </row>
        <row r="1094">
          <cell r="C1094" t="str">
            <v>Kur Sabitleme</v>
          </cell>
          <cell r="D1094" t="str">
            <v>SMB</v>
          </cell>
        </row>
        <row r="1095">
          <cell r="C1095" t="str">
            <v>OPTIMUSFLOW YAZILIM - BARIS GÜLEÇYÜZ</v>
          </cell>
          <cell r="D1095" t="str">
            <v>SMB</v>
          </cell>
          <cell r="E1095">
            <v>0</v>
          </cell>
          <cell r="F1095" t="str">
            <v>A-MB272</v>
          </cell>
          <cell r="G1095">
            <v>43770</v>
          </cell>
        </row>
        <row r="1096">
          <cell r="C1096" t="str">
            <v>TL</v>
          </cell>
          <cell r="D1096" t="str">
            <v>SMB</v>
          </cell>
          <cell r="G1096">
            <v>43770</v>
          </cell>
        </row>
        <row r="1097">
          <cell r="C1097" t="str">
            <v>USD</v>
          </cell>
          <cell r="D1097" t="str">
            <v>SMB</v>
          </cell>
          <cell r="G1097">
            <v>45042</v>
          </cell>
        </row>
        <row r="1098">
          <cell r="C1098" t="str">
            <v>EUR</v>
          </cell>
          <cell r="D1098" t="str">
            <v>SMB</v>
          </cell>
        </row>
        <row r="1099">
          <cell r="C1099" t="str">
            <v>Kur Sabitleme</v>
          </cell>
          <cell r="D1099" t="str">
            <v>SMB</v>
          </cell>
        </row>
        <row r="1100">
          <cell r="C1100" t="str">
            <v>OSMANLI YATIRIM MENKUL DEGERLER A.S.</v>
          </cell>
          <cell r="D1100" t="str">
            <v>Enterprise</v>
          </cell>
          <cell r="E1100">
            <v>0</v>
          </cell>
          <cell r="F1100" t="str">
            <v>A-MB416</v>
          </cell>
          <cell r="G1100">
            <v>44501</v>
          </cell>
        </row>
        <row r="1101">
          <cell r="C1101" t="str">
            <v>TL</v>
          </cell>
          <cell r="D1101" t="str">
            <v>Enterprise</v>
          </cell>
          <cell r="G1101">
            <v>45809</v>
          </cell>
        </row>
        <row r="1102">
          <cell r="C1102" t="str">
            <v>TL</v>
          </cell>
          <cell r="D1102" t="str">
            <v>Enterprise</v>
          </cell>
          <cell r="G1102">
            <v>45870</v>
          </cell>
        </row>
        <row r="1103">
          <cell r="C1103" t="str">
            <v>TL</v>
          </cell>
          <cell r="D1103" t="str">
            <v>Enterprise</v>
          </cell>
          <cell r="G1103">
            <v>45870</v>
          </cell>
        </row>
        <row r="1104">
          <cell r="C1104" t="str">
            <v>USD</v>
          </cell>
          <cell r="D1104" t="str">
            <v>Enterprise</v>
          </cell>
          <cell r="G1104">
            <v>44501</v>
          </cell>
        </row>
        <row r="1105">
          <cell r="C1105" t="str">
            <v>USD</v>
          </cell>
          <cell r="D1105" t="str">
            <v>Enterprise</v>
          </cell>
          <cell r="G1105">
            <v>45870</v>
          </cell>
        </row>
        <row r="1106">
          <cell r="C1106" t="str">
            <v>EUR</v>
          </cell>
          <cell r="D1106" t="str">
            <v>Enterprise</v>
          </cell>
        </row>
        <row r="1107">
          <cell r="C1107" t="str">
            <v>Kur Sabitleme</v>
          </cell>
          <cell r="D1107" t="str">
            <v>Enterprise</v>
          </cell>
        </row>
        <row r="1108">
          <cell r="C1108" t="str">
            <v>ÖZYEĞİN ÜNİVERSİTESİ</v>
          </cell>
          <cell r="D1108" t="str">
            <v>SMB</v>
          </cell>
          <cell r="E1108">
            <v>0</v>
          </cell>
          <cell r="F1108" t="str">
            <v>…..</v>
          </cell>
          <cell r="G1108" t="str">
            <v/>
          </cell>
        </row>
        <row r="1109">
          <cell r="C1109" t="str">
            <v>TL</v>
          </cell>
          <cell r="D1109" t="str">
            <v>SMB</v>
          </cell>
        </row>
        <row r="1110">
          <cell r="C1110" t="str">
            <v>USD</v>
          </cell>
          <cell r="D1110" t="str">
            <v>SMB</v>
          </cell>
        </row>
        <row r="1111">
          <cell r="C1111" t="str">
            <v>EUR</v>
          </cell>
          <cell r="D1111" t="str">
            <v>SMB</v>
          </cell>
        </row>
        <row r="1112">
          <cell r="C1112" t="str">
            <v>Kur Sabitleme</v>
          </cell>
          <cell r="D1112" t="str">
            <v>SMB</v>
          </cell>
        </row>
        <row r="1113">
          <cell r="C1113" t="str">
            <v>PALMİYE TATİL KÖYÜ İŞLETMELERİ TURİZM VE TİCARET A</v>
          </cell>
          <cell r="D1113" t="str">
            <v>SMB</v>
          </cell>
          <cell r="E1113">
            <v>0</v>
          </cell>
          <cell r="F1113" t="str">
            <v>A-MB519</v>
          </cell>
          <cell r="G1113">
            <v>44712</v>
          </cell>
        </row>
        <row r="1114">
          <cell r="C1114" t="str">
            <v>TL</v>
          </cell>
          <cell r="D1114" t="str">
            <v>SMB</v>
          </cell>
        </row>
        <row r="1115">
          <cell r="C1115" t="str">
            <v>USD</v>
          </cell>
          <cell r="D1115" t="str">
            <v>SMB</v>
          </cell>
          <cell r="G1115">
            <v>44712</v>
          </cell>
        </row>
        <row r="1116">
          <cell r="C1116" t="str">
            <v>EUR</v>
          </cell>
          <cell r="D1116" t="str">
            <v>SMB</v>
          </cell>
        </row>
        <row r="1117">
          <cell r="C1117" t="str">
            <v>Kur Sabitleme</v>
          </cell>
          <cell r="D1117" t="str">
            <v>SMB</v>
          </cell>
        </row>
        <row r="1118">
          <cell r="C1118" t="str">
            <v>PENINSULA EMLAK YATIRIM A.S.</v>
          </cell>
          <cell r="D1118" t="str">
            <v>SMB</v>
          </cell>
          <cell r="E1118">
            <v>0</v>
          </cell>
          <cell r="F1118" t="str">
            <v>…..</v>
          </cell>
          <cell r="G1118">
            <v>43404</v>
          </cell>
        </row>
        <row r="1119">
          <cell r="C1119" t="str">
            <v>TL</v>
          </cell>
          <cell r="D1119" t="str">
            <v>SMB</v>
          </cell>
          <cell r="G1119">
            <v>43404</v>
          </cell>
        </row>
        <row r="1120">
          <cell r="C1120" t="str">
            <v>TL</v>
          </cell>
          <cell r="D1120" t="str">
            <v>SMB</v>
          </cell>
          <cell r="G1120">
            <v>44858</v>
          </cell>
        </row>
        <row r="1121">
          <cell r="C1121" t="str">
            <v>USD</v>
          </cell>
          <cell r="D1121" t="str">
            <v>SMB</v>
          </cell>
          <cell r="G1121">
            <v>45295</v>
          </cell>
        </row>
        <row r="1122">
          <cell r="C1122" t="str">
            <v>EUR</v>
          </cell>
          <cell r="D1122" t="str">
            <v>SMB</v>
          </cell>
        </row>
        <row r="1123">
          <cell r="C1123" t="str">
            <v>Kur Sabitleme</v>
          </cell>
          <cell r="D1123" t="str">
            <v>SMB</v>
          </cell>
        </row>
        <row r="1124">
          <cell r="C1124" t="str">
            <v>PESA ELEKTRIK MALZEMELERI SAN. ve TIC. LTD. STI.</v>
          </cell>
          <cell r="D1124" t="str">
            <v>SMB</v>
          </cell>
          <cell r="E1124">
            <v>0</v>
          </cell>
          <cell r="F1124" t="str">
            <v>A-MB317</v>
          </cell>
          <cell r="G1124">
            <v>44553</v>
          </cell>
        </row>
        <row r="1125">
          <cell r="C1125" t="str">
            <v>TL</v>
          </cell>
          <cell r="D1125" t="str">
            <v>SMB</v>
          </cell>
          <cell r="G1125">
            <v>44553</v>
          </cell>
        </row>
        <row r="1126">
          <cell r="C1126" t="str">
            <v>TL</v>
          </cell>
          <cell r="D1126" t="str">
            <v>SMB</v>
          </cell>
          <cell r="G1126">
            <v>45260</v>
          </cell>
        </row>
        <row r="1127">
          <cell r="C1127" t="str">
            <v>USD</v>
          </cell>
          <cell r="D1127" t="str">
            <v>SMB</v>
          </cell>
        </row>
        <row r="1128">
          <cell r="C1128" t="str">
            <v>EUR</v>
          </cell>
          <cell r="D1128" t="str">
            <v>SMB</v>
          </cell>
        </row>
        <row r="1129">
          <cell r="C1129" t="str">
            <v>Kur Sabitleme</v>
          </cell>
          <cell r="D1129" t="str">
            <v>SMB</v>
          </cell>
        </row>
        <row r="1130">
          <cell r="C1130" t="str">
            <v>PİMMS ULUSLARARASI REKLAM ÜRÜNLERI A.S.</v>
          </cell>
          <cell r="D1130" t="str">
            <v>SMB</v>
          </cell>
          <cell r="E1130">
            <v>0</v>
          </cell>
          <cell r="F1130" t="str">
            <v>A-MB052</v>
          </cell>
          <cell r="G1130">
            <v>44774</v>
          </cell>
        </row>
        <row r="1131">
          <cell r="C1131" t="str">
            <v>TL</v>
          </cell>
          <cell r="D1131" t="str">
            <v>SMB</v>
          </cell>
        </row>
        <row r="1132">
          <cell r="C1132" t="str">
            <v>TL</v>
          </cell>
          <cell r="D1132" t="str">
            <v>SMB</v>
          </cell>
          <cell r="G1132">
            <v>44774</v>
          </cell>
        </row>
        <row r="1133">
          <cell r="C1133" t="str">
            <v>USD</v>
          </cell>
          <cell r="D1133" t="str">
            <v>SMB</v>
          </cell>
          <cell r="G1133">
            <v>44774</v>
          </cell>
        </row>
        <row r="1134">
          <cell r="C1134" t="str">
            <v>USD</v>
          </cell>
          <cell r="D1134" t="str">
            <v>SMB</v>
          </cell>
          <cell r="G1134">
            <v>45650</v>
          </cell>
        </row>
        <row r="1135">
          <cell r="C1135" t="str">
            <v>EUR</v>
          </cell>
          <cell r="D1135" t="str">
            <v>SMB</v>
          </cell>
        </row>
        <row r="1136">
          <cell r="C1136" t="str">
            <v>Kur Sabitleme</v>
          </cell>
          <cell r="D1136" t="str">
            <v>SMB</v>
          </cell>
        </row>
        <row r="1137">
          <cell r="C1137" t="str">
            <v>PMA BİLİŞİM A.Ş.</v>
          </cell>
          <cell r="D1137" t="str">
            <v>SMB</v>
          </cell>
          <cell r="E1137">
            <v>0</v>
          </cell>
          <cell r="F1137" t="str">
            <v>A-MB357</v>
          </cell>
          <cell r="G1137">
            <v>44174</v>
          </cell>
        </row>
        <row r="1138">
          <cell r="C1138" t="str">
            <v>TL</v>
          </cell>
          <cell r="D1138" t="str">
            <v>SMB</v>
          </cell>
        </row>
        <row r="1139">
          <cell r="C1139" t="str">
            <v>USD</v>
          </cell>
          <cell r="D1139" t="str">
            <v>SMB</v>
          </cell>
          <cell r="G1139">
            <v>44174</v>
          </cell>
        </row>
        <row r="1140">
          <cell r="C1140" t="str">
            <v>EUR</v>
          </cell>
          <cell r="D1140" t="str">
            <v>SMB</v>
          </cell>
        </row>
        <row r="1141">
          <cell r="C1141" t="str">
            <v>Kur Sabitleme</v>
          </cell>
          <cell r="D1141" t="str">
            <v>SMB</v>
          </cell>
        </row>
        <row r="1142">
          <cell r="C1142" t="str">
            <v>POZITIF GÜMRÜK MÜSAVIRLIGI HIZMETLERI LTD. STI.</v>
          </cell>
          <cell r="D1142" t="str">
            <v>SMB</v>
          </cell>
          <cell r="E1142">
            <v>0</v>
          </cell>
          <cell r="F1142" t="str">
            <v>A-MB104</v>
          </cell>
          <cell r="G1142">
            <v>43987</v>
          </cell>
        </row>
        <row r="1143">
          <cell r="C1143" t="str">
            <v>TL</v>
          </cell>
          <cell r="D1143" t="str">
            <v>SMB</v>
          </cell>
          <cell r="G1143">
            <v>45706</v>
          </cell>
        </row>
        <row r="1144">
          <cell r="C1144" t="str">
            <v>TL</v>
          </cell>
          <cell r="D1144" t="str">
            <v>SMB</v>
          </cell>
          <cell r="G1144">
            <v>43987</v>
          </cell>
        </row>
        <row r="1145">
          <cell r="C1145" t="str">
            <v>USD</v>
          </cell>
          <cell r="D1145" t="str">
            <v>SMB</v>
          </cell>
          <cell r="G1145">
            <v>45658</v>
          </cell>
        </row>
        <row r="1146">
          <cell r="C1146" t="str">
            <v>USD</v>
          </cell>
          <cell r="D1146" t="str">
            <v>SMB</v>
          </cell>
          <cell r="G1146">
            <v>44748</v>
          </cell>
        </row>
        <row r="1147">
          <cell r="C1147" t="str">
            <v>USD</v>
          </cell>
          <cell r="D1147" t="str">
            <v>SMB</v>
          </cell>
          <cell r="G1147">
            <v>45701</v>
          </cell>
        </row>
        <row r="1148">
          <cell r="C1148" t="str">
            <v>USD</v>
          </cell>
          <cell r="D1148" t="str">
            <v>SMB</v>
          </cell>
          <cell r="G1148">
            <v>45772</v>
          </cell>
        </row>
        <row r="1149">
          <cell r="C1149" t="str">
            <v>USD</v>
          </cell>
          <cell r="D1149" t="str">
            <v>SMB</v>
          </cell>
          <cell r="G1149">
            <v>45842</v>
          </cell>
        </row>
        <row r="1150">
          <cell r="C1150" t="str">
            <v>EUR</v>
          </cell>
          <cell r="D1150" t="str">
            <v>SMB</v>
          </cell>
        </row>
        <row r="1151">
          <cell r="C1151" t="str">
            <v>Kur Sabitleme</v>
          </cell>
          <cell r="D1151" t="str">
            <v>SMB</v>
          </cell>
        </row>
        <row r="1152">
          <cell r="C1152" t="str">
            <v>PRO ILETISIM DAN. LTD.STI.</v>
          </cell>
          <cell r="D1152" t="str">
            <v>SMB</v>
          </cell>
          <cell r="E1152">
            <v>0</v>
          </cell>
          <cell r="F1152" t="str">
            <v>A-MB602</v>
          </cell>
          <cell r="G1152">
            <v>42896</v>
          </cell>
        </row>
        <row r="1153">
          <cell r="C1153" t="str">
            <v>TL</v>
          </cell>
          <cell r="D1153" t="str">
            <v>SMB</v>
          </cell>
        </row>
        <row r="1154">
          <cell r="C1154" t="str">
            <v>USD</v>
          </cell>
          <cell r="D1154" t="str">
            <v>SMB</v>
          </cell>
          <cell r="G1154">
            <v>42896</v>
          </cell>
        </row>
        <row r="1155">
          <cell r="C1155" t="str">
            <v>USD</v>
          </cell>
          <cell r="D1155" t="str">
            <v>SMB</v>
          </cell>
          <cell r="G1155">
            <v>45575</v>
          </cell>
        </row>
        <row r="1156">
          <cell r="C1156" t="str">
            <v>EUR</v>
          </cell>
          <cell r="D1156" t="str">
            <v>SMB</v>
          </cell>
        </row>
        <row r="1157">
          <cell r="C1157" t="str">
            <v>Kur Sabitleme</v>
          </cell>
          <cell r="D1157" t="str">
            <v>SMB</v>
          </cell>
        </row>
        <row r="1158">
          <cell r="C1158" t="str">
            <v>PROBI INSAAT PROJE BILGI ISLEM MERKEZI A.S.</v>
          </cell>
          <cell r="D1158" t="str">
            <v>SMB</v>
          </cell>
          <cell r="E1158">
            <v>0</v>
          </cell>
          <cell r="F1158" t="str">
            <v>…..</v>
          </cell>
          <cell r="G1158" t="str">
            <v/>
          </cell>
        </row>
        <row r="1159">
          <cell r="C1159" t="str">
            <v>TL</v>
          </cell>
          <cell r="D1159" t="str">
            <v>SMB</v>
          </cell>
        </row>
        <row r="1160">
          <cell r="C1160" t="str">
            <v>USD</v>
          </cell>
          <cell r="D1160" t="str">
            <v>SMB</v>
          </cell>
        </row>
        <row r="1161">
          <cell r="C1161" t="str">
            <v>EUR</v>
          </cell>
          <cell r="D1161" t="str">
            <v>SMB</v>
          </cell>
        </row>
        <row r="1162">
          <cell r="C1162" t="str">
            <v>Kur Sabitleme</v>
          </cell>
          <cell r="D1162" t="str">
            <v>SMB</v>
          </cell>
        </row>
        <row r="1163">
          <cell r="C1163" t="str">
            <v>PROSES MÜHENDISLIK ARITMA SISTEMLERI.INS.SAN.TIC.L</v>
          </cell>
          <cell r="D1163" t="str">
            <v>SMB</v>
          </cell>
          <cell r="E1163">
            <v>0</v>
          </cell>
          <cell r="F1163" t="str">
            <v>A-MB057</v>
          </cell>
          <cell r="G1163">
            <v>45057</v>
          </cell>
        </row>
        <row r="1164">
          <cell r="C1164" t="str">
            <v>TL</v>
          </cell>
          <cell r="D1164" t="str">
            <v>SMB</v>
          </cell>
        </row>
        <row r="1165">
          <cell r="C1165" t="str">
            <v>USD</v>
          </cell>
          <cell r="D1165" t="str">
            <v>SMB</v>
          </cell>
          <cell r="G1165">
            <v>45057</v>
          </cell>
        </row>
        <row r="1166">
          <cell r="C1166" t="str">
            <v>USD</v>
          </cell>
          <cell r="D1166" t="str">
            <v>SMB</v>
          </cell>
        </row>
        <row r="1167">
          <cell r="C1167" t="str">
            <v>USD</v>
          </cell>
          <cell r="D1167" t="str">
            <v>SMB</v>
          </cell>
        </row>
        <row r="1168">
          <cell r="C1168" t="str">
            <v>EUR</v>
          </cell>
          <cell r="D1168" t="str">
            <v>SMB</v>
          </cell>
        </row>
        <row r="1169">
          <cell r="C1169" t="str">
            <v>Kur Sabitleme</v>
          </cell>
          <cell r="D1169" t="str">
            <v>SMB</v>
          </cell>
        </row>
        <row r="1170">
          <cell r="C1170" t="str">
            <v>PROTEL BILGISAYAR  A.Ş. - SMB</v>
          </cell>
          <cell r="D1170" t="str">
            <v>SMB</v>
          </cell>
          <cell r="E1170">
            <v>0</v>
          </cell>
          <cell r="F1170" t="str">
            <v>A-MB111</v>
          </cell>
          <cell r="G1170">
            <v>44645</v>
          </cell>
        </row>
        <row r="1171">
          <cell r="C1171" t="str">
            <v>TL</v>
          </cell>
          <cell r="D1171" t="str">
            <v>SMB</v>
          </cell>
        </row>
        <row r="1172">
          <cell r="C1172" t="str">
            <v>USD</v>
          </cell>
          <cell r="D1172" t="str">
            <v>SMB</v>
          </cell>
          <cell r="G1172">
            <v>44645</v>
          </cell>
        </row>
        <row r="1173">
          <cell r="C1173" t="str">
            <v>EUR</v>
          </cell>
          <cell r="D1173" t="str">
            <v>SMB</v>
          </cell>
        </row>
        <row r="1174">
          <cell r="C1174" t="str">
            <v>Kur Sabitleme</v>
          </cell>
          <cell r="D1174" t="str">
            <v>SMB</v>
          </cell>
        </row>
        <row r="1175">
          <cell r="C1175" t="str">
            <v>PROTEL BILGISAYAR  A.Ş.</v>
          </cell>
          <cell r="D1175" t="str">
            <v>Enterprise</v>
          </cell>
          <cell r="E1175">
            <v>0</v>
          </cell>
          <cell r="F1175" t="str">
            <v>A-MB111</v>
          </cell>
          <cell r="G1175">
            <v>44645</v>
          </cell>
        </row>
        <row r="1176">
          <cell r="C1176" t="str">
            <v>TL</v>
          </cell>
          <cell r="D1176" t="str">
            <v>Enterprise</v>
          </cell>
        </row>
        <row r="1177">
          <cell r="C1177" t="str">
            <v>USD</v>
          </cell>
          <cell r="D1177" t="str">
            <v>Enterprise</v>
          </cell>
          <cell r="G1177">
            <v>44645</v>
          </cell>
        </row>
        <row r="1178">
          <cell r="C1178" t="str">
            <v>EUR</v>
          </cell>
          <cell r="D1178" t="str">
            <v>Enterprise</v>
          </cell>
        </row>
        <row r="1179">
          <cell r="C1179" t="str">
            <v>Kur Sabitleme</v>
          </cell>
          <cell r="D1179" t="str">
            <v>Enterprise</v>
          </cell>
        </row>
        <row r="1180">
          <cell r="C1180" t="str">
            <v>PSH PERAKENDE SATIS HIZMETLERI GIDA ANONIM SIRKETI</v>
          </cell>
          <cell r="D1180" t="str">
            <v>SMB</v>
          </cell>
          <cell r="E1180">
            <v>0</v>
          </cell>
          <cell r="F1180" t="str">
            <v>…..</v>
          </cell>
          <cell r="G1180">
            <v>44160</v>
          </cell>
        </row>
        <row r="1181">
          <cell r="C1181" t="str">
            <v>TL</v>
          </cell>
          <cell r="D1181" t="str">
            <v>SMB</v>
          </cell>
          <cell r="G1181">
            <v>44160</v>
          </cell>
        </row>
        <row r="1182">
          <cell r="C1182" t="str">
            <v>USD</v>
          </cell>
          <cell r="D1182" t="str">
            <v>SMB</v>
          </cell>
        </row>
        <row r="1183">
          <cell r="C1183" t="str">
            <v>EUR</v>
          </cell>
          <cell r="D1183" t="str">
            <v>SMB</v>
          </cell>
        </row>
        <row r="1184">
          <cell r="C1184" t="str">
            <v>Kur Sabitleme</v>
          </cell>
          <cell r="D1184" t="str">
            <v>SMB</v>
          </cell>
        </row>
        <row r="1185">
          <cell r="C1185" t="str">
            <v>PUSULA GÖRSEL VE DIJITAL PLATFORM LTD.STI.</v>
          </cell>
          <cell r="D1185" t="str">
            <v>SMB</v>
          </cell>
          <cell r="E1185">
            <v>0</v>
          </cell>
          <cell r="F1185" t="str">
            <v>A-MB338</v>
          </cell>
          <cell r="G1185">
            <v>44284</v>
          </cell>
        </row>
        <row r="1186">
          <cell r="C1186" t="str">
            <v>TL</v>
          </cell>
          <cell r="D1186" t="str">
            <v>SMB</v>
          </cell>
          <cell r="G1186">
            <v>44284</v>
          </cell>
        </row>
        <row r="1187">
          <cell r="C1187" t="str">
            <v>TL</v>
          </cell>
          <cell r="D1187" t="str">
            <v>SMB</v>
          </cell>
          <cell r="G1187">
            <v>44649</v>
          </cell>
        </row>
        <row r="1188">
          <cell r="C1188" t="str">
            <v>USD</v>
          </cell>
          <cell r="D1188" t="str">
            <v>SMB</v>
          </cell>
          <cell r="G1188">
            <v>45043</v>
          </cell>
        </row>
        <row r="1189">
          <cell r="C1189" t="str">
            <v>EUR</v>
          </cell>
          <cell r="D1189" t="str">
            <v>SMB</v>
          </cell>
        </row>
        <row r="1190">
          <cell r="C1190" t="str">
            <v>Kur Sabitleme</v>
          </cell>
          <cell r="D1190" t="str">
            <v>SMB</v>
          </cell>
        </row>
        <row r="1191">
          <cell r="C1191" t="str">
            <v>QATARİ DİAR İSTANBUL GAYRİMENKUL GELİŞTİRME YATIRI</v>
          </cell>
          <cell r="D1191" t="str">
            <v>SMB</v>
          </cell>
          <cell r="E1191">
            <v>0</v>
          </cell>
          <cell r="F1191" t="str">
            <v>…..</v>
          </cell>
          <cell r="G1191" t="str">
            <v/>
          </cell>
        </row>
        <row r="1192">
          <cell r="C1192" t="str">
            <v>TL</v>
          </cell>
          <cell r="D1192" t="str">
            <v>SMB</v>
          </cell>
        </row>
        <row r="1193">
          <cell r="C1193" t="str">
            <v>USD</v>
          </cell>
          <cell r="D1193" t="str">
            <v>SMB</v>
          </cell>
        </row>
        <row r="1194">
          <cell r="C1194" t="str">
            <v>EUR</v>
          </cell>
          <cell r="D1194" t="str">
            <v>SMB</v>
          </cell>
        </row>
        <row r="1195">
          <cell r="C1195" t="str">
            <v>Kur Sabitleme</v>
          </cell>
          <cell r="D1195" t="str">
            <v>SMB</v>
          </cell>
        </row>
        <row r="1196">
          <cell r="C1196" t="str">
            <v>RAFINERI REKLAMCILIK HIZ.TIC.VE A.S</v>
          </cell>
          <cell r="D1196" t="str">
            <v>SMB</v>
          </cell>
          <cell r="E1196">
            <v>0</v>
          </cell>
          <cell r="F1196" t="str">
            <v>A-MB100</v>
          </cell>
          <cell r="G1196">
            <v>42216</v>
          </cell>
        </row>
        <row r="1197">
          <cell r="C1197" t="str">
            <v>TL</v>
          </cell>
          <cell r="D1197" t="str">
            <v>SMB</v>
          </cell>
          <cell r="G1197">
            <v>42216</v>
          </cell>
        </row>
        <row r="1198">
          <cell r="C1198" t="str">
            <v>TL</v>
          </cell>
          <cell r="D1198" t="str">
            <v>SMB</v>
          </cell>
          <cell r="G1198">
            <v>44865</v>
          </cell>
        </row>
        <row r="1199">
          <cell r="C1199" t="str">
            <v>USD</v>
          </cell>
          <cell r="D1199" t="str">
            <v>SMB</v>
          </cell>
          <cell r="G1199">
            <v>43523</v>
          </cell>
        </row>
        <row r="1200">
          <cell r="C1200" t="str">
            <v>USD</v>
          </cell>
          <cell r="D1200" t="str">
            <v>SMB</v>
          </cell>
          <cell r="G1200">
            <v>44865</v>
          </cell>
        </row>
        <row r="1201">
          <cell r="C1201" t="str">
            <v>EUR</v>
          </cell>
          <cell r="D1201" t="str">
            <v>SMB</v>
          </cell>
        </row>
        <row r="1202">
          <cell r="C1202" t="str">
            <v>Kur Sabitleme</v>
          </cell>
          <cell r="D1202" t="str">
            <v>SMB</v>
          </cell>
        </row>
        <row r="1203">
          <cell r="C1203" t="str">
            <v>REFORM CNC,LOJISTIK VE GERI DÖNÜSÜM SISTEMLERI GÖR</v>
          </cell>
          <cell r="D1203" t="str">
            <v>SMB</v>
          </cell>
          <cell r="E1203">
            <v>0</v>
          </cell>
          <cell r="F1203" t="str">
            <v>A-MB081</v>
          </cell>
          <cell r="G1203">
            <v>45163</v>
          </cell>
        </row>
        <row r="1204">
          <cell r="C1204" t="str">
            <v>TL</v>
          </cell>
          <cell r="D1204" t="str">
            <v>SMB</v>
          </cell>
        </row>
        <row r="1205">
          <cell r="C1205" t="str">
            <v>USD</v>
          </cell>
          <cell r="D1205" t="str">
            <v>SMB</v>
          </cell>
          <cell r="G1205">
            <v>45163</v>
          </cell>
        </row>
        <row r="1206">
          <cell r="C1206" t="str">
            <v>EUR</v>
          </cell>
          <cell r="D1206" t="str">
            <v>SMB</v>
          </cell>
        </row>
        <row r="1207">
          <cell r="C1207" t="str">
            <v>Kur Sabitleme</v>
          </cell>
          <cell r="D1207" t="str">
            <v>SMB</v>
          </cell>
        </row>
        <row r="1208">
          <cell r="C1208" t="str">
            <v>REISSWOLF DÖKÜMAN YÖNETIMI HIZMETLERI A.S.</v>
          </cell>
          <cell r="D1208" t="str">
            <v>SMB</v>
          </cell>
          <cell r="E1208">
            <v>0</v>
          </cell>
          <cell r="F1208" t="str">
            <v>A-MB189</v>
          </cell>
          <cell r="G1208">
            <v>43131</v>
          </cell>
        </row>
        <row r="1209">
          <cell r="C1209" t="str">
            <v>TL</v>
          </cell>
          <cell r="D1209" t="str">
            <v>SMB</v>
          </cell>
          <cell r="G1209">
            <v>44828</v>
          </cell>
        </row>
        <row r="1210">
          <cell r="C1210" t="str">
            <v>TL</v>
          </cell>
          <cell r="D1210" t="str">
            <v>SMB</v>
          </cell>
          <cell r="G1210">
            <v>44889</v>
          </cell>
        </row>
        <row r="1211">
          <cell r="C1211" t="str">
            <v>TL</v>
          </cell>
          <cell r="D1211" t="str">
            <v>SMB</v>
          </cell>
          <cell r="G1211">
            <v>45792</v>
          </cell>
        </row>
        <row r="1212">
          <cell r="C1212" t="str">
            <v>USD</v>
          </cell>
          <cell r="D1212" t="str">
            <v>SMB</v>
          </cell>
          <cell r="G1212">
            <v>43131</v>
          </cell>
        </row>
        <row r="1213">
          <cell r="C1213" t="str">
            <v>USD</v>
          </cell>
          <cell r="D1213" t="str">
            <v>SMB</v>
          </cell>
          <cell r="G1213">
            <v>45651</v>
          </cell>
        </row>
        <row r="1214">
          <cell r="C1214" t="str">
            <v>EUR</v>
          </cell>
          <cell r="D1214" t="str">
            <v>SMB</v>
          </cell>
        </row>
        <row r="1215">
          <cell r="C1215" t="str">
            <v>Kur Sabitleme</v>
          </cell>
          <cell r="D1215" t="str">
            <v>SMB</v>
          </cell>
        </row>
        <row r="1216">
          <cell r="C1216" t="str">
            <v>REM MIMARLIK DEKORASYON RESTORASYON PROJE VE TAAH.</v>
          </cell>
          <cell r="D1216" t="str">
            <v>SMB</v>
          </cell>
          <cell r="E1216">
            <v>0</v>
          </cell>
          <cell r="F1216" t="str">
            <v>A-MB330</v>
          </cell>
          <cell r="G1216">
            <v>44196</v>
          </cell>
        </row>
        <row r="1217">
          <cell r="C1217" t="str">
            <v>TL</v>
          </cell>
          <cell r="D1217" t="str">
            <v>SMB</v>
          </cell>
          <cell r="G1217">
            <v>44196</v>
          </cell>
        </row>
        <row r="1218">
          <cell r="C1218" t="str">
            <v>USD</v>
          </cell>
          <cell r="D1218" t="str">
            <v>SMB</v>
          </cell>
          <cell r="G1218">
            <v>45041</v>
          </cell>
        </row>
        <row r="1219">
          <cell r="C1219" t="str">
            <v>EUR</v>
          </cell>
          <cell r="D1219" t="str">
            <v>SMB</v>
          </cell>
        </row>
        <row r="1220">
          <cell r="C1220" t="str">
            <v>Kur Sabitleme</v>
          </cell>
          <cell r="D1220" t="str">
            <v>SMB</v>
          </cell>
        </row>
        <row r="1221">
          <cell r="C1221" t="str">
            <v>SAFİ REZİSTANS IMALAT SAN.SAFI YILMAZ</v>
          </cell>
          <cell r="D1221" t="str">
            <v>SMB</v>
          </cell>
          <cell r="E1221">
            <v>0</v>
          </cell>
          <cell r="F1221" t="str">
            <v>A-MB012</v>
          </cell>
          <cell r="G1221">
            <v>41759</v>
          </cell>
        </row>
        <row r="1222">
          <cell r="C1222" t="str">
            <v>TL</v>
          </cell>
          <cell r="D1222" t="str">
            <v>SMB</v>
          </cell>
        </row>
        <row r="1223">
          <cell r="C1223" t="str">
            <v>USD</v>
          </cell>
          <cell r="D1223" t="str">
            <v>SMB</v>
          </cell>
          <cell r="G1223">
            <v>45667</v>
          </cell>
        </row>
        <row r="1224">
          <cell r="C1224" t="str">
            <v>USD</v>
          </cell>
          <cell r="D1224" t="str">
            <v>SMB</v>
          </cell>
          <cell r="G1224">
            <v>41759</v>
          </cell>
        </row>
        <row r="1225">
          <cell r="C1225" t="str">
            <v>USD</v>
          </cell>
          <cell r="D1225" t="str">
            <v>SMB</v>
          </cell>
          <cell r="G1225">
            <v>45772</v>
          </cell>
        </row>
        <row r="1226">
          <cell r="C1226" t="str">
            <v>EUR</v>
          </cell>
          <cell r="D1226" t="str">
            <v>SMB</v>
          </cell>
        </row>
        <row r="1227">
          <cell r="C1227" t="str">
            <v>Kur Sabitleme</v>
          </cell>
          <cell r="D1227" t="str">
            <v>SMB</v>
          </cell>
        </row>
        <row r="1228">
          <cell r="C1228" t="str">
            <v>SAĞLIK BAHÇESİ EĞ. ARŞ. DAN VE İLETİŞİM A.Ş</v>
          </cell>
          <cell r="D1228" t="str">
            <v>SMB</v>
          </cell>
          <cell r="E1228">
            <v>0</v>
          </cell>
          <cell r="F1228" t="str">
            <v>…..</v>
          </cell>
          <cell r="G1228">
            <v>44908</v>
          </cell>
        </row>
        <row r="1229">
          <cell r="C1229" t="str">
            <v>TL</v>
          </cell>
          <cell r="D1229" t="str">
            <v>SMB</v>
          </cell>
        </row>
        <row r="1230">
          <cell r="C1230" t="str">
            <v>USD</v>
          </cell>
          <cell r="D1230" t="str">
            <v>SMB</v>
          </cell>
          <cell r="G1230">
            <v>44908</v>
          </cell>
        </row>
        <row r="1231">
          <cell r="C1231" t="str">
            <v>EUR</v>
          </cell>
          <cell r="D1231" t="str">
            <v>SMB</v>
          </cell>
        </row>
        <row r="1232">
          <cell r="C1232" t="str">
            <v>Kur Sabitleme</v>
          </cell>
          <cell r="D1232" t="str">
            <v>SMB</v>
          </cell>
        </row>
        <row r="1233">
          <cell r="C1233" t="str">
            <v>SAHİBİNDEN BILGI.TEKN.PAZ.VE TIC.A.S</v>
          </cell>
          <cell r="D1233" t="str">
            <v>Enterprise</v>
          </cell>
          <cell r="E1233">
            <v>0</v>
          </cell>
          <cell r="F1233" t="str">
            <v>A-MB490</v>
          </cell>
          <cell r="G1233">
            <v>42034</v>
          </cell>
        </row>
        <row r="1234">
          <cell r="C1234" t="str">
            <v>TL</v>
          </cell>
          <cell r="D1234" t="str">
            <v>Enterprise</v>
          </cell>
          <cell r="G1234">
            <v>42034</v>
          </cell>
        </row>
        <row r="1235">
          <cell r="C1235" t="str">
            <v>TL</v>
          </cell>
          <cell r="D1235" t="str">
            <v>Enterprise</v>
          </cell>
        </row>
        <row r="1236">
          <cell r="C1236" t="str">
            <v>TL</v>
          </cell>
          <cell r="D1236" t="str">
            <v>Enterprise</v>
          </cell>
          <cell r="G1236">
            <v>42034</v>
          </cell>
        </row>
        <row r="1237">
          <cell r="C1237" t="str">
            <v>USD</v>
          </cell>
          <cell r="D1237" t="str">
            <v>Enterprise</v>
          </cell>
        </row>
        <row r="1238">
          <cell r="C1238" t="str">
            <v>EUR</v>
          </cell>
          <cell r="D1238" t="str">
            <v>Enterprise</v>
          </cell>
        </row>
        <row r="1239">
          <cell r="C1239" t="str">
            <v>Kur Sabitleme</v>
          </cell>
          <cell r="D1239" t="str">
            <v>Enterprise</v>
          </cell>
        </row>
        <row r="1240">
          <cell r="C1240" t="str">
            <v>SAHLANLAR GIDA SAN.VE TICARET LTD.STI</v>
          </cell>
          <cell r="D1240" t="str">
            <v>SMB</v>
          </cell>
          <cell r="E1240">
            <v>0</v>
          </cell>
          <cell r="F1240" t="str">
            <v>A-MB264</v>
          </cell>
          <cell r="G1240">
            <v>43678</v>
          </cell>
        </row>
        <row r="1241">
          <cell r="C1241" t="str">
            <v>TL</v>
          </cell>
          <cell r="D1241" t="str">
            <v>SMB</v>
          </cell>
        </row>
        <row r="1242">
          <cell r="C1242" t="str">
            <v>USD</v>
          </cell>
          <cell r="D1242" t="str">
            <v>SMB</v>
          </cell>
          <cell r="G1242">
            <v>43678</v>
          </cell>
        </row>
        <row r="1243">
          <cell r="C1243" t="str">
            <v>EUR</v>
          </cell>
          <cell r="D1243" t="str">
            <v>SMB</v>
          </cell>
        </row>
        <row r="1244">
          <cell r="C1244" t="str">
            <v>Kur Sabitleme</v>
          </cell>
          <cell r="D1244" t="str">
            <v>SMB</v>
          </cell>
        </row>
        <row r="1245">
          <cell r="C1245" t="str">
            <v>SAKLIKOY SPOR VE TUR (TAMER CANKAT)</v>
          </cell>
          <cell r="D1245" t="str">
            <v>SMB</v>
          </cell>
          <cell r="E1245">
            <v>0</v>
          </cell>
          <cell r="F1245" t="str">
            <v>…..</v>
          </cell>
          <cell r="G1245">
            <v>40057</v>
          </cell>
        </row>
        <row r="1246">
          <cell r="C1246" t="str">
            <v>TL</v>
          </cell>
          <cell r="D1246" t="str">
            <v>SMB</v>
          </cell>
        </row>
        <row r="1247">
          <cell r="C1247" t="str">
            <v>USD</v>
          </cell>
          <cell r="D1247" t="str">
            <v>SMB</v>
          </cell>
          <cell r="G1247">
            <v>40057</v>
          </cell>
        </row>
        <row r="1248">
          <cell r="C1248" t="str">
            <v>EUR</v>
          </cell>
          <cell r="D1248" t="str">
            <v>SMB</v>
          </cell>
        </row>
        <row r="1249">
          <cell r="C1249" t="str">
            <v>Kur Sabitleme</v>
          </cell>
          <cell r="D1249" t="str">
            <v>SMB</v>
          </cell>
        </row>
        <row r="1250">
          <cell r="C1250" t="str">
            <v>SANGO OTOMOTIV ÜRÜNLERI SANAYI VE TICARET A.S</v>
          </cell>
          <cell r="D1250" t="str">
            <v>SMB</v>
          </cell>
          <cell r="E1250">
            <v>0</v>
          </cell>
          <cell r="F1250" t="str">
            <v>…..</v>
          </cell>
          <cell r="G1250">
            <v>42216</v>
          </cell>
        </row>
        <row r="1251">
          <cell r="C1251" t="str">
            <v>TL</v>
          </cell>
          <cell r="D1251" t="str">
            <v>SMB</v>
          </cell>
          <cell r="G1251">
            <v>44920</v>
          </cell>
        </row>
        <row r="1252">
          <cell r="C1252" t="str">
            <v>USD</v>
          </cell>
          <cell r="D1252" t="str">
            <v>SMB</v>
          </cell>
          <cell r="G1252">
            <v>42216</v>
          </cell>
        </row>
        <row r="1253">
          <cell r="C1253" t="str">
            <v>USD</v>
          </cell>
          <cell r="D1253" t="str">
            <v>SMB</v>
          </cell>
          <cell r="G1253">
            <v>44931</v>
          </cell>
        </row>
        <row r="1254">
          <cell r="C1254" t="str">
            <v>EUR</v>
          </cell>
          <cell r="D1254" t="str">
            <v>SMB</v>
          </cell>
        </row>
        <row r="1255">
          <cell r="C1255" t="str">
            <v>Kur Sabitleme</v>
          </cell>
          <cell r="D1255" t="str">
            <v>SMB</v>
          </cell>
        </row>
        <row r="1256">
          <cell r="C1256" t="str">
            <v>SAREM MAKINA SAN.VE TIC.LTD.STI</v>
          </cell>
          <cell r="D1256" t="str">
            <v>SMB</v>
          </cell>
          <cell r="E1256">
            <v>0</v>
          </cell>
          <cell r="F1256" t="str">
            <v>A-MB067</v>
          </cell>
          <cell r="G1256">
            <v>45061</v>
          </cell>
        </row>
        <row r="1257">
          <cell r="C1257" t="str">
            <v>TL</v>
          </cell>
          <cell r="D1257" t="str">
            <v>SMB</v>
          </cell>
          <cell r="G1257">
            <v>45061</v>
          </cell>
        </row>
        <row r="1258">
          <cell r="C1258" t="str">
            <v>TL</v>
          </cell>
          <cell r="D1258" t="str">
            <v>SMB</v>
          </cell>
        </row>
        <row r="1259">
          <cell r="C1259" t="str">
            <v>USD</v>
          </cell>
          <cell r="D1259" t="str">
            <v>SMB</v>
          </cell>
        </row>
        <row r="1260">
          <cell r="C1260" t="str">
            <v>USD</v>
          </cell>
          <cell r="D1260" t="str">
            <v>SMB</v>
          </cell>
          <cell r="G1260">
            <v>45688</v>
          </cell>
        </row>
        <row r="1261">
          <cell r="C1261" t="str">
            <v>USD</v>
          </cell>
          <cell r="D1261" t="str">
            <v>SMB</v>
          </cell>
        </row>
        <row r="1262">
          <cell r="C1262" t="str">
            <v>USD</v>
          </cell>
          <cell r="D1262" t="str">
            <v>SMB</v>
          </cell>
          <cell r="G1262">
            <v>45847</v>
          </cell>
        </row>
        <row r="1263">
          <cell r="C1263" t="str">
            <v>EUR</v>
          </cell>
          <cell r="D1263" t="str">
            <v>SMB</v>
          </cell>
        </row>
        <row r="1264">
          <cell r="C1264" t="str">
            <v>Kur Sabitleme</v>
          </cell>
          <cell r="D1264" t="str">
            <v>SMB</v>
          </cell>
          <cell r="G1264">
            <v>45077</v>
          </cell>
        </row>
        <row r="1265">
          <cell r="C1265" t="str">
            <v>ŞEKER SIGORTA A.S.</v>
          </cell>
          <cell r="D1265" t="str">
            <v>SMB</v>
          </cell>
          <cell r="E1265">
            <v>0</v>
          </cell>
          <cell r="F1265" t="str">
            <v>…..</v>
          </cell>
          <cell r="G1265">
            <v>43467</v>
          </cell>
        </row>
        <row r="1266">
          <cell r="C1266" t="str">
            <v>TL</v>
          </cell>
          <cell r="D1266" t="str">
            <v>SMB</v>
          </cell>
        </row>
        <row r="1267">
          <cell r="C1267" t="str">
            <v>USD</v>
          </cell>
          <cell r="D1267" t="str">
            <v>SMB</v>
          </cell>
          <cell r="G1267">
            <v>43467</v>
          </cell>
        </row>
        <row r="1268">
          <cell r="C1268" t="str">
            <v>EUR</v>
          </cell>
          <cell r="D1268" t="str">
            <v>SMB</v>
          </cell>
        </row>
        <row r="1269">
          <cell r="C1269" t="str">
            <v>Kur Sabitleme</v>
          </cell>
          <cell r="D1269" t="str">
            <v>SMB</v>
          </cell>
        </row>
        <row r="1270">
          <cell r="C1270" t="str">
            <v>ŞEKER YATIRIM MENKUL DEGERLER A.S.</v>
          </cell>
          <cell r="D1270" t="str">
            <v>Enterprise</v>
          </cell>
          <cell r="E1270">
            <v>0</v>
          </cell>
          <cell r="F1270" t="str">
            <v>A-MB426</v>
          </cell>
          <cell r="G1270">
            <v>44404</v>
          </cell>
        </row>
        <row r="1271">
          <cell r="C1271" t="str">
            <v>TL</v>
          </cell>
          <cell r="D1271" t="str">
            <v>Enterprise</v>
          </cell>
        </row>
        <row r="1272">
          <cell r="C1272" t="str">
            <v>USD</v>
          </cell>
          <cell r="D1272" t="str">
            <v>Enterprise</v>
          </cell>
          <cell r="G1272">
            <v>44404</v>
          </cell>
        </row>
        <row r="1273">
          <cell r="C1273" t="str">
            <v>EUR</v>
          </cell>
          <cell r="D1273" t="str">
            <v>Enterprise</v>
          </cell>
        </row>
        <row r="1274">
          <cell r="C1274" t="str">
            <v>Kur Sabitleme</v>
          </cell>
          <cell r="D1274" t="str">
            <v>Enterprise</v>
          </cell>
        </row>
        <row r="1275">
          <cell r="C1275" t="str">
            <v>ALTIUM INTERNATIONAL LABORATUVAR CİHAZLARI A.Ş.</v>
          </cell>
          <cell r="D1275" t="str">
            <v>SMB</v>
          </cell>
          <cell r="E1275">
            <v>0</v>
          </cell>
          <cell r="F1275" t="str">
            <v>…..</v>
          </cell>
          <cell r="G1275">
            <v>43983</v>
          </cell>
        </row>
        <row r="1276">
          <cell r="C1276" t="str">
            <v>TL</v>
          </cell>
          <cell r="D1276" t="str">
            <v>SMB</v>
          </cell>
        </row>
        <row r="1277">
          <cell r="C1277" t="str">
            <v>USD</v>
          </cell>
          <cell r="D1277" t="str">
            <v>SMB</v>
          </cell>
          <cell r="G1277">
            <v>43983</v>
          </cell>
        </row>
        <row r="1278">
          <cell r="C1278" t="str">
            <v>EUR</v>
          </cell>
          <cell r="D1278" t="str">
            <v>SMB</v>
          </cell>
        </row>
        <row r="1279">
          <cell r="C1279" t="str">
            <v>Kur Sabitleme</v>
          </cell>
          <cell r="D1279" t="str">
            <v>SMB</v>
          </cell>
        </row>
        <row r="1280">
          <cell r="C1280" t="str">
            <v>ŞENER OTO YEDEK PARÇA SANAYI.TIC.A.S</v>
          </cell>
          <cell r="D1280" t="str">
            <v>SMB</v>
          </cell>
          <cell r="E1280">
            <v>0</v>
          </cell>
          <cell r="F1280" t="str">
            <v>A-MB027</v>
          </cell>
          <cell r="G1280">
            <v>40179</v>
          </cell>
        </row>
        <row r="1281">
          <cell r="C1281" t="str">
            <v>TL</v>
          </cell>
          <cell r="D1281" t="str">
            <v>SMB</v>
          </cell>
          <cell r="G1281">
            <v>40179</v>
          </cell>
        </row>
        <row r="1282">
          <cell r="C1282" t="str">
            <v>USD</v>
          </cell>
          <cell r="D1282" t="str">
            <v>SMB</v>
          </cell>
        </row>
        <row r="1283">
          <cell r="C1283" t="str">
            <v>USD</v>
          </cell>
          <cell r="D1283" t="str">
            <v>SMB</v>
          </cell>
          <cell r="G1283">
            <v>45688</v>
          </cell>
        </row>
        <row r="1284">
          <cell r="C1284" t="str">
            <v>EUR</v>
          </cell>
          <cell r="D1284" t="str">
            <v>SMB</v>
          </cell>
        </row>
        <row r="1285">
          <cell r="C1285" t="str">
            <v>Kur Sabitleme</v>
          </cell>
          <cell r="D1285" t="str">
            <v>SMB</v>
          </cell>
        </row>
        <row r="1286">
          <cell r="C1286" t="str">
            <v>DEMANT ISITME CIHAZLARI SAN.VE TIC.A.S. (SES)</v>
          </cell>
          <cell r="D1286" t="str">
            <v>SMB</v>
          </cell>
          <cell r="E1286">
            <v>0</v>
          </cell>
          <cell r="F1286" t="str">
            <v>A-MB367</v>
          </cell>
          <cell r="G1286">
            <v>43816</v>
          </cell>
        </row>
        <row r="1287">
          <cell r="C1287" t="str">
            <v>TL</v>
          </cell>
          <cell r="D1287" t="str">
            <v>SMB</v>
          </cell>
          <cell r="G1287">
            <v>45277</v>
          </cell>
        </row>
        <row r="1288">
          <cell r="C1288" t="str">
            <v>USD</v>
          </cell>
          <cell r="D1288" t="str">
            <v>SMB</v>
          </cell>
          <cell r="G1288">
            <v>43816</v>
          </cell>
        </row>
        <row r="1289">
          <cell r="C1289" t="str">
            <v>EUR</v>
          </cell>
          <cell r="D1289" t="str">
            <v>SMB</v>
          </cell>
        </row>
        <row r="1290">
          <cell r="C1290" t="str">
            <v>Kur Sabitleme</v>
          </cell>
          <cell r="D1290" t="str">
            <v>SMB</v>
          </cell>
        </row>
        <row r="1291">
          <cell r="C1291" t="str">
            <v>SETA SİSTEM ÇÖZÜMLERİ MÜH. LTD. ŞTİ.</v>
          </cell>
          <cell r="D1291" t="str">
            <v>SMB</v>
          </cell>
          <cell r="E1291">
            <v>0</v>
          </cell>
          <cell r="F1291" t="str">
            <v>A-MB287</v>
          </cell>
          <cell r="G1291">
            <v>44860</v>
          </cell>
        </row>
        <row r="1292">
          <cell r="C1292" t="str">
            <v>TL</v>
          </cell>
          <cell r="D1292" t="str">
            <v>SMB</v>
          </cell>
        </row>
        <row r="1293">
          <cell r="C1293" t="str">
            <v>USD</v>
          </cell>
          <cell r="D1293" t="str">
            <v>SMB</v>
          </cell>
          <cell r="G1293">
            <v>44860</v>
          </cell>
        </row>
        <row r="1294">
          <cell r="C1294" t="str">
            <v>USD</v>
          </cell>
          <cell r="D1294" t="str">
            <v>SMB</v>
          </cell>
          <cell r="G1294">
            <v>45442</v>
          </cell>
        </row>
        <row r="1295">
          <cell r="C1295" t="str">
            <v>EUR</v>
          </cell>
          <cell r="D1295" t="str">
            <v>SMB</v>
          </cell>
        </row>
        <row r="1296">
          <cell r="C1296" t="str">
            <v>Kur Sabitleme</v>
          </cell>
          <cell r="D1296" t="str">
            <v>SMB</v>
          </cell>
        </row>
        <row r="1297">
          <cell r="C1297" t="str">
            <v>SEZER TEKSTIL SAN.TIC.A.S</v>
          </cell>
          <cell r="D1297" t="str">
            <v>SMB</v>
          </cell>
          <cell r="E1297">
            <v>0</v>
          </cell>
          <cell r="F1297" t="str">
            <v>…..</v>
          </cell>
          <cell r="G1297">
            <v>41205</v>
          </cell>
        </row>
        <row r="1298">
          <cell r="C1298" t="str">
            <v>TL</v>
          </cell>
          <cell r="D1298" t="str">
            <v>SMB</v>
          </cell>
          <cell r="G1298">
            <v>45061</v>
          </cell>
        </row>
        <row r="1299">
          <cell r="C1299" t="str">
            <v>TL</v>
          </cell>
          <cell r="D1299" t="str">
            <v>SMB</v>
          </cell>
        </row>
        <row r="1300">
          <cell r="C1300" t="str">
            <v>USD</v>
          </cell>
          <cell r="D1300" t="str">
            <v>SMB</v>
          </cell>
          <cell r="G1300">
            <v>41205</v>
          </cell>
        </row>
        <row r="1301">
          <cell r="C1301" t="str">
            <v>USD</v>
          </cell>
          <cell r="D1301" t="str">
            <v>SMB</v>
          </cell>
          <cell r="G1301">
            <v>41205</v>
          </cell>
        </row>
        <row r="1302">
          <cell r="C1302" t="str">
            <v>EUR</v>
          </cell>
          <cell r="D1302" t="str">
            <v>SMB</v>
          </cell>
        </row>
        <row r="1303">
          <cell r="C1303" t="str">
            <v>Kur Sabitleme</v>
          </cell>
          <cell r="D1303" t="str">
            <v>SMB</v>
          </cell>
          <cell r="G1303">
            <v>41759</v>
          </cell>
        </row>
        <row r="1304">
          <cell r="C1304" t="str">
            <v>SHAYA MAGAZACILIK A.Ş.</v>
          </cell>
          <cell r="D1304" t="str">
            <v>SMB</v>
          </cell>
          <cell r="E1304">
            <v>0</v>
          </cell>
          <cell r="F1304" t="str">
            <v>…..</v>
          </cell>
          <cell r="G1304">
            <v>44593</v>
          </cell>
        </row>
        <row r="1305">
          <cell r="C1305" t="str">
            <v>TL</v>
          </cell>
          <cell r="D1305" t="str">
            <v>SMB</v>
          </cell>
          <cell r="G1305">
            <v>44620</v>
          </cell>
        </row>
        <row r="1306">
          <cell r="C1306" t="str">
            <v>TL</v>
          </cell>
          <cell r="D1306" t="str">
            <v>SMB</v>
          </cell>
          <cell r="G1306">
            <v>44593</v>
          </cell>
        </row>
        <row r="1307">
          <cell r="C1307" t="str">
            <v>USD</v>
          </cell>
          <cell r="D1307" t="str">
            <v>SMB</v>
          </cell>
        </row>
        <row r="1308">
          <cell r="C1308" t="str">
            <v>EUR</v>
          </cell>
          <cell r="D1308" t="str">
            <v>SMB</v>
          </cell>
        </row>
        <row r="1309">
          <cell r="C1309" t="str">
            <v>Kur Sabitleme</v>
          </cell>
          <cell r="D1309" t="str">
            <v>SMB</v>
          </cell>
        </row>
        <row r="1310">
          <cell r="C1310" t="str">
            <v>SİLKAR TURİZM YATIRIM VE İŞLETMELERİ A.Ş</v>
          </cell>
          <cell r="D1310" t="str">
            <v>SMB</v>
          </cell>
          <cell r="E1310">
            <v>0</v>
          </cell>
          <cell r="F1310" t="str">
            <v>…..</v>
          </cell>
          <cell r="G1310">
            <v>39934</v>
          </cell>
        </row>
        <row r="1311">
          <cell r="C1311" t="str">
            <v>TL</v>
          </cell>
          <cell r="D1311" t="str">
            <v>SMB</v>
          </cell>
        </row>
        <row r="1312">
          <cell r="C1312" t="str">
            <v>USD</v>
          </cell>
          <cell r="D1312" t="str">
            <v>SMB</v>
          </cell>
          <cell r="G1312">
            <v>39934</v>
          </cell>
        </row>
        <row r="1313">
          <cell r="C1313" t="str">
            <v>EUR</v>
          </cell>
          <cell r="D1313" t="str">
            <v>SMB</v>
          </cell>
        </row>
        <row r="1314">
          <cell r="C1314" t="str">
            <v>Kur Sabitleme</v>
          </cell>
          <cell r="D1314" t="str">
            <v>SMB</v>
          </cell>
        </row>
        <row r="1315">
          <cell r="C1315" t="str">
            <v>ŞÖLEN ÇIKOLATA GIDA</v>
          </cell>
          <cell r="D1315" t="str">
            <v>Enterprise</v>
          </cell>
          <cell r="E1315">
            <v>0</v>
          </cell>
          <cell r="F1315" t="str">
            <v>A-MB360</v>
          </cell>
          <cell r="G1315">
            <v>44440</v>
          </cell>
        </row>
        <row r="1316">
          <cell r="C1316" t="str">
            <v>TL</v>
          </cell>
          <cell r="D1316" t="str">
            <v>Enterprise</v>
          </cell>
        </row>
        <row r="1317">
          <cell r="C1317" t="str">
            <v>USD</v>
          </cell>
          <cell r="D1317" t="str">
            <v>Enterprise</v>
          </cell>
          <cell r="G1317">
            <v>44440</v>
          </cell>
        </row>
        <row r="1318">
          <cell r="C1318" t="str">
            <v>EUR</v>
          </cell>
          <cell r="D1318" t="str">
            <v>Enterprise</v>
          </cell>
        </row>
        <row r="1319">
          <cell r="C1319" t="str">
            <v>Kur Sabitleme</v>
          </cell>
          <cell r="D1319" t="str">
            <v>Enterprise</v>
          </cell>
        </row>
        <row r="1320">
          <cell r="C1320" t="str">
            <v>SOLIDICT YAZILIM DANISMANLIK VE BILISIM TEKNOLOJIL</v>
          </cell>
          <cell r="D1320" t="str">
            <v>SMB</v>
          </cell>
          <cell r="E1320">
            <v>0</v>
          </cell>
          <cell r="F1320" t="str">
            <v>…..</v>
          </cell>
          <cell r="G1320" t="str">
            <v/>
          </cell>
        </row>
        <row r="1321">
          <cell r="C1321" t="str">
            <v>TL</v>
          </cell>
          <cell r="D1321" t="str">
            <v>SMB</v>
          </cell>
        </row>
        <row r="1322">
          <cell r="C1322" t="str">
            <v>USD</v>
          </cell>
          <cell r="D1322" t="str">
            <v>SMB</v>
          </cell>
        </row>
        <row r="1323">
          <cell r="C1323" t="str">
            <v>EUR</v>
          </cell>
          <cell r="D1323" t="str">
            <v>SMB</v>
          </cell>
        </row>
        <row r="1324">
          <cell r="C1324" t="str">
            <v>Kur Sabitleme</v>
          </cell>
          <cell r="D1324" t="str">
            <v>SMB</v>
          </cell>
        </row>
        <row r="1325">
          <cell r="C1325" t="str">
            <v>SOYKP IS MERKEZI ISLETMECILIGI A.S.</v>
          </cell>
          <cell r="D1325" t="str">
            <v>SMB</v>
          </cell>
          <cell r="E1325">
            <v>0</v>
          </cell>
          <cell r="F1325" t="str">
            <v>…..</v>
          </cell>
          <cell r="G1325">
            <v>40148</v>
          </cell>
        </row>
        <row r="1326">
          <cell r="C1326" t="str">
            <v>TL</v>
          </cell>
          <cell r="D1326" t="str">
            <v>SMB</v>
          </cell>
          <cell r="G1326">
            <v>40148</v>
          </cell>
        </row>
        <row r="1327">
          <cell r="C1327" t="str">
            <v>USD</v>
          </cell>
          <cell r="D1327" t="str">
            <v>SMB</v>
          </cell>
          <cell r="G1327">
            <v>41759</v>
          </cell>
        </row>
        <row r="1328">
          <cell r="C1328" t="str">
            <v>EUR</v>
          </cell>
          <cell r="D1328" t="str">
            <v>SMB</v>
          </cell>
        </row>
        <row r="1329">
          <cell r="C1329" t="str">
            <v>Kur Sabitleme</v>
          </cell>
          <cell r="D1329" t="str">
            <v>SMB</v>
          </cell>
        </row>
        <row r="1330">
          <cell r="C1330" t="str">
            <v>STRADA SEYAHAT ACENTELIGI LTD. STI</v>
          </cell>
          <cell r="D1330" t="str">
            <v>SMB</v>
          </cell>
          <cell r="E1330">
            <v>0</v>
          </cell>
          <cell r="F1330" t="str">
            <v>…..</v>
          </cell>
          <cell r="G1330">
            <v>43009</v>
          </cell>
        </row>
        <row r="1331">
          <cell r="C1331" t="str">
            <v>TL</v>
          </cell>
          <cell r="D1331" t="str">
            <v>SMB</v>
          </cell>
        </row>
        <row r="1332">
          <cell r="C1332" t="str">
            <v>USD</v>
          </cell>
          <cell r="D1332" t="str">
            <v>SMB</v>
          </cell>
          <cell r="G1332">
            <v>43009</v>
          </cell>
        </row>
        <row r="1333">
          <cell r="C1333" t="str">
            <v>EUR</v>
          </cell>
          <cell r="D1333" t="str">
            <v>SMB</v>
          </cell>
        </row>
        <row r="1334">
          <cell r="C1334" t="str">
            <v>Kur Sabitleme</v>
          </cell>
          <cell r="D1334" t="str">
            <v>SMB</v>
          </cell>
        </row>
        <row r="1335">
          <cell r="C1335" t="str">
            <v>SUNEXPRESS (GÜNEŞ HAVACILIK)</v>
          </cell>
          <cell r="D1335" t="str">
            <v>Enterprise</v>
          </cell>
          <cell r="E1335">
            <v>0</v>
          </cell>
          <cell r="F1335" t="str">
            <v>A-MB400</v>
          </cell>
          <cell r="G1335">
            <v>43697</v>
          </cell>
        </row>
        <row r="1336">
          <cell r="C1336" t="str">
            <v>TL</v>
          </cell>
          <cell r="D1336" t="str">
            <v>Enterprise</v>
          </cell>
          <cell r="G1336">
            <v>44713</v>
          </cell>
        </row>
        <row r="1337">
          <cell r="C1337" t="str">
            <v>USD</v>
          </cell>
          <cell r="D1337" t="str">
            <v>Enterprise</v>
          </cell>
          <cell r="G1337">
            <v>43697</v>
          </cell>
        </row>
        <row r="1338">
          <cell r="C1338" t="str">
            <v>USD</v>
          </cell>
          <cell r="D1338" t="str">
            <v>Enterprise</v>
          </cell>
          <cell r="G1338">
            <v>44696</v>
          </cell>
        </row>
        <row r="1339">
          <cell r="C1339" t="str">
            <v>USD</v>
          </cell>
          <cell r="D1339" t="str">
            <v>Enterprise</v>
          </cell>
          <cell r="G1339">
            <v>44679</v>
          </cell>
        </row>
        <row r="1340">
          <cell r="C1340" t="str">
            <v>EUR</v>
          </cell>
          <cell r="D1340" t="str">
            <v>Enterprise</v>
          </cell>
          <cell r="G1340">
            <v>45502</v>
          </cell>
        </row>
        <row r="1341">
          <cell r="C1341" t="str">
            <v>Kur Sabitleme</v>
          </cell>
          <cell r="D1341" t="str">
            <v>Enterprise</v>
          </cell>
        </row>
        <row r="1342">
          <cell r="C1342" t="str">
            <v>SYS TELEKOMINIKASYON BILG. ELKT. SAN.TIC.AS.</v>
          </cell>
          <cell r="D1342" t="str">
            <v>Enterprise</v>
          </cell>
          <cell r="E1342">
            <v>0</v>
          </cell>
          <cell r="F1342" t="str">
            <v>A-MB053</v>
          </cell>
          <cell r="G1342">
            <v>44224</v>
          </cell>
        </row>
        <row r="1343">
          <cell r="C1343" t="str">
            <v>TL</v>
          </cell>
          <cell r="D1343" t="str">
            <v>Enterprise</v>
          </cell>
          <cell r="G1343">
            <v>44651</v>
          </cell>
        </row>
        <row r="1344">
          <cell r="C1344" t="str">
            <v>TL</v>
          </cell>
          <cell r="D1344" t="str">
            <v>Enterprise</v>
          </cell>
          <cell r="G1344">
            <v>44224</v>
          </cell>
        </row>
        <row r="1345">
          <cell r="C1345" t="str">
            <v>TL</v>
          </cell>
          <cell r="D1345" t="str">
            <v>Enterprise</v>
          </cell>
          <cell r="G1345">
            <v>44713</v>
          </cell>
        </row>
        <row r="1346">
          <cell r="C1346" t="str">
            <v>TL</v>
          </cell>
          <cell r="D1346" t="str">
            <v>Enterprise</v>
          </cell>
          <cell r="G1346">
            <v>45294</v>
          </cell>
        </row>
        <row r="1347">
          <cell r="C1347" t="str">
            <v>USD</v>
          </cell>
          <cell r="D1347" t="str">
            <v>Enterprise</v>
          </cell>
          <cell r="G1347">
            <v>45757</v>
          </cell>
        </row>
        <row r="1348">
          <cell r="C1348" t="str">
            <v>USD</v>
          </cell>
          <cell r="D1348" t="str">
            <v>Enterprise</v>
          </cell>
          <cell r="G1348">
            <v>45803</v>
          </cell>
        </row>
        <row r="1349">
          <cell r="C1349" t="str">
            <v>EUR</v>
          </cell>
          <cell r="D1349" t="str">
            <v>Enterprise</v>
          </cell>
        </row>
        <row r="1350">
          <cell r="C1350" t="str">
            <v>Kur Sabitleme</v>
          </cell>
          <cell r="D1350" t="str">
            <v>Enterprise</v>
          </cell>
        </row>
        <row r="1351">
          <cell r="C1351" t="str">
            <v>T&amp;C GARMENTS</v>
          </cell>
          <cell r="D1351" t="str">
            <v>SMB</v>
          </cell>
          <cell r="E1351">
            <v>0</v>
          </cell>
          <cell r="F1351" t="str">
            <v>A-MB291</v>
          </cell>
          <cell r="G1351">
            <v>44025</v>
          </cell>
        </row>
        <row r="1352">
          <cell r="C1352" t="str">
            <v>TL</v>
          </cell>
          <cell r="D1352" t="str">
            <v>SMB</v>
          </cell>
        </row>
        <row r="1353">
          <cell r="C1353" t="str">
            <v>USD</v>
          </cell>
          <cell r="D1353" t="str">
            <v>SMB</v>
          </cell>
          <cell r="G1353">
            <v>44025</v>
          </cell>
        </row>
        <row r="1354">
          <cell r="C1354" t="str">
            <v>USD</v>
          </cell>
          <cell r="D1354" t="str">
            <v>SMB</v>
          </cell>
          <cell r="G1354">
            <v>45043</v>
          </cell>
        </row>
        <row r="1355">
          <cell r="C1355" t="str">
            <v>EUR</v>
          </cell>
          <cell r="D1355" t="str">
            <v>SMB</v>
          </cell>
        </row>
        <row r="1356">
          <cell r="C1356" t="str">
            <v>Kur Sabitleme</v>
          </cell>
          <cell r="D1356" t="str">
            <v>SMB</v>
          </cell>
        </row>
        <row r="1357">
          <cell r="C1357" t="str">
            <v>TAKSIM OTELCILIK A.S.</v>
          </cell>
          <cell r="D1357" t="str">
            <v>SMB</v>
          </cell>
          <cell r="E1357">
            <v>0</v>
          </cell>
          <cell r="F1357" t="str">
            <v>A-MB025</v>
          </cell>
          <cell r="G1357">
            <v>44390</v>
          </cell>
        </row>
        <row r="1358">
          <cell r="C1358" t="str">
            <v>TL</v>
          </cell>
          <cell r="D1358" t="str">
            <v>SMB</v>
          </cell>
          <cell r="G1358">
            <v>44390</v>
          </cell>
        </row>
        <row r="1359">
          <cell r="C1359" t="str">
            <v>USD</v>
          </cell>
          <cell r="D1359" t="str">
            <v>SMB</v>
          </cell>
          <cell r="G1359">
            <v>44824</v>
          </cell>
        </row>
        <row r="1360">
          <cell r="C1360" t="str">
            <v>USD</v>
          </cell>
          <cell r="D1360" t="str">
            <v>SMB</v>
          </cell>
          <cell r="G1360">
            <v>45534</v>
          </cell>
        </row>
        <row r="1361">
          <cell r="C1361" t="str">
            <v>EUR</v>
          </cell>
          <cell r="D1361" t="str">
            <v>SMB</v>
          </cell>
        </row>
        <row r="1362">
          <cell r="C1362" t="str">
            <v>Kur Sabitleme</v>
          </cell>
          <cell r="D1362" t="str">
            <v>SMB</v>
          </cell>
        </row>
        <row r="1363">
          <cell r="C1363" t="str">
            <v>TED GLOBAL AG</v>
          </cell>
          <cell r="D1363" t="str">
            <v>SMB</v>
          </cell>
          <cell r="E1363">
            <v>0</v>
          </cell>
          <cell r="F1363" t="str">
            <v>A-MB344</v>
          </cell>
          <cell r="G1363">
            <v>44283</v>
          </cell>
        </row>
        <row r="1364">
          <cell r="C1364" t="str">
            <v>TL</v>
          </cell>
          <cell r="D1364" t="str">
            <v>SMB</v>
          </cell>
        </row>
        <row r="1365">
          <cell r="C1365" t="str">
            <v>USD</v>
          </cell>
          <cell r="D1365" t="str">
            <v>SMB</v>
          </cell>
          <cell r="G1365">
            <v>44283</v>
          </cell>
        </row>
        <row r="1366">
          <cell r="C1366" t="str">
            <v>EUR</v>
          </cell>
          <cell r="D1366" t="str">
            <v>SMB</v>
          </cell>
        </row>
        <row r="1367">
          <cell r="C1367" t="str">
            <v>Kur Sabitleme</v>
          </cell>
          <cell r="D1367" t="str">
            <v>SMB</v>
          </cell>
        </row>
        <row r="1368">
          <cell r="C1368" t="str">
            <v>TEKNOFIX TELEKOMÜNIKASYON VE BILISIM HIZ. SAN. VE</v>
          </cell>
          <cell r="D1368" t="str">
            <v>SMB</v>
          </cell>
          <cell r="E1368">
            <v>0</v>
          </cell>
          <cell r="F1368" t="str">
            <v>A-MB431</v>
          </cell>
          <cell r="G1368">
            <v>44773</v>
          </cell>
        </row>
        <row r="1369">
          <cell r="C1369" t="str">
            <v>TL</v>
          </cell>
          <cell r="D1369" t="str">
            <v>SMB</v>
          </cell>
          <cell r="G1369">
            <v>44773</v>
          </cell>
        </row>
        <row r="1370">
          <cell r="C1370" t="str">
            <v>TL</v>
          </cell>
          <cell r="D1370" t="str">
            <v>SMB</v>
          </cell>
          <cell r="G1370">
            <v>45747</v>
          </cell>
        </row>
        <row r="1371">
          <cell r="C1371" t="str">
            <v>USD</v>
          </cell>
          <cell r="D1371" t="str">
            <v>SMB</v>
          </cell>
          <cell r="G1371">
            <v>44805</v>
          </cell>
        </row>
        <row r="1372">
          <cell r="C1372" t="str">
            <v>USD</v>
          </cell>
          <cell r="D1372" t="str">
            <v>SMB</v>
          </cell>
          <cell r="G1372">
            <v>44957</v>
          </cell>
        </row>
        <row r="1373">
          <cell r="C1373" t="str">
            <v>USD</v>
          </cell>
          <cell r="D1373" t="str">
            <v>SMB</v>
          </cell>
          <cell r="G1373">
            <v>45526</v>
          </cell>
        </row>
        <row r="1374">
          <cell r="C1374" t="str">
            <v>EUR</v>
          </cell>
          <cell r="D1374" t="str">
            <v>SMB</v>
          </cell>
        </row>
        <row r="1375">
          <cell r="C1375" t="str">
            <v>Kur Sabitleme</v>
          </cell>
          <cell r="D1375" t="str">
            <v>SMB</v>
          </cell>
        </row>
        <row r="1376">
          <cell r="C1376" t="str">
            <v>TEKYAZ TEKNOLOJIK  YAZILIMLAR VE MAKINE  TIC. A.S.</v>
          </cell>
          <cell r="D1376" t="str">
            <v>SMB</v>
          </cell>
          <cell r="E1376">
            <v>0</v>
          </cell>
          <cell r="F1376" t="str">
            <v>…..</v>
          </cell>
          <cell r="G1376">
            <v>40940</v>
          </cell>
        </row>
        <row r="1377">
          <cell r="C1377" t="str">
            <v>TL</v>
          </cell>
          <cell r="D1377" t="str">
            <v>SMB</v>
          </cell>
          <cell r="G1377">
            <v>40940</v>
          </cell>
        </row>
        <row r="1378">
          <cell r="C1378" t="str">
            <v>TL</v>
          </cell>
          <cell r="D1378" t="str">
            <v>SMB</v>
          </cell>
          <cell r="G1378">
            <v>44648</v>
          </cell>
        </row>
        <row r="1379">
          <cell r="C1379" t="str">
            <v>USD</v>
          </cell>
          <cell r="D1379" t="str">
            <v>SMB</v>
          </cell>
          <cell r="G1379">
            <v>40940</v>
          </cell>
        </row>
        <row r="1380">
          <cell r="C1380" t="str">
            <v>EUR</v>
          </cell>
          <cell r="D1380" t="str">
            <v>SMB</v>
          </cell>
        </row>
        <row r="1381">
          <cell r="C1381" t="str">
            <v>Kur Sabitleme</v>
          </cell>
          <cell r="D1381" t="str">
            <v>SMB</v>
          </cell>
        </row>
        <row r="1382">
          <cell r="C1382" t="str">
            <v xml:space="preserve">TELESURE KURUMSAL SIGORTA VE REASÜRANS BROKERLIGI </v>
          </cell>
          <cell r="D1382" t="str">
            <v>SMB</v>
          </cell>
          <cell r="E1382">
            <v>0</v>
          </cell>
          <cell r="F1382" t="str">
            <v>A-MB494</v>
          </cell>
          <cell r="G1382">
            <v>42461</v>
          </cell>
        </row>
        <row r="1383">
          <cell r="C1383" t="str">
            <v>TL</v>
          </cell>
          <cell r="D1383" t="str">
            <v>SMB</v>
          </cell>
          <cell r="G1383">
            <v>42461</v>
          </cell>
        </row>
        <row r="1384">
          <cell r="C1384" t="str">
            <v>USD</v>
          </cell>
          <cell r="D1384" t="str">
            <v>SMB</v>
          </cell>
          <cell r="G1384">
            <v>42461</v>
          </cell>
        </row>
        <row r="1385">
          <cell r="C1385" t="str">
            <v>USD</v>
          </cell>
          <cell r="D1385" t="str">
            <v>SMB</v>
          </cell>
          <cell r="G1385">
            <v>44774</v>
          </cell>
        </row>
        <row r="1386">
          <cell r="C1386" t="str">
            <v>USD</v>
          </cell>
          <cell r="D1386" t="str">
            <v>SMB</v>
          </cell>
          <cell r="G1386">
            <v>45161</v>
          </cell>
        </row>
        <row r="1387">
          <cell r="C1387" t="str">
            <v>USD</v>
          </cell>
          <cell r="D1387" t="str">
            <v>SMB</v>
          </cell>
          <cell r="G1387">
            <v>45229</v>
          </cell>
        </row>
        <row r="1388">
          <cell r="C1388" t="str">
            <v>USD</v>
          </cell>
          <cell r="D1388" t="str">
            <v>SMB</v>
          </cell>
          <cell r="G1388">
            <v>45260</v>
          </cell>
        </row>
        <row r="1389">
          <cell r="C1389" t="str">
            <v>USD</v>
          </cell>
          <cell r="D1389" t="str">
            <v>SMB</v>
          </cell>
          <cell r="G1389">
            <v>45352</v>
          </cell>
        </row>
        <row r="1390">
          <cell r="C1390" t="str">
            <v>USD</v>
          </cell>
          <cell r="D1390" t="str">
            <v>SMB</v>
          </cell>
          <cell r="G1390">
            <v>45379</v>
          </cell>
        </row>
        <row r="1391">
          <cell r="C1391" t="str">
            <v>USD</v>
          </cell>
          <cell r="D1391" t="str">
            <v>SMB</v>
          </cell>
          <cell r="G1391">
            <v>45043</v>
          </cell>
        </row>
        <row r="1392">
          <cell r="C1392" t="str">
            <v>USD</v>
          </cell>
          <cell r="D1392" t="str">
            <v>SMB</v>
          </cell>
          <cell r="G1392">
            <v>45547</v>
          </cell>
        </row>
        <row r="1393">
          <cell r="C1393" t="str">
            <v>USD</v>
          </cell>
          <cell r="D1393" t="str">
            <v>SMB</v>
          </cell>
          <cell r="G1393">
            <v>45562</v>
          </cell>
        </row>
        <row r="1394">
          <cell r="C1394" t="str">
            <v>USD</v>
          </cell>
          <cell r="D1394" t="str">
            <v>SMB</v>
          </cell>
          <cell r="G1394">
            <v>45580</v>
          </cell>
        </row>
        <row r="1395">
          <cell r="C1395" t="str">
            <v>USD</v>
          </cell>
          <cell r="D1395" t="str">
            <v>SMB</v>
          </cell>
          <cell r="G1395">
            <v>45625</v>
          </cell>
        </row>
        <row r="1396">
          <cell r="C1396" t="str">
            <v>USD</v>
          </cell>
          <cell r="D1396" t="str">
            <v>SMB</v>
          </cell>
          <cell r="G1396">
            <v>45656</v>
          </cell>
        </row>
        <row r="1397">
          <cell r="C1397" t="str">
            <v>USD</v>
          </cell>
          <cell r="D1397" t="str">
            <v>SMB</v>
          </cell>
          <cell r="G1397">
            <v>45674</v>
          </cell>
        </row>
        <row r="1398">
          <cell r="C1398" t="str">
            <v>USD</v>
          </cell>
          <cell r="D1398" t="str">
            <v>SMB</v>
          </cell>
          <cell r="G1398">
            <v>45559</v>
          </cell>
        </row>
        <row r="1399">
          <cell r="C1399" t="str">
            <v>USD</v>
          </cell>
          <cell r="D1399" t="str">
            <v>SMB</v>
          </cell>
          <cell r="G1399">
            <v>45650</v>
          </cell>
        </row>
        <row r="1400">
          <cell r="C1400" t="str">
            <v>USD</v>
          </cell>
          <cell r="D1400" t="str">
            <v>SMB</v>
          </cell>
          <cell r="G1400">
            <v>45706</v>
          </cell>
        </row>
        <row r="1401">
          <cell r="C1401" t="str">
            <v>USD</v>
          </cell>
          <cell r="D1401" t="str">
            <v>SMB</v>
          </cell>
          <cell r="G1401">
            <v>45706</v>
          </cell>
        </row>
        <row r="1402">
          <cell r="C1402" t="str">
            <v>USD</v>
          </cell>
          <cell r="D1402" t="str">
            <v>SMB</v>
          </cell>
          <cell r="G1402">
            <v>45413</v>
          </cell>
        </row>
        <row r="1403">
          <cell r="C1403" t="str">
            <v>USD</v>
          </cell>
          <cell r="D1403" t="str">
            <v>SMB</v>
          </cell>
          <cell r="G1403">
            <v>45833</v>
          </cell>
        </row>
        <row r="1404">
          <cell r="C1404" t="str">
            <v>USD</v>
          </cell>
          <cell r="D1404" t="str">
            <v>SMB</v>
          </cell>
          <cell r="G1404">
            <v>45706</v>
          </cell>
        </row>
        <row r="1405">
          <cell r="C1405" t="str">
            <v>EUR</v>
          </cell>
          <cell r="D1405" t="str">
            <v>SMB</v>
          </cell>
        </row>
        <row r="1406">
          <cell r="C1406" t="str">
            <v>Kur Sabitleme</v>
          </cell>
          <cell r="D1406" t="str">
            <v>SMB</v>
          </cell>
        </row>
        <row r="1407">
          <cell r="C1407" t="str">
            <v>TERAKKI VAKFI ÖZEL SISLI TERAKKI LISESI</v>
          </cell>
          <cell r="D1407" t="str">
            <v>SMB</v>
          </cell>
          <cell r="E1407">
            <v>0</v>
          </cell>
          <cell r="F1407" t="str">
            <v>…..</v>
          </cell>
          <cell r="G1407">
            <v>44002</v>
          </cell>
        </row>
        <row r="1408">
          <cell r="C1408" t="str">
            <v>TL</v>
          </cell>
          <cell r="D1408" t="str">
            <v>SMB</v>
          </cell>
          <cell r="G1408">
            <v>44002</v>
          </cell>
        </row>
        <row r="1409">
          <cell r="C1409" t="str">
            <v>USD</v>
          </cell>
          <cell r="D1409" t="str">
            <v>SMB</v>
          </cell>
        </row>
        <row r="1410">
          <cell r="C1410" t="str">
            <v>EUR</v>
          </cell>
          <cell r="D1410" t="str">
            <v>SMB</v>
          </cell>
        </row>
        <row r="1411">
          <cell r="C1411" t="str">
            <v>Kur Sabitleme</v>
          </cell>
          <cell r="D1411" t="str">
            <v>SMB</v>
          </cell>
        </row>
        <row r="1412">
          <cell r="C1412" t="str">
            <v>TK 34 YIYECEK IÇECEK GIDA RESTORAN TUR.TIC.SAN.LTD</v>
          </cell>
          <cell r="D1412" t="str">
            <v>SMB</v>
          </cell>
          <cell r="E1412">
            <v>0</v>
          </cell>
          <cell r="F1412" t="str">
            <v>…..</v>
          </cell>
          <cell r="G1412">
            <v>42410</v>
          </cell>
        </row>
        <row r="1413">
          <cell r="C1413" t="str">
            <v>TL</v>
          </cell>
          <cell r="D1413" t="str">
            <v>SMB</v>
          </cell>
        </row>
        <row r="1414">
          <cell r="C1414" t="str">
            <v>USD</v>
          </cell>
          <cell r="D1414" t="str">
            <v>SMB</v>
          </cell>
          <cell r="G1414">
            <v>42410</v>
          </cell>
        </row>
        <row r="1415">
          <cell r="C1415" t="str">
            <v>EUR</v>
          </cell>
          <cell r="D1415" t="str">
            <v>SMB</v>
          </cell>
        </row>
        <row r="1416">
          <cell r="C1416" t="str">
            <v>Kur Sabitleme</v>
          </cell>
          <cell r="D1416" t="str">
            <v>SMB</v>
          </cell>
        </row>
        <row r="1417">
          <cell r="C1417" t="str">
            <v>TRIO SES ISIK VE GÖRÜNTÜ SISTEMLERI A.S.</v>
          </cell>
          <cell r="D1417" t="str">
            <v>SMB</v>
          </cell>
          <cell r="E1417">
            <v>0</v>
          </cell>
          <cell r="F1417" t="str">
            <v>A-MB479</v>
          </cell>
          <cell r="G1417">
            <v>42886</v>
          </cell>
        </row>
        <row r="1418">
          <cell r="C1418" t="str">
            <v>TL</v>
          </cell>
          <cell r="D1418" t="str">
            <v>SMB</v>
          </cell>
        </row>
        <row r="1419">
          <cell r="C1419" t="str">
            <v>USD</v>
          </cell>
          <cell r="D1419" t="str">
            <v>SMB</v>
          </cell>
          <cell r="G1419">
            <v>42886</v>
          </cell>
        </row>
        <row r="1420">
          <cell r="C1420" t="str">
            <v>USD</v>
          </cell>
          <cell r="D1420" t="str">
            <v>SMB</v>
          </cell>
          <cell r="G1420">
            <v>45687</v>
          </cell>
        </row>
        <row r="1421">
          <cell r="C1421" t="str">
            <v>EUR</v>
          </cell>
          <cell r="D1421" t="str">
            <v>SMB</v>
          </cell>
        </row>
        <row r="1422">
          <cell r="C1422" t="str">
            <v>Kur Sabitleme</v>
          </cell>
          <cell r="D1422" t="str">
            <v>SMB</v>
          </cell>
        </row>
        <row r="1423">
          <cell r="C1423" t="str">
            <v>TSM DANISMANLIK ORGA.VE PAZ. AS.</v>
          </cell>
          <cell r="D1423" t="str">
            <v>SMB</v>
          </cell>
          <cell r="E1423">
            <v>0</v>
          </cell>
          <cell r="F1423" t="str">
            <v>…..</v>
          </cell>
          <cell r="G1423">
            <v>43922</v>
          </cell>
        </row>
        <row r="1424">
          <cell r="C1424" t="str">
            <v>TL</v>
          </cell>
          <cell r="D1424" t="str">
            <v>SMB</v>
          </cell>
        </row>
        <row r="1425">
          <cell r="C1425" t="str">
            <v>USD</v>
          </cell>
          <cell r="D1425" t="str">
            <v>SMB</v>
          </cell>
          <cell r="G1425">
            <v>43922</v>
          </cell>
        </row>
        <row r="1426">
          <cell r="C1426" t="str">
            <v>EUR</v>
          </cell>
          <cell r="D1426" t="str">
            <v>SMB</v>
          </cell>
        </row>
        <row r="1427">
          <cell r="C1427" t="str">
            <v>Kur Sabitleme</v>
          </cell>
          <cell r="D1427" t="str">
            <v>SMB</v>
          </cell>
        </row>
        <row r="1428">
          <cell r="C1428" t="str">
            <v>TURGUT ALTON MIMARLIK MÜSAVIRLIK LTD.STI.</v>
          </cell>
          <cell r="D1428" t="str">
            <v>SMB</v>
          </cell>
          <cell r="E1428">
            <v>0</v>
          </cell>
          <cell r="F1428" t="str">
            <v>A-MB039</v>
          </cell>
          <cell r="G1428">
            <v>40452</v>
          </cell>
        </row>
        <row r="1429">
          <cell r="C1429" t="str">
            <v>TL</v>
          </cell>
          <cell r="D1429" t="str">
            <v>SMB</v>
          </cell>
        </row>
        <row r="1430">
          <cell r="C1430" t="str">
            <v>USD</v>
          </cell>
          <cell r="D1430" t="str">
            <v>SMB</v>
          </cell>
          <cell r="G1430">
            <v>40452</v>
          </cell>
        </row>
        <row r="1431">
          <cell r="C1431" t="str">
            <v>USD</v>
          </cell>
          <cell r="D1431" t="str">
            <v>SMB</v>
          </cell>
          <cell r="G1431">
            <v>44774</v>
          </cell>
        </row>
        <row r="1432">
          <cell r="C1432" t="str">
            <v>USD</v>
          </cell>
          <cell r="D1432" t="str">
            <v>SMB</v>
          </cell>
        </row>
        <row r="1433">
          <cell r="C1433" t="str">
            <v>EUR</v>
          </cell>
          <cell r="D1433" t="str">
            <v>SMB</v>
          </cell>
        </row>
        <row r="1434">
          <cell r="C1434" t="str">
            <v>Kur Sabitleme</v>
          </cell>
          <cell r="D1434" t="str">
            <v>SMB</v>
          </cell>
        </row>
        <row r="1435">
          <cell r="C1435" t="str">
            <v>TÜRKİYE SINAI KALKINMA BANKASI A.S.</v>
          </cell>
          <cell r="D1435" t="str">
            <v>Enterprise</v>
          </cell>
          <cell r="E1435">
            <v>0</v>
          </cell>
          <cell r="F1435" t="str">
            <v>…..</v>
          </cell>
          <cell r="G1435">
            <v>43189</v>
          </cell>
        </row>
        <row r="1436">
          <cell r="C1436" t="str">
            <v>TL</v>
          </cell>
          <cell r="D1436" t="str">
            <v>Enterprise</v>
          </cell>
        </row>
        <row r="1437">
          <cell r="C1437" t="str">
            <v>USD</v>
          </cell>
          <cell r="D1437" t="str">
            <v>Enterprise</v>
          </cell>
          <cell r="G1437">
            <v>43189</v>
          </cell>
        </row>
        <row r="1438">
          <cell r="C1438" t="str">
            <v>EUR</v>
          </cell>
          <cell r="D1438" t="str">
            <v>Enterprise</v>
          </cell>
        </row>
        <row r="1439">
          <cell r="C1439" t="str">
            <v>Kur Sabitleme</v>
          </cell>
          <cell r="D1439" t="str">
            <v>Enterprise</v>
          </cell>
        </row>
        <row r="1440">
          <cell r="C1440" t="str">
            <v>TURKVEN Turk Ventures Advisory Limited</v>
          </cell>
          <cell r="D1440" t="str">
            <v>SMB</v>
          </cell>
          <cell r="E1440">
            <v>0</v>
          </cell>
          <cell r="F1440" t="str">
            <v>A-MB339</v>
          </cell>
          <cell r="G1440">
            <v>44256</v>
          </cell>
        </row>
        <row r="1441">
          <cell r="C1441" t="str">
            <v>TL</v>
          </cell>
          <cell r="D1441" t="str">
            <v>SMB</v>
          </cell>
          <cell r="G1441">
            <v>44256</v>
          </cell>
        </row>
        <row r="1442">
          <cell r="C1442" t="str">
            <v>USD</v>
          </cell>
          <cell r="D1442" t="str">
            <v>SMB</v>
          </cell>
          <cell r="G1442">
            <v>45316</v>
          </cell>
        </row>
        <row r="1443">
          <cell r="C1443" t="str">
            <v>EUR</v>
          </cell>
          <cell r="D1443" t="str">
            <v>SMB</v>
          </cell>
        </row>
        <row r="1444">
          <cell r="C1444" t="str">
            <v>Kur Sabitleme</v>
          </cell>
          <cell r="D1444" t="str">
            <v>SMB</v>
          </cell>
        </row>
        <row r="1445">
          <cell r="C1445" t="str">
            <v>TURSOY OTELCILIK VE TURIZM YATIRIMLARI A.S</v>
          </cell>
          <cell r="D1445" t="str">
            <v>SMB</v>
          </cell>
          <cell r="E1445">
            <v>0</v>
          </cell>
          <cell r="F1445" t="str">
            <v>MB-MERKEZ01</v>
          </cell>
          <cell r="G1445">
            <v>44634</v>
          </cell>
        </row>
        <row r="1446">
          <cell r="C1446" t="str">
            <v>TL</v>
          </cell>
          <cell r="D1446" t="str">
            <v>SMB</v>
          </cell>
          <cell r="G1446">
            <v>45383</v>
          </cell>
        </row>
        <row r="1447">
          <cell r="C1447" t="str">
            <v>TL</v>
          </cell>
          <cell r="D1447" t="str">
            <v>SMB</v>
          </cell>
          <cell r="G1447">
            <v>45383</v>
          </cell>
        </row>
        <row r="1448">
          <cell r="C1448" t="str">
            <v>TL</v>
          </cell>
          <cell r="D1448" t="str">
            <v>SMB</v>
          </cell>
          <cell r="G1448">
            <v>45170</v>
          </cell>
        </row>
        <row r="1449">
          <cell r="C1449" t="str">
            <v>USD</v>
          </cell>
          <cell r="D1449" t="str">
            <v>SMB</v>
          </cell>
          <cell r="G1449">
            <v>44634</v>
          </cell>
        </row>
        <row r="1450">
          <cell r="C1450" t="str">
            <v>USD</v>
          </cell>
          <cell r="D1450" t="str">
            <v>SMB</v>
          </cell>
          <cell r="G1450">
            <v>45562</v>
          </cell>
        </row>
        <row r="1451">
          <cell r="C1451" t="str">
            <v>USD</v>
          </cell>
          <cell r="D1451" t="str">
            <v>SMB</v>
          </cell>
          <cell r="G1451">
            <v>45547</v>
          </cell>
        </row>
        <row r="1452">
          <cell r="C1452" t="str">
            <v>USD</v>
          </cell>
          <cell r="D1452" t="str">
            <v>SMB</v>
          </cell>
          <cell r="G1452">
            <v>45743</v>
          </cell>
        </row>
        <row r="1453">
          <cell r="C1453" t="str">
            <v>USD</v>
          </cell>
          <cell r="D1453" t="str">
            <v>SMB</v>
          </cell>
          <cell r="G1453">
            <v>45589</v>
          </cell>
        </row>
        <row r="1454">
          <cell r="C1454" t="str">
            <v>USD</v>
          </cell>
          <cell r="D1454" t="str">
            <v>SMB</v>
          </cell>
          <cell r="G1454">
            <v>45625</v>
          </cell>
        </row>
        <row r="1455">
          <cell r="C1455" t="str">
            <v>USD</v>
          </cell>
          <cell r="D1455" t="str">
            <v>SMB</v>
          </cell>
          <cell r="G1455">
            <v>45912</v>
          </cell>
        </row>
        <row r="1456">
          <cell r="C1456" t="str">
            <v>EUR</v>
          </cell>
          <cell r="D1456" t="str">
            <v>SMB</v>
          </cell>
        </row>
        <row r="1457">
          <cell r="C1457" t="str">
            <v>Kur Sabitleme</v>
          </cell>
          <cell r="D1457" t="str">
            <v>SMB</v>
          </cell>
        </row>
        <row r="1458">
          <cell r="C1458" t="str">
            <v>HBM GIDA SANAYİ VE DIŞ TİCARET</v>
          </cell>
          <cell r="D1458" t="str">
            <v>SMB</v>
          </cell>
          <cell r="E1458">
            <v>0</v>
          </cell>
          <cell r="F1458" t="str">
            <v>A-MB575</v>
          </cell>
          <cell r="G1458">
            <v>44316</v>
          </cell>
        </row>
        <row r="1459">
          <cell r="C1459" t="str">
            <v>TL</v>
          </cell>
          <cell r="D1459" t="str">
            <v>SMB</v>
          </cell>
        </row>
        <row r="1460">
          <cell r="C1460" t="str">
            <v>USD</v>
          </cell>
          <cell r="D1460" t="str">
            <v>SMB</v>
          </cell>
          <cell r="G1460">
            <v>44316</v>
          </cell>
        </row>
        <row r="1461">
          <cell r="C1461" t="str">
            <v>USD</v>
          </cell>
          <cell r="D1461" t="str">
            <v>SMB</v>
          </cell>
          <cell r="G1461">
            <v>45625</v>
          </cell>
        </row>
        <row r="1462">
          <cell r="C1462" t="str">
            <v>USD</v>
          </cell>
          <cell r="D1462" t="str">
            <v>SMB</v>
          </cell>
          <cell r="G1462">
            <v>45643</v>
          </cell>
        </row>
        <row r="1463">
          <cell r="C1463" t="str">
            <v>EUR</v>
          </cell>
          <cell r="D1463" t="str">
            <v>SMB</v>
          </cell>
        </row>
        <row r="1464">
          <cell r="C1464" t="str">
            <v>Kur Sabitleme</v>
          </cell>
          <cell r="D1464" t="str">
            <v>SMB</v>
          </cell>
        </row>
        <row r="1465">
          <cell r="C1465" t="str">
            <v>ULUSAL FAKTORING A.S.</v>
          </cell>
          <cell r="D1465" t="str">
            <v>Enterprise</v>
          </cell>
          <cell r="E1465">
            <v>0</v>
          </cell>
          <cell r="F1465" t="str">
            <v>…..</v>
          </cell>
          <cell r="G1465">
            <v>44105</v>
          </cell>
        </row>
        <row r="1466">
          <cell r="C1466" t="str">
            <v>TL</v>
          </cell>
          <cell r="D1466" t="str">
            <v>Enterprise</v>
          </cell>
          <cell r="G1466">
            <v>44105</v>
          </cell>
        </row>
        <row r="1467">
          <cell r="C1467" t="str">
            <v>USD</v>
          </cell>
          <cell r="D1467" t="str">
            <v>Enterprise</v>
          </cell>
        </row>
        <row r="1468">
          <cell r="C1468" t="str">
            <v>EUR</v>
          </cell>
          <cell r="D1468" t="str">
            <v>Enterprise</v>
          </cell>
        </row>
        <row r="1469">
          <cell r="C1469" t="str">
            <v>Kur Sabitleme</v>
          </cell>
          <cell r="D1469" t="str">
            <v>Enterprise</v>
          </cell>
        </row>
        <row r="1470">
          <cell r="C1470" t="str">
            <v>UMTAS ULUSLARARASI MAKINA TIC. A.S.</v>
          </cell>
          <cell r="D1470" t="str">
            <v>SMB</v>
          </cell>
          <cell r="E1470">
            <v>0</v>
          </cell>
          <cell r="F1470" t="str">
            <v>…..</v>
          </cell>
          <cell r="G1470">
            <v>41646</v>
          </cell>
        </row>
        <row r="1471">
          <cell r="C1471" t="str">
            <v>TL</v>
          </cell>
          <cell r="D1471" t="str">
            <v>SMB</v>
          </cell>
          <cell r="G1471">
            <v>41850</v>
          </cell>
        </row>
        <row r="1472">
          <cell r="C1472" t="str">
            <v>USD</v>
          </cell>
          <cell r="D1472" t="str">
            <v>SMB</v>
          </cell>
          <cell r="G1472">
            <v>41646</v>
          </cell>
        </row>
        <row r="1473">
          <cell r="C1473" t="str">
            <v>USD</v>
          </cell>
          <cell r="D1473" t="str">
            <v>SMB</v>
          </cell>
          <cell r="G1473">
            <v>41821</v>
          </cell>
        </row>
        <row r="1474">
          <cell r="C1474" t="str">
            <v>USD</v>
          </cell>
          <cell r="D1474" t="str">
            <v>SMB</v>
          </cell>
          <cell r="G1474">
            <v>44847</v>
          </cell>
        </row>
        <row r="1475">
          <cell r="C1475" t="str">
            <v>EUR</v>
          </cell>
          <cell r="D1475" t="str">
            <v>SMB</v>
          </cell>
        </row>
        <row r="1476">
          <cell r="C1476" t="str">
            <v>Kur Sabitleme</v>
          </cell>
          <cell r="D1476" t="str">
            <v>SMB</v>
          </cell>
        </row>
        <row r="1477">
          <cell r="C1477" t="str">
            <v>VIKING TURIZM</v>
          </cell>
          <cell r="D1477" t="str">
            <v>SMB</v>
          </cell>
          <cell r="E1477">
            <v>0</v>
          </cell>
          <cell r="F1477" t="str">
            <v>A-MB434</v>
          </cell>
          <cell r="G1477">
            <v>44562</v>
          </cell>
        </row>
        <row r="1478">
          <cell r="C1478" t="str">
            <v>TL</v>
          </cell>
          <cell r="D1478" t="str">
            <v>SMB</v>
          </cell>
          <cell r="G1478">
            <v>44562</v>
          </cell>
        </row>
        <row r="1479">
          <cell r="C1479" t="str">
            <v>USD</v>
          </cell>
          <cell r="D1479" t="str">
            <v>SMB</v>
          </cell>
          <cell r="G1479">
            <v>45017</v>
          </cell>
        </row>
        <row r="1480">
          <cell r="C1480" t="str">
            <v>EUR</v>
          </cell>
          <cell r="D1480" t="str">
            <v>SMB</v>
          </cell>
        </row>
        <row r="1481">
          <cell r="C1481" t="str">
            <v>Kur Sabitleme</v>
          </cell>
          <cell r="D1481" t="str">
            <v>SMB</v>
          </cell>
        </row>
        <row r="1482">
          <cell r="C1482" t="str">
            <v>WEIR TURKEY MINERALLERI LTD.STI.</v>
          </cell>
          <cell r="D1482" t="str">
            <v>SMB</v>
          </cell>
          <cell r="E1482">
            <v>0</v>
          </cell>
          <cell r="F1482" t="str">
            <v>A-MB493</v>
          </cell>
          <cell r="G1482">
            <v>43084</v>
          </cell>
        </row>
        <row r="1483">
          <cell r="C1483" t="str">
            <v>TL</v>
          </cell>
          <cell r="D1483" t="str">
            <v>SMB</v>
          </cell>
          <cell r="G1483">
            <v>43518</v>
          </cell>
        </row>
        <row r="1484">
          <cell r="C1484" t="str">
            <v>USD</v>
          </cell>
          <cell r="D1484" t="str">
            <v>SMB</v>
          </cell>
          <cell r="G1484">
            <v>43084</v>
          </cell>
        </row>
        <row r="1485">
          <cell r="C1485" t="str">
            <v>EUR</v>
          </cell>
          <cell r="D1485" t="str">
            <v>SMB</v>
          </cell>
        </row>
        <row r="1486">
          <cell r="C1486" t="str">
            <v>Kur Sabitleme</v>
          </cell>
          <cell r="D1486" t="str">
            <v>SMB</v>
          </cell>
        </row>
        <row r="1487">
          <cell r="C1487" t="str">
            <v>YARGICI KONFEKSIYON IHRACAT VE TICARET AS.</v>
          </cell>
          <cell r="D1487" t="str">
            <v>SMB</v>
          </cell>
          <cell r="E1487">
            <v>0</v>
          </cell>
          <cell r="F1487" t="str">
            <v>…..</v>
          </cell>
          <cell r="G1487">
            <v>42956</v>
          </cell>
        </row>
        <row r="1488">
          <cell r="C1488" t="str">
            <v>TL</v>
          </cell>
          <cell r="D1488" t="str">
            <v>SMB</v>
          </cell>
          <cell r="G1488">
            <v>42956</v>
          </cell>
        </row>
        <row r="1489">
          <cell r="C1489" t="str">
            <v>TL</v>
          </cell>
          <cell r="D1489" t="str">
            <v>SMB</v>
          </cell>
          <cell r="G1489">
            <v>42956</v>
          </cell>
        </row>
        <row r="1490">
          <cell r="C1490" t="str">
            <v>USD</v>
          </cell>
          <cell r="D1490" t="str">
            <v>SMB</v>
          </cell>
        </row>
        <row r="1491">
          <cell r="C1491" t="str">
            <v>EUR</v>
          </cell>
          <cell r="D1491" t="str">
            <v>SMB</v>
          </cell>
        </row>
        <row r="1492">
          <cell r="C1492" t="str">
            <v>Kur Sabitleme</v>
          </cell>
          <cell r="D1492" t="str">
            <v>SMB</v>
          </cell>
        </row>
        <row r="1493">
          <cell r="C1493" t="str">
            <v>YAYLAGÜL MULTİMEDYA BİLG.TİC.LTD ŞTİ (REVOTAS)</v>
          </cell>
          <cell r="D1493" t="str">
            <v>SMB</v>
          </cell>
          <cell r="E1493">
            <v>0</v>
          </cell>
          <cell r="F1493" t="str">
            <v>A-MB324</v>
          </cell>
          <cell r="G1493">
            <v>44160</v>
          </cell>
        </row>
        <row r="1494">
          <cell r="C1494" t="str">
            <v>TL</v>
          </cell>
          <cell r="D1494" t="str">
            <v>SMB</v>
          </cell>
          <cell r="G1494">
            <v>44160</v>
          </cell>
        </row>
        <row r="1495">
          <cell r="C1495" t="str">
            <v>USD</v>
          </cell>
          <cell r="D1495" t="str">
            <v>SMB</v>
          </cell>
          <cell r="G1495">
            <v>45043</v>
          </cell>
        </row>
        <row r="1496">
          <cell r="C1496" t="str">
            <v>EUR</v>
          </cell>
          <cell r="D1496" t="str">
            <v>SMB</v>
          </cell>
        </row>
        <row r="1497">
          <cell r="C1497" t="str">
            <v>Kur Sabitleme</v>
          </cell>
          <cell r="D1497" t="str">
            <v>SMB</v>
          </cell>
        </row>
        <row r="1498">
          <cell r="C1498" t="str">
            <v>YGBS EASY LIFE YÖNETİM HİZMETLERİ A.Ş.</v>
          </cell>
          <cell r="D1498" t="str">
            <v>SMB</v>
          </cell>
          <cell r="E1498">
            <v>0</v>
          </cell>
          <cell r="F1498" t="str">
            <v>…..</v>
          </cell>
          <cell r="G1498" t="str">
            <v/>
          </cell>
        </row>
        <row r="1499">
          <cell r="C1499" t="str">
            <v>TL</v>
          </cell>
          <cell r="D1499" t="str">
            <v>SMB</v>
          </cell>
        </row>
        <row r="1500">
          <cell r="C1500" t="str">
            <v>USD</v>
          </cell>
          <cell r="D1500" t="str">
            <v>SMB</v>
          </cell>
        </row>
        <row r="1501">
          <cell r="C1501" t="str">
            <v>EUR</v>
          </cell>
          <cell r="D1501" t="str">
            <v>SMB</v>
          </cell>
        </row>
        <row r="1502">
          <cell r="C1502" t="str">
            <v>Kur Sabitleme</v>
          </cell>
          <cell r="D1502" t="str">
            <v>SMB</v>
          </cell>
        </row>
        <row r="1503">
          <cell r="C1503" t="str">
            <v>YILDIZ BRONZ SAN VE TIC LTD. STI.</v>
          </cell>
          <cell r="D1503" t="str">
            <v>SMB</v>
          </cell>
          <cell r="E1503">
            <v>0</v>
          </cell>
          <cell r="F1503" t="str">
            <v>A-MB127</v>
          </cell>
          <cell r="G1503">
            <v>42444</v>
          </cell>
        </row>
        <row r="1504">
          <cell r="C1504" t="str">
            <v>TL</v>
          </cell>
          <cell r="D1504" t="str">
            <v>SMB</v>
          </cell>
          <cell r="G1504">
            <v>42444</v>
          </cell>
        </row>
        <row r="1505">
          <cell r="C1505" t="str">
            <v>USD</v>
          </cell>
          <cell r="D1505" t="str">
            <v>SMB</v>
          </cell>
          <cell r="G1505">
            <v>45825</v>
          </cell>
        </row>
        <row r="1506">
          <cell r="C1506" t="str">
            <v>USD</v>
          </cell>
          <cell r="D1506" t="str">
            <v>SMB</v>
          </cell>
          <cell r="G1506">
            <v>45657</v>
          </cell>
        </row>
        <row r="1507">
          <cell r="C1507" t="str">
            <v>EUR</v>
          </cell>
          <cell r="D1507" t="str">
            <v>SMB</v>
          </cell>
        </row>
        <row r="1508">
          <cell r="C1508" t="str">
            <v>Kur Sabitleme</v>
          </cell>
          <cell r="D1508" t="str">
            <v>SMB</v>
          </cell>
        </row>
        <row r="1509">
          <cell r="C1509" t="str">
            <v>ZAFER TAAHHÜT İNŞ. VE TİC. A.Ş.</v>
          </cell>
          <cell r="D1509" t="str">
            <v>SMB</v>
          </cell>
          <cell r="E1509">
            <v>0</v>
          </cell>
          <cell r="F1509" t="str">
            <v>A-MB233</v>
          </cell>
          <cell r="G1509">
            <v>44501</v>
          </cell>
        </row>
        <row r="1510">
          <cell r="C1510" t="str">
            <v>TL</v>
          </cell>
          <cell r="D1510" t="str">
            <v>SMB</v>
          </cell>
          <cell r="G1510">
            <v>44501</v>
          </cell>
        </row>
        <row r="1511">
          <cell r="C1511" t="str">
            <v>USD</v>
          </cell>
          <cell r="D1511" t="str">
            <v>SMB</v>
          </cell>
          <cell r="G1511">
            <v>45043</v>
          </cell>
        </row>
        <row r="1512">
          <cell r="C1512" t="str">
            <v>EUR</v>
          </cell>
          <cell r="D1512" t="str">
            <v>SMB</v>
          </cell>
        </row>
        <row r="1513">
          <cell r="C1513" t="str">
            <v>Kur Sabitleme</v>
          </cell>
          <cell r="D1513" t="str">
            <v>SMB</v>
          </cell>
        </row>
        <row r="1514">
          <cell r="C1514" t="str">
            <v>ZAMIL GROUP TURKEY INS.TURIZM VE ENDUSTRIYEL YATIR</v>
          </cell>
          <cell r="D1514" t="str">
            <v>SMB</v>
          </cell>
          <cell r="E1514">
            <v>0</v>
          </cell>
          <cell r="F1514" t="str">
            <v>A-MB064</v>
          </cell>
          <cell r="G1514">
            <v>41681</v>
          </cell>
        </row>
        <row r="1515">
          <cell r="C1515" t="str">
            <v>TL</v>
          </cell>
          <cell r="D1515" t="str">
            <v>SMB</v>
          </cell>
        </row>
        <row r="1516">
          <cell r="C1516" t="str">
            <v>USD</v>
          </cell>
          <cell r="D1516" t="str">
            <v>SMB</v>
          </cell>
          <cell r="G1516">
            <v>41681</v>
          </cell>
        </row>
        <row r="1517">
          <cell r="C1517" t="str">
            <v>USD</v>
          </cell>
          <cell r="D1517" t="str">
            <v>SMB</v>
          </cell>
        </row>
        <row r="1518">
          <cell r="C1518" t="str">
            <v>EUR</v>
          </cell>
          <cell r="D1518" t="str">
            <v>SMB</v>
          </cell>
        </row>
        <row r="1519">
          <cell r="C1519" t="str">
            <v>Kur Sabitleme</v>
          </cell>
          <cell r="D1519" t="str">
            <v>SMB</v>
          </cell>
        </row>
        <row r="1520">
          <cell r="C1520" t="str">
            <v>ZEKİ EDEBALI</v>
          </cell>
          <cell r="D1520" t="str">
            <v>SMB</v>
          </cell>
          <cell r="E1520">
            <v>0</v>
          </cell>
          <cell r="F1520" t="str">
            <v>…..</v>
          </cell>
          <cell r="G1520">
            <v>43096</v>
          </cell>
        </row>
        <row r="1521">
          <cell r="C1521" t="str">
            <v>TL</v>
          </cell>
          <cell r="D1521" t="str">
            <v>SMB</v>
          </cell>
          <cell r="G1521">
            <v>43096</v>
          </cell>
        </row>
        <row r="1522">
          <cell r="C1522" t="str">
            <v>USD</v>
          </cell>
          <cell r="D1522" t="str">
            <v>SMB</v>
          </cell>
          <cell r="G1522">
            <v>43096</v>
          </cell>
        </row>
        <row r="1523">
          <cell r="C1523" t="str">
            <v>EUR</v>
          </cell>
          <cell r="D1523" t="str">
            <v>SMB</v>
          </cell>
        </row>
        <row r="1524">
          <cell r="C1524" t="str">
            <v>Kur Sabitleme</v>
          </cell>
          <cell r="D1524" t="str">
            <v>SMB</v>
          </cell>
        </row>
        <row r="1525">
          <cell r="C1525" t="str">
            <v>ZNN GIRISIM DANISMANLIK NURGÜL SENEFE MUSTAFAOGLU</v>
          </cell>
          <cell r="D1525" t="str">
            <v>SMB</v>
          </cell>
          <cell r="E1525">
            <v>0</v>
          </cell>
          <cell r="F1525" t="str">
            <v>A-MB790</v>
          </cell>
          <cell r="G1525">
            <v>44286</v>
          </cell>
        </row>
        <row r="1526">
          <cell r="C1526" t="str">
            <v>TL</v>
          </cell>
          <cell r="D1526" t="str">
            <v>SMB</v>
          </cell>
        </row>
        <row r="1527">
          <cell r="C1527" t="str">
            <v>USD</v>
          </cell>
          <cell r="D1527" t="str">
            <v>SMB</v>
          </cell>
          <cell r="G1527">
            <v>44286</v>
          </cell>
        </row>
        <row r="1528">
          <cell r="C1528" t="str">
            <v>EUR</v>
          </cell>
          <cell r="D1528" t="str">
            <v>SMB</v>
          </cell>
        </row>
        <row r="1529">
          <cell r="C1529" t="str">
            <v>Kur Sabitleme</v>
          </cell>
          <cell r="D1529" t="str">
            <v>SMB</v>
          </cell>
        </row>
        <row r="1530">
          <cell r="C1530" t="str">
            <v>UNIFREE DUTY FREE İŞLETMECİLİĞİ A.Ş.</v>
          </cell>
          <cell r="D1530" t="str">
            <v>Enterprise</v>
          </cell>
          <cell r="E1530">
            <v>0</v>
          </cell>
          <cell r="F1530" t="str">
            <v>A-MB513</v>
          </cell>
          <cell r="G1530">
            <v>44742</v>
          </cell>
        </row>
        <row r="1531">
          <cell r="C1531" t="str">
            <v>TL</v>
          </cell>
          <cell r="D1531" t="str">
            <v>Enterprise</v>
          </cell>
          <cell r="G1531">
            <v>44742</v>
          </cell>
        </row>
        <row r="1532">
          <cell r="C1532" t="str">
            <v>TL</v>
          </cell>
          <cell r="D1532" t="str">
            <v>Enterprise</v>
          </cell>
          <cell r="G1532">
            <v>45446</v>
          </cell>
        </row>
        <row r="1533">
          <cell r="C1533" t="str">
            <v>USD</v>
          </cell>
          <cell r="D1533" t="str">
            <v>Enterprise</v>
          </cell>
          <cell r="G1533">
            <v>44827</v>
          </cell>
        </row>
        <row r="1534">
          <cell r="C1534" t="str">
            <v>USD</v>
          </cell>
          <cell r="D1534" t="str">
            <v>Enterprise</v>
          </cell>
        </row>
        <row r="1535">
          <cell r="C1535" t="str">
            <v>EUR</v>
          </cell>
          <cell r="D1535" t="str">
            <v>Enterprise</v>
          </cell>
        </row>
        <row r="1536">
          <cell r="C1536" t="str">
            <v>Kur Sabitleme</v>
          </cell>
          <cell r="D1536" t="str">
            <v>Enterprise</v>
          </cell>
        </row>
        <row r="1537">
          <cell r="C1537" t="str">
            <v>TITAN HAVACILIK ANONIM SIRKETI</v>
          </cell>
          <cell r="D1537" t="str">
            <v>SMB</v>
          </cell>
          <cell r="E1537" t="str">
            <v>KANAL YOK</v>
          </cell>
          <cell r="F1537" t="str">
            <v>A-MB579</v>
          </cell>
          <cell r="G1537">
            <v>44736</v>
          </cell>
        </row>
        <row r="1538">
          <cell r="C1538" t="str">
            <v>TL</v>
          </cell>
          <cell r="D1538" t="str">
            <v>SMB</v>
          </cell>
        </row>
        <row r="1539">
          <cell r="C1539" t="str">
            <v>USD</v>
          </cell>
          <cell r="D1539" t="str">
            <v>SMB</v>
          </cell>
          <cell r="G1539">
            <v>44736</v>
          </cell>
        </row>
        <row r="1540">
          <cell r="C1540" t="str">
            <v>USD</v>
          </cell>
          <cell r="D1540" t="str">
            <v>SMB</v>
          </cell>
          <cell r="G1540">
            <v>45667</v>
          </cell>
        </row>
        <row r="1541">
          <cell r="C1541" t="str">
            <v>EUR</v>
          </cell>
          <cell r="D1541" t="str">
            <v>SMB</v>
          </cell>
        </row>
        <row r="1542">
          <cell r="C1542" t="str">
            <v>Kur Sabitleme</v>
          </cell>
          <cell r="D1542" t="str">
            <v>SMB</v>
          </cell>
        </row>
        <row r="1543">
          <cell r="C1543" t="str">
            <v>ORBITER AVIATION LIMITED</v>
          </cell>
          <cell r="D1543" t="str">
            <v>SMB</v>
          </cell>
          <cell r="E1543" t="str">
            <v>KANAL YOK</v>
          </cell>
          <cell r="F1543" t="str">
            <v>A-MB722</v>
          </cell>
          <cell r="G1543">
            <v>45352</v>
          </cell>
        </row>
        <row r="1544">
          <cell r="C1544" t="str">
            <v>TL</v>
          </cell>
          <cell r="D1544" t="str">
            <v>SMB</v>
          </cell>
        </row>
        <row r="1545">
          <cell r="C1545" t="str">
            <v>USD</v>
          </cell>
          <cell r="D1545" t="str">
            <v>SMB</v>
          </cell>
          <cell r="G1545">
            <v>45352</v>
          </cell>
        </row>
        <row r="1546">
          <cell r="C1546" t="str">
            <v>USD</v>
          </cell>
          <cell r="D1546" t="str">
            <v>SMB</v>
          </cell>
          <cell r="G1546">
            <v>45667</v>
          </cell>
        </row>
        <row r="1547">
          <cell r="C1547" t="str">
            <v>EUR</v>
          </cell>
          <cell r="D1547" t="str">
            <v>SMB</v>
          </cell>
        </row>
        <row r="1548">
          <cell r="C1548" t="str">
            <v>Kur Sabitleme</v>
          </cell>
          <cell r="D1548" t="str">
            <v>SMB</v>
          </cell>
        </row>
        <row r="1549">
          <cell r="C1549" t="str">
            <v>FORCE&amp;BROTHERS DANIŞMANLIK A.Ş.</v>
          </cell>
          <cell r="D1549" t="str">
            <v>SMB</v>
          </cell>
          <cell r="E1549">
            <v>0</v>
          </cell>
          <cell r="F1549" t="str">
            <v>…..</v>
          </cell>
          <cell r="G1549" t="str">
            <v/>
          </cell>
        </row>
        <row r="1550">
          <cell r="C1550" t="str">
            <v>TL</v>
          </cell>
          <cell r="D1550" t="str">
            <v>SMB</v>
          </cell>
        </row>
        <row r="1551">
          <cell r="C1551" t="str">
            <v>USD</v>
          </cell>
          <cell r="D1551" t="str">
            <v>SMB</v>
          </cell>
        </row>
        <row r="1552">
          <cell r="C1552" t="str">
            <v>EUR</v>
          </cell>
          <cell r="D1552" t="str">
            <v>SMB</v>
          </cell>
        </row>
        <row r="1553">
          <cell r="C1553" t="str">
            <v>Kur Sabitleme</v>
          </cell>
          <cell r="D1553" t="str">
            <v>SMB</v>
          </cell>
        </row>
        <row r="1554">
          <cell r="C1554" t="str">
            <v>MULLEN LOWE ISTANBUL REKLAMCILIK A.S</v>
          </cell>
          <cell r="D1554" t="str">
            <v>SMB</v>
          </cell>
          <cell r="E1554">
            <v>0</v>
          </cell>
          <cell r="F1554" t="str">
            <v>A-MB412</v>
          </cell>
          <cell r="G1554">
            <v>43573</v>
          </cell>
        </row>
        <row r="1555">
          <cell r="C1555" t="str">
            <v>TL</v>
          </cell>
          <cell r="D1555" t="str">
            <v>SMB</v>
          </cell>
        </row>
        <row r="1556">
          <cell r="C1556" t="str">
            <v>USD</v>
          </cell>
          <cell r="D1556" t="str">
            <v>SMB</v>
          </cell>
          <cell r="G1556">
            <v>43573</v>
          </cell>
        </row>
        <row r="1557">
          <cell r="C1557" t="str">
            <v>EUR</v>
          </cell>
          <cell r="D1557" t="str">
            <v>SMB</v>
          </cell>
        </row>
        <row r="1558">
          <cell r="C1558" t="str">
            <v>Kur Sabitleme</v>
          </cell>
          <cell r="D1558" t="str">
            <v>SMB</v>
          </cell>
        </row>
        <row r="1559">
          <cell r="C1559" t="str">
            <v>VIPFASHION TEKSTİL LİMİTED ŞİRKETİ</v>
          </cell>
          <cell r="D1559" t="str">
            <v>SMB</v>
          </cell>
          <cell r="E1559">
            <v>0</v>
          </cell>
          <cell r="F1559" t="str">
            <v>A-MB530</v>
          </cell>
          <cell r="G1559">
            <v>44742</v>
          </cell>
        </row>
        <row r="1560">
          <cell r="C1560" t="str">
            <v>TL</v>
          </cell>
          <cell r="D1560" t="str">
            <v>SMB</v>
          </cell>
          <cell r="G1560">
            <v>44742</v>
          </cell>
        </row>
        <row r="1561">
          <cell r="C1561" t="str">
            <v>USD</v>
          </cell>
          <cell r="D1561" t="str">
            <v>SMB</v>
          </cell>
          <cell r="G1561">
            <v>44978</v>
          </cell>
        </row>
        <row r="1562">
          <cell r="C1562" t="str">
            <v>USD</v>
          </cell>
          <cell r="D1562" t="str">
            <v>SMB</v>
          </cell>
          <cell r="G1562">
            <v>45699</v>
          </cell>
        </row>
        <row r="1563">
          <cell r="C1563" t="str">
            <v>USD</v>
          </cell>
          <cell r="D1563" t="str">
            <v>SMB</v>
          </cell>
        </row>
        <row r="1564">
          <cell r="C1564" t="str">
            <v>EUR</v>
          </cell>
          <cell r="D1564" t="str">
            <v>SMB</v>
          </cell>
        </row>
        <row r="1565">
          <cell r="C1565" t="str">
            <v>Kur Sabitleme</v>
          </cell>
          <cell r="D1565" t="str">
            <v>SMB</v>
          </cell>
        </row>
        <row r="1566">
          <cell r="C1566" t="str">
            <v>PI SEYAHAT TEKNOLOJIDAGITIM VE DANISMANLIK A.S.</v>
          </cell>
          <cell r="D1566" t="str">
            <v>SMB</v>
          </cell>
          <cell r="E1566">
            <v>0</v>
          </cell>
          <cell r="F1566" t="str">
            <v>A-MB540</v>
          </cell>
          <cell r="G1566">
            <v>44783</v>
          </cell>
        </row>
        <row r="1567">
          <cell r="C1567" t="str">
            <v>TL</v>
          </cell>
          <cell r="D1567" t="str">
            <v>SMB</v>
          </cell>
          <cell r="G1567">
            <v>44783</v>
          </cell>
        </row>
        <row r="1568">
          <cell r="C1568" t="str">
            <v>USD</v>
          </cell>
          <cell r="D1568" t="str">
            <v>SMB</v>
          </cell>
          <cell r="G1568">
            <v>45190</v>
          </cell>
        </row>
        <row r="1569">
          <cell r="C1569" t="str">
            <v>EUR</v>
          </cell>
          <cell r="D1569" t="str">
            <v>SMB</v>
          </cell>
        </row>
        <row r="1570">
          <cell r="C1570" t="str">
            <v>Kur Sabitleme</v>
          </cell>
          <cell r="D1570" t="str">
            <v>SMB</v>
          </cell>
        </row>
        <row r="1571">
          <cell r="C1571" t="str">
            <v xml:space="preserve">SPINE YÖNETİM İŞLETİM VE PAZARLAMA A.Ş.  </v>
          </cell>
          <cell r="D1571" t="str">
            <v>SMB</v>
          </cell>
          <cell r="E1571">
            <v>0</v>
          </cell>
          <cell r="F1571" t="str">
            <v>A-MB542</v>
          </cell>
          <cell r="G1571">
            <v>44791</v>
          </cell>
        </row>
        <row r="1572">
          <cell r="C1572" t="str">
            <v>TL</v>
          </cell>
          <cell r="D1572" t="str">
            <v>SMB</v>
          </cell>
        </row>
        <row r="1573">
          <cell r="C1573" t="str">
            <v>USD</v>
          </cell>
          <cell r="D1573" t="str">
            <v>SMB</v>
          </cell>
          <cell r="G1573">
            <v>44791</v>
          </cell>
        </row>
        <row r="1574">
          <cell r="C1574" t="str">
            <v>EUR</v>
          </cell>
          <cell r="D1574" t="str">
            <v>SMB</v>
          </cell>
        </row>
        <row r="1575">
          <cell r="C1575" t="str">
            <v>Kur Sabitleme</v>
          </cell>
          <cell r="D1575" t="str">
            <v>SMB</v>
          </cell>
        </row>
        <row r="1576">
          <cell r="C1576" t="str">
            <v>WYNDHAM HOTEL ( Reisler Turizm  )</v>
          </cell>
          <cell r="D1576" t="str">
            <v>Enterprise</v>
          </cell>
          <cell r="E1576">
            <v>0</v>
          </cell>
          <cell r="F1576" t="str">
            <v>…..</v>
          </cell>
          <cell r="G1576">
            <v>44774</v>
          </cell>
        </row>
        <row r="1577">
          <cell r="C1577" t="str">
            <v>TL</v>
          </cell>
          <cell r="D1577" t="str">
            <v>Enterprise</v>
          </cell>
          <cell r="G1577">
            <v>44774</v>
          </cell>
        </row>
        <row r="1578">
          <cell r="C1578" t="str">
            <v>USD</v>
          </cell>
          <cell r="D1578" t="str">
            <v>Enterprise</v>
          </cell>
          <cell r="G1578">
            <v>44774</v>
          </cell>
        </row>
        <row r="1579">
          <cell r="C1579" t="str">
            <v>EUR</v>
          </cell>
          <cell r="D1579" t="str">
            <v>Enterprise</v>
          </cell>
        </row>
        <row r="1580">
          <cell r="C1580" t="str">
            <v>Kur Sabitleme</v>
          </cell>
          <cell r="D1580" t="str">
            <v>Enterprise</v>
          </cell>
        </row>
        <row r="1581">
          <cell r="C1581" t="str">
            <v xml:space="preserve">FIRAT İNŞAAT END.SAN.VE TİC. A.Ş </v>
          </cell>
          <cell r="D1581" t="str">
            <v>SMB</v>
          </cell>
          <cell r="E1581">
            <v>0</v>
          </cell>
          <cell r="F1581" t="str">
            <v>A-MB543</v>
          </cell>
          <cell r="G1581">
            <v>44805</v>
          </cell>
        </row>
        <row r="1582">
          <cell r="C1582" t="str">
            <v>TL</v>
          </cell>
          <cell r="D1582" t="str">
            <v>SMB</v>
          </cell>
        </row>
        <row r="1583">
          <cell r="C1583" t="str">
            <v>USD</v>
          </cell>
          <cell r="D1583" t="str">
            <v>SMB</v>
          </cell>
          <cell r="G1583">
            <v>44805</v>
          </cell>
        </row>
        <row r="1584">
          <cell r="C1584" t="str">
            <v>USD</v>
          </cell>
          <cell r="D1584" t="str">
            <v>SMB</v>
          </cell>
          <cell r="G1584">
            <v>45722</v>
          </cell>
        </row>
        <row r="1585">
          <cell r="C1585" t="str">
            <v>USD</v>
          </cell>
          <cell r="D1585" t="str">
            <v>SMB</v>
          </cell>
          <cell r="G1585">
            <v>45721</v>
          </cell>
        </row>
        <row r="1586">
          <cell r="C1586" t="str">
            <v>EUR</v>
          </cell>
          <cell r="D1586" t="str">
            <v>SMB</v>
          </cell>
        </row>
        <row r="1587">
          <cell r="C1587" t="str">
            <v>Kur Sabitleme</v>
          </cell>
          <cell r="D1587" t="str">
            <v>SMB</v>
          </cell>
        </row>
        <row r="1588">
          <cell r="C1588" t="str">
            <v>GLOBAL HASAR DANIŞMALIĞI A.Ş.</v>
          </cell>
          <cell r="D1588" t="str">
            <v>SMB</v>
          </cell>
          <cell r="E1588">
            <v>0</v>
          </cell>
          <cell r="F1588" t="str">
            <v>A-MB545</v>
          </cell>
          <cell r="G1588">
            <v>44795</v>
          </cell>
        </row>
        <row r="1589">
          <cell r="C1589" t="str">
            <v>TL</v>
          </cell>
          <cell r="D1589" t="str">
            <v>SMB</v>
          </cell>
        </row>
        <row r="1590">
          <cell r="C1590" t="str">
            <v>USD</v>
          </cell>
          <cell r="D1590" t="str">
            <v>SMB</v>
          </cell>
          <cell r="G1590">
            <v>44795</v>
          </cell>
        </row>
        <row r="1591">
          <cell r="C1591" t="str">
            <v>EUR</v>
          </cell>
          <cell r="D1591" t="str">
            <v>SMB</v>
          </cell>
        </row>
        <row r="1592">
          <cell r="C1592" t="str">
            <v>Kur Sabitleme</v>
          </cell>
          <cell r="D1592" t="str">
            <v>SMB</v>
          </cell>
        </row>
        <row r="1593">
          <cell r="C1593" t="str">
            <v>UNNOX GROUP</v>
          </cell>
          <cell r="D1593" t="str">
            <v>SMB</v>
          </cell>
          <cell r="E1593">
            <v>0</v>
          </cell>
          <cell r="F1593" t="str">
            <v>A-MB547</v>
          </cell>
          <cell r="G1593">
            <v>44813</v>
          </cell>
        </row>
        <row r="1594">
          <cell r="C1594" t="str">
            <v>TL</v>
          </cell>
          <cell r="D1594" t="str">
            <v>SMB</v>
          </cell>
        </row>
        <row r="1595">
          <cell r="C1595" t="str">
            <v>USD</v>
          </cell>
          <cell r="D1595" t="str">
            <v>SMB</v>
          </cell>
          <cell r="G1595">
            <v>44813</v>
          </cell>
        </row>
        <row r="1596">
          <cell r="C1596" t="str">
            <v>EUR</v>
          </cell>
          <cell r="D1596" t="str">
            <v>SMB</v>
          </cell>
        </row>
        <row r="1597">
          <cell r="C1597" t="str">
            <v>Kur Sabitleme</v>
          </cell>
          <cell r="D1597" t="str">
            <v>SMB</v>
          </cell>
        </row>
        <row r="1598">
          <cell r="C1598" t="str">
            <v>Kat Turizm Gayrimenkul Yatırımları ve İşletme A.Ş.</v>
          </cell>
          <cell r="D1598" t="str">
            <v>SMB</v>
          </cell>
          <cell r="E1598">
            <v>0</v>
          </cell>
          <cell r="F1598" t="str">
            <v>…..</v>
          </cell>
          <cell r="G1598" t="str">
            <v/>
          </cell>
        </row>
        <row r="1599">
          <cell r="C1599" t="str">
            <v>TL</v>
          </cell>
          <cell r="D1599" t="str">
            <v>SMB</v>
          </cell>
        </row>
        <row r="1600">
          <cell r="C1600" t="str">
            <v>USD</v>
          </cell>
          <cell r="D1600" t="str">
            <v>SMB</v>
          </cell>
        </row>
        <row r="1601">
          <cell r="C1601" t="str">
            <v>EUR</v>
          </cell>
          <cell r="D1601" t="str">
            <v>SMB</v>
          </cell>
        </row>
        <row r="1602">
          <cell r="C1602" t="str">
            <v>Kur Sabitleme</v>
          </cell>
          <cell r="D1602" t="str">
            <v>SMB</v>
          </cell>
        </row>
        <row r="1603">
          <cell r="C1603" t="str">
            <v>ABİDA BİLİŞİM TEKNOLOJİLERİ DANIŞMANLIK AŞ.</v>
          </cell>
          <cell r="D1603" t="str">
            <v>SMB</v>
          </cell>
          <cell r="E1603">
            <v>0</v>
          </cell>
          <cell r="F1603" t="str">
            <v>A-MB560</v>
          </cell>
          <cell r="G1603">
            <v>44895</v>
          </cell>
        </row>
        <row r="1604">
          <cell r="C1604" t="str">
            <v>TL</v>
          </cell>
          <cell r="D1604" t="str">
            <v>SMB</v>
          </cell>
        </row>
        <row r="1605">
          <cell r="C1605" t="str">
            <v>USD</v>
          </cell>
          <cell r="D1605" t="str">
            <v>SMB</v>
          </cell>
          <cell r="G1605">
            <v>44895</v>
          </cell>
        </row>
        <row r="1606">
          <cell r="C1606" t="str">
            <v>USD</v>
          </cell>
          <cell r="D1606" t="str">
            <v>SMB</v>
          </cell>
          <cell r="G1606">
            <v>45573</v>
          </cell>
        </row>
        <row r="1607">
          <cell r="C1607" t="str">
            <v>EUR</v>
          </cell>
          <cell r="D1607" t="str">
            <v>SMB</v>
          </cell>
        </row>
        <row r="1608">
          <cell r="C1608" t="str">
            <v>Kur Sabitleme</v>
          </cell>
          <cell r="D1608" t="str">
            <v>SMB</v>
          </cell>
        </row>
        <row r="1609">
          <cell r="C1609" t="str">
            <v>ARTEK YAZILIMEVİ DAN. HİZ. TİC. LTD. ŞTİ.</v>
          </cell>
          <cell r="D1609" t="str">
            <v>SMB</v>
          </cell>
          <cell r="E1609">
            <v>0</v>
          </cell>
          <cell r="F1609" t="str">
            <v>…..</v>
          </cell>
          <cell r="G1609">
            <v>44895</v>
          </cell>
        </row>
        <row r="1610">
          <cell r="C1610" t="str">
            <v>TL</v>
          </cell>
          <cell r="D1610" t="str">
            <v>SMB</v>
          </cell>
        </row>
        <row r="1611">
          <cell r="C1611" t="str">
            <v>USD</v>
          </cell>
          <cell r="D1611" t="str">
            <v>SMB</v>
          </cell>
          <cell r="G1611">
            <v>44895</v>
          </cell>
        </row>
        <row r="1612">
          <cell r="C1612" t="str">
            <v>EUR</v>
          </cell>
          <cell r="D1612" t="str">
            <v>SMB</v>
          </cell>
        </row>
        <row r="1613">
          <cell r="C1613" t="str">
            <v>Kur Sabitleme</v>
          </cell>
          <cell r="D1613" t="str">
            <v>SMB</v>
          </cell>
        </row>
        <row r="1614">
          <cell r="C1614" t="str">
            <v>GEMSAN GEMİ VE GEMİ İŞLETMECİLİĞİ SANAYİ VE TİCARE</v>
          </cell>
          <cell r="D1614" t="str">
            <v>SMB</v>
          </cell>
          <cell r="E1614">
            <v>0</v>
          </cell>
          <cell r="F1614" t="str">
            <v>A-MB557</v>
          </cell>
          <cell r="G1614">
            <v>44888</v>
          </cell>
        </row>
        <row r="1615">
          <cell r="C1615" t="str">
            <v>TL</v>
          </cell>
          <cell r="D1615" t="str">
            <v>SMB</v>
          </cell>
        </row>
        <row r="1616">
          <cell r="C1616" t="str">
            <v>USD</v>
          </cell>
          <cell r="D1616" t="str">
            <v>SMB</v>
          </cell>
          <cell r="G1616">
            <v>44888</v>
          </cell>
        </row>
        <row r="1617">
          <cell r="C1617" t="str">
            <v>EUR</v>
          </cell>
          <cell r="D1617" t="str">
            <v>SMB</v>
          </cell>
        </row>
        <row r="1618">
          <cell r="C1618" t="str">
            <v>Kur Sabitleme</v>
          </cell>
          <cell r="D1618" t="str">
            <v>SMB</v>
          </cell>
        </row>
        <row r="1619">
          <cell r="C1619" t="str">
            <v>CONVERGING EUROPE FUND III MANAGEMENT</v>
          </cell>
          <cell r="D1619" t="str">
            <v>SMB</v>
          </cell>
          <cell r="E1619">
            <v>0</v>
          </cell>
          <cell r="F1619" t="str">
            <v>A-MB563</v>
          </cell>
          <cell r="G1619">
            <v>44202</v>
          </cell>
        </row>
        <row r="1620">
          <cell r="C1620" t="str">
            <v>TL</v>
          </cell>
          <cell r="D1620" t="str">
            <v>SMB</v>
          </cell>
        </row>
        <row r="1621">
          <cell r="C1621" t="str">
            <v>USD</v>
          </cell>
          <cell r="D1621" t="str">
            <v>SMB</v>
          </cell>
          <cell r="G1621">
            <v>44202</v>
          </cell>
        </row>
        <row r="1622">
          <cell r="C1622" t="str">
            <v>USD</v>
          </cell>
          <cell r="D1622" t="str">
            <v>SMB</v>
          </cell>
          <cell r="G1622">
            <v>44202</v>
          </cell>
        </row>
        <row r="1623">
          <cell r="C1623" t="str">
            <v>USD</v>
          </cell>
          <cell r="D1623" t="str">
            <v>SMB</v>
          </cell>
          <cell r="G1623">
            <v>45323</v>
          </cell>
        </row>
        <row r="1624">
          <cell r="C1624" t="str">
            <v>EUR</v>
          </cell>
          <cell r="D1624" t="str">
            <v>SMB</v>
          </cell>
        </row>
        <row r="1625">
          <cell r="C1625" t="str">
            <v>Kur Sabitleme</v>
          </cell>
          <cell r="D1625" t="str">
            <v>SMB</v>
          </cell>
        </row>
        <row r="1626">
          <cell r="C1626" t="str">
            <v>DEVON YAPI ÜRÜNLERİ İTH. SAN. ve TİC. A.Ş.</v>
          </cell>
          <cell r="D1626" t="str">
            <v>SMB</v>
          </cell>
          <cell r="E1626" t="str">
            <v>KANAL YOK</v>
          </cell>
          <cell r="F1626" t="str">
            <v>…..</v>
          </cell>
          <cell r="G1626">
            <v>44890</v>
          </cell>
        </row>
        <row r="1627">
          <cell r="C1627" t="str">
            <v>TL</v>
          </cell>
          <cell r="D1627" t="str">
            <v>SMB</v>
          </cell>
        </row>
        <row r="1628">
          <cell r="C1628" t="str">
            <v>USD</v>
          </cell>
          <cell r="D1628" t="str">
            <v>SMB</v>
          </cell>
          <cell r="G1628">
            <v>44890</v>
          </cell>
        </row>
        <row r="1629">
          <cell r="C1629" t="str">
            <v>EUR</v>
          </cell>
          <cell r="D1629" t="str">
            <v>SMB</v>
          </cell>
        </row>
        <row r="1630">
          <cell r="C1630" t="str">
            <v>Kur Sabitleme</v>
          </cell>
          <cell r="D1630" t="str">
            <v>SMB</v>
          </cell>
        </row>
        <row r="1631">
          <cell r="C1631" t="str">
            <v xml:space="preserve">İNGENO DAN. ÇEVİRİ VE TIBBİ ARAŞ. ORG. TİC. İTH. </v>
          </cell>
          <cell r="D1631" t="str">
            <v>SMB</v>
          </cell>
          <cell r="E1631">
            <v>0</v>
          </cell>
          <cell r="F1631" t="str">
            <v>…..</v>
          </cell>
          <cell r="G1631">
            <v>44903</v>
          </cell>
        </row>
        <row r="1632">
          <cell r="C1632" t="str">
            <v>TL</v>
          </cell>
          <cell r="D1632" t="str">
            <v>SMB</v>
          </cell>
        </row>
        <row r="1633">
          <cell r="C1633" t="str">
            <v>USD</v>
          </cell>
          <cell r="D1633" t="str">
            <v>SMB</v>
          </cell>
          <cell r="G1633">
            <v>44903</v>
          </cell>
        </row>
        <row r="1634">
          <cell r="C1634" t="str">
            <v>EUR</v>
          </cell>
          <cell r="D1634" t="str">
            <v>SMB</v>
          </cell>
        </row>
        <row r="1635">
          <cell r="C1635" t="str">
            <v>Kur Sabitleme</v>
          </cell>
          <cell r="D1635" t="str">
            <v>SMB</v>
          </cell>
        </row>
        <row r="1636">
          <cell r="C1636" t="str">
            <v>ZONGULDAK KÖMÜR İŞLETMELERİ ANONİM ŞİRKETİ</v>
          </cell>
          <cell r="D1636" t="str">
            <v>SMB</v>
          </cell>
          <cell r="E1636">
            <v>0</v>
          </cell>
          <cell r="F1636" t="str">
            <v>A-MB570</v>
          </cell>
          <cell r="G1636">
            <v>44902</v>
          </cell>
        </row>
        <row r="1637">
          <cell r="C1637" t="str">
            <v>TL</v>
          </cell>
          <cell r="D1637" t="str">
            <v>SMB</v>
          </cell>
        </row>
        <row r="1638">
          <cell r="C1638" t="str">
            <v>USD</v>
          </cell>
          <cell r="D1638" t="str">
            <v>SMB</v>
          </cell>
          <cell r="G1638">
            <v>44902</v>
          </cell>
        </row>
        <row r="1639">
          <cell r="C1639" t="str">
            <v>EUR</v>
          </cell>
          <cell r="D1639" t="str">
            <v>SMB</v>
          </cell>
        </row>
        <row r="1640">
          <cell r="C1640" t="str">
            <v>Kur Sabitleme</v>
          </cell>
          <cell r="D1640" t="str">
            <v>SMB</v>
          </cell>
        </row>
        <row r="1641">
          <cell r="C1641" t="str">
            <v>TEKSO TEKNİK SOĞUTMA SAN.ve TİC.A.Ş.</v>
          </cell>
          <cell r="D1641" t="str">
            <v>SMB</v>
          </cell>
          <cell r="E1641" t="str">
            <v>KANAL YOK</v>
          </cell>
          <cell r="F1641" t="str">
            <v>A-MB586</v>
          </cell>
          <cell r="G1641">
            <v>44908</v>
          </cell>
        </row>
        <row r="1642">
          <cell r="C1642" t="str">
            <v>TL</v>
          </cell>
          <cell r="D1642" t="str">
            <v>SMB</v>
          </cell>
        </row>
        <row r="1643">
          <cell r="C1643" t="str">
            <v>USD</v>
          </cell>
          <cell r="D1643" t="str">
            <v>SMB</v>
          </cell>
          <cell r="G1643">
            <v>44908</v>
          </cell>
        </row>
        <row r="1644">
          <cell r="C1644" t="str">
            <v>EUR</v>
          </cell>
          <cell r="D1644" t="str">
            <v>SMB</v>
          </cell>
        </row>
        <row r="1645">
          <cell r="C1645" t="str">
            <v>Kur Sabitleme</v>
          </cell>
          <cell r="D1645" t="str">
            <v>SMB</v>
          </cell>
        </row>
        <row r="1646">
          <cell r="C1646" t="str">
            <v>BADE HALI</v>
          </cell>
          <cell r="D1646" t="str">
            <v>Enterprise</v>
          </cell>
          <cell r="E1646">
            <v>0</v>
          </cell>
          <cell r="F1646" t="str">
            <v>…..</v>
          </cell>
          <cell r="G1646">
            <v>44928</v>
          </cell>
        </row>
        <row r="1647">
          <cell r="C1647" t="str">
            <v>TL</v>
          </cell>
          <cell r="D1647" t="str">
            <v>Enterprise</v>
          </cell>
          <cell r="G1647">
            <v>44928</v>
          </cell>
        </row>
        <row r="1648">
          <cell r="C1648" t="str">
            <v>USD</v>
          </cell>
          <cell r="D1648" t="str">
            <v>Enterprise</v>
          </cell>
        </row>
        <row r="1649">
          <cell r="C1649" t="str">
            <v>EUR</v>
          </cell>
          <cell r="D1649" t="str">
            <v>Enterprise</v>
          </cell>
        </row>
        <row r="1650">
          <cell r="C1650" t="str">
            <v>Kur Sabitleme</v>
          </cell>
          <cell r="D1650" t="str">
            <v>Enterprise</v>
          </cell>
        </row>
        <row r="1651">
          <cell r="C1651" t="str">
            <v>TEKNOSA İÇ ve DIŞ TİCARET A.Ş.</v>
          </cell>
          <cell r="D1651" t="str">
            <v>Enterprise</v>
          </cell>
          <cell r="E1651">
            <v>0</v>
          </cell>
          <cell r="F1651" t="str">
            <v>A-MB593</v>
          </cell>
          <cell r="G1651">
            <v>44939</v>
          </cell>
        </row>
        <row r="1652">
          <cell r="C1652" t="str">
            <v>TL</v>
          </cell>
          <cell r="D1652" t="str">
            <v>Enterprise</v>
          </cell>
        </row>
        <row r="1653">
          <cell r="C1653" t="str">
            <v>USD</v>
          </cell>
          <cell r="D1653" t="str">
            <v>Enterprise</v>
          </cell>
          <cell r="G1653">
            <v>44939</v>
          </cell>
        </row>
        <row r="1654">
          <cell r="C1654" t="str">
            <v>USD</v>
          </cell>
          <cell r="D1654" t="str">
            <v>Enterprise</v>
          </cell>
        </row>
        <row r="1655">
          <cell r="C1655" t="str">
            <v>EUR</v>
          </cell>
          <cell r="D1655" t="str">
            <v>Enterprise</v>
          </cell>
        </row>
        <row r="1656">
          <cell r="C1656" t="str">
            <v>Kur Sabitleme</v>
          </cell>
          <cell r="D1656" t="str">
            <v>Enterprise</v>
          </cell>
        </row>
        <row r="1657">
          <cell r="C1657" t="str">
            <v>PRONET GÜVENLİK HİZMETLERİ A.Ş.</v>
          </cell>
          <cell r="D1657" t="str">
            <v>Enterprise</v>
          </cell>
          <cell r="E1657">
            <v>0</v>
          </cell>
          <cell r="F1657" t="str">
            <v>A-MB585</v>
          </cell>
          <cell r="G1657">
            <v>44958</v>
          </cell>
        </row>
        <row r="1658">
          <cell r="C1658" t="str">
            <v>TL</v>
          </cell>
          <cell r="D1658" t="str">
            <v>Enterprise</v>
          </cell>
        </row>
        <row r="1659">
          <cell r="C1659" t="str">
            <v>USD</v>
          </cell>
          <cell r="D1659" t="str">
            <v>Enterprise</v>
          </cell>
          <cell r="G1659">
            <v>44958</v>
          </cell>
        </row>
        <row r="1660">
          <cell r="C1660" t="str">
            <v>USD</v>
          </cell>
          <cell r="D1660" t="str">
            <v>Enterprise</v>
          </cell>
        </row>
        <row r="1661">
          <cell r="C1661" t="str">
            <v>EUR</v>
          </cell>
          <cell r="D1661" t="str">
            <v>Enterprise</v>
          </cell>
        </row>
        <row r="1662">
          <cell r="C1662" t="str">
            <v>Kur Sabitleme</v>
          </cell>
          <cell r="D1662" t="str">
            <v>Enterprise</v>
          </cell>
        </row>
        <row r="1663">
          <cell r="C1663" t="str">
            <v>HAKMAR MAĞAZACILIK</v>
          </cell>
          <cell r="D1663" t="str">
            <v>Enterprise</v>
          </cell>
          <cell r="E1663">
            <v>0</v>
          </cell>
          <cell r="F1663" t="str">
            <v>A-MB599</v>
          </cell>
          <cell r="G1663">
            <v>44978</v>
          </cell>
        </row>
        <row r="1664">
          <cell r="C1664" t="str">
            <v>TL</v>
          </cell>
          <cell r="D1664" t="str">
            <v>Enterprise</v>
          </cell>
        </row>
        <row r="1665">
          <cell r="C1665" t="str">
            <v>USD</v>
          </cell>
          <cell r="D1665" t="str">
            <v>Enterprise</v>
          </cell>
          <cell r="G1665">
            <v>44978</v>
          </cell>
        </row>
        <row r="1666">
          <cell r="C1666" t="str">
            <v>USD</v>
          </cell>
          <cell r="D1666" t="str">
            <v>Enterprise</v>
          </cell>
        </row>
        <row r="1667">
          <cell r="C1667" t="str">
            <v>EUR</v>
          </cell>
          <cell r="D1667" t="str">
            <v>Enterprise</v>
          </cell>
        </row>
        <row r="1668">
          <cell r="C1668" t="str">
            <v>Kur Sabitleme</v>
          </cell>
          <cell r="D1668" t="str">
            <v>Enterprise</v>
          </cell>
        </row>
        <row r="1669">
          <cell r="C1669" t="str">
            <v>FLO Magazacılık Hizmetleri ve Pazarlama A.Ş.</v>
          </cell>
          <cell r="D1669" t="str">
            <v>Enterprise</v>
          </cell>
          <cell r="E1669">
            <v>0</v>
          </cell>
          <cell r="F1669" t="str">
            <v>A-MB515</v>
          </cell>
          <cell r="G1669">
            <v>44951</v>
          </cell>
        </row>
        <row r="1670">
          <cell r="C1670" t="str">
            <v>TL</v>
          </cell>
          <cell r="D1670" t="str">
            <v>Enterprise</v>
          </cell>
          <cell r="G1670">
            <v>44951</v>
          </cell>
        </row>
        <row r="1671">
          <cell r="C1671" t="str">
            <v>TL</v>
          </cell>
          <cell r="D1671" t="str">
            <v>Enterprise</v>
          </cell>
          <cell r="G1671">
            <v>45292</v>
          </cell>
        </row>
        <row r="1672">
          <cell r="C1672" t="str">
            <v>TL</v>
          </cell>
          <cell r="D1672" t="str">
            <v>Enterprise</v>
          </cell>
          <cell r="G1672">
            <v>45271</v>
          </cell>
        </row>
        <row r="1673">
          <cell r="C1673" t="str">
            <v>USD</v>
          </cell>
          <cell r="D1673" t="str">
            <v>Enterprise</v>
          </cell>
          <cell r="G1673">
            <v>44951</v>
          </cell>
        </row>
        <row r="1674">
          <cell r="C1674" t="str">
            <v>USD</v>
          </cell>
          <cell r="D1674" t="str">
            <v>Enterprise</v>
          </cell>
          <cell r="G1674">
            <v>45292</v>
          </cell>
        </row>
        <row r="1675">
          <cell r="C1675" t="str">
            <v>USD</v>
          </cell>
          <cell r="D1675" t="str">
            <v>Enterprise</v>
          </cell>
          <cell r="G1675">
            <v>45271</v>
          </cell>
        </row>
        <row r="1676">
          <cell r="C1676" t="str">
            <v>EUR</v>
          </cell>
          <cell r="D1676" t="str">
            <v>Enterprise</v>
          </cell>
        </row>
        <row r="1677">
          <cell r="C1677" t="str">
            <v>Kur Sabitleme</v>
          </cell>
          <cell r="D1677" t="str">
            <v>Enterprise</v>
          </cell>
        </row>
        <row r="1678">
          <cell r="C1678" t="str">
            <v>ALTERNA GIDA SANAYI PAZARLAMA VE TİC. A.Ş.</v>
          </cell>
          <cell r="D1678" t="str">
            <v>SMB</v>
          </cell>
          <cell r="E1678" t="str">
            <v>KANAL YOK</v>
          </cell>
          <cell r="F1678" t="str">
            <v>A-MB597</v>
          </cell>
          <cell r="G1678">
            <v>44986</v>
          </cell>
        </row>
        <row r="1679">
          <cell r="C1679" t="str">
            <v>TL</v>
          </cell>
          <cell r="D1679" t="str">
            <v>SMB</v>
          </cell>
          <cell r="G1679">
            <v>44986</v>
          </cell>
        </row>
        <row r="1680">
          <cell r="C1680" t="str">
            <v>USD</v>
          </cell>
          <cell r="D1680" t="str">
            <v>SMB</v>
          </cell>
          <cell r="G1680">
            <v>44999</v>
          </cell>
        </row>
        <row r="1681">
          <cell r="C1681" t="str">
            <v>USD</v>
          </cell>
          <cell r="D1681" t="str">
            <v>SMB</v>
          </cell>
          <cell r="G1681">
            <v>45184</v>
          </cell>
        </row>
        <row r="1682">
          <cell r="C1682" t="str">
            <v>USD</v>
          </cell>
          <cell r="D1682" t="str">
            <v>SMB</v>
          </cell>
          <cell r="G1682">
            <v>45636</v>
          </cell>
        </row>
        <row r="1683">
          <cell r="C1683" t="str">
            <v>USD</v>
          </cell>
          <cell r="D1683" t="str">
            <v>SMB</v>
          </cell>
          <cell r="G1683">
            <v>45624</v>
          </cell>
        </row>
        <row r="1684">
          <cell r="C1684" t="str">
            <v>USD</v>
          </cell>
          <cell r="D1684" t="str">
            <v>SMB</v>
          </cell>
          <cell r="G1684">
            <v>45602</v>
          </cell>
        </row>
        <row r="1685">
          <cell r="C1685" t="str">
            <v>USD</v>
          </cell>
          <cell r="D1685" t="str">
            <v>SMB</v>
          </cell>
          <cell r="G1685">
            <v>45504</v>
          </cell>
        </row>
        <row r="1686">
          <cell r="C1686" t="str">
            <v>USD</v>
          </cell>
          <cell r="D1686" t="str">
            <v>SMB</v>
          </cell>
          <cell r="G1686">
            <v>45717</v>
          </cell>
        </row>
        <row r="1687">
          <cell r="C1687" t="str">
            <v>USD</v>
          </cell>
          <cell r="D1687" t="str">
            <v>SMB</v>
          </cell>
          <cell r="G1687">
            <v>45743</v>
          </cell>
        </row>
        <row r="1688">
          <cell r="C1688" t="str">
            <v>USD</v>
          </cell>
          <cell r="D1688" t="str">
            <v>SMB</v>
          </cell>
          <cell r="G1688">
            <v>45595</v>
          </cell>
        </row>
        <row r="1689">
          <cell r="C1689" t="str">
            <v>EUR</v>
          </cell>
          <cell r="D1689" t="str">
            <v>SMB</v>
          </cell>
        </row>
        <row r="1690">
          <cell r="C1690" t="str">
            <v>Kur Sabitleme</v>
          </cell>
          <cell r="D1690" t="str">
            <v>SMB</v>
          </cell>
        </row>
        <row r="1691">
          <cell r="C1691" t="str">
            <v>AXOFT BILISIM LIMITED SIRKETI</v>
          </cell>
          <cell r="D1691" t="str">
            <v>SMB</v>
          </cell>
          <cell r="E1691" t="str">
            <v>FORTIUS SPORTIF FAALIYETLER DANIŞMANLIK TIC.LTD.ŞT</v>
          </cell>
          <cell r="F1691" t="str">
            <v>A-MB595</v>
          </cell>
          <cell r="G1691">
            <v>44984</v>
          </cell>
        </row>
        <row r="1692">
          <cell r="C1692" t="str">
            <v>TL</v>
          </cell>
          <cell r="D1692" t="str">
            <v>SMB</v>
          </cell>
          <cell r="G1692">
            <v>44984</v>
          </cell>
        </row>
        <row r="1693">
          <cell r="C1693" t="str">
            <v>USD</v>
          </cell>
          <cell r="D1693" t="str">
            <v>SMB</v>
          </cell>
        </row>
        <row r="1694">
          <cell r="C1694" t="str">
            <v>EUR</v>
          </cell>
          <cell r="D1694" t="str">
            <v>SMB</v>
          </cell>
        </row>
        <row r="1695">
          <cell r="C1695" t="str">
            <v>Kur Sabitleme</v>
          </cell>
          <cell r="D1695" t="str">
            <v>SMB</v>
          </cell>
        </row>
        <row r="1696">
          <cell r="C1696" t="str">
            <v>KGM ENERJİ TİC.LTD.ŞTİ.</v>
          </cell>
          <cell r="D1696" t="str">
            <v>SMB</v>
          </cell>
          <cell r="E1696" t="str">
            <v>ATAŞEHİR BİLİŞİM</v>
          </cell>
          <cell r="F1696" t="str">
            <v>…..</v>
          </cell>
          <cell r="G1696">
            <v>45015</v>
          </cell>
        </row>
        <row r="1697">
          <cell r="C1697" t="str">
            <v>TL</v>
          </cell>
          <cell r="D1697" t="str">
            <v>SMB</v>
          </cell>
        </row>
        <row r="1698">
          <cell r="C1698" t="str">
            <v>USD</v>
          </cell>
          <cell r="D1698" t="str">
            <v>SMB</v>
          </cell>
          <cell r="G1698">
            <v>45015</v>
          </cell>
        </row>
        <row r="1699">
          <cell r="C1699" t="str">
            <v>EUR</v>
          </cell>
          <cell r="D1699" t="str">
            <v>SMB</v>
          </cell>
        </row>
        <row r="1700">
          <cell r="C1700" t="str">
            <v>Kur Sabitleme</v>
          </cell>
          <cell r="D1700" t="str">
            <v>SMB</v>
          </cell>
        </row>
        <row r="1701">
          <cell r="C1701" t="str">
            <v>TÜM TEKNOLOJI ÜRETIM MERKEZI A.Ş.</v>
          </cell>
          <cell r="D1701" t="str">
            <v>SMB</v>
          </cell>
          <cell r="E1701" t="str">
            <v>TÜM TEKNOLOJI ÜRETIM MERKEZI A.Ş.</v>
          </cell>
          <cell r="F1701" t="str">
            <v>…..</v>
          </cell>
          <cell r="G1701">
            <v>45015</v>
          </cell>
        </row>
        <row r="1702">
          <cell r="C1702" t="str">
            <v>TL</v>
          </cell>
          <cell r="D1702" t="str">
            <v>SMB</v>
          </cell>
        </row>
        <row r="1703">
          <cell r="C1703" t="str">
            <v>USD</v>
          </cell>
          <cell r="D1703" t="str">
            <v>SMB</v>
          </cell>
          <cell r="G1703">
            <v>45015</v>
          </cell>
        </row>
        <row r="1704">
          <cell r="C1704" t="str">
            <v>EUR</v>
          </cell>
          <cell r="D1704" t="str">
            <v>SMB</v>
          </cell>
        </row>
        <row r="1705">
          <cell r="C1705" t="str">
            <v>Kur Sabitleme</v>
          </cell>
          <cell r="D1705" t="str">
            <v>SMB</v>
          </cell>
        </row>
        <row r="1706">
          <cell r="C1706" t="str">
            <v>OTOFORM OTOMOTIV TIC.VE SAN.A.S.</v>
          </cell>
          <cell r="D1706" t="str">
            <v>SMB</v>
          </cell>
          <cell r="E1706" t="str">
            <v>FORTIUS SPORTIF FAALIYETLER DANIŞMANLIK TIC.LTD.ŞT</v>
          </cell>
          <cell r="F1706" t="str">
            <v>A-MB608</v>
          </cell>
          <cell r="G1706">
            <v>45299</v>
          </cell>
        </row>
        <row r="1707">
          <cell r="C1707" t="str">
            <v>TL</v>
          </cell>
          <cell r="D1707" t="str">
            <v>SMB</v>
          </cell>
        </row>
        <row r="1708">
          <cell r="C1708" t="str">
            <v>USD</v>
          </cell>
          <cell r="D1708" t="str">
            <v>SMB</v>
          </cell>
          <cell r="G1708">
            <v>45299</v>
          </cell>
        </row>
        <row r="1709">
          <cell r="C1709" t="str">
            <v>EUR</v>
          </cell>
          <cell r="D1709" t="str">
            <v>SMB</v>
          </cell>
        </row>
        <row r="1710">
          <cell r="C1710" t="str">
            <v>Kur Sabitleme</v>
          </cell>
          <cell r="D1710" t="str">
            <v>SMB</v>
          </cell>
        </row>
        <row r="1711">
          <cell r="C1711" t="str">
            <v>Kentglobal Park Dış Tic AŞ</v>
          </cell>
          <cell r="D1711" t="str">
            <v>SMB</v>
          </cell>
          <cell r="E1711" t="str">
            <v>TNC YAZILIM - TUNCAY TÜRKOĞLU</v>
          </cell>
          <cell r="F1711" t="str">
            <v>A-MB696</v>
          </cell>
          <cell r="G1711">
            <v>45042</v>
          </cell>
        </row>
        <row r="1712">
          <cell r="C1712" t="str">
            <v>TL</v>
          </cell>
          <cell r="D1712" t="str">
            <v>SMB</v>
          </cell>
        </row>
        <row r="1713">
          <cell r="C1713" t="str">
            <v>USD</v>
          </cell>
          <cell r="D1713" t="str">
            <v>SMB</v>
          </cell>
          <cell r="G1713">
            <v>45042</v>
          </cell>
        </row>
        <row r="1714">
          <cell r="C1714" t="str">
            <v>USD</v>
          </cell>
          <cell r="D1714" t="str">
            <v>SMB</v>
          </cell>
          <cell r="G1714">
            <v>45344</v>
          </cell>
        </row>
        <row r="1715">
          <cell r="C1715" t="str">
            <v>EUR</v>
          </cell>
          <cell r="D1715" t="str">
            <v>SMB</v>
          </cell>
        </row>
        <row r="1716">
          <cell r="C1716" t="str">
            <v>Kur Sabitleme</v>
          </cell>
          <cell r="D1716" t="str">
            <v>SMB</v>
          </cell>
        </row>
        <row r="1717">
          <cell r="C1717" t="str">
            <v>SHOPISTANBUL TEKNOLOJI VE TICARET LIMITED SIRKETI</v>
          </cell>
          <cell r="D1717" t="str">
            <v>SMB</v>
          </cell>
          <cell r="E1717" t="str">
            <v>SHERPA</v>
          </cell>
          <cell r="F1717" t="str">
            <v>…..</v>
          </cell>
          <cell r="G1717">
            <v>45046</v>
          </cell>
        </row>
        <row r="1718">
          <cell r="C1718" t="str">
            <v>TL</v>
          </cell>
          <cell r="D1718" t="str">
            <v>SMB</v>
          </cell>
        </row>
        <row r="1719">
          <cell r="C1719" t="str">
            <v>USD</v>
          </cell>
          <cell r="D1719" t="str">
            <v>SMB</v>
          </cell>
          <cell r="G1719">
            <v>45046</v>
          </cell>
        </row>
        <row r="1720">
          <cell r="C1720" t="str">
            <v>EUR</v>
          </cell>
          <cell r="D1720" t="str">
            <v>SMB</v>
          </cell>
        </row>
        <row r="1721">
          <cell r="C1721" t="str">
            <v>Kur Sabitleme</v>
          </cell>
          <cell r="D1721" t="str">
            <v>SMB</v>
          </cell>
        </row>
        <row r="1722">
          <cell r="C1722" t="str">
            <v>BTYÖN TEKNOLOJİ A.Ş.</v>
          </cell>
          <cell r="D1722" t="str">
            <v>SMB</v>
          </cell>
          <cell r="E1722" t="str">
            <v>BTYÖN TEKNOLOJİ A.Ş.</v>
          </cell>
          <cell r="F1722" t="str">
            <v>A-MB603</v>
          </cell>
          <cell r="G1722">
            <v>45033</v>
          </cell>
        </row>
        <row r="1723">
          <cell r="C1723" t="str">
            <v>TL</v>
          </cell>
          <cell r="D1723" t="str">
            <v>SMB</v>
          </cell>
        </row>
        <row r="1724">
          <cell r="C1724" t="str">
            <v>USD</v>
          </cell>
          <cell r="D1724" t="str">
            <v>SMB</v>
          </cell>
          <cell r="G1724">
            <v>45033</v>
          </cell>
        </row>
        <row r="1725">
          <cell r="C1725" t="str">
            <v>EUR</v>
          </cell>
          <cell r="D1725" t="str">
            <v>SMB</v>
          </cell>
        </row>
        <row r="1726">
          <cell r="C1726" t="str">
            <v>Kur Sabitleme</v>
          </cell>
          <cell r="D1726" t="str">
            <v>SMB</v>
          </cell>
        </row>
        <row r="1727">
          <cell r="C1727" t="str">
            <v>TEKHNELOGOS YAZILIM MÜH MÜŞ BİL HİZ SAN</v>
          </cell>
          <cell r="D1727" t="str">
            <v>Enterprise</v>
          </cell>
          <cell r="E1727" t="str">
            <v>TREO BİLGİ TEKNOLOJİLERİ</v>
          </cell>
          <cell r="F1727" t="str">
            <v>A-MB511</v>
          </cell>
          <cell r="G1727">
            <v>45044</v>
          </cell>
        </row>
        <row r="1728">
          <cell r="C1728" t="str">
            <v>TL</v>
          </cell>
          <cell r="D1728" t="str">
            <v>Enterprise</v>
          </cell>
          <cell r="G1728">
            <v>45044</v>
          </cell>
        </row>
        <row r="1729">
          <cell r="C1729" t="str">
            <v>TL</v>
          </cell>
          <cell r="D1729" t="str">
            <v>Enterprise</v>
          </cell>
          <cell r="G1729">
            <v>45444</v>
          </cell>
        </row>
        <row r="1730">
          <cell r="C1730" t="str">
            <v>USD</v>
          </cell>
          <cell r="D1730" t="str">
            <v>Enterprise</v>
          </cell>
        </row>
        <row r="1731">
          <cell r="C1731" t="str">
            <v>EUR</v>
          </cell>
          <cell r="D1731" t="str">
            <v>Enterprise</v>
          </cell>
        </row>
        <row r="1732">
          <cell r="C1732" t="str">
            <v>Kur Sabitleme</v>
          </cell>
          <cell r="D1732" t="str">
            <v>Enterprise</v>
          </cell>
        </row>
        <row r="1733">
          <cell r="C1733" t="str">
            <v>ÇAVUŞPET AKARYAKIT SANAYİ VE TİC.LTD ŞTİ</v>
          </cell>
          <cell r="D1733" t="str">
            <v>SMB</v>
          </cell>
          <cell r="E1733" t="str">
            <v>VENÜS BİLİŞİM TEKNOLOJİ ve YAZILIM ANONİM ŞİRKETİ</v>
          </cell>
          <cell r="F1733" t="str">
            <v>A-MB610</v>
          </cell>
          <cell r="G1733">
            <v>45061</v>
          </cell>
        </row>
        <row r="1734">
          <cell r="C1734" t="str">
            <v>TL</v>
          </cell>
          <cell r="D1734" t="str">
            <v>SMB</v>
          </cell>
        </row>
        <row r="1735">
          <cell r="C1735" t="str">
            <v>USD</v>
          </cell>
          <cell r="D1735" t="str">
            <v>SMB</v>
          </cell>
          <cell r="G1735">
            <v>45061</v>
          </cell>
        </row>
        <row r="1736">
          <cell r="C1736" t="str">
            <v>USD</v>
          </cell>
          <cell r="D1736" t="str">
            <v>SMB</v>
          </cell>
          <cell r="G1736">
            <v>45453</v>
          </cell>
        </row>
        <row r="1737">
          <cell r="C1737" t="str">
            <v>EUR</v>
          </cell>
          <cell r="D1737" t="str">
            <v>SMB</v>
          </cell>
        </row>
        <row r="1738">
          <cell r="C1738" t="str">
            <v>Kur Sabitleme</v>
          </cell>
          <cell r="D1738" t="str">
            <v>SMB</v>
          </cell>
        </row>
        <row r="1739">
          <cell r="C1739" t="str">
            <v>JONES LANG LASALLE GAYRIMENKUL HIZMETLERI TIC.A.Ş.</v>
          </cell>
          <cell r="D1739" t="str">
            <v>SMB</v>
          </cell>
          <cell r="E1739" t="str">
            <v>VENÜS BİLİŞİM TEKNOLOJİ ve YAZILIM ANONİM ŞİRKETİ</v>
          </cell>
          <cell r="F1739" t="str">
            <v>…..</v>
          </cell>
          <cell r="G1739">
            <v>45057</v>
          </cell>
        </row>
        <row r="1740">
          <cell r="C1740" t="str">
            <v>TL</v>
          </cell>
          <cell r="D1740" t="str">
            <v>SMB</v>
          </cell>
        </row>
        <row r="1741">
          <cell r="C1741" t="str">
            <v>USD</v>
          </cell>
          <cell r="D1741" t="str">
            <v>SMB</v>
          </cell>
          <cell r="G1741">
            <v>45057</v>
          </cell>
        </row>
        <row r="1742">
          <cell r="C1742" t="str">
            <v>EUR</v>
          </cell>
          <cell r="D1742" t="str">
            <v>SMB</v>
          </cell>
        </row>
        <row r="1743">
          <cell r="C1743" t="str">
            <v>Kur Sabitleme</v>
          </cell>
          <cell r="D1743" t="str">
            <v>SMB</v>
          </cell>
        </row>
        <row r="1744">
          <cell r="C1744" t="str">
            <v>BASKENT HOLDING A S.</v>
          </cell>
          <cell r="D1744" t="str">
            <v>SMB</v>
          </cell>
          <cell r="E1744" t="str">
            <v>ATAŞEHİR BİLİŞİM</v>
          </cell>
          <cell r="F1744" t="str">
            <v>…..</v>
          </cell>
          <cell r="G1744">
            <v>45077</v>
          </cell>
        </row>
        <row r="1745">
          <cell r="C1745" t="str">
            <v>TL</v>
          </cell>
          <cell r="D1745" t="str">
            <v>SMB</v>
          </cell>
        </row>
        <row r="1746">
          <cell r="C1746" t="str">
            <v>USD</v>
          </cell>
          <cell r="D1746" t="str">
            <v>SMB</v>
          </cell>
          <cell r="G1746">
            <v>45077</v>
          </cell>
        </row>
        <row r="1747">
          <cell r="C1747" t="str">
            <v>EUR</v>
          </cell>
          <cell r="D1747" t="str">
            <v>SMB</v>
          </cell>
        </row>
        <row r="1748">
          <cell r="C1748" t="str">
            <v>Kur Sabitleme</v>
          </cell>
          <cell r="D1748" t="str">
            <v>SMB</v>
          </cell>
        </row>
        <row r="1749">
          <cell r="C1749" t="str">
            <v>GÜNEŞ ELEKTRONİK CİHAZLAR ve TİC. LTD.ŞTİ.</v>
          </cell>
          <cell r="D1749" t="str">
            <v>SMB</v>
          </cell>
          <cell r="E1749" t="str">
            <v>GÜNEŞ ELEKTRONİK CİHAZLAR ve TİC. LTD.ŞTİ.</v>
          </cell>
          <cell r="F1749" t="str">
            <v>A-MB617</v>
          </cell>
          <cell r="G1749">
            <v>45076</v>
          </cell>
        </row>
        <row r="1750">
          <cell r="C1750" t="str">
            <v>TL</v>
          </cell>
          <cell r="D1750" t="str">
            <v>SMB</v>
          </cell>
        </row>
        <row r="1751">
          <cell r="C1751" t="str">
            <v>USD</v>
          </cell>
          <cell r="D1751" t="str">
            <v>SMB</v>
          </cell>
          <cell r="G1751">
            <v>45076</v>
          </cell>
        </row>
        <row r="1752">
          <cell r="C1752" t="str">
            <v>EUR</v>
          </cell>
          <cell r="D1752" t="str">
            <v>SMB</v>
          </cell>
        </row>
        <row r="1753">
          <cell r="C1753" t="str">
            <v>Kur Sabitleme</v>
          </cell>
          <cell r="D1753" t="str">
            <v>SMB</v>
          </cell>
        </row>
        <row r="1754">
          <cell r="C1754" t="str">
            <v>CVS ÇAVUSOGLU AYAKKABI PAZARI TİC.A.Ş.</v>
          </cell>
          <cell r="D1754" t="str">
            <v>SMB</v>
          </cell>
          <cell r="E1754" t="str">
            <v>GÜNEŞ ELEKTRONİK CİHAZLAR ve TİC. LTD.ŞTİ.</v>
          </cell>
          <cell r="F1754" t="str">
            <v>A-MB617</v>
          </cell>
          <cell r="G1754">
            <v>45075</v>
          </cell>
        </row>
        <row r="1755">
          <cell r="C1755" t="str">
            <v>TL</v>
          </cell>
          <cell r="D1755" t="str">
            <v>SMB</v>
          </cell>
        </row>
        <row r="1756">
          <cell r="C1756" t="str">
            <v>USD</v>
          </cell>
          <cell r="D1756" t="str">
            <v>SMB</v>
          </cell>
          <cell r="G1756">
            <v>45075</v>
          </cell>
        </row>
        <row r="1757">
          <cell r="C1757" t="str">
            <v>EUR</v>
          </cell>
          <cell r="D1757" t="str">
            <v>SMB</v>
          </cell>
        </row>
        <row r="1758">
          <cell r="C1758" t="str">
            <v>Kur Sabitleme</v>
          </cell>
          <cell r="D1758" t="str">
            <v>SMB</v>
          </cell>
        </row>
        <row r="1759">
          <cell r="C1759" t="str">
            <v>GÜLENYÜZ SİGORTA</v>
          </cell>
          <cell r="D1759" t="str">
            <v>SMB</v>
          </cell>
          <cell r="E1759" t="str">
            <v>KANAL YOK</v>
          </cell>
          <cell r="F1759" t="str">
            <v>…..</v>
          </cell>
          <cell r="G1759">
            <v>45061</v>
          </cell>
        </row>
        <row r="1760">
          <cell r="C1760" t="str">
            <v>TL</v>
          </cell>
          <cell r="D1760" t="str">
            <v>SMB</v>
          </cell>
        </row>
        <row r="1761">
          <cell r="C1761" t="str">
            <v>USD</v>
          </cell>
          <cell r="D1761" t="str">
            <v>SMB</v>
          </cell>
          <cell r="G1761">
            <v>45061</v>
          </cell>
        </row>
        <row r="1762">
          <cell r="C1762" t="str">
            <v>EUR</v>
          </cell>
          <cell r="D1762" t="str">
            <v>SMB</v>
          </cell>
        </row>
        <row r="1763">
          <cell r="C1763" t="str">
            <v>Kur Sabitleme</v>
          </cell>
          <cell r="D1763" t="str">
            <v>SMB</v>
          </cell>
        </row>
        <row r="1764">
          <cell r="C1764" t="str">
            <v>ASAŞ ALÜMİNYUM SANAYİİ VE TİCARET A.Ş.</v>
          </cell>
          <cell r="D1764" t="str">
            <v>Enterprise</v>
          </cell>
          <cell r="E1764" t="str">
            <v>ASIR DIGITAL BILGI SISTEMLERI ANONIM SIRKETI</v>
          </cell>
          <cell r="F1764" t="str">
            <v>A-MB622</v>
          </cell>
          <cell r="G1764">
            <v>45100</v>
          </cell>
        </row>
        <row r="1765">
          <cell r="C1765" t="str">
            <v>TL</v>
          </cell>
          <cell r="D1765" t="str">
            <v>Enterprise</v>
          </cell>
        </row>
        <row r="1766">
          <cell r="C1766" t="str">
            <v>USD</v>
          </cell>
          <cell r="D1766" t="str">
            <v>Enterprise</v>
          </cell>
          <cell r="G1766">
            <v>45100</v>
          </cell>
        </row>
        <row r="1767">
          <cell r="C1767" t="str">
            <v>USD</v>
          </cell>
          <cell r="D1767" t="str">
            <v>Enterprise</v>
          </cell>
        </row>
        <row r="1768">
          <cell r="C1768" t="str">
            <v>EUR</v>
          </cell>
          <cell r="D1768" t="str">
            <v>Enterprise</v>
          </cell>
        </row>
        <row r="1769">
          <cell r="C1769" t="str">
            <v>Kur Sabitleme</v>
          </cell>
          <cell r="D1769" t="str">
            <v>Enterprise</v>
          </cell>
        </row>
        <row r="1770">
          <cell r="C1770" t="str">
            <v>AVEON GLOBAL SİGORTA ANONİM ŞİRKETİ</v>
          </cell>
          <cell r="D1770" t="str">
            <v>Enterprise</v>
          </cell>
          <cell r="E1770">
            <v>0</v>
          </cell>
          <cell r="F1770" t="str">
            <v>A-MB628</v>
          </cell>
          <cell r="G1770">
            <v>45070</v>
          </cell>
        </row>
        <row r="1771">
          <cell r="C1771" t="str">
            <v>TL</v>
          </cell>
          <cell r="D1771" t="str">
            <v>Enterprise</v>
          </cell>
          <cell r="G1771">
            <v>45226</v>
          </cell>
        </row>
        <row r="1772">
          <cell r="C1772" t="str">
            <v>USD</v>
          </cell>
          <cell r="D1772" t="str">
            <v>Enterprise</v>
          </cell>
          <cell r="G1772">
            <v>45070</v>
          </cell>
        </row>
        <row r="1773">
          <cell r="C1773" t="str">
            <v>USD</v>
          </cell>
          <cell r="D1773" t="str">
            <v>Enterprise</v>
          </cell>
          <cell r="G1773">
            <v>45226</v>
          </cell>
        </row>
        <row r="1774">
          <cell r="C1774" t="str">
            <v>USD</v>
          </cell>
          <cell r="D1774" t="str">
            <v>Enterprise</v>
          </cell>
        </row>
        <row r="1775">
          <cell r="C1775" t="str">
            <v>EUR</v>
          </cell>
          <cell r="D1775" t="str">
            <v>Enterprise</v>
          </cell>
        </row>
        <row r="1776">
          <cell r="C1776" t="str">
            <v>Kur Sabitleme</v>
          </cell>
          <cell r="D1776" t="str">
            <v>Enterprise</v>
          </cell>
        </row>
        <row r="1777">
          <cell r="C1777" t="str">
            <v>Türkiye Finans Katılım Bankası</v>
          </cell>
          <cell r="D1777" t="str">
            <v>Enterprise</v>
          </cell>
          <cell r="E1777" t="str">
            <v>TREO BİLGİ TEKNOLOJİLERİ</v>
          </cell>
          <cell r="F1777" t="str">
            <v>A-MB511</v>
          </cell>
          <cell r="G1777">
            <v>45070</v>
          </cell>
        </row>
        <row r="1778">
          <cell r="C1778" t="str">
            <v>TL</v>
          </cell>
          <cell r="D1778" t="str">
            <v>Enterprise</v>
          </cell>
        </row>
        <row r="1779">
          <cell r="C1779" t="str">
            <v>USD</v>
          </cell>
          <cell r="D1779" t="str">
            <v>Enterprise</v>
          </cell>
          <cell r="G1779">
            <v>45070</v>
          </cell>
        </row>
        <row r="1780">
          <cell r="C1780" t="str">
            <v>EUR</v>
          </cell>
          <cell r="D1780" t="str">
            <v>Enterprise</v>
          </cell>
        </row>
        <row r="1781">
          <cell r="C1781" t="str">
            <v>Kur Sabitleme</v>
          </cell>
          <cell r="D1781" t="str">
            <v>Enterprise</v>
          </cell>
        </row>
        <row r="1782">
          <cell r="C1782" t="str">
            <v>İGM GÜMRÜK MÜŞAVİRLİĞİ</v>
          </cell>
          <cell r="D1782" t="str">
            <v>SMB</v>
          </cell>
          <cell r="E1782" t="str">
            <v>KANAL YOK</v>
          </cell>
          <cell r="F1782" t="str">
            <v>A-MB621</v>
          </cell>
          <cell r="G1782">
            <v>45093</v>
          </cell>
        </row>
        <row r="1783">
          <cell r="C1783" t="str">
            <v>TL</v>
          </cell>
          <cell r="D1783" t="str">
            <v>SMB</v>
          </cell>
        </row>
        <row r="1784">
          <cell r="C1784" t="str">
            <v>USD</v>
          </cell>
          <cell r="D1784" t="str">
            <v>SMB</v>
          </cell>
          <cell r="G1784">
            <v>45093</v>
          </cell>
        </row>
        <row r="1785">
          <cell r="C1785" t="str">
            <v>EUR</v>
          </cell>
          <cell r="D1785" t="str">
            <v>SMB</v>
          </cell>
        </row>
        <row r="1786">
          <cell r="C1786" t="str">
            <v>Kur Sabitleme</v>
          </cell>
          <cell r="D1786" t="str">
            <v>SMB</v>
          </cell>
        </row>
        <row r="1787">
          <cell r="C1787" t="str">
            <v>ARKON CELİK SANAYI ve TICARET LTD. ŞTI.</v>
          </cell>
          <cell r="D1787" t="str">
            <v>SMB</v>
          </cell>
          <cell r="E1787" t="str">
            <v>META YAZILIM BİLGİ İŞLEM TEKNOLOJİLERİ VE DANIŞMAN</v>
          </cell>
          <cell r="F1787" t="str">
            <v>A-MB624</v>
          </cell>
          <cell r="G1787">
            <v>45098</v>
          </cell>
        </row>
        <row r="1788">
          <cell r="C1788" t="str">
            <v>TL</v>
          </cell>
          <cell r="D1788" t="str">
            <v>SMB</v>
          </cell>
        </row>
        <row r="1789">
          <cell r="C1789" t="str">
            <v>USD</v>
          </cell>
          <cell r="D1789" t="str">
            <v>SMB</v>
          </cell>
          <cell r="G1789">
            <v>45098</v>
          </cell>
        </row>
        <row r="1790">
          <cell r="C1790" t="str">
            <v>EUR</v>
          </cell>
          <cell r="D1790" t="str">
            <v>SMB</v>
          </cell>
        </row>
        <row r="1791">
          <cell r="C1791" t="str">
            <v>Kur Sabitleme</v>
          </cell>
          <cell r="D1791" t="str">
            <v>SMB</v>
          </cell>
        </row>
        <row r="1792">
          <cell r="C1792" t="str">
            <v>SEGMENTIFY</v>
          </cell>
          <cell r="D1792" t="str">
            <v>SMB</v>
          </cell>
          <cell r="E1792" t="str">
            <v>KANAL YOK</v>
          </cell>
          <cell r="F1792" t="str">
            <v>A-MB625</v>
          </cell>
          <cell r="G1792">
            <v>45093</v>
          </cell>
        </row>
        <row r="1793">
          <cell r="C1793" t="str">
            <v>TL</v>
          </cell>
          <cell r="D1793" t="str">
            <v>SMB</v>
          </cell>
        </row>
        <row r="1794">
          <cell r="C1794" t="str">
            <v>USD</v>
          </cell>
          <cell r="D1794" t="str">
            <v>SMB</v>
          </cell>
          <cell r="G1794">
            <v>45093</v>
          </cell>
        </row>
        <row r="1795">
          <cell r="C1795" t="str">
            <v>EUR</v>
          </cell>
          <cell r="D1795" t="str">
            <v>SMB</v>
          </cell>
        </row>
        <row r="1796">
          <cell r="C1796" t="str">
            <v>Kur Sabitleme</v>
          </cell>
          <cell r="D1796" t="str">
            <v>SMB</v>
          </cell>
        </row>
        <row r="1797">
          <cell r="C1797" t="str">
            <v>SAH-96 MMC - BULUT HIZMETI</v>
          </cell>
          <cell r="D1797" t="str">
            <v>SMB</v>
          </cell>
          <cell r="E1797" t="str">
            <v>LAYDA BİLGİSAYAR YAZILIM ve DANIŞMANLIK LTD.ŞTİ.</v>
          </cell>
          <cell r="F1797" t="str">
            <v>A-MB626</v>
          </cell>
          <cell r="G1797">
            <v>45099</v>
          </cell>
        </row>
        <row r="1798">
          <cell r="C1798" t="str">
            <v>TL</v>
          </cell>
          <cell r="D1798" t="str">
            <v>SMB</v>
          </cell>
        </row>
        <row r="1799">
          <cell r="C1799" t="str">
            <v>USD</v>
          </cell>
          <cell r="D1799" t="str">
            <v>SMB</v>
          </cell>
          <cell r="G1799">
            <v>45099</v>
          </cell>
        </row>
        <row r="1800">
          <cell r="C1800" t="str">
            <v>EUR</v>
          </cell>
          <cell r="D1800" t="str">
            <v>SMB</v>
          </cell>
        </row>
        <row r="1801">
          <cell r="C1801" t="str">
            <v>Kur Sabitleme</v>
          </cell>
          <cell r="D1801" t="str">
            <v>SMB</v>
          </cell>
        </row>
        <row r="1802">
          <cell r="C1802" t="str">
            <v>ATESSONMEZ KIMYA SAN VE TIC AS</v>
          </cell>
          <cell r="D1802" t="str">
            <v>SMB</v>
          </cell>
          <cell r="E1802" t="str">
            <v>ÖZTÜRK BİLGİ İŞLEM (MAHSUNİ ÖZTÜRK)</v>
          </cell>
          <cell r="F1802" t="str">
            <v>A-MB635</v>
          </cell>
          <cell r="G1802">
            <v>45138</v>
          </cell>
        </row>
        <row r="1803">
          <cell r="C1803" t="str">
            <v>TL</v>
          </cell>
          <cell r="D1803" t="str">
            <v>SMB</v>
          </cell>
        </row>
        <row r="1804">
          <cell r="C1804" t="str">
            <v>USD</v>
          </cell>
          <cell r="D1804" t="str">
            <v>SMB</v>
          </cell>
          <cell r="G1804">
            <v>45138</v>
          </cell>
        </row>
        <row r="1805">
          <cell r="C1805" t="str">
            <v>EUR</v>
          </cell>
          <cell r="D1805" t="str">
            <v>SMB</v>
          </cell>
        </row>
        <row r="1806">
          <cell r="C1806" t="str">
            <v>Kur Sabitleme</v>
          </cell>
          <cell r="D1806" t="str">
            <v>SMB</v>
          </cell>
        </row>
        <row r="1807">
          <cell r="C1807" t="str">
            <v>SÜTPLUS GIDA TÜKETİM MADDELERİ SAN.VE TİC.LTD.ŞTİ.</v>
          </cell>
          <cell r="D1807" t="str">
            <v>SMB</v>
          </cell>
          <cell r="E1807" t="str">
            <v xml:space="preserve">Boyut Bilgisayar İletişim </v>
          </cell>
          <cell r="F1807" t="str">
            <v>…..</v>
          </cell>
          <cell r="G1807">
            <v>45134</v>
          </cell>
        </row>
        <row r="1808">
          <cell r="C1808" t="str">
            <v>TL</v>
          </cell>
          <cell r="D1808" t="str">
            <v>SMB</v>
          </cell>
        </row>
        <row r="1809">
          <cell r="C1809" t="str">
            <v>USD</v>
          </cell>
          <cell r="D1809" t="str">
            <v>SMB</v>
          </cell>
          <cell r="G1809">
            <v>45134</v>
          </cell>
        </row>
        <row r="1810">
          <cell r="C1810" t="str">
            <v>EUR</v>
          </cell>
          <cell r="D1810" t="str">
            <v>SMB</v>
          </cell>
        </row>
        <row r="1811">
          <cell r="C1811" t="str">
            <v>Kur Sabitleme</v>
          </cell>
          <cell r="D1811" t="str">
            <v>SMB</v>
          </cell>
        </row>
        <row r="1812">
          <cell r="C1812" t="str">
            <v>GİSAŞ GEMI İNŞA SANAYI A.Ş.</v>
          </cell>
          <cell r="D1812" t="str">
            <v>SMB</v>
          </cell>
          <cell r="E1812" t="str">
            <v>REFERANS</v>
          </cell>
          <cell r="F1812" t="str">
            <v>…..</v>
          </cell>
          <cell r="G1812">
            <v>45098</v>
          </cell>
        </row>
        <row r="1813">
          <cell r="C1813" t="str">
            <v>TL</v>
          </cell>
          <cell r="D1813" t="str">
            <v>SMB</v>
          </cell>
        </row>
        <row r="1814">
          <cell r="C1814" t="str">
            <v>USD</v>
          </cell>
          <cell r="D1814" t="str">
            <v>SMB</v>
          </cell>
          <cell r="G1814">
            <v>45098</v>
          </cell>
        </row>
        <row r="1815">
          <cell r="C1815" t="str">
            <v>EUR</v>
          </cell>
          <cell r="D1815" t="str">
            <v>SMB</v>
          </cell>
        </row>
        <row r="1816">
          <cell r="C1816" t="str">
            <v>Kur Sabitleme</v>
          </cell>
          <cell r="D1816" t="str">
            <v>SMB</v>
          </cell>
        </row>
        <row r="1817">
          <cell r="C1817" t="str">
            <v>PELSAN AYDINLATMA SANAYİ VE TİCARET ANONİM ŞİRKETİ</v>
          </cell>
          <cell r="D1817" t="str">
            <v>SMB</v>
          </cell>
          <cell r="E1817" t="str">
            <v>REFERANS</v>
          </cell>
          <cell r="F1817" t="str">
            <v>A-MB633</v>
          </cell>
          <cell r="G1817">
            <v>45124</v>
          </cell>
        </row>
        <row r="1818">
          <cell r="C1818" t="str">
            <v>TL</v>
          </cell>
          <cell r="D1818" t="str">
            <v>SMB</v>
          </cell>
          <cell r="G1818">
            <v>45124</v>
          </cell>
        </row>
        <row r="1819">
          <cell r="C1819" t="str">
            <v>USD</v>
          </cell>
          <cell r="D1819" t="str">
            <v>SMB</v>
          </cell>
          <cell r="G1819">
            <v>45579</v>
          </cell>
        </row>
        <row r="1820">
          <cell r="C1820" t="str">
            <v>EUR</v>
          </cell>
          <cell r="D1820" t="str">
            <v>SMB</v>
          </cell>
        </row>
        <row r="1821">
          <cell r="C1821" t="str">
            <v>Kur Sabitleme</v>
          </cell>
          <cell r="D1821" t="str">
            <v>SMB</v>
          </cell>
        </row>
        <row r="1822">
          <cell r="C1822" t="str">
            <v>TRANSORIENT ULUSLARARASI LOJİSTİK VE TİCARET A.Ş</v>
          </cell>
          <cell r="D1822" t="str">
            <v>SMB</v>
          </cell>
          <cell r="E1822" t="str">
            <v>REFERANS</v>
          </cell>
          <cell r="F1822" t="str">
            <v>A-MB632</v>
          </cell>
          <cell r="G1822">
            <v>45117</v>
          </cell>
        </row>
        <row r="1823">
          <cell r="C1823" t="str">
            <v>TL</v>
          </cell>
          <cell r="D1823" t="str">
            <v>SMB</v>
          </cell>
        </row>
        <row r="1824">
          <cell r="C1824" t="str">
            <v>USD</v>
          </cell>
          <cell r="D1824" t="str">
            <v>SMB</v>
          </cell>
          <cell r="G1824">
            <v>45117</v>
          </cell>
        </row>
        <row r="1825">
          <cell r="C1825" t="str">
            <v>EUR</v>
          </cell>
          <cell r="D1825" t="str">
            <v>SMB</v>
          </cell>
        </row>
        <row r="1826">
          <cell r="C1826" t="str">
            <v>Kur Sabitleme</v>
          </cell>
          <cell r="D1826" t="str">
            <v>SMB</v>
          </cell>
        </row>
        <row r="1827">
          <cell r="C1827" t="str">
            <v>OPSAN ORİJİNAL SAC PARÇA SAN.VE TİC. A.Ş.</v>
          </cell>
          <cell r="D1827" t="str">
            <v>Enterprise</v>
          </cell>
          <cell r="E1827" t="str">
            <v>TREO BİLGİ TEKNOLOJİLERİ</v>
          </cell>
          <cell r="F1827" t="str">
            <v>A-MB511</v>
          </cell>
          <cell r="G1827">
            <v>45138</v>
          </cell>
        </row>
        <row r="1828">
          <cell r="C1828" t="str">
            <v>TL</v>
          </cell>
          <cell r="D1828" t="str">
            <v>Enterprise</v>
          </cell>
          <cell r="G1828">
            <v>45138</v>
          </cell>
        </row>
        <row r="1829">
          <cell r="C1829" t="str">
            <v>USD</v>
          </cell>
          <cell r="D1829" t="str">
            <v>Enterprise</v>
          </cell>
        </row>
        <row r="1830">
          <cell r="C1830" t="str">
            <v>EUR</v>
          </cell>
          <cell r="D1830" t="str">
            <v>Enterprise</v>
          </cell>
        </row>
        <row r="1831">
          <cell r="C1831" t="str">
            <v>Kur Sabitleme</v>
          </cell>
          <cell r="D1831" t="str">
            <v>Enterprise</v>
          </cell>
        </row>
        <row r="1832">
          <cell r="C1832" t="str">
            <v>90PİXEL</v>
          </cell>
          <cell r="D1832" t="str">
            <v>SMB</v>
          </cell>
          <cell r="E1832" t="str">
            <v>PAZARLAMA</v>
          </cell>
          <cell r="F1832" t="str">
            <v>A-MB641</v>
          </cell>
          <cell r="G1832">
            <v>45161</v>
          </cell>
        </row>
        <row r="1833">
          <cell r="C1833" t="str">
            <v>TL</v>
          </cell>
          <cell r="D1833" t="str">
            <v>SMB</v>
          </cell>
        </row>
        <row r="1834">
          <cell r="C1834" t="str">
            <v>USD</v>
          </cell>
          <cell r="D1834" t="str">
            <v>SMB</v>
          </cell>
          <cell r="G1834">
            <v>45161</v>
          </cell>
        </row>
        <row r="1835">
          <cell r="C1835" t="str">
            <v>EUR</v>
          </cell>
          <cell r="D1835" t="str">
            <v>SMB</v>
          </cell>
        </row>
        <row r="1836">
          <cell r="C1836" t="str">
            <v>Kur Sabitleme</v>
          </cell>
          <cell r="D1836" t="str">
            <v>SMB</v>
          </cell>
        </row>
        <row r="1837">
          <cell r="C1837" t="str">
            <v>Acr Naturel Gıda Pazarlama Sanayi Ve Ticaret Limit</v>
          </cell>
          <cell r="D1837" t="str">
            <v>SMB</v>
          </cell>
          <cell r="E1837" t="str">
            <v>VK BİLGİ TEKNOLOJİLERİ ANONİM ŞİRKETİ</v>
          </cell>
          <cell r="F1837" t="str">
            <v>A-MB607</v>
          </cell>
          <cell r="G1837">
            <v>45146</v>
          </cell>
        </row>
        <row r="1838">
          <cell r="C1838" t="str">
            <v>TL</v>
          </cell>
          <cell r="D1838" t="str">
            <v>SMB</v>
          </cell>
        </row>
        <row r="1839">
          <cell r="C1839" t="str">
            <v>USD</v>
          </cell>
          <cell r="D1839" t="str">
            <v>SMB</v>
          </cell>
          <cell r="G1839">
            <v>45146</v>
          </cell>
        </row>
        <row r="1840">
          <cell r="C1840" t="str">
            <v>EUR</v>
          </cell>
          <cell r="D1840" t="str">
            <v>SMB</v>
          </cell>
        </row>
        <row r="1841">
          <cell r="C1841" t="str">
            <v>Kur Sabitleme</v>
          </cell>
          <cell r="D1841" t="str">
            <v>SMB</v>
          </cell>
        </row>
        <row r="1842">
          <cell r="C1842" t="str">
            <v>HEXAROB OTOMASYON VE MÜHENDISLIK LTD. ŞTI.</v>
          </cell>
          <cell r="D1842" t="str">
            <v>SMB</v>
          </cell>
          <cell r="E1842" t="str">
            <v>FORTIUS SPORTIF FAALIYETLER DANIŞMANLIK TIC.LTD.ŞT</v>
          </cell>
          <cell r="F1842" t="str">
            <v>A-MB638</v>
          </cell>
          <cell r="G1842">
            <v>45159</v>
          </cell>
        </row>
        <row r="1843">
          <cell r="C1843" t="str">
            <v>TL</v>
          </cell>
          <cell r="D1843" t="str">
            <v>SMB</v>
          </cell>
        </row>
        <row r="1844">
          <cell r="C1844" t="str">
            <v>USD</v>
          </cell>
          <cell r="D1844" t="str">
            <v>SMB</v>
          </cell>
          <cell r="G1844">
            <v>45159</v>
          </cell>
        </row>
        <row r="1845">
          <cell r="C1845" t="str">
            <v>EUR</v>
          </cell>
          <cell r="D1845" t="str">
            <v>SMB</v>
          </cell>
        </row>
        <row r="1846">
          <cell r="C1846" t="str">
            <v>Kur Sabitleme</v>
          </cell>
          <cell r="D1846" t="str">
            <v>SMB</v>
          </cell>
        </row>
        <row r="1847">
          <cell r="C1847" t="str">
            <v>MODİS YAPI MİMARLIK</v>
          </cell>
          <cell r="D1847" t="str">
            <v>SMB</v>
          </cell>
          <cell r="E1847" t="str">
            <v>ALACA YAZILIM VE TEKNOLOJİ SAN.TİC.LTD.ŞTİ.</v>
          </cell>
          <cell r="F1847" t="str">
            <v>A-MB640</v>
          </cell>
          <cell r="G1847">
            <v>45141</v>
          </cell>
        </row>
        <row r="1848">
          <cell r="C1848" t="str">
            <v>TL</v>
          </cell>
          <cell r="D1848" t="str">
            <v>SMB</v>
          </cell>
        </row>
        <row r="1849">
          <cell r="C1849" t="str">
            <v>USD</v>
          </cell>
          <cell r="D1849" t="str">
            <v>SMB</v>
          </cell>
          <cell r="G1849">
            <v>45141</v>
          </cell>
        </row>
        <row r="1850">
          <cell r="C1850" t="str">
            <v>EUR</v>
          </cell>
          <cell r="D1850" t="str">
            <v>SMB</v>
          </cell>
        </row>
        <row r="1851">
          <cell r="C1851" t="str">
            <v>Kur Sabitleme</v>
          </cell>
          <cell r="D1851" t="str">
            <v>SMB</v>
          </cell>
        </row>
        <row r="1852">
          <cell r="C1852" t="str">
            <v>Mia Istanbul Gayrimenkul</v>
          </cell>
          <cell r="D1852" t="str">
            <v>SMB</v>
          </cell>
          <cell r="E1852" t="str">
            <v>REFERANS</v>
          </cell>
          <cell r="F1852" t="str">
            <v>A-MB636</v>
          </cell>
          <cell r="G1852">
            <v>45152</v>
          </cell>
        </row>
        <row r="1853">
          <cell r="C1853" t="str">
            <v>TL</v>
          </cell>
          <cell r="D1853" t="str">
            <v>SMB</v>
          </cell>
        </row>
        <row r="1854">
          <cell r="C1854" t="str">
            <v>USD</v>
          </cell>
          <cell r="D1854" t="str">
            <v>SMB</v>
          </cell>
          <cell r="G1854">
            <v>45152</v>
          </cell>
        </row>
        <row r="1855">
          <cell r="C1855" t="str">
            <v>EUR</v>
          </cell>
          <cell r="D1855" t="str">
            <v>SMB</v>
          </cell>
        </row>
        <row r="1856">
          <cell r="C1856" t="str">
            <v>Kur Sabitleme</v>
          </cell>
          <cell r="D1856" t="str">
            <v>SMB</v>
          </cell>
        </row>
        <row r="1857">
          <cell r="C1857" t="str">
            <v>TÜRK PVEI SİGORTA A.Ş.</v>
          </cell>
          <cell r="D1857" t="str">
            <v>Enterprise</v>
          </cell>
          <cell r="E1857">
            <v>0</v>
          </cell>
          <cell r="F1857" t="str">
            <v>A-MB642</v>
          </cell>
          <cell r="G1857">
            <v>45156</v>
          </cell>
        </row>
        <row r="1858">
          <cell r="C1858" t="str">
            <v>TL</v>
          </cell>
          <cell r="D1858" t="str">
            <v>Enterprise</v>
          </cell>
          <cell r="G1858">
            <v>45156</v>
          </cell>
        </row>
        <row r="1859">
          <cell r="C1859" t="str">
            <v>USD</v>
          </cell>
          <cell r="D1859" t="str">
            <v>Enterprise</v>
          </cell>
          <cell r="G1859">
            <v>45156</v>
          </cell>
        </row>
        <row r="1860">
          <cell r="C1860" t="str">
            <v>USD</v>
          </cell>
          <cell r="D1860" t="str">
            <v>Enterprise</v>
          </cell>
          <cell r="G1860">
            <v>45169</v>
          </cell>
        </row>
        <row r="1861">
          <cell r="C1861" t="str">
            <v>USD</v>
          </cell>
          <cell r="D1861" t="str">
            <v>Enterprise</v>
          </cell>
        </row>
        <row r="1862">
          <cell r="C1862" t="str">
            <v>EUR</v>
          </cell>
          <cell r="D1862" t="str">
            <v>Enterprise</v>
          </cell>
        </row>
        <row r="1863">
          <cell r="C1863" t="str">
            <v>Kur Sabitleme</v>
          </cell>
          <cell r="D1863" t="str">
            <v>Enterprise</v>
          </cell>
        </row>
        <row r="1864">
          <cell r="C1864" t="str">
            <v>UGI SOFT YAZILIM</v>
          </cell>
          <cell r="D1864" t="str">
            <v>SMB</v>
          </cell>
          <cell r="E1864" t="str">
            <v>REFERANS</v>
          </cell>
          <cell r="F1864" t="str">
            <v>A-MB643</v>
          </cell>
          <cell r="G1864">
            <v>45155</v>
          </cell>
        </row>
        <row r="1865">
          <cell r="C1865" t="str">
            <v>TL</v>
          </cell>
          <cell r="D1865" t="str">
            <v>SMB</v>
          </cell>
        </row>
        <row r="1866">
          <cell r="C1866" t="str">
            <v>USD</v>
          </cell>
          <cell r="D1866" t="str">
            <v>SMB</v>
          </cell>
          <cell r="G1866">
            <v>45155</v>
          </cell>
        </row>
        <row r="1867">
          <cell r="C1867" t="str">
            <v>EUR</v>
          </cell>
          <cell r="D1867" t="str">
            <v>SMB</v>
          </cell>
        </row>
        <row r="1868">
          <cell r="C1868" t="str">
            <v>Kur Sabitleme</v>
          </cell>
          <cell r="D1868" t="str">
            <v>SMB</v>
          </cell>
        </row>
        <row r="1869">
          <cell r="C1869" t="str">
            <v>AKTİF HUKUK</v>
          </cell>
          <cell r="D1869" t="str">
            <v>SMB</v>
          </cell>
          <cell r="E1869" t="str">
            <v>GREENS BİLGİSAYAR HİZMETLERİ SAN. VE TİCARET LİMİ</v>
          </cell>
          <cell r="F1869" t="str">
            <v>A-MB646</v>
          </cell>
          <cell r="G1869">
            <v>45176</v>
          </cell>
        </row>
        <row r="1870">
          <cell r="C1870" t="str">
            <v>TL</v>
          </cell>
          <cell r="D1870" t="str">
            <v>SMB</v>
          </cell>
        </row>
        <row r="1871">
          <cell r="C1871" t="str">
            <v>USD</v>
          </cell>
          <cell r="D1871" t="str">
            <v>SMB</v>
          </cell>
          <cell r="G1871">
            <v>45176</v>
          </cell>
        </row>
        <row r="1872">
          <cell r="C1872" t="str">
            <v>USD</v>
          </cell>
          <cell r="D1872" t="str">
            <v>SMB</v>
          </cell>
          <cell r="G1872">
            <v>45512</v>
          </cell>
        </row>
        <row r="1873">
          <cell r="C1873" t="str">
            <v>USD</v>
          </cell>
          <cell r="D1873" t="str">
            <v>SMB</v>
          </cell>
          <cell r="G1873">
            <v>45566</v>
          </cell>
        </row>
        <row r="1874">
          <cell r="C1874" t="str">
            <v>USD</v>
          </cell>
          <cell r="D1874" t="str">
            <v>SMB</v>
          </cell>
          <cell r="G1874">
            <v>45566</v>
          </cell>
        </row>
        <row r="1875">
          <cell r="C1875" t="str">
            <v>USD</v>
          </cell>
          <cell r="D1875" t="str">
            <v>SMB</v>
          </cell>
          <cell r="G1875">
            <v>45688</v>
          </cell>
        </row>
        <row r="1876">
          <cell r="C1876" t="str">
            <v>USD</v>
          </cell>
          <cell r="D1876" t="str">
            <v>SMB</v>
          </cell>
          <cell r="G1876">
            <v>45620</v>
          </cell>
        </row>
        <row r="1877">
          <cell r="C1877" t="str">
            <v>EUR</v>
          </cell>
          <cell r="D1877" t="str">
            <v>SMB</v>
          </cell>
        </row>
        <row r="1878">
          <cell r="C1878" t="str">
            <v>Kur Sabitleme</v>
          </cell>
          <cell r="D1878" t="str">
            <v>SMB</v>
          </cell>
        </row>
        <row r="1879">
          <cell r="C1879" t="str">
            <v>ÖZEL ALEV OKULLARI</v>
          </cell>
          <cell r="D1879" t="str">
            <v>SMB</v>
          </cell>
          <cell r="E1879" t="str">
            <v>MAKSİMUM BİLGİSAYAR İTH.İHR.SAN.VE TUR.LTD.ŞTİ</v>
          </cell>
          <cell r="F1879" t="str">
            <v>…..</v>
          </cell>
          <cell r="G1879">
            <v>45176</v>
          </cell>
        </row>
        <row r="1880">
          <cell r="C1880" t="str">
            <v>TL</v>
          </cell>
          <cell r="D1880" t="str">
            <v>SMB</v>
          </cell>
        </row>
        <row r="1881">
          <cell r="C1881" t="str">
            <v>USD</v>
          </cell>
          <cell r="D1881" t="str">
            <v>SMB</v>
          </cell>
          <cell r="G1881">
            <v>45176</v>
          </cell>
        </row>
        <row r="1882">
          <cell r="C1882" t="str">
            <v>EUR</v>
          </cell>
          <cell r="D1882" t="str">
            <v>SMB</v>
          </cell>
        </row>
        <row r="1883">
          <cell r="C1883" t="str">
            <v>Kur Sabitleme</v>
          </cell>
          <cell r="D1883" t="str">
            <v>SMB</v>
          </cell>
        </row>
        <row r="1884">
          <cell r="C1884" t="str">
            <v>M LORD DIŞ TİCARET A.Ş</v>
          </cell>
          <cell r="D1884" t="str">
            <v>SMB</v>
          </cell>
          <cell r="E1884" t="str">
            <v>GÜNEŞ ELEKTRONİK CİHAZLAR ve TİC. LTD.ŞTİ.</v>
          </cell>
          <cell r="F1884" t="str">
            <v>A-MB648</v>
          </cell>
          <cell r="G1884">
            <v>45194</v>
          </cell>
        </row>
        <row r="1885">
          <cell r="C1885" t="str">
            <v>TL</v>
          </cell>
          <cell r="D1885" t="str">
            <v>SMB</v>
          </cell>
        </row>
        <row r="1886">
          <cell r="C1886" t="str">
            <v>USD</v>
          </cell>
          <cell r="D1886" t="str">
            <v>SMB</v>
          </cell>
          <cell r="G1886">
            <v>45194</v>
          </cell>
        </row>
        <row r="1887">
          <cell r="C1887" t="str">
            <v>EUR</v>
          </cell>
          <cell r="D1887" t="str">
            <v>SMB</v>
          </cell>
        </row>
        <row r="1888">
          <cell r="C1888" t="str">
            <v>Kur Sabitleme</v>
          </cell>
          <cell r="D1888" t="str">
            <v>SMB</v>
          </cell>
        </row>
        <row r="1889">
          <cell r="C1889" t="str">
            <v>LKG MÜHENDISLIK VE ARGE HIZMETLERI LTD. ŞTI.</v>
          </cell>
          <cell r="D1889" t="str">
            <v>SMB</v>
          </cell>
          <cell r="E1889" t="str">
            <v>LKG MÜHENDISLIK VE ARGE HIZMETLERI LTD. ŞTI.</v>
          </cell>
          <cell r="F1889" t="str">
            <v>A-MB647</v>
          </cell>
          <cell r="G1889">
            <v>45597</v>
          </cell>
        </row>
        <row r="1890">
          <cell r="C1890" t="str">
            <v>TL</v>
          </cell>
          <cell r="D1890" t="str">
            <v>SMB</v>
          </cell>
        </row>
        <row r="1891">
          <cell r="C1891" t="str">
            <v>USD</v>
          </cell>
          <cell r="D1891" t="str">
            <v>SMB</v>
          </cell>
          <cell r="G1891">
            <v>45597</v>
          </cell>
        </row>
        <row r="1892">
          <cell r="C1892" t="str">
            <v>EUR</v>
          </cell>
          <cell r="D1892" t="str">
            <v>SMB</v>
          </cell>
        </row>
        <row r="1893">
          <cell r="C1893" t="str">
            <v>Kur Sabitleme</v>
          </cell>
          <cell r="D1893" t="str">
            <v>SMB</v>
          </cell>
        </row>
        <row r="1894">
          <cell r="C1894" t="str">
            <v>ROTAP TEKNOLOJİ YAZILIM</v>
          </cell>
          <cell r="D1894" t="str">
            <v>SMB</v>
          </cell>
          <cell r="E1894" t="str">
            <v>LKG MÜHENDISLIK VE ARGE HIZMETLERI LTD. ŞTI.</v>
          </cell>
          <cell r="F1894" t="str">
            <v>A-MB649</v>
          </cell>
          <cell r="G1894">
            <v>45199</v>
          </cell>
        </row>
        <row r="1895">
          <cell r="C1895" t="str">
            <v>TL</v>
          </cell>
          <cell r="D1895" t="str">
            <v>SMB</v>
          </cell>
        </row>
        <row r="1896">
          <cell r="C1896" t="str">
            <v>USD</v>
          </cell>
          <cell r="D1896" t="str">
            <v>SMB</v>
          </cell>
          <cell r="G1896">
            <v>45199</v>
          </cell>
        </row>
        <row r="1897">
          <cell r="C1897" t="str">
            <v>EUR</v>
          </cell>
          <cell r="D1897" t="str">
            <v>SMB</v>
          </cell>
        </row>
        <row r="1898">
          <cell r="C1898" t="str">
            <v>Kur Sabitleme</v>
          </cell>
          <cell r="D1898" t="str">
            <v>SMB</v>
          </cell>
        </row>
        <row r="1899">
          <cell r="C1899" t="str">
            <v>ANTALYA SUBSTRAT YATIRIM LİMİTED ŞİRKETİ</v>
          </cell>
          <cell r="D1899" t="str">
            <v>SMB</v>
          </cell>
          <cell r="E1899" t="str">
            <v>KANAL YOK</v>
          </cell>
          <cell r="F1899" t="str">
            <v>A-MB654</v>
          </cell>
          <cell r="G1899">
            <v>45222</v>
          </cell>
        </row>
        <row r="1900">
          <cell r="C1900" t="str">
            <v>TL</v>
          </cell>
          <cell r="D1900" t="str">
            <v>SMB</v>
          </cell>
        </row>
        <row r="1901">
          <cell r="C1901" t="str">
            <v>USD</v>
          </cell>
          <cell r="D1901" t="str">
            <v>SMB</v>
          </cell>
          <cell r="G1901">
            <v>45222</v>
          </cell>
        </row>
        <row r="1902">
          <cell r="C1902" t="str">
            <v>USD</v>
          </cell>
          <cell r="D1902" t="str">
            <v>SMB</v>
          </cell>
          <cell r="G1902">
            <v>45595</v>
          </cell>
        </row>
        <row r="1903">
          <cell r="C1903" t="str">
            <v>EUR</v>
          </cell>
          <cell r="D1903" t="str">
            <v>SMB</v>
          </cell>
        </row>
        <row r="1904">
          <cell r="C1904" t="str">
            <v>Kur Sabitleme</v>
          </cell>
          <cell r="D1904" t="str">
            <v>SMB</v>
          </cell>
          <cell r="G1904">
            <v>45222</v>
          </cell>
        </row>
        <row r="1905">
          <cell r="C1905" t="str">
            <v>TİRYAKİ KALIP  PLASTİK METAL İMALAT SAN. VE TİC. L</v>
          </cell>
          <cell r="D1905" t="str">
            <v>SMB</v>
          </cell>
          <cell r="E1905" t="str">
            <v xml:space="preserve">SARKOM BİLGİSAYAR </v>
          </cell>
          <cell r="F1905" t="str">
            <v>A-MB662</v>
          </cell>
          <cell r="G1905">
            <v>45230</v>
          </cell>
        </row>
        <row r="1906">
          <cell r="C1906" t="str">
            <v>TL</v>
          </cell>
          <cell r="D1906" t="str">
            <v>SMB</v>
          </cell>
        </row>
        <row r="1907">
          <cell r="C1907" t="str">
            <v>USD</v>
          </cell>
          <cell r="D1907" t="str">
            <v>SMB</v>
          </cell>
          <cell r="G1907">
            <v>45230</v>
          </cell>
        </row>
        <row r="1908">
          <cell r="C1908" t="str">
            <v>EUR</v>
          </cell>
          <cell r="D1908" t="str">
            <v>SMB</v>
          </cell>
        </row>
        <row r="1909">
          <cell r="C1909" t="str">
            <v>Kur Sabitleme</v>
          </cell>
          <cell r="D1909" t="str">
            <v>SMB</v>
          </cell>
        </row>
        <row r="1910">
          <cell r="C1910" t="str">
            <v>TRAKPAR YEDEK PARÇA SAN.DIŞ.TİC.LTD.ŞTİ.</v>
          </cell>
          <cell r="D1910" t="str">
            <v>SMB</v>
          </cell>
          <cell r="E1910" t="str">
            <v>TREND TRAKYA BİLİŞİM- FATMA KÖLEOĞLU</v>
          </cell>
          <cell r="F1910" t="str">
            <v>A-MB660</v>
          </cell>
          <cell r="G1910">
            <v>45590</v>
          </cell>
        </row>
        <row r="1911">
          <cell r="C1911" t="str">
            <v>TL</v>
          </cell>
          <cell r="D1911" t="str">
            <v>SMB</v>
          </cell>
        </row>
        <row r="1912">
          <cell r="C1912" t="str">
            <v>USD</v>
          </cell>
          <cell r="D1912" t="str">
            <v>SMB</v>
          </cell>
          <cell r="G1912">
            <v>45590</v>
          </cell>
        </row>
        <row r="1913">
          <cell r="C1913" t="str">
            <v>EUR</v>
          </cell>
          <cell r="D1913" t="str">
            <v>SMB</v>
          </cell>
        </row>
        <row r="1914">
          <cell r="C1914" t="str">
            <v>Kur Sabitleme</v>
          </cell>
          <cell r="D1914" t="str">
            <v>SMB</v>
          </cell>
        </row>
        <row r="1915">
          <cell r="C1915" t="str">
            <v>24 KARGO VE TAŞIMACILIK TİCARET A.Ş.</v>
          </cell>
          <cell r="D1915" t="str">
            <v>SMB</v>
          </cell>
          <cell r="E1915" t="str">
            <v>ARTWARE BILIŞIM TEKNOLOJILERI &amp; YAZILIM DAN.</v>
          </cell>
          <cell r="F1915" t="str">
            <v>A-MB661</v>
          </cell>
          <cell r="G1915">
            <v>45400</v>
          </cell>
        </row>
        <row r="1916">
          <cell r="C1916" t="str">
            <v>TL</v>
          </cell>
          <cell r="D1916" t="str">
            <v>SMB</v>
          </cell>
        </row>
        <row r="1917">
          <cell r="C1917" t="str">
            <v>USD</v>
          </cell>
          <cell r="D1917" t="str">
            <v>SMB</v>
          </cell>
          <cell r="G1917">
            <v>45400</v>
          </cell>
        </row>
        <row r="1918">
          <cell r="C1918" t="str">
            <v>EUR</v>
          </cell>
          <cell r="D1918" t="str">
            <v>SMB</v>
          </cell>
        </row>
        <row r="1919">
          <cell r="C1919" t="str">
            <v>Kur Sabitleme</v>
          </cell>
          <cell r="D1919" t="str">
            <v>SMB</v>
          </cell>
        </row>
        <row r="1920">
          <cell r="C1920" t="str">
            <v>SİNYAL ELEKTRONİK VE KOZMETİK ÜRÜNLER SAN. VE  P</v>
          </cell>
          <cell r="D1920" t="str">
            <v>SMB</v>
          </cell>
          <cell r="E1920" t="str">
            <v>KANAL YOK</v>
          </cell>
          <cell r="F1920" t="str">
            <v>A-MB659</v>
          </cell>
          <cell r="G1920">
            <v>45214</v>
          </cell>
        </row>
        <row r="1921">
          <cell r="C1921" t="str">
            <v>TL</v>
          </cell>
          <cell r="D1921" t="str">
            <v>SMB</v>
          </cell>
        </row>
        <row r="1922">
          <cell r="C1922" t="str">
            <v>USD</v>
          </cell>
          <cell r="D1922" t="str">
            <v>SMB</v>
          </cell>
          <cell r="G1922">
            <v>45687</v>
          </cell>
        </row>
        <row r="1923">
          <cell r="C1923" t="str">
            <v>EUR</v>
          </cell>
          <cell r="D1923" t="str">
            <v>SMB</v>
          </cell>
        </row>
        <row r="1924">
          <cell r="C1924" t="str">
            <v>Kur Sabitleme</v>
          </cell>
          <cell r="D1924" t="str">
            <v>SMB</v>
          </cell>
          <cell r="G1924">
            <v>45214</v>
          </cell>
        </row>
        <row r="1925">
          <cell r="C1925" t="str">
            <v>DEHA SANAT ETKİNLİKLERİ EĞİTİM VE ORGANİZASYON İTH</v>
          </cell>
          <cell r="D1925" t="str">
            <v>SMB</v>
          </cell>
          <cell r="E1925" t="str">
            <v>ALACA YAZILIM VE TEKNOLOJİ SAN.TİC.LTD.ŞTİ.</v>
          </cell>
          <cell r="F1925" t="str">
            <v>A-MB653</v>
          </cell>
          <cell r="G1925">
            <v>45211</v>
          </cell>
        </row>
        <row r="1926">
          <cell r="C1926" t="str">
            <v>TL</v>
          </cell>
          <cell r="D1926" t="str">
            <v>SMB</v>
          </cell>
        </row>
        <row r="1927">
          <cell r="C1927" t="str">
            <v>USD</v>
          </cell>
          <cell r="D1927" t="str">
            <v>SMB</v>
          </cell>
          <cell r="G1927">
            <v>45211</v>
          </cell>
        </row>
        <row r="1928">
          <cell r="C1928" t="str">
            <v>USD</v>
          </cell>
          <cell r="D1928" t="str">
            <v>SMB</v>
          </cell>
          <cell r="G1928">
            <v>45244</v>
          </cell>
        </row>
        <row r="1929">
          <cell r="C1929" t="str">
            <v>EUR</v>
          </cell>
          <cell r="D1929" t="str">
            <v>SMB</v>
          </cell>
        </row>
        <row r="1930">
          <cell r="C1930" t="str">
            <v>Kur Sabitleme</v>
          </cell>
          <cell r="D1930" t="str">
            <v>SMB</v>
          </cell>
          <cell r="G1930">
            <v>45247</v>
          </cell>
        </row>
        <row r="1931">
          <cell r="C1931" t="str">
            <v>BASIT GIDA ANONIM SIRKETI</v>
          </cell>
          <cell r="D1931" t="str">
            <v>SMB</v>
          </cell>
          <cell r="E1931" t="str">
            <v>KANAL YOK</v>
          </cell>
          <cell r="F1931" t="str">
            <v>A-MB657</v>
          </cell>
          <cell r="G1931">
            <v>45230</v>
          </cell>
        </row>
        <row r="1932">
          <cell r="C1932" t="str">
            <v>TL</v>
          </cell>
          <cell r="D1932" t="str">
            <v>SMB</v>
          </cell>
        </row>
        <row r="1933">
          <cell r="C1933" t="str">
            <v>USD</v>
          </cell>
          <cell r="D1933" t="str">
            <v>SMB</v>
          </cell>
          <cell r="G1933">
            <v>45230</v>
          </cell>
        </row>
        <row r="1934">
          <cell r="C1934" t="str">
            <v>EUR</v>
          </cell>
          <cell r="D1934" t="str">
            <v>SMB</v>
          </cell>
        </row>
        <row r="1935">
          <cell r="C1935" t="str">
            <v>Kur Sabitleme</v>
          </cell>
          <cell r="D1935" t="str">
            <v>SMB</v>
          </cell>
        </row>
        <row r="1936">
          <cell r="C1936" t="str">
            <v>ANTAKYA BASIM YAYIN TURZ.İNŞ.TİC.LTD.ŞTİ</v>
          </cell>
          <cell r="D1936" t="str">
            <v>SMB</v>
          </cell>
          <cell r="E1936" t="str">
            <v>KANAL YOK</v>
          </cell>
          <cell r="F1936" t="str">
            <v>…..</v>
          </cell>
          <cell r="G1936">
            <v>45219</v>
          </cell>
        </row>
        <row r="1937">
          <cell r="C1937" t="str">
            <v>TL</v>
          </cell>
          <cell r="D1937" t="str">
            <v>SMB</v>
          </cell>
        </row>
        <row r="1938">
          <cell r="C1938" t="str">
            <v>USD</v>
          </cell>
          <cell r="D1938" t="str">
            <v>SMB</v>
          </cell>
          <cell r="G1938">
            <v>45219</v>
          </cell>
        </row>
        <row r="1939">
          <cell r="C1939" t="str">
            <v>EUR</v>
          </cell>
          <cell r="D1939" t="str">
            <v>SMB</v>
          </cell>
        </row>
        <row r="1940">
          <cell r="C1940" t="str">
            <v>Kur Sabitleme</v>
          </cell>
          <cell r="D1940" t="str">
            <v>SMB</v>
          </cell>
        </row>
        <row r="1941">
          <cell r="C1941" t="str">
            <v>Temel Tel Metal San.Tic.Ltd.STİ</v>
          </cell>
          <cell r="D1941" t="str">
            <v>SMB</v>
          </cell>
          <cell r="E1941" t="str">
            <v>BİLİŞİM DESTEK DANIŞMANLIK SİSTEMLERİ SANAYİ TİCAR</v>
          </cell>
          <cell r="F1941" t="str">
            <v>A-MB652</v>
          </cell>
          <cell r="G1941">
            <v>45218</v>
          </cell>
        </row>
        <row r="1942">
          <cell r="C1942" t="str">
            <v>TL</v>
          </cell>
          <cell r="D1942" t="str">
            <v>SMB</v>
          </cell>
        </row>
        <row r="1943">
          <cell r="C1943" t="str">
            <v>USD</v>
          </cell>
          <cell r="D1943" t="str">
            <v>SMB</v>
          </cell>
          <cell r="G1943">
            <v>45218</v>
          </cell>
        </row>
        <row r="1944">
          <cell r="C1944" t="str">
            <v>EUR</v>
          </cell>
          <cell r="D1944" t="str">
            <v>SMB</v>
          </cell>
        </row>
        <row r="1945">
          <cell r="C1945" t="str">
            <v>Kur Sabitleme</v>
          </cell>
          <cell r="D1945" t="str">
            <v>SMB</v>
          </cell>
        </row>
        <row r="1946">
          <cell r="C1946" t="str">
            <v>FYTECH</v>
          </cell>
          <cell r="D1946" t="str">
            <v>SMB</v>
          </cell>
          <cell r="E1946" t="str">
            <v>KANAL YOK</v>
          </cell>
          <cell r="F1946" t="str">
            <v>A-MB656</v>
          </cell>
          <cell r="G1946">
            <v>45224</v>
          </cell>
        </row>
        <row r="1947">
          <cell r="C1947" t="str">
            <v>TL</v>
          </cell>
          <cell r="D1947" t="str">
            <v>SMB</v>
          </cell>
        </row>
        <row r="1948">
          <cell r="C1948" t="str">
            <v>USD</v>
          </cell>
          <cell r="D1948" t="str">
            <v>SMB</v>
          </cell>
          <cell r="G1948">
            <v>45224</v>
          </cell>
        </row>
        <row r="1949">
          <cell r="C1949" t="str">
            <v>EUR</v>
          </cell>
          <cell r="D1949" t="str">
            <v>SMB</v>
          </cell>
        </row>
        <row r="1950">
          <cell r="C1950" t="str">
            <v>Kur Sabitleme</v>
          </cell>
          <cell r="D1950" t="str">
            <v>SMB</v>
          </cell>
        </row>
        <row r="1951">
          <cell r="C1951" t="str">
            <v>Ada Design</v>
          </cell>
          <cell r="D1951" t="str">
            <v>SMB</v>
          </cell>
          <cell r="E1951" t="str">
            <v>VENÜS BİLİŞİM TEKNOLOJİ ve YAZILIM ANONİM ŞİRKETİ</v>
          </cell>
          <cell r="F1951" t="str">
            <v>A-MB663</v>
          </cell>
          <cell r="G1951">
            <v>45247</v>
          </cell>
        </row>
        <row r="1952">
          <cell r="C1952" t="str">
            <v>TL</v>
          </cell>
          <cell r="D1952" t="str">
            <v>SMB</v>
          </cell>
        </row>
        <row r="1953">
          <cell r="C1953" t="str">
            <v>USD</v>
          </cell>
          <cell r="D1953" t="str">
            <v>SMB</v>
          </cell>
          <cell r="G1953">
            <v>45247</v>
          </cell>
        </row>
        <row r="1954">
          <cell r="C1954" t="str">
            <v>USD</v>
          </cell>
          <cell r="D1954" t="str">
            <v>SMB</v>
          </cell>
          <cell r="G1954">
            <v>45344</v>
          </cell>
        </row>
        <row r="1955">
          <cell r="C1955" t="str">
            <v>EUR</v>
          </cell>
          <cell r="D1955" t="str">
            <v>SMB</v>
          </cell>
        </row>
        <row r="1956">
          <cell r="C1956" t="str">
            <v>Kur Sabitleme</v>
          </cell>
          <cell r="D1956" t="str">
            <v>SMB</v>
          </cell>
        </row>
        <row r="1957">
          <cell r="C1957" t="str">
            <v>GAZİANTEP TİCARET ODASI</v>
          </cell>
          <cell r="D1957" t="str">
            <v>SMB</v>
          </cell>
          <cell r="E1957" t="str">
            <v>KANAL YOK</v>
          </cell>
          <cell r="F1957" t="str">
            <v>A-MB666</v>
          </cell>
          <cell r="G1957">
            <v>45204</v>
          </cell>
        </row>
        <row r="1958">
          <cell r="C1958" t="str">
            <v>TL</v>
          </cell>
          <cell r="D1958" t="str">
            <v>SMB</v>
          </cell>
        </row>
        <row r="1959">
          <cell r="C1959" t="str">
            <v>USD</v>
          </cell>
          <cell r="D1959" t="str">
            <v>SMB</v>
          </cell>
          <cell r="G1959">
            <v>45204</v>
          </cell>
        </row>
        <row r="1960">
          <cell r="C1960" t="str">
            <v>EUR</v>
          </cell>
          <cell r="D1960" t="str">
            <v>SMB</v>
          </cell>
        </row>
        <row r="1961">
          <cell r="C1961" t="str">
            <v>Kur Sabitleme</v>
          </cell>
          <cell r="D1961" t="str">
            <v>SMB</v>
          </cell>
        </row>
        <row r="1962">
          <cell r="C1962" t="str">
            <v>ERDE DIŞ TİCARET LTD.  ŞTİ.</v>
          </cell>
          <cell r="D1962" t="str">
            <v>SMB</v>
          </cell>
          <cell r="E1962" t="str">
            <v>KANAL YOK</v>
          </cell>
          <cell r="F1962" t="str">
            <v>A-MB668</v>
          </cell>
          <cell r="G1962">
            <v>45258</v>
          </cell>
        </row>
        <row r="1963">
          <cell r="C1963" t="str">
            <v>TL</v>
          </cell>
          <cell r="D1963" t="str">
            <v>SMB</v>
          </cell>
        </row>
        <row r="1964">
          <cell r="C1964" t="str">
            <v>USD</v>
          </cell>
          <cell r="D1964" t="str">
            <v>SMB</v>
          </cell>
          <cell r="G1964">
            <v>45258</v>
          </cell>
        </row>
        <row r="1965">
          <cell r="C1965" t="str">
            <v>EUR</v>
          </cell>
          <cell r="D1965" t="str">
            <v>SMB</v>
          </cell>
        </row>
        <row r="1966">
          <cell r="C1966" t="str">
            <v>Kur Sabitleme</v>
          </cell>
          <cell r="D1966" t="str">
            <v>SMB</v>
          </cell>
        </row>
        <row r="1967">
          <cell r="C1967" t="str">
            <v>ULU MOTOR SAN. VE TİC.. A.Ş</v>
          </cell>
          <cell r="D1967" t="str">
            <v>SMB</v>
          </cell>
          <cell r="E1967" t="str">
            <v>ZEPLİN TEKNOLOJİ YAZILIM VE DANIŞMANLIK HİZMETLERİ</v>
          </cell>
          <cell r="F1967" t="str">
            <v>…..</v>
          </cell>
          <cell r="G1967">
            <v>45251</v>
          </cell>
        </row>
        <row r="1968">
          <cell r="C1968" t="str">
            <v>TL</v>
          </cell>
          <cell r="D1968" t="str">
            <v>SMB</v>
          </cell>
        </row>
        <row r="1969">
          <cell r="C1969" t="str">
            <v>USD</v>
          </cell>
          <cell r="D1969" t="str">
            <v>SMB</v>
          </cell>
          <cell r="G1969">
            <v>45251</v>
          </cell>
        </row>
        <row r="1970">
          <cell r="C1970" t="str">
            <v>EUR</v>
          </cell>
          <cell r="D1970" t="str">
            <v>SMB</v>
          </cell>
        </row>
        <row r="1971">
          <cell r="C1971" t="str">
            <v>Kur Sabitleme</v>
          </cell>
          <cell r="D1971" t="str">
            <v>SMB</v>
          </cell>
        </row>
        <row r="1972">
          <cell r="C1972" t="str">
            <v>DENGE AUTOMOTİVE</v>
          </cell>
          <cell r="D1972" t="str">
            <v>SMB</v>
          </cell>
          <cell r="E1972" t="str">
            <v>FERHAT CEBE</v>
          </cell>
          <cell r="F1972" t="str">
            <v>A-MB667</v>
          </cell>
          <cell r="G1972">
            <v>45240</v>
          </cell>
        </row>
        <row r="1973">
          <cell r="C1973" t="str">
            <v>TL</v>
          </cell>
          <cell r="D1973" t="str">
            <v>SMB</v>
          </cell>
        </row>
        <row r="1974">
          <cell r="C1974" t="str">
            <v>USD</v>
          </cell>
          <cell r="D1974" t="str">
            <v>SMB</v>
          </cell>
          <cell r="G1974">
            <v>45240</v>
          </cell>
        </row>
        <row r="1975">
          <cell r="C1975" t="str">
            <v>USD</v>
          </cell>
          <cell r="D1975" t="str">
            <v>SMB</v>
          </cell>
        </row>
        <row r="1976">
          <cell r="C1976" t="str">
            <v>EUR</v>
          </cell>
          <cell r="D1976" t="str">
            <v>SMB</v>
          </cell>
        </row>
        <row r="1977">
          <cell r="C1977" t="str">
            <v>Kur Sabitleme</v>
          </cell>
          <cell r="D1977" t="str">
            <v>SMB</v>
          </cell>
        </row>
        <row r="1978">
          <cell r="C1978" t="str">
            <v>KEY DİGİTAL PLATFORM TEKNOLOJİLERİ ANONİM ŞİRKETİ</v>
          </cell>
          <cell r="D1978" t="str">
            <v>SMB</v>
          </cell>
          <cell r="E1978" t="str">
            <v>AES YAZILIM DANIŞMANLIK HİZMETLERİ TİC. LTD. ŞT.</v>
          </cell>
          <cell r="F1978" t="str">
            <v>A-MB669</v>
          </cell>
          <cell r="G1978">
            <v>45257</v>
          </cell>
        </row>
        <row r="1979">
          <cell r="C1979" t="str">
            <v>TL</v>
          </cell>
          <cell r="D1979" t="str">
            <v>SMB</v>
          </cell>
        </row>
        <row r="1980">
          <cell r="C1980" t="str">
            <v>USD</v>
          </cell>
          <cell r="D1980" t="str">
            <v>SMB</v>
          </cell>
          <cell r="G1980">
            <v>45257</v>
          </cell>
        </row>
        <row r="1981">
          <cell r="C1981" t="str">
            <v>EUR</v>
          </cell>
          <cell r="D1981" t="str">
            <v>SMB</v>
          </cell>
        </row>
        <row r="1982">
          <cell r="C1982" t="str">
            <v>Kur Sabitleme</v>
          </cell>
          <cell r="D1982" t="str">
            <v>SMB</v>
          </cell>
        </row>
        <row r="1983">
          <cell r="C1983" t="str">
            <v>TRİO DENİZ ARAÇLARI TİCARET ANONİM ŞİRKET</v>
          </cell>
          <cell r="D1983" t="str">
            <v>SMB</v>
          </cell>
          <cell r="E1983" t="str">
            <v>LAYDA BİLGİSAYAR YAZILIM ve DANIŞMANLIK LTD.ŞTİ.</v>
          </cell>
          <cell r="F1983" t="str">
            <v>A-MB673</v>
          </cell>
          <cell r="G1983">
            <v>45253</v>
          </cell>
        </row>
        <row r="1984">
          <cell r="C1984" t="str">
            <v>TL</v>
          </cell>
          <cell r="D1984" t="str">
            <v>SMB</v>
          </cell>
        </row>
        <row r="1985">
          <cell r="C1985" t="str">
            <v>USD</v>
          </cell>
          <cell r="D1985" t="str">
            <v>SMB</v>
          </cell>
          <cell r="G1985">
            <v>45253</v>
          </cell>
        </row>
        <row r="1986">
          <cell r="C1986" t="str">
            <v>USD</v>
          </cell>
          <cell r="D1986" t="str">
            <v>SMB</v>
          </cell>
          <cell r="G1986">
            <v>45471</v>
          </cell>
        </row>
        <row r="1987">
          <cell r="C1987" t="str">
            <v>USD</v>
          </cell>
          <cell r="D1987" t="str">
            <v>SMB</v>
          </cell>
          <cell r="G1987">
            <v>45757</v>
          </cell>
        </row>
        <row r="1988">
          <cell r="C1988" t="str">
            <v>EUR</v>
          </cell>
          <cell r="D1988" t="str">
            <v>SMB</v>
          </cell>
        </row>
        <row r="1989">
          <cell r="C1989" t="str">
            <v>Kur Sabitleme</v>
          </cell>
          <cell r="D1989" t="str">
            <v>SMB</v>
          </cell>
        </row>
        <row r="1990">
          <cell r="C1990" t="str">
            <v>DAĞCIOĞLU BAHARAT</v>
          </cell>
          <cell r="D1990" t="str">
            <v>SMB</v>
          </cell>
          <cell r="E1990" t="str">
            <v>Trend Sistem</v>
          </cell>
          <cell r="F1990" t="str">
            <v>…..</v>
          </cell>
          <cell r="G1990">
            <v>45239</v>
          </cell>
        </row>
        <row r="1991">
          <cell r="C1991" t="str">
            <v>TL</v>
          </cell>
          <cell r="D1991" t="str">
            <v>SMB</v>
          </cell>
        </row>
        <row r="1992">
          <cell r="C1992" t="str">
            <v>USD</v>
          </cell>
          <cell r="D1992" t="str">
            <v>SMB</v>
          </cell>
          <cell r="G1992">
            <v>45239</v>
          </cell>
        </row>
        <row r="1993">
          <cell r="C1993" t="str">
            <v>EUR</v>
          </cell>
          <cell r="D1993" t="str">
            <v>SMB</v>
          </cell>
        </row>
        <row r="1994">
          <cell r="C1994" t="str">
            <v>Kur Sabitleme</v>
          </cell>
          <cell r="D1994" t="str">
            <v>SMB</v>
          </cell>
        </row>
        <row r="1995">
          <cell r="C1995" t="str">
            <v>AROMSA BESİN AROMA KATKI MAD SAN TİC AŞ</v>
          </cell>
          <cell r="D1995" t="str">
            <v>Enterprise</v>
          </cell>
          <cell r="E1995">
            <v>0</v>
          </cell>
          <cell r="F1995" t="str">
            <v>A-MB675</v>
          </cell>
          <cell r="G1995">
            <v>45260</v>
          </cell>
        </row>
        <row r="1996">
          <cell r="C1996" t="str">
            <v>TL</v>
          </cell>
          <cell r="D1996" t="str">
            <v>Enterprise</v>
          </cell>
        </row>
        <row r="1997">
          <cell r="C1997" t="str">
            <v>USD</v>
          </cell>
          <cell r="D1997" t="str">
            <v>Enterprise</v>
          </cell>
          <cell r="G1997">
            <v>45260</v>
          </cell>
        </row>
        <row r="1998">
          <cell r="C1998" t="str">
            <v>USD</v>
          </cell>
          <cell r="D1998" t="str">
            <v>Enterprise</v>
          </cell>
          <cell r="G1998">
            <v>45497</v>
          </cell>
        </row>
        <row r="1999">
          <cell r="C1999" t="str">
            <v>EUR</v>
          </cell>
          <cell r="D1999" t="str">
            <v>Enterprise</v>
          </cell>
        </row>
        <row r="2000">
          <cell r="C2000" t="str">
            <v>Kur Sabitleme</v>
          </cell>
          <cell r="D2000" t="str">
            <v>Enterprise</v>
          </cell>
        </row>
        <row r="2001">
          <cell r="C2001" t="str">
            <v>TEDMARİNE GEMİ ACENTELİĞİ ANONİM ŞİRKETİ</v>
          </cell>
          <cell r="D2001" t="str">
            <v>SMB</v>
          </cell>
          <cell r="E2001" t="str">
            <v>LAYDA BİLGİSAYAR YAZILIM ve DANIŞMANLIK LTD.ŞTİ.</v>
          </cell>
          <cell r="F2001" t="str">
            <v>…..</v>
          </cell>
          <cell r="G2001">
            <v>45231</v>
          </cell>
        </row>
        <row r="2002">
          <cell r="C2002" t="str">
            <v>TL</v>
          </cell>
          <cell r="D2002" t="str">
            <v>SMB</v>
          </cell>
        </row>
        <row r="2003">
          <cell r="C2003" t="str">
            <v>USD</v>
          </cell>
          <cell r="D2003" t="str">
            <v>SMB</v>
          </cell>
          <cell r="G2003">
            <v>45231</v>
          </cell>
        </row>
        <row r="2004">
          <cell r="C2004" t="str">
            <v>EUR</v>
          </cell>
          <cell r="D2004" t="str">
            <v>SMB</v>
          </cell>
        </row>
        <row r="2005">
          <cell r="C2005" t="str">
            <v>Kur Sabitleme</v>
          </cell>
          <cell r="D2005" t="str">
            <v>SMB</v>
          </cell>
        </row>
        <row r="2006">
          <cell r="C2006" t="str">
            <v>COCA-COLA İÇECEK A.Ş.</v>
          </cell>
          <cell r="D2006" t="str">
            <v>Enterprise</v>
          </cell>
          <cell r="E2006">
            <v>0</v>
          </cell>
          <cell r="F2006" t="str">
            <v>…..</v>
          </cell>
          <cell r="G2006">
            <v>45231</v>
          </cell>
        </row>
        <row r="2007">
          <cell r="C2007" t="str">
            <v>TL</v>
          </cell>
          <cell r="D2007" t="str">
            <v>Enterprise</v>
          </cell>
        </row>
        <row r="2008">
          <cell r="C2008" t="str">
            <v>USD</v>
          </cell>
          <cell r="D2008" t="str">
            <v>Enterprise</v>
          </cell>
          <cell r="G2008">
            <v>45231</v>
          </cell>
        </row>
        <row r="2009">
          <cell r="C2009" t="str">
            <v>EUR</v>
          </cell>
          <cell r="D2009" t="str">
            <v>Enterprise</v>
          </cell>
        </row>
        <row r="2010">
          <cell r="C2010" t="str">
            <v>Kur Sabitleme</v>
          </cell>
          <cell r="D2010" t="str">
            <v>Enterprise</v>
          </cell>
        </row>
        <row r="2011">
          <cell r="C2011" t="str">
            <v>SONOROUS</v>
          </cell>
          <cell r="D2011" t="str">
            <v>SMB</v>
          </cell>
          <cell r="E2011" t="str">
            <v>BTI BİLİŞİM DANIŞMANLIK VE YAZILIM VE TİC. LTD. ŞT</v>
          </cell>
          <cell r="F2011" t="str">
            <v>A-MB672</v>
          </cell>
          <cell r="G2011">
            <v>45245</v>
          </cell>
        </row>
        <row r="2012">
          <cell r="C2012" t="str">
            <v>TL</v>
          </cell>
          <cell r="D2012" t="str">
            <v>SMB</v>
          </cell>
        </row>
        <row r="2013">
          <cell r="C2013" t="str">
            <v>USD</v>
          </cell>
          <cell r="D2013" t="str">
            <v>SMB</v>
          </cell>
          <cell r="G2013">
            <v>45245</v>
          </cell>
        </row>
        <row r="2014">
          <cell r="C2014" t="str">
            <v>USD</v>
          </cell>
          <cell r="D2014" t="str">
            <v>SMB</v>
          </cell>
          <cell r="G2014">
            <v>45380</v>
          </cell>
        </row>
        <row r="2015">
          <cell r="C2015" t="str">
            <v>EUR</v>
          </cell>
          <cell r="D2015" t="str">
            <v>SMB</v>
          </cell>
        </row>
        <row r="2016">
          <cell r="C2016" t="str">
            <v>Kur Sabitleme</v>
          </cell>
          <cell r="D2016" t="str">
            <v>SMB</v>
          </cell>
        </row>
        <row r="2017">
          <cell r="C2017" t="str">
            <v>ATMO OTOMOTİV LİMİTED ŞİRKETİ</v>
          </cell>
          <cell r="D2017" t="str">
            <v>SMB</v>
          </cell>
          <cell r="E2017" t="str">
            <v xml:space="preserve">SARKOM BİLGİSAYAR </v>
          </cell>
          <cell r="F2017" t="str">
            <v>A-MB662</v>
          </cell>
          <cell r="G2017">
            <v>45260</v>
          </cell>
        </row>
        <row r="2018">
          <cell r="C2018" t="str">
            <v>TL</v>
          </cell>
          <cell r="D2018" t="str">
            <v>SMB</v>
          </cell>
        </row>
        <row r="2019">
          <cell r="C2019" t="str">
            <v>USD</v>
          </cell>
          <cell r="D2019" t="str">
            <v>SMB</v>
          </cell>
          <cell r="G2019">
            <v>45260</v>
          </cell>
        </row>
        <row r="2020">
          <cell r="C2020" t="str">
            <v>USD</v>
          </cell>
          <cell r="D2020" t="str">
            <v>SMB</v>
          </cell>
          <cell r="G2020">
            <v>45260</v>
          </cell>
        </row>
        <row r="2021">
          <cell r="C2021" t="str">
            <v>USD</v>
          </cell>
          <cell r="D2021" t="str">
            <v>SMB</v>
          </cell>
          <cell r="G2021">
            <v>45260</v>
          </cell>
        </row>
        <row r="2022">
          <cell r="C2022" t="str">
            <v>USD</v>
          </cell>
          <cell r="D2022" t="str">
            <v>SMB</v>
          </cell>
          <cell r="G2022">
            <v>45260</v>
          </cell>
        </row>
        <row r="2023">
          <cell r="C2023" t="str">
            <v>USD</v>
          </cell>
          <cell r="D2023" t="str">
            <v>SMB</v>
          </cell>
          <cell r="G2023">
            <v>45285</v>
          </cell>
        </row>
        <row r="2024">
          <cell r="C2024" t="str">
            <v>EUR</v>
          </cell>
          <cell r="D2024" t="str">
            <v>SMB</v>
          </cell>
        </row>
        <row r="2025">
          <cell r="C2025" t="str">
            <v>Kur Sabitleme</v>
          </cell>
          <cell r="D2025" t="str">
            <v>SMB</v>
          </cell>
        </row>
        <row r="2026">
          <cell r="C2026" t="str">
            <v>EMG GÜÇ VE ENERJİ SİST YAPI MALZİ İTH.İHRTİC LTD Ş</v>
          </cell>
          <cell r="D2026" t="str">
            <v>SMB</v>
          </cell>
          <cell r="E2026" t="str">
            <v xml:space="preserve">SARKOM BİLGİSAYAR </v>
          </cell>
          <cell r="F2026" t="str">
            <v>A-MB662</v>
          </cell>
          <cell r="G2026">
            <v>45700</v>
          </cell>
        </row>
        <row r="2027">
          <cell r="C2027" t="str">
            <v>TL</v>
          </cell>
          <cell r="D2027" t="str">
            <v>SMB</v>
          </cell>
        </row>
        <row r="2028">
          <cell r="C2028" t="str">
            <v>USD</v>
          </cell>
          <cell r="D2028" t="str">
            <v>SMB</v>
          </cell>
          <cell r="G2028">
            <v>45700</v>
          </cell>
        </row>
        <row r="2029">
          <cell r="C2029" t="str">
            <v>EUR</v>
          </cell>
          <cell r="D2029" t="str">
            <v>SMB</v>
          </cell>
        </row>
        <row r="2030">
          <cell r="C2030" t="str">
            <v>Kur Sabitleme</v>
          </cell>
          <cell r="D2030" t="str">
            <v>SMB</v>
          </cell>
        </row>
        <row r="2031">
          <cell r="C2031" t="str">
            <v>ALBAŞLAR İNŞAAT TESİSAT TEKNİK YAPI MAL</v>
          </cell>
          <cell r="D2031" t="str">
            <v>SMB</v>
          </cell>
          <cell r="E2031" t="str">
            <v xml:space="preserve">SARKOM BİLGİSAYAR </v>
          </cell>
          <cell r="F2031" t="str">
            <v>A-MB662</v>
          </cell>
          <cell r="G2031">
            <v>45260</v>
          </cell>
        </row>
        <row r="2032">
          <cell r="C2032" t="str">
            <v>TL</v>
          </cell>
          <cell r="D2032" t="str">
            <v>SMB</v>
          </cell>
        </row>
        <row r="2033">
          <cell r="C2033" t="str">
            <v>USD</v>
          </cell>
          <cell r="D2033" t="str">
            <v>SMB</v>
          </cell>
          <cell r="G2033">
            <v>45260</v>
          </cell>
        </row>
        <row r="2034">
          <cell r="C2034" t="str">
            <v>EUR</v>
          </cell>
          <cell r="D2034" t="str">
            <v>SMB</v>
          </cell>
        </row>
        <row r="2035">
          <cell r="C2035" t="str">
            <v>Kur Sabitleme</v>
          </cell>
          <cell r="D2035" t="str">
            <v>SMB</v>
          </cell>
        </row>
        <row r="2036">
          <cell r="C2036" t="str">
            <v>ISOTEC ENERJİ A.Ş.</v>
          </cell>
          <cell r="D2036" t="str">
            <v>SMB</v>
          </cell>
          <cell r="E2036" t="e">
            <v>#N/A</v>
          </cell>
          <cell r="F2036" t="str">
            <v>A-MB852</v>
          </cell>
          <cell r="G2036">
            <v>45856</v>
          </cell>
        </row>
        <row r="2037">
          <cell r="C2037" t="str">
            <v>TL</v>
          </cell>
          <cell r="D2037" t="str">
            <v>SMB</v>
          </cell>
        </row>
        <row r="2038">
          <cell r="C2038" t="str">
            <v>USD</v>
          </cell>
          <cell r="D2038" t="str">
            <v>SMB</v>
          </cell>
          <cell r="G2038">
            <v>45856</v>
          </cell>
        </row>
        <row r="2039">
          <cell r="C2039" t="str">
            <v>EUR</v>
          </cell>
          <cell r="D2039" t="str">
            <v>SMB</v>
          </cell>
        </row>
        <row r="2040">
          <cell r="C2040" t="str">
            <v>Kur Sabitleme</v>
          </cell>
          <cell r="D2040" t="str">
            <v>SMB</v>
          </cell>
        </row>
        <row r="2041">
          <cell r="C2041" t="str">
            <v>GOSB</v>
          </cell>
          <cell r="D2041" t="str">
            <v>Enterprise</v>
          </cell>
          <cell r="E2041" t="str">
            <v>ODİN BİLGİ TEKNOLOJİLERİ</v>
          </cell>
          <cell r="F2041" t="str">
            <v>A-MB695</v>
          </cell>
          <cell r="G2041">
            <v>45281</v>
          </cell>
        </row>
        <row r="2042">
          <cell r="C2042" t="str">
            <v>TL</v>
          </cell>
          <cell r="D2042" t="str">
            <v>Enterprise</v>
          </cell>
        </row>
        <row r="2043">
          <cell r="C2043" t="str">
            <v>USD</v>
          </cell>
          <cell r="D2043" t="str">
            <v>Enterprise</v>
          </cell>
          <cell r="G2043">
            <v>45281</v>
          </cell>
        </row>
        <row r="2044">
          <cell r="C2044" t="str">
            <v>EUR</v>
          </cell>
          <cell r="D2044" t="str">
            <v>Enterprise</v>
          </cell>
        </row>
        <row r="2045">
          <cell r="C2045" t="str">
            <v>Kur Sabitleme</v>
          </cell>
          <cell r="D2045" t="str">
            <v>Enterprise</v>
          </cell>
        </row>
        <row r="2046">
          <cell r="C2046" t="str">
            <v>BİLİRA TEKNOLOJİ ANONİM ŞİRKETİ</v>
          </cell>
          <cell r="D2046" t="str">
            <v>SMB</v>
          </cell>
          <cell r="E2046" t="str">
            <v>MARMARA 2000 BILG SIS SAN TIC LTD STI</v>
          </cell>
          <cell r="F2046" t="str">
            <v>A-MB683</v>
          </cell>
          <cell r="G2046">
            <v>45286</v>
          </cell>
        </row>
        <row r="2047">
          <cell r="C2047" t="str">
            <v>TL</v>
          </cell>
          <cell r="D2047" t="str">
            <v>SMB</v>
          </cell>
        </row>
        <row r="2048">
          <cell r="C2048" t="str">
            <v>USD</v>
          </cell>
          <cell r="D2048" t="str">
            <v>SMB</v>
          </cell>
          <cell r="G2048">
            <v>45286</v>
          </cell>
        </row>
        <row r="2049">
          <cell r="C2049" t="str">
            <v>EUR</v>
          </cell>
          <cell r="D2049" t="str">
            <v>SMB</v>
          </cell>
        </row>
        <row r="2050">
          <cell r="C2050" t="str">
            <v>Kur Sabitleme</v>
          </cell>
          <cell r="D2050" t="str">
            <v>SMB</v>
          </cell>
        </row>
        <row r="2051">
          <cell r="C2051" t="str">
            <v>ROSTHİL SU ARITIM TEKNOLOJİLERİ</v>
          </cell>
          <cell r="D2051" t="str">
            <v>SMB</v>
          </cell>
          <cell r="E2051" t="str">
            <v>GREENS BİLGİSAYAR HİZMETLERİ SAN. VE TİCARET LİMİ</v>
          </cell>
          <cell r="F2051" t="str">
            <v>A-MB685</v>
          </cell>
          <cell r="G2051">
            <v>45261</v>
          </cell>
        </row>
        <row r="2052">
          <cell r="C2052" t="str">
            <v>TL</v>
          </cell>
          <cell r="D2052" t="str">
            <v>SMB</v>
          </cell>
        </row>
        <row r="2053">
          <cell r="C2053" t="str">
            <v>USD</v>
          </cell>
          <cell r="D2053" t="str">
            <v>SMB</v>
          </cell>
          <cell r="G2053">
            <v>45261</v>
          </cell>
        </row>
        <row r="2054">
          <cell r="C2054" t="str">
            <v>EUR</v>
          </cell>
          <cell r="D2054" t="str">
            <v>SMB</v>
          </cell>
        </row>
        <row r="2055">
          <cell r="C2055" t="str">
            <v>Kur Sabitleme</v>
          </cell>
          <cell r="D2055" t="str">
            <v>SMB</v>
          </cell>
        </row>
        <row r="2056">
          <cell r="C2056" t="str">
            <v>INFODROM YAZILIM DANIŞMANLIK HİZ.TİC.LTD.ŞTİ.</v>
          </cell>
          <cell r="D2056" t="str">
            <v>SMB</v>
          </cell>
          <cell r="E2056" t="str">
            <v>INFODROM YAZILIM DANIŞMANLIK HİZ.TİC.LTD.ŞTİ.</v>
          </cell>
          <cell r="F2056" t="str">
            <v>A-MB686</v>
          </cell>
          <cell r="G2056">
            <v>45273</v>
          </cell>
        </row>
        <row r="2057">
          <cell r="C2057" t="str">
            <v>TL</v>
          </cell>
          <cell r="D2057" t="str">
            <v>SMB</v>
          </cell>
        </row>
        <row r="2058">
          <cell r="C2058" t="str">
            <v>USD</v>
          </cell>
          <cell r="D2058" t="str">
            <v>SMB</v>
          </cell>
          <cell r="G2058">
            <v>45273</v>
          </cell>
        </row>
        <row r="2059">
          <cell r="C2059" t="str">
            <v>USD</v>
          </cell>
          <cell r="D2059" t="str">
            <v>SMB</v>
          </cell>
          <cell r="G2059">
            <v>45503</v>
          </cell>
        </row>
        <row r="2060">
          <cell r="C2060" t="str">
            <v>USD</v>
          </cell>
          <cell r="D2060" t="str">
            <v>SMB</v>
          </cell>
          <cell r="G2060">
            <v>45643</v>
          </cell>
        </row>
        <row r="2061">
          <cell r="C2061" t="str">
            <v>USD</v>
          </cell>
          <cell r="D2061" t="str">
            <v>SMB</v>
          </cell>
          <cell r="G2061">
            <v>45650</v>
          </cell>
        </row>
        <row r="2062">
          <cell r="C2062" t="str">
            <v>EUR</v>
          </cell>
          <cell r="D2062" t="str">
            <v>SMB</v>
          </cell>
        </row>
        <row r="2063">
          <cell r="C2063" t="str">
            <v>Kur Sabitleme</v>
          </cell>
          <cell r="D2063" t="str">
            <v>SMB</v>
          </cell>
        </row>
        <row r="2064">
          <cell r="C2064" t="str">
            <v>TS Verim Danışmanlık ve Turizm Ltd Şti.</v>
          </cell>
          <cell r="D2064" t="str">
            <v>SMB</v>
          </cell>
          <cell r="E2064" t="str">
            <v>REFERANS</v>
          </cell>
          <cell r="F2064" t="str">
            <v>A-MB690</v>
          </cell>
          <cell r="G2064">
            <v>45638</v>
          </cell>
        </row>
        <row r="2065">
          <cell r="C2065" t="str">
            <v>TL</v>
          </cell>
          <cell r="D2065" t="str">
            <v>SMB</v>
          </cell>
        </row>
        <row r="2066">
          <cell r="C2066" t="str">
            <v>USD</v>
          </cell>
          <cell r="D2066" t="str">
            <v>SMB</v>
          </cell>
          <cell r="G2066">
            <v>45638</v>
          </cell>
        </row>
        <row r="2067">
          <cell r="C2067" t="str">
            <v>EUR</v>
          </cell>
          <cell r="D2067" t="str">
            <v>SMB</v>
          </cell>
        </row>
        <row r="2068">
          <cell r="C2068" t="str">
            <v>Kur Sabitleme</v>
          </cell>
          <cell r="D2068" t="str">
            <v>SMB</v>
          </cell>
        </row>
        <row r="2069">
          <cell r="C2069" t="str">
            <v>NİLKY GIDA</v>
          </cell>
          <cell r="D2069" t="str">
            <v>SMB</v>
          </cell>
          <cell r="E2069" t="str">
            <v>BTI BİLİŞİM DANIŞMANLIK VE YAZILIM VE TİC. LTD. ŞT</v>
          </cell>
          <cell r="F2069" t="str">
            <v>A-MB688</v>
          </cell>
          <cell r="G2069">
            <v>45287</v>
          </cell>
        </row>
        <row r="2070">
          <cell r="C2070" t="str">
            <v>TL</v>
          </cell>
          <cell r="D2070" t="str">
            <v>SMB</v>
          </cell>
        </row>
        <row r="2071">
          <cell r="C2071" t="str">
            <v>USD</v>
          </cell>
          <cell r="D2071" t="str">
            <v>SMB</v>
          </cell>
          <cell r="G2071">
            <v>45287</v>
          </cell>
        </row>
        <row r="2072">
          <cell r="C2072" t="str">
            <v>EUR</v>
          </cell>
          <cell r="D2072" t="str">
            <v>SMB</v>
          </cell>
        </row>
        <row r="2073">
          <cell r="C2073" t="str">
            <v>Kur Sabitleme</v>
          </cell>
          <cell r="D2073" t="str">
            <v>SMB</v>
          </cell>
        </row>
        <row r="2074">
          <cell r="C2074" t="str">
            <v>YAFES TEKNOLOJİ TİCARET LİMİTED ŞİRKETİ</v>
          </cell>
          <cell r="D2074" t="str">
            <v>SMB</v>
          </cell>
          <cell r="E2074" t="str">
            <v>KANAL YOK</v>
          </cell>
          <cell r="F2074" t="str">
            <v>A-MB691</v>
          </cell>
          <cell r="G2074">
            <v>45291</v>
          </cell>
        </row>
        <row r="2075">
          <cell r="C2075" t="str">
            <v>TL</v>
          </cell>
          <cell r="D2075" t="str">
            <v>SMB</v>
          </cell>
        </row>
        <row r="2076">
          <cell r="C2076" t="str">
            <v>USD</v>
          </cell>
          <cell r="D2076" t="str">
            <v>SMB</v>
          </cell>
          <cell r="G2076">
            <v>45291</v>
          </cell>
        </row>
        <row r="2077">
          <cell r="C2077" t="str">
            <v>USD</v>
          </cell>
          <cell r="D2077" t="str">
            <v>SMB</v>
          </cell>
        </row>
        <row r="2078">
          <cell r="C2078" t="str">
            <v>EUR</v>
          </cell>
          <cell r="D2078" t="str">
            <v>SMB</v>
          </cell>
        </row>
        <row r="2079">
          <cell r="C2079" t="str">
            <v>Kur Sabitleme</v>
          </cell>
          <cell r="D2079" t="str">
            <v>SMB</v>
          </cell>
        </row>
        <row r="2080">
          <cell r="C2080" t="str">
            <v>BOĞAZİÇİ SİGORTA</v>
          </cell>
          <cell r="D2080" t="str">
            <v>SMB</v>
          </cell>
          <cell r="E2080" t="str">
            <v>REFERANS</v>
          </cell>
          <cell r="F2080" t="str">
            <v>A-MB694</v>
          </cell>
          <cell r="G2080">
            <v>45287</v>
          </cell>
        </row>
        <row r="2081">
          <cell r="C2081" t="str">
            <v>TL</v>
          </cell>
          <cell r="D2081" t="str">
            <v>SMB</v>
          </cell>
        </row>
        <row r="2082">
          <cell r="C2082" t="str">
            <v>USD</v>
          </cell>
          <cell r="D2082" t="str">
            <v>SMB</v>
          </cell>
          <cell r="G2082">
            <v>45287</v>
          </cell>
        </row>
        <row r="2083">
          <cell r="C2083" t="str">
            <v>EUR</v>
          </cell>
          <cell r="D2083" t="str">
            <v>SMB</v>
          </cell>
        </row>
        <row r="2084">
          <cell r="C2084" t="str">
            <v>Kur Sabitleme</v>
          </cell>
          <cell r="D2084" t="str">
            <v>SMB</v>
          </cell>
        </row>
        <row r="2085">
          <cell r="C2085" t="str">
            <v>Royal Duchess Marine Denizcilik A.Ş.</v>
          </cell>
          <cell r="D2085" t="str">
            <v>SMB</v>
          </cell>
          <cell r="E2085" t="str">
            <v>AES YAZILIM DANIŞMANLIK HİZMETLERİ TİC. LTD. ŞT.</v>
          </cell>
          <cell r="F2085" t="str">
            <v>A-MB698</v>
          </cell>
          <cell r="G2085">
            <v>45299</v>
          </cell>
        </row>
        <row r="2086">
          <cell r="C2086" t="str">
            <v>TL</v>
          </cell>
          <cell r="D2086" t="str">
            <v>SMB</v>
          </cell>
        </row>
        <row r="2087">
          <cell r="C2087" t="str">
            <v>USD</v>
          </cell>
          <cell r="D2087" t="str">
            <v>SMB</v>
          </cell>
          <cell r="G2087">
            <v>45299</v>
          </cell>
        </row>
        <row r="2088">
          <cell r="C2088" t="str">
            <v>EUR</v>
          </cell>
          <cell r="D2088" t="str">
            <v>SMB</v>
          </cell>
        </row>
        <row r="2089">
          <cell r="C2089" t="str">
            <v>Kur Sabitleme</v>
          </cell>
          <cell r="D2089" t="str">
            <v>SMB</v>
          </cell>
        </row>
        <row r="2090">
          <cell r="C2090" t="str">
            <v>CABİR HOLDİNG - MİLK ACADEMY</v>
          </cell>
          <cell r="D2090" t="str">
            <v>SMB</v>
          </cell>
          <cell r="E2090" t="str">
            <v>BTI BİLİŞİM DANIŞMANLIK VE YAZILIM VE TİC. LTD. ŞT</v>
          </cell>
          <cell r="F2090" t="str">
            <v>A-MB693</v>
          </cell>
          <cell r="G2090">
            <v>45285</v>
          </cell>
        </row>
        <row r="2091">
          <cell r="C2091" t="str">
            <v>TL</v>
          </cell>
          <cell r="D2091" t="str">
            <v>SMB</v>
          </cell>
        </row>
        <row r="2092">
          <cell r="C2092" t="str">
            <v>USD</v>
          </cell>
          <cell r="D2092" t="str">
            <v>SMB</v>
          </cell>
          <cell r="G2092">
            <v>45285</v>
          </cell>
        </row>
        <row r="2093">
          <cell r="C2093" t="str">
            <v>EUR</v>
          </cell>
          <cell r="D2093" t="str">
            <v>SMB</v>
          </cell>
        </row>
        <row r="2094">
          <cell r="C2094" t="str">
            <v>Kur Sabitleme</v>
          </cell>
          <cell r="D2094" t="str">
            <v>SMB</v>
          </cell>
        </row>
        <row r="2095">
          <cell r="C2095" t="str">
            <v>SAF NUTRITION</v>
          </cell>
          <cell r="D2095" t="str">
            <v>SMB</v>
          </cell>
          <cell r="E2095" t="str">
            <v>BTI BİLİŞİM DANIŞMANLIK VE YAZILIM VE TİC. LTD. ŞT</v>
          </cell>
          <cell r="F2095" t="str">
            <v>A-MB687</v>
          </cell>
          <cell r="G2095">
            <v>45267</v>
          </cell>
        </row>
        <row r="2096">
          <cell r="C2096" t="str">
            <v>TL</v>
          </cell>
          <cell r="D2096" t="str">
            <v>SMB</v>
          </cell>
        </row>
        <row r="2097">
          <cell r="C2097" t="str">
            <v>USD</v>
          </cell>
          <cell r="D2097" t="str">
            <v>SMB</v>
          </cell>
          <cell r="G2097">
            <v>45267</v>
          </cell>
        </row>
        <row r="2098">
          <cell r="C2098" t="str">
            <v>EUR</v>
          </cell>
          <cell r="D2098" t="str">
            <v>SMB</v>
          </cell>
        </row>
        <row r="2099">
          <cell r="C2099" t="str">
            <v>Kur Sabitleme</v>
          </cell>
          <cell r="D2099" t="str">
            <v>SMB</v>
          </cell>
        </row>
        <row r="2100">
          <cell r="C2100" t="str">
            <v>METU KİMYA</v>
          </cell>
          <cell r="D2100" t="str">
            <v>SMB</v>
          </cell>
          <cell r="E2100" t="str">
            <v>SHERPA YAZILIM EĞİTİM VE FİNANSAL DAN.TİC.LTD.ŞTİ.</v>
          </cell>
          <cell r="F2100" t="str">
            <v>…..</v>
          </cell>
          <cell r="G2100">
            <v>45289</v>
          </cell>
        </row>
        <row r="2101">
          <cell r="C2101" t="str">
            <v>TL</v>
          </cell>
          <cell r="D2101" t="str">
            <v>SMB</v>
          </cell>
        </row>
        <row r="2102">
          <cell r="C2102" t="str">
            <v>USD</v>
          </cell>
          <cell r="D2102" t="str">
            <v>SMB</v>
          </cell>
          <cell r="G2102">
            <v>45289</v>
          </cell>
        </row>
        <row r="2103">
          <cell r="C2103" t="str">
            <v>EUR</v>
          </cell>
          <cell r="D2103" t="str">
            <v>SMB</v>
          </cell>
        </row>
        <row r="2104">
          <cell r="C2104" t="str">
            <v>Kur Sabitleme</v>
          </cell>
          <cell r="D2104" t="str">
            <v>SMB</v>
          </cell>
        </row>
        <row r="2105">
          <cell r="C2105" t="str">
            <v>ESAYAN GRUP İNŞAAT AMBALAJ PEYZAJ TURİZM TAŞ. GERİ</v>
          </cell>
          <cell r="D2105" t="str">
            <v>SMB</v>
          </cell>
          <cell r="E2105" t="str">
            <v>ARTWARE BILIŞIM TEKNOLOJILERI &amp; YAZILIM DAN.</v>
          </cell>
          <cell r="F2105" t="str">
            <v>A-MB661</v>
          </cell>
          <cell r="G2105">
            <v>45287</v>
          </cell>
        </row>
        <row r="2106">
          <cell r="C2106" t="str">
            <v>TL</v>
          </cell>
          <cell r="D2106" t="str">
            <v>SMB</v>
          </cell>
        </row>
        <row r="2107">
          <cell r="C2107" t="str">
            <v>USD</v>
          </cell>
          <cell r="D2107" t="str">
            <v>SMB</v>
          </cell>
          <cell r="G2107">
            <v>45287</v>
          </cell>
        </row>
        <row r="2108">
          <cell r="C2108" t="str">
            <v>EUR</v>
          </cell>
          <cell r="D2108" t="str">
            <v>SMB</v>
          </cell>
        </row>
        <row r="2109">
          <cell r="C2109" t="str">
            <v>Kur Sabitleme</v>
          </cell>
          <cell r="D2109" t="str">
            <v>SMB</v>
          </cell>
        </row>
        <row r="2110">
          <cell r="C2110" t="str">
            <v>DİNAMİK TOPTAN GIDA PAZARLAMA SAN.TİC.LTD.ŞTİ</v>
          </cell>
          <cell r="D2110" t="str">
            <v>SMB</v>
          </cell>
          <cell r="E2110" t="str">
            <v>ARTWARE BILIŞIM TEKNOLOJILERI &amp; YAZILIM DAN.</v>
          </cell>
          <cell r="F2110" t="str">
            <v>A-MB661</v>
          </cell>
          <cell r="G2110">
            <v>45287</v>
          </cell>
        </row>
        <row r="2111">
          <cell r="C2111" t="str">
            <v>TL</v>
          </cell>
          <cell r="D2111" t="str">
            <v>SMB</v>
          </cell>
        </row>
        <row r="2112">
          <cell r="C2112" t="str">
            <v>USD</v>
          </cell>
          <cell r="D2112" t="str">
            <v>SMB</v>
          </cell>
          <cell r="G2112">
            <v>45287</v>
          </cell>
        </row>
        <row r="2113">
          <cell r="C2113" t="str">
            <v>EUR</v>
          </cell>
          <cell r="D2113" t="str">
            <v>SMB</v>
          </cell>
        </row>
        <row r="2114">
          <cell r="C2114" t="str">
            <v>Kur Sabitleme</v>
          </cell>
          <cell r="D2114" t="str">
            <v>SMB</v>
          </cell>
        </row>
        <row r="2115">
          <cell r="C2115" t="str">
            <v>HD ÇELİK MÜHENDİSLİK METAL İNŞAAT MÜTEAHHİTLİK SAN</v>
          </cell>
          <cell r="D2115" t="str">
            <v>SMB</v>
          </cell>
          <cell r="E2115" t="str">
            <v xml:space="preserve">SARKOM BİLGİSAYAR </v>
          </cell>
          <cell r="F2115" t="str">
            <v>A-MB662</v>
          </cell>
          <cell r="G2115">
            <v>45264</v>
          </cell>
        </row>
        <row r="2116">
          <cell r="C2116" t="str">
            <v>TL</v>
          </cell>
          <cell r="D2116" t="str">
            <v>SMB</v>
          </cell>
        </row>
        <row r="2117">
          <cell r="C2117" t="str">
            <v>USD</v>
          </cell>
          <cell r="D2117" t="str">
            <v>SMB</v>
          </cell>
          <cell r="G2117">
            <v>45264</v>
          </cell>
        </row>
        <row r="2118">
          <cell r="C2118" t="str">
            <v>EUR</v>
          </cell>
          <cell r="D2118" t="str">
            <v>SMB</v>
          </cell>
        </row>
        <row r="2119">
          <cell r="C2119" t="str">
            <v>Kur Sabitleme</v>
          </cell>
          <cell r="D2119" t="str">
            <v>SMB</v>
          </cell>
        </row>
        <row r="2120">
          <cell r="C2120" t="str">
            <v>ENDEKS BİLİŞİM SAN. ve DIŞ TİC. A.Ş.</v>
          </cell>
          <cell r="D2120" t="str">
            <v>Enterprise</v>
          </cell>
          <cell r="E2120">
            <v>0</v>
          </cell>
          <cell r="F2120" t="str">
            <v>A-MB706</v>
          </cell>
          <cell r="G2120">
            <v>45293</v>
          </cell>
        </row>
        <row r="2121">
          <cell r="C2121" t="str">
            <v>TL</v>
          </cell>
          <cell r="D2121" t="str">
            <v>Enterprise</v>
          </cell>
          <cell r="G2121">
            <v>45293</v>
          </cell>
        </row>
        <row r="2122">
          <cell r="C2122" t="str">
            <v>USD</v>
          </cell>
          <cell r="D2122" t="str">
            <v>Enterprise</v>
          </cell>
          <cell r="G2122">
            <v>45535</v>
          </cell>
        </row>
        <row r="2123">
          <cell r="C2123" t="str">
            <v>EUR</v>
          </cell>
          <cell r="D2123" t="str">
            <v>Enterprise</v>
          </cell>
        </row>
        <row r="2124">
          <cell r="C2124" t="str">
            <v>Kur Sabitleme</v>
          </cell>
          <cell r="D2124" t="str">
            <v>Enterprise</v>
          </cell>
        </row>
        <row r="2125">
          <cell r="C2125" t="str">
            <v>BTI BİLİŞİM DANIŞMANLIK VE YAZILIM VE TİC. LTD. ŞT</v>
          </cell>
          <cell r="D2125" t="str">
            <v>SMB</v>
          </cell>
          <cell r="E2125" t="str">
            <v>BTI BİLİŞİM DANIŞMANLIK VE YAZILIM VE TİC. LTD. ŞT</v>
          </cell>
          <cell r="F2125" t="str">
            <v>A-MB703</v>
          </cell>
          <cell r="G2125">
            <v>45315</v>
          </cell>
        </row>
        <row r="2126">
          <cell r="C2126" t="str">
            <v>TL</v>
          </cell>
          <cell r="D2126" t="str">
            <v>SMB</v>
          </cell>
        </row>
        <row r="2127">
          <cell r="C2127" t="str">
            <v>USD</v>
          </cell>
          <cell r="D2127" t="str">
            <v>SMB</v>
          </cell>
          <cell r="G2127">
            <v>45315</v>
          </cell>
        </row>
        <row r="2128">
          <cell r="C2128" t="str">
            <v>EUR</v>
          </cell>
          <cell r="D2128" t="str">
            <v>SMB</v>
          </cell>
        </row>
        <row r="2129">
          <cell r="C2129" t="str">
            <v>Kur Sabitleme</v>
          </cell>
          <cell r="D2129" t="str">
            <v>SMB</v>
          </cell>
        </row>
        <row r="2130">
          <cell r="C2130" t="str">
            <v>EKİN ENFORMASYON SİSTEMLERİ SAN.VE TİC.LTD.ŞTİ.</v>
          </cell>
          <cell r="D2130" t="str">
            <v>SMB</v>
          </cell>
          <cell r="E2130">
            <v>0</v>
          </cell>
          <cell r="F2130" t="str">
            <v>A-MB697</v>
          </cell>
          <cell r="G2130">
            <v>45300</v>
          </cell>
        </row>
        <row r="2131">
          <cell r="C2131" t="str">
            <v>TL</v>
          </cell>
          <cell r="D2131" t="str">
            <v>SMB</v>
          </cell>
        </row>
        <row r="2132">
          <cell r="C2132" t="str">
            <v>USD</v>
          </cell>
          <cell r="D2132" t="str">
            <v>SMB</v>
          </cell>
          <cell r="G2132">
            <v>45300</v>
          </cell>
        </row>
        <row r="2133">
          <cell r="C2133" t="str">
            <v>EUR</v>
          </cell>
          <cell r="D2133" t="str">
            <v>SMB</v>
          </cell>
        </row>
        <row r="2134">
          <cell r="C2134" t="str">
            <v>Kur Sabitleme</v>
          </cell>
          <cell r="D2134" t="str">
            <v>SMB</v>
          </cell>
        </row>
        <row r="2135">
          <cell r="C2135" t="str">
            <v>SMMM RECEP ÇETİN</v>
          </cell>
          <cell r="D2135" t="str">
            <v>SMB</v>
          </cell>
          <cell r="E2135" t="str">
            <v>SENKRON BİLGİSAYAR</v>
          </cell>
          <cell r="F2135" t="str">
            <v>A-MB681</v>
          </cell>
          <cell r="G2135">
            <v>45317</v>
          </cell>
        </row>
        <row r="2136">
          <cell r="C2136" t="str">
            <v>TL</v>
          </cell>
          <cell r="D2136" t="str">
            <v>SMB</v>
          </cell>
        </row>
        <row r="2137">
          <cell r="C2137" t="str">
            <v>USD</v>
          </cell>
          <cell r="D2137" t="str">
            <v>SMB</v>
          </cell>
          <cell r="G2137">
            <v>45317</v>
          </cell>
        </row>
        <row r="2138">
          <cell r="C2138" t="str">
            <v>USD</v>
          </cell>
          <cell r="D2138" t="str">
            <v>SMB</v>
          </cell>
          <cell r="G2138">
            <v>45667</v>
          </cell>
        </row>
        <row r="2139">
          <cell r="C2139" t="str">
            <v>EUR</v>
          </cell>
          <cell r="D2139" t="str">
            <v>SMB</v>
          </cell>
        </row>
        <row r="2140">
          <cell r="C2140" t="str">
            <v>Kur Sabitleme</v>
          </cell>
          <cell r="D2140" t="str">
            <v>SMB</v>
          </cell>
        </row>
        <row r="2141">
          <cell r="C2141" t="str">
            <v>DEĞER ELEKTRİK - DEĞER İTHALAT İHRACAT ELEKTRİK MA</v>
          </cell>
          <cell r="D2141" t="str">
            <v>SMB</v>
          </cell>
          <cell r="E2141" t="str">
            <v xml:space="preserve">İDEKOM ELEKTRONİK SAN. VE TİC. LTD. ŞTİ. </v>
          </cell>
          <cell r="F2141" t="str">
            <v>A-MB702</v>
          </cell>
          <cell r="G2141">
            <v>45323</v>
          </cell>
        </row>
        <row r="2142">
          <cell r="C2142" t="str">
            <v>TL</v>
          </cell>
          <cell r="D2142" t="str">
            <v>SMB</v>
          </cell>
        </row>
        <row r="2143">
          <cell r="C2143" t="str">
            <v>USD</v>
          </cell>
          <cell r="D2143" t="str">
            <v>SMB</v>
          </cell>
          <cell r="G2143">
            <v>45323</v>
          </cell>
        </row>
        <row r="2144">
          <cell r="C2144" t="str">
            <v>USD</v>
          </cell>
          <cell r="D2144" t="str">
            <v>SMB</v>
          </cell>
          <cell r="G2144">
            <v>45341</v>
          </cell>
        </row>
        <row r="2145">
          <cell r="C2145" t="str">
            <v>USD</v>
          </cell>
          <cell r="D2145" t="str">
            <v>SMB</v>
          </cell>
          <cell r="G2145">
            <v>45615</v>
          </cell>
        </row>
        <row r="2146">
          <cell r="C2146" t="str">
            <v>EUR</v>
          </cell>
          <cell r="D2146" t="str">
            <v>SMB</v>
          </cell>
        </row>
        <row r="2147">
          <cell r="C2147" t="str">
            <v>Kur Sabitleme</v>
          </cell>
          <cell r="D2147" t="str">
            <v>SMB</v>
          </cell>
        </row>
        <row r="2148">
          <cell r="C2148" t="str">
            <v>NAR GIDA</v>
          </cell>
          <cell r="D2148" t="str">
            <v>SMB</v>
          </cell>
          <cell r="E2148" t="str">
            <v>KANAL YOK</v>
          </cell>
          <cell r="F2148" t="str">
            <v>A-MB707</v>
          </cell>
          <cell r="G2148">
            <v>45308</v>
          </cell>
        </row>
        <row r="2149">
          <cell r="C2149" t="str">
            <v>TL</v>
          </cell>
          <cell r="D2149" t="str">
            <v>SMB</v>
          </cell>
        </row>
        <row r="2150">
          <cell r="C2150" t="str">
            <v>USD</v>
          </cell>
          <cell r="D2150" t="str">
            <v>SMB</v>
          </cell>
          <cell r="G2150">
            <v>45308</v>
          </cell>
        </row>
        <row r="2151">
          <cell r="C2151" t="str">
            <v>EUR</v>
          </cell>
          <cell r="D2151" t="str">
            <v>SMB</v>
          </cell>
        </row>
        <row r="2152">
          <cell r="C2152" t="str">
            <v>Kur Sabitleme</v>
          </cell>
          <cell r="D2152" t="str">
            <v>SMB</v>
          </cell>
        </row>
        <row r="2153">
          <cell r="C2153" t="str">
            <v>PENINSULA CORPORATE FINANCE DANIŞMANLIK A.Ş</v>
          </cell>
          <cell r="D2153" t="str">
            <v>SMB</v>
          </cell>
          <cell r="E2153" t="str">
            <v>KANAL YOK</v>
          </cell>
          <cell r="F2153" t="str">
            <v>A-MB704</v>
          </cell>
          <cell r="G2153">
            <v>45295</v>
          </cell>
        </row>
        <row r="2154">
          <cell r="C2154" t="str">
            <v>TL</v>
          </cell>
          <cell r="D2154" t="str">
            <v>SMB</v>
          </cell>
        </row>
        <row r="2155">
          <cell r="C2155" t="str">
            <v>USD</v>
          </cell>
          <cell r="D2155" t="str">
            <v>SMB</v>
          </cell>
          <cell r="G2155">
            <v>45295</v>
          </cell>
        </row>
        <row r="2156">
          <cell r="C2156" t="str">
            <v>EUR</v>
          </cell>
          <cell r="D2156" t="str">
            <v>SMB</v>
          </cell>
        </row>
        <row r="2157">
          <cell r="C2157" t="str">
            <v>Kur Sabitleme</v>
          </cell>
          <cell r="D2157" t="str">
            <v>SMB</v>
          </cell>
        </row>
        <row r="2158">
          <cell r="C2158" t="str">
            <v>NOBEL BIOCARE</v>
          </cell>
          <cell r="D2158" t="str">
            <v>SMB</v>
          </cell>
          <cell r="E2158" t="str">
            <v>FERHAT CEBE</v>
          </cell>
          <cell r="F2158" t="str">
            <v>…..</v>
          </cell>
          <cell r="G2158" t="str">
            <v/>
          </cell>
        </row>
        <row r="2159">
          <cell r="C2159" t="str">
            <v>TL</v>
          </cell>
          <cell r="D2159" t="str">
            <v>SMB</v>
          </cell>
        </row>
        <row r="2160">
          <cell r="C2160" t="str">
            <v>USD</v>
          </cell>
          <cell r="D2160" t="str">
            <v>SMB</v>
          </cell>
        </row>
        <row r="2161">
          <cell r="C2161" t="str">
            <v>EUR</v>
          </cell>
          <cell r="D2161" t="str">
            <v>SMB</v>
          </cell>
        </row>
        <row r="2162">
          <cell r="C2162" t="str">
            <v>Kur Sabitleme</v>
          </cell>
          <cell r="D2162" t="str">
            <v>SMB</v>
          </cell>
        </row>
        <row r="2163">
          <cell r="C2163" t="str">
            <v>MEDICANA HASTANE İŞLETMECILIĞI A.Ş.</v>
          </cell>
          <cell r="D2163" t="str">
            <v>Enterprise</v>
          </cell>
          <cell r="E2163">
            <v>0</v>
          </cell>
          <cell r="F2163" t="str">
            <v>A-VRG18171</v>
          </cell>
          <cell r="G2163">
            <v>45330</v>
          </cell>
        </row>
        <row r="2164">
          <cell r="C2164" t="str">
            <v>TL</v>
          </cell>
          <cell r="D2164" t="str">
            <v>Enterprise</v>
          </cell>
        </row>
        <row r="2165">
          <cell r="C2165" t="str">
            <v>USD</v>
          </cell>
          <cell r="D2165" t="str">
            <v>Enterprise</v>
          </cell>
          <cell r="G2165">
            <v>45330</v>
          </cell>
        </row>
        <row r="2166">
          <cell r="C2166" t="str">
            <v>USD</v>
          </cell>
          <cell r="D2166" t="str">
            <v>Enterprise</v>
          </cell>
          <cell r="G2166">
            <v>45330</v>
          </cell>
        </row>
        <row r="2167">
          <cell r="C2167" t="str">
            <v>USD</v>
          </cell>
          <cell r="D2167" t="str">
            <v>Enterprise</v>
          </cell>
          <cell r="G2167">
            <v>45832</v>
          </cell>
        </row>
        <row r="2168">
          <cell r="C2168" t="str">
            <v>USD</v>
          </cell>
          <cell r="D2168" t="str">
            <v>Enterprise</v>
          </cell>
          <cell r="G2168">
            <v>45838</v>
          </cell>
        </row>
        <row r="2169">
          <cell r="C2169" t="str">
            <v>USD</v>
          </cell>
          <cell r="D2169" t="str">
            <v>Enterprise</v>
          </cell>
          <cell r="G2169">
            <v>45754</v>
          </cell>
        </row>
        <row r="2170">
          <cell r="C2170" t="str">
            <v>USD</v>
          </cell>
          <cell r="D2170" t="str">
            <v>Enterprise</v>
          </cell>
          <cell r="G2170">
            <v>45804</v>
          </cell>
        </row>
        <row r="2171">
          <cell r="C2171" t="str">
            <v>EUR</v>
          </cell>
          <cell r="D2171" t="str">
            <v>Enterprise</v>
          </cell>
        </row>
        <row r="2172">
          <cell r="C2172" t="str">
            <v>Kur Sabitleme</v>
          </cell>
          <cell r="D2172" t="str">
            <v>Enterprise</v>
          </cell>
        </row>
        <row r="2173">
          <cell r="C2173" t="str">
            <v>İPSİZCAMBAZ</v>
          </cell>
          <cell r="D2173" t="str">
            <v>Enterprise</v>
          </cell>
          <cell r="E2173">
            <v>0</v>
          </cell>
          <cell r="F2173" t="str">
            <v>A-VRG12076</v>
          </cell>
          <cell r="G2173">
            <v>45323</v>
          </cell>
        </row>
        <row r="2174">
          <cell r="C2174" t="str">
            <v>TL</v>
          </cell>
          <cell r="D2174" t="str">
            <v>Enterprise</v>
          </cell>
        </row>
        <row r="2175">
          <cell r="C2175" t="str">
            <v>USD</v>
          </cell>
          <cell r="D2175" t="str">
            <v>Enterprise</v>
          </cell>
        </row>
        <row r="2176">
          <cell r="C2176" t="str">
            <v>USD</v>
          </cell>
          <cell r="D2176" t="str">
            <v>Enterprise</v>
          </cell>
          <cell r="G2176">
            <v>45323</v>
          </cell>
        </row>
        <row r="2177">
          <cell r="C2177" t="str">
            <v>EUR</v>
          </cell>
          <cell r="D2177" t="str">
            <v>Enterprise</v>
          </cell>
        </row>
        <row r="2178">
          <cell r="C2178" t="str">
            <v>Kur Sabitleme</v>
          </cell>
          <cell r="D2178" t="str">
            <v>Enterprise</v>
          </cell>
        </row>
        <row r="2179">
          <cell r="C2179" t="str">
            <v>MOBILTRUST</v>
          </cell>
          <cell r="D2179" t="str">
            <v>Enterprise</v>
          </cell>
          <cell r="E2179">
            <v>0</v>
          </cell>
          <cell r="F2179" t="str">
            <v>A-MB803</v>
          </cell>
          <cell r="G2179">
            <v>45413</v>
          </cell>
        </row>
        <row r="2180">
          <cell r="C2180" t="str">
            <v>TL</v>
          </cell>
          <cell r="D2180" t="str">
            <v>Enterprise</v>
          </cell>
          <cell r="G2180">
            <v>45413</v>
          </cell>
        </row>
        <row r="2181">
          <cell r="C2181" t="str">
            <v>USD</v>
          </cell>
          <cell r="D2181" t="str">
            <v>Enterprise</v>
          </cell>
        </row>
        <row r="2182">
          <cell r="C2182" t="str">
            <v>USD</v>
          </cell>
          <cell r="D2182" t="str">
            <v>Enterprise</v>
          </cell>
        </row>
        <row r="2183">
          <cell r="C2183" t="str">
            <v>EUR</v>
          </cell>
          <cell r="D2183" t="str">
            <v>Enterprise</v>
          </cell>
        </row>
        <row r="2184">
          <cell r="C2184" t="str">
            <v>Kur Sabitleme</v>
          </cell>
          <cell r="D2184" t="str">
            <v>Enterprise</v>
          </cell>
        </row>
        <row r="2185">
          <cell r="C2185" t="str">
            <v>FİNE OTEL TURİZM İŞLT. A.Ş</v>
          </cell>
          <cell r="D2185" t="str">
            <v>Enterprise</v>
          </cell>
          <cell r="E2185">
            <v>0</v>
          </cell>
          <cell r="F2185" t="str">
            <v>A-VRG9363</v>
          </cell>
          <cell r="G2185">
            <v>40872</v>
          </cell>
        </row>
        <row r="2186">
          <cell r="C2186" t="str">
            <v>TL</v>
          </cell>
          <cell r="D2186" t="str">
            <v>Enterprise</v>
          </cell>
        </row>
        <row r="2187">
          <cell r="C2187" t="str">
            <v>USD</v>
          </cell>
          <cell r="D2187" t="str">
            <v>Enterprise</v>
          </cell>
        </row>
        <row r="2188">
          <cell r="C2188" t="str">
            <v>USD</v>
          </cell>
          <cell r="D2188" t="str">
            <v>Enterprise</v>
          </cell>
          <cell r="G2188">
            <v>40872</v>
          </cell>
        </row>
        <row r="2189">
          <cell r="C2189" t="str">
            <v>EUR</v>
          </cell>
          <cell r="D2189" t="str">
            <v>Enterprise</v>
          </cell>
        </row>
        <row r="2190">
          <cell r="C2190" t="str">
            <v>Kur Sabitleme</v>
          </cell>
          <cell r="D2190" t="str">
            <v>Enterprise</v>
          </cell>
        </row>
        <row r="2191">
          <cell r="C2191" t="str">
            <v>VAILLANT GROUP TURKEY</v>
          </cell>
          <cell r="D2191" t="str">
            <v>Enterprise</v>
          </cell>
          <cell r="E2191" t="str">
            <v>TREO BİLGİ TEKNOLOJİLERİ</v>
          </cell>
          <cell r="F2191" t="str">
            <v>A-MB511</v>
          </cell>
          <cell r="G2191">
            <v>45330</v>
          </cell>
        </row>
        <row r="2192">
          <cell r="C2192" t="str">
            <v>TL</v>
          </cell>
          <cell r="D2192" t="str">
            <v>Enterprise</v>
          </cell>
          <cell r="G2192">
            <v>45330</v>
          </cell>
        </row>
        <row r="2193">
          <cell r="C2193" t="str">
            <v>USD</v>
          </cell>
          <cell r="D2193" t="str">
            <v>Enterprise</v>
          </cell>
        </row>
        <row r="2194">
          <cell r="C2194" t="str">
            <v>EUR</v>
          </cell>
          <cell r="D2194" t="str">
            <v>Enterprise</v>
          </cell>
        </row>
        <row r="2195">
          <cell r="C2195" t="str">
            <v>Kur Sabitleme</v>
          </cell>
          <cell r="D2195" t="str">
            <v>Enterprise</v>
          </cell>
        </row>
        <row r="2196">
          <cell r="C2196" t="str">
            <v>ALUNET MATERIAL SOLUTIONS ALÜMINYUM</v>
          </cell>
          <cell r="D2196" t="str">
            <v>SMB</v>
          </cell>
          <cell r="E2196" t="str">
            <v>BBK BİLİŞİM  (BAHADIR KINALI)</v>
          </cell>
          <cell r="F2196" t="str">
            <v>A-MB713</v>
          </cell>
          <cell r="G2196">
            <v>45348</v>
          </cell>
        </row>
        <row r="2197">
          <cell r="C2197" t="str">
            <v>TL</v>
          </cell>
          <cell r="D2197" t="str">
            <v>SMB</v>
          </cell>
        </row>
        <row r="2198">
          <cell r="C2198" t="str">
            <v>USD</v>
          </cell>
          <cell r="D2198" t="str">
            <v>SMB</v>
          </cell>
          <cell r="G2198">
            <v>45348</v>
          </cell>
        </row>
        <row r="2199">
          <cell r="C2199" t="str">
            <v>EUR</v>
          </cell>
          <cell r="D2199" t="str">
            <v>SMB</v>
          </cell>
        </row>
        <row r="2200">
          <cell r="C2200" t="str">
            <v>Kur Sabitleme</v>
          </cell>
          <cell r="D2200" t="str">
            <v>SMB</v>
          </cell>
        </row>
        <row r="2201">
          <cell r="C2201" t="str">
            <v>KURTARAN LASTİK VE PLASTİK ANONİM ŞİRKETİ</v>
          </cell>
          <cell r="D2201" t="str">
            <v>SMB</v>
          </cell>
          <cell r="E2201" t="str">
            <v>GREENS BİLGİSAYAR HİZMETLERİ SAN. VE TİCARET LİMİ</v>
          </cell>
          <cell r="F2201" t="str">
            <v>A-MB712</v>
          </cell>
          <cell r="G2201">
            <v>45347</v>
          </cell>
        </row>
        <row r="2202">
          <cell r="C2202" t="str">
            <v>TL</v>
          </cell>
          <cell r="D2202" t="str">
            <v>SMB</v>
          </cell>
        </row>
        <row r="2203">
          <cell r="C2203" t="str">
            <v>USD</v>
          </cell>
          <cell r="D2203" t="str">
            <v>SMB</v>
          </cell>
          <cell r="G2203">
            <v>45347</v>
          </cell>
        </row>
        <row r="2204">
          <cell r="C2204" t="str">
            <v>EUR</v>
          </cell>
          <cell r="D2204" t="str">
            <v>SMB</v>
          </cell>
        </row>
        <row r="2205">
          <cell r="C2205" t="str">
            <v>Kur Sabitleme</v>
          </cell>
          <cell r="D2205" t="str">
            <v>SMB</v>
          </cell>
        </row>
        <row r="2206">
          <cell r="C2206" t="str">
            <v>Mehmet Doğru Ticaret Ltd.</v>
          </cell>
          <cell r="D2206" t="str">
            <v>SMB</v>
          </cell>
          <cell r="E2206" t="str">
            <v>KIBRIS MİKRO DESTEK BİLG SİS - ERDEM ÇELEBİ</v>
          </cell>
          <cell r="F2206" t="str">
            <v>A-MB710</v>
          </cell>
          <cell r="G2206">
            <v>45352</v>
          </cell>
        </row>
        <row r="2207">
          <cell r="C2207" t="str">
            <v>TL</v>
          </cell>
          <cell r="D2207" t="str">
            <v>SMB</v>
          </cell>
        </row>
        <row r="2208">
          <cell r="C2208" t="str">
            <v>USD</v>
          </cell>
          <cell r="D2208" t="str">
            <v>SMB</v>
          </cell>
          <cell r="G2208">
            <v>45352</v>
          </cell>
        </row>
        <row r="2209">
          <cell r="C2209" t="str">
            <v>USD</v>
          </cell>
          <cell r="D2209" t="str">
            <v>SMB</v>
          </cell>
          <cell r="G2209">
            <v>45952</v>
          </cell>
        </row>
        <row r="2210">
          <cell r="C2210" t="str">
            <v>EUR</v>
          </cell>
          <cell r="D2210" t="str">
            <v>SMB</v>
          </cell>
        </row>
        <row r="2211">
          <cell r="C2211" t="str">
            <v>Kur Sabitleme</v>
          </cell>
          <cell r="D2211" t="str">
            <v>SMB</v>
          </cell>
        </row>
        <row r="2212">
          <cell r="C2212" t="str">
            <v>OTO NAMUK TRAKTÖR YEDEK PARÇA VE TARIM MAK.SAN.TİC</v>
          </cell>
          <cell r="D2212" t="str">
            <v>SMB</v>
          </cell>
          <cell r="E2212" t="str">
            <v>SERCAN TUNER (ROTA YAZILIM)</v>
          </cell>
          <cell r="F2212" t="str">
            <v>A-MB714</v>
          </cell>
          <cell r="G2212">
            <v>45334</v>
          </cell>
        </row>
        <row r="2213">
          <cell r="C2213" t="str">
            <v>TL</v>
          </cell>
          <cell r="D2213" t="str">
            <v>SMB</v>
          </cell>
        </row>
        <row r="2214">
          <cell r="C2214" t="str">
            <v>USD</v>
          </cell>
          <cell r="D2214" t="str">
            <v>SMB</v>
          </cell>
          <cell r="G2214">
            <v>45334</v>
          </cell>
        </row>
        <row r="2215">
          <cell r="C2215" t="str">
            <v>EUR</v>
          </cell>
          <cell r="D2215" t="str">
            <v>SMB</v>
          </cell>
        </row>
        <row r="2216">
          <cell r="C2216" t="str">
            <v>Kur Sabitleme</v>
          </cell>
          <cell r="D2216" t="str">
            <v>SMB</v>
          </cell>
        </row>
        <row r="2217">
          <cell r="C2217" t="str">
            <v>PRİNCEPS LEGEM KURUMSAL DANIŞMANLIK LTD.ŞTİ</v>
          </cell>
          <cell r="D2217" t="str">
            <v>SMB</v>
          </cell>
          <cell r="E2217" t="str">
            <v>Gotech Erp Yazılım San. Tic. A.Ş.</v>
          </cell>
          <cell r="F2217" t="str">
            <v>A-MB711</v>
          </cell>
          <cell r="G2217">
            <v>45344</v>
          </cell>
        </row>
        <row r="2218">
          <cell r="C2218" t="str">
            <v>TL</v>
          </cell>
          <cell r="D2218" t="str">
            <v>SMB</v>
          </cell>
        </row>
        <row r="2219">
          <cell r="C2219" t="str">
            <v>USD</v>
          </cell>
          <cell r="D2219" t="str">
            <v>SMB</v>
          </cell>
          <cell r="G2219">
            <v>45344</v>
          </cell>
        </row>
        <row r="2220">
          <cell r="C2220" t="str">
            <v>EUR</v>
          </cell>
          <cell r="D2220" t="str">
            <v>SMB</v>
          </cell>
        </row>
        <row r="2221">
          <cell r="C2221" t="str">
            <v>Kur Sabitleme</v>
          </cell>
          <cell r="D2221" t="str">
            <v>SMB</v>
          </cell>
        </row>
        <row r="2222">
          <cell r="C2222" t="str">
            <v>PUCK GLOBAL -  MUZIP PERI REKLAM TANITIM HIZ. A.Ş.</v>
          </cell>
          <cell r="D2222" t="str">
            <v>SMB</v>
          </cell>
          <cell r="E2222" t="str">
            <v>ÇÖZÜM BİLGİSAYAR PROGRAM İLT. SİS. VE TEK. SERV..</v>
          </cell>
          <cell r="F2222" t="str">
            <v>A-MB708</v>
          </cell>
          <cell r="G2222">
            <v>45330</v>
          </cell>
        </row>
        <row r="2223">
          <cell r="C2223" t="str">
            <v>TL</v>
          </cell>
          <cell r="D2223" t="str">
            <v>SMB</v>
          </cell>
        </row>
        <row r="2224">
          <cell r="C2224" t="str">
            <v>USD</v>
          </cell>
          <cell r="D2224" t="str">
            <v>SMB</v>
          </cell>
          <cell r="G2224">
            <v>45330</v>
          </cell>
        </row>
        <row r="2225">
          <cell r="C2225" t="str">
            <v>EUR</v>
          </cell>
          <cell r="D2225" t="str">
            <v>SMB</v>
          </cell>
        </row>
        <row r="2226">
          <cell r="C2226" t="str">
            <v>Kur Sabitleme</v>
          </cell>
          <cell r="D2226" t="str">
            <v>SMB</v>
          </cell>
        </row>
        <row r="2227">
          <cell r="C2227" t="str">
            <v>SAĞLIK VE EĞİTİM VAKFI</v>
          </cell>
          <cell r="D2227" t="str">
            <v>SMB</v>
          </cell>
          <cell r="E2227" t="str">
            <v>REFERANS</v>
          </cell>
          <cell r="F2227" t="str">
            <v>A-MB715</v>
          </cell>
          <cell r="G2227">
            <v>45474</v>
          </cell>
        </row>
        <row r="2228">
          <cell r="C2228" t="str">
            <v>TL</v>
          </cell>
          <cell r="D2228" t="str">
            <v>SMB</v>
          </cell>
          <cell r="G2228">
            <v>45474</v>
          </cell>
        </row>
        <row r="2229">
          <cell r="C2229" t="str">
            <v>USD</v>
          </cell>
          <cell r="D2229" t="str">
            <v>SMB</v>
          </cell>
          <cell r="G2229">
            <v>45504</v>
          </cell>
        </row>
        <row r="2230">
          <cell r="C2230" t="str">
            <v>EUR</v>
          </cell>
          <cell r="D2230" t="str">
            <v>SMB</v>
          </cell>
        </row>
        <row r="2231">
          <cell r="C2231" t="str">
            <v>Kur Sabitleme</v>
          </cell>
          <cell r="D2231" t="str">
            <v>SMB</v>
          </cell>
        </row>
        <row r="2232">
          <cell r="C2232" t="str">
            <v>Welldermo Sağlık Güzellik ve Spor Ürünleri San. Ti</v>
          </cell>
          <cell r="D2232" t="str">
            <v>SMB</v>
          </cell>
          <cell r="E2232" t="str">
            <v>SERBAY YAZILIM VE DANIŞMANLIK TİCARET LİMİTED ŞİRK</v>
          </cell>
          <cell r="F2232" t="str">
            <v>A-MB709</v>
          </cell>
          <cell r="G2232">
            <v>45716</v>
          </cell>
        </row>
        <row r="2233">
          <cell r="C2233" t="str">
            <v>TL</v>
          </cell>
          <cell r="D2233" t="str">
            <v>SMB</v>
          </cell>
        </row>
        <row r="2234">
          <cell r="C2234" t="str">
            <v>USD</v>
          </cell>
          <cell r="D2234" t="str">
            <v>SMB</v>
          </cell>
          <cell r="G2234">
            <v>45716</v>
          </cell>
        </row>
        <row r="2235">
          <cell r="C2235" t="str">
            <v>EUR</v>
          </cell>
          <cell r="D2235" t="str">
            <v>SMB</v>
          </cell>
        </row>
        <row r="2236">
          <cell r="C2236" t="str">
            <v>Kur Sabitleme</v>
          </cell>
          <cell r="D2236" t="str">
            <v>SMB</v>
          </cell>
        </row>
        <row r="2237">
          <cell r="C2237" t="str">
            <v>DORUK İLETİŞİM</v>
          </cell>
          <cell r="D2237" t="str">
            <v>SMB</v>
          </cell>
          <cell r="E2237" t="str">
            <v>TREO BİLGİ TEKNOLOJİLERİ</v>
          </cell>
          <cell r="F2237" t="str">
            <v>A-MB511</v>
          </cell>
          <cell r="G2237">
            <v>45356</v>
          </cell>
        </row>
        <row r="2238">
          <cell r="C2238" t="str">
            <v>TL</v>
          </cell>
          <cell r="D2238" t="str">
            <v>SMB</v>
          </cell>
          <cell r="G2238">
            <v>45356</v>
          </cell>
        </row>
        <row r="2239">
          <cell r="C2239" t="str">
            <v>USD</v>
          </cell>
          <cell r="D2239" t="str">
            <v>SMB</v>
          </cell>
        </row>
        <row r="2240">
          <cell r="C2240" t="str">
            <v>EUR</v>
          </cell>
          <cell r="D2240" t="str">
            <v>SMB</v>
          </cell>
        </row>
        <row r="2241">
          <cell r="C2241" t="str">
            <v>Kur Sabitleme</v>
          </cell>
          <cell r="D2241" t="str">
            <v>SMB</v>
          </cell>
        </row>
        <row r="2242">
          <cell r="C2242" t="str">
            <v>FYK MOBILE</v>
          </cell>
          <cell r="D2242" t="str">
            <v>Enterprise</v>
          </cell>
          <cell r="E2242">
            <v>0</v>
          </cell>
          <cell r="F2242" t="str">
            <v>A-MB735</v>
          </cell>
          <cell r="G2242">
            <v>45343</v>
          </cell>
        </row>
        <row r="2243">
          <cell r="C2243" t="str">
            <v>TL</v>
          </cell>
          <cell r="D2243" t="str">
            <v>Enterprise</v>
          </cell>
        </row>
        <row r="2244">
          <cell r="C2244" t="str">
            <v>USD</v>
          </cell>
          <cell r="D2244" t="str">
            <v>Enterprise</v>
          </cell>
          <cell r="G2244">
            <v>45343</v>
          </cell>
        </row>
        <row r="2245">
          <cell r="C2245" t="str">
            <v>EUR</v>
          </cell>
          <cell r="D2245" t="str">
            <v>Enterprise</v>
          </cell>
        </row>
        <row r="2246">
          <cell r="C2246" t="str">
            <v>Kur Sabitleme</v>
          </cell>
          <cell r="D2246" t="str">
            <v>Enterprise</v>
          </cell>
        </row>
        <row r="2247">
          <cell r="C2247" t="str">
            <v>SİMETO GÜMRÜK MÜŞAVİRLİĞİ VE LOJİSTİK</v>
          </cell>
          <cell r="D2247" t="str">
            <v>SMB</v>
          </cell>
          <cell r="E2247" t="str">
            <v>KANAL YOK</v>
          </cell>
          <cell r="F2247" t="str">
            <v>A-MB719</v>
          </cell>
          <cell r="G2247">
            <v>45383</v>
          </cell>
        </row>
        <row r="2248">
          <cell r="C2248" t="str">
            <v>TL</v>
          </cell>
          <cell r="D2248" t="str">
            <v>SMB</v>
          </cell>
        </row>
        <row r="2249">
          <cell r="C2249" t="str">
            <v>USD</v>
          </cell>
          <cell r="D2249" t="str">
            <v>SMB</v>
          </cell>
          <cell r="G2249">
            <v>45383</v>
          </cell>
        </row>
        <row r="2250">
          <cell r="C2250" t="str">
            <v>EUR</v>
          </cell>
          <cell r="D2250" t="str">
            <v>SMB</v>
          </cell>
        </row>
        <row r="2251">
          <cell r="C2251" t="str">
            <v>Kur Sabitleme</v>
          </cell>
          <cell r="D2251" t="str">
            <v>SMB</v>
          </cell>
        </row>
        <row r="2252">
          <cell r="C2252" t="str">
            <v>BACACI YATIRIM HOLDING ANONIM SIRKETI</v>
          </cell>
          <cell r="D2252" t="str">
            <v>SMB</v>
          </cell>
          <cell r="E2252">
            <v>0</v>
          </cell>
          <cell r="F2252" t="str">
            <v>A-VRG16618</v>
          </cell>
          <cell r="G2252">
            <v>45381</v>
          </cell>
        </row>
        <row r="2253">
          <cell r="C2253" t="str">
            <v>TL</v>
          </cell>
          <cell r="D2253" t="str">
            <v>SMB</v>
          </cell>
        </row>
        <row r="2254">
          <cell r="C2254" t="str">
            <v>USD</v>
          </cell>
          <cell r="D2254" t="str">
            <v>SMB</v>
          </cell>
          <cell r="G2254">
            <v>45381</v>
          </cell>
        </row>
        <row r="2255">
          <cell r="C2255" t="str">
            <v>USD</v>
          </cell>
          <cell r="D2255" t="str">
            <v>SMB</v>
          </cell>
          <cell r="G2255">
            <v>45523</v>
          </cell>
        </row>
        <row r="2256">
          <cell r="C2256" t="str">
            <v>USD</v>
          </cell>
          <cell r="D2256" t="str">
            <v>SMB</v>
          </cell>
          <cell r="G2256">
            <v>45563</v>
          </cell>
        </row>
        <row r="2257">
          <cell r="C2257" t="str">
            <v>USD</v>
          </cell>
          <cell r="D2257" t="str">
            <v>SMB</v>
          </cell>
          <cell r="G2257">
            <v>45743</v>
          </cell>
        </row>
        <row r="2258">
          <cell r="C2258" t="str">
            <v>USD</v>
          </cell>
          <cell r="D2258" t="str">
            <v>SMB</v>
          </cell>
          <cell r="G2258">
            <v>45563</v>
          </cell>
        </row>
        <row r="2259">
          <cell r="C2259" t="str">
            <v>EUR</v>
          </cell>
          <cell r="D2259" t="str">
            <v>SMB</v>
          </cell>
        </row>
        <row r="2260">
          <cell r="C2260" t="str">
            <v>Kur Sabitleme</v>
          </cell>
          <cell r="D2260" t="str">
            <v>SMB</v>
          </cell>
        </row>
        <row r="2261">
          <cell r="C2261" t="str">
            <v>BABUR ARSLAN TUR. TİC. ÖZEL SAĞLIK HİZ VE SAN AŞ</v>
          </cell>
          <cell r="D2261" t="str">
            <v>SMB</v>
          </cell>
          <cell r="E2261" t="str">
            <v>KANAL YOK</v>
          </cell>
          <cell r="F2261" t="str">
            <v>A-MB720</v>
          </cell>
          <cell r="G2261">
            <v>45380</v>
          </cell>
        </row>
        <row r="2262">
          <cell r="C2262" t="str">
            <v>TL</v>
          </cell>
          <cell r="D2262" t="str">
            <v>SMB</v>
          </cell>
          <cell r="G2262">
            <v>45380</v>
          </cell>
        </row>
        <row r="2263">
          <cell r="C2263" t="str">
            <v>USD</v>
          </cell>
          <cell r="D2263" t="str">
            <v>SMB</v>
          </cell>
          <cell r="G2263">
            <v>45380</v>
          </cell>
        </row>
        <row r="2264">
          <cell r="C2264" t="str">
            <v>USD</v>
          </cell>
          <cell r="D2264" t="str">
            <v>SMB</v>
          </cell>
          <cell r="G2264">
            <v>45482</v>
          </cell>
        </row>
        <row r="2265">
          <cell r="C2265" t="str">
            <v>USD</v>
          </cell>
          <cell r="D2265" t="str">
            <v>SMB</v>
          </cell>
          <cell r="G2265">
            <v>45919</v>
          </cell>
        </row>
        <row r="2266">
          <cell r="C2266" t="str">
            <v>EUR</v>
          </cell>
          <cell r="D2266" t="str">
            <v>SMB</v>
          </cell>
        </row>
        <row r="2267">
          <cell r="C2267" t="str">
            <v>Kur Sabitleme</v>
          </cell>
          <cell r="D2267" t="str">
            <v>SMB</v>
          </cell>
        </row>
        <row r="2268">
          <cell r="C2268" t="str">
            <v>MİSBAHÇE GIDA VE TARIM ÜRÜNLERİ SAN.VE TİC.LTD.ŞTİ</v>
          </cell>
          <cell r="D2268" t="str">
            <v>SMB</v>
          </cell>
          <cell r="E2268" t="str">
            <v>ÇÖZÜM BİLGİSAYAR PROGRAM İLT. SİS. VE TEK. SERV..</v>
          </cell>
          <cell r="F2268" t="str">
            <v>A-MB708</v>
          </cell>
          <cell r="G2268">
            <v>45365</v>
          </cell>
        </row>
        <row r="2269">
          <cell r="C2269" t="str">
            <v>TL</v>
          </cell>
          <cell r="D2269" t="str">
            <v>SMB</v>
          </cell>
        </row>
        <row r="2270">
          <cell r="C2270" t="str">
            <v>USD</v>
          </cell>
          <cell r="D2270" t="str">
            <v>SMB</v>
          </cell>
          <cell r="G2270">
            <v>45365</v>
          </cell>
        </row>
        <row r="2271">
          <cell r="C2271" t="str">
            <v>EUR</v>
          </cell>
          <cell r="D2271" t="str">
            <v>SMB</v>
          </cell>
        </row>
        <row r="2272">
          <cell r="C2272" t="str">
            <v>Kur Sabitleme</v>
          </cell>
          <cell r="D2272" t="str">
            <v>SMB</v>
          </cell>
        </row>
        <row r="2273">
          <cell r="C2273" t="str">
            <v>SUNTEL BANYO MUTFAK AKSESUARLARI SAN. TİC. LTD.ŞTİ</v>
          </cell>
          <cell r="D2273" t="str">
            <v>SMB</v>
          </cell>
          <cell r="E2273" t="str">
            <v>SONUÇ YAZILIM BİLİŞİM VE DAN.DIŞ TİC.LTD.ŞTİ.</v>
          </cell>
          <cell r="F2273" t="str">
            <v>A-MB717</v>
          </cell>
          <cell r="G2273">
            <v>45372</v>
          </cell>
        </row>
        <row r="2274">
          <cell r="C2274" t="str">
            <v>TL</v>
          </cell>
          <cell r="D2274" t="str">
            <v>SMB</v>
          </cell>
        </row>
        <row r="2275">
          <cell r="C2275" t="str">
            <v>USD</v>
          </cell>
          <cell r="D2275" t="str">
            <v>SMB</v>
          </cell>
          <cell r="G2275">
            <v>45372</v>
          </cell>
        </row>
        <row r="2276">
          <cell r="C2276" t="str">
            <v>EUR</v>
          </cell>
          <cell r="D2276" t="str">
            <v>SMB</v>
          </cell>
        </row>
        <row r="2277">
          <cell r="C2277" t="str">
            <v>Kur Sabitleme</v>
          </cell>
          <cell r="D2277" t="str">
            <v>SMB</v>
          </cell>
        </row>
        <row r="2278">
          <cell r="C2278" t="str">
            <v>USTA ELLER BAKLAVA</v>
          </cell>
          <cell r="D2278" t="str">
            <v>SMB</v>
          </cell>
          <cell r="E2278" t="str">
            <v>SENKRON BİLGİSAYAR</v>
          </cell>
          <cell r="F2278" t="str">
            <v>A-MB705</v>
          </cell>
          <cell r="G2278">
            <v>45381</v>
          </cell>
        </row>
        <row r="2279">
          <cell r="C2279" t="str">
            <v>TL</v>
          </cell>
          <cell r="D2279" t="str">
            <v>SMB</v>
          </cell>
        </row>
        <row r="2280">
          <cell r="C2280" t="str">
            <v>USD</v>
          </cell>
          <cell r="D2280" t="str">
            <v>SMB</v>
          </cell>
          <cell r="G2280">
            <v>45381</v>
          </cell>
        </row>
        <row r="2281">
          <cell r="C2281" t="str">
            <v>EUR</v>
          </cell>
          <cell r="D2281" t="str">
            <v>SMB</v>
          </cell>
        </row>
        <row r="2282">
          <cell r="C2282" t="str">
            <v>Kur Sabitleme</v>
          </cell>
          <cell r="D2282" t="str">
            <v>SMB</v>
          </cell>
        </row>
        <row r="2283">
          <cell r="C2283" t="str">
            <v>BRAVO YAZILIM VE DANIŞMANLIK HİZM. İÇ VE DIŞ TİC</v>
          </cell>
          <cell r="D2283" t="str">
            <v>SMB</v>
          </cell>
          <cell r="E2283" t="str">
            <v>BRAVO YAZILIM VE DANIŞMANLIK HİZM. İÇ VE DIŞ TİC</v>
          </cell>
          <cell r="F2283" t="str">
            <v>A-MB726</v>
          </cell>
          <cell r="G2283">
            <v>45380</v>
          </cell>
        </row>
        <row r="2284">
          <cell r="C2284" t="str">
            <v>TL</v>
          </cell>
          <cell r="D2284" t="str">
            <v>SMB</v>
          </cell>
        </row>
        <row r="2285">
          <cell r="C2285" t="str">
            <v>USD</v>
          </cell>
          <cell r="D2285" t="str">
            <v>SMB</v>
          </cell>
          <cell r="G2285">
            <v>45380</v>
          </cell>
        </row>
        <row r="2286">
          <cell r="C2286" t="str">
            <v>EUR</v>
          </cell>
          <cell r="D2286" t="str">
            <v>SMB</v>
          </cell>
        </row>
        <row r="2287">
          <cell r="C2287" t="str">
            <v>Kur Sabitleme</v>
          </cell>
          <cell r="D2287" t="str">
            <v>SMB</v>
          </cell>
        </row>
        <row r="2288">
          <cell r="C2288" t="str">
            <v>VELOSİ ELEKTRONİK TİC.LTD.ŞTİ</v>
          </cell>
          <cell r="D2288" t="str">
            <v>SMB</v>
          </cell>
          <cell r="E2288" t="str">
            <v>BRAVO YAZILIM VE DANIŞMANLIK HİZM. İÇ VE DIŞ TİC</v>
          </cell>
          <cell r="F2288" t="str">
            <v>A-MB726</v>
          </cell>
          <cell r="G2288">
            <v>45380</v>
          </cell>
        </row>
        <row r="2289">
          <cell r="C2289" t="str">
            <v>TL</v>
          </cell>
          <cell r="D2289" t="str">
            <v>SMB</v>
          </cell>
        </row>
        <row r="2290">
          <cell r="C2290" t="str">
            <v>USD</v>
          </cell>
          <cell r="D2290" t="str">
            <v>SMB</v>
          </cell>
          <cell r="G2290">
            <v>45380</v>
          </cell>
        </row>
        <row r="2291">
          <cell r="C2291" t="str">
            <v>EUR</v>
          </cell>
          <cell r="D2291" t="str">
            <v>SMB</v>
          </cell>
        </row>
        <row r="2292">
          <cell r="C2292" t="str">
            <v>Kur Sabitleme</v>
          </cell>
          <cell r="D2292" t="str">
            <v>SMB</v>
          </cell>
        </row>
        <row r="2293">
          <cell r="C2293" t="str">
            <v>PROTEK ENDÜSTRİYEL OTOMASYON SİSTEMLERİ MAKİNA VE</v>
          </cell>
          <cell r="D2293" t="str">
            <v>SMB</v>
          </cell>
          <cell r="E2293" t="str">
            <v>KANAL YOK</v>
          </cell>
          <cell r="F2293" t="str">
            <v>A-MB718</v>
          </cell>
          <cell r="G2293">
            <v>45359</v>
          </cell>
        </row>
        <row r="2294">
          <cell r="C2294" t="str">
            <v>TL</v>
          </cell>
          <cell r="D2294" t="str">
            <v>SMB</v>
          </cell>
        </row>
        <row r="2295">
          <cell r="C2295" t="str">
            <v>USD</v>
          </cell>
          <cell r="D2295" t="str">
            <v>SMB</v>
          </cell>
          <cell r="G2295">
            <v>45359</v>
          </cell>
        </row>
        <row r="2296">
          <cell r="C2296" t="str">
            <v>EUR</v>
          </cell>
          <cell r="D2296" t="str">
            <v>SMB</v>
          </cell>
        </row>
        <row r="2297">
          <cell r="C2297" t="str">
            <v>Kur Sabitleme</v>
          </cell>
          <cell r="D2297" t="str">
            <v>SMB</v>
          </cell>
        </row>
        <row r="2298">
          <cell r="C2298" t="str">
            <v>Organikasyon Gıda Turizm ve Organizasyon Ltd. Şti.</v>
          </cell>
          <cell r="D2298" t="str">
            <v>SMB</v>
          </cell>
          <cell r="E2298">
            <v>0</v>
          </cell>
          <cell r="F2298" t="str">
            <v>A-MB721</v>
          </cell>
          <cell r="G2298">
            <v>45380</v>
          </cell>
        </row>
        <row r="2299">
          <cell r="C2299" t="str">
            <v>TL</v>
          </cell>
          <cell r="D2299" t="str">
            <v>SMB</v>
          </cell>
        </row>
        <row r="2300">
          <cell r="C2300" t="str">
            <v>USD</v>
          </cell>
          <cell r="D2300" t="str">
            <v>SMB</v>
          </cell>
          <cell r="G2300">
            <v>45380</v>
          </cell>
        </row>
        <row r="2301">
          <cell r="C2301" t="str">
            <v>EUR</v>
          </cell>
          <cell r="D2301" t="str">
            <v>SMB</v>
          </cell>
        </row>
        <row r="2302">
          <cell r="C2302" t="str">
            <v>Kur Sabitleme</v>
          </cell>
          <cell r="D2302" t="str">
            <v>SMB</v>
          </cell>
        </row>
        <row r="2303">
          <cell r="C2303" t="str">
            <v>FT PORTFÖY</v>
          </cell>
          <cell r="D2303" t="str">
            <v>SMB</v>
          </cell>
          <cell r="E2303" t="str">
            <v>ABİDA BİLİŞİM TEKNOLOJİLERİ DANIŞMANLIK AŞ.</v>
          </cell>
          <cell r="F2303" t="str">
            <v>A-MB725</v>
          </cell>
          <cell r="G2303">
            <v>45373</v>
          </cell>
        </row>
        <row r="2304">
          <cell r="C2304" t="str">
            <v>TL</v>
          </cell>
          <cell r="D2304" t="str">
            <v>SMB</v>
          </cell>
        </row>
        <row r="2305">
          <cell r="C2305" t="str">
            <v>USD</v>
          </cell>
          <cell r="D2305" t="str">
            <v>SMB</v>
          </cell>
          <cell r="G2305">
            <v>45373</v>
          </cell>
        </row>
        <row r="2306">
          <cell r="C2306" t="str">
            <v>USD</v>
          </cell>
          <cell r="D2306" t="str">
            <v>SMB</v>
          </cell>
          <cell r="G2306">
            <v>45590</v>
          </cell>
        </row>
        <row r="2307">
          <cell r="C2307" t="str">
            <v>USD</v>
          </cell>
          <cell r="D2307" t="str">
            <v>SMB</v>
          </cell>
          <cell r="G2307">
            <v>45590</v>
          </cell>
        </row>
        <row r="2308">
          <cell r="C2308" t="str">
            <v>EUR</v>
          </cell>
          <cell r="D2308" t="str">
            <v>SMB</v>
          </cell>
        </row>
        <row r="2309">
          <cell r="C2309" t="str">
            <v>Kur Sabitleme</v>
          </cell>
          <cell r="D2309" t="str">
            <v>SMB</v>
          </cell>
        </row>
        <row r="2310">
          <cell r="C2310" t="str">
            <v>ARTI DEĞER İNŞAAT OTOMOTİV SANAYİ VE DIŞ TİCARET A</v>
          </cell>
          <cell r="D2310" t="str">
            <v>SMB</v>
          </cell>
          <cell r="E2310" t="str">
            <v>SHERPA YAZILIM EĞİTİM VE FİNANSAL DAN.TİC.LTD.ŞTİ.</v>
          </cell>
          <cell r="F2310" t="str">
            <v>A-MB731</v>
          </cell>
          <cell r="G2310">
            <v>45406</v>
          </cell>
        </row>
        <row r="2311">
          <cell r="C2311" t="str">
            <v>TL</v>
          </cell>
          <cell r="D2311" t="str">
            <v>SMB</v>
          </cell>
        </row>
        <row r="2312">
          <cell r="C2312" t="str">
            <v>USD</v>
          </cell>
          <cell r="D2312" t="str">
            <v>SMB</v>
          </cell>
          <cell r="G2312">
            <v>45406</v>
          </cell>
        </row>
        <row r="2313">
          <cell r="C2313" t="str">
            <v>EUR</v>
          </cell>
          <cell r="D2313" t="str">
            <v>SMB</v>
          </cell>
        </row>
        <row r="2314">
          <cell r="C2314" t="str">
            <v>Kur Sabitleme</v>
          </cell>
          <cell r="D2314" t="str">
            <v>SMB</v>
          </cell>
        </row>
        <row r="2315">
          <cell r="C2315" t="str">
            <v>ARZ PORTFÖY</v>
          </cell>
          <cell r="D2315" t="str">
            <v>SMB</v>
          </cell>
          <cell r="E2315" t="str">
            <v>MAKSIMUM BILGISAYAR LTD.ŞTI.</v>
          </cell>
          <cell r="F2315" t="str">
            <v>A-VRG9064</v>
          </cell>
          <cell r="G2315">
            <v>45406</v>
          </cell>
        </row>
        <row r="2316">
          <cell r="C2316" t="str">
            <v>TL</v>
          </cell>
          <cell r="D2316" t="str">
            <v>SMB</v>
          </cell>
        </row>
        <row r="2317">
          <cell r="C2317" t="str">
            <v>USD</v>
          </cell>
          <cell r="D2317" t="str">
            <v>SMB</v>
          </cell>
          <cell r="G2317">
            <v>45406</v>
          </cell>
        </row>
        <row r="2318">
          <cell r="C2318" t="str">
            <v>EUR</v>
          </cell>
          <cell r="D2318" t="str">
            <v>SMB</v>
          </cell>
        </row>
        <row r="2319">
          <cell r="C2319" t="str">
            <v>Kur Sabitleme</v>
          </cell>
          <cell r="D2319" t="str">
            <v>SMB</v>
          </cell>
        </row>
        <row r="2320">
          <cell r="C2320" t="str">
            <v>BERSAY İLETİŞİM DANIŞMANLIĞI TİC.A.Ş</v>
          </cell>
          <cell r="D2320" t="str">
            <v>SMB</v>
          </cell>
          <cell r="E2320" t="str">
            <v>BRAVO YAZILIM VE DANIŞMANLIK HİZM. İÇ VE DIŞ TİC</v>
          </cell>
          <cell r="F2320" t="str">
            <v>A-MB726</v>
          </cell>
          <cell r="G2320">
            <v>45412</v>
          </cell>
        </row>
        <row r="2321">
          <cell r="C2321" t="str">
            <v>TL</v>
          </cell>
          <cell r="D2321" t="str">
            <v>SMB</v>
          </cell>
        </row>
        <row r="2322">
          <cell r="C2322" t="str">
            <v>USD</v>
          </cell>
          <cell r="D2322" t="str">
            <v>SMB</v>
          </cell>
          <cell r="G2322">
            <v>45412</v>
          </cell>
        </row>
        <row r="2323">
          <cell r="C2323" t="str">
            <v>EUR</v>
          </cell>
          <cell r="D2323" t="str">
            <v>SMB</v>
          </cell>
        </row>
        <row r="2324">
          <cell r="C2324" t="str">
            <v>Kur Sabitleme</v>
          </cell>
          <cell r="D2324" t="str">
            <v>SMB</v>
          </cell>
        </row>
        <row r="2325">
          <cell r="C2325" t="str">
            <v>Mor Elma Yayıncılık</v>
          </cell>
          <cell r="D2325" t="str">
            <v>SMB</v>
          </cell>
          <cell r="E2325" t="str">
            <v>SHERPA YAZILIM EĞİTİM VE FİNANSAL DAN.TİC.LTD.ŞTİ.</v>
          </cell>
          <cell r="F2325" t="str">
            <v>…..</v>
          </cell>
          <cell r="G2325">
            <v>45384</v>
          </cell>
        </row>
        <row r="2326">
          <cell r="C2326" t="str">
            <v>TL</v>
          </cell>
          <cell r="D2326" t="str">
            <v>SMB</v>
          </cell>
        </row>
        <row r="2327">
          <cell r="C2327" t="str">
            <v>USD</v>
          </cell>
          <cell r="D2327" t="str">
            <v>SMB</v>
          </cell>
          <cell r="G2327">
            <v>45384</v>
          </cell>
        </row>
        <row r="2328">
          <cell r="C2328" t="str">
            <v>EUR</v>
          </cell>
          <cell r="D2328" t="str">
            <v>SMB</v>
          </cell>
        </row>
        <row r="2329">
          <cell r="C2329" t="str">
            <v>Kur Sabitleme</v>
          </cell>
          <cell r="D2329" t="str">
            <v>SMB</v>
          </cell>
        </row>
        <row r="2330">
          <cell r="C2330" t="str">
            <v>Fortis Plastik Sanayi Ticaret Ltd.Şti.</v>
          </cell>
          <cell r="D2330" t="str">
            <v>SMB</v>
          </cell>
          <cell r="E2330" t="str">
            <v>SHERPA YAZILIM EĞİTİM VE FİNANSAL DAN.TİC.LTD.ŞTİ.</v>
          </cell>
          <cell r="F2330" t="str">
            <v>…..</v>
          </cell>
          <cell r="G2330">
            <v>45411</v>
          </cell>
        </row>
        <row r="2331">
          <cell r="C2331" t="str">
            <v>TL</v>
          </cell>
          <cell r="D2331" t="str">
            <v>SMB</v>
          </cell>
        </row>
        <row r="2332">
          <cell r="C2332" t="str">
            <v>USD</v>
          </cell>
          <cell r="D2332" t="str">
            <v>SMB</v>
          </cell>
          <cell r="G2332">
            <v>45411</v>
          </cell>
        </row>
        <row r="2333">
          <cell r="C2333" t="str">
            <v>EUR</v>
          </cell>
          <cell r="D2333" t="str">
            <v>SMB</v>
          </cell>
        </row>
        <row r="2334">
          <cell r="C2334" t="str">
            <v>Kur Sabitleme</v>
          </cell>
          <cell r="D2334" t="str">
            <v>SMB</v>
          </cell>
        </row>
        <row r="2335">
          <cell r="C2335" t="str">
            <v>FRT SU ARITMA SANAYİ TİCARET LİMİTED ŞİRKETİ</v>
          </cell>
          <cell r="D2335" t="str">
            <v>SMB</v>
          </cell>
          <cell r="E2335" t="str">
            <v>GREENS BİLGİSAYAR HİZMETLERİ SAN. VE TİCARET LİMİ</v>
          </cell>
          <cell r="F2335" t="str">
            <v>A-MB729</v>
          </cell>
          <cell r="G2335">
            <v>45406</v>
          </cell>
        </row>
        <row r="2336">
          <cell r="C2336" t="str">
            <v>TL</v>
          </cell>
          <cell r="D2336" t="str">
            <v>SMB</v>
          </cell>
        </row>
        <row r="2337">
          <cell r="C2337" t="str">
            <v>USD</v>
          </cell>
          <cell r="D2337" t="str">
            <v>SMB</v>
          </cell>
          <cell r="G2337">
            <v>45406</v>
          </cell>
        </row>
        <row r="2338">
          <cell r="C2338" t="str">
            <v>EUR</v>
          </cell>
          <cell r="D2338" t="str">
            <v>SMB</v>
          </cell>
        </row>
        <row r="2339">
          <cell r="C2339" t="str">
            <v>Kur Sabitleme</v>
          </cell>
          <cell r="D2339" t="str">
            <v>SMB</v>
          </cell>
        </row>
        <row r="2340">
          <cell r="C2340" t="str">
            <v>Hannover Fairs Turkey Fuarcılık A.Ş.</v>
          </cell>
          <cell r="D2340" t="str">
            <v>SMB</v>
          </cell>
          <cell r="E2340" t="str">
            <v>TREO BİLGİ TEKNOLOJİLERİ</v>
          </cell>
          <cell r="F2340" t="str">
            <v>A-MB511</v>
          </cell>
          <cell r="G2340">
            <v>45412</v>
          </cell>
        </row>
        <row r="2341">
          <cell r="C2341" t="str">
            <v>TL</v>
          </cell>
          <cell r="D2341" t="str">
            <v>SMB</v>
          </cell>
          <cell r="G2341">
            <v>45412</v>
          </cell>
        </row>
        <row r="2342">
          <cell r="C2342" t="str">
            <v>TL</v>
          </cell>
          <cell r="D2342" t="str">
            <v>SMB</v>
          </cell>
          <cell r="G2342">
            <v>45680</v>
          </cell>
        </row>
        <row r="2343">
          <cell r="C2343" t="str">
            <v>USD</v>
          </cell>
          <cell r="D2343" t="str">
            <v>SMB</v>
          </cell>
        </row>
        <row r="2344">
          <cell r="C2344" t="str">
            <v>EUR</v>
          </cell>
          <cell r="D2344" t="str">
            <v>SMB</v>
          </cell>
        </row>
        <row r="2345">
          <cell r="C2345" t="str">
            <v>Kur Sabitleme</v>
          </cell>
          <cell r="D2345" t="str">
            <v>SMB</v>
          </cell>
        </row>
        <row r="2346">
          <cell r="C2346" t="str">
            <v>İHLAS PAZARLAMA A.Ş.</v>
          </cell>
          <cell r="D2346" t="str">
            <v>Enterprise</v>
          </cell>
          <cell r="E2346">
            <v>0</v>
          </cell>
          <cell r="F2346" t="str">
            <v>A-VRG16601</v>
          </cell>
          <cell r="G2346">
            <v>45292</v>
          </cell>
        </row>
        <row r="2347">
          <cell r="C2347" t="str">
            <v>TL</v>
          </cell>
          <cell r="D2347" t="str">
            <v>Enterprise</v>
          </cell>
        </row>
        <row r="2348">
          <cell r="C2348" t="str">
            <v>USD</v>
          </cell>
          <cell r="D2348" t="str">
            <v>Enterprise</v>
          </cell>
          <cell r="G2348">
            <v>45292</v>
          </cell>
        </row>
        <row r="2349">
          <cell r="C2349" t="str">
            <v>EUR</v>
          </cell>
          <cell r="D2349" t="str">
            <v>Enterprise</v>
          </cell>
        </row>
        <row r="2350">
          <cell r="C2350" t="str">
            <v>Kur Sabitleme</v>
          </cell>
          <cell r="D2350" t="str">
            <v>Enterprise</v>
          </cell>
        </row>
        <row r="2351">
          <cell r="C2351" t="str">
            <v>IRMAK SAYA TRİKO SAN. VE TİC.LTD.ŞTİ.</v>
          </cell>
          <cell r="D2351" t="str">
            <v>SMB</v>
          </cell>
          <cell r="E2351" t="str">
            <v>SERBAY YAZILIM VE DANIŞMANLIK TİCARET LİMİTED ŞİRK</v>
          </cell>
          <cell r="F2351" t="str">
            <v>A-MB732</v>
          </cell>
          <cell r="G2351">
            <v>45408</v>
          </cell>
        </row>
        <row r="2352">
          <cell r="C2352" t="str">
            <v>TL</v>
          </cell>
          <cell r="D2352" t="str">
            <v>SMB</v>
          </cell>
        </row>
        <row r="2353">
          <cell r="C2353" t="str">
            <v>USD</v>
          </cell>
          <cell r="D2353" t="str">
            <v>SMB</v>
          </cell>
          <cell r="G2353">
            <v>45408</v>
          </cell>
        </row>
        <row r="2354">
          <cell r="C2354" t="str">
            <v>EUR</v>
          </cell>
          <cell r="D2354" t="str">
            <v>SMB</v>
          </cell>
        </row>
        <row r="2355">
          <cell r="C2355" t="str">
            <v>Kur Sabitleme</v>
          </cell>
          <cell r="D2355" t="str">
            <v>SMB</v>
          </cell>
        </row>
        <row r="2356">
          <cell r="C2356" t="str">
            <v>CNR HOLDİNG A.Ş.</v>
          </cell>
          <cell r="D2356" t="str">
            <v>SMB</v>
          </cell>
          <cell r="E2356">
            <v>0</v>
          </cell>
          <cell r="F2356" t="str">
            <v>A-VRG1426</v>
          </cell>
          <cell r="G2356">
            <v>45411</v>
          </cell>
        </row>
        <row r="2357">
          <cell r="C2357" t="str">
            <v>TL</v>
          </cell>
          <cell r="D2357" t="str">
            <v>SMB</v>
          </cell>
        </row>
        <row r="2358">
          <cell r="C2358" t="str">
            <v>USD</v>
          </cell>
          <cell r="D2358" t="str">
            <v>SMB</v>
          </cell>
          <cell r="G2358">
            <v>45411</v>
          </cell>
        </row>
        <row r="2359">
          <cell r="C2359" t="str">
            <v>USD</v>
          </cell>
          <cell r="D2359" t="str">
            <v>SMB</v>
          </cell>
          <cell r="G2359">
            <v>45622</v>
          </cell>
        </row>
        <row r="2360">
          <cell r="C2360" t="str">
            <v>EUR</v>
          </cell>
          <cell r="D2360" t="str">
            <v>SMB</v>
          </cell>
        </row>
        <row r="2361">
          <cell r="C2361" t="str">
            <v>Kur Sabitleme</v>
          </cell>
          <cell r="D2361" t="str">
            <v>SMB</v>
          </cell>
        </row>
        <row r="2362">
          <cell r="C2362" t="str">
            <v>Mastcolor Plastik San Ve Tic Ltd Şti</v>
          </cell>
          <cell r="D2362" t="str">
            <v>SMB</v>
          </cell>
          <cell r="E2362" t="str">
            <v>SHERPA YAZILIM EĞİTİM VE FİNANSAL DAN.TİC.LTD.ŞTİ.</v>
          </cell>
          <cell r="F2362" t="str">
            <v>…..</v>
          </cell>
          <cell r="G2362">
            <v>45412</v>
          </cell>
        </row>
        <row r="2363">
          <cell r="C2363" t="str">
            <v>TL</v>
          </cell>
          <cell r="D2363" t="str">
            <v>SMB</v>
          </cell>
        </row>
        <row r="2364">
          <cell r="C2364" t="str">
            <v>USD</v>
          </cell>
          <cell r="D2364" t="str">
            <v>SMB</v>
          </cell>
          <cell r="G2364">
            <v>45412</v>
          </cell>
        </row>
        <row r="2365">
          <cell r="C2365" t="str">
            <v>EUR</v>
          </cell>
          <cell r="D2365" t="str">
            <v>SMB</v>
          </cell>
        </row>
        <row r="2366">
          <cell r="C2366" t="str">
            <v>Kur Sabitleme</v>
          </cell>
          <cell r="D2366" t="str">
            <v>SMB</v>
          </cell>
        </row>
        <row r="2367">
          <cell r="C2367" t="str">
            <v>MFK TEKNOLOJİ VE OTOMASYON</v>
          </cell>
          <cell r="D2367" t="str">
            <v>SMB</v>
          </cell>
          <cell r="E2367" t="str">
            <v>SERBAY YAZILIM VE DANIŞMANLIK TİCARET LİMİTED ŞİRK</v>
          </cell>
          <cell r="F2367" t="str">
            <v>A-MB734</v>
          </cell>
          <cell r="G2367">
            <v>45412</v>
          </cell>
        </row>
        <row r="2368">
          <cell r="C2368" t="str">
            <v>TL</v>
          </cell>
          <cell r="D2368" t="str">
            <v>SMB</v>
          </cell>
        </row>
        <row r="2369">
          <cell r="C2369" t="str">
            <v>USD</v>
          </cell>
          <cell r="D2369" t="str">
            <v>SMB</v>
          </cell>
          <cell r="G2369">
            <v>45412</v>
          </cell>
        </row>
        <row r="2370">
          <cell r="C2370" t="str">
            <v>EUR</v>
          </cell>
          <cell r="D2370" t="str">
            <v>SMB</v>
          </cell>
        </row>
        <row r="2371">
          <cell r="C2371" t="str">
            <v>Kur Sabitleme</v>
          </cell>
          <cell r="D2371" t="str">
            <v>SMB</v>
          </cell>
        </row>
        <row r="2372">
          <cell r="C2372" t="str">
            <v>ÖZSEÇKİN PLASTİK SANAYİ VE TİCARET LİMİTED ŞİRKETİ</v>
          </cell>
          <cell r="D2372" t="str">
            <v>SMB</v>
          </cell>
          <cell r="E2372" t="str">
            <v>META YAZILIM BİLGİ İŞLEM TEKNOLOJİLERİ VE DANIŞMAN</v>
          </cell>
          <cell r="F2372" t="str">
            <v>A-MB733</v>
          </cell>
          <cell r="G2372">
            <v>45386</v>
          </cell>
        </row>
        <row r="2373">
          <cell r="C2373" t="str">
            <v>TL</v>
          </cell>
          <cell r="D2373" t="str">
            <v>SMB</v>
          </cell>
        </row>
        <row r="2374">
          <cell r="C2374" t="str">
            <v>USD</v>
          </cell>
          <cell r="D2374" t="str">
            <v>SMB</v>
          </cell>
          <cell r="G2374">
            <v>45386</v>
          </cell>
        </row>
        <row r="2375">
          <cell r="C2375" t="str">
            <v>EUR</v>
          </cell>
          <cell r="D2375" t="str">
            <v>SMB</v>
          </cell>
        </row>
        <row r="2376">
          <cell r="C2376" t="str">
            <v>Kur Sabitleme</v>
          </cell>
          <cell r="D2376" t="str">
            <v>SMB</v>
          </cell>
        </row>
        <row r="2377">
          <cell r="C2377" t="str">
            <v>HANMEY TARIM ÜRÜNLERİ SANAYİ VE TİC.LTD.ŞTİ</v>
          </cell>
          <cell r="D2377" t="str">
            <v>SMB</v>
          </cell>
          <cell r="E2377" t="str">
            <v>AKNET BİLGİSAYAR - İBRAHİM KARAKUŞ</v>
          </cell>
          <cell r="F2377" t="str">
            <v>A-MB736</v>
          </cell>
          <cell r="G2377">
            <v>45425</v>
          </cell>
        </row>
        <row r="2378">
          <cell r="C2378" t="str">
            <v>TL</v>
          </cell>
          <cell r="D2378" t="str">
            <v>SMB</v>
          </cell>
        </row>
        <row r="2379">
          <cell r="C2379" t="str">
            <v>USD</v>
          </cell>
          <cell r="D2379" t="str">
            <v>SMB</v>
          </cell>
          <cell r="G2379">
            <v>45425</v>
          </cell>
        </row>
        <row r="2380">
          <cell r="C2380" t="str">
            <v>EUR</v>
          </cell>
          <cell r="D2380" t="str">
            <v>SMB</v>
          </cell>
        </row>
        <row r="2381">
          <cell r="C2381" t="str">
            <v>Kur Sabitleme</v>
          </cell>
          <cell r="D2381" t="str">
            <v>SMB</v>
          </cell>
        </row>
        <row r="2382">
          <cell r="C2382" t="str">
            <v>ASN FORKLİFT İŞ MAKİNALARI SAN.VE TİC.LTD.ŞTİ</v>
          </cell>
          <cell r="D2382" t="str">
            <v>SMB</v>
          </cell>
          <cell r="E2382" t="str">
            <v>Gotech Erp Yazılım San. Tic. A.Ş.</v>
          </cell>
          <cell r="F2382" t="str">
            <v>A-MB711</v>
          </cell>
          <cell r="G2382">
            <v>45421</v>
          </cell>
        </row>
        <row r="2383">
          <cell r="C2383" t="str">
            <v>TL</v>
          </cell>
          <cell r="D2383" t="str">
            <v>SMB</v>
          </cell>
        </row>
        <row r="2384">
          <cell r="C2384" t="str">
            <v>USD</v>
          </cell>
          <cell r="D2384" t="str">
            <v>SMB</v>
          </cell>
          <cell r="G2384">
            <v>45421</v>
          </cell>
        </row>
        <row r="2385">
          <cell r="C2385" t="str">
            <v>EUR</v>
          </cell>
          <cell r="D2385" t="str">
            <v>SMB</v>
          </cell>
        </row>
        <row r="2386">
          <cell r="C2386" t="str">
            <v>Kur Sabitleme</v>
          </cell>
          <cell r="D2386" t="str">
            <v>SMB</v>
          </cell>
        </row>
        <row r="2387">
          <cell r="C2387" t="str">
            <v>PETROLİGHT KİMYA SANAYİ VE DIŞ TİC.LTD.ŞTİ</v>
          </cell>
          <cell r="D2387" t="str">
            <v>SMB</v>
          </cell>
          <cell r="E2387" t="str">
            <v>NOKBİL YAZILIM HİZMETLERİ SAN.TİC.LTD.ŞTİ</v>
          </cell>
          <cell r="F2387" t="str">
            <v>A-MB737</v>
          </cell>
          <cell r="G2387">
            <v>45415</v>
          </cell>
        </row>
        <row r="2388">
          <cell r="C2388" t="str">
            <v>TL</v>
          </cell>
          <cell r="D2388" t="str">
            <v>SMB</v>
          </cell>
        </row>
        <row r="2389">
          <cell r="C2389" t="str">
            <v>USD</v>
          </cell>
          <cell r="D2389" t="str">
            <v>SMB</v>
          </cell>
          <cell r="G2389">
            <v>45415</v>
          </cell>
        </row>
        <row r="2390">
          <cell r="C2390" t="str">
            <v>EUR</v>
          </cell>
          <cell r="D2390" t="str">
            <v>SMB</v>
          </cell>
        </row>
        <row r="2391">
          <cell r="C2391" t="str">
            <v>Kur Sabitleme</v>
          </cell>
          <cell r="D2391" t="str">
            <v>SMB</v>
          </cell>
        </row>
        <row r="2392">
          <cell r="C2392" t="str">
            <v>ENVAWİSE LOJİSTİK ANONİM ŞİRKETİ</v>
          </cell>
          <cell r="D2392" t="str">
            <v>SMB</v>
          </cell>
          <cell r="E2392" t="str">
            <v>Hündür Bilişim Teknolojileri Yaz. ve Dan.Hiz.Tic.L</v>
          </cell>
          <cell r="F2392" t="str">
            <v>A-MB627</v>
          </cell>
          <cell r="G2392">
            <v>45434</v>
          </cell>
        </row>
        <row r="2393">
          <cell r="C2393" t="str">
            <v>TL</v>
          </cell>
          <cell r="D2393" t="str">
            <v>SMB</v>
          </cell>
        </row>
        <row r="2394">
          <cell r="C2394" t="str">
            <v>USD</v>
          </cell>
          <cell r="D2394" t="str">
            <v>SMB</v>
          </cell>
          <cell r="G2394">
            <v>45434</v>
          </cell>
        </row>
        <row r="2395">
          <cell r="C2395" t="str">
            <v>EUR</v>
          </cell>
          <cell r="D2395" t="str">
            <v>SMB</v>
          </cell>
        </row>
        <row r="2396">
          <cell r="C2396" t="str">
            <v>Kur Sabitleme</v>
          </cell>
          <cell r="D2396" t="str">
            <v>SMB</v>
          </cell>
        </row>
        <row r="2397">
          <cell r="C2397" t="str">
            <v>ÜLGEN DENİZCİLİK VE LOJİSTİK SANAYİ TİCARET ANONİM</v>
          </cell>
          <cell r="D2397" t="str">
            <v>SMB</v>
          </cell>
          <cell r="E2397" t="str">
            <v xml:space="preserve">ARTEK YAZILIMEVİ DAN. HİZ. TİC. LTD. ŞTİ. </v>
          </cell>
          <cell r="F2397" t="str">
            <v>A-MB739</v>
          </cell>
          <cell r="G2397">
            <v>45435</v>
          </cell>
        </row>
        <row r="2398">
          <cell r="C2398" t="str">
            <v>TL</v>
          </cell>
          <cell r="D2398" t="str">
            <v>SMB</v>
          </cell>
        </row>
        <row r="2399">
          <cell r="C2399" t="str">
            <v>USD</v>
          </cell>
          <cell r="D2399" t="str">
            <v>SMB</v>
          </cell>
          <cell r="G2399">
            <v>45435</v>
          </cell>
        </row>
        <row r="2400">
          <cell r="C2400" t="str">
            <v>USD</v>
          </cell>
          <cell r="D2400" t="str">
            <v>SMB</v>
          </cell>
          <cell r="G2400">
            <v>45504</v>
          </cell>
        </row>
        <row r="2401">
          <cell r="C2401" t="str">
            <v>EUR</v>
          </cell>
          <cell r="D2401" t="str">
            <v>SMB</v>
          </cell>
        </row>
        <row r="2402">
          <cell r="C2402" t="str">
            <v>Kur Sabitleme</v>
          </cell>
          <cell r="D2402" t="str">
            <v>SMB</v>
          </cell>
        </row>
        <row r="2403">
          <cell r="C2403" t="str">
            <v>E SİM TELEKOMÜNİKASYON LİMİTED SİRKETİ</v>
          </cell>
          <cell r="D2403" t="str">
            <v>SMB</v>
          </cell>
          <cell r="E2403" t="str">
            <v>HAZİRAN TEKNOLOJİ YAZILIM VE BİLİŞİM A.Ş.</v>
          </cell>
          <cell r="F2403" t="str">
            <v>A-MB741</v>
          </cell>
          <cell r="G2403">
            <v>45415</v>
          </cell>
        </row>
        <row r="2404">
          <cell r="C2404" t="str">
            <v>TL</v>
          </cell>
          <cell r="D2404" t="str">
            <v>SMB</v>
          </cell>
        </row>
        <row r="2405">
          <cell r="C2405" t="str">
            <v>USD</v>
          </cell>
          <cell r="D2405" t="str">
            <v>SMB</v>
          </cell>
          <cell r="G2405">
            <v>45415</v>
          </cell>
        </row>
        <row r="2406">
          <cell r="C2406" t="str">
            <v>USD</v>
          </cell>
          <cell r="D2406" t="str">
            <v>SMB</v>
          </cell>
          <cell r="G2406">
            <v>45650</v>
          </cell>
        </row>
        <row r="2407">
          <cell r="C2407" t="str">
            <v>USD</v>
          </cell>
          <cell r="D2407" t="str">
            <v>SMB</v>
          </cell>
        </row>
        <row r="2408">
          <cell r="C2408" t="str">
            <v>EUR</v>
          </cell>
          <cell r="D2408" t="str">
            <v>SMB</v>
          </cell>
        </row>
        <row r="2409">
          <cell r="C2409" t="str">
            <v>Kur Sabitleme</v>
          </cell>
          <cell r="D2409" t="str">
            <v>SMB</v>
          </cell>
        </row>
        <row r="2410">
          <cell r="C2410" t="str">
            <v>PRİME PORTFÖY YÖNETİMİ ANONİM ŞİRKETİ</v>
          </cell>
          <cell r="D2410" t="str">
            <v>SMB</v>
          </cell>
          <cell r="E2410" t="str">
            <v>ABİDA BİLİŞİM TEKNOLOJİLERİ DANIŞMANLIK AŞ.</v>
          </cell>
          <cell r="F2410" t="str">
            <v>A-MB745</v>
          </cell>
          <cell r="G2410">
            <v>45439</v>
          </cell>
        </row>
        <row r="2411">
          <cell r="C2411" t="str">
            <v>TL</v>
          </cell>
          <cell r="D2411" t="str">
            <v>SMB</v>
          </cell>
        </row>
        <row r="2412">
          <cell r="C2412" t="str">
            <v>USD</v>
          </cell>
          <cell r="D2412" t="str">
            <v>SMB</v>
          </cell>
          <cell r="G2412">
            <v>45439</v>
          </cell>
        </row>
        <row r="2413">
          <cell r="C2413" t="str">
            <v>EUR</v>
          </cell>
          <cell r="D2413" t="str">
            <v>SMB</v>
          </cell>
        </row>
        <row r="2414">
          <cell r="C2414" t="str">
            <v>Kur Sabitleme</v>
          </cell>
          <cell r="D2414" t="str">
            <v>SMB</v>
          </cell>
        </row>
        <row r="2415">
          <cell r="C2415" t="str">
            <v>GÜNAY MOTORLU ARAÇLAR PAZARLAMA VE TİC. LTD. ŞTİ.</v>
          </cell>
          <cell r="D2415" t="str">
            <v>SMB</v>
          </cell>
          <cell r="E2415" t="str">
            <v>DBT DORA BİLİŞİM TEKNOLOJİLERİ</v>
          </cell>
          <cell r="F2415" t="str">
            <v>A-MB743</v>
          </cell>
          <cell r="G2415">
            <v>45439</v>
          </cell>
        </row>
        <row r="2416">
          <cell r="C2416" t="str">
            <v>TL</v>
          </cell>
          <cell r="D2416" t="str">
            <v>SMB</v>
          </cell>
        </row>
        <row r="2417">
          <cell r="C2417" t="str">
            <v>USD</v>
          </cell>
          <cell r="D2417" t="str">
            <v>SMB</v>
          </cell>
          <cell r="G2417">
            <v>45439</v>
          </cell>
        </row>
        <row r="2418">
          <cell r="C2418" t="str">
            <v>EUR</v>
          </cell>
          <cell r="D2418" t="str">
            <v>SMB</v>
          </cell>
        </row>
        <row r="2419">
          <cell r="C2419" t="str">
            <v>Kur Sabitleme</v>
          </cell>
          <cell r="D2419" t="str">
            <v>SMB</v>
          </cell>
        </row>
        <row r="2420">
          <cell r="C2420" t="str">
            <v>ÇAĞBERK LOJİSTİK PAZARLAMA İÇ VE DIŞ TİCARET A.Ş</v>
          </cell>
          <cell r="D2420" t="str">
            <v>SMB</v>
          </cell>
          <cell r="E2420" t="str">
            <v>Hündür Bilişim Teknolojileri Yaz. ve Dan.Hiz.Tic.L</v>
          </cell>
          <cell r="F2420" t="str">
            <v>A-MB627</v>
          </cell>
          <cell r="G2420">
            <v>45442</v>
          </cell>
        </row>
        <row r="2421">
          <cell r="C2421" t="str">
            <v>TL</v>
          </cell>
          <cell r="D2421" t="str">
            <v>SMB</v>
          </cell>
        </row>
        <row r="2422">
          <cell r="C2422" t="str">
            <v>USD</v>
          </cell>
          <cell r="D2422" t="str">
            <v>SMB</v>
          </cell>
          <cell r="G2422">
            <v>45442</v>
          </cell>
        </row>
        <row r="2423">
          <cell r="C2423" t="str">
            <v>EUR</v>
          </cell>
          <cell r="D2423" t="str">
            <v>SMB</v>
          </cell>
        </row>
        <row r="2424">
          <cell r="C2424" t="str">
            <v>Kur Sabitleme</v>
          </cell>
          <cell r="D2424" t="str">
            <v>SMB</v>
          </cell>
        </row>
        <row r="2425">
          <cell r="C2425" t="str">
            <v>ŞAHİNLER MOTORLU ARAÇLAR SAN.VE TİC. A.Ş</v>
          </cell>
          <cell r="D2425" t="str">
            <v>SMB</v>
          </cell>
          <cell r="E2425" t="str">
            <v>İNFOTÜRK BİLGİSAYAR ELEKTRONİK HİZ. SAN. VE TİC. L</v>
          </cell>
          <cell r="F2425" t="str">
            <v>A-MB404</v>
          </cell>
          <cell r="G2425">
            <v>45435</v>
          </cell>
        </row>
        <row r="2426">
          <cell r="C2426" t="str">
            <v>TL</v>
          </cell>
          <cell r="D2426" t="str">
            <v>SMB</v>
          </cell>
        </row>
        <row r="2427">
          <cell r="C2427" t="str">
            <v>USD</v>
          </cell>
          <cell r="D2427" t="str">
            <v>SMB</v>
          </cell>
          <cell r="G2427">
            <v>45435</v>
          </cell>
        </row>
        <row r="2428">
          <cell r="C2428" t="str">
            <v>EUR</v>
          </cell>
          <cell r="D2428" t="str">
            <v>SMB</v>
          </cell>
        </row>
        <row r="2429">
          <cell r="C2429" t="str">
            <v>Kur Sabitleme</v>
          </cell>
          <cell r="D2429" t="str">
            <v>SMB</v>
          </cell>
        </row>
        <row r="2430">
          <cell r="C2430" t="str">
            <v>4D ENDÜSTRİYEL ÇÖZÜMLER SANAYİ VE TİCARET LİMİTED</v>
          </cell>
          <cell r="D2430" t="str">
            <v>SMB</v>
          </cell>
          <cell r="E2430" t="str">
            <v>SHERPA YAZILIM EĞİTİM VE FİNANSAL DAN.TİC.LTD.ŞTİ.</v>
          </cell>
          <cell r="F2430" t="str">
            <v>A-MB742</v>
          </cell>
          <cell r="G2430">
            <v>45432</v>
          </cell>
        </row>
        <row r="2431">
          <cell r="C2431" t="str">
            <v>TL</v>
          </cell>
          <cell r="D2431" t="str">
            <v>SMB</v>
          </cell>
        </row>
        <row r="2432">
          <cell r="C2432" t="str">
            <v>USD</v>
          </cell>
          <cell r="D2432" t="str">
            <v>SMB</v>
          </cell>
          <cell r="G2432">
            <v>45432</v>
          </cell>
        </row>
        <row r="2433">
          <cell r="C2433" t="str">
            <v>EUR</v>
          </cell>
          <cell r="D2433" t="str">
            <v>SMB</v>
          </cell>
        </row>
        <row r="2434">
          <cell r="C2434" t="str">
            <v>Kur Sabitleme</v>
          </cell>
          <cell r="D2434" t="str">
            <v>SMB</v>
          </cell>
        </row>
        <row r="2435">
          <cell r="C2435" t="str">
            <v>BAUZADE YAPI MALZEMELERİ SANAYİ VE TİCARET LİMİTED</v>
          </cell>
          <cell r="D2435" t="str">
            <v>SMB</v>
          </cell>
          <cell r="E2435" t="str">
            <v>VENÜS BİLİŞİM TEKNOLOJİ ve YAZILIM ANONİM ŞİRKETİ</v>
          </cell>
          <cell r="F2435" t="str">
            <v>A-MB744</v>
          </cell>
          <cell r="G2435">
            <v>45439</v>
          </cell>
        </row>
        <row r="2436">
          <cell r="C2436" t="str">
            <v>TL</v>
          </cell>
          <cell r="D2436" t="str">
            <v>SMB</v>
          </cell>
        </row>
        <row r="2437">
          <cell r="C2437" t="str">
            <v>USD</v>
          </cell>
          <cell r="D2437" t="str">
            <v>SMB</v>
          </cell>
          <cell r="G2437">
            <v>45439</v>
          </cell>
        </row>
        <row r="2438">
          <cell r="C2438" t="str">
            <v>EUR</v>
          </cell>
          <cell r="D2438" t="str">
            <v>SMB</v>
          </cell>
        </row>
        <row r="2439">
          <cell r="C2439" t="str">
            <v>Kur Sabitleme</v>
          </cell>
          <cell r="D2439" t="str">
            <v>SMB</v>
          </cell>
        </row>
        <row r="2440">
          <cell r="C2440" t="str">
            <v>KATRE ISI SAN.TİC.A.Ş.</v>
          </cell>
          <cell r="D2440" t="str">
            <v>SMB</v>
          </cell>
          <cell r="E2440">
            <v>0</v>
          </cell>
          <cell r="F2440" t="str">
            <v>A-VRG2412</v>
          </cell>
          <cell r="G2440">
            <v>45439</v>
          </cell>
        </row>
        <row r="2441">
          <cell r="C2441" t="str">
            <v>TL</v>
          </cell>
          <cell r="D2441" t="str">
            <v>SMB</v>
          </cell>
        </row>
        <row r="2442">
          <cell r="C2442" t="str">
            <v>USD</v>
          </cell>
          <cell r="D2442" t="str">
            <v>SMB</v>
          </cell>
          <cell r="G2442">
            <v>45439</v>
          </cell>
        </row>
        <row r="2443">
          <cell r="C2443" t="str">
            <v>EUR</v>
          </cell>
          <cell r="D2443" t="str">
            <v>SMB</v>
          </cell>
        </row>
        <row r="2444">
          <cell r="C2444" t="str">
            <v>Kur Sabitleme</v>
          </cell>
          <cell r="D2444" t="str">
            <v>SMB</v>
          </cell>
        </row>
        <row r="2445">
          <cell r="C2445" t="str">
            <v>İWİS TAHRİK SİSTEMLERİ SAN.TİC.LTD.ŞTİ</v>
          </cell>
          <cell r="D2445" t="str">
            <v>SMB</v>
          </cell>
          <cell r="E2445" t="str">
            <v>TİB YAZILIM VE DONANIM EĞİTİM HİZMETLERİ</v>
          </cell>
          <cell r="F2445" t="str">
            <v>A-MB637</v>
          </cell>
          <cell r="G2445">
            <v>45443</v>
          </cell>
        </row>
        <row r="2446">
          <cell r="C2446" t="str">
            <v>TL</v>
          </cell>
          <cell r="D2446" t="str">
            <v>SMB</v>
          </cell>
        </row>
        <row r="2447">
          <cell r="C2447" t="str">
            <v>USD</v>
          </cell>
          <cell r="D2447" t="str">
            <v>SMB</v>
          </cell>
          <cell r="G2447">
            <v>45443</v>
          </cell>
        </row>
        <row r="2448">
          <cell r="C2448" t="str">
            <v>USD</v>
          </cell>
          <cell r="D2448" t="str">
            <v>SMB</v>
          </cell>
          <cell r="G2448">
            <v>45706</v>
          </cell>
        </row>
        <row r="2449">
          <cell r="C2449" t="str">
            <v>EUR</v>
          </cell>
          <cell r="D2449" t="str">
            <v>SMB</v>
          </cell>
        </row>
        <row r="2450">
          <cell r="C2450" t="str">
            <v>Kur Sabitleme</v>
          </cell>
          <cell r="D2450" t="str">
            <v>SMB</v>
          </cell>
        </row>
        <row r="2451">
          <cell r="C2451" t="str">
            <v>SENAMED</v>
          </cell>
          <cell r="D2451" t="str">
            <v>SMB</v>
          </cell>
          <cell r="E2451" t="str">
            <v>TNC YAZILIM - TUNCAY TÜRKOĞLU</v>
          </cell>
          <cell r="F2451" t="str">
            <v>A-MB696</v>
          </cell>
          <cell r="G2451">
            <v>45442</v>
          </cell>
        </row>
        <row r="2452">
          <cell r="C2452" t="str">
            <v>TL</v>
          </cell>
          <cell r="D2452" t="str">
            <v>SMB</v>
          </cell>
        </row>
        <row r="2453">
          <cell r="C2453" t="str">
            <v>USD</v>
          </cell>
          <cell r="D2453" t="str">
            <v>SMB</v>
          </cell>
          <cell r="G2453">
            <v>45442</v>
          </cell>
        </row>
        <row r="2454">
          <cell r="C2454" t="str">
            <v>EUR</v>
          </cell>
          <cell r="D2454" t="str">
            <v>SMB</v>
          </cell>
        </row>
        <row r="2455">
          <cell r="C2455" t="str">
            <v>Kur Sabitleme</v>
          </cell>
          <cell r="D2455" t="str">
            <v>SMB</v>
          </cell>
        </row>
        <row r="2456">
          <cell r="C2456" t="str">
            <v>TOGG</v>
          </cell>
          <cell r="D2456" t="str">
            <v>Enterprise</v>
          </cell>
          <cell r="E2456">
            <v>0</v>
          </cell>
          <cell r="F2456" t="str">
            <v>A-MB761</v>
          </cell>
          <cell r="G2456">
            <v>45443</v>
          </cell>
        </row>
        <row r="2457">
          <cell r="C2457" t="str">
            <v>TL</v>
          </cell>
          <cell r="D2457" t="str">
            <v>Enterprise</v>
          </cell>
          <cell r="G2457">
            <v>45443</v>
          </cell>
        </row>
        <row r="2458">
          <cell r="C2458" t="str">
            <v>USD</v>
          </cell>
          <cell r="D2458" t="str">
            <v>Enterprise</v>
          </cell>
        </row>
        <row r="2459">
          <cell r="C2459" t="str">
            <v>EUR</v>
          </cell>
          <cell r="D2459" t="str">
            <v>Enterprise</v>
          </cell>
        </row>
        <row r="2460">
          <cell r="C2460" t="str">
            <v>Kur Sabitleme</v>
          </cell>
          <cell r="D2460" t="str">
            <v>Enterprise</v>
          </cell>
        </row>
        <row r="2461">
          <cell r="C2461" t="str">
            <v>IVC ENDUSTRIYEL URUNLER VANA</v>
          </cell>
          <cell r="D2461" t="str">
            <v>SMB</v>
          </cell>
          <cell r="E2461" t="str">
            <v>BTI BİLİŞİM DANIŞMANLIK VE YAZILIM VE TİC. LTD. ŞT</v>
          </cell>
          <cell r="F2461" t="str">
            <v>A-MB749</v>
          </cell>
          <cell r="G2461">
            <v>45468</v>
          </cell>
        </row>
        <row r="2462">
          <cell r="C2462" t="str">
            <v>TL</v>
          </cell>
          <cell r="D2462" t="str">
            <v>SMB</v>
          </cell>
          <cell r="G2462">
            <v>45468</v>
          </cell>
        </row>
        <row r="2463">
          <cell r="C2463" t="str">
            <v>USD</v>
          </cell>
          <cell r="D2463" t="str">
            <v>SMB</v>
          </cell>
        </row>
        <row r="2464">
          <cell r="C2464" t="str">
            <v>EUR</v>
          </cell>
          <cell r="D2464" t="str">
            <v>SMB</v>
          </cell>
        </row>
        <row r="2465">
          <cell r="C2465" t="str">
            <v>Kur Sabitleme</v>
          </cell>
          <cell r="D2465" t="str">
            <v>SMB</v>
          </cell>
        </row>
        <row r="2466">
          <cell r="C2466" t="str">
            <v>ZEBRA TEKSTİL İNŞAAT SANAYİ VE TİCARET LİMİTED ŞİR</v>
          </cell>
          <cell r="D2466" t="str">
            <v>SMB</v>
          </cell>
          <cell r="E2466" t="str">
            <v>BTI BİLİŞİM DANIŞMANLIK VE YAZILIM VE TİC. LTD. ŞT</v>
          </cell>
          <cell r="F2466" t="str">
            <v>A-MB748</v>
          </cell>
          <cell r="G2466">
            <v>45468</v>
          </cell>
        </row>
        <row r="2467">
          <cell r="C2467" t="str">
            <v>TL</v>
          </cell>
          <cell r="D2467" t="str">
            <v>SMB</v>
          </cell>
        </row>
        <row r="2468">
          <cell r="C2468" t="str">
            <v>USD</v>
          </cell>
          <cell r="D2468" t="str">
            <v>SMB</v>
          </cell>
          <cell r="G2468">
            <v>45468</v>
          </cell>
        </row>
        <row r="2469">
          <cell r="C2469" t="str">
            <v>EUR</v>
          </cell>
          <cell r="D2469" t="str">
            <v>SMB</v>
          </cell>
        </row>
        <row r="2470">
          <cell r="C2470" t="str">
            <v>Kur Sabitleme</v>
          </cell>
          <cell r="D2470" t="str">
            <v>SMB</v>
          </cell>
        </row>
        <row r="2471">
          <cell r="C2471" t="str">
            <v>BİGADİÇ ÜNAL GIDA TUR.SU ÜRN.HAY.KUY.DAYANIKLI TÜK</v>
          </cell>
          <cell r="D2471" t="str">
            <v>SMB</v>
          </cell>
          <cell r="E2471" t="str">
            <v>APİ TEKNİK - MERT YURTSEVER</v>
          </cell>
          <cell r="F2471" t="str">
            <v>A-MB747</v>
          </cell>
          <cell r="G2471">
            <v>45468</v>
          </cell>
        </row>
        <row r="2472">
          <cell r="C2472" t="str">
            <v>TL</v>
          </cell>
          <cell r="D2472" t="str">
            <v>SMB</v>
          </cell>
        </row>
        <row r="2473">
          <cell r="C2473" t="str">
            <v>USD</v>
          </cell>
          <cell r="D2473" t="str">
            <v>SMB</v>
          </cell>
          <cell r="G2473">
            <v>45468</v>
          </cell>
        </row>
        <row r="2474">
          <cell r="C2474" t="str">
            <v>EUR</v>
          </cell>
          <cell r="D2474" t="str">
            <v>SMB</v>
          </cell>
        </row>
        <row r="2475">
          <cell r="C2475" t="str">
            <v>Kur Sabitleme</v>
          </cell>
          <cell r="D2475" t="str">
            <v>SMB</v>
          </cell>
        </row>
        <row r="2476">
          <cell r="C2476" t="str">
            <v>BAYEDİ A.Ş</v>
          </cell>
          <cell r="D2476" t="str">
            <v>SMB</v>
          </cell>
          <cell r="E2476" t="str">
            <v>ARTWARE BILIŞIM TEKNOLOJILERI &amp; YAZILIM DAN.</v>
          </cell>
          <cell r="F2476" t="str">
            <v>A-MB661</v>
          </cell>
          <cell r="G2476">
            <v>45474</v>
          </cell>
        </row>
        <row r="2477">
          <cell r="C2477" t="str">
            <v>TL</v>
          </cell>
          <cell r="D2477" t="str">
            <v>SMB</v>
          </cell>
        </row>
        <row r="2478">
          <cell r="C2478" t="str">
            <v>USD</v>
          </cell>
          <cell r="D2478" t="str">
            <v>SMB</v>
          </cell>
          <cell r="G2478">
            <v>45474</v>
          </cell>
        </row>
        <row r="2479">
          <cell r="C2479" t="str">
            <v>EUR</v>
          </cell>
          <cell r="D2479" t="str">
            <v>SMB</v>
          </cell>
        </row>
        <row r="2480">
          <cell r="C2480" t="str">
            <v>Kur Sabitleme</v>
          </cell>
          <cell r="D2480" t="str">
            <v>SMB</v>
          </cell>
        </row>
        <row r="2481">
          <cell r="C2481" t="str">
            <v>KARO PORSELEN SERAMİK PAZARLAMA TİC.A.Ş</v>
          </cell>
          <cell r="D2481" t="str">
            <v>SMB</v>
          </cell>
          <cell r="E2481" t="str">
            <v>Mipos Teknoloji</v>
          </cell>
          <cell r="F2481" t="str">
            <v>A-MB750</v>
          </cell>
          <cell r="G2481">
            <v>45478</v>
          </cell>
        </row>
        <row r="2482">
          <cell r="C2482" t="str">
            <v>TL</v>
          </cell>
          <cell r="D2482" t="str">
            <v>SMB</v>
          </cell>
        </row>
        <row r="2483">
          <cell r="C2483" t="str">
            <v>USD</v>
          </cell>
          <cell r="D2483" t="str">
            <v>SMB</v>
          </cell>
          <cell r="G2483">
            <v>45478</v>
          </cell>
        </row>
        <row r="2484">
          <cell r="C2484" t="str">
            <v>EUR</v>
          </cell>
          <cell r="D2484" t="str">
            <v>SMB</v>
          </cell>
        </row>
        <row r="2485">
          <cell r="C2485" t="str">
            <v>Kur Sabitleme</v>
          </cell>
          <cell r="D2485" t="str">
            <v>SMB</v>
          </cell>
        </row>
        <row r="2486">
          <cell r="C2486" t="str">
            <v>EGEPAK AMBALAJ GIDA PAKETLEME SAN.VE TİC.LTD.ŞTİ</v>
          </cell>
          <cell r="D2486" t="str">
            <v>SMB</v>
          </cell>
          <cell r="E2486" t="str">
            <v>ARTWARE BILIŞIM TEKNOLOJILERI &amp; YAZILIM DAN.</v>
          </cell>
          <cell r="F2486" t="str">
            <v>A-MB661</v>
          </cell>
          <cell r="G2486">
            <v>45483</v>
          </cell>
        </row>
        <row r="2487">
          <cell r="C2487" t="str">
            <v>TL</v>
          </cell>
          <cell r="D2487" t="str">
            <v>SMB</v>
          </cell>
        </row>
        <row r="2488">
          <cell r="C2488" t="str">
            <v>USD</v>
          </cell>
          <cell r="D2488" t="str">
            <v>SMB</v>
          </cell>
          <cell r="G2488">
            <v>45483</v>
          </cell>
        </row>
        <row r="2489">
          <cell r="C2489" t="str">
            <v>EUR</v>
          </cell>
          <cell r="D2489" t="str">
            <v>SMB</v>
          </cell>
        </row>
        <row r="2490">
          <cell r="C2490" t="str">
            <v>Kur Sabitleme</v>
          </cell>
          <cell r="D2490" t="str">
            <v>SMB</v>
          </cell>
        </row>
        <row r="2491">
          <cell r="C2491" t="str">
            <v>ESENTEKS TEKSTİL SAN. VE TİC. LTD. ŞTİ.</v>
          </cell>
          <cell r="D2491" t="str">
            <v>SMB</v>
          </cell>
          <cell r="E2491" t="str">
            <v>Nrs Danışmanlık</v>
          </cell>
          <cell r="F2491" t="str">
            <v>A-MB754</v>
          </cell>
          <cell r="G2491">
            <v>45489</v>
          </cell>
        </row>
        <row r="2492">
          <cell r="C2492" t="str">
            <v>TL</v>
          </cell>
          <cell r="D2492" t="str">
            <v>SMB</v>
          </cell>
        </row>
        <row r="2493">
          <cell r="C2493" t="str">
            <v>USD</v>
          </cell>
          <cell r="D2493" t="str">
            <v>SMB</v>
          </cell>
          <cell r="G2493">
            <v>45489</v>
          </cell>
        </row>
        <row r="2494">
          <cell r="C2494" t="str">
            <v>EUR</v>
          </cell>
          <cell r="D2494" t="str">
            <v>SMB</v>
          </cell>
        </row>
        <row r="2495">
          <cell r="C2495" t="str">
            <v>Kur Sabitleme</v>
          </cell>
          <cell r="D2495" t="str">
            <v>SMB</v>
          </cell>
        </row>
        <row r="2496">
          <cell r="C2496" t="str">
            <v>PEDAŞ LED AYDINLATMA TEKNOLOJİLERİ A.Ş.</v>
          </cell>
          <cell r="D2496" t="str">
            <v>SMB</v>
          </cell>
          <cell r="E2496" t="str">
            <v>Porto Yazılım</v>
          </cell>
          <cell r="F2496" t="str">
            <v>A-MB752</v>
          </cell>
          <cell r="G2496">
            <v>45468</v>
          </cell>
        </row>
        <row r="2497">
          <cell r="C2497" t="str">
            <v>TL</v>
          </cell>
          <cell r="D2497" t="str">
            <v>SMB</v>
          </cell>
          <cell r="G2497">
            <v>45468</v>
          </cell>
        </row>
        <row r="2498">
          <cell r="C2498" t="str">
            <v>USD</v>
          </cell>
          <cell r="D2498" t="str">
            <v>SMB</v>
          </cell>
        </row>
        <row r="2499">
          <cell r="C2499" t="str">
            <v>EUR</v>
          </cell>
          <cell r="D2499" t="str">
            <v>SMB</v>
          </cell>
        </row>
        <row r="2500">
          <cell r="C2500" t="str">
            <v>Kur Sabitleme</v>
          </cell>
          <cell r="D2500" t="str">
            <v>SMB</v>
          </cell>
        </row>
        <row r="2501">
          <cell r="C2501" t="str">
            <v>İDİLSU TEKS.TUR.İNŞ.TAAH.İTH.İHR.VETİC.LTD.ŞTİ</v>
          </cell>
          <cell r="D2501" t="str">
            <v>SMB</v>
          </cell>
          <cell r="E2501" t="str">
            <v>Dinamik Barkod Otomasyon</v>
          </cell>
          <cell r="F2501" t="str">
            <v>A-MB724</v>
          </cell>
          <cell r="G2501">
            <v>45489</v>
          </cell>
        </row>
        <row r="2502">
          <cell r="C2502" t="str">
            <v>TL</v>
          </cell>
          <cell r="D2502" t="str">
            <v>SMB</v>
          </cell>
        </row>
        <row r="2503">
          <cell r="C2503" t="str">
            <v>USD</v>
          </cell>
          <cell r="D2503" t="str">
            <v>SMB</v>
          </cell>
          <cell r="G2503">
            <v>45489</v>
          </cell>
        </row>
        <row r="2504">
          <cell r="C2504" t="str">
            <v>EUR</v>
          </cell>
          <cell r="D2504" t="str">
            <v>SMB</v>
          </cell>
        </row>
        <row r="2505">
          <cell r="C2505" t="str">
            <v>Kur Sabitleme</v>
          </cell>
          <cell r="D2505" t="str">
            <v>SMB</v>
          </cell>
        </row>
        <row r="2506">
          <cell r="C2506" t="str">
            <v>YEMEK PAY ELEKTRONİK PARA ve ODEME Hiz. A.S.</v>
          </cell>
          <cell r="D2506" t="str">
            <v>Enterprise</v>
          </cell>
          <cell r="E2506">
            <v>0</v>
          </cell>
          <cell r="F2506" t="str">
            <v>A-MB755</v>
          </cell>
          <cell r="G2506">
            <v>45481</v>
          </cell>
        </row>
        <row r="2507">
          <cell r="C2507" t="str">
            <v>TL</v>
          </cell>
          <cell r="D2507" t="str">
            <v>Enterprise</v>
          </cell>
          <cell r="G2507">
            <v>45481</v>
          </cell>
        </row>
        <row r="2508">
          <cell r="C2508" t="str">
            <v>USD</v>
          </cell>
          <cell r="D2508" t="str">
            <v>Enterprise</v>
          </cell>
        </row>
        <row r="2509">
          <cell r="C2509" t="str">
            <v>EUR</v>
          </cell>
          <cell r="D2509" t="str">
            <v>Enterprise</v>
          </cell>
        </row>
        <row r="2510">
          <cell r="C2510" t="str">
            <v>Kur Sabitleme</v>
          </cell>
          <cell r="D2510" t="str">
            <v>Enterprise</v>
          </cell>
        </row>
        <row r="2511">
          <cell r="C2511" t="str">
            <v>KALE JET MOTORLARI</v>
          </cell>
          <cell r="D2511" t="str">
            <v>Enterprise</v>
          </cell>
          <cell r="E2511">
            <v>0</v>
          </cell>
          <cell r="F2511" t="str">
            <v>A-MB795</v>
          </cell>
          <cell r="G2511">
            <v>45449</v>
          </cell>
        </row>
        <row r="2512">
          <cell r="C2512" t="str">
            <v>TL</v>
          </cell>
          <cell r="D2512" t="str">
            <v>Enterprise</v>
          </cell>
          <cell r="G2512">
            <v>45449</v>
          </cell>
        </row>
        <row r="2513">
          <cell r="C2513" t="str">
            <v>USD</v>
          </cell>
          <cell r="D2513" t="str">
            <v>Enterprise</v>
          </cell>
        </row>
        <row r="2514">
          <cell r="C2514" t="str">
            <v>EUR</v>
          </cell>
          <cell r="D2514" t="str">
            <v>Enterprise</v>
          </cell>
        </row>
        <row r="2515">
          <cell r="C2515" t="str">
            <v>Kur Sabitleme</v>
          </cell>
          <cell r="D2515" t="str">
            <v>Enterprise</v>
          </cell>
        </row>
        <row r="2516">
          <cell r="C2516" t="str">
            <v>ADALON OTOMOTİV SANAYİ VE DIŞ TİC. LTD. STİ</v>
          </cell>
          <cell r="D2516" t="str">
            <v>SMB</v>
          </cell>
          <cell r="E2516" t="str">
            <v>INFODROM</v>
          </cell>
          <cell r="F2516" t="str">
            <v>A-MB759</v>
          </cell>
          <cell r="G2516">
            <v>45496</v>
          </cell>
        </row>
        <row r="2517">
          <cell r="C2517" t="str">
            <v>TL</v>
          </cell>
          <cell r="D2517" t="str">
            <v>SMB</v>
          </cell>
        </row>
        <row r="2518">
          <cell r="C2518" t="str">
            <v>USD</v>
          </cell>
          <cell r="D2518" t="str">
            <v>SMB</v>
          </cell>
          <cell r="G2518">
            <v>45496</v>
          </cell>
        </row>
        <row r="2519">
          <cell r="C2519" t="str">
            <v>EUR</v>
          </cell>
          <cell r="D2519" t="str">
            <v>SMB</v>
          </cell>
        </row>
        <row r="2520">
          <cell r="C2520" t="str">
            <v>Kur Sabitleme</v>
          </cell>
          <cell r="D2520" t="str">
            <v>SMB</v>
          </cell>
        </row>
        <row r="2521">
          <cell r="C2521" t="str">
            <v>MAPP MERCHANDISING GROUP</v>
          </cell>
          <cell r="D2521" t="str">
            <v>SMB</v>
          </cell>
          <cell r="E2521">
            <v>0</v>
          </cell>
          <cell r="F2521" t="str">
            <v>A-VRG18214</v>
          </cell>
          <cell r="G2521">
            <v>45497</v>
          </cell>
        </row>
        <row r="2522">
          <cell r="C2522" t="str">
            <v>TL</v>
          </cell>
          <cell r="D2522" t="str">
            <v>SMB</v>
          </cell>
        </row>
        <row r="2523">
          <cell r="C2523" t="str">
            <v>USD</v>
          </cell>
          <cell r="D2523" t="str">
            <v>SMB</v>
          </cell>
          <cell r="G2523">
            <v>45497</v>
          </cell>
        </row>
        <row r="2524">
          <cell r="C2524" t="str">
            <v>EUR</v>
          </cell>
          <cell r="D2524" t="str">
            <v>SMB</v>
          </cell>
        </row>
        <row r="2525">
          <cell r="C2525" t="str">
            <v>Kur Sabitleme</v>
          </cell>
          <cell r="D2525" t="str">
            <v>SMB</v>
          </cell>
        </row>
        <row r="2526">
          <cell r="C2526" t="str">
            <v>VMM VAROL MAKİNA SAN.TİC.LTD.ŞTİ.</v>
          </cell>
          <cell r="D2526" t="str">
            <v>SMB</v>
          </cell>
          <cell r="E2526" t="str">
            <v>VMM VAROL MAKİNA SAN.TİC.LTD.ŞTİ.</v>
          </cell>
          <cell r="F2526" t="str">
            <v>…..</v>
          </cell>
          <cell r="G2526">
            <v>45498</v>
          </cell>
        </row>
        <row r="2527">
          <cell r="C2527" t="str">
            <v>TL</v>
          </cell>
          <cell r="D2527" t="str">
            <v>SMB</v>
          </cell>
        </row>
        <row r="2528">
          <cell r="C2528" t="str">
            <v>USD</v>
          </cell>
          <cell r="D2528" t="str">
            <v>SMB</v>
          </cell>
          <cell r="G2528">
            <v>45498</v>
          </cell>
        </row>
        <row r="2529">
          <cell r="C2529" t="str">
            <v>EUR</v>
          </cell>
          <cell r="D2529" t="str">
            <v>SMB</v>
          </cell>
        </row>
        <row r="2530">
          <cell r="C2530" t="str">
            <v>Kur Sabitleme</v>
          </cell>
          <cell r="D2530" t="str">
            <v>SMB</v>
          </cell>
        </row>
        <row r="2531">
          <cell r="C2531" t="str">
            <v>BCM Uluslararası Madencilik iIracat San ve Tic</v>
          </cell>
          <cell r="D2531" t="str">
            <v>SMB</v>
          </cell>
          <cell r="E2531" t="str">
            <v>ARTI SINERJI BILISIM TEKNOLOJILERI TIC.LTD.STI.</v>
          </cell>
          <cell r="F2531" t="str">
            <v>A-MB280</v>
          </cell>
          <cell r="G2531">
            <v>45498</v>
          </cell>
        </row>
        <row r="2532">
          <cell r="C2532" t="str">
            <v>TL</v>
          </cell>
          <cell r="D2532" t="str">
            <v>SMB</v>
          </cell>
        </row>
        <row r="2533">
          <cell r="C2533" t="str">
            <v>USD</v>
          </cell>
          <cell r="D2533" t="str">
            <v>SMB</v>
          </cell>
          <cell r="G2533">
            <v>45498</v>
          </cell>
        </row>
        <row r="2534">
          <cell r="C2534" t="str">
            <v>EUR</v>
          </cell>
          <cell r="D2534" t="str">
            <v>SMB</v>
          </cell>
        </row>
        <row r="2535">
          <cell r="C2535" t="str">
            <v>Kur Sabitleme</v>
          </cell>
          <cell r="D2535" t="str">
            <v>SMB</v>
          </cell>
        </row>
        <row r="2536">
          <cell r="C2536" t="str">
            <v>GÜVEN PRES DÖKÜM</v>
          </cell>
          <cell r="D2536" t="str">
            <v>SMB</v>
          </cell>
          <cell r="E2536" t="str">
            <v>BTI BİLİŞİM DANIŞMANLIK VE YAZILIM VE TİC. LTD. ŞT</v>
          </cell>
          <cell r="F2536" t="str">
            <v>A-MB758</v>
          </cell>
          <cell r="G2536">
            <v>45504</v>
          </cell>
        </row>
        <row r="2537">
          <cell r="C2537" t="str">
            <v>TL</v>
          </cell>
          <cell r="D2537" t="str">
            <v>SMB</v>
          </cell>
        </row>
        <row r="2538">
          <cell r="C2538" t="str">
            <v>USD</v>
          </cell>
          <cell r="D2538" t="str">
            <v>SMB</v>
          </cell>
          <cell r="G2538">
            <v>45504</v>
          </cell>
        </row>
        <row r="2539">
          <cell r="C2539" t="str">
            <v>EUR</v>
          </cell>
          <cell r="D2539" t="str">
            <v>SMB</v>
          </cell>
        </row>
        <row r="2540">
          <cell r="C2540" t="str">
            <v>Kur Sabitleme</v>
          </cell>
          <cell r="D2540" t="str">
            <v>SMB</v>
          </cell>
        </row>
        <row r="2541">
          <cell r="C2541" t="str">
            <v>SONÇAĞ MÜHENDİSLİK - SİNAN SONÇAĞI</v>
          </cell>
          <cell r="D2541" t="str">
            <v>SMB</v>
          </cell>
          <cell r="E2541" t="str">
            <v>DBT DORA BİLİŞİM TEKNOLOJİLERİ</v>
          </cell>
          <cell r="F2541" t="str">
            <v>…..</v>
          </cell>
          <cell r="G2541">
            <v>45483</v>
          </cell>
        </row>
        <row r="2542">
          <cell r="C2542" t="str">
            <v>TL</v>
          </cell>
          <cell r="D2542" t="str">
            <v>SMB</v>
          </cell>
        </row>
        <row r="2543">
          <cell r="C2543" t="str">
            <v>USD</v>
          </cell>
          <cell r="D2543" t="str">
            <v>SMB</v>
          </cell>
          <cell r="G2543">
            <v>45483</v>
          </cell>
        </row>
        <row r="2544">
          <cell r="C2544" t="str">
            <v>EUR</v>
          </cell>
          <cell r="D2544" t="str">
            <v>SMB</v>
          </cell>
        </row>
        <row r="2545">
          <cell r="C2545" t="str">
            <v>Kur Sabitleme</v>
          </cell>
          <cell r="D2545" t="str">
            <v>SMB</v>
          </cell>
        </row>
        <row r="2546">
          <cell r="C2546" t="str">
            <v>SERTAN TEKNİK KESİCİ TAKIM SANAYİ TİC.LTD.ŞTİ</v>
          </cell>
          <cell r="D2546" t="str">
            <v>SMB</v>
          </cell>
          <cell r="E2546" t="str">
            <v>ENYASOFT YAZILIM - ELİF NUR ALAN</v>
          </cell>
          <cell r="F2546" t="str">
            <v>A-MB757</v>
          </cell>
          <cell r="G2546">
            <v>45483</v>
          </cell>
        </row>
        <row r="2547">
          <cell r="C2547" t="str">
            <v>TL</v>
          </cell>
          <cell r="D2547" t="str">
            <v>SMB</v>
          </cell>
        </row>
        <row r="2548">
          <cell r="C2548" t="str">
            <v>USD</v>
          </cell>
          <cell r="D2548" t="str">
            <v>SMB</v>
          </cell>
          <cell r="G2548">
            <v>45483</v>
          </cell>
        </row>
        <row r="2549">
          <cell r="C2549" t="str">
            <v>USD</v>
          </cell>
          <cell r="D2549" t="str">
            <v>SMB</v>
          </cell>
          <cell r="G2549">
            <v>45638</v>
          </cell>
        </row>
        <row r="2550">
          <cell r="C2550" t="str">
            <v>EUR</v>
          </cell>
          <cell r="D2550" t="str">
            <v>SMB</v>
          </cell>
        </row>
        <row r="2551">
          <cell r="C2551" t="str">
            <v>Kur Sabitleme</v>
          </cell>
          <cell r="D2551" t="str">
            <v>SMB</v>
          </cell>
        </row>
        <row r="2552">
          <cell r="C2552" t="str">
            <v>Bisam Cephe Sistemleri AS</v>
          </cell>
          <cell r="D2552" t="str">
            <v>SMB</v>
          </cell>
          <cell r="E2552" t="str">
            <v>F8 BILISIM VE DANIŞMANLIK HİZMETLERİ LTD.ŞTİ.</v>
          </cell>
          <cell r="F2552" t="str">
            <v>…..</v>
          </cell>
          <cell r="G2552">
            <v>45478</v>
          </cell>
        </row>
        <row r="2553">
          <cell r="C2553" t="str">
            <v>TL</v>
          </cell>
          <cell r="D2553" t="str">
            <v>SMB</v>
          </cell>
        </row>
        <row r="2554">
          <cell r="C2554" t="str">
            <v>USD</v>
          </cell>
          <cell r="D2554" t="str">
            <v>SMB</v>
          </cell>
          <cell r="G2554">
            <v>45478</v>
          </cell>
        </row>
        <row r="2555">
          <cell r="C2555" t="str">
            <v>EUR</v>
          </cell>
          <cell r="D2555" t="str">
            <v>SMB</v>
          </cell>
        </row>
        <row r="2556">
          <cell r="C2556" t="str">
            <v>Kur Sabitleme</v>
          </cell>
          <cell r="D2556" t="str">
            <v>SMB</v>
          </cell>
        </row>
        <row r="2557">
          <cell r="C2557" t="str">
            <v>Birleşik Araştırmacılar</v>
          </cell>
          <cell r="D2557" t="str">
            <v>SMB</v>
          </cell>
          <cell r="E2557" t="str">
            <v>Hündür Bilişim Teknolojileri Yaz. ve Dan.Hiz.Tic.L</v>
          </cell>
          <cell r="F2557" t="str">
            <v>A-MB627</v>
          </cell>
          <cell r="G2557">
            <v>45504</v>
          </cell>
        </row>
        <row r="2558">
          <cell r="C2558" t="str">
            <v>TL</v>
          </cell>
          <cell r="D2558" t="str">
            <v>SMB</v>
          </cell>
        </row>
        <row r="2559">
          <cell r="C2559" t="str">
            <v>USD</v>
          </cell>
          <cell r="D2559" t="str">
            <v>SMB</v>
          </cell>
          <cell r="G2559">
            <v>45504</v>
          </cell>
        </row>
        <row r="2560">
          <cell r="C2560" t="str">
            <v>EUR</v>
          </cell>
          <cell r="D2560" t="str">
            <v>SMB</v>
          </cell>
        </row>
        <row r="2561">
          <cell r="C2561" t="str">
            <v>Kur Sabitleme</v>
          </cell>
          <cell r="D2561" t="str">
            <v>SMB</v>
          </cell>
        </row>
        <row r="2562">
          <cell r="C2562" t="str">
            <v>CD VİNÇ TEKSTİL MAKİNA SAN. VE TİC LTD. ŞTİ.</v>
          </cell>
          <cell r="D2562" t="str">
            <v>SMB</v>
          </cell>
          <cell r="E2562" t="str">
            <v>ZEPLİN TEKNOLOJİ YAZILIM VE DANIŞMANLIK HİZMETLERİ</v>
          </cell>
          <cell r="F2562" t="str">
            <v>A-MB664</v>
          </cell>
          <cell r="G2562">
            <v>45503</v>
          </cell>
        </row>
        <row r="2563">
          <cell r="C2563" t="str">
            <v>TL</v>
          </cell>
          <cell r="D2563" t="str">
            <v>SMB</v>
          </cell>
        </row>
        <row r="2564">
          <cell r="C2564" t="str">
            <v>USD</v>
          </cell>
          <cell r="D2564" t="str">
            <v>SMB</v>
          </cell>
          <cell r="G2564">
            <v>45503</v>
          </cell>
        </row>
        <row r="2565">
          <cell r="C2565" t="str">
            <v>EUR</v>
          </cell>
          <cell r="D2565" t="str">
            <v>SMB</v>
          </cell>
        </row>
        <row r="2566">
          <cell r="C2566" t="str">
            <v>Kur Sabitleme</v>
          </cell>
          <cell r="D2566" t="str">
            <v>SMB</v>
          </cell>
        </row>
        <row r="2567">
          <cell r="C2567" t="str">
            <v>ANDRİALİ CONTRACT TEKSTİL SAN.TİC.LTD.ŞTİ</v>
          </cell>
          <cell r="D2567" t="str">
            <v>SMB</v>
          </cell>
          <cell r="E2567" t="str">
            <v>Akademi Bursa Bilişim</v>
          </cell>
          <cell r="F2567" t="str">
            <v>A-MB763</v>
          </cell>
          <cell r="G2567">
            <v>45518</v>
          </cell>
        </row>
        <row r="2568">
          <cell r="C2568" t="str">
            <v>TL</v>
          </cell>
          <cell r="D2568" t="str">
            <v>SMB</v>
          </cell>
        </row>
        <row r="2569">
          <cell r="C2569" t="str">
            <v>USD</v>
          </cell>
          <cell r="D2569" t="str">
            <v>SMB</v>
          </cell>
          <cell r="G2569">
            <v>45518</v>
          </cell>
        </row>
        <row r="2570">
          <cell r="C2570" t="str">
            <v>EUR</v>
          </cell>
          <cell r="D2570" t="str">
            <v>SMB</v>
          </cell>
        </row>
        <row r="2571">
          <cell r="C2571" t="str">
            <v>Kur Sabitleme</v>
          </cell>
          <cell r="D2571" t="str">
            <v>SMB</v>
          </cell>
        </row>
        <row r="2572">
          <cell r="C2572" t="str">
            <v>FORM MİMARLIK MÜHENDİSLİK HİZM.SAN.VE TİC.LTD.ŞTİ</v>
          </cell>
          <cell r="D2572" t="str">
            <v>SMB</v>
          </cell>
          <cell r="E2572" t="str">
            <v>AKİF FAKIOĞLU YAZILIM VE İNTERNET HİZ.-AKİF FAKIOĞ</v>
          </cell>
          <cell r="F2572" t="str">
            <v>A-MB762</v>
          </cell>
          <cell r="G2572">
            <v>45510</v>
          </cell>
        </row>
        <row r="2573">
          <cell r="C2573" t="str">
            <v>TL</v>
          </cell>
          <cell r="D2573" t="str">
            <v>SMB</v>
          </cell>
        </row>
        <row r="2574">
          <cell r="C2574" t="str">
            <v>USD</v>
          </cell>
          <cell r="D2574" t="str">
            <v>SMB</v>
          </cell>
          <cell r="G2574">
            <v>45510</v>
          </cell>
        </row>
        <row r="2575">
          <cell r="C2575" t="str">
            <v>EUR</v>
          </cell>
          <cell r="D2575" t="str">
            <v>SMB</v>
          </cell>
        </row>
        <row r="2576">
          <cell r="C2576" t="str">
            <v>Kur Sabitleme</v>
          </cell>
          <cell r="D2576" t="str">
            <v>SMB</v>
          </cell>
        </row>
        <row r="2577">
          <cell r="C2577" t="str">
            <v>INFOTECH BİLİŞİM VE İLETİŞİM TEKNOLOJİLERİ SAN. VE</v>
          </cell>
          <cell r="D2577" t="str">
            <v>SMB</v>
          </cell>
          <cell r="E2577" t="str">
            <v>INFOTECH BİLİŞİM VE İLETİŞİM TEKNOLOJİLERİ SAN. VE</v>
          </cell>
          <cell r="F2577" t="str">
            <v>A-MB776</v>
          </cell>
          <cell r="G2577">
            <v>45530</v>
          </cell>
        </row>
        <row r="2578">
          <cell r="C2578" t="str">
            <v>TL</v>
          </cell>
          <cell r="D2578" t="str">
            <v>SMB</v>
          </cell>
          <cell r="G2578">
            <v>45530</v>
          </cell>
        </row>
        <row r="2579">
          <cell r="C2579" t="str">
            <v>USD</v>
          </cell>
          <cell r="D2579" t="str">
            <v>SMB</v>
          </cell>
        </row>
        <row r="2580">
          <cell r="C2580" t="str">
            <v>EUR</v>
          </cell>
          <cell r="D2580" t="str">
            <v>SMB</v>
          </cell>
        </row>
        <row r="2581">
          <cell r="C2581" t="str">
            <v>Kur Sabitleme</v>
          </cell>
          <cell r="D2581" t="str">
            <v>SMB</v>
          </cell>
        </row>
        <row r="2582">
          <cell r="C2582" t="str">
            <v>KANGURU GIDA SAN TURİZM DANIŞ. VE TİC.LTD.ŞTİ</v>
          </cell>
          <cell r="D2582" t="str">
            <v>SMB</v>
          </cell>
          <cell r="E2582" t="str">
            <v>GÖKKUŞAĞI YAZILIM VE DAN HİZM SAN VE TİC AŞ</v>
          </cell>
          <cell r="F2582" t="str">
            <v>A-MB764</v>
          </cell>
          <cell r="G2582">
            <v>45524</v>
          </cell>
        </row>
        <row r="2583">
          <cell r="C2583" t="str">
            <v>TL</v>
          </cell>
          <cell r="D2583" t="str">
            <v>SMB</v>
          </cell>
        </row>
        <row r="2584">
          <cell r="C2584" t="str">
            <v>USD</v>
          </cell>
          <cell r="D2584" t="str">
            <v>SMB</v>
          </cell>
          <cell r="G2584">
            <v>45524</v>
          </cell>
        </row>
        <row r="2585">
          <cell r="C2585" t="str">
            <v>EUR</v>
          </cell>
          <cell r="D2585" t="str">
            <v>SMB</v>
          </cell>
        </row>
        <row r="2586">
          <cell r="C2586" t="str">
            <v>Kur Sabitleme</v>
          </cell>
          <cell r="D2586" t="str">
            <v>SMB</v>
          </cell>
        </row>
        <row r="2587">
          <cell r="C2587" t="str">
            <v>Opus  Solutions</v>
          </cell>
          <cell r="D2587" t="str">
            <v>SMB</v>
          </cell>
          <cell r="E2587" t="str">
            <v>QRICT TEKNOLOJİ BİLİŞİM DANIŞMANLIK TİCARET LİMİTE</v>
          </cell>
          <cell r="F2587" t="str">
            <v>A-MB766</v>
          </cell>
          <cell r="G2587">
            <v>45512</v>
          </cell>
        </row>
        <row r="2588">
          <cell r="C2588" t="str">
            <v>TL</v>
          </cell>
          <cell r="D2588" t="str">
            <v>SMB</v>
          </cell>
        </row>
        <row r="2589">
          <cell r="C2589" t="str">
            <v>USD</v>
          </cell>
          <cell r="D2589" t="str">
            <v>SMB</v>
          </cell>
          <cell r="G2589">
            <v>45512</v>
          </cell>
        </row>
        <row r="2590">
          <cell r="C2590" t="str">
            <v>EUR</v>
          </cell>
          <cell r="D2590" t="str">
            <v>SMB</v>
          </cell>
        </row>
        <row r="2591">
          <cell r="C2591" t="str">
            <v>Kur Sabitleme</v>
          </cell>
          <cell r="D2591" t="str">
            <v>SMB</v>
          </cell>
        </row>
        <row r="2592">
          <cell r="C2592" t="str">
            <v>MARCUS GIDA TICARET ANONIM SIRKETI</v>
          </cell>
          <cell r="D2592" t="str">
            <v>SMB</v>
          </cell>
          <cell r="E2592" t="str">
            <v>BOYUT BİLGİSAYAR SİSTEMLERİ NEDİME GÖZLÜK</v>
          </cell>
          <cell r="F2592" t="str">
            <v>A-MB765</v>
          </cell>
          <cell r="G2592">
            <v>45534</v>
          </cell>
        </row>
        <row r="2593">
          <cell r="C2593" t="str">
            <v>TL</v>
          </cell>
          <cell r="D2593" t="str">
            <v>SMB</v>
          </cell>
        </row>
        <row r="2594">
          <cell r="C2594" t="str">
            <v>USD</v>
          </cell>
          <cell r="D2594" t="str">
            <v>SMB</v>
          </cell>
          <cell r="G2594">
            <v>45534</v>
          </cell>
        </row>
        <row r="2595">
          <cell r="C2595" t="str">
            <v>EUR</v>
          </cell>
          <cell r="D2595" t="str">
            <v>SMB</v>
          </cell>
        </row>
        <row r="2596">
          <cell r="C2596" t="str">
            <v>Kur Sabitleme</v>
          </cell>
          <cell r="D2596" t="str">
            <v>SMB</v>
          </cell>
        </row>
        <row r="2597">
          <cell r="C2597" t="str">
            <v>AKAR TAAHHÜT YAPI İNŞAAT</v>
          </cell>
          <cell r="D2597" t="str">
            <v>SMB</v>
          </cell>
          <cell r="E2597" t="str">
            <v>SHERPA YAZILIM EĞİTİM VE FİNANSAL DAN.TİC.LTD.ŞTİ.</v>
          </cell>
          <cell r="F2597" t="str">
            <v>…..</v>
          </cell>
          <cell r="G2597">
            <v>45565</v>
          </cell>
        </row>
        <row r="2598">
          <cell r="C2598" t="str">
            <v>TL</v>
          </cell>
          <cell r="D2598" t="str">
            <v>SMB</v>
          </cell>
        </row>
        <row r="2599">
          <cell r="C2599" t="str">
            <v>USD</v>
          </cell>
          <cell r="D2599" t="str">
            <v>SMB</v>
          </cell>
          <cell r="G2599">
            <v>45565</v>
          </cell>
        </row>
        <row r="2600">
          <cell r="C2600" t="str">
            <v>EUR</v>
          </cell>
          <cell r="D2600" t="str">
            <v>SMB</v>
          </cell>
        </row>
        <row r="2601">
          <cell r="C2601" t="str">
            <v>Kur Sabitleme</v>
          </cell>
          <cell r="D2601" t="str">
            <v>SMB</v>
          </cell>
        </row>
        <row r="2602">
          <cell r="C2602" t="str">
            <v>ATLAS PSA OTOMOTİV YED. PAR. İNŞ. SAN. VE TİC. LTD</v>
          </cell>
          <cell r="D2602" t="str">
            <v>SMB</v>
          </cell>
          <cell r="E2602" t="str">
            <v>Mipos Teknoloji</v>
          </cell>
          <cell r="F2602" t="str">
            <v>A-MB750</v>
          </cell>
          <cell r="G2602">
            <v>45565</v>
          </cell>
        </row>
        <row r="2603">
          <cell r="C2603" t="str">
            <v>TL</v>
          </cell>
          <cell r="D2603" t="str">
            <v>SMB</v>
          </cell>
        </row>
        <row r="2604">
          <cell r="C2604" t="str">
            <v>USD</v>
          </cell>
          <cell r="D2604" t="str">
            <v>SMB</v>
          </cell>
          <cell r="G2604">
            <v>45565</v>
          </cell>
        </row>
        <row r="2605">
          <cell r="C2605" t="str">
            <v>USD</v>
          </cell>
          <cell r="D2605" t="str">
            <v>SMB</v>
          </cell>
          <cell r="G2605">
            <v>45604</v>
          </cell>
        </row>
        <row r="2606">
          <cell r="C2606" t="str">
            <v>EUR</v>
          </cell>
          <cell r="D2606" t="str">
            <v>SMB</v>
          </cell>
        </row>
        <row r="2607">
          <cell r="C2607" t="str">
            <v>Kur Sabitleme</v>
          </cell>
          <cell r="D2607" t="str">
            <v>SMB</v>
          </cell>
        </row>
        <row r="2608">
          <cell r="C2608" t="str">
            <v>AYDIN ÜNİVERSİTESİ</v>
          </cell>
          <cell r="D2608" t="str">
            <v>Enterprise</v>
          </cell>
          <cell r="E2608">
            <v>0</v>
          </cell>
          <cell r="F2608" t="str">
            <v>A-MB775</v>
          </cell>
          <cell r="G2608">
            <v>45505</v>
          </cell>
        </row>
        <row r="2609">
          <cell r="C2609" t="str">
            <v>TL</v>
          </cell>
          <cell r="D2609" t="str">
            <v>Enterprise</v>
          </cell>
        </row>
        <row r="2610">
          <cell r="C2610" t="str">
            <v>USD</v>
          </cell>
          <cell r="D2610" t="str">
            <v>Enterprise</v>
          </cell>
          <cell r="G2610">
            <v>45505</v>
          </cell>
        </row>
        <row r="2611">
          <cell r="C2611" t="str">
            <v>EUR</v>
          </cell>
          <cell r="D2611" t="str">
            <v>Enterprise</v>
          </cell>
        </row>
        <row r="2612">
          <cell r="C2612" t="str">
            <v>Kur Sabitleme</v>
          </cell>
          <cell r="D2612" t="str">
            <v>Enterprise</v>
          </cell>
        </row>
        <row r="2613">
          <cell r="C2613" t="str">
            <v>BS GÜMRÜK</v>
          </cell>
          <cell r="D2613" t="str">
            <v>SMB</v>
          </cell>
          <cell r="E2613" t="str">
            <v>BS GÜMRÜK</v>
          </cell>
          <cell r="F2613" t="str">
            <v>A-MB772</v>
          </cell>
          <cell r="G2613">
            <v>45551</v>
          </cell>
        </row>
        <row r="2614">
          <cell r="C2614" t="str">
            <v>TL</v>
          </cell>
          <cell r="D2614" t="str">
            <v>SMB</v>
          </cell>
        </row>
        <row r="2615">
          <cell r="C2615" t="str">
            <v>USD</v>
          </cell>
          <cell r="D2615" t="str">
            <v>SMB</v>
          </cell>
          <cell r="G2615">
            <v>45551</v>
          </cell>
        </row>
        <row r="2616">
          <cell r="C2616" t="str">
            <v>USD</v>
          </cell>
          <cell r="D2616" t="str">
            <v>SMB</v>
          </cell>
          <cell r="G2616">
            <v>45666</v>
          </cell>
        </row>
        <row r="2617">
          <cell r="C2617" t="str">
            <v>USD</v>
          </cell>
          <cell r="D2617" t="str">
            <v>SMB</v>
          </cell>
          <cell r="G2617">
            <v>45790</v>
          </cell>
        </row>
        <row r="2618">
          <cell r="C2618" t="str">
            <v>EUR</v>
          </cell>
          <cell r="D2618" t="str">
            <v>SMB</v>
          </cell>
        </row>
        <row r="2619">
          <cell r="C2619" t="str">
            <v>Kur Sabitleme</v>
          </cell>
          <cell r="D2619" t="str">
            <v>SMB</v>
          </cell>
        </row>
        <row r="2620">
          <cell r="C2620" t="str">
            <v>BUDDY DIŞ TİCARET SAN. A.Ş</v>
          </cell>
          <cell r="D2620" t="str">
            <v>SMB</v>
          </cell>
          <cell r="E2620" t="str">
            <v>Gotech Erp Yazılım San. Tic. A.Ş.</v>
          </cell>
          <cell r="F2620" t="str">
            <v>A-MB711</v>
          </cell>
          <cell r="G2620">
            <v>45545</v>
          </cell>
        </row>
        <row r="2621">
          <cell r="C2621" t="str">
            <v>TL</v>
          </cell>
          <cell r="D2621" t="str">
            <v>SMB</v>
          </cell>
        </row>
        <row r="2622">
          <cell r="C2622" t="str">
            <v>USD</v>
          </cell>
          <cell r="D2622" t="str">
            <v>SMB</v>
          </cell>
          <cell r="G2622">
            <v>45545</v>
          </cell>
        </row>
        <row r="2623">
          <cell r="C2623" t="str">
            <v>EUR</v>
          </cell>
          <cell r="D2623" t="str">
            <v>SMB</v>
          </cell>
        </row>
        <row r="2624">
          <cell r="C2624" t="str">
            <v>Kur Sabitleme</v>
          </cell>
          <cell r="D2624" t="str">
            <v>SMB</v>
          </cell>
        </row>
        <row r="2625">
          <cell r="C2625" t="str">
            <v>DBB MÜHENDİSLİK ELEKTRİK TAAHHÜT İNŞAAT TİCARET LT</v>
          </cell>
          <cell r="D2625" t="str">
            <v>SMB</v>
          </cell>
          <cell r="E2625" t="str">
            <v>Saykom Bilgisayar</v>
          </cell>
          <cell r="F2625" t="str">
            <v>A-MB780</v>
          </cell>
          <cell r="G2625">
            <v>45558</v>
          </cell>
        </row>
        <row r="2626">
          <cell r="C2626" t="str">
            <v>TL</v>
          </cell>
          <cell r="D2626" t="str">
            <v>SMB</v>
          </cell>
        </row>
        <row r="2627">
          <cell r="C2627" t="str">
            <v>USD</v>
          </cell>
          <cell r="D2627" t="str">
            <v>SMB</v>
          </cell>
          <cell r="G2627">
            <v>45558</v>
          </cell>
        </row>
        <row r="2628">
          <cell r="C2628" t="str">
            <v>EUR</v>
          </cell>
          <cell r="D2628" t="str">
            <v>SMB</v>
          </cell>
        </row>
        <row r="2629">
          <cell r="C2629" t="str">
            <v>Kur Sabitleme</v>
          </cell>
          <cell r="D2629" t="str">
            <v>SMB</v>
          </cell>
        </row>
        <row r="2630">
          <cell r="C2630" t="str">
            <v>DEMİRSOY PASLANMAZ ÇELİK DÖKÜM SAN.VE TİC.LTD.ŞTİ</v>
          </cell>
          <cell r="D2630" t="str">
            <v>SMB</v>
          </cell>
          <cell r="E2630" t="str">
            <v>NOKBİL YAZILIM HİZMETLERİ SAN.TİC.LTD.ŞTİ</v>
          </cell>
          <cell r="F2630" t="str">
            <v>A-MB737</v>
          </cell>
          <cell r="G2630">
            <v>45553</v>
          </cell>
        </row>
        <row r="2631">
          <cell r="C2631" t="str">
            <v>TL</v>
          </cell>
          <cell r="D2631" t="str">
            <v>SMB</v>
          </cell>
        </row>
        <row r="2632">
          <cell r="C2632" t="str">
            <v>USD</v>
          </cell>
          <cell r="D2632" t="str">
            <v>SMB</v>
          </cell>
          <cell r="G2632">
            <v>45553</v>
          </cell>
        </row>
        <row r="2633">
          <cell r="C2633" t="str">
            <v>EUR</v>
          </cell>
          <cell r="D2633" t="str">
            <v>SMB</v>
          </cell>
        </row>
        <row r="2634">
          <cell r="C2634" t="str">
            <v>Kur Sabitleme</v>
          </cell>
          <cell r="D2634" t="str">
            <v>SMB</v>
          </cell>
        </row>
        <row r="2635">
          <cell r="C2635" t="str">
            <v>HOROZ LOJİSTİK KARGO HİZMETLERİ VE TİC. A.Ş.</v>
          </cell>
          <cell r="D2635" t="str">
            <v>Enterprise</v>
          </cell>
          <cell r="E2635" t="str">
            <v>TREO BİLGİ TEKNOLOJİLERİ</v>
          </cell>
          <cell r="F2635" t="str">
            <v>A-MB511</v>
          </cell>
          <cell r="G2635">
            <v>45565</v>
          </cell>
        </row>
        <row r="2636">
          <cell r="C2636" t="str">
            <v>TL</v>
          </cell>
          <cell r="D2636" t="str">
            <v>Enterprise</v>
          </cell>
        </row>
        <row r="2637">
          <cell r="C2637" t="str">
            <v>USD</v>
          </cell>
          <cell r="D2637" t="str">
            <v>Enterprise</v>
          </cell>
          <cell r="G2637">
            <v>45565</v>
          </cell>
        </row>
        <row r="2638">
          <cell r="C2638" t="str">
            <v>EUR</v>
          </cell>
          <cell r="D2638" t="str">
            <v>Enterprise</v>
          </cell>
        </row>
        <row r="2639">
          <cell r="C2639" t="str">
            <v>Kur Sabitleme</v>
          </cell>
          <cell r="D2639" t="str">
            <v>Enterprise</v>
          </cell>
        </row>
        <row r="2640">
          <cell r="C2640" t="str">
            <v>KARTAL KİMYA</v>
          </cell>
          <cell r="D2640" t="str">
            <v>SMB</v>
          </cell>
          <cell r="E2640" t="str">
            <v>BTI BİLİŞİM DANIŞMANLIK VE YAZILIM VE TİC. LTD. ŞT</v>
          </cell>
          <cell r="F2640" t="str">
            <v>A-MB771</v>
          </cell>
          <cell r="G2640">
            <v>45559</v>
          </cell>
        </row>
        <row r="2641">
          <cell r="C2641" t="str">
            <v>TL</v>
          </cell>
          <cell r="D2641" t="str">
            <v>SMB</v>
          </cell>
        </row>
        <row r="2642">
          <cell r="C2642" t="str">
            <v>USD</v>
          </cell>
          <cell r="D2642" t="str">
            <v>SMB</v>
          </cell>
          <cell r="G2642">
            <v>45559</v>
          </cell>
        </row>
        <row r="2643">
          <cell r="C2643" t="str">
            <v>EUR</v>
          </cell>
          <cell r="D2643" t="str">
            <v>SMB</v>
          </cell>
        </row>
        <row r="2644">
          <cell r="C2644" t="str">
            <v>Kur Sabitleme</v>
          </cell>
          <cell r="D2644" t="str">
            <v>SMB</v>
          </cell>
        </row>
        <row r="2645">
          <cell r="C2645" t="str">
            <v>KHD ELEKTRONİK LTD. ŞTİ.</v>
          </cell>
          <cell r="D2645" t="str">
            <v>SMB</v>
          </cell>
          <cell r="E2645" t="str">
            <v xml:space="preserve">Veriport Bilgi </v>
          </cell>
          <cell r="F2645" t="str">
            <v>A-MB777</v>
          </cell>
          <cell r="G2645">
            <v>45565</v>
          </cell>
        </row>
        <row r="2646">
          <cell r="C2646" t="str">
            <v>TL</v>
          </cell>
          <cell r="D2646" t="str">
            <v>SMB</v>
          </cell>
        </row>
        <row r="2647">
          <cell r="C2647" t="str">
            <v>USD</v>
          </cell>
          <cell r="D2647" t="str">
            <v>SMB</v>
          </cell>
          <cell r="G2647">
            <v>45565</v>
          </cell>
        </row>
        <row r="2648">
          <cell r="C2648" t="str">
            <v>EUR</v>
          </cell>
          <cell r="D2648" t="str">
            <v>SMB</v>
          </cell>
        </row>
        <row r="2649">
          <cell r="C2649" t="str">
            <v>Kur Sabitleme</v>
          </cell>
          <cell r="D2649" t="str">
            <v>SMB</v>
          </cell>
        </row>
        <row r="2650">
          <cell r="C2650" t="str">
            <v>LAYDA BİLGİSAYAR YAZILIM ve DANIŞMANLIK LTD.ŞTİ.</v>
          </cell>
          <cell r="D2650" t="str">
            <v>SMB</v>
          </cell>
          <cell r="E2650" t="str">
            <v>LAYDA BİLGİSAYAR YAZILIM ve DANIŞMANLIK LTD.ŞTİ.</v>
          </cell>
          <cell r="F2650" t="str">
            <v>A-MB769</v>
          </cell>
          <cell r="G2650">
            <v>45554</v>
          </cell>
        </row>
        <row r="2651">
          <cell r="C2651" t="str">
            <v>TL</v>
          </cell>
          <cell r="D2651" t="str">
            <v>SMB</v>
          </cell>
        </row>
        <row r="2652">
          <cell r="C2652" t="str">
            <v>USD</v>
          </cell>
          <cell r="D2652" t="str">
            <v>SMB</v>
          </cell>
          <cell r="G2652">
            <v>45554</v>
          </cell>
        </row>
        <row r="2653">
          <cell r="C2653" t="str">
            <v>EUR</v>
          </cell>
          <cell r="D2653" t="str">
            <v>SMB</v>
          </cell>
        </row>
        <row r="2654">
          <cell r="C2654" t="str">
            <v>Kur Sabitleme</v>
          </cell>
          <cell r="D2654" t="str">
            <v>SMB</v>
          </cell>
        </row>
        <row r="2655">
          <cell r="C2655" t="str">
            <v>KALE PRATT</v>
          </cell>
          <cell r="D2655" t="str">
            <v>Enterprise</v>
          </cell>
          <cell r="E2655">
            <v>0</v>
          </cell>
          <cell r="F2655" t="str">
            <v>A-MB773</v>
          </cell>
          <cell r="G2655">
            <v>45536</v>
          </cell>
        </row>
        <row r="2656">
          <cell r="C2656" t="str">
            <v>TL</v>
          </cell>
          <cell r="D2656" t="str">
            <v>Enterprise</v>
          </cell>
          <cell r="G2656">
            <v>45536</v>
          </cell>
        </row>
        <row r="2657">
          <cell r="C2657" t="str">
            <v>USD</v>
          </cell>
          <cell r="D2657" t="str">
            <v>Enterprise</v>
          </cell>
        </row>
        <row r="2658">
          <cell r="C2658" t="str">
            <v>EUR</v>
          </cell>
          <cell r="D2658" t="str">
            <v>Enterprise</v>
          </cell>
        </row>
        <row r="2659">
          <cell r="C2659" t="str">
            <v>Kur Sabitleme</v>
          </cell>
          <cell r="D2659" t="str">
            <v>Enterprise</v>
          </cell>
        </row>
        <row r="2660">
          <cell r="C2660" t="str">
            <v>sobe diş ticaret tekstil ve sanayi limited şirketi</v>
          </cell>
          <cell r="D2660" t="str">
            <v>SMB</v>
          </cell>
          <cell r="E2660" t="str">
            <v>SERBAY YAZILIM VE DANIŞMANLIK TİCARET LİMİTED ŞİRK</v>
          </cell>
          <cell r="F2660" t="str">
            <v>A-MB770</v>
          </cell>
          <cell r="G2660">
            <v>45554</v>
          </cell>
        </row>
        <row r="2661">
          <cell r="C2661" t="str">
            <v>TL</v>
          </cell>
          <cell r="D2661" t="str">
            <v>SMB</v>
          </cell>
        </row>
        <row r="2662">
          <cell r="C2662" t="str">
            <v>USD</v>
          </cell>
          <cell r="D2662" t="str">
            <v>SMB</v>
          </cell>
          <cell r="G2662">
            <v>45554</v>
          </cell>
        </row>
        <row r="2663">
          <cell r="C2663" t="str">
            <v>EUR</v>
          </cell>
          <cell r="D2663" t="str">
            <v>SMB</v>
          </cell>
        </row>
        <row r="2664">
          <cell r="C2664" t="str">
            <v>Kur Sabitleme</v>
          </cell>
          <cell r="D2664" t="str">
            <v>SMB</v>
          </cell>
        </row>
        <row r="2665">
          <cell r="C2665" t="str">
            <v>İZKA TEMİZLİK GIDA ÜRÜNLERİ PAZARLAMA SAN. VE TİC.</v>
          </cell>
          <cell r="D2665" t="str">
            <v>SMB</v>
          </cell>
          <cell r="E2665">
            <v>0</v>
          </cell>
          <cell r="F2665" t="str">
            <v>A-MB674</v>
          </cell>
          <cell r="G2665">
            <v>45588</v>
          </cell>
        </row>
        <row r="2666">
          <cell r="C2666" t="str">
            <v>TL</v>
          </cell>
          <cell r="D2666" t="str">
            <v>SMB</v>
          </cell>
        </row>
        <row r="2667">
          <cell r="C2667" t="str">
            <v>USD</v>
          </cell>
          <cell r="D2667" t="str">
            <v>SMB</v>
          </cell>
          <cell r="G2667">
            <v>45588</v>
          </cell>
        </row>
        <row r="2668">
          <cell r="C2668" t="str">
            <v>EUR</v>
          </cell>
          <cell r="D2668" t="str">
            <v>SMB</v>
          </cell>
        </row>
        <row r="2669">
          <cell r="C2669" t="str">
            <v>Kur Sabitleme</v>
          </cell>
          <cell r="D2669" t="str">
            <v>SMB</v>
          </cell>
        </row>
        <row r="2670">
          <cell r="C2670" t="str">
            <v>MATES DANIŞMANLIK</v>
          </cell>
          <cell r="D2670" t="str">
            <v>SMB</v>
          </cell>
          <cell r="E2670">
            <v>0</v>
          </cell>
          <cell r="F2670" t="str">
            <v>A-MB787</v>
          </cell>
          <cell r="G2670">
            <v>45581</v>
          </cell>
        </row>
        <row r="2671">
          <cell r="C2671" t="str">
            <v>TL</v>
          </cell>
          <cell r="D2671" t="str">
            <v>SMB</v>
          </cell>
        </row>
        <row r="2672">
          <cell r="C2672" t="str">
            <v>USD</v>
          </cell>
          <cell r="D2672" t="str">
            <v>SMB</v>
          </cell>
          <cell r="G2672">
            <v>45581</v>
          </cell>
        </row>
        <row r="2673">
          <cell r="C2673" t="str">
            <v>EUR</v>
          </cell>
          <cell r="D2673" t="str">
            <v>SMB</v>
          </cell>
        </row>
        <row r="2674">
          <cell r="C2674" t="str">
            <v>Kur Sabitleme</v>
          </cell>
          <cell r="D2674" t="str">
            <v>SMB</v>
          </cell>
        </row>
        <row r="2675">
          <cell r="C2675" t="str">
            <v>NOVA GÜÇ AKTARIM VE HAREKET SİS SAN TİC A.Ş</v>
          </cell>
          <cell r="D2675" t="str">
            <v>SMB</v>
          </cell>
          <cell r="E2675">
            <v>0</v>
          </cell>
          <cell r="F2675" t="str">
            <v>A-MB781</v>
          </cell>
          <cell r="G2675">
            <v>45596</v>
          </cell>
        </row>
        <row r="2676">
          <cell r="C2676" t="str">
            <v>TL</v>
          </cell>
          <cell r="D2676" t="str">
            <v>SMB</v>
          </cell>
        </row>
        <row r="2677">
          <cell r="C2677" t="str">
            <v>USD</v>
          </cell>
          <cell r="D2677" t="str">
            <v>SMB</v>
          </cell>
          <cell r="G2677">
            <v>45596</v>
          </cell>
        </row>
        <row r="2678">
          <cell r="C2678" t="str">
            <v>EUR</v>
          </cell>
          <cell r="D2678" t="str">
            <v>SMB</v>
          </cell>
        </row>
        <row r="2679">
          <cell r="C2679" t="str">
            <v>Kur Sabitleme</v>
          </cell>
          <cell r="D2679" t="str">
            <v>SMB</v>
          </cell>
        </row>
        <row r="2680">
          <cell r="C2680" t="str">
            <v>REDINGTON</v>
          </cell>
          <cell r="D2680" t="str">
            <v>Enterprise</v>
          </cell>
          <cell r="E2680">
            <v>0</v>
          </cell>
          <cell r="F2680" t="str">
            <v>A-MB782</v>
          </cell>
          <cell r="G2680">
            <v>45544</v>
          </cell>
        </row>
        <row r="2681">
          <cell r="C2681" t="str">
            <v>TL</v>
          </cell>
          <cell r="D2681" t="str">
            <v>Enterprise</v>
          </cell>
        </row>
        <row r="2682">
          <cell r="C2682" t="str">
            <v>USD</v>
          </cell>
          <cell r="D2682" t="str">
            <v>Enterprise</v>
          </cell>
          <cell r="G2682">
            <v>45544</v>
          </cell>
        </row>
        <row r="2683">
          <cell r="C2683" t="str">
            <v>EUR</v>
          </cell>
          <cell r="D2683" t="str">
            <v>Enterprise</v>
          </cell>
        </row>
        <row r="2684">
          <cell r="C2684" t="str">
            <v>Kur Sabitleme</v>
          </cell>
          <cell r="D2684" t="str">
            <v>Enterprise</v>
          </cell>
        </row>
        <row r="2685">
          <cell r="C2685" t="str">
            <v>TAZE DÜNYA GIDA SANAYİ VE TİCARET A.Ş.</v>
          </cell>
          <cell r="D2685" t="str">
            <v>SMB</v>
          </cell>
          <cell r="E2685">
            <v>0</v>
          </cell>
          <cell r="F2685" t="str">
            <v>A-MB661</v>
          </cell>
          <cell r="G2685">
            <v>45569</v>
          </cell>
        </row>
        <row r="2686">
          <cell r="C2686" t="str">
            <v>TL</v>
          </cell>
          <cell r="D2686" t="str">
            <v>SMB</v>
          </cell>
        </row>
        <row r="2687">
          <cell r="C2687" t="str">
            <v>USD</v>
          </cell>
          <cell r="D2687" t="str">
            <v>SMB</v>
          </cell>
          <cell r="G2687">
            <v>45569</v>
          </cell>
        </row>
        <row r="2688">
          <cell r="C2688" t="str">
            <v>EUR</v>
          </cell>
          <cell r="D2688" t="str">
            <v>SMB</v>
          </cell>
        </row>
        <row r="2689">
          <cell r="C2689" t="str">
            <v>Kur Sabitleme</v>
          </cell>
          <cell r="D2689" t="str">
            <v>SMB</v>
          </cell>
        </row>
        <row r="2690">
          <cell r="C2690" t="str">
            <v>TOPCU DENTAL MEDİKAL SAN.TİC.LTD.ŞTİ</v>
          </cell>
          <cell r="D2690" t="str">
            <v>SMB</v>
          </cell>
          <cell r="E2690">
            <v>0</v>
          </cell>
          <cell r="F2690" t="str">
            <v>A-MB781</v>
          </cell>
          <cell r="G2690">
            <v>45573</v>
          </cell>
        </row>
        <row r="2691">
          <cell r="C2691" t="str">
            <v>TL</v>
          </cell>
          <cell r="D2691" t="str">
            <v>SMB</v>
          </cell>
        </row>
        <row r="2692">
          <cell r="C2692" t="str">
            <v>USD</v>
          </cell>
          <cell r="D2692" t="str">
            <v>SMB</v>
          </cell>
          <cell r="G2692">
            <v>45573</v>
          </cell>
        </row>
        <row r="2693">
          <cell r="C2693" t="str">
            <v>USD</v>
          </cell>
          <cell r="D2693" t="str">
            <v>SMB</v>
          </cell>
          <cell r="G2693">
            <v>45671</v>
          </cell>
        </row>
        <row r="2694">
          <cell r="C2694" t="str">
            <v>EUR</v>
          </cell>
          <cell r="D2694" t="str">
            <v>SMB</v>
          </cell>
        </row>
        <row r="2695">
          <cell r="C2695" t="str">
            <v>Kur Sabitleme</v>
          </cell>
          <cell r="D2695" t="str">
            <v>SMB</v>
          </cell>
        </row>
        <row r="2696">
          <cell r="C2696" t="str">
            <v>UTKU ORMAN ÜRÜNLERİ</v>
          </cell>
          <cell r="D2696" t="str">
            <v>SMB</v>
          </cell>
          <cell r="E2696">
            <v>0</v>
          </cell>
          <cell r="F2696" t="str">
            <v>A-MB786</v>
          </cell>
          <cell r="G2696">
            <v>45579</v>
          </cell>
        </row>
        <row r="2697">
          <cell r="C2697" t="str">
            <v>TL</v>
          </cell>
          <cell r="D2697" t="str">
            <v>SMB</v>
          </cell>
        </row>
        <row r="2698">
          <cell r="C2698" t="str">
            <v>USD</v>
          </cell>
          <cell r="D2698" t="str">
            <v>SMB</v>
          </cell>
          <cell r="G2698">
            <v>45579</v>
          </cell>
        </row>
        <row r="2699">
          <cell r="C2699" t="str">
            <v>EUR</v>
          </cell>
          <cell r="D2699" t="str">
            <v>SMB</v>
          </cell>
        </row>
        <row r="2700">
          <cell r="C2700" t="str">
            <v>Kur Sabitleme</v>
          </cell>
          <cell r="D2700" t="str">
            <v>SMB</v>
          </cell>
        </row>
        <row r="2701">
          <cell r="C2701" t="str">
            <v>SİMURG İLAÇ KİMYA SAN. TİC. LTD. ŞTİ.</v>
          </cell>
          <cell r="D2701" t="str">
            <v>SMB</v>
          </cell>
          <cell r="E2701">
            <v>0</v>
          </cell>
          <cell r="F2701" t="str">
            <v>A-MB777</v>
          </cell>
          <cell r="G2701">
            <v>45602</v>
          </cell>
        </row>
        <row r="2702">
          <cell r="C2702" t="str">
            <v>TL</v>
          </cell>
          <cell r="D2702" t="str">
            <v>SMB</v>
          </cell>
        </row>
        <row r="2703">
          <cell r="C2703" t="str">
            <v>USD</v>
          </cell>
          <cell r="D2703" t="str">
            <v>SMB</v>
          </cell>
          <cell r="G2703">
            <v>45602</v>
          </cell>
        </row>
        <row r="2704">
          <cell r="C2704" t="str">
            <v>EUR</v>
          </cell>
          <cell r="D2704" t="str">
            <v>SMB</v>
          </cell>
        </row>
        <row r="2705">
          <cell r="C2705" t="str">
            <v>Kur Sabitleme</v>
          </cell>
          <cell r="D2705" t="str">
            <v>SMB</v>
          </cell>
        </row>
        <row r="2706">
          <cell r="C2706" t="str">
            <v>ÇELİK KULE METALÜRJİ SAN.VE TİC.LTD.ŞTİ</v>
          </cell>
          <cell r="D2706" t="str">
            <v>SMB</v>
          </cell>
          <cell r="E2706">
            <v>0</v>
          </cell>
          <cell r="F2706" t="str">
            <v>A-MB789</v>
          </cell>
          <cell r="G2706">
            <v>45621</v>
          </cell>
        </row>
        <row r="2707">
          <cell r="C2707" t="str">
            <v>TL</v>
          </cell>
          <cell r="D2707" t="str">
            <v>SMB</v>
          </cell>
        </row>
        <row r="2708">
          <cell r="C2708" t="str">
            <v>USD</v>
          </cell>
          <cell r="D2708" t="str">
            <v>SMB</v>
          </cell>
          <cell r="G2708">
            <v>45621</v>
          </cell>
        </row>
        <row r="2709">
          <cell r="C2709" t="str">
            <v>EUR</v>
          </cell>
          <cell r="D2709" t="str">
            <v>SMB</v>
          </cell>
        </row>
        <row r="2710">
          <cell r="C2710" t="str">
            <v>Kur Sabitleme</v>
          </cell>
          <cell r="D2710" t="str">
            <v>SMB</v>
          </cell>
        </row>
        <row r="2711">
          <cell r="C2711" t="str">
            <v>İZMİR EKRAN (MUD BİLİŞİM)</v>
          </cell>
          <cell r="D2711" t="str">
            <v>SMB</v>
          </cell>
          <cell r="E2711">
            <v>0</v>
          </cell>
          <cell r="F2711" t="str">
            <v>A-MB794</v>
          </cell>
          <cell r="G2711">
            <v>45624</v>
          </cell>
        </row>
        <row r="2712">
          <cell r="C2712" t="str">
            <v>TL</v>
          </cell>
          <cell r="D2712" t="str">
            <v>SMB</v>
          </cell>
        </row>
        <row r="2713">
          <cell r="C2713" t="str">
            <v>USD</v>
          </cell>
          <cell r="D2713" t="str">
            <v>SMB</v>
          </cell>
          <cell r="G2713">
            <v>45624</v>
          </cell>
        </row>
        <row r="2714">
          <cell r="C2714" t="str">
            <v>USD</v>
          </cell>
          <cell r="D2714" t="str">
            <v>SMB</v>
          </cell>
          <cell r="G2714">
            <v>45929</v>
          </cell>
        </row>
        <row r="2715">
          <cell r="C2715" t="str">
            <v>EUR</v>
          </cell>
          <cell r="D2715" t="str">
            <v>SMB</v>
          </cell>
        </row>
        <row r="2716">
          <cell r="C2716" t="str">
            <v>Kur Sabitleme</v>
          </cell>
          <cell r="D2716" t="str">
            <v>SMB</v>
          </cell>
        </row>
        <row r="2717">
          <cell r="C2717" t="str">
            <v>AKSİN TEKNİK HIRDAVAT VE YAPI MALZEMELERİ SAN.TİC.</v>
          </cell>
          <cell r="D2717" t="str">
            <v>SMB</v>
          </cell>
          <cell r="E2717">
            <v>0</v>
          </cell>
          <cell r="F2717" t="str">
            <v>A-MB696</v>
          </cell>
          <cell r="G2717">
            <v>45600</v>
          </cell>
        </row>
        <row r="2718">
          <cell r="C2718" t="str">
            <v>TL</v>
          </cell>
          <cell r="D2718" t="str">
            <v>SMB</v>
          </cell>
        </row>
        <row r="2719">
          <cell r="C2719" t="str">
            <v>USD</v>
          </cell>
          <cell r="D2719" t="str">
            <v>SMB</v>
          </cell>
          <cell r="G2719">
            <v>45600</v>
          </cell>
        </row>
        <row r="2720">
          <cell r="C2720" t="str">
            <v>USD</v>
          </cell>
          <cell r="D2720" t="str">
            <v>SMB</v>
          </cell>
        </row>
        <row r="2721">
          <cell r="C2721" t="str">
            <v>EUR</v>
          </cell>
          <cell r="D2721" t="str">
            <v>SMB</v>
          </cell>
        </row>
        <row r="2722">
          <cell r="C2722" t="str">
            <v>Kur Sabitleme</v>
          </cell>
          <cell r="D2722" t="str">
            <v>SMB</v>
          </cell>
        </row>
        <row r="2723">
          <cell r="C2723" t="str">
            <v>TÜRKİYE ŞİŞE VE CAM FABRİKALARI A.Ş.</v>
          </cell>
          <cell r="D2723" t="str">
            <v>Enterprise</v>
          </cell>
          <cell r="E2723" t="e">
            <v>#N/A</v>
          </cell>
          <cell r="F2723" t="str">
            <v>A-MB788</v>
          </cell>
          <cell r="G2723">
            <v>45576</v>
          </cell>
        </row>
        <row r="2724">
          <cell r="C2724" t="str">
            <v>TL</v>
          </cell>
          <cell r="D2724" t="str">
            <v>Enterprise</v>
          </cell>
        </row>
        <row r="2725">
          <cell r="C2725" t="str">
            <v>USD</v>
          </cell>
          <cell r="D2725" t="str">
            <v>Enterprise</v>
          </cell>
          <cell r="G2725">
            <v>45576</v>
          </cell>
        </row>
        <row r="2726">
          <cell r="C2726" t="str">
            <v>EUR</v>
          </cell>
          <cell r="D2726" t="str">
            <v>Enterprise</v>
          </cell>
        </row>
        <row r="2727">
          <cell r="C2727" t="str">
            <v>Kur Sabitleme</v>
          </cell>
          <cell r="D2727" t="str">
            <v>Enterprise</v>
          </cell>
        </row>
        <row r="2728">
          <cell r="C2728" t="str">
            <v>ADA GROUP MEKANİK VE MÜHENDİSLİK İNŞAAT SAN.LTD.ŞT</v>
          </cell>
          <cell r="D2728" t="str">
            <v>SMB</v>
          </cell>
          <cell r="E2728">
            <v>0</v>
          </cell>
          <cell r="F2728" t="str">
            <v>A-MB696</v>
          </cell>
          <cell r="G2728">
            <v>45666</v>
          </cell>
        </row>
        <row r="2729">
          <cell r="C2729" t="str">
            <v>TL</v>
          </cell>
          <cell r="D2729" t="str">
            <v>SMB</v>
          </cell>
        </row>
        <row r="2730">
          <cell r="C2730" t="str">
            <v>USD</v>
          </cell>
          <cell r="D2730" t="str">
            <v>SMB</v>
          </cell>
          <cell r="G2730">
            <v>45666</v>
          </cell>
        </row>
        <row r="2731">
          <cell r="C2731" t="str">
            <v>EUR</v>
          </cell>
          <cell r="D2731" t="str">
            <v>SMB</v>
          </cell>
        </row>
        <row r="2732">
          <cell r="C2732" t="str">
            <v>Kur Sabitleme</v>
          </cell>
          <cell r="D2732" t="str">
            <v>SMB</v>
          </cell>
        </row>
        <row r="2733">
          <cell r="C2733" t="str">
            <v>AKSAL TEKSTIL VE ELYAF SANAYI TICARET ANONIM</v>
          </cell>
          <cell r="D2733" t="str">
            <v>SMB</v>
          </cell>
          <cell r="E2733">
            <v>0</v>
          </cell>
          <cell r="F2733" t="str">
            <v>A-MB804</v>
          </cell>
          <cell r="G2733">
            <v>45627</v>
          </cell>
        </row>
        <row r="2734">
          <cell r="C2734" t="str">
            <v>TL</v>
          </cell>
          <cell r="D2734" t="str">
            <v>SMB</v>
          </cell>
        </row>
        <row r="2735">
          <cell r="C2735" t="str">
            <v>USD</v>
          </cell>
          <cell r="D2735" t="str">
            <v>SMB</v>
          </cell>
          <cell r="G2735">
            <v>45627</v>
          </cell>
        </row>
        <row r="2736">
          <cell r="C2736" t="str">
            <v>EUR</v>
          </cell>
          <cell r="D2736" t="str">
            <v>SMB</v>
          </cell>
        </row>
        <row r="2737">
          <cell r="C2737" t="str">
            <v>Kur Sabitleme</v>
          </cell>
          <cell r="D2737" t="str">
            <v>SMB</v>
          </cell>
        </row>
        <row r="2738">
          <cell r="C2738" t="str">
            <v>ARTROTEK TIBBİ MALZEME SANAYİ VE TİC.LTD.ŞTİ</v>
          </cell>
          <cell r="D2738" t="str">
            <v>SMB</v>
          </cell>
          <cell r="E2738">
            <v>0</v>
          </cell>
          <cell r="F2738" t="str">
            <v>A-MB674</v>
          </cell>
          <cell r="G2738">
            <v>45649</v>
          </cell>
        </row>
        <row r="2739">
          <cell r="C2739" t="str">
            <v>TL</v>
          </cell>
          <cell r="D2739" t="str">
            <v>SMB</v>
          </cell>
        </row>
        <row r="2740">
          <cell r="C2740" t="str">
            <v>USD</v>
          </cell>
          <cell r="D2740" t="str">
            <v>SMB</v>
          </cell>
          <cell r="G2740">
            <v>45649</v>
          </cell>
        </row>
        <row r="2741">
          <cell r="C2741" t="str">
            <v>USD</v>
          </cell>
          <cell r="D2741" t="str">
            <v>SMB</v>
          </cell>
          <cell r="G2741">
            <v>45733</v>
          </cell>
        </row>
        <row r="2742">
          <cell r="C2742" t="str">
            <v>USD</v>
          </cell>
          <cell r="D2742" t="str">
            <v>SMB</v>
          </cell>
        </row>
        <row r="2743">
          <cell r="C2743" t="str">
            <v>EUR</v>
          </cell>
          <cell r="D2743" t="str">
            <v>SMB</v>
          </cell>
        </row>
        <row r="2744">
          <cell r="C2744" t="str">
            <v>Kur Sabitleme</v>
          </cell>
          <cell r="D2744" t="str">
            <v>SMB</v>
          </cell>
        </row>
        <row r="2745">
          <cell r="C2745" t="str">
            <v>DOGAN METE MİMARLIK INSAAT</v>
          </cell>
          <cell r="D2745" t="str">
            <v>SMB</v>
          </cell>
          <cell r="E2745">
            <v>0</v>
          </cell>
          <cell r="F2745" t="str">
            <v>A-MB805</v>
          </cell>
          <cell r="G2745">
            <v>45639</v>
          </cell>
        </row>
        <row r="2746">
          <cell r="C2746" t="str">
            <v>TL</v>
          </cell>
          <cell r="D2746" t="str">
            <v>SMB</v>
          </cell>
        </row>
        <row r="2747">
          <cell r="C2747" t="str">
            <v>USD</v>
          </cell>
          <cell r="D2747" t="str">
            <v>SMB</v>
          </cell>
          <cell r="G2747">
            <v>45639</v>
          </cell>
        </row>
        <row r="2748">
          <cell r="C2748" t="str">
            <v>EUR</v>
          </cell>
          <cell r="D2748" t="str">
            <v>SMB</v>
          </cell>
        </row>
        <row r="2749">
          <cell r="C2749" t="str">
            <v>Kur Sabitleme</v>
          </cell>
          <cell r="D2749" t="str">
            <v>SMB</v>
          </cell>
        </row>
        <row r="2750">
          <cell r="C2750" t="str">
            <v>ERDOĞANLAR OTOMOTİV MAK SAN. TİC. LTD. ŞTİ.</v>
          </cell>
          <cell r="D2750" t="str">
            <v>SMB</v>
          </cell>
          <cell r="E2750">
            <v>0</v>
          </cell>
          <cell r="F2750" t="str">
            <v>A-MB662</v>
          </cell>
          <cell r="G2750">
            <v>45636</v>
          </cell>
        </row>
        <row r="2751">
          <cell r="C2751" t="str">
            <v>TL</v>
          </cell>
          <cell r="D2751" t="str">
            <v>SMB</v>
          </cell>
        </row>
        <row r="2752">
          <cell r="C2752" t="str">
            <v>USD</v>
          </cell>
          <cell r="D2752" t="str">
            <v>SMB</v>
          </cell>
          <cell r="G2752">
            <v>45636</v>
          </cell>
        </row>
        <row r="2753">
          <cell r="C2753" t="str">
            <v>EUR</v>
          </cell>
          <cell r="D2753" t="str">
            <v>SMB</v>
          </cell>
        </row>
        <row r="2754">
          <cell r="C2754" t="str">
            <v>Kur Sabitleme</v>
          </cell>
          <cell r="D2754" t="str">
            <v>SMB</v>
          </cell>
        </row>
        <row r="2755">
          <cell r="C2755" t="str">
            <v>HELS ENDÜSTRİYEL MAMÜLLER SANAYİ TİC. LTD. ŞTİ.</v>
          </cell>
          <cell r="D2755" t="str">
            <v>SMB</v>
          </cell>
          <cell r="E2755">
            <v>0</v>
          </cell>
          <cell r="F2755" t="str">
            <v>A-MB806</v>
          </cell>
          <cell r="G2755">
            <v>45629</v>
          </cell>
        </row>
        <row r="2756">
          <cell r="C2756" t="str">
            <v>TL</v>
          </cell>
          <cell r="D2756" t="str">
            <v>SMB</v>
          </cell>
        </row>
        <row r="2757">
          <cell r="C2757" t="str">
            <v>USD</v>
          </cell>
          <cell r="D2757" t="str">
            <v>SMB</v>
          </cell>
          <cell r="G2757">
            <v>45629</v>
          </cell>
        </row>
        <row r="2758">
          <cell r="C2758" t="str">
            <v>EUR</v>
          </cell>
          <cell r="D2758" t="str">
            <v>SMB</v>
          </cell>
        </row>
        <row r="2759">
          <cell r="C2759" t="str">
            <v>Kur Sabitleme</v>
          </cell>
          <cell r="D2759" t="str">
            <v>SMB</v>
          </cell>
        </row>
        <row r="2760">
          <cell r="C2760" t="str">
            <v>MODA ENERJİ</v>
          </cell>
          <cell r="D2760" t="str">
            <v>SMB</v>
          </cell>
          <cell r="E2760">
            <v>0</v>
          </cell>
          <cell r="F2760" t="str">
            <v>A-MB798</v>
          </cell>
          <cell r="G2760">
            <v>45657</v>
          </cell>
        </row>
        <row r="2761">
          <cell r="C2761" t="str">
            <v>TL</v>
          </cell>
          <cell r="D2761" t="str">
            <v>SMB</v>
          </cell>
          <cell r="G2761">
            <v>45657</v>
          </cell>
        </row>
        <row r="2762">
          <cell r="C2762" t="str">
            <v>USD</v>
          </cell>
          <cell r="D2762" t="str">
            <v>SMB</v>
          </cell>
          <cell r="G2762">
            <v>45716</v>
          </cell>
        </row>
        <row r="2763">
          <cell r="C2763" t="str">
            <v>EUR</v>
          </cell>
          <cell r="D2763" t="str">
            <v>SMB</v>
          </cell>
        </row>
        <row r="2764">
          <cell r="C2764" t="str">
            <v>Kur Sabitleme</v>
          </cell>
          <cell r="D2764" t="str">
            <v>SMB</v>
          </cell>
        </row>
        <row r="2765">
          <cell r="C2765" t="str">
            <v>Ömür Akkor Anadolu  Gastronomi Vakfı</v>
          </cell>
          <cell r="D2765" t="str">
            <v>SMB</v>
          </cell>
          <cell r="E2765">
            <v>0</v>
          </cell>
          <cell r="F2765" t="str">
            <v>A-MB807</v>
          </cell>
          <cell r="G2765">
            <v>45627</v>
          </cell>
        </row>
        <row r="2766">
          <cell r="C2766" t="str">
            <v>TL</v>
          </cell>
          <cell r="D2766" t="str">
            <v>SMB</v>
          </cell>
        </row>
        <row r="2767">
          <cell r="C2767" t="str">
            <v>USD</v>
          </cell>
          <cell r="D2767" t="str">
            <v>SMB</v>
          </cell>
          <cell r="G2767">
            <v>45627</v>
          </cell>
        </row>
        <row r="2768">
          <cell r="C2768" t="str">
            <v>EUR</v>
          </cell>
          <cell r="D2768" t="str">
            <v>SMB</v>
          </cell>
        </row>
        <row r="2769">
          <cell r="C2769" t="str">
            <v>Kur Sabitleme</v>
          </cell>
          <cell r="D2769" t="str">
            <v>SMB</v>
          </cell>
        </row>
        <row r="2770">
          <cell r="C2770" t="str">
            <v>ORONTES GIDA SANAYİ VE TİCARET A.Ş</v>
          </cell>
          <cell r="D2770" t="str">
            <v>SMB</v>
          </cell>
          <cell r="E2770">
            <v>0</v>
          </cell>
          <cell r="F2770" t="str">
            <v>A-MB724</v>
          </cell>
          <cell r="G2770">
            <v>45631</v>
          </cell>
        </row>
        <row r="2771">
          <cell r="C2771" t="str">
            <v>TL</v>
          </cell>
          <cell r="D2771" t="str">
            <v>SMB</v>
          </cell>
        </row>
        <row r="2772">
          <cell r="C2772" t="str">
            <v>USD</v>
          </cell>
          <cell r="D2772" t="str">
            <v>SMB</v>
          </cell>
          <cell r="G2772">
            <v>45631</v>
          </cell>
        </row>
        <row r="2773">
          <cell r="C2773" t="str">
            <v>EUR</v>
          </cell>
          <cell r="D2773" t="str">
            <v>SMB</v>
          </cell>
        </row>
        <row r="2774">
          <cell r="C2774" t="str">
            <v>Kur Sabitleme</v>
          </cell>
          <cell r="D2774" t="str">
            <v>SMB</v>
          </cell>
        </row>
        <row r="2775">
          <cell r="C2775" t="str">
            <v>PRODIGITAL - P REKLAM ÜRÜNLERİ SATIŞ VE UYGULAMA L</v>
          </cell>
          <cell r="D2775" t="str">
            <v>SMB</v>
          </cell>
          <cell r="E2775">
            <v>0</v>
          </cell>
          <cell r="F2775" t="str">
            <v>A-MB637</v>
          </cell>
          <cell r="G2775">
            <v>45644</v>
          </cell>
        </row>
        <row r="2776">
          <cell r="C2776" t="str">
            <v>TL</v>
          </cell>
          <cell r="D2776" t="str">
            <v>SMB</v>
          </cell>
        </row>
        <row r="2777">
          <cell r="C2777" t="str">
            <v>USD</v>
          </cell>
          <cell r="D2777" t="str">
            <v>SMB</v>
          </cell>
          <cell r="G2777">
            <v>45644</v>
          </cell>
        </row>
        <row r="2778">
          <cell r="C2778" t="str">
            <v>EUR</v>
          </cell>
          <cell r="D2778" t="str">
            <v>SMB</v>
          </cell>
        </row>
        <row r="2779">
          <cell r="C2779" t="str">
            <v>Kur Sabitleme</v>
          </cell>
          <cell r="D2779" t="str">
            <v>SMB</v>
          </cell>
        </row>
        <row r="2780">
          <cell r="C2780" t="str">
            <v>SERET ET VE GIDA SAN. TİC. LTD. ŞTİ.</v>
          </cell>
          <cell r="D2780" t="str">
            <v>SMB</v>
          </cell>
          <cell r="E2780">
            <v>0</v>
          </cell>
          <cell r="F2780" t="str">
            <v>A-MB708</v>
          </cell>
          <cell r="G2780">
            <v>45636</v>
          </cell>
        </row>
        <row r="2781">
          <cell r="C2781" t="str">
            <v>TL</v>
          </cell>
          <cell r="D2781" t="str">
            <v>SMB</v>
          </cell>
        </row>
        <row r="2782">
          <cell r="C2782" t="str">
            <v>USD</v>
          </cell>
          <cell r="D2782" t="str">
            <v>SMB</v>
          </cell>
          <cell r="G2782">
            <v>45636</v>
          </cell>
        </row>
        <row r="2783">
          <cell r="C2783" t="str">
            <v>USD</v>
          </cell>
          <cell r="D2783" t="str">
            <v>SMB</v>
          </cell>
          <cell r="G2783">
            <v>45638</v>
          </cell>
        </row>
        <row r="2784">
          <cell r="C2784" t="str">
            <v>EUR</v>
          </cell>
          <cell r="D2784" t="str">
            <v>SMB</v>
          </cell>
        </row>
        <row r="2785">
          <cell r="C2785" t="str">
            <v>Kur Sabitleme</v>
          </cell>
          <cell r="D2785" t="str">
            <v>SMB</v>
          </cell>
        </row>
        <row r="2786">
          <cell r="C2786" t="str">
            <v>ARVATO LOJİSTİK DIŞ TİC.VE E TİC.HİZMETLERİ A.Ş.</v>
          </cell>
          <cell r="D2786" t="str">
            <v>Enterprise</v>
          </cell>
          <cell r="E2786">
            <v>0</v>
          </cell>
          <cell r="F2786" t="str">
            <v>A-MB799</v>
          </cell>
          <cell r="G2786">
            <v>45657</v>
          </cell>
        </row>
        <row r="2787">
          <cell r="C2787" t="str">
            <v>TL</v>
          </cell>
          <cell r="D2787" t="str">
            <v>Enterprise</v>
          </cell>
          <cell r="G2787">
            <v>45657</v>
          </cell>
        </row>
        <row r="2788">
          <cell r="C2788" t="str">
            <v>USD</v>
          </cell>
          <cell r="D2788" t="str">
            <v>Enterprise</v>
          </cell>
        </row>
        <row r="2789">
          <cell r="C2789" t="str">
            <v>EUR</v>
          </cell>
          <cell r="D2789" t="str">
            <v>Enterprise</v>
          </cell>
        </row>
        <row r="2790">
          <cell r="C2790" t="str">
            <v>Kur Sabitleme</v>
          </cell>
          <cell r="D2790" t="str">
            <v>Enterprise</v>
          </cell>
        </row>
        <row r="2791">
          <cell r="C2791" t="str">
            <v>LİLA KAĞIT SANAYİ VE TİCARET A.Ş.</v>
          </cell>
          <cell r="D2791" t="str">
            <v>Enterprise</v>
          </cell>
          <cell r="E2791">
            <v>0</v>
          </cell>
          <cell r="F2791" t="str">
            <v>A-MB800</v>
          </cell>
          <cell r="G2791">
            <v>45657</v>
          </cell>
        </row>
        <row r="2792">
          <cell r="C2792" t="str">
            <v>TL</v>
          </cell>
          <cell r="D2792" t="str">
            <v>Enterprise</v>
          </cell>
          <cell r="G2792">
            <v>45657</v>
          </cell>
        </row>
        <row r="2793">
          <cell r="C2793" t="str">
            <v>USD</v>
          </cell>
          <cell r="D2793" t="str">
            <v>Enterprise</v>
          </cell>
        </row>
        <row r="2794">
          <cell r="C2794" t="str">
            <v>EUR</v>
          </cell>
          <cell r="D2794" t="str">
            <v>Enterprise</v>
          </cell>
        </row>
        <row r="2795">
          <cell r="C2795" t="str">
            <v>Kur Sabitleme</v>
          </cell>
          <cell r="D2795" t="str">
            <v>Enterprise</v>
          </cell>
        </row>
        <row r="2796">
          <cell r="C2796" t="str">
            <v>ARON MIMARLIK</v>
          </cell>
          <cell r="D2796" t="str">
            <v>SMB</v>
          </cell>
          <cell r="E2796">
            <v>0</v>
          </cell>
          <cell r="F2796" t="str">
            <v>A-MB553</v>
          </cell>
          <cell r="G2796">
            <v>45688</v>
          </cell>
        </row>
        <row r="2797">
          <cell r="C2797" t="str">
            <v>TL</v>
          </cell>
          <cell r="D2797" t="str">
            <v>SMB</v>
          </cell>
          <cell r="G2797">
            <v>45688</v>
          </cell>
        </row>
        <row r="2798">
          <cell r="C2798" t="str">
            <v>USD</v>
          </cell>
          <cell r="D2798" t="str">
            <v>SMB</v>
          </cell>
          <cell r="G2798">
            <v>45931</v>
          </cell>
        </row>
        <row r="2799">
          <cell r="C2799" t="str">
            <v>EUR</v>
          </cell>
          <cell r="D2799" t="str">
            <v>SMB</v>
          </cell>
        </row>
        <row r="2800">
          <cell r="C2800" t="str">
            <v>Kur Sabitleme</v>
          </cell>
          <cell r="D2800" t="str">
            <v>SMB</v>
          </cell>
        </row>
        <row r="2801">
          <cell r="C2801" t="str">
            <v>DİNAMİK BARKOD OTOMASYON YAZILIM MÜHENDİSLİK BİLİŞ</v>
          </cell>
          <cell r="D2801" t="str">
            <v>SMB</v>
          </cell>
          <cell r="E2801">
            <v>0</v>
          </cell>
          <cell r="F2801" t="str">
            <v>A-MB724</v>
          </cell>
          <cell r="G2801">
            <v>45685</v>
          </cell>
        </row>
        <row r="2802">
          <cell r="C2802" t="str">
            <v>TL</v>
          </cell>
          <cell r="D2802" t="str">
            <v>SMB</v>
          </cell>
        </row>
        <row r="2803">
          <cell r="C2803" t="str">
            <v>USD</v>
          </cell>
          <cell r="D2803" t="str">
            <v>SMB</v>
          </cell>
          <cell r="G2803">
            <v>45685</v>
          </cell>
        </row>
        <row r="2804">
          <cell r="C2804" t="str">
            <v>EUR</v>
          </cell>
          <cell r="D2804" t="str">
            <v>SMB</v>
          </cell>
        </row>
        <row r="2805">
          <cell r="C2805" t="str">
            <v>Kur Sabitleme</v>
          </cell>
          <cell r="D2805" t="str">
            <v>SMB</v>
          </cell>
        </row>
        <row r="2806">
          <cell r="C2806" t="str">
            <v>EMEÇ GIDA PAZARLAMA NAKLİYAT SAN. VE TİC.LTD.ŞTİ.</v>
          </cell>
          <cell r="D2806" t="str">
            <v>SMB</v>
          </cell>
          <cell r="E2806">
            <v>0</v>
          </cell>
          <cell r="F2806" t="str">
            <v>A-MB724</v>
          </cell>
          <cell r="G2806">
            <v>45666</v>
          </cell>
        </row>
        <row r="2807">
          <cell r="C2807" t="str">
            <v>TL</v>
          </cell>
          <cell r="D2807" t="str">
            <v>SMB</v>
          </cell>
        </row>
        <row r="2808">
          <cell r="C2808" t="str">
            <v>USD</v>
          </cell>
          <cell r="D2808" t="str">
            <v>SMB</v>
          </cell>
          <cell r="G2808">
            <v>45666</v>
          </cell>
        </row>
        <row r="2809">
          <cell r="C2809" t="str">
            <v>EUR</v>
          </cell>
          <cell r="D2809" t="str">
            <v>SMB</v>
          </cell>
        </row>
        <row r="2810">
          <cell r="C2810" t="str">
            <v>Kur Sabitleme</v>
          </cell>
          <cell r="D2810" t="str">
            <v>SMB</v>
          </cell>
        </row>
        <row r="2811">
          <cell r="C2811" t="str">
            <v>GÜLER MOBİLYA VE BEYAZ EŞYA - HASAN GÜLER</v>
          </cell>
          <cell r="D2811" t="str">
            <v>SMB</v>
          </cell>
          <cell r="E2811">
            <v>0</v>
          </cell>
          <cell r="F2811" t="str">
            <v>A-MB724</v>
          </cell>
          <cell r="G2811">
            <v>45663</v>
          </cell>
        </row>
        <row r="2812">
          <cell r="C2812" t="str">
            <v>TL</v>
          </cell>
          <cell r="D2812" t="str">
            <v>SMB</v>
          </cell>
        </row>
        <row r="2813">
          <cell r="C2813" t="str">
            <v>USD</v>
          </cell>
          <cell r="D2813" t="str">
            <v>SMB</v>
          </cell>
          <cell r="G2813">
            <v>45663</v>
          </cell>
        </row>
        <row r="2814">
          <cell r="C2814" t="str">
            <v>EUR</v>
          </cell>
          <cell r="D2814" t="str">
            <v>SMB</v>
          </cell>
        </row>
        <row r="2815">
          <cell r="C2815" t="str">
            <v>Kur Sabitleme</v>
          </cell>
          <cell r="D2815" t="str">
            <v>SMB</v>
          </cell>
        </row>
        <row r="2816">
          <cell r="C2816" t="str">
            <v>KAYRA İPLİK A.Ş.</v>
          </cell>
          <cell r="D2816" t="str">
            <v>SMB</v>
          </cell>
          <cell r="E2816">
            <v>0</v>
          </cell>
          <cell r="F2816" t="str">
            <v>A-MB724</v>
          </cell>
          <cell r="G2816">
            <v>45688</v>
          </cell>
        </row>
        <row r="2817">
          <cell r="C2817" t="str">
            <v>TL</v>
          </cell>
          <cell r="D2817" t="str">
            <v>SMB</v>
          </cell>
        </row>
        <row r="2818">
          <cell r="C2818" t="str">
            <v>USD</v>
          </cell>
          <cell r="D2818" t="str">
            <v>SMB</v>
          </cell>
          <cell r="G2818">
            <v>45688</v>
          </cell>
        </row>
        <row r="2819">
          <cell r="C2819" t="str">
            <v>EUR</v>
          </cell>
          <cell r="D2819" t="str">
            <v>SMB</v>
          </cell>
        </row>
        <row r="2820">
          <cell r="C2820" t="str">
            <v>Kur Sabitleme</v>
          </cell>
          <cell r="D2820" t="str">
            <v>SMB</v>
          </cell>
        </row>
        <row r="2821">
          <cell r="C2821" t="str">
            <v>KOREL ELEKTRİK VE GEMİ MALZEMELERİ SAN.TİC.LTD.ŞTİ</v>
          </cell>
          <cell r="D2821" t="str">
            <v>SMB</v>
          </cell>
          <cell r="E2821">
            <v>0</v>
          </cell>
          <cell r="F2821" t="str">
            <v>A-MB818</v>
          </cell>
          <cell r="G2821">
            <v>45685</v>
          </cell>
        </row>
        <row r="2822">
          <cell r="C2822" t="str">
            <v>TL</v>
          </cell>
          <cell r="D2822" t="str">
            <v>SMB</v>
          </cell>
        </row>
        <row r="2823">
          <cell r="C2823" t="str">
            <v>USD</v>
          </cell>
          <cell r="D2823" t="str">
            <v>SMB</v>
          </cell>
          <cell r="G2823">
            <v>45685</v>
          </cell>
        </row>
        <row r="2824">
          <cell r="C2824" t="str">
            <v>EUR</v>
          </cell>
          <cell r="D2824" t="str">
            <v>SMB</v>
          </cell>
        </row>
        <row r="2825">
          <cell r="C2825" t="str">
            <v>Kur Sabitleme</v>
          </cell>
          <cell r="D2825" t="str">
            <v>SMB</v>
          </cell>
        </row>
        <row r="2826">
          <cell r="C2826" t="str">
            <v>CHİP COMPUTER BİLGİ İŞLEM VE DAN.HİZ.LTD.ŞTİ.</v>
          </cell>
          <cell r="D2826" t="str">
            <v>SMB</v>
          </cell>
          <cell r="E2826">
            <v>0</v>
          </cell>
          <cell r="F2826" t="str">
            <v>A-MB819</v>
          </cell>
          <cell r="G2826">
            <v>45645</v>
          </cell>
        </row>
        <row r="2827">
          <cell r="C2827" t="str">
            <v>TL</v>
          </cell>
          <cell r="D2827" t="str">
            <v>SMB</v>
          </cell>
          <cell r="G2827">
            <v>45645</v>
          </cell>
        </row>
        <row r="2828">
          <cell r="C2828" t="str">
            <v>USD</v>
          </cell>
          <cell r="D2828" t="str">
            <v>SMB</v>
          </cell>
        </row>
        <row r="2829">
          <cell r="C2829" t="str">
            <v>EUR</v>
          </cell>
          <cell r="D2829" t="str">
            <v>SMB</v>
          </cell>
        </row>
        <row r="2830">
          <cell r="C2830" t="str">
            <v>Kur Sabitleme</v>
          </cell>
          <cell r="D2830" t="str">
            <v>SMB</v>
          </cell>
        </row>
        <row r="2831">
          <cell r="C2831" t="str">
            <v>DT MÜHENDİSLİK VE TAAHHÜT ANONİM SİRKETİ</v>
          </cell>
          <cell r="D2831" t="str">
            <v>SMB</v>
          </cell>
          <cell r="E2831">
            <v>0</v>
          </cell>
          <cell r="F2831" t="str">
            <v>A-MB801</v>
          </cell>
          <cell r="G2831">
            <v>45630</v>
          </cell>
        </row>
        <row r="2832">
          <cell r="C2832" t="str">
            <v>TL</v>
          </cell>
          <cell r="D2832" t="str">
            <v>SMB</v>
          </cell>
        </row>
        <row r="2833">
          <cell r="C2833" t="str">
            <v>USD</v>
          </cell>
          <cell r="D2833" t="str">
            <v>SMB</v>
          </cell>
          <cell r="G2833">
            <v>45630</v>
          </cell>
        </row>
        <row r="2834">
          <cell r="C2834" t="str">
            <v>EUR</v>
          </cell>
          <cell r="D2834" t="str">
            <v>SMB</v>
          </cell>
        </row>
        <row r="2835">
          <cell r="C2835" t="str">
            <v>Kur Sabitleme</v>
          </cell>
          <cell r="D2835" t="str">
            <v>SMB</v>
          </cell>
        </row>
        <row r="2836">
          <cell r="C2836" t="str">
            <v>EGGO GROUP (URFASAN)</v>
          </cell>
          <cell r="D2836" t="str">
            <v>SMB</v>
          </cell>
          <cell r="E2836">
            <v>0</v>
          </cell>
          <cell r="F2836" t="str">
            <v>A-MB820</v>
          </cell>
          <cell r="G2836">
            <v>45646</v>
          </cell>
        </row>
        <row r="2837">
          <cell r="C2837" t="str">
            <v>TL</v>
          </cell>
          <cell r="D2837" t="str">
            <v>SMB</v>
          </cell>
          <cell r="G2837">
            <v>45646</v>
          </cell>
        </row>
        <row r="2838">
          <cell r="C2838" t="str">
            <v>USD</v>
          </cell>
          <cell r="D2838" t="str">
            <v>SMB</v>
          </cell>
        </row>
        <row r="2839">
          <cell r="C2839" t="str">
            <v>EUR</v>
          </cell>
          <cell r="D2839" t="str">
            <v>SMB</v>
          </cell>
        </row>
        <row r="2840">
          <cell r="C2840" t="str">
            <v>Kur Sabitleme</v>
          </cell>
          <cell r="D2840" t="str">
            <v>SMB</v>
          </cell>
        </row>
        <row r="2841">
          <cell r="C2841" t="str">
            <v>IMPERIUM CIKOLATA GIDA VE PAZARLAMA DIS TİCARET LS</v>
          </cell>
          <cell r="D2841" t="str">
            <v>SMB</v>
          </cell>
          <cell r="E2841">
            <v>0</v>
          </cell>
          <cell r="F2841" t="str">
            <v>A-MB813</v>
          </cell>
          <cell r="G2841">
            <v>45649</v>
          </cell>
        </row>
        <row r="2842">
          <cell r="C2842" t="str">
            <v>TL</v>
          </cell>
          <cell r="D2842" t="str">
            <v>SMB</v>
          </cell>
        </row>
        <row r="2843">
          <cell r="C2843" t="str">
            <v>USD</v>
          </cell>
          <cell r="D2843" t="str">
            <v>SMB</v>
          </cell>
          <cell r="G2843">
            <v>45649</v>
          </cell>
        </row>
        <row r="2844">
          <cell r="C2844" t="str">
            <v>EUR</v>
          </cell>
          <cell r="D2844" t="str">
            <v>SMB</v>
          </cell>
        </row>
        <row r="2845">
          <cell r="C2845" t="str">
            <v>Kur Sabitleme</v>
          </cell>
          <cell r="D2845" t="str">
            <v>SMB</v>
          </cell>
        </row>
        <row r="2846">
          <cell r="C2846" t="str">
            <v>KARAVAN TURİZM SEYAHAT VE NAKLIYAT AS</v>
          </cell>
          <cell r="D2846" t="str">
            <v>SMB</v>
          </cell>
          <cell r="E2846">
            <v>0</v>
          </cell>
          <cell r="F2846" t="str">
            <v>A-MB815</v>
          </cell>
          <cell r="G2846">
            <v>45642</v>
          </cell>
        </row>
        <row r="2847">
          <cell r="C2847" t="str">
            <v>TL</v>
          </cell>
          <cell r="D2847" t="str">
            <v>SMB</v>
          </cell>
        </row>
        <row r="2848">
          <cell r="C2848" t="str">
            <v>USD</v>
          </cell>
          <cell r="D2848" t="str">
            <v>SMB</v>
          </cell>
          <cell r="G2848">
            <v>45642</v>
          </cell>
        </row>
        <row r="2849">
          <cell r="C2849" t="str">
            <v>EUR</v>
          </cell>
          <cell r="D2849" t="str">
            <v>SMB</v>
          </cell>
        </row>
        <row r="2850">
          <cell r="C2850" t="str">
            <v>Kur Sabitleme</v>
          </cell>
          <cell r="D2850" t="str">
            <v>SMB</v>
          </cell>
        </row>
        <row r="2851">
          <cell r="C2851" t="str">
            <v>KARTAL RULMANS</v>
          </cell>
          <cell r="D2851" t="str">
            <v>SMB</v>
          </cell>
          <cell r="E2851">
            <v>0</v>
          </cell>
          <cell r="F2851" t="str">
            <v>A-MB814</v>
          </cell>
          <cell r="G2851">
            <v>45629</v>
          </cell>
        </row>
        <row r="2852">
          <cell r="C2852" t="str">
            <v>TL</v>
          </cell>
          <cell r="D2852" t="str">
            <v>SMB</v>
          </cell>
          <cell r="G2852">
            <v>45629</v>
          </cell>
        </row>
        <row r="2853">
          <cell r="C2853" t="str">
            <v>USD</v>
          </cell>
          <cell r="D2853" t="str">
            <v>SMB</v>
          </cell>
        </row>
        <row r="2854">
          <cell r="C2854" t="str">
            <v>EUR</v>
          </cell>
          <cell r="D2854" t="str">
            <v>SMB</v>
          </cell>
        </row>
        <row r="2855">
          <cell r="C2855" t="str">
            <v>Kur Sabitleme</v>
          </cell>
          <cell r="D2855" t="str">
            <v>SMB</v>
          </cell>
        </row>
        <row r="2856">
          <cell r="C2856" t="str">
            <v>LİSA YAZILIM</v>
          </cell>
          <cell r="D2856" t="str">
            <v>SMB</v>
          </cell>
          <cell r="E2856">
            <v>0</v>
          </cell>
          <cell r="F2856" t="str">
            <v>A-MB816</v>
          </cell>
          <cell r="G2856">
            <v>45637</v>
          </cell>
        </row>
        <row r="2857">
          <cell r="C2857" t="str">
            <v>TL</v>
          </cell>
          <cell r="D2857" t="str">
            <v>SMB</v>
          </cell>
        </row>
        <row r="2858">
          <cell r="C2858" t="str">
            <v>USD</v>
          </cell>
          <cell r="D2858" t="str">
            <v>SMB</v>
          </cell>
          <cell r="G2858">
            <v>45637</v>
          </cell>
        </row>
        <row r="2859">
          <cell r="C2859" t="str">
            <v>USD</v>
          </cell>
          <cell r="D2859" t="str">
            <v>SMB</v>
          </cell>
          <cell r="G2859">
            <v>45637</v>
          </cell>
        </row>
        <row r="2860">
          <cell r="C2860" t="str">
            <v>EUR</v>
          </cell>
          <cell r="D2860" t="str">
            <v>SMB</v>
          </cell>
        </row>
        <row r="2861">
          <cell r="C2861" t="str">
            <v>Kur Sabitleme</v>
          </cell>
          <cell r="D2861" t="str">
            <v>SMB</v>
          </cell>
        </row>
        <row r="2862">
          <cell r="C2862" t="str">
            <v>SARAY DÖKÜM</v>
          </cell>
          <cell r="D2862" t="str">
            <v>SMB</v>
          </cell>
          <cell r="E2862">
            <v>0</v>
          </cell>
          <cell r="F2862" t="str">
            <v>A-MB812</v>
          </cell>
          <cell r="G2862">
            <v>45653</v>
          </cell>
        </row>
        <row r="2863">
          <cell r="C2863" t="str">
            <v>TL</v>
          </cell>
          <cell r="D2863" t="str">
            <v>SMB</v>
          </cell>
        </row>
        <row r="2864">
          <cell r="C2864" t="str">
            <v>USD</v>
          </cell>
          <cell r="D2864" t="str">
            <v>SMB</v>
          </cell>
          <cell r="G2864">
            <v>45653</v>
          </cell>
        </row>
        <row r="2865">
          <cell r="C2865" t="str">
            <v>EUR</v>
          </cell>
          <cell r="D2865" t="str">
            <v>SMB</v>
          </cell>
        </row>
        <row r="2866">
          <cell r="C2866" t="str">
            <v>Kur Sabitleme</v>
          </cell>
          <cell r="D2866" t="str">
            <v>SMB</v>
          </cell>
        </row>
        <row r="2867">
          <cell r="C2867" t="str">
            <v>Vigo Teknoloji ve Lojistik A.Ş.</v>
          </cell>
          <cell r="D2867" t="str">
            <v>Enterprise</v>
          </cell>
          <cell r="E2867">
            <v>0</v>
          </cell>
          <cell r="F2867" t="str">
            <v>A-MB792</v>
          </cell>
          <cell r="G2867">
            <v>45688</v>
          </cell>
        </row>
        <row r="2868">
          <cell r="C2868" t="str">
            <v>TL</v>
          </cell>
          <cell r="D2868" t="str">
            <v>Enterprise</v>
          </cell>
        </row>
        <row r="2869">
          <cell r="C2869" t="str">
            <v>USD</v>
          </cell>
          <cell r="D2869" t="str">
            <v>Enterprise</v>
          </cell>
          <cell r="G2869">
            <v>45688</v>
          </cell>
        </row>
        <row r="2870">
          <cell r="C2870" t="str">
            <v>EUR</v>
          </cell>
          <cell r="D2870" t="str">
            <v>Enterprise</v>
          </cell>
        </row>
        <row r="2871">
          <cell r="C2871" t="str">
            <v>Kur Sabitleme</v>
          </cell>
          <cell r="D2871" t="str">
            <v>Enterprise</v>
          </cell>
        </row>
        <row r="2872">
          <cell r="C2872" t="str">
            <v>MİDAS MENKUL DEĞERLER A.Ş.</v>
          </cell>
          <cell r="D2872" t="str">
            <v>Enterprise</v>
          </cell>
          <cell r="E2872">
            <v>0</v>
          </cell>
          <cell r="F2872" t="str">
            <v>A-MB821</v>
          </cell>
          <cell r="G2872">
            <v>45700</v>
          </cell>
        </row>
        <row r="2873">
          <cell r="C2873" t="str">
            <v>TL</v>
          </cell>
          <cell r="D2873" t="str">
            <v>Enterprise</v>
          </cell>
        </row>
        <row r="2874">
          <cell r="C2874" t="str">
            <v>USD</v>
          </cell>
          <cell r="D2874" t="str">
            <v>Enterprise</v>
          </cell>
          <cell r="G2874">
            <v>45700</v>
          </cell>
        </row>
        <row r="2875">
          <cell r="C2875" t="str">
            <v>EUR</v>
          </cell>
          <cell r="D2875" t="str">
            <v>Enterprise</v>
          </cell>
        </row>
        <row r="2876">
          <cell r="C2876" t="str">
            <v>Kur Sabitleme</v>
          </cell>
          <cell r="D2876" t="str">
            <v>Enterprise</v>
          </cell>
        </row>
        <row r="2877">
          <cell r="C2877" t="str">
            <v>CARREFOURSA CARREFOUR SABANCI TİCARET MERKEZİ A.Ş</v>
          </cell>
          <cell r="D2877" t="str">
            <v>Enterprise</v>
          </cell>
          <cell r="E2877">
            <v>0</v>
          </cell>
          <cell r="F2877" t="str">
            <v>A-MB793</v>
          </cell>
          <cell r="G2877">
            <v>45716</v>
          </cell>
        </row>
        <row r="2878">
          <cell r="C2878" t="str">
            <v>TL</v>
          </cell>
          <cell r="D2878" t="str">
            <v>Enterprise</v>
          </cell>
        </row>
        <row r="2879">
          <cell r="C2879" t="str">
            <v>USD</v>
          </cell>
          <cell r="D2879" t="str">
            <v>Enterprise</v>
          </cell>
          <cell r="G2879">
            <v>45716</v>
          </cell>
        </row>
        <row r="2880">
          <cell r="C2880" t="str">
            <v>EUR</v>
          </cell>
          <cell r="D2880" t="str">
            <v>Enterprise</v>
          </cell>
        </row>
        <row r="2881">
          <cell r="C2881" t="str">
            <v>Kur Sabitleme</v>
          </cell>
          <cell r="D2881" t="str">
            <v>Enterprise</v>
          </cell>
        </row>
        <row r="2882">
          <cell r="C2882" t="str">
            <v>ASSERSAN</v>
          </cell>
          <cell r="D2882" t="str">
            <v>SMB</v>
          </cell>
          <cell r="E2882">
            <v>0</v>
          </cell>
          <cell r="F2882" t="str">
            <v>A-MB826</v>
          </cell>
          <cell r="G2882">
            <v>45706</v>
          </cell>
        </row>
        <row r="2883">
          <cell r="C2883" t="str">
            <v>TL</v>
          </cell>
          <cell r="D2883" t="str">
            <v>SMB</v>
          </cell>
        </row>
        <row r="2884">
          <cell r="C2884" t="str">
            <v>USD</v>
          </cell>
          <cell r="D2884" t="str">
            <v>SMB</v>
          </cell>
          <cell r="G2884">
            <v>45706</v>
          </cell>
        </row>
        <row r="2885">
          <cell r="C2885" t="str">
            <v>EUR</v>
          </cell>
          <cell r="D2885" t="str">
            <v>SMB</v>
          </cell>
        </row>
        <row r="2886">
          <cell r="C2886" t="str">
            <v>Kur Sabitleme</v>
          </cell>
          <cell r="D2886" t="str">
            <v>SMB</v>
          </cell>
        </row>
        <row r="2887">
          <cell r="C2887" t="str">
            <v>FOM TURKEY</v>
          </cell>
          <cell r="D2887" t="str">
            <v>SMB</v>
          </cell>
          <cell r="E2887">
            <v>0</v>
          </cell>
          <cell r="F2887" t="str">
            <v>A-MB825</v>
          </cell>
          <cell r="G2887">
            <v>45689</v>
          </cell>
        </row>
        <row r="2888">
          <cell r="C2888" t="str">
            <v>TL</v>
          </cell>
          <cell r="D2888" t="str">
            <v>SMB</v>
          </cell>
          <cell r="G2888">
            <v>45689</v>
          </cell>
        </row>
        <row r="2889">
          <cell r="C2889" t="str">
            <v>USD</v>
          </cell>
          <cell r="D2889" t="str">
            <v>SMB</v>
          </cell>
          <cell r="G2889">
            <v>45722</v>
          </cell>
        </row>
        <row r="2890">
          <cell r="C2890" t="str">
            <v>EUR</v>
          </cell>
          <cell r="D2890" t="str">
            <v>SMB</v>
          </cell>
        </row>
        <row r="2891">
          <cell r="C2891" t="str">
            <v>Kur Sabitleme</v>
          </cell>
          <cell r="D2891" t="str">
            <v>SMB</v>
          </cell>
        </row>
        <row r="2892">
          <cell r="C2892" t="str">
            <v>HARUN TUNABOYLU</v>
          </cell>
          <cell r="D2892" t="str">
            <v>SMB</v>
          </cell>
          <cell r="E2892">
            <v>0</v>
          </cell>
          <cell r="F2892" t="str">
            <v>A-MB829</v>
          </cell>
          <cell r="G2892">
            <v>45691</v>
          </cell>
        </row>
        <row r="2893">
          <cell r="C2893" t="str">
            <v>TL</v>
          </cell>
          <cell r="D2893" t="str">
            <v>SMB</v>
          </cell>
        </row>
        <row r="2894">
          <cell r="C2894" t="str">
            <v>USD</v>
          </cell>
          <cell r="D2894" t="str">
            <v>SMB</v>
          </cell>
          <cell r="G2894">
            <v>45691</v>
          </cell>
        </row>
        <row r="2895">
          <cell r="C2895" t="str">
            <v>EUR</v>
          </cell>
          <cell r="D2895" t="str">
            <v>SMB</v>
          </cell>
        </row>
        <row r="2896">
          <cell r="C2896" t="str">
            <v>Kur Sabitleme</v>
          </cell>
          <cell r="D2896" t="str">
            <v>SMB</v>
          </cell>
        </row>
        <row r="2897">
          <cell r="C2897" t="str">
            <v>İZEM OTOMOTİV SEYAHAT TURİZM</v>
          </cell>
          <cell r="D2897" t="str">
            <v>SMB</v>
          </cell>
          <cell r="E2897">
            <v>0</v>
          </cell>
          <cell r="F2897" t="str">
            <v>A-MB824</v>
          </cell>
          <cell r="G2897">
            <v>45689</v>
          </cell>
        </row>
        <row r="2898">
          <cell r="C2898" t="str">
            <v>TL</v>
          </cell>
          <cell r="D2898" t="str">
            <v>SMB</v>
          </cell>
        </row>
        <row r="2899">
          <cell r="C2899" t="str">
            <v>USD</v>
          </cell>
          <cell r="D2899" t="str">
            <v>SMB</v>
          </cell>
          <cell r="G2899">
            <v>45689</v>
          </cell>
        </row>
        <row r="2900">
          <cell r="C2900" t="str">
            <v>EUR</v>
          </cell>
          <cell r="D2900" t="str">
            <v>SMB</v>
          </cell>
        </row>
        <row r="2901">
          <cell r="C2901" t="str">
            <v>Kur Sabitleme</v>
          </cell>
          <cell r="D2901" t="str">
            <v>SMB</v>
          </cell>
        </row>
        <row r="2902">
          <cell r="C2902" t="str">
            <v>KARBONSAN BASINÇLI KAPLAR SANAYİ VE TİCARET ANONİM</v>
          </cell>
          <cell r="D2902" t="str">
            <v>SMB</v>
          </cell>
          <cell r="E2902">
            <v>0</v>
          </cell>
          <cell r="F2902" t="str">
            <v>A-MB830</v>
          </cell>
          <cell r="G2902">
            <v>45689</v>
          </cell>
        </row>
        <row r="2903">
          <cell r="C2903" t="str">
            <v>TL</v>
          </cell>
          <cell r="D2903" t="str">
            <v>SMB</v>
          </cell>
        </row>
        <row r="2904">
          <cell r="C2904" t="str">
            <v>USD</v>
          </cell>
          <cell r="D2904" t="str">
            <v>SMB</v>
          </cell>
          <cell r="G2904">
            <v>45689</v>
          </cell>
        </row>
        <row r="2905">
          <cell r="C2905" t="str">
            <v>EUR</v>
          </cell>
          <cell r="D2905" t="str">
            <v>SMB</v>
          </cell>
        </row>
        <row r="2906">
          <cell r="C2906" t="str">
            <v>Kur Sabitleme</v>
          </cell>
          <cell r="D2906" t="str">
            <v>SMB</v>
          </cell>
        </row>
        <row r="2907">
          <cell r="C2907" t="str">
            <v>AGS.AKIN YANGIN SÖNDÜRME CİHAZLARI VE GÜVENLİK SİS</v>
          </cell>
          <cell r="D2907" t="str">
            <v>SMB</v>
          </cell>
          <cell r="E2907">
            <v>0</v>
          </cell>
          <cell r="F2907" t="str">
            <v>A-MB596</v>
          </cell>
          <cell r="G2907">
            <v>45712</v>
          </cell>
        </row>
        <row r="2908">
          <cell r="C2908" t="str">
            <v>TL</v>
          </cell>
          <cell r="D2908" t="str">
            <v>SMB</v>
          </cell>
          <cell r="G2908">
            <v>45712</v>
          </cell>
        </row>
        <row r="2909">
          <cell r="C2909" t="str">
            <v>USD</v>
          </cell>
          <cell r="D2909" t="str">
            <v>SMB</v>
          </cell>
        </row>
        <row r="2910">
          <cell r="C2910" t="str">
            <v>EUR</v>
          </cell>
          <cell r="D2910" t="str">
            <v>SMB</v>
          </cell>
        </row>
        <row r="2911">
          <cell r="C2911" t="str">
            <v>Kur Sabitleme</v>
          </cell>
          <cell r="D2911" t="str">
            <v>SMB</v>
          </cell>
        </row>
        <row r="2912">
          <cell r="C2912" t="str">
            <v>BEREKET LIFE TEKSTİL MEFRUŞAT SAN. ve TİC. LTD. ŞT</v>
          </cell>
          <cell r="D2912" t="str">
            <v>SMB</v>
          </cell>
          <cell r="E2912">
            <v>0</v>
          </cell>
          <cell r="F2912" t="str">
            <v>A-MB674</v>
          </cell>
          <cell r="G2912">
            <v>45715</v>
          </cell>
        </row>
        <row r="2913">
          <cell r="C2913" t="str">
            <v>TL</v>
          </cell>
          <cell r="D2913" t="str">
            <v>SMB</v>
          </cell>
        </row>
        <row r="2914">
          <cell r="C2914" t="str">
            <v>USD</v>
          </cell>
          <cell r="D2914" t="str">
            <v>SMB</v>
          </cell>
          <cell r="G2914">
            <v>45715</v>
          </cell>
        </row>
        <row r="2915">
          <cell r="C2915" t="str">
            <v>EUR</v>
          </cell>
          <cell r="D2915" t="str">
            <v>SMB</v>
          </cell>
        </row>
        <row r="2916">
          <cell r="C2916" t="str">
            <v>Kur Sabitleme</v>
          </cell>
          <cell r="D2916" t="str">
            <v>SMB</v>
          </cell>
        </row>
        <row r="2917">
          <cell r="C2917" t="str">
            <v>ERGÜ AYDINLATMA ELEKTRIK HIRDAVAT INSAAT TAAHHÜT</v>
          </cell>
          <cell r="D2917" t="str">
            <v>SMB</v>
          </cell>
          <cell r="E2917">
            <v>0</v>
          </cell>
          <cell r="F2917" t="str">
            <v>A-MB780</v>
          </cell>
          <cell r="G2917">
            <v>45714</v>
          </cell>
        </row>
        <row r="2918">
          <cell r="C2918" t="str">
            <v>TL</v>
          </cell>
          <cell r="D2918" t="str">
            <v>SMB</v>
          </cell>
        </row>
        <row r="2919">
          <cell r="C2919" t="str">
            <v>USD</v>
          </cell>
          <cell r="D2919" t="str">
            <v>SMB</v>
          </cell>
          <cell r="G2919">
            <v>45714</v>
          </cell>
        </row>
        <row r="2920">
          <cell r="C2920" t="str">
            <v>EUR</v>
          </cell>
          <cell r="D2920" t="str">
            <v>SMB</v>
          </cell>
        </row>
        <row r="2921">
          <cell r="C2921" t="str">
            <v>Kur Sabitleme</v>
          </cell>
          <cell r="D2921" t="str">
            <v>SMB</v>
          </cell>
        </row>
        <row r="2922">
          <cell r="C2922" t="str">
            <v>EVRENSEL MEKANIK İZOLASYON İNŞAAT SAN.TİC.LTD.ŞTİ.</v>
          </cell>
          <cell r="D2922" t="str">
            <v>SMB</v>
          </cell>
          <cell r="E2922">
            <v>0</v>
          </cell>
          <cell r="F2922" t="str">
            <v>A-MB662</v>
          </cell>
          <cell r="G2922">
            <v>45693</v>
          </cell>
        </row>
        <row r="2923">
          <cell r="C2923" t="str">
            <v>TL</v>
          </cell>
          <cell r="D2923" t="str">
            <v>SMB</v>
          </cell>
        </row>
        <row r="2924">
          <cell r="C2924" t="str">
            <v>USD</v>
          </cell>
          <cell r="D2924" t="str">
            <v>SMB</v>
          </cell>
          <cell r="G2924">
            <v>45693</v>
          </cell>
        </row>
        <row r="2925">
          <cell r="C2925" t="str">
            <v>EUR</v>
          </cell>
          <cell r="D2925" t="str">
            <v>SMB</v>
          </cell>
        </row>
        <row r="2926">
          <cell r="C2926" t="str">
            <v>Kur Sabitleme</v>
          </cell>
          <cell r="D2926" t="str">
            <v>SMB</v>
          </cell>
        </row>
        <row r="2927">
          <cell r="C2927" t="str">
            <v>ÖZSAĞDIÇLAR</v>
          </cell>
          <cell r="D2927" t="str">
            <v>SMB</v>
          </cell>
          <cell r="E2927">
            <v>0</v>
          </cell>
          <cell r="F2927" t="str">
            <v>A-MB828</v>
          </cell>
          <cell r="G2927">
            <v>45716</v>
          </cell>
        </row>
        <row r="2928">
          <cell r="C2928" t="str">
            <v>TL</v>
          </cell>
          <cell r="D2928" t="str">
            <v>SMB</v>
          </cell>
          <cell r="G2928">
            <v>45716</v>
          </cell>
        </row>
        <row r="2929">
          <cell r="C2929" t="str">
            <v>USD</v>
          </cell>
          <cell r="D2929" t="str">
            <v>SMB</v>
          </cell>
        </row>
        <row r="2930">
          <cell r="C2930" t="str">
            <v>EUR</v>
          </cell>
          <cell r="D2930" t="str">
            <v>SMB</v>
          </cell>
        </row>
        <row r="2931">
          <cell r="C2931" t="str">
            <v>Kur Sabitleme</v>
          </cell>
          <cell r="D2931" t="str">
            <v>SMB</v>
          </cell>
        </row>
        <row r="2932">
          <cell r="C2932" t="str">
            <v>SAYKOM BİLGİSAYAR TİC. VE SAN. LTD. ŞTİ.</v>
          </cell>
          <cell r="D2932" t="str">
            <v>SMB</v>
          </cell>
          <cell r="E2932">
            <v>0</v>
          </cell>
          <cell r="F2932" t="str">
            <v>A-MB780</v>
          </cell>
          <cell r="G2932">
            <v>45699</v>
          </cell>
        </row>
        <row r="2933">
          <cell r="C2933" t="str">
            <v>TL</v>
          </cell>
          <cell r="D2933" t="str">
            <v>SMB</v>
          </cell>
        </row>
        <row r="2934">
          <cell r="C2934" t="str">
            <v>USD</v>
          </cell>
          <cell r="D2934" t="str">
            <v>SMB</v>
          </cell>
          <cell r="G2934">
            <v>45699</v>
          </cell>
        </row>
        <row r="2935">
          <cell r="C2935" t="str">
            <v>EUR</v>
          </cell>
          <cell r="D2935" t="str">
            <v>SMB</v>
          </cell>
        </row>
        <row r="2936">
          <cell r="C2936" t="str">
            <v>Kur Sabitleme</v>
          </cell>
          <cell r="D2936" t="str">
            <v>SMB</v>
          </cell>
        </row>
        <row r="2937">
          <cell r="C2937" t="str">
            <v>İGGNİTA MAKİNA SAN. VE TİC. A. Ş.</v>
          </cell>
          <cell r="D2937" t="str">
            <v>SMB</v>
          </cell>
          <cell r="E2937">
            <v>0</v>
          </cell>
          <cell r="F2937" t="str">
            <v>A-MB780</v>
          </cell>
          <cell r="G2937">
            <v>45707</v>
          </cell>
        </row>
        <row r="2938">
          <cell r="C2938" t="str">
            <v>TL</v>
          </cell>
          <cell r="D2938" t="str">
            <v>SMB</v>
          </cell>
        </row>
        <row r="2939">
          <cell r="C2939" t="str">
            <v>USD</v>
          </cell>
          <cell r="D2939" t="str">
            <v>SMB</v>
          </cell>
          <cell r="G2939">
            <v>45707</v>
          </cell>
        </row>
        <row r="2940">
          <cell r="C2940" t="str">
            <v>EUR</v>
          </cell>
          <cell r="D2940" t="str">
            <v>SMB</v>
          </cell>
        </row>
        <row r="2941">
          <cell r="C2941" t="str">
            <v>Kur Sabitleme</v>
          </cell>
          <cell r="D2941" t="str">
            <v>SMB</v>
          </cell>
        </row>
        <row r="2942">
          <cell r="C2942" t="str">
            <v>RAHMET GIDA NAKLİYE İNŞAAT TİC.SAN.LTD.ŞTİ</v>
          </cell>
          <cell r="D2942" t="str">
            <v>SMB</v>
          </cell>
          <cell r="E2942">
            <v>0</v>
          </cell>
          <cell r="F2942" t="str">
            <v>A-MB822</v>
          </cell>
          <cell r="G2942">
            <v>45706</v>
          </cell>
        </row>
        <row r="2943">
          <cell r="C2943" t="str">
            <v>TL</v>
          </cell>
          <cell r="D2943" t="str">
            <v>SMB</v>
          </cell>
        </row>
        <row r="2944">
          <cell r="C2944" t="str">
            <v>USD</v>
          </cell>
          <cell r="D2944" t="str">
            <v>SMB</v>
          </cell>
          <cell r="G2944">
            <v>45706</v>
          </cell>
        </row>
        <row r="2945">
          <cell r="C2945" t="str">
            <v>EUR</v>
          </cell>
          <cell r="D2945" t="str">
            <v>SMB</v>
          </cell>
        </row>
        <row r="2946">
          <cell r="C2946" t="str">
            <v>Kur Sabitleme</v>
          </cell>
          <cell r="D2946" t="str">
            <v>SMB</v>
          </cell>
        </row>
        <row r="2947">
          <cell r="C2947" t="str">
            <v>IMPACTA DÖNÜŞÜM A.Ş.</v>
          </cell>
          <cell r="D2947" t="str">
            <v>SMB</v>
          </cell>
          <cell r="E2947">
            <v>0</v>
          </cell>
          <cell r="F2947" t="str">
            <v>A-MB823</v>
          </cell>
          <cell r="G2947">
            <v>45715</v>
          </cell>
        </row>
        <row r="2948">
          <cell r="C2948" t="str">
            <v>TL</v>
          </cell>
          <cell r="D2948" t="str">
            <v>SMB</v>
          </cell>
        </row>
        <row r="2949">
          <cell r="C2949" t="str">
            <v>USD</v>
          </cell>
          <cell r="D2949" t="str">
            <v>SMB</v>
          </cell>
          <cell r="G2949">
            <v>45715</v>
          </cell>
        </row>
        <row r="2950">
          <cell r="C2950" t="str">
            <v>EUR</v>
          </cell>
          <cell r="D2950" t="str">
            <v>SMB</v>
          </cell>
        </row>
        <row r="2951">
          <cell r="C2951" t="str">
            <v>Kur Sabitleme</v>
          </cell>
          <cell r="D2951" t="str">
            <v>SMB</v>
          </cell>
        </row>
        <row r="2952">
          <cell r="C2952" t="str">
            <v>Fi Commerce Teknoloji</v>
          </cell>
          <cell r="D2952" t="str">
            <v>SMB</v>
          </cell>
          <cell r="E2952">
            <v>0</v>
          </cell>
          <cell r="F2952" t="str">
            <v>A-MB832</v>
          </cell>
          <cell r="G2952">
            <v>45723</v>
          </cell>
        </row>
        <row r="2953">
          <cell r="C2953" t="str">
            <v>TL</v>
          </cell>
          <cell r="D2953" t="str">
            <v>SMB</v>
          </cell>
        </row>
        <row r="2954">
          <cell r="C2954" t="str">
            <v>USD</v>
          </cell>
          <cell r="D2954" t="str">
            <v>SMB</v>
          </cell>
          <cell r="G2954">
            <v>45723</v>
          </cell>
        </row>
        <row r="2955">
          <cell r="C2955" t="str">
            <v>EUR</v>
          </cell>
          <cell r="D2955" t="str">
            <v>SMB</v>
          </cell>
        </row>
        <row r="2956">
          <cell r="C2956" t="str">
            <v>Kur Sabitleme</v>
          </cell>
          <cell r="D2956" t="str">
            <v>SMB</v>
          </cell>
        </row>
        <row r="2957">
          <cell r="C2957" t="str">
            <v>FUTURE LOJİSTİK</v>
          </cell>
          <cell r="D2957" t="str">
            <v>SMB</v>
          </cell>
          <cell r="E2957">
            <v>0</v>
          </cell>
          <cell r="F2957" t="str">
            <v>A-MB833</v>
          </cell>
          <cell r="G2957">
            <v>45713</v>
          </cell>
        </row>
        <row r="2958">
          <cell r="C2958" t="str">
            <v>TL</v>
          </cell>
          <cell r="D2958" t="str">
            <v>SMB</v>
          </cell>
        </row>
        <row r="2959">
          <cell r="C2959" t="str">
            <v>USD</v>
          </cell>
          <cell r="D2959" t="str">
            <v>SMB</v>
          </cell>
          <cell r="G2959">
            <v>45713</v>
          </cell>
        </row>
        <row r="2960">
          <cell r="C2960" t="str">
            <v>EUR</v>
          </cell>
          <cell r="D2960" t="str">
            <v>SMB</v>
          </cell>
        </row>
        <row r="2961">
          <cell r="C2961" t="str">
            <v>Kur Sabitleme</v>
          </cell>
          <cell r="D2961" t="str">
            <v>SMB</v>
          </cell>
        </row>
        <row r="2962">
          <cell r="C2962" t="str">
            <v>HALBACH TEKNOLOJİK BASKILAR SAN VE TİC LTD ŞTİ</v>
          </cell>
          <cell r="D2962" t="str">
            <v>SMB</v>
          </cell>
          <cell r="E2962">
            <v>0</v>
          </cell>
          <cell r="F2962" t="str">
            <v>A-MB711</v>
          </cell>
          <cell r="G2962">
            <v>45734</v>
          </cell>
        </row>
        <row r="2963">
          <cell r="C2963" t="str">
            <v>TL</v>
          </cell>
          <cell r="D2963" t="str">
            <v>SMB</v>
          </cell>
        </row>
        <row r="2964">
          <cell r="C2964" t="str">
            <v>USD</v>
          </cell>
          <cell r="D2964" t="str">
            <v>SMB</v>
          </cell>
          <cell r="G2964">
            <v>45734</v>
          </cell>
        </row>
        <row r="2965">
          <cell r="C2965" t="str">
            <v>EUR</v>
          </cell>
          <cell r="D2965" t="str">
            <v>SMB</v>
          </cell>
        </row>
        <row r="2966">
          <cell r="C2966" t="str">
            <v>Kur Sabitleme</v>
          </cell>
          <cell r="D2966" t="str">
            <v>SMB</v>
          </cell>
        </row>
        <row r="2967">
          <cell r="C2967" t="str">
            <v>MALKAN KANAAT KİMYEVİ BOYA İNŞAAT</v>
          </cell>
          <cell r="D2967" t="str">
            <v>SMB</v>
          </cell>
          <cell r="E2967">
            <v>0</v>
          </cell>
          <cell r="F2967" t="str">
            <v>A-MB831</v>
          </cell>
          <cell r="G2967">
            <v>45717</v>
          </cell>
        </row>
        <row r="2968">
          <cell r="C2968" t="str">
            <v>TL</v>
          </cell>
          <cell r="D2968" t="str">
            <v>SMB</v>
          </cell>
        </row>
        <row r="2969">
          <cell r="C2969" t="str">
            <v>USD</v>
          </cell>
          <cell r="D2969" t="str">
            <v>SMB</v>
          </cell>
          <cell r="G2969">
            <v>45717</v>
          </cell>
        </row>
        <row r="2970">
          <cell r="C2970" t="str">
            <v>EUR</v>
          </cell>
          <cell r="D2970" t="str">
            <v>SMB</v>
          </cell>
        </row>
        <row r="2971">
          <cell r="C2971" t="str">
            <v>Kur Sabitleme</v>
          </cell>
          <cell r="D2971" t="str">
            <v>SMB</v>
          </cell>
        </row>
        <row r="2972">
          <cell r="C2972" t="str">
            <v>KIRIKHAN MENSUCAT SAN. VE TİC. A.Ş.</v>
          </cell>
          <cell r="D2972" t="str">
            <v>SMB</v>
          </cell>
          <cell r="E2972">
            <v>0</v>
          </cell>
          <cell r="F2972" t="str">
            <v>A-MB835</v>
          </cell>
          <cell r="G2972">
            <v>45373</v>
          </cell>
        </row>
        <row r="2973">
          <cell r="C2973" t="str">
            <v>TL</v>
          </cell>
          <cell r="D2973" t="str">
            <v>SMB</v>
          </cell>
        </row>
        <row r="2974">
          <cell r="C2974" t="str">
            <v>USD</v>
          </cell>
          <cell r="D2974" t="str">
            <v>SMB</v>
          </cell>
          <cell r="G2974">
            <v>45373</v>
          </cell>
        </row>
        <row r="2975">
          <cell r="C2975" t="str">
            <v>USD</v>
          </cell>
          <cell r="D2975" t="str">
            <v>SMB</v>
          </cell>
          <cell r="G2975">
            <v>45373</v>
          </cell>
        </row>
        <row r="2976">
          <cell r="C2976" t="str">
            <v>EUR</v>
          </cell>
          <cell r="D2976" t="str">
            <v>SMB</v>
          </cell>
        </row>
        <row r="2977">
          <cell r="C2977" t="str">
            <v>Kur Sabitleme</v>
          </cell>
          <cell r="D2977" t="str">
            <v>SMB</v>
          </cell>
        </row>
        <row r="2978">
          <cell r="C2978" t="str">
            <v>YEYKİM QUATTRO YAPI ENDÜSTRİ KİMYA SANAYİ VE TİCAR</v>
          </cell>
          <cell r="D2978" t="str">
            <v>SMB</v>
          </cell>
          <cell r="E2978">
            <v>0</v>
          </cell>
          <cell r="F2978" t="str">
            <v>A-MB726</v>
          </cell>
          <cell r="G2978">
            <v>45775</v>
          </cell>
        </row>
        <row r="2979">
          <cell r="C2979" t="str">
            <v>TL</v>
          </cell>
          <cell r="D2979" t="str">
            <v>SMB</v>
          </cell>
        </row>
        <row r="2980">
          <cell r="C2980" t="str">
            <v>USD</v>
          </cell>
          <cell r="D2980" t="str">
            <v>SMB</v>
          </cell>
          <cell r="G2980">
            <v>45775</v>
          </cell>
        </row>
        <row r="2981">
          <cell r="C2981" t="str">
            <v>EUR</v>
          </cell>
          <cell r="D2981" t="str">
            <v>SMB</v>
          </cell>
        </row>
        <row r="2982">
          <cell r="C2982" t="str">
            <v>Kur Sabitleme</v>
          </cell>
          <cell r="D2982" t="str">
            <v>SMB</v>
          </cell>
        </row>
        <row r="2983">
          <cell r="C2983" t="str">
            <v>WEDİACORP TEKNOLOJİ MEDYA İLETİŞİM TURİZM SANAYİ V</v>
          </cell>
          <cell r="D2983" t="str">
            <v>SMB</v>
          </cell>
          <cell r="E2983" t="str">
            <v>ARTWARE BILIŞIM TEKNOLOJILERI &amp; YAZILIM DAN.</v>
          </cell>
          <cell r="F2983" t="str">
            <v>A-MB661</v>
          </cell>
          <cell r="G2983">
            <v>45758</v>
          </cell>
        </row>
        <row r="2984">
          <cell r="C2984" t="str">
            <v>TL</v>
          </cell>
          <cell r="D2984" t="str">
            <v>SMB</v>
          </cell>
        </row>
        <row r="2985">
          <cell r="C2985" t="str">
            <v>USD</v>
          </cell>
          <cell r="D2985" t="str">
            <v>SMB</v>
          </cell>
          <cell r="G2985">
            <v>45758</v>
          </cell>
        </row>
        <row r="2986">
          <cell r="C2986" t="str">
            <v>EUR</v>
          </cell>
          <cell r="D2986" t="str">
            <v>SMB</v>
          </cell>
        </row>
        <row r="2987">
          <cell r="C2987" t="str">
            <v>Kur Sabitleme</v>
          </cell>
          <cell r="D2987" t="str">
            <v>SMB</v>
          </cell>
        </row>
        <row r="2988">
          <cell r="C2988" t="str">
            <v>KARACAYOL İNŞAAT MADENCİLİK TUR MAK SAN TİC LTD ŞT</v>
          </cell>
          <cell r="D2988" t="str">
            <v>SMB</v>
          </cell>
          <cell r="E2988" t="str">
            <v>BİLGESİS BİLGİSAYAR</v>
          </cell>
          <cell r="F2988" t="str">
            <v>A-MB681</v>
          </cell>
          <cell r="G2988">
            <v>45803</v>
          </cell>
        </row>
        <row r="2989">
          <cell r="C2989" t="str">
            <v>TL</v>
          </cell>
          <cell r="D2989" t="str">
            <v>SMB</v>
          </cell>
        </row>
        <row r="2990">
          <cell r="C2990" t="str">
            <v>USD</v>
          </cell>
          <cell r="D2990" t="str">
            <v>SMB</v>
          </cell>
          <cell r="G2990">
            <v>45803</v>
          </cell>
        </row>
        <row r="2991">
          <cell r="C2991" t="str">
            <v>EUR</v>
          </cell>
          <cell r="D2991" t="str">
            <v>SMB</v>
          </cell>
        </row>
        <row r="2992">
          <cell r="C2992" t="str">
            <v>Kur Sabitleme</v>
          </cell>
          <cell r="D2992" t="str">
            <v>SMB</v>
          </cell>
        </row>
        <row r="2993">
          <cell r="C2993" t="str">
            <v>AYDEMİRLER ÇELİK A.Ş.</v>
          </cell>
          <cell r="D2993" t="str">
            <v>SMB</v>
          </cell>
          <cell r="E2993" t="str">
            <v>BİLGESİS BİLGİSAYAR</v>
          </cell>
          <cell r="F2993" t="str">
            <v>A-MB681</v>
          </cell>
          <cell r="G2993">
            <v>45809</v>
          </cell>
        </row>
        <row r="2994">
          <cell r="C2994" t="str">
            <v>TL</v>
          </cell>
          <cell r="D2994" t="str">
            <v>SMB</v>
          </cell>
        </row>
        <row r="2995">
          <cell r="C2995" t="str">
            <v>USD</v>
          </cell>
          <cell r="D2995" t="str">
            <v>SMB</v>
          </cell>
          <cell r="G2995">
            <v>45809</v>
          </cell>
        </row>
        <row r="2996">
          <cell r="C2996" t="str">
            <v>EUR</v>
          </cell>
          <cell r="D2996" t="str">
            <v>SMB</v>
          </cell>
        </row>
        <row r="2997">
          <cell r="C2997" t="str">
            <v>Kur Sabitleme</v>
          </cell>
          <cell r="D2997" t="str">
            <v>SMB</v>
          </cell>
        </row>
        <row r="2998">
          <cell r="C2998" t="str">
            <v>BBS KALIP OTONASYON TEKNOLOJİK İMALAT SANAYİ VE Tİ</v>
          </cell>
          <cell r="D2998" t="str">
            <v>SMB</v>
          </cell>
          <cell r="E2998" t="e">
            <v>#N/A</v>
          </cell>
          <cell r="F2998" t="str">
            <v>A-MB840</v>
          </cell>
          <cell r="G2998">
            <v>45809</v>
          </cell>
        </row>
        <row r="2999">
          <cell r="C2999" t="str">
            <v>TL</v>
          </cell>
          <cell r="D2999" t="str">
            <v>SMB</v>
          </cell>
        </row>
        <row r="3000">
          <cell r="C3000" t="str">
            <v>USD</v>
          </cell>
          <cell r="D3000" t="str">
            <v>SMB</v>
          </cell>
          <cell r="G3000">
            <v>45809</v>
          </cell>
        </row>
        <row r="3001">
          <cell r="C3001" t="str">
            <v>EUR</v>
          </cell>
          <cell r="D3001" t="str">
            <v>SMB</v>
          </cell>
        </row>
        <row r="3002">
          <cell r="C3002" t="str">
            <v>Kur Sabitleme</v>
          </cell>
          <cell r="D3002" t="str">
            <v>SMB</v>
          </cell>
        </row>
        <row r="3003">
          <cell r="C3003" t="str">
            <v>COŞAR &amp; ŞAHİN HUKUK BÜROSU</v>
          </cell>
          <cell r="D3003" t="str">
            <v>SMB</v>
          </cell>
          <cell r="E3003" t="e">
            <v>#N/A</v>
          </cell>
          <cell r="F3003" t="str">
            <v>A-MB845</v>
          </cell>
          <cell r="G3003">
            <v>45809</v>
          </cell>
        </row>
        <row r="3004">
          <cell r="C3004" t="str">
            <v>TL</v>
          </cell>
          <cell r="D3004" t="str">
            <v>SMB</v>
          </cell>
        </row>
        <row r="3005">
          <cell r="C3005" t="str">
            <v>USD</v>
          </cell>
          <cell r="D3005" t="str">
            <v>SMB</v>
          </cell>
          <cell r="G3005">
            <v>45809</v>
          </cell>
        </row>
        <row r="3006">
          <cell r="C3006" t="str">
            <v>EUR</v>
          </cell>
          <cell r="D3006" t="str">
            <v>SMB</v>
          </cell>
        </row>
        <row r="3007">
          <cell r="C3007" t="str">
            <v>Kur Sabitleme</v>
          </cell>
          <cell r="D3007" t="str">
            <v>SMB</v>
          </cell>
        </row>
        <row r="3008">
          <cell r="C3008" t="str">
            <v>DEMKA KAĞIT VE AMBALAJ SANAYİ TİCARET ANONİM ŞİRKE</v>
          </cell>
          <cell r="D3008" t="str">
            <v>SMB</v>
          </cell>
          <cell r="E3008" t="e">
            <v>#N/A</v>
          </cell>
          <cell r="F3008" t="str">
            <v>A-MB839</v>
          </cell>
          <cell r="G3008">
            <v>45812</v>
          </cell>
        </row>
        <row r="3009">
          <cell r="C3009" t="str">
            <v>TL</v>
          </cell>
          <cell r="D3009" t="str">
            <v>SMB</v>
          </cell>
        </row>
        <row r="3010">
          <cell r="C3010" t="str">
            <v>USD</v>
          </cell>
          <cell r="D3010" t="str">
            <v>SMB</v>
          </cell>
          <cell r="G3010">
            <v>45812</v>
          </cell>
        </row>
        <row r="3011">
          <cell r="C3011" t="str">
            <v>EUR</v>
          </cell>
          <cell r="D3011" t="str">
            <v>SMB</v>
          </cell>
        </row>
        <row r="3012">
          <cell r="C3012" t="str">
            <v>Kur Sabitleme</v>
          </cell>
          <cell r="D3012" t="str">
            <v>SMB</v>
          </cell>
        </row>
        <row r="3013">
          <cell r="C3013" t="str">
            <v>İQM TEKNOLOJİ YAZILIM LİMİTED ŞİRKETİ</v>
          </cell>
          <cell r="D3013" t="str">
            <v>SMB</v>
          </cell>
          <cell r="E3013" t="e">
            <v>#N/A</v>
          </cell>
          <cell r="F3013" t="str">
            <v>A-MB841</v>
          </cell>
          <cell r="G3013">
            <v>45809</v>
          </cell>
        </row>
        <row r="3014">
          <cell r="C3014" t="str">
            <v>TL</v>
          </cell>
          <cell r="D3014" t="str">
            <v>SMB</v>
          </cell>
        </row>
        <row r="3015">
          <cell r="C3015" t="str">
            <v>USD</v>
          </cell>
          <cell r="D3015" t="str">
            <v>SMB</v>
          </cell>
          <cell r="G3015">
            <v>45809</v>
          </cell>
        </row>
        <row r="3016">
          <cell r="C3016" t="str">
            <v>EUR</v>
          </cell>
          <cell r="D3016" t="str">
            <v>SMB</v>
          </cell>
        </row>
        <row r="3017">
          <cell r="C3017" t="str">
            <v>Kur Sabitleme</v>
          </cell>
          <cell r="D3017" t="str">
            <v>SMB</v>
          </cell>
        </row>
        <row r="3018">
          <cell r="C3018" t="str">
            <v>KOTON MAĞAZACILIK TEKSTİL SANAYİ VE TİCARET A.Ş.</v>
          </cell>
          <cell r="D3018" t="str">
            <v>Enterprise</v>
          </cell>
          <cell r="E3018" t="e">
            <v>#N/A</v>
          </cell>
          <cell r="F3018" t="str">
            <v>A-MB785</v>
          </cell>
          <cell r="G3018">
            <v>45809</v>
          </cell>
        </row>
        <row r="3019">
          <cell r="C3019" t="str">
            <v>TL</v>
          </cell>
          <cell r="D3019" t="str">
            <v>Enterprise</v>
          </cell>
          <cell r="G3019">
            <v>45809</v>
          </cell>
        </row>
        <row r="3020">
          <cell r="C3020" t="str">
            <v>USD</v>
          </cell>
          <cell r="D3020" t="str">
            <v>Enterprise</v>
          </cell>
        </row>
        <row r="3021">
          <cell r="C3021" t="str">
            <v>EUR</v>
          </cell>
          <cell r="D3021" t="str">
            <v>Enterprise</v>
          </cell>
        </row>
        <row r="3022">
          <cell r="C3022" t="str">
            <v>Kur Sabitleme</v>
          </cell>
          <cell r="D3022" t="str">
            <v>Enterprise</v>
          </cell>
        </row>
        <row r="3023">
          <cell r="C3023" t="str">
            <v>LEPO TEKNİK MÜHENDİSLİK MAKİNA MADEN SANAYİ VE TİC</v>
          </cell>
          <cell r="D3023" t="str">
            <v>SMB</v>
          </cell>
          <cell r="E3023" t="str">
            <v>BİLGESİS BİLGİSAYAR</v>
          </cell>
          <cell r="F3023" t="str">
            <v>A-MB681</v>
          </cell>
          <cell r="G3023">
            <v>45809</v>
          </cell>
        </row>
        <row r="3024">
          <cell r="C3024" t="str">
            <v>TL</v>
          </cell>
          <cell r="D3024" t="str">
            <v>SMB</v>
          </cell>
        </row>
        <row r="3025">
          <cell r="C3025" t="str">
            <v>USD</v>
          </cell>
          <cell r="D3025" t="str">
            <v>SMB</v>
          </cell>
          <cell r="G3025">
            <v>45809</v>
          </cell>
        </row>
        <row r="3026">
          <cell r="C3026" t="str">
            <v>EUR</v>
          </cell>
          <cell r="D3026" t="str">
            <v>SMB</v>
          </cell>
        </row>
        <row r="3027">
          <cell r="C3027" t="str">
            <v>Kur Sabitleme</v>
          </cell>
          <cell r="D3027" t="str">
            <v>SMB</v>
          </cell>
        </row>
        <row r="3028">
          <cell r="C3028" t="str">
            <v>MİNAR MOBİLYA SANAYİ VE TİCARET LİMİTED ŞİRKET</v>
          </cell>
          <cell r="D3028" t="str">
            <v>SMB</v>
          </cell>
          <cell r="E3028" t="e">
            <v>#N/A</v>
          </cell>
          <cell r="F3028" t="str">
            <v>A-MB842</v>
          </cell>
          <cell r="G3028">
            <v>45809</v>
          </cell>
        </row>
        <row r="3029">
          <cell r="C3029" t="str">
            <v>TL</v>
          </cell>
          <cell r="D3029" t="str">
            <v>SMB</v>
          </cell>
        </row>
        <row r="3030">
          <cell r="C3030" t="str">
            <v>USD</v>
          </cell>
          <cell r="D3030" t="str">
            <v>SMB</v>
          </cell>
          <cell r="G3030">
            <v>45809</v>
          </cell>
        </row>
        <row r="3031">
          <cell r="C3031" t="str">
            <v>EUR</v>
          </cell>
          <cell r="D3031" t="str">
            <v>SMB</v>
          </cell>
        </row>
        <row r="3032">
          <cell r="C3032" t="str">
            <v>Kur Sabitleme</v>
          </cell>
          <cell r="D3032" t="str">
            <v>SMB</v>
          </cell>
        </row>
        <row r="3033">
          <cell r="C3033" t="str">
            <v>NAVEK SPORTİF ÜRÜNLER VE DANIŞMANLIK AŞ</v>
          </cell>
          <cell r="D3033" t="str">
            <v>SMB</v>
          </cell>
          <cell r="E3033" t="e">
            <v>#N/A</v>
          </cell>
          <cell r="F3033" t="str">
            <v>A-MB844</v>
          </cell>
          <cell r="G3033">
            <v>45825</v>
          </cell>
        </row>
        <row r="3034">
          <cell r="C3034" t="str">
            <v>TL</v>
          </cell>
          <cell r="D3034" t="str">
            <v>SMB</v>
          </cell>
        </row>
        <row r="3035">
          <cell r="C3035" t="str">
            <v>USD</v>
          </cell>
          <cell r="D3035" t="str">
            <v>SMB</v>
          </cell>
          <cell r="G3035">
            <v>45825</v>
          </cell>
        </row>
        <row r="3036">
          <cell r="C3036" t="str">
            <v>EUR</v>
          </cell>
          <cell r="D3036" t="str">
            <v>SMB</v>
          </cell>
        </row>
        <row r="3037">
          <cell r="C3037" t="str">
            <v>Kur Sabitleme</v>
          </cell>
          <cell r="D3037" t="str">
            <v>SMB</v>
          </cell>
        </row>
        <row r="3038">
          <cell r="C3038" t="str">
            <v>Nobel Bilişim Sistem Yazılım ve Network Hizmetleri</v>
          </cell>
          <cell r="D3038" t="str">
            <v>SMB</v>
          </cell>
          <cell r="E3038" t="e">
            <v>#N/A</v>
          </cell>
          <cell r="F3038" t="str">
            <v>A-MB843</v>
          </cell>
          <cell r="G3038">
            <v>45828</v>
          </cell>
        </row>
        <row r="3039">
          <cell r="C3039" t="str">
            <v>TL</v>
          </cell>
          <cell r="D3039" t="str">
            <v>SMB</v>
          </cell>
        </row>
        <row r="3040">
          <cell r="C3040" t="str">
            <v>USD</v>
          </cell>
          <cell r="D3040" t="str">
            <v>SMB</v>
          </cell>
          <cell r="G3040">
            <v>45828</v>
          </cell>
        </row>
        <row r="3041">
          <cell r="C3041" t="str">
            <v>EUR</v>
          </cell>
          <cell r="D3041" t="str">
            <v>SMB</v>
          </cell>
        </row>
        <row r="3042">
          <cell r="C3042" t="str">
            <v>Kur Sabitleme</v>
          </cell>
          <cell r="D3042" t="str">
            <v>SMB</v>
          </cell>
        </row>
        <row r="3043">
          <cell r="C3043" t="str">
            <v>BAHTİYAR OCAK</v>
          </cell>
          <cell r="D3043" t="str">
            <v>SMB</v>
          </cell>
          <cell r="E3043" t="e">
            <v>#N/A</v>
          </cell>
          <cell r="F3043" t="str">
            <v>A-MB848</v>
          </cell>
          <cell r="G3043">
            <v>45839</v>
          </cell>
        </row>
        <row r="3044">
          <cell r="C3044" t="str">
            <v>USD</v>
          </cell>
          <cell r="D3044" t="str">
            <v>SMB</v>
          </cell>
          <cell r="G3044">
            <v>45861</v>
          </cell>
        </row>
        <row r="3045">
          <cell r="C3045" t="str">
            <v>USD</v>
          </cell>
          <cell r="D3045" t="str">
            <v>SMB</v>
          </cell>
          <cell r="G3045">
            <v>45839</v>
          </cell>
        </row>
        <row r="3046">
          <cell r="C3046" t="str">
            <v>EUR</v>
          </cell>
          <cell r="D3046" t="str">
            <v>SMB</v>
          </cell>
        </row>
        <row r="3047">
          <cell r="C3047" t="str">
            <v>Kur Sabitleme</v>
          </cell>
          <cell r="D3047" t="str">
            <v>SMB</v>
          </cell>
        </row>
        <row r="3048">
          <cell r="C3048" t="str">
            <v>ÇAĞATAY EVCİL HAYVAN MAMALARI VE YEM ÜRÜNLERİ SAN.</v>
          </cell>
          <cell r="D3048" t="str">
            <v>Enterprise</v>
          </cell>
          <cell r="E3048" t="e">
            <v>#N/A</v>
          </cell>
          <cell r="F3048" t="str">
            <v>A-MB851</v>
          </cell>
          <cell r="G3048">
            <v>45839</v>
          </cell>
        </row>
        <row r="3049">
          <cell r="C3049" t="str">
            <v>TL</v>
          </cell>
          <cell r="D3049" t="str">
            <v>Enterprise</v>
          </cell>
          <cell r="G3049">
            <v>45839</v>
          </cell>
        </row>
        <row r="3050">
          <cell r="C3050" t="str">
            <v>USD</v>
          </cell>
          <cell r="D3050" t="str">
            <v>Enterprise</v>
          </cell>
          <cell r="G3050">
            <v>45936</v>
          </cell>
        </row>
        <row r="3051">
          <cell r="C3051" t="str">
            <v>EUR</v>
          </cell>
          <cell r="D3051" t="str">
            <v>Enterprise</v>
          </cell>
        </row>
        <row r="3052">
          <cell r="C3052" t="str">
            <v>Kur Sabitleme</v>
          </cell>
          <cell r="D3052" t="str">
            <v>Enterprise</v>
          </cell>
        </row>
        <row r="3053">
          <cell r="C3053" t="str">
            <v>FARMAZON BİLGİ TEKNOLOJİLERİ A.Ş.</v>
          </cell>
          <cell r="D3053" t="str">
            <v>SMB</v>
          </cell>
          <cell r="E3053" t="e">
            <v>#N/A</v>
          </cell>
          <cell r="F3053" t="str">
            <v>A-MB849</v>
          </cell>
          <cell r="G3053">
            <v>45856</v>
          </cell>
        </row>
        <row r="3054">
          <cell r="C3054" t="str">
            <v>TL</v>
          </cell>
          <cell r="D3054" t="str">
            <v>SMB</v>
          </cell>
        </row>
        <row r="3055">
          <cell r="C3055" t="str">
            <v>USD</v>
          </cell>
          <cell r="D3055" t="str">
            <v>SMB</v>
          </cell>
          <cell r="G3055">
            <v>45856</v>
          </cell>
        </row>
        <row r="3056">
          <cell r="C3056" t="str">
            <v>EUR</v>
          </cell>
          <cell r="D3056" t="str">
            <v>SMB</v>
          </cell>
        </row>
        <row r="3057">
          <cell r="C3057" t="str">
            <v>Kur Sabitleme</v>
          </cell>
          <cell r="D3057" t="str">
            <v>SMB</v>
          </cell>
        </row>
        <row r="3058">
          <cell r="C3058" t="str">
            <v>NEU OTOMOTİV DÖVME ÇELİK SANAYİ VE TİCARET ANONİM</v>
          </cell>
          <cell r="D3058" t="str">
            <v>SMB</v>
          </cell>
          <cell r="E3058" t="str">
            <v xml:space="preserve">SARKOM BİLGİSAYAR </v>
          </cell>
          <cell r="F3058" t="str">
            <v>A-MB662</v>
          </cell>
          <cell r="G3058">
            <v>45847</v>
          </cell>
        </row>
        <row r="3059">
          <cell r="C3059" t="str">
            <v>TL</v>
          </cell>
          <cell r="D3059" t="str">
            <v>SMB</v>
          </cell>
        </row>
        <row r="3060">
          <cell r="C3060" t="str">
            <v>USD</v>
          </cell>
          <cell r="D3060" t="str">
            <v>SMB</v>
          </cell>
          <cell r="G3060">
            <v>45847</v>
          </cell>
        </row>
        <row r="3061">
          <cell r="C3061" t="str">
            <v>EUR</v>
          </cell>
          <cell r="D3061" t="str">
            <v>SMB</v>
          </cell>
        </row>
        <row r="3062">
          <cell r="C3062" t="str">
            <v>Kur Sabitleme</v>
          </cell>
          <cell r="D3062" t="str">
            <v>SMB</v>
          </cell>
        </row>
        <row r="3063">
          <cell r="C3063" t="str">
            <v>NOBEL İLAÇ SANAYİİ VE TİCARET A.Ş.</v>
          </cell>
          <cell r="D3063" t="str">
            <v>Enterprise</v>
          </cell>
          <cell r="E3063" t="e">
            <v>#N/A</v>
          </cell>
          <cell r="F3063" t="str">
            <v>A-MB850</v>
          </cell>
          <cell r="G3063">
            <v>45839</v>
          </cell>
        </row>
        <row r="3064">
          <cell r="C3064" t="str">
            <v>TL</v>
          </cell>
          <cell r="D3064" t="str">
            <v>Enterprise</v>
          </cell>
          <cell r="G3064">
            <v>45839</v>
          </cell>
        </row>
        <row r="3065">
          <cell r="C3065" t="str">
            <v>USD</v>
          </cell>
          <cell r="D3065" t="str">
            <v>Enterprise</v>
          </cell>
        </row>
        <row r="3066">
          <cell r="C3066" t="str">
            <v>EUR</v>
          </cell>
          <cell r="D3066" t="str">
            <v>Enterprise</v>
          </cell>
        </row>
        <row r="3067">
          <cell r="C3067" t="str">
            <v>Kur Sabitleme</v>
          </cell>
          <cell r="D3067" t="str">
            <v>Enterprise</v>
          </cell>
        </row>
        <row r="3068">
          <cell r="C3068" t="str">
            <v>ASLANOBA YATIRIM GIDA SANAYİ VE TİCARET A.Ş.</v>
          </cell>
          <cell r="D3068" t="str">
            <v>SMB</v>
          </cell>
          <cell r="E3068" t="e">
            <v>#N/A</v>
          </cell>
          <cell r="F3068" t="str">
            <v>A-MB855</v>
          </cell>
          <cell r="G3068">
            <v>45870</v>
          </cell>
        </row>
        <row r="3069">
          <cell r="C3069" t="str">
            <v>TL</v>
          </cell>
          <cell r="D3069" t="str">
            <v>SMB</v>
          </cell>
        </row>
        <row r="3070">
          <cell r="C3070" t="str">
            <v>USD</v>
          </cell>
          <cell r="D3070" t="str">
            <v>SMB</v>
          </cell>
          <cell r="G3070">
            <v>45870</v>
          </cell>
        </row>
        <row r="3071">
          <cell r="C3071" t="str">
            <v>EUR</v>
          </cell>
          <cell r="D3071" t="str">
            <v>SMB</v>
          </cell>
        </row>
        <row r="3072">
          <cell r="C3072" t="str">
            <v>Kur Sabitleme</v>
          </cell>
          <cell r="D3072" t="str">
            <v>SMB</v>
          </cell>
        </row>
        <row r="3073">
          <cell r="C3073" t="str">
            <v>BİRZE MÜHENDİSLİK HİZMETLERİ SAN. TİC. LTD. ŞTİ.</v>
          </cell>
          <cell r="D3073" t="str">
            <v>SMB</v>
          </cell>
          <cell r="E3073" t="str">
            <v>BRAVO YAZILIM VE DANIŞMANLIK HİZM. İÇ VE DIŞ TİC</v>
          </cell>
          <cell r="F3073" t="str">
            <v>A-MB726</v>
          </cell>
          <cell r="G3073">
            <v>45890</v>
          </cell>
        </row>
        <row r="3074">
          <cell r="C3074" t="str">
            <v>TL</v>
          </cell>
          <cell r="D3074" t="str">
            <v>SMB</v>
          </cell>
        </row>
        <row r="3075">
          <cell r="C3075" t="str">
            <v>USD</v>
          </cell>
          <cell r="D3075" t="str">
            <v>SMB</v>
          </cell>
          <cell r="G3075">
            <v>45890</v>
          </cell>
        </row>
        <row r="3076">
          <cell r="C3076" t="str">
            <v>EUR</v>
          </cell>
          <cell r="D3076" t="str">
            <v>SMB</v>
          </cell>
        </row>
        <row r="3077">
          <cell r="C3077" t="str">
            <v>Kur Sabitleme</v>
          </cell>
          <cell r="D3077" t="str">
            <v>SMB</v>
          </cell>
        </row>
        <row r="3078">
          <cell r="C3078" t="str">
            <v>MADEŞ METAL SAN. TİC. LTD. ŞTİ.</v>
          </cell>
          <cell r="D3078" t="str">
            <v>SMB</v>
          </cell>
          <cell r="E3078" t="str">
            <v xml:space="preserve">SARKOM BİLGİSAYAR </v>
          </cell>
          <cell r="F3078" t="str">
            <v>A-MB662</v>
          </cell>
          <cell r="G3078">
            <v>45870</v>
          </cell>
        </row>
        <row r="3079">
          <cell r="C3079" t="str">
            <v>TL</v>
          </cell>
          <cell r="D3079" t="str">
            <v>SMB</v>
          </cell>
        </row>
        <row r="3080">
          <cell r="C3080" t="str">
            <v>USD</v>
          </cell>
          <cell r="D3080" t="str">
            <v>SMB</v>
          </cell>
          <cell r="G3080">
            <v>45870</v>
          </cell>
        </row>
        <row r="3081">
          <cell r="C3081" t="str">
            <v>EUR</v>
          </cell>
          <cell r="D3081" t="str">
            <v>SMB</v>
          </cell>
        </row>
        <row r="3082">
          <cell r="C3082" t="str">
            <v>Kur Sabitleme</v>
          </cell>
          <cell r="D3082" t="str">
            <v>SMB</v>
          </cell>
        </row>
        <row r="3083">
          <cell r="C3083" t="str">
            <v>MELTEM TURİZM NAKLİYAT OTO ALIM SATIM VE YEDEK PAR</v>
          </cell>
          <cell r="D3083" t="str">
            <v>SMB</v>
          </cell>
          <cell r="E3083" t="str">
            <v xml:space="preserve">SARKOM BİLGİSAYAR </v>
          </cell>
          <cell r="F3083" t="str">
            <v>A-MB662</v>
          </cell>
          <cell r="G3083">
            <v>45870</v>
          </cell>
        </row>
        <row r="3084">
          <cell r="C3084" t="str">
            <v>TL</v>
          </cell>
          <cell r="D3084" t="str">
            <v>SMB</v>
          </cell>
        </row>
        <row r="3085">
          <cell r="C3085" t="str">
            <v>USD</v>
          </cell>
          <cell r="D3085" t="str">
            <v>SMB</v>
          </cell>
          <cell r="G3085">
            <v>45870</v>
          </cell>
        </row>
        <row r="3086">
          <cell r="C3086" t="str">
            <v>EUR</v>
          </cell>
          <cell r="D3086" t="str">
            <v>SMB</v>
          </cell>
        </row>
        <row r="3087">
          <cell r="C3087" t="str">
            <v>Kur Sabitleme</v>
          </cell>
          <cell r="D3087" t="str">
            <v>SMB</v>
          </cell>
        </row>
        <row r="3088">
          <cell r="C3088" t="str">
            <v>ÖNDERLER İŞ MAKİNALARI</v>
          </cell>
          <cell r="D3088" t="str">
            <v>SMB</v>
          </cell>
          <cell r="E3088" t="str">
            <v>GETSET</v>
          </cell>
          <cell r="F3088" t="str">
            <v>A-MB853</v>
          </cell>
          <cell r="G3088">
            <v>45870</v>
          </cell>
        </row>
        <row r="3089">
          <cell r="C3089" t="str">
            <v>TL</v>
          </cell>
          <cell r="D3089" t="str">
            <v>SMB</v>
          </cell>
        </row>
        <row r="3090">
          <cell r="C3090" t="str">
            <v>USD</v>
          </cell>
          <cell r="D3090" t="str">
            <v>SMB</v>
          </cell>
          <cell r="G3090">
            <v>45870</v>
          </cell>
        </row>
        <row r="3091">
          <cell r="C3091" t="str">
            <v>EUR</v>
          </cell>
          <cell r="D3091" t="str">
            <v>SMB</v>
          </cell>
        </row>
        <row r="3092">
          <cell r="C3092" t="str">
            <v>Kur Sabitleme</v>
          </cell>
          <cell r="D3092" t="str">
            <v>SMB</v>
          </cell>
        </row>
        <row r="3093">
          <cell r="C3093" t="str">
            <v>SEMPOLY YAPI</v>
          </cell>
          <cell r="D3093" t="str">
            <v>SMB</v>
          </cell>
          <cell r="E3093" t="str">
            <v>TNC YAZILIM - TUNCAY TÜRKOĞLU</v>
          </cell>
          <cell r="F3093" t="str">
            <v>A-MB696</v>
          </cell>
          <cell r="G3093">
            <v>45883</v>
          </cell>
        </row>
        <row r="3094">
          <cell r="C3094" t="str">
            <v>TL</v>
          </cell>
          <cell r="D3094" t="str">
            <v>SMB</v>
          </cell>
        </row>
        <row r="3095">
          <cell r="C3095" t="str">
            <v>USD</v>
          </cell>
          <cell r="D3095" t="str">
            <v>SMB</v>
          </cell>
          <cell r="G3095">
            <v>45883</v>
          </cell>
        </row>
        <row r="3096">
          <cell r="C3096" t="str">
            <v>EUR</v>
          </cell>
          <cell r="D3096" t="str">
            <v>SMB</v>
          </cell>
        </row>
        <row r="3097">
          <cell r="C3097" t="str">
            <v>Kur Sabitleme</v>
          </cell>
          <cell r="D3097" t="str">
            <v>SMB</v>
          </cell>
        </row>
        <row r="3098">
          <cell r="C3098" t="str">
            <v>Torlak &amp; Karaduman Hukuk Bürosu</v>
          </cell>
          <cell r="D3098" t="str">
            <v>SMB</v>
          </cell>
          <cell r="E3098" t="e">
            <v>#N/A</v>
          </cell>
          <cell r="F3098" t="str">
            <v>A-MB854</v>
          </cell>
          <cell r="G3098">
            <v>45870</v>
          </cell>
        </row>
        <row r="3099">
          <cell r="C3099" t="str">
            <v>TL</v>
          </cell>
          <cell r="D3099" t="str">
            <v>SMB</v>
          </cell>
        </row>
        <row r="3100">
          <cell r="C3100" t="str">
            <v>USD</v>
          </cell>
          <cell r="D3100" t="str">
            <v>SMB</v>
          </cell>
          <cell r="G3100">
            <v>45870</v>
          </cell>
        </row>
        <row r="3101">
          <cell r="C3101" t="str">
            <v>USD</v>
          </cell>
          <cell r="D3101" t="str">
            <v>SMB</v>
          </cell>
          <cell r="G3101">
            <v>45870</v>
          </cell>
        </row>
        <row r="3102">
          <cell r="C3102" t="str">
            <v>USD</v>
          </cell>
          <cell r="D3102" t="str">
            <v>SMB</v>
          </cell>
          <cell r="G3102">
            <v>45870</v>
          </cell>
        </row>
        <row r="3103">
          <cell r="C3103" t="str">
            <v>EUR</v>
          </cell>
          <cell r="D3103" t="str">
            <v>SMB</v>
          </cell>
        </row>
        <row r="3104">
          <cell r="C3104" t="str">
            <v>Kur Sabitleme</v>
          </cell>
          <cell r="D3104" t="str">
            <v>SMB</v>
          </cell>
        </row>
        <row r="3105">
          <cell r="C3105" t="str">
            <v>GENERAL VETERİNER İLAÇLARI A.Ş.</v>
          </cell>
          <cell r="D3105" t="str">
            <v>SMB</v>
          </cell>
          <cell r="E3105">
            <v>0</v>
          </cell>
          <cell r="F3105">
            <v>0</v>
          </cell>
          <cell r="G3105">
            <v>45917</v>
          </cell>
        </row>
        <row r="3106">
          <cell r="C3106" t="str">
            <v>TL</v>
          </cell>
          <cell r="D3106" t="str">
            <v>SMB</v>
          </cell>
        </row>
        <row r="3107">
          <cell r="C3107" t="str">
            <v>USD</v>
          </cell>
          <cell r="D3107" t="str">
            <v>SMB</v>
          </cell>
          <cell r="G3107">
            <v>45917</v>
          </cell>
        </row>
        <row r="3108">
          <cell r="C3108" t="str">
            <v>EUR</v>
          </cell>
          <cell r="D3108" t="str">
            <v>SMB</v>
          </cell>
        </row>
        <row r="3109">
          <cell r="C3109" t="str">
            <v>Kur Sabitleme</v>
          </cell>
          <cell r="D3109" t="str">
            <v>SMB</v>
          </cell>
        </row>
        <row r="3110">
          <cell r="C3110" t="str">
            <v>SABANCI ÜNİVERSİTESİ</v>
          </cell>
          <cell r="D3110" t="str">
            <v>Enterprise</v>
          </cell>
          <cell r="E3110">
            <v>0</v>
          </cell>
          <cell r="F3110">
            <v>0</v>
          </cell>
          <cell r="G3110">
            <v>45901</v>
          </cell>
        </row>
        <row r="3111">
          <cell r="C3111" t="str">
            <v>TL</v>
          </cell>
          <cell r="D3111" t="str">
            <v>Enterprise</v>
          </cell>
        </row>
        <row r="3112">
          <cell r="C3112" t="str">
            <v>USD</v>
          </cell>
          <cell r="D3112" t="str">
            <v>Enterprise</v>
          </cell>
          <cell r="G3112">
            <v>45901</v>
          </cell>
        </row>
        <row r="3113">
          <cell r="C3113" t="str">
            <v>EUR</v>
          </cell>
          <cell r="D3113" t="str">
            <v>Enterprise</v>
          </cell>
        </row>
        <row r="3114">
          <cell r="C3114" t="str">
            <v>Kur Sabitleme</v>
          </cell>
          <cell r="D3114" t="str">
            <v>Enterprise</v>
          </cell>
        </row>
        <row r="3115">
          <cell r="C3115" t="str">
            <v>INTRA MEDİKAL</v>
          </cell>
          <cell r="D3115" t="str">
            <v>SMB</v>
          </cell>
          <cell r="E3115">
            <v>0</v>
          </cell>
          <cell r="F3115">
            <v>0</v>
          </cell>
          <cell r="G3115">
            <v>45903</v>
          </cell>
        </row>
        <row r="3116">
          <cell r="C3116" t="str">
            <v>TL</v>
          </cell>
          <cell r="D3116" t="str">
            <v>SMB</v>
          </cell>
          <cell r="G3116">
            <v>45903</v>
          </cell>
        </row>
        <row r="3117">
          <cell r="C3117" t="str">
            <v>USD</v>
          </cell>
          <cell r="D3117" t="str">
            <v>SMB</v>
          </cell>
        </row>
        <row r="3118">
          <cell r="C3118" t="str">
            <v>EUR</v>
          </cell>
          <cell r="D3118" t="str">
            <v>SMB</v>
          </cell>
        </row>
        <row r="3119">
          <cell r="C3119" t="str">
            <v>Kur Sabitleme</v>
          </cell>
          <cell r="D3119" t="str">
            <v>SMB</v>
          </cell>
        </row>
        <row r="3120">
          <cell r="C3120" t="str">
            <v>MEGA METAL SAN. VE TİC. A.Ş.</v>
          </cell>
          <cell r="D3120" t="str">
            <v>Enterprise</v>
          </cell>
          <cell r="E3120">
            <v>0</v>
          </cell>
          <cell r="F3120">
            <v>0</v>
          </cell>
          <cell r="G3120">
            <v>45931</v>
          </cell>
        </row>
        <row r="3121">
          <cell r="C3121" t="str">
            <v>TL</v>
          </cell>
          <cell r="D3121" t="str">
            <v>Enterprise</v>
          </cell>
        </row>
        <row r="3122">
          <cell r="C3122" t="str">
            <v>USD</v>
          </cell>
          <cell r="D3122" t="str">
            <v>Enterprise</v>
          </cell>
          <cell r="G3122">
            <v>45931</v>
          </cell>
        </row>
        <row r="3123">
          <cell r="C3123" t="str">
            <v>EUR</v>
          </cell>
          <cell r="D3123" t="str">
            <v>Enterprise</v>
          </cell>
        </row>
        <row r="3124">
          <cell r="C3124" t="str">
            <v>Kur Sabitleme</v>
          </cell>
          <cell r="D3124" t="str">
            <v>Enterprise</v>
          </cell>
        </row>
        <row r="3125">
          <cell r="C3125" t="str">
            <v>Obilet.com Turizm Seyahat Acentası</v>
          </cell>
          <cell r="D3125" t="str">
            <v>Enterprise</v>
          </cell>
          <cell r="E3125">
            <v>0</v>
          </cell>
          <cell r="F3125">
            <v>0</v>
          </cell>
          <cell r="G3125">
            <v>45901</v>
          </cell>
        </row>
        <row r="3126">
          <cell r="C3126" t="str">
            <v>TL</v>
          </cell>
          <cell r="D3126" t="str">
            <v>Enterprise</v>
          </cell>
          <cell r="G3126">
            <v>45901</v>
          </cell>
        </row>
        <row r="3127">
          <cell r="C3127" t="str">
            <v>USD</v>
          </cell>
          <cell r="D3127" t="str">
            <v>Enterprise</v>
          </cell>
        </row>
        <row r="3128">
          <cell r="C3128" t="str">
            <v>EUR</v>
          </cell>
          <cell r="D3128" t="str">
            <v>Enterprise</v>
          </cell>
        </row>
        <row r="3129">
          <cell r="C3129" t="str">
            <v>Kur Sabitleme</v>
          </cell>
          <cell r="D3129" t="str">
            <v>Enterprise</v>
          </cell>
        </row>
        <row r="3130">
          <cell r="C3130" t="str">
            <v>NİSHANE</v>
          </cell>
          <cell r="D3130" t="str">
            <v>SMB</v>
          </cell>
          <cell r="E3130">
            <v>0</v>
          </cell>
          <cell r="F3130">
            <v>0</v>
          </cell>
          <cell r="G3130">
            <v>45939</v>
          </cell>
        </row>
        <row r="3131">
          <cell r="C3131" t="str">
            <v>TL</v>
          </cell>
          <cell r="D3131" t="str">
            <v>SMB</v>
          </cell>
        </row>
        <row r="3132">
          <cell r="C3132" t="str">
            <v>USD</v>
          </cell>
          <cell r="D3132" t="str">
            <v>SMB</v>
          </cell>
          <cell r="G3132">
            <v>45939</v>
          </cell>
        </row>
        <row r="3133">
          <cell r="C3133" t="str">
            <v>EUR</v>
          </cell>
          <cell r="D3133" t="str">
            <v>SMB</v>
          </cell>
        </row>
        <row r="3134">
          <cell r="C3134" t="str">
            <v>Kur Sabitleme</v>
          </cell>
          <cell r="D3134" t="str">
            <v>SMB</v>
          </cell>
        </row>
        <row r="3135">
          <cell r="C3135" t="str">
            <v>Dec.23 Enterprise Forecast</v>
          </cell>
          <cell r="D3135" t="str">
            <v>Enterprise</v>
          </cell>
          <cell r="E3135">
            <v>0</v>
          </cell>
          <cell r="F3135">
            <v>0</v>
          </cell>
          <cell r="G3135" t="str">
            <v/>
          </cell>
        </row>
        <row r="3136">
          <cell r="C3136" t="str">
            <v>TL</v>
          </cell>
          <cell r="D3136" t="str">
            <v>Enterprise</v>
          </cell>
        </row>
        <row r="3137">
          <cell r="C3137" t="str">
            <v>USD</v>
          </cell>
          <cell r="D3137" t="str">
            <v>Enterprise</v>
          </cell>
        </row>
        <row r="3138">
          <cell r="C3138" t="str">
            <v>EUR</v>
          </cell>
          <cell r="D3138" t="str">
            <v>Enterprise</v>
          </cell>
        </row>
        <row r="3139">
          <cell r="C3139" t="str">
            <v>Kur Sabitleme</v>
          </cell>
          <cell r="D3139" t="str">
            <v>Enterprise</v>
          </cell>
        </row>
        <row r="3140">
          <cell r="C3140" t="str">
            <v>SMB Churn Effect</v>
          </cell>
          <cell r="D3140" t="str">
            <v>SMB</v>
          </cell>
          <cell r="E3140">
            <v>0</v>
          </cell>
          <cell r="F3140">
            <v>0</v>
          </cell>
          <cell r="G3140" t="str">
            <v/>
          </cell>
        </row>
        <row r="3141">
          <cell r="C3141" t="str">
            <v>TL</v>
          </cell>
          <cell r="D3141" t="str">
            <v>SMB</v>
          </cell>
        </row>
        <row r="3142">
          <cell r="C3142" t="str">
            <v>USD</v>
          </cell>
          <cell r="D3142" t="str">
            <v>SMB</v>
          </cell>
        </row>
        <row r="3143">
          <cell r="C3143" t="str">
            <v>EUR</v>
          </cell>
          <cell r="D3143" t="str">
            <v>SMB</v>
          </cell>
        </row>
        <row r="3144">
          <cell r="C3144" t="str">
            <v>Kur Sabitleme</v>
          </cell>
          <cell r="D3144" t="str">
            <v>SMB</v>
          </cell>
        </row>
        <row r="3145">
          <cell r="C3145" t="str">
            <v>SMB USD ARA ZAM</v>
          </cell>
          <cell r="D3145" t="str">
            <v>SMB</v>
          </cell>
          <cell r="E3145">
            <v>0</v>
          </cell>
          <cell r="F3145">
            <v>0</v>
          </cell>
          <cell r="G3145" t="str">
            <v/>
          </cell>
        </row>
        <row r="3146">
          <cell r="C3146" t="str">
            <v>TL</v>
          </cell>
          <cell r="D3146" t="str">
            <v>SMB</v>
          </cell>
        </row>
        <row r="3147">
          <cell r="C3147" t="str">
            <v>USD</v>
          </cell>
          <cell r="D3147" t="str">
            <v>SMB</v>
          </cell>
        </row>
        <row r="3148">
          <cell r="C3148" t="str">
            <v>EUR</v>
          </cell>
          <cell r="D3148" t="str">
            <v>SMB</v>
          </cell>
        </row>
        <row r="3149">
          <cell r="C3149" t="str">
            <v>Kur Sabitleme</v>
          </cell>
          <cell r="D3149" t="str">
            <v>SMB</v>
          </cell>
        </row>
        <row r="3150">
          <cell r="C3150" t="str">
            <v>SMB Existing Effect</v>
          </cell>
          <cell r="D3150" t="str">
            <v>SMB</v>
          </cell>
          <cell r="E3150">
            <v>0</v>
          </cell>
          <cell r="F3150">
            <v>0</v>
          </cell>
          <cell r="G3150" t="str">
            <v/>
          </cell>
        </row>
        <row r="3151">
          <cell r="C3151" t="str">
            <v>TL</v>
          </cell>
          <cell r="D3151" t="str">
            <v>SMB</v>
          </cell>
        </row>
        <row r="3152">
          <cell r="C3152" t="str">
            <v>USD</v>
          </cell>
          <cell r="D3152" t="str">
            <v>SMB</v>
          </cell>
        </row>
        <row r="3153">
          <cell r="C3153" t="str">
            <v>EUR</v>
          </cell>
          <cell r="D3153" t="str">
            <v>SMB</v>
          </cell>
        </row>
        <row r="3154">
          <cell r="C3154" t="str">
            <v>Kur Sabitleme</v>
          </cell>
          <cell r="D3154" t="str">
            <v>SMB</v>
          </cell>
        </row>
        <row r="3155">
          <cell r="C3155" t="str">
            <v>NEW CUSTOMER - 2023-2</v>
          </cell>
          <cell r="D3155" t="str">
            <v>Enterprise</v>
          </cell>
          <cell r="E3155">
            <v>0</v>
          </cell>
          <cell r="F3155">
            <v>0</v>
          </cell>
          <cell r="G3155" t="str">
            <v/>
          </cell>
        </row>
        <row r="3156">
          <cell r="C3156" t="str">
            <v>TL</v>
          </cell>
          <cell r="D3156" t="str">
            <v>Enterprise</v>
          </cell>
        </row>
        <row r="3157">
          <cell r="C3157" t="str">
            <v>USD</v>
          </cell>
          <cell r="D3157" t="str">
            <v>Enterprise</v>
          </cell>
        </row>
        <row r="3158">
          <cell r="C3158" t="str">
            <v>EUR</v>
          </cell>
          <cell r="D3158" t="str">
            <v>Enterprise</v>
          </cell>
        </row>
        <row r="3159">
          <cell r="C3159" t="str">
            <v>Kur Sabitleme</v>
          </cell>
          <cell r="D3159" t="str">
            <v>Enterprise</v>
          </cell>
        </row>
        <row r="3160">
          <cell r="C3160" t="str">
            <v>NEW CUSTOMER - 2023-3</v>
          </cell>
          <cell r="D3160" t="str">
            <v>Enterprise</v>
          </cell>
          <cell r="E3160">
            <v>0</v>
          </cell>
          <cell r="F3160">
            <v>0</v>
          </cell>
          <cell r="G3160" t="str">
            <v/>
          </cell>
        </row>
        <row r="3161">
          <cell r="C3161" t="str">
            <v>TL</v>
          </cell>
          <cell r="D3161" t="str">
            <v>Enterprise</v>
          </cell>
        </row>
        <row r="3162">
          <cell r="C3162" t="str">
            <v>USD</v>
          </cell>
          <cell r="D3162" t="str">
            <v>Enterprise</v>
          </cell>
        </row>
        <row r="3163">
          <cell r="C3163" t="str">
            <v>EUR</v>
          </cell>
          <cell r="D3163" t="str">
            <v>Enterprise</v>
          </cell>
        </row>
        <row r="3164">
          <cell r="C3164" t="str">
            <v>Kur Sabitleme</v>
          </cell>
          <cell r="D3164" t="str">
            <v>Enterprise</v>
          </cell>
        </row>
        <row r="3165">
          <cell r="C3165" t="str">
            <v>NEW CUSTOMER - 2023-4</v>
          </cell>
          <cell r="D3165" t="str">
            <v>Enterprise</v>
          </cell>
          <cell r="E3165">
            <v>0</v>
          </cell>
          <cell r="F3165">
            <v>0</v>
          </cell>
          <cell r="G3165" t="str">
            <v/>
          </cell>
        </row>
        <row r="3166">
          <cell r="C3166" t="str">
            <v>TL</v>
          </cell>
          <cell r="D3166" t="str">
            <v>Enterprise</v>
          </cell>
        </row>
        <row r="3167">
          <cell r="C3167" t="str">
            <v>USD</v>
          </cell>
          <cell r="D3167" t="str">
            <v>Enterprise</v>
          </cell>
        </row>
        <row r="3168">
          <cell r="C3168" t="str">
            <v>EUR</v>
          </cell>
          <cell r="D3168" t="str">
            <v>Enterprise</v>
          </cell>
        </row>
        <row r="3169">
          <cell r="C3169" t="str">
            <v>Kur Sabitleme</v>
          </cell>
          <cell r="D3169" t="str">
            <v>Enterprise</v>
          </cell>
        </row>
        <row r="3170">
          <cell r="C3170" t="str">
            <v>NEW CUSTOMER - 2023-5</v>
          </cell>
          <cell r="D3170" t="str">
            <v>Enterprise</v>
          </cell>
          <cell r="E3170">
            <v>0</v>
          </cell>
          <cell r="F3170">
            <v>0</v>
          </cell>
          <cell r="G3170" t="str">
            <v/>
          </cell>
        </row>
        <row r="3171">
          <cell r="C3171" t="str">
            <v>TL</v>
          </cell>
          <cell r="D3171" t="str">
            <v>Enterprise</v>
          </cell>
        </row>
        <row r="3172">
          <cell r="C3172" t="str">
            <v>USD</v>
          </cell>
          <cell r="D3172" t="str">
            <v>Enterprise</v>
          </cell>
        </row>
        <row r="3173">
          <cell r="C3173" t="str">
            <v>EUR</v>
          </cell>
          <cell r="D3173" t="str">
            <v>Enterprise</v>
          </cell>
        </row>
        <row r="3174">
          <cell r="C3174" t="str">
            <v>Kur Sabitleme</v>
          </cell>
          <cell r="D3174" t="str">
            <v>Enterprise</v>
          </cell>
        </row>
        <row r="3175">
          <cell r="C3175" t="str">
            <v>NEW CUSTOMER - 2023-6</v>
          </cell>
          <cell r="D3175" t="str">
            <v>Enterprise</v>
          </cell>
          <cell r="E3175">
            <v>0</v>
          </cell>
          <cell r="F3175">
            <v>0</v>
          </cell>
          <cell r="G3175" t="str">
            <v/>
          </cell>
        </row>
        <row r="3176">
          <cell r="C3176" t="str">
            <v>TL</v>
          </cell>
          <cell r="D3176" t="str">
            <v>Enterprise</v>
          </cell>
        </row>
        <row r="3177">
          <cell r="C3177" t="str">
            <v>USD</v>
          </cell>
          <cell r="D3177" t="str">
            <v>Enterprise</v>
          </cell>
        </row>
        <row r="3178">
          <cell r="C3178" t="str">
            <v>EUR</v>
          </cell>
          <cell r="D3178" t="str">
            <v>Enterprise</v>
          </cell>
        </row>
        <row r="3179">
          <cell r="C3179" t="str">
            <v>Kur Sabitleme</v>
          </cell>
          <cell r="D3179" t="str">
            <v>Enterprise</v>
          </cell>
        </row>
        <row r="3180">
          <cell r="C3180" t="str">
            <v>NEW CUSTOMER - 2024-1</v>
          </cell>
          <cell r="D3180" t="str">
            <v>Enterprise</v>
          </cell>
          <cell r="E3180">
            <v>0</v>
          </cell>
          <cell r="F3180">
            <v>0</v>
          </cell>
          <cell r="G3180" t="str">
            <v/>
          </cell>
        </row>
        <row r="3181">
          <cell r="C3181" t="str">
            <v>TL</v>
          </cell>
          <cell r="D3181" t="str">
            <v>Enterprise</v>
          </cell>
        </row>
        <row r="3182">
          <cell r="C3182" t="str">
            <v>USD</v>
          </cell>
          <cell r="D3182" t="str">
            <v>Enterprise</v>
          </cell>
        </row>
        <row r="3183">
          <cell r="C3183" t="str">
            <v>EUR</v>
          </cell>
          <cell r="D3183" t="str">
            <v>Enterprise</v>
          </cell>
        </row>
        <row r="3184">
          <cell r="C3184" t="str">
            <v>Kur Sabitleme</v>
          </cell>
          <cell r="D3184" t="str">
            <v>Enterprise</v>
          </cell>
        </row>
        <row r="3185">
          <cell r="C3185" t="str">
            <v>NEW CUSTOMER - 2024-2</v>
          </cell>
          <cell r="D3185" t="str">
            <v>Enterprise</v>
          </cell>
          <cell r="E3185">
            <v>0</v>
          </cell>
          <cell r="F3185">
            <v>0</v>
          </cell>
          <cell r="G3185" t="str">
            <v/>
          </cell>
        </row>
        <row r="3186">
          <cell r="C3186" t="str">
            <v>TL</v>
          </cell>
          <cell r="D3186" t="str">
            <v>Enterprise</v>
          </cell>
        </row>
        <row r="3187">
          <cell r="C3187" t="str">
            <v>USD</v>
          </cell>
          <cell r="D3187" t="str">
            <v>Enterprise</v>
          </cell>
        </row>
        <row r="3188">
          <cell r="C3188" t="str">
            <v>EUR</v>
          </cell>
          <cell r="D3188" t="str">
            <v>Enterprise</v>
          </cell>
        </row>
        <row r="3189">
          <cell r="C3189" t="str">
            <v>Kur Sabitleme</v>
          </cell>
          <cell r="D3189" t="str">
            <v>Enterprise</v>
          </cell>
        </row>
        <row r="3190">
          <cell r="C3190" t="str">
            <v>NEW CUSTOMER - 2024-3</v>
          </cell>
          <cell r="D3190" t="str">
            <v>Enterprise</v>
          </cell>
          <cell r="E3190">
            <v>0</v>
          </cell>
          <cell r="F3190">
            <v>0</v>
          </cell>
          <cell r="G3190" t="str">
            <v/>
          </cell>
        </row>
        <row r="3191">
          <cell r="C3191" t="str">
            <v>TL</v>
          </cell>
          <cell r="D3191" t="str">
            <v>Enterprise</v>
          </cell>
        </row>
        <row r="3192">
          <cell r="C3192" t="str">
            <v>USD</v>
          </cell>
          <cell r="D3192" t="str">
            <v>Enterprise</v>
          </cell>
        </row>
        <row r="3193">
          <cell r="C3193" t="str">
            <v>EUR</v>
          </cell>
          <cell r="D3193" t="str">
            <v>Enterprise</v>
          </cell>
        </row>
        <row r="3194">
          <cell r="C3194" t="str">
            <v>Kur Sabitleme</v>
          </cell>
          <cell r="D3194" t="str">
            <v>Enterprise</v>
          </cell>
        </row>
        <row r="3195">
          <cell r="C3195" t="str">
            <v>NEW CUSTOMER - 2024-4</v>
          </cell>
          <cell r="D3195" t="str">
            <v>Enterprise</v>
          </cell>
          <cell r="E3195">
            <v>0</v>
          </cell>
          <cell r="F3195">
            <v>0</v>
          </cell>
          <cell r="G3195" t="str">
            <v/>
          </cell>
        </row>
        <row r="3196">
          <cell r="C3196" t="str">
            <v>TL</v>
          </cell>
          <cell r="D3196" t="str">
            <v>Enterprise</v>
          </cell>
        </row>
        <row r="3197">
          <cell r="C3197" t="str">
            <v>USD</v>
          </cell>
          <cell r="D3197" t="str">
            <v>Enterprise</v>
          </cell>
        </row>
        <row r="3198">
          <cell r="C3198" t="str">
            <v>EUR</v>
          </cell>
          <cell r="D3198" t="str">
            <v>Enterprise</v>
          </cell>
        </row>
        <row r="3199">
          <cell r="C3199" t="str">
            <v>Kur Sabitleme</v>
          </cell>
          <cell r="D3199" t="str">
            <v>Enterprise</v>
          </cell>
        </row>
        <row r="3200">
          <cell r="C3200" t="str">
            <v>NEW CUSTOMER - 2024-5</v>
          </cell>
          <cell r="D3200" t="str">
            <v>Enterprise</v>
          </cell>
          <cell r="E3200">
            <v>0</v>
          </cell>
          <cell r="F3200">
            <v>0</v>
          </cell>
          <cell r="G3200" t="str">
            <v/>
          </cell>
        </row>
        <row r="3201">
          <cell r="C3201" t="str">
            <v>TL</v>
          </cell>
          <cell r="D3201" t="str">
            <v>Enterprise</v>
          </cell>
        </row>
        <row r="3202">
          <cell r="C3202" t="str">
            <v>USD</v>
          </cell>
          <cell r="D3202" t="str">
            <v>Enterprise</v>
          </cell>
        </row>
        <row r="3203">
          <cell r="C3203" t="str">
            <v>EUR</v>
          </cell>
          <cell r="D3203" t="str">
            <v>Enterprise</v>
          </cell>
        </row>
        <row r="3204">
          <cell r="C3204" t="str">
            <v>Kur Sabitleme</v>
          </cell>
          <cell r="D3204" t="str">
            <v>Enterprise</v>
          </cell>
        </row>
        <row r="3205">
          <cell r="C3205" t="str">
            <v>NEW CUSTOMER - 2024-6</v>
          </cell>
          <cell r="D3205" t="str">
            <v>Enterprise</v>
          </cell>
          <cell r="E3205">
            <v>0</v>
          </cell>
          <cell r="F3205">
            <v>0</v>
          </cell>
          <cell r="G3205" t="str">
            <v/>
          </cell>
        </row>
        <row r="3206">
          <cell r="C3206" t="str">
            <v>TL</v>
          </cell>
          <cell r="D3206" t="str">
            <v>Enterprise</v>
          </cell>
        </row>
        <row r="3207">
          <cell r="C3207" t="str">
            <v>USD</v>
          </cell>
          <cell r="D3207" t="str">
            <v>Enterprise</v>
          </cell>
        </row>
        <row r="3208">
          <cell r="C3208" t="str">
            <v>EUR</v>
          </cell>
          <cell r="D3208" t="str">
            <v>Enterprise</v>
          </cell>
        </row>
        <row r="3209">
          <cell r="C3209" t="str">
            <v>Kur Sabitleme</v>
          </cell>
          <cell r="D3209" t="str">
            <v>Enterprise</v>
          </cell>
        </row>
        <row r="3210">
          <cell r="C3210" t="str">
            <v>NEW CUSTOMER - 2024-7</v>
          </cell>
          <cell r="D3210" t="str">
            <v>Enterprise</v>
          </cell>
          <cell r="E3210">
            <v>0</v>
          </cell>
          <cell r="F3210">
            <v>0</v>
          </cell>
          <cell r="G3210" t="str">
            <v/>
          </cell>
        </row>
        <row r="3211">
          <cell r="C3211" t="str">
            <v>TL</v>
          </cell>
          <cell r="D3211" t="str">
            <v>Enterprise</v>
          </cell>
        </row>
        <row r="3212">
          <cell r="C3212" t="str">
            <v>USD</v>
          </cell>
          <cell r="D3212" t="str">
            <v>Enterprise</v>
          </cell>
        </row>
        <row r="3213">
          <cell r="C3213" t="str">
            <v>EUR</v>
          </cell>
          <cell r="D3213" t="str">
            <v>Enterprise</v>
          </cell>
        </row>
        <row r="3214">
          <cell r="C3214" t="str">
            <v>Kur Sabitleme</v>
          </cell>
          <cell r="D3214" t="str">
            <v>Enterprise</v>
          </cell>
        </row>
        <row r="3215">
          <cell r="C3215" t="str">
            <v>NEW CUSTOMER - 2024-8</v>
          </cell>
          <cell r="D3215" t="str">
            <v>Enterprise</v>
          </cell>
          <cell r="E3215">
            <v>0</v>
          </cell>
          <cell r="F3215">
            <v>0</v>
          </cell>
          <cell r="G3215" t="str">
            <v/>
          </cell>
        </row>
        <row r="3216">
          <cell r="C3216" t="str">
            <v>TL</v>
          </cell>
          <cell r="D3216" t="str">
            <v>Enterprise</v>
          </cell>
        </row>
        <row r="3217">
          <cell r="C3217" t="str">
            <v>USD</v>
          </cell>
          <cell r="D3217" t="str">
            <v>Enterprise</v>
          </cell>
        </row>
        <row r="3218">
          <cell r="C3218" t="str">
            <v>EUR</v>
          </cell>
          <cell r="D3218" t="str">
            <v>Enterprise</v>
          </cell>
        </row>
        <row r="3219">
          <cell r="C3219" t="str">
            <v>Kur Sabitleme</v>
          </cell>
          <cell r="D3219" t="str">
            <v>Enterprise</v>
          </cell>
        </row>
        <row r="3220">
          <cell r="C3220" t="str">
            <v>NEW CUSTOMER - 2024-9</v>
          </cell>
          <cell r="D3220" t="str">
            <v>Enterprise</v>
          </cell>
          <cell r="E3220">
            <v>0</v>
          </cell>
          <cell r="F3220">
            <v>0</v>
          </cell>
          <cell r="G3220" t="str">
            <v/>
          </cell>
        </row>
        <row r="3221">
          <cell r="C3221" t="str">
            <v>TL</v>
          </cell>
          <cell r="D3221" t="str">
            <v>Enterprise</v>
          </cell>
        </row>
        <row r="3222">
          <cell r="C3222" t="str">
            <v>USD</v>
          </cell>
          <cell r="D3222" t="str">
            <v>Enterprise</v>
          </cell>
        </row>
        <row r="3223">
          <cell r="C3223" t="str">
            <v>EUR</v>
          </cell>
          <cell r="D3223" t="str">
            <v>Enterprise</v>
          </cell>
        </row>
        <row r="3224">
          <cell r="C3224" t="str">
            <v>Kur Sabitleme</v>
          </cell>
          <cell r="D3224" t="str">
            <v>Enterprise</v>
          </cell>
        </row>
        <row r="3225">
          <cell r="C3225" t="str">
            <v>NEW CUSTOMER - 2024-10</v>
          </cell>
          <cell r="D3225" t="str">
            <v>Enterprise</v>
          </cell>
          <cell r="E3225">
            <v>0</v>
          </cell>
          <cell r="F3225">
            <v>0</v>
          </cell>
          <cell r="G3225" t="str">
            <v/>
          </cell>
        </row>
        <row r="3226">
          <cell r="C3226" t="str">
            <v>TL</v>
          </cell>
          <cell r="D3226" t="str">
            <v>Enterprise</v>
          </cell>
        </row>
        <row r="3227">
          <cell r="C3227" t="str">
            <v>USD</v>
          </cell>
          <cell r="D3227" t="str">
            <v>Enterprise</v>
          </cell>
        </row>
        <row r="3228">
          <cell r="C3228" t="str">
            <v>EUR</v>
          </cell>
          <cell r="D3228" t="str">
            <v>Enterprise</v>
          </cell>
        </row>
        <row r="3229">
          <cell r="C3229" t="str">
            <v>Kur Sabitleme</v>
          </cell>
          <cell r="D3229" t="str">
            <v>Enterprise</v>
          </cell>
        </row>
        <row r="3230">
          <cell r="C3230" t="str">
            <v>NEW CUSTOMER - 2024-11</v>
          </cell>
          <cell r="D3230" t="str">
            <v>Enterprise</v>
          </cell>
          <cell r="E3230">
            <v>0</v>
          </cell>
          <cell r="F3230">
            <v>0</v>
          </cell>
          <cell r="G3230" t="str">
            <v/>
          </cell>
        </row>
        <row r="3231">
          <cell r="C3231" t="str">
            <v>TL</v>
          </cell>
          <cell r="D3231" t="str">
            <v>Enterprise</v>
          </cell>
        </row>
        <row r="3232">
          <cell r="C3232" t="str">
            <v>USD</v>
          </cell>
          <cell r="D3232" t="str">
            <v>Enterprise</v>
          </cell>
        </row>
        <row r="3233">
          <cell r="C3233" t="str">
            <v>EUR</v>
          </cell>
          <cell r="D3233" t="str">
            <v>Enterprise</v>
          </cell>
        </row>
        <row r="3234">
          <cell r="C3234" t="str">
            <v>Kur Sabitleme</v>
          </cell>
          <cell r="D3234" t="str">
            <v>Enterprise</v>
          </cell>
        </row>
        <row r="3235">
          <cell r="C3235" t="str">
            <v>NEW CUSTOMER - 2024-12</v>
          </cell>
          <cell r="D3235" t="str">
            <v>Enterprise</v>
          </cell>
          <cell r="E3235">
            <v>0</v>
          </cell>
          <cell r="F3235">
            <v>0</v>
          </cell>
          <cell r="G3235" t="str">
            <v/>
          </cell>
        </row>
        <row r="3236">
          <cell r="C3236" t="str">
            <v>TL</v>
          </cell>
          <cell r="D3236" t="str">
            <v>Enterprise</v>
          </cell>
        </row>
        <row r="3237">
          <cell r="C3237" t="str">
            <v>USD</v>
          </cell>
          <cell r="D3237" t="str">
            <v>Enterprise</v>
          </cell>
        </row>
        <row r="3238">
          <cell r="C3238" t="str">
            <v>EUR</v>
          </cell>
          <cell r="D3238" t="str">
            <v>Enterprise</v>
          </cell>
        </row>
        <row r="3239">
          <cell r="C3239" t="str">
            <v>Kur Sabitleme</v>
          </cell>
          <cell r="D3239" t="str">
            <v>Enterprise</v>
          </cell>
        </row>
        <row r="3240">
          <cell r="C3240" t="str">
            <v>NEW CUSTOMER - 2024-13</v>
          </cell>
          <cell r="D3240" t="str">
            <v>Enterprise</v>
          </cell>
          <cell r="E3240">
            <v>0</v>
          </cell>
          <cell r="F3240">
            <v>0</v>
          </cell>
          <cell r="G3240" t="str">
            <v/>
          </cell>
        </row>
        <row r="3241">
          <cell r="C3241" t="str">
            <v>TL</v>
          </cell>
          <cell r="D3241" t="str">
            <v>Enterprise</v>
          </cell>
        </row>
        <row r="3242">
          <cell r="C3242" t="str">
            <v>USD</v>
          </cell>
          <cell r="D3242" t="str">
            <v>Enterprise</v>
          </cell>
        </row>
        <row r="3243">
          <cell r="C3243" t="str">
            <v>EUR</v>
          </cell>
          <cell r="D3243" t="str">
            <v>Enterprise</v>
          </cell>
        </row>
        <row r="3244">
          <cell r="C3244" t="str">
            <v>Kur Sabitleme</v>
          </cell>
          <cell r="D3244" t="str">
            <v>Enterprise</v>
          </cell>
        </row>
        <row r="3245">
          <cell r="C3245" t="str">
            <v>NEW CUSTOMER - 2024-14</v>
          </cell>
          <cell r="D3245" t="str">
            <v>Enterprise</v>
          </cell>
          <cell r="E3245">
            <v>0</v>
          </cell>
          <cell r="F3245">
            <v>0</v>
          </cell>
          <cell r="G3245" t="str">
            <v/>
          </cell>
        </row>
        <row r="3246">
          <cell r="C3246" t="str">
            <v>TL</v>
          </cell>
          <cell r="D3246" t="str">
            <v>Enterprise</v>
          </cell>
        </row>
        <row r="3247">
          <cell r="C3247" t="str">
            <v>USD</v>
          </cell>
          <cell r="D3247" t="str">
            <v>Enterprise</v>
          </cell>
        </row>
        <row r="3248">
          <cell r="C3248" t="str">
            <v>EUR</v>
          </cell>
          <cell r="D3248" t="str">
            <v>Enterprise</v>
          </cell>
        </row>
        <row r="3249">
          <cell r="C3249" t="str">
            <v>Kur Sabitleme</v>
          </cell>
          <cell r="D3249" t="str">
            <v>Enterprise</v>
          </cell>
        </row>
        <row r="3250">
          <cell r="C3250" t="str">
            <v>NEW CUSTOMER - 2024-15</v>
          </cell>
          <cell r="D3250" t="str">
            <v>Enterprise</v>
          </cell>
          <cell r="E3250">
            <v>0</v>
          </cell>
          <cell r="F3250">
            <v>0</v>
          </cell>
          <cell r="G3250" t="str">
            <v/>
          </cell>
        </row>
        <row r="3251">
          <cell r="C3251" t="str">
            <v>TL</v>
          </cell>
          <cell r="D3251" t="str">
            <v>Enterprise</v>
          </cell>
        </row>
        <row r="3252">
          <cell r="C3252" t="str">
            <v>USD</v>
          </cell>
          <cell r="D3252" t="str">
            <v>Enterprise</v>
          </cell>
        </row>
        <row r="3253">
          <cell r="C3253" t="str">
            <v>EUR</v>
          </cell>
          <cell r="D3253" t="str">
            <v>Enterprise</v>
          </cell>
        </row>
        <row r="3254">
          <cell r="C3254" t="str">
            <v>Kur Sabitleme</v>
          </cell>
          <cell r="D3254" t="str">
            <v>Enterprise</v>
          </cell>
        </row>
        <row r="3255">
          <cell r="C3255" t="str">
            <v>NEW CUSTOMER - 2024-16</v>
          </cell>
          <cell r="D3255" t="str">
            <v>Enterprise</v>
          </cell>
          <cell r="E3255">
            <v>0</v>
          </cell>
          <cell r="F3255">
            <v>0</v>
          </cell>
          <cell r="G3255" t="str">
            <v/>
          </cell>
        </row>
        <row r="3256">
          <cell r="C3256" t="str">
            <v>TL</v>
          </cell>
          <cell r="D3256" t="str">
            <v>Enterprise</v>
          </cell>
        </row>
        <row r="3257">
          <cell r="C3257" t="str">
            <v>USD</v>
          </cell>
          <cell r="D3257" t="str">
            <v>Enterprise</v>
          </cell>
        </row>
        <row r="3258">
          <cell r="C3258" t="str">
            <v>EUR</v>
          </cell>
          <cell r="D3258" t="str">
            <v>Enterprise</v>
          </cell>
        </row>
        <row r="3259">
          <cell r="C3259" t="str">
            <v>Kur Sabitleme</v>
          </cell>
          <cell r="D3259" t="str">
            <v>Enterprise</v>
          </cell>
        </row>
        <row r="3260">
          <cell r="C3260" t="str">
            <v>NEW CUSTOMER - 2024-17</v>
          </cell>
          <cell r="D3260" t="str">
            <v>Enterprise</v>
          </cell>
          <cell r="E3260">
            <v>0</v>
          </cell>
          <cell r="F3260">
            <v>0</v>
          </cell>
          <cell r="G3260" t="str">
            <v/>
          </cell>
        </row>
        <row r="3261">
          <cell r="C3261" t="str">
            <v>TL</v>
          </cell>
          <cell r="D3261" t="str">
            <v>Enterprise</v>
          </cell>
        </row>
        <row r="3262">
          <cell r="C3262" t="str">
            <v>USD</v>
          </cell>
          <cell r="D3262" t="str">
            <v>Enterprise</v>
          </cell>
        </row>
        <row r="3263">
          <cell r="C3263" t="str">
            <v>EUR</v>
          </cell>
          <cell r="D3263" t="str">
            <v>Enterprise</v>
          </cell>
        </row>
        <row r="3264">
          <cell r="C3264" t="str">
            <v>Kur Sabitleme</v>
          </cell>
          <cell r="D3264" t="str">
            <v>Enterprise</v>
          </cell>
        </row>
        <row r="3265">
          <cell r="C3265" t="str">
            <v>DICLE ÜNIVERSITESI</v>
          </cell>
          <cell r="D3265" t="str">
            <v>SMB</v>
          </cell>
          <cell r="E3265" t="str">
            <v>TREO BİLGİ TEKNOLOJİLERİ</v>
          </cell>
          <cell r="F3265" t="str">
            <v>A-MB716</v>
          </cell>
          <cell r="G3265">
            <v>45323</v>
          </cell>
        </row>
        <row r="3266">
          <cell r="C3266" t="str">
            <v>TL</v>
          </cell>
          <cell r="D3266" t="str">
            <v>SMB</v>
          </cell>
          <cell r="G3266">
            <v>45323</v>
          </cell>
        </row>
        <row r="3267">
          <cell r="C3267" t="str">
            <v>USD</v>
          </cell>
          <cell r="D3267" t="str">
            <v>SMB</v>
          </cell>
        </row>
        <row r="3268">
          <cell r="C3268" t="str">
            <v>EUR</v>
          </cell>
          <cell r="D3268" t="str">
            <v>SMB</v>
          </cell>
        </row>
        <row r="3269">
          <cell r="C3269" t="str">
            <v>Kur Sabitleme</v>
          </cell>
          <cell r="D3269" t="str">
            <v>SMB</v>
          </cell>
        </row>
        <row r="3270">
          <cell r="C3270" t="str">
            <v xml:space="preserve">SOLVENTAS TEKNIK DEPOLAMA A.S. </v>
          </cell>
          <cell r="D3270" t="str">
            <v>SMB</v>
          </cell>
          <cell r="E3270" t="str">
            <v>TREO BİLGİ TEKNOLOJİLERİ</v>
          </cell>
          <cell r="F3270" t="str">
            <v>A-MB511</v>
          </cell>
          <cell r="G3270">
            <v>43466</v>
          </cell>
        </row>
        <row r="3271">
          <cell r="C3271" t="str">
            <v>TL</v>
          </cell>
          <cell r="D3271" t="str">
            <v>SMB</v>
          </cell>
          <cell r="G3271">
            <v>44562</v>
          </cell>
        </row>
        <row r="3272">
          <cell r="C3272" t="str">
            <v>TL</v>
          </cell>
          <cell r="D3272" t="str">
            <v>SMB</v>
          </cell>
          <cell r="G3272">
            <v>43466</v>
          </cell>
        </row>
        <row r="3273">
          <cell r="C3273" t="str">
            <v>USD</v>
          </cell>
          <cell r="D3273" t="str">
            <v>SMB</v>
          </cell>
        </row>
        <row r="3274">
          <cell r="C3274" t="str">
            <v>EUR</v>
          </cell>
          <cell r="D3274" t="str">
            <v>SMB</v>
          </cell>
        </row>
        <row r="3275">
          <cell r="C3275" t="str">
            <v>Kur Sabitleme</v>
          </cell>
          <cell r="D3275" t="str">
            <v>SMB</v>
          </cell>
        </row>
        <row r="3276">
          <cell r="C3276" t="str">
            <v>TURKISH DO &amp; CO  (TREO BAKIM)</v>
          </cell>
          <cell r="D3276" t="str">
            <v>SMB</v>
          </cell>
          <cell r="E3276" t="str">
            <v>TREO BİLGİ TEKNOLOJİLERİ</v>
          </cell>
          <cell r="F3276" t="str">
            <v>…..</v>
          </cell>
          <cell r="G3276">
            <v>44500</v>
          </cell>
        </row>
        <row r="3277">
          <cell r="C3277" t="str">
            <v>TL</v>
          </cell>
          <cell r="D3277" t="str">
            <v>SMB</v>
          </cell>
          <cell r="G3277">
            <v>44500</v>
          </cell>
        </row>
        <row r="3278">
          <cell r="C3278" t="str">
            <v>USD</v>
          </cell>
          <cell r="D3278" t="str">
            <v>SMB</v>
          </cell>
        </row>
        <row r="3279">
          <cell r="C3279" t="str">
            <v>EUR</v>
          </cell>
          <cell r="D3279" t="str">
            <v>SMB</v>
          </cell>
        </row>
        <row r="3280">
          <cell r="C3280" t="str">
            <v>Kur Sabitleme</v>
          </cell>
          <cell r="D3280" t="str">
            <v>SMB</v>
          </cell>
        </row>
        <row r="3281">
          <cell r="C3281" t="str">
            <v>AKSAN KOZMETIK SAN. VE TIC. A.S.</v>
          </cell>
          <cell r="D3281" t="str">
            <v>SMB</v>
          </cell>
          <cell r="E3281" t="str">
            <v>TREO BİLGİ TEKNOLOJİLERİ</v>
          </cell>
          <cell r="F3281" t="str">
            <v>A-MB511</v>
          </cell>
          <cell r="G3281">
            <v>44410</v>
          </cell>
        </row>
        <row r="3282">
          <cell r="C3282" t="str">
            <v>TL</v>
          </cell>
          <cell r="D3282" t="str">
            <v>SMB</v>
          </cell>
          <cell r="G3282">
            <v>44410</v>
          </cell>
        </row>
        <row r="3283">
          <cell r="C3283" t="str">
            <v>USD</v>
          </cell>
          <cell r="D3283" t="str">
            <v>SMB</v>
          </cell>
          <cell r="G3283">
            <v>45044</v>
          </cell>
        </row>
        <row r="3284">
          <cell r="C3284" t="str">
            <v>EUR</v>
          </cell>
          <cell r="D3284" t="str">
            <v>SMB</v>
          </cell>
        </row>
        <row r="3285">
          <cell r="C3285" t="str">
            <v>Kur Sabitleme</v>
          </cell>
          <cell r="D3285" t="str">
            <v>SMB</v>
          </cell>
        </row>
        <row r="3286">
          <cell r="C3286" t="str">
            <v>ŞEKERBANK T.A.S.</v>
          </cell>
          <cell r="D3286" t="str">
            <v>Enterprise</v>
          </cell>
          <cell r="E3286" t="str">
            <v>TREO BİLGİ TEKNOLOJİLERİ</v>
          </cell>
          <cell r="F3286" t="str">
            <v>…..</v>
          </cell>
          <cell r="G3286">
            <v>44681</v>
          </cell>
        </row>
        <row r="3287">
          <cell r="C3287" t="str">
            <v>TL</v>
          </cell>
          <cell r="D3287" t="str">
            <v>Enterprise</v>
          </cell>
          <cell r="G3287">
            <v>44681</v>
          </cell>
        </row>
        <row r="3288">
          <cell r="C3288" t="str">
            <v>USD</v>
          </cell>
          <cell r="D3288" t="str">
            <v>Enterprise</v>
          </cell>
        </row>
        <row r="3289">
          <cell r="C3289" t="str">
            <v>EUR</v>
          </cell>
          <cell r="D3289" t="str">
            <v>Enterprise</v>
          </cell>
        </row>
        <row r="3290">
          <cell r="C3290" t="str">
            <v>Kur Sabitleme</v>
          </cell>
          <cell r="D3290" t="str">
            <v>Enterprise</v>
          </cell>
        </row>
        <row r="3291">
          <cell r="C3291" t="str">
            <v>MAYEN TELEKOMİNİKASYON HİZMETLERİ A.Ş.</v>
          </cell>
          <cell r="D3291" t="str">
            <v>SMB</v>
          </cell>
          <cell r="E3291" t="str">
            <v>TREO BİLGİ TEKNOLOJİLERİ</v>
          </cell>
          <cell r="F3291" t="str">
            <v>A-MB511</v>
          </cell>
          <cell r="G3291">
            <v>44771</v>
          </cell>
        </row>
        <row r="3292">
          <cell r="C3292" t="str">
            <v>TL</v>
          </cell>
          <cell r="D3292" t="str">
            <v>SMB</v>
          </cell>
          <cell r="G3292">
            <v>44771</v>
          </cell>
        </row>
        <row r="3293">
          <cell r="C3293" t="str">
            <v>USD</v>
          </cell>
          <cell r="D3293" t="str">
            <v>SMB</v>
          </cell>
          <cell r="G3293">
            <v>44771</v>
          </cell>
        </row>
        <row r="3294">
          <cell r="C3294" t="str">
            <v>EUR</v>
          </cell>
          <cell r="D3294" t="str">
            <v>SMB</v>
          </cell>
        </row>
        <row r="3295">
          <cell r="C3295" t="str">
            <v>Kur Sabitleme</v>
          </cell>
          <cell r="D3295" t="str">
            <v>SMB</v>
          </cell>
        </row>
        <row r="3296">
          <cell r="C3296" t="str">
            <v>EURO GIDA</v>
          </cell>
          <cell r="D3296" t="str">
            <v>SMB</v>
          </cell>
          <cell r="E3296">
            <v>0</v>
          </cell>
          <cell r="F3296" t="str">
            <v>…..</v>
          </cell>
          <cell r="G3296">
            <v>44819</v>
          </cell>
        </row>
        <row r="3297">
          <cell r="C3297" t="str">
            <v>TL</v>
          </cell>
          <cell r="D3297" t="str">
            <v>SMB</v>
          </cell>
        </row>
        <row r="3298">
          <cell r="C3298" t="str">
            <v>USD</v>
          </cell>
          <cell r="D3298" t="str">
            <v>SMB</v>
          </cell>
          <cell r="G3298">
            <v>44819</v>
          </cell>
        </row>
        <row r="3299">
          <cell r="C3299" t="str">
            <v>EUR</v>
          </cell>
          <cell r="D3299" t="str">
            <v>SMB</v>
          </cell>
        </row>
        <row r="3300">
          <cell r="C3300" t="str">
            <v>Kur Sabitleme</v>
          </cell>
          <cell r="D3300" t="str">
            <v>SMB</v>
          </cell>
        </row>
        <row r="3301">
          <cell r="C3301" t="str">
            <v>KALE HAVACILIK SANAYİ A.Ş.</v>
          </cell>
          <cell r="D3301" t="str">
            <v>Enterprise</v>
          </cell>
          <cell r="E3301" t="str">
            <v>TREO BİLGİ TEKNOLOJİLERİ</v>
          </cell>
          <cell r="F3301" t="str">
            <v>A-MB528</v>
          </cell>
          <cell r="G3301">
            <v>44593</v>
          </cell>
        </row>
        <row r="3302">
          <cell r="C3302" t="str">
            <v>TL</v>
          </cell>
          <cell r="D3302" t="str">
            <v>Enterprise</v>
          </cell>
          <cell r="G3302">
            <v>45383</v>
          </cell>
        </row>
        <row r="3303">
          <cell r="C3303" t="str">
            <v>USD</v>
          </cell>
          <cell r="D3303" t="str">
            <v>Enterprise</v>
          </cell>
          <cell r="G3303">
            <v>44593</v>
          </cell>
        </row>
        <row r="3304">
          <cell r="C3304" t="str">
            <v>EUR</v>
          </cell>
          <cell r="D3304" t="str">
            <v>Enterprise</v>
          </cell>
        </row>
        <row r="3305">
          <cell r="C3305" t="str">
            <v>Kur Sabitleme</v>
          </cell>
          <cell r="D3305" t="str">
            <v>Enterprise</v>
          </cell>
        </row>
        <row r="3306">
          <cell r="C3306" t="str">
            <v>DIGITURK KREA IÇERIK HIZMETLERI VE PRODÜKSIYON A.S</v>
          </cell>
          <cell r="D3306" t="str">
            <v>Enterprise</v>
          </cell>
          <cell r="E3306" t="str">
            <v>TREO BİLGİ TEKNOLOJİLERİ</v>
          </cell>
          <cell r="F3306" t="str">
            <v>A-MB511</v>
          </cell>
          <cell r="G3306">
            <v>44256</v>
          </cell>
        </row>
        <row r="3307">
          <cell r="C3307" t="str">
            <v>TL</v>
          </cell>
          <cell r="D3307" t="str">
            <v>Enterprise</v>
          </cell>
          <cell r="G3307">
            <v>44256</v>
          </cell>
        </row>
        <row r="3308">
          <cell r="C3308" t="str">
            <v>TL</v>
          </cell>
          <cell r="D3308" t="str">
            <v>Enterprise</v>
          </cell>
          <cell r="G3308">
            <v>45624</v>
          </cell>
        </row>
        <row r="3309">
          <cell r="C3309" t="str">
            <v>TL</v>
          </cell>
          <cell r="D3309" t="str">
            <v>Enterprise</v>
          </cell>
          <cell r="G3309">
            <v>44287</v>
          </cell>
        </row>
        <row r="3310">
          <cell r="C3310" t="str">
            <v>TL</v>
          </cell>
          <cell r="D3310" t="str">
            <v>Enterprise</v>
          </cell>
          <cell r="G3310">
            <v>45017</v>
          </cell>
        </row>
        <row r="3311">
          <cell r="C3311" t="str">
            <v>USD</v>
          </cell>
          <cell r="D3311" t="str">
            <v>Enterprise</v>
          </cell>
        </row>
        <row r="3312">
          <cell r="C3312" t="str">
            <v>EUR</v>
          </cell>
          <cell r="D3312" t="str">
            <v>Enterprise</v>
          </cell>
        </row>
        <row r="3313">
          <cell r="C3313" t="str">
            <v>Kur Sabitleme</v>
          </cell>
          <cell r="D3313" t="str">
            <v>Enterprise</v>
          </cell>
        </row>
        <row r="3314">
          <cell r="C3314" t="str">
            <v>ICBC</v>
          </cell>
          <cell r="D3314" t="str">
            <v>Enterprise</v>
          </cell>
          <cell r="E3314" t="str">
            <v>TREO BİLGİ TEKNOLOJİLERİ</v>
          </cell>
          <cell r="F3314" t="str">
            <v>A-MB511</v>
          </cell>
          <cell r="G3314">
            <v>44837</v>
          </cell>
        </row>
        <row r="3315">
          <cell r="C3315" t="str">
            <v>TL</v>
          </cell>
          <cell r="D3315" t="str">
            <v>Enterprise</v>
          </cell>
          <cell r="G3315">
            <v>44837</v>
          </cell>
        </row>
        <row r="3316">
          <cell r="C3316" t="str">
            <v>USD</v>
          </cell>
          <cell r="D3316" t="str">
            <v>Enterprise</v>
          </cell>
          <cell r="G3316">
            <v>44837</v>
          </cell>
        </row>
        <row r="3317">
          <cell r="C3317" t="str">
            <v>EUR</v>
          </cell>
          <cell r="D3317" t="str">
            <v>Enterprise</v>
          </cell>
        </row>
        <row r="3318">
          <cell r="C3318" t="str">
            <v>Kur Sabitleme</v>
          </cell>
          <cell r="D3318" t="str">
            <v>Enterprise</v>
          </cell>
        </row>
        <row r="3319">
          <cell r="C3319" t="str">
            <v xml:space="preserve">NEXTSOFTEK BILGI TEKNOLOJILERI YAZILIM A.S- EKSİT </v>
          </cell>
          <cell r="D3319" t="str">
            <v>SMB</v>
          </cell>
          <cell r="E3319" t="str">
            <v>TREO BİLGİ TEKNOLOJİLERİ</v>
          </cell>
          <cell r="F3319" t="str">
            <v>…..</v>
          </cell>
          <cell r="G3319">
            <v>44256</v>
          </cell>
        </row>
        <row r="3320">
          <cell r="C3320" t="str">
            <v>TL</v>
          </cell>
          <cell r="D3320" t="str">
            <v>SMB</v>
          </cell>
        </row>
        <row r="3321">
          <cell r="C3321" t="str">
            <v>USD</v>
          </cell>
          <cell r="D3321" t="str">
            <v>SMB</v>
          </cell>
          <cell r="G3321">
            <v>44256</v>
          </cell>
        </row>
        <row r="3322">
          <cell r="C3322" t="str">
            <v>EUR</v>
          </cell>
          <cell r="D3322" t="str">
            <v>SMB</v>
          </cell>
        </row>
        <row r="3323">
          <cell r="C3323" t="str">
            <v>Kur Sabitleme</v>
          </cell>
          <cell r="D3323" t="str">
            <v>SMB</v>
          </cell>
        </row>
        <row r="3324">
          <cell r="C3324" t="str">
            <v>BURGAN BANK A.S.</v>
          </cell>
          <cell r="D3324" t="str">
            <v>Enterprise</v>
          </cell>
          <cell r="E3324" t="str">
            <v>TREO BİLGİ TEKNOLOJİLERİ</v>
          </cell>
          <cell r="F3324" t="str">
            <v>A-MB511</v>
          </cell>
          <cell r="G3324">
            <v>45747</v>
          </cell>
        </row>
        <row r="3325">
          <cell r="C3325" t="str">
            <v>TL</v>
          </cell>
          <cell r="D3325" t="str">
            <v>Enterprise</v>
          </cell>
        </row>
        <row r="3326">
          <cell r="C3326" t="str">
            <v>USD</v>
          </cell>
          <cell r="D3326" t="str">
            <v>Enterprise</v>
          </cell>
          <cell r="G3326">
            <v>45747</v>
          </cell>
        </row>
        <row r="3327">
          <cell r="C3327" t="str">
            <v>EUR</v>
          </cell>
          <cell r="D3327" t="str">
            <v>Enterprise</v>
          </cell>
        </row>
        <row r="3328">
          <cell r="C3328" t="str">
            <v>Kur Sabitleme</v>
          </cell>
          <cell r="D3328" t="str">
            <v>Enterprise</v>
          </cell>
        </row>
        <row r="3329">
          <cell r="C3329" t="str">
            <v>Dizayn Teknik Boru ve Elemanları San. ve Tic A.Ş.</v>
          </cell>
          <cell r="D3329" t="str">
            <v>SMB</v>
          </cell>
          <cell r="E3329" t="str">
            <v>TREO BİLGİ TEKNOLOJİLERİ</v>
          </cell>
          <cell r="F3329" t="str">
            <v>…..</v>
          </cell>
          <cell r="G3329">
            <v>45199</v>
          </cell>
        </row>
        <row r="3330">
          <cell r="C3330" t="str">
            <v>TL</v>
          </cell>
          <cell r="D3330" t="str">
            <v>SMB</v>
          </cell>
        </row>
        <row r="3331">
          <cell r="C3331" t="str">
            <v>USD</v>
          </cell>
          <cell r="D3331" t="str">
            <v>SMB</v>
          </cell>
          <cell r="G3331">
            <v>45199</v>
          </cell>
        </row>
        <row r="3332">
          <cell r="C3332" t="str">
            <v>EUR</v>
          </cell>
          <cell r="D3332" t="str">
            <v>SMB</v>
          </cell>
        </row>
        <row r="3333">
          <cell r="C3333" t="str">
            <v>Kur Sabitleme</v>
          </cell>
          <cell r="D3333" t="str">
            <v>SMB</v>
          </cell>
        </row>
        <row r="3334">
          <cell r="C3334" t="str">
            <v>METRO İSTANBUL</v>
          </cell>
          <cell r="D3334" t="str">
            <v>Enterprise</v>
          </cell>
          <cell r="E3334" t="str">
            <v>TREO BİLGİ TEKNOLOJİLERİ</v>
          </cell>
          <cell r="F3334" t="str">
            <v>A-MB511</v>
          </cell>
          <cell r="G3334">
            <v>44771</v>
          </cell>
        </row>
        <row r="3335">
          <cell r="C3335" t="str">
            <v>TL</v>
          </cell>
          <cell r="D3335" t="str">
            <v>Enterprise</v>
          </cell>
          <cell r="G3335">
            <v>44771</v>
          </cell>
        </row>
        <row r="3336">
          <cell r="C3336" t="str">
            <v>TL</v>
          </cell>
          <cell r="D3336" t="str">
            <v>Enterprise</v>
          </cell>
          <cell r="G3336">
            <v>45912</v>
          </cell>
        </row>
        <row r="3337">
          <cell r="C3337" t="str">
            <v>USD</v>
          </cell>
          <cell r="D3337" t="str">
            <v>Enterprise</v>
          </cell>
        </row>
        <row r="3338">
          <cell r="C3338" t="str">
            <v>EUR</v>
          </cell>
          <cell r="D3338" t="str">
            <v>Enterprise</v>
          </cell>
        </row>
        <row r="3339">
          <cell r="C3339" t="str">
            <v>Kur Sabitleme</v>
          </cell>
          <cell r="D3339" t="str">
            <v>Enterprise</v>
          </cell>
        </row>
        <row r="3340">
          <cell r="C3340" t="str">
            <v>ABALIOGLU HOLDING</v>
          </cell>
          <cell r="D3340" t="str">
            <v>SMB</v>
          </cell>
          <cell r="E3340" t="str">
            <v>İNFOTÜRK BİLGİSAYAR ELEKTRONİK HİZ. SAN. VE TİC. L</v>
          </cell>
          <cell r="F3340" t="str">
            <v>A-MB404</v>
          </cell>
          <cell r="G3340">
            <v>43722</v>
          </cell>
        </row>
        <row r="3341">
          <cell r="C3341" t="str">
            <v>TL</v>
          </cell>
          <cell r="D3341" t="str">
            <v>SMB</v>
          </cell>
        </row>
        <row r="3342">
          <cell r="C3342" t="str">
            <v>USD</v>
          </cell>
          <cell r="D3342" t="str">
            <v>SMB</v>
          </cell>
          <cell r="G3342">
            <v>43722</v>
          </cell>
        </row>
        <row r="3343">
          <cell r="C3343" t="str">
            <v>EUR</v>
          </cell>
          <cell r="D3343" t="str">
            <v>SMB</v>
          </cell>
        </row>
        <row r="3344">
          <cell r="C3344" t="str">
            <v>Kur Sabitleme</v>
          </cell>
          <cell r="D3344" t="str">
            <v>SMB</v>
          </cell>
        </row>
        <row r="3345">
          <cell r="C3345" t="str">
            <v>FILIDEA TEKSTIL SAN. VE TIC. A.S</v>
          </cell>
          <cell r="D3345" t="str">
            <v>SMB</v>
          </cell>
          <cell r="E3345" t="str">
            <v>İNFOTÜRK BİLGİSAYAR ELEKTRONİK HİZ. SAN. VE TİC. L</v>
          </cell>
          <cell r="F3345" t="str">
            <v>A-MB404</v>
          </cell>
          <cell r="G3345">
            <v>43819</v>
          </cell>
        </row>
        <row r="3346">
          <cell r="C3346" t="str">
            <v>TL</v>
          </cell>
          <cell r="D3346" t="str">
            <v>SMB</v>
          </cell>
        </row>
        <row r="3347">
          <cell r="C3347" t="str">
            <v>USD</v>
          </cell>
          <cell r="D3347" t="str">
            <v>SMB</v>
          </cell>
          <cell r="G3347">
            <v>43819</v>
          </cell>
        </row>
        <row r="3348">
          <cell r="C3348" t="str">
            <v>EUR</v>
          </cell>
          <cell r="D3348" t="str">
            <v>SMB</v>
          </cell>
        </row>
        <row r="3349">
          <cell r="C3349" t="str">
            <v>Kur Sabitleme</v>
          </cell>
          <cell r="D3349" t="str">
            <v>SMB</v>
          </cell>
        </row>
        <row r="3350">
          <cell r="C3350" t="str">
            <v>KASTAS</v>
          </cell>
          <cell r="D3350" t="str">
            <v>SMB</v>
          </cell>
          <cell r="E3350" t="str">
            <v>İNFOTÜRK BİLGİSAYAR ELEKTRONİK HİZ. SAN. VE TİC. L</v>
          </cell>
          <cell r="F3350" t="str">
            <v>A-MB404</v>
          </cell>
          <cell r="G3350">
            <v>43641</v>
          </cell>
        </row>
        <row r="3351">
          <cell r="C3351" t="str">
            <v>TL</v>
          </cell>
          <cell r="D3351" t="str">
            <v>SMB</v>
          </cell>
        </row>
        <row r="3352">
          <cell r="C3352" t="str">
            <v>USD</v>
          </cell>
          <cell r="D3352" t="str">
            <v>SMB</v>
          </cell>
          <cell r="G3352">
            <v>43641</v>
          </cell>
        </row>
        <row r="3353">
          <cell r="C3353" t="str">
            <v>EUR</v>
          </cell>
          <cell r="D3353" t="str">
            <v>SMB</v>
          </cell>
        </row>
        <row r="3354">
          <cell r="C3354" t="str">
            <v>Kur Sabitleme</v>
          </cell>
          <cell r="D3354" t="str">
            <v>SMB</v>
          </cell>
        </row>
        <row r="3355">
          <cell r="C3355" t="str">
            <v>DENİZLİ RATEKS TEKSTİL SANAYİ VE TİCARET A.Ş.</v>
          </cell>
          <cell r="D3355" t="str">
            <v>SMB</v>
          </cell>
          <cell r="E3355" t="str">
            <v>İNFOTÜRK BİLGİSAYAR ELEKTRONİK HİZ. SAN. VE TİC. L</v>
          </cell>
          <cell r="F3355" t="str">
            <v>A-MB404</v>
          </cell>
          <cell r="G3355">
            <v>45015</v>
          </cell>
        </row>
        <row r="3356">
          <cell r="C3356" t="str">
            <v>TL</v>
          </cell>
          <cell r="D3356" t="str">
            <v>SMB</v>
          </cell>
          <cell r="G3356">
            <v>45015</v>
          </cell>
        </row>
        <row r="3357">
          <cell r="C3357" t="str">
            <v>USD</v>
          </cell>
          <cell r="D3357" t="str">
            <v>SMB</v>
          </cell>
        </row>
        <row r="3358">
          <cell r="C3358" t="str">
            <v>EUR</v>
          </cell>
          <cell r="D3358" t="str">
            <v>SMB</v>
          </cell>
        </row>
        <row r="3359">
          <cell r="C3359" t="str">
            <v>Kur Sabitleme</v>
          </cell>
          <cell r="D3359" t="str">
            <v>SMB</v>
          </cell>
        </row>
        <row r="3360">
          <cell r="C3360" t="str">
            <v>Rateks Baski Boya Sanayi ve Ticaret Anonim Şirketi</v>
          </cell>
          <cell r="D3360" t="str">
            <v>SMB</v>
          </cell>
          <cell r="E3360" t="str">
            <v>İNFOTÜRK BİLGİSAYAR ELEKTRONİK HİZ. SAN. VE TİC. L</v>
          </cell>
          <cell r="F3360" t="str">
            <v>A-MB404</v>
          </cell>
          <cell r="G3360">
            <v>45090</v>
          </cell>
        </row>
        <row r="3361">
          <cell r="C3361" t="str">
            <v>TL</v>
          </cell>
          <cell r="D3361" t="str">
            <v>SMB</v>
          </cell>
          <cell r="G3361">
            <v>45090</v>
          </cell>
        </row>
        <row r="3362">
          <cell r="C3362" t="str">
            <v>USD</v>
          </cell>
          <cell r="D3362" t="str">
            <v>SMB</v>
          </cell>
        </row>
        <row r="3363">
          <cell r="C3363" t="str">
            <v>EUR</v>
          </cell>
          <cell r="D3363" t="str">
            <v>SMB</v>
          </cell>
        </row>
        <row r="3364">
          <cell r="C3364" t="str">
            <v>Kur Sabitleme</v>
          </cell>
          <cell r="D3364" t="str">
            <v>SMB</v>
          </cell>
        </row>
        <row r="3365">
          <cell r="C3365" t="str">
            <v>MILLENICOM TELEKOMÜNİKASYON HİZMETLERİ</v>
          </cell>
          <cell r="D3365" t="str">
            <v>Enterprise</v>
          </cell>
          <cell r="E3365" t="str">
            <v>HEWLETT PACKARD TEKNOLOJİ ÇÖZÜMLERİ LTD.ŞTİ.</v>
          </cell>
          <cell r="F3365" t="str">
            <v>A-MB401</v>
          </cell>
          <cell r="G3365">
            <v>44256</v>
          </cell>
        </row>
        <row r="3366">
          <cell r="C3366" t="str">
            <v>TL</v>
          </cell>
          <cell r="D3366" t="str">
            <v>Enterprise</v>
          </cell>
          <cell r="G3366">
            <v>44256</v>
          </cell>
        </row>
        <row r="3367">
          <cell r="C3367" t="str">
            <v>USD</v>
          </cell>
          <cell r="D3367" t="str">
            <v>Enterprise</v>
          </cell>
        </row>
        <row r="3368">
          <cell r="C3368" t="str">
            <v>EUR</v>
          </cell>
          <cell r="D3368" t="str">
            <v>Enterprise</v>
          </cell>
        </row>
        <row r="3369">
          <cell r="C3369" t="str">
            <v>Kur Sabitleme</v>
          </cell>
          <cell r="D3369" t="str">
            <v>Enterprise</v>
          </cell>
        </row>
        <row r="3370">
          <cell r="C3370" t="str">
            <v>AXA SIGORTA</v>
          </cell>
          <cell r="D3370" t="str">
            <v>Enterprise</v>
          </cell>
          <cell r="E3370" t="str">
            <v>HEWLETT PACKARD TEKNOLOJİ ÇÖZÜMLERİ LTD.ŞTİ.</v>
          </cell>
          <cell r="F3370" t="str">
            <v>A-MB401</v>
          </cell>
          <cell r="G3370">
            <v>44188</v>
          </cell>
        </row>
        <row r="3371">
          <cell r="C3371" t="str">
            <v>TL</v>
          </cell>
          <cell r="D3371" t="str">
            <v>Enterprise</v>
          </cell>
          <cell r="G3371">
            <v>44188</v>
          </cell>
        </row>
        <row r="3372">
          <cell r="C3372" t="str">
            <v>TL</v>
          </cell>
          <cell r="D3372" t="str">
            <v>Enterprise</v>
          </cell>
        </row>
        <row r="3373">
          <cell r="C3373" t="str">
            <v>USD</v>
          </cell>
          <cell r="D3373" t="str">
            <v>Enterprise</v>
          </cell>
        </row>
        <row r="3374">
          <cell r="C3374" t="str">
            <v>EUR</v>
          </cell>
          <cell r="D3374" t="str">
            <v>Enterprise</v>
          </cell>
        </row>
        <row r="3375">
          <cell r="C3375" t="str">
            <v>Kur Sabitleme</v>
          </cell>
          <cell r="D3375" t="str">
            <v>Enterprise</v>
          </cell>
        </row>
        <row r="3376">
          <cell r="C3376" t="str">
            <v>BOYNER HOLDING</v>
          </cell>
          <cell r="D3376" t="str">
            <v>Enterprise</v>
          </cell>
          <cell r="E3376" t="str">
            <v>HEWLETT PACKARD TEKNOLOJİ ÇÖZÜMLERİ LTD.ŞTİ.</v>
          </cell>
          <cell r="F3376" t="str">
            <v>A-MB401</v>
          </cell>
          <cell r="G3376">
            <v>44378</v>
          </cell>
        </row>
        <row r="3377">
          <cell r="C3377" t="str">
            <v>TL</v>
          </cell>
          <cell r="D3377" t="str">
            <v>Enterprise</v>
          </cell>
        </row>
        <row r="3378">
          <cell r="C3378" t="str">
            <v>USD</v>
          </cell>
          <cell r="D3378" t="str">
            <v>Enterprise</v>
          </cell>
          <cell r="G3378">
            <v>44378</v>
          </cell>
        </row>
        <row r="3379">
          <cell r="C3379" t="str">
            <v>EUR</v>
          </cell>
          <cell r="D3379" t="str">
            <v>Enterprise</v>
          </cell>
        </row>
        <row r="3380">
          <cell r="C3380" t="str">
            <v>Kur Sabitleme</v>
          </cell>
          <cell r="D3380" t="str">
            <v>Enterprise</v>
          </cell>
        </row>
        <row r="3381">
          <cell r="C3381" t="str">
            <v xml:space="preserve">BEYMEN GRUP </v>
          </cell>
          <cell r="D3381" t="str">
            <v>Enterprise</v>
          </cell>
          <cell r="E3381">
            <v>0</v>
          </cell>
          <cell r="F3381" t="str">
            <v>A-MB401</v>
          </cell>
          <cell r="G3381">
            <v>43188</v>
          </cell>
        </row>
        <row r="3382">
          <cell r="C3382" t="str">
            <v>TL</v>
          </cell>
          <cell r="D3382" t="str">
            <v>Enterprise</v>
          </cell>
        </row>
        <row r="3383">
          <cell r="C3383" t="str">
            <v>USD</v>
          </cell>
          <cell r="D3383" t="str">
            <v>Enterprise</v>
          </cell>
          <cell r="G3383">
            <v>43188</v>
          </cell>
        </row>
        <row r="3384">
          <cell r="C3384" t="str">
            <v>USD</v>
          </cell>
          <cell r="D3384" t="str">
            <v>Enterprise</v>
          </cell>
        </row>
        <row r="3385">
          <cell r="C3385" t="str">
            <v>USD</v>
          </cell>
          <cell r="D3385" t="str">
            <v>Enterprise</v>
          </cell>
        </row>
        <row r="3386">
          <cell r="C3386" t="str">
            <v>USD</v>
          </cell>
          <cell r="D3386" t="str">
            <v>Enterprise</v>
          </cell>
          <cell r="G3386">
            <v>44652</v>
          </cell>
        </row>
        <row r="3387">
          <cell r="C3387" t="str">
            <v>USD</v>
          </cell>
          <cell r="D3387" t="str">
            <v>Enterprise</v>
          </cell>
          <cell r="G3387">
            <v>45536</v>
          </cell>
        </row>
        <row r="3388">
          <cell r="C3388" t="str">
            <v>EUR</v>
          </cell>
          <cell r="D3388" t="str">
            <v>Enterprise</v>
          </cell>
        </row>
        <row r="3389">
          <cell r="C3389" t="str">
            <v>Kur Sabitleme</v>
          </cell>
          <cell r="D3389" t="str">
            <v>Enterprise</v>
          </cell>
        </row>
        <row r="3390">
          <cell r="C3390" t="str">
            <v>ABALIOĞLU YAĞ</v>
          </cell>
          <cell r="D3390" t="str">
            <v>SMB</v>
          </cell>
          <cell r="E3390" t="str">
            <v>BİLGİTÜRK BILGISAYAR TEKNOJILERI SAN.TIC.A.S.</v>
          </cell>
          <cell r="F3390" t="str">
            <v>A-MB388</v>
          </cell>
          <cell r="G3390">
            <v>44470</v>
          </cell>
        </row>
        <row r="3391">
          <cell r="C3391" t="str">
            <v>TL</v>
          </cell>
          <cell r="D3391" t="str">
            <v>SMB</v>
          </cell>
        </row>
        <row r="3392">
          <cell r="C3392" t="str">
            <v>USD</v>
          </cell>
          <cell r="D3392" t="str">
            <v>SMB</v>
          </cell>
          <cell r="G3392">
            <v>44470</v>
          </cell>
        </row>
        <row r="3393">
          <cell r="C3393" t="str">
            <v>EUR</v>
          </cell>
          <cell r="D3393" t="str">
            <v>SMB</v>
          </cell>
        </row>
        <row r="3394">
          <cell r="C3394" t="str">
            <v>Kur Sabitleme</v>
          </cell>
          <cell r="D3394" t="str">
            <v>SMB</v>
          </cell>
        </row>
        <row r="3395">
          <cell r="C3395" t="str">
            <v>ÖZŞANAL PERAKENDE MAĞAZACILIK A.Ş.</v>
          </cell>
          <cell r="D3395" t="str">
            <v>SMB</v>
          </cell>
          <cell r="E3395" t="str">
            <v>BİLGİTÜRK BILGISAYAR TEKNOJILERI SAN.TIC.A.S.</v>
          </cell>
          <cell r="F3395" t="str">
            <v>A-MB388</v>
          </cell>
          <cell r="G3395">
            <v>44197</v>
          </cell>
        </row>
        <row r="3396">
          <cell r="C3396" t="str">
            <v>TL</v>
          </cell>
          <cell r="D3396" t="str">
            <v>SMB</v>
          </cell>
          <cell r="G3396">
            <v>44197</v>
          </cell>
        </row>
        <row r="3397">
          <cell r="C3397" t="str">
            <v>USD</v>
          </cell>
          <cell r="D3397" t="str">
            <v>SMB</v>
          </cell>
        </row>
        <row r="3398">
          <cell r="C3398" t="str">
            <v>EUR</v>
          </cell>
          <cell r="D3398" t="str">
            <v>SMB</v>
          </cell>
        </row>
        <row r="3399">
          <cell r="C3399" t="str">
            <v>Kur Sabitleme</v>
          </cell>
          <cell r="D3399" t="str">
            <v>SMB</v>
          </cell>
        </row>
        <row r="3400">
          <cell r="C3400" t="str">
            <v>SİSKON OTOMASYON YAZILIM A.Ş.</v>
          </cell>
          <cell r="D3400" t="str">
            <v>Enterprise</v>
          </cell>
          <cell r="E3400" t="str">
            <v>BİLGİTÜRK BILGISAYAR TEKNOJILERI SAN.TIC.A.S.</v>
          </cell>
          <cell r="F3400" t="str">
            <v>A-MB388</v>
          </cell>
          <cell r="G3400">
            <v>45070</v>
          </cell>
        </row>
        <row r="3401">
          <cell r="C3401" t="str">
            <v>TL</v>
          </cell>
          <cell r="D3401" t="str">
            <v>Enterprise</v>
          </cell>
        </row>
        <row r="3402">
          <cell r="C3402" t="str">
            <v>USD</v>
          </cell>
          <cell r="D3402" t="str">
            <v>Enterprise</v>
          </cell>
          <cell r="G3402">
            <v>45070</v>
          </cell>
        </row>
        <row r="3403">
          <cell r="C3403" t="str">
            <v>EUR</v>
          </cell>
          <cell r="D3403" t="str">
            <v>Enterprise</v>
          </cell>
        </row>
        <row r="3404">
          <cell r="C3404" t="str">
            <v>Kur Sabitleme</v>
          </cell>
          <cell r="D3404" t="str">
            <v>Enterprise</v>
          </cell>
        </row>
        <row r="3405">
          <cell r="C3405" t="str">
            <v>BEZMIALEM VAKIF ÜNIVERSITESI (REKTÖRLÜK)</v>
          </cell>
          <cell r="D3405" t="str">
            <v>Enterprise</v>
          </cell>
          <cell r="E3405" t="str">
            <v>SUPERONLİNE İLETİŞİM HİZMETLERİ A.Ş.</v>
          </cell>
          <cell r="F3405" t="str">
            <v>A-MB639</v>
          </cell>
          <cell r="G3405">
            <v>43220</v>
          </cell>
        </row>
        <row r="3406">
          <cell r="C3406" t="str">
            <v>TL</v>
          </cell>
          <cell r="D3406" t="str">
            <v>Enterprise</v>
          </cell>
          <cell r="G3406">
            <v>45139</v>
          </cell>
        </row>
        <row r="3407">
          <cell r="C3407" t="str">
            <v>USD</v>
          </cell>
          <cell r="D3407" t="str">
            <v>Enterprise</v>
          </cell>
          <cell r="G3407">
            <v>43220</v>
          </cell>
        </row>
        <row r="3408">
          <cell r="C3408" t="str">
            <v>EUR</v>
          </cell>
          <cell r="D3408" t="str">
            <v>Enterprise</v>
          </cell>
        </row>
        <row r="3409">
          <cell r="C3409" t="str">
            <v>Kur Sabitleme</v>
          </cell>
          <cell r="D3409" t="str">
            <v>Enterprise</v>
          </cell>
        </row>
        <row r="3410">
          <cell r="C3410" t="str">
            <v>BOYNER HOLDING</v>
          </cell>
          <cell r="D3410" t="str">
            <v>Enterprise</v>
          </cell>
          <cell r="E3410" t="str">
            <v>HEWLETT PACKARD TEKNOLOJİ ÇÖZÜMLERİ LTD.ŞTİ.</v>
          </cell>
          <cell r="F3410" t="str">
            <v>A-MB401</v>
          </cell>
          <cell r="G3410">
            <v>43313</v>
          </cell>
        </row>
        <row r="3411">
          <cell r="C3411" t="str">
            <v>TL</v>
          </cell>
          <cell r="D3411" t="str">
            <v>Enterprise</v>
          </cell>
          <cell r="G3411">
            <v>43313</v>
          </cell>
        </row>
        <row r="3412">
          <cell r="C3412" t="str">
            <v>USD</v>
          </cell>
          <cell r="D3412" t="str">
            <v>Enterprise</v>
          </cell>
        </row>
        <row r="3413">
          <cell r="C3413" t="str">
            <v>EUR</v>
          </cell>
          <cell r="D3413" t="str">
            <v>Enterprise</v>
          </cell>
        </row>
        <row r="3414">
          <cell r="C3414" t="str">
            <v>Kur Sabitleme</v>
          </cell>
          <cell r="D3414" t="str">
            <v>Enterprise</v>
          </cell>
        </row>
        <row r="3415">
          <cell r="C3415" t="str">
            <v>KALE HOLDING A.S.</v>
          </cell>
          <cell r="D3415" t="str">
            <v>Enterprise</v>
          </cell>
          <cell r="E3415">
            <v>0</v>
          </cell>
          <cell r="F3415" t="str">
            <v>…..</v>
          </cell>
          <cell r="G3415">
            <v>44127</v>
          </cell>
        </row>
        <row r="3416">
          <cell r="C3416" t="str">
            <v>TL</v>
          </cell>
          <cell r="D3416" t="str">
            <v>Enterprise</v>
          </cell>
          <cell r="G3416">
            <v>44127</v>
          </cell>
        </row>
        <row r="3417">
          <cell r="C3417" t="str">
            <v>USD</v>
          </cell>
          <cell r="D3417" t="str">
            <v>Enterprise</v>
          </cell>
        </row>
        <row r="3418">
          <cell r="C3418" t="str">
            <v>EUR</v>
          </cell>
          <cell r="D3418" t="str">
            <v>Enterprise</v>
          </cell>
        </row>
        <row r="3419">
          <cell r="C3419" t="str">
            <v>Kur Sabitleme</v>
          </cell>
          <cell r="D3419" t="str">
            <v>Enterprise</v>
          </cell>
        </row>
        <row r="3420">
          <cell r="C3420" t="str">
            <v>KARINCA LOJİSTİK A.Ş..</v>
          </cell>
          <cell r="D3420" t="str">
            <v>SMB</v>
          </cell>
          <cell r="E3420" t="str">
            <v>TÜRK TELEKOMÜNİKASYON A.Ş.</v>
          </cell>
          <cell r="F3420" t="str">
            <v>A-MB184</v>
          </cell>
          <cell r="G3420">
            <v>43871</v>
          </cell>
        </row>
        <row r="3421">
          <cell r="C3421" t="str">
            <v>TL</v>
          </cell>
          <cell r="D3421" t="str">
            <v>SMB</v>
          </cell>
          <cell r="G3421">
            <v>43871</v>
          </cell>
        </row>
        <row r="3422">
          <cell r="C3422" t="str">
            <v>USD</v>
          </cell>
          <cell r="D3422" t="str">
            <v>SMB</v>
          </cell>
        </row>
        <row r="3423">
          <cell r="C3423" t="str">
            <v>EUR</v>
          </cell>
          <cell r="D3423" t="str">
            <v>SMB</v>
          </cell>
        </row>
        <row r="3424">
          <cell r="C3424" t="str">
            <v>Kur Sabitleme</v>
          </cell>
          <cell r="D3424" t="str">
            <v>SMB</v>
          </cell>
        </row>
        <row r="3425">
          <cell r="C3425" t="str">
            <v>SET KURUMSAL HİZ.TİC.A.Ş. (SETCARD)</v>
          </cell>
          <cell r="D3425" t="str">
            <v>Enterprise</v>
          </cell>
          <cell r="E3425" t="str">
            <v>TÜRK TELEKOMÜNİKASYON A.Ş.</v>
          </cell>
          <cell r="F3425" t="str">
            <v>A-MB195</v>
          </cell>
          <cell r="G3425">
            <v>45042</v>
          </cell>
        </row>
        <row r="3426">
          <cell r="C3426" t="str">
            <v>TL</v>
          </cell>
          <cell r="D3426" t="str">
            <v>Enterprise</v>
          </cell>
          <cell r="G3426">
            <v>45121</v>
          </cell>
        </row>
        <row r="3427">
          <cell r="C3427" t="str">
            <v>USD</v>
          </cell>
          <cell r="D3427" t="str">
            <v>Enterprise</v>
          </cell>
          <cell r="G3427">
            <v>45042</v>
          </cell>
        </row>
        <row r="3428">
          <cell r="C3428" t="str">
            <v>USD</v>
          </cell>
          <cell r="D3428" t="str">
            <v>Enterprise</v>
          </cell>
          <cell r="G3428">
            <v>45383</v>
          </cell>
        </row>
        <row r="3429">
          <cell r="C3429" t="str">
            <v>EUR</v>
          </cell>
          <cell r="D3429" t="str">
            <v>Enterprise</v>
          </cell>
        </row>
        <row r="3430">
          <cell r="C3430" t="str">
            <v>Kur Sabitleme</v>
          </cell>
          <cell r="D3430" t="str">
            <v>Enterprise</v>
          </cell>
        </row>
        <row r="3431">
          <cell r="C3431" t="str">
            <v>ÇYDD</v>
          </cell>
          <cell r="D3431" t="str">
            <v>SMB</v>
          </cell>
          <cell r="E3431" t="str">
            <v>RADORE</v>
          </cell>
          <cell r="F3431" t="str">
            <v>A-MB421</v>
          </cell>
          <cell r="G3431">
            <v>44449</v>
          </cell>
        </row>
        <row r="3432">
          <cell r="C3432" t="str">
            <v>TL</v>
          </cell>
          <cell r="D3432" t="str">
            <v>SMB</v>
          </cell>
          <cell r="G3432">
            <v>44449</v>
          </cell>
        </row>
        <row r="3433">
          <cell r="C3433" t="str">
            <v>USD</v>
          </cell>
          <cell r="D3433" t="str">
            <v>SMB</v>
          </cell>
          <cell r="G3433">
            <v>44449</v>
          </cell>
        </row>
        <row r="3434">
          <cell r="C3434" t="str">
            <v>EUR</v>
          </cell>
          <cell r="D3434" t="str">
            <v>SMB</v>
          </cell>
        </row>
        <row r="3435">
          <cell r="C3435" t="str">
            <v>Kur Sabitleme</v>
          </cell>
          <cell r="D3435" t="str">
            <v>SMB</v>
          </cell>
        </row>
        <row r="3436">
          <cell r="C3436" t="str">
            <v>KISAN (TİBET ÖRS)</v>
          </cell>
          <cell r="D3436" t="str">
            <v>SMB</v>
          </cell>
          <cell r="E3436" t="str">
            <v>RADORE</v>
          </cell>
          <cell r="F3436" t="str">
            <v>…..</v>
          </cell>
          <cell r="G3436">
            <v>44089</v>
          </cell>
        </row>
        <row r="3437">
          <cell r="C3437" t="str">
            <v>TL</v>
          </cell>
          <cell r="D3437" t="str">
            <v>SMB</v>
          </cell>
          <cell r="G3437">
            <v>44089</v>
          </cell>
        </row>
        <row r="3438">
          <cell r="C3438" t="str">
            <v>USD</v>
          </cell>
          <cell r="D3438" t="str">
            <v>SMB</v>
          </cell>
        </row>
        <row r="3439">
          <cell r="C3439" t="str">
            <v>EUR</v>
          </cell>
          <cell r="D3439" t="str">
            <v>SMB</v>
          </cell>
        </row>
        <row r="3440">
          <cell r="C3440" t="str">
            <v>Kur Sabitleme</v>
          </cell>
          <cell r="D3440" t="str">
            <v>SMB</v>
          </cell>
        </row>
        <row r="3441">
          <cell r="C3441" t="str">
            <v>TEKSAN JENARATÖR ELEK. SAN. TIC. A.S.</v>
          </cell>
          <cell r="D3441" t="str">
            <v>SMB</v>
          </cell>
          <cell r="E3441" t="str">
            <v>3NOKTA BİLİŞİM</v>
          </cell>
          <cell r="F3441" t="str">
            <v>A-MB430</v>
          </cell>
          <cell r="G3441">
            <v>43609</v>
          </cell>
        </row>
        <row r="3442">
          <cell r="C3442" t="str">
            <v>TL</v>
          </cell>
          <cell r="D3442" t="str">
            <v>SMB</v>
          </cell>
          <cell r="G3442">
            <v>45380</v>
          </cell>
        </row>
        <row r="3443">
          <cell r="C3443" t="str">
            <v>USD</v>
          </cell>
          <cell r="D3443" t="str">
            <v>SMB</v>
          </cell>
          <cell r="G3443">
            <v>43609</v>
          </cell>
        </row>
        <row r="3444">
          <cell r="C3444" t="str">
            <v>USD</v>
          </cell>
          <cell r="D3444" t="str">
            <v>SMB</v>
          </cell>
          <cell r="G3444">
            <v>45099</v>
          </cell>
        </row>
        <row r="3445">
          <cell r="C3445" t="str">
            <v>USD</v>
          </cell>
          <cell r="D3445" t="str">
            <v>SMB</v>
          </cell>
          <cell r="G3445">
            <v>45380</v>
          </cell>
        </row>
        <row r="3446">
          <cell r="C3446" t="str">
            <v>EUR</v>
          </cell>
          <cell r="D3446" t="str">
            <v>SMB</v>
          </cell>
        </row>
        <row r="3447">
          <cell r="C3447" t="str">
            <v>Kur Sabitleme</v>
          </cell>
          <cell r="D3447" t="str">
            <v>SMB</v>
          </cell>
        </row>
        <row r="3448">
          <cell r="C3448" t="str">
            <v>CVS HAVALANDIRMA SİSTEMLERİ SAN.VE TİC.A.Ş.</v>
          </cell>
          <cell r="D3448" t="str">
            <v>SMB</v>
          </cell>
          <cell r="E3448" t="str">
            <v>TİB YAZILIM VE DONANIM EĞİTİM HİZMETLERİ</v>
          </cell>
          <cell r="F3448" t="str">
            <v>A-MB637</v>
          </cell>
          <cell r="G3448">
            <v>45219</v>
          </cell>
        </row>
        <row r="3449">
          <cell r="C3449" t="str">
            <v>TL</v>
          </cell>
          <cell r="D3449" t="str">
            <v>SMB</v>
          </cell>
        </row>
        <row r="3450">
          <cell r="C3450" t="str">
            <v>USD</v>
          </cell>
          <cell r="D3450" t="str">
            <v>SMB</v>
          </cell>
          <cell r="G3450">
            <v>45219</v>
          </cell>
        </row>
        <row r="3451">
          <cell r="C3451" t="str">
            <v>USD</v>
          </cell>
          <cell r="D3451" t="str">
            <v>SMB</v>
          </cell>
          <cell r="G3451">
            <v>45706</v>
          </cell>
        </row>
        <row r="3452">
          <cell r="C3452" t="str">
            <v>USD</v>
          </cell>
          <cell r="D3452" t="str">
            <v>SMB</v>
          </cell>
        </row>
        <row r="3453">
          <cell r="C3453" t="str">
            <v>EUR</v>
          </cell>
          <cell r="D3453" t="str">
            <v>SMB</v>
          </cell>
        </row>
        <row r="3454">
          <cell r="C3454" t="str">
            <v>Kur Sabitleme</v>
          </cell>
          <cell r="D3454" t="str">
            <v>SMB</v>
          </cell>
        </row>
        <row r="3455">
          <cell r="C3455" t="str">
            <v>APEC ÇELİK YAPI SİSTEMLERİ A.Ş.</v>
          </cell>
          <cell r="D3455" t="str">
            <v>SMB</v>
          </cell>
          <cell r="E3455" t="str">
            <v>TİB YAZILIM VE DONANIM EĞİTİM HİZMETLERİ</v>
          </cell>
          <cell r="F3455" t="str">
            <v>A-MB637</v>
          </cell>
          <cell r="G3455">
            <v>45155</v>
          </cell>
        </row>
        <row r="3456">
          <cell r="C3456" t="str">
            <v>TL</v>
          </cell>
          <cell r="D3456" t="str">
            <v>SMB</v>
          </cell>
        </row>
        <row r="3457">
          <cell r="C3457" t="str">
            <v>USD</v>
          </cell>
          <cell r="D3457" t="str">
            <v>SMB</v>
          </cell>
          <cell r="G3457">
            <v>45155</v>
          </cell>
        </row>
        <row r="3458">
          <cell r="C3458" t="str">
            <v>EUR</v>
          </cell>
          <cell r="D3458" t="str">
            <v>SMB</v>
          </cell>
        </row>
        <row r="3459">
          <cell r="C3459" t="str">
            <v>Kur Sabitleme</v>
          </cell>
          <cell r="D3459" t="str">
            <v>SMB</v>
          </cell>
        </row>
        <row r="3460">
          <cell r="C3460" t="str">
            <v>SARAN GIDA TEKSTİL İNŞAAT.SAN.VE DIŞ.TİC.LTD.ŞTİ.</v>
          </cell>
          <cell r="D3460" t="str">
            <v>SMB</v>
          </cell>
          <cell r="E3460" t="str">
            <v>TİB YAZILIM VE DONANIM EĞİTİM HİZMETLERİ</v>
          </cell>
          <cell r="F3460" t="str">
            <v>A-MB637</v>
          </cell>
          <cell r="G3460">
            <v>45322</v>
          </cell>
        </row>
        <row r="3461">
          <cell r="C3461" t="str">
            <v>TL</v>
          </cell>
          <cell r="D3461" t="str">
            <v>SMB</v>
          </cell>
        </row>
        <row r="3462">
          <cell r="C3462" t="str">
            <v>USD</v>
          </cell>
          <cell r="D3462" t="str">
            <v>SMB</v>
          </cell>
          <cell r="G3462">
            <v>45322</v>
          </cell>
        </row>
        <row r="3463">
          <cell r="C3463" t="str">
            <v>EUR</v>
          </cell>
          <cell r="D3463" t="str">
            <v>SMB</v>
          </cell>
        </row>
        <row r="3464">
          <cell r="C3464" t="str">
            <v>Kur Sabitleme</v>
          </cell>
          <cell r="D3464" t="str">
            <v>SMB</v>
          </cell>
        </row>
        <row r="3465">
          <cell r="C3465" t="str">
            <v>ACAR MENKUL DEĞERLER A.Ş</v>
          </cell>
          <cell r="D3465" t="str">
            <v>SMB</v>
          </cell>
          <cell r="E3465" t="str">
            <v>ABİDA BİLİŞİM TEKNOLOJİLERİ DANIŞMANLIK AŞ.</v>
          </cell>
          <cell r="F3465" t="str">
            <v>A-MB539</v>
          </cell>
          <cell r="G3465">
            <v>45036</v>
          </cell>
        </row>
        <row r="3466">
          <cell r="C3466" t="str">
            <v>TL</v>
          </cell>
          <cell r="D3466" t="str">
            <v>SMB</v>
          </cell>
        </row>
        <row r="3467">
          <cell r="C3467" t="str">
            <v>USD</v>
          </cell>
          <cell r="D3467" t="str">
            <v>SMB</v>
          </cell>
          <cell r="G3467">
            <v>45230</v>
          </cell>
        </row>
        <row r="3468">
          <cell r="C3468" t="str">
            <v>USD</v>
          </cell>
          <cell r="D3468" t="str">
            <v>SMB</v>
          </cell>
          <cell r="G3468">
            <v>45036</v>
          </cell>
        </row>
        <row r="3469">
          <cell r="C3469" t="str">
            <v>USD</v>
          </cell>
          <cell r="D3469" t="str">
            <v>SMB</v>
          </cell>
          <cell r="G3469">
            <v>45336</v>
          </cell>
        </row>
        <row r="3470">
          <cell r="C3470" t="str">
            <v>USD</v>
          </cell>
          <cell r="D3470" t="str">
            <v>SMB</v>
          </cell>
          <cell r="G3470">
            <v>45587</v>
          </cell>
        </row>
        <row r="3471">
          <cell r="C3471" t="str">
            <v>EUR</v>
          </cell>
          <cell r="D3471" t="str">
            <v>SMB</v>
          </cell>
        </row>
        <row r="3472">
          <cell r="C3472" t="str">
            <v>Kur Sabitleme</v>
          </cell>
          <cell r="D3472" t="str">
            <v>SMB</v>
          </cell>
        </row>
        <row r="3473">
          <cell r="C3473" t="str">
            <v>HAS PORTFÖY YÖNETİMİ A.Ş</v>
          </cell>
          <cell r="D3473" t="str">
            <v>SMB</v>
          </cell>
          <cell r="E3473" t="str">
            <v>ABİDA BİLİŞİM TEKNOLOJİLERİ DANIŞMANLIK AŞ.</v>
          </cell>
          <cell r="F3473" t="str">
            <v>A-MB560</v>
          </cell>
          <cell r="G3473">
            <v>45128</v>
          </cell>
        </row>
        <row r="3474">
          <cell r="C3474" t="str">
            <v>TL</v>
          </cell>
          <cell r="D3474" t="str">
            <v>SMB</v>
          </cell>
        </row>
        <row r="3475">
          <cell r="C3475" t="str">
            <v>USD</v>
          </cell>
          <cell r="D3475" t="str">
            <v>SMB</v>
          </cell>
          <cell r="G3475">
            <v>45128</v>
          </cell>
        </row>
        <row r="3476">
          <cell r="C3476" t="str">
            <v>EUR</v>
          </cell>
          <cell r="D3476" t="str">
            <v>SMB</v>
          </cell>
        </row>
        <row r="3477">
          <cell r="C3477" t="str">
            <v>Kur Sabitleme</v>
          </cell>
          <cell r="D3477" t="str">
            <v>SMB</v>
          </cell>
        </row>
        <row r="3478">
          <cell r="C3478" t="str">
            <v>MACKA YAYINCILIK VE EGLENCE A.Ş.</v>
          </cell>
          <cell r="D3478" t="str">
            <v>SMB</v>
          </cell>
          <cell r="E3478" t="str">
            <v>ABİDA BİLİŞİM TEKNOLOJİLERİ DANIŞMANLIK AŞ.</v>
          </cell>
          <cell r="F3478" t="str">
            <v>A-MB600</v>
          </cell>
          <cell r="G3478">
            <v>44989</v>
          </cell>
        </row>
        <row r="3479">
          <cell r="C3479" t="str">
            <v>TL</v>
          </cell>
          <cell r="D3479" t="str">
            <v>SMB</v>
          </cell>
          <cell r="G3479">
            <v>44989</v>
          </cell>
        </row>
        <row r="3480">
          <cell r="C3480" t="str">
            <v>USD</v>
          </cell>
          <cell r="D3480" t="str">
            <v>SMB</v>
          </cell>
        </row>
        <row r="3481">
          <cell r="C3481" t="str">
            <v>EUR</v>
          </cell>
          <cell r="D3481" t="str">
            <v>SMB</v>
          </cell>
        </row>
        <row r="3482">
          <cell r="C3482" t="str">
            <v>Kur Sabitleme</v>
          </cell>
          <cell r="D3482" t="str">
            <v>SMB</v>
          </cell>
        </row>
        <row r="3483">
          <cell r="C3483" t="str">
            <v>Özdemir Çelik Konstrüksiyon İmalat Montaj Sanayi</v>
          </cell>
          <cell r="D3483" t="str">
            <v>SMB</v>
          </cell>
          <cell r="E3483" t="str">
            <v>BİLGESİS BİLGİSAYAR</v>
          </cell>
          <cell r="F3483" t="str">
            <v>A-MB681</v>
          </cell>
          <cell r="G3483">
            <v>45273</v>
          </cell>
        </row>
        <row r="3484">
          <cell r="C3484" t="str">
            <v>TL</v>
          </cell>
          <cell r="D3484" t="str">
            <v>SMB</v>
          </cell>
        </row>
        <row r="3485">
          <cell r="C3485" t="str">
            <v>USD</v>
          </cell>
          <cell r="D3485" t="str">
            <v>SMB</v>
          </cell>
          <cell r="G3485">
            <v>45273</v>
          </cell>
        </row>
        <row r="3486">
          <cell r="C3486" t="str">
            <v>USD</v>
          </cell>
          <cell r="D3486" t="str">
            <v>SMB</v>
          </cell>
          <cell r="G3486">
            <v>45730</v>
          </cell>
        </row>
        <row r="3487">
          <cell r="C3487" t="str">
            <v>EUR</v>
          </cell>
          <cell r="D3487" t="str">
            <v>SMB</v>
          </cell>
        </row>
        <row r="3488">
          <cell r="C3488" t="str">
            <v>Kur Sabitleme</v>
          </cell>
          <cell r="D3488" t="str">
            <v>SMB</v>
          </cell>
        </row>
        <row r="3489">
          <cell r="C3489" t="str">
            <v>BUFALA SÜT ÜRÜNLERİ SANAYİ VE TİCARET A.Ş</v>
          </cell>
          <cell r="D3489" t="str">
            <v>SMB</v>
          </cell>
          <cell r="E3489" t="str">
            <v>BİLGESİS BİLGİSAYAR</v>
          </cell>
          <cell r="F3489" t="str">
            <v>A-MB681</v>
          </cell>
          <cell r="G3489">
            <v>45285</v>
          </cell>
        </row>
        <row r="3490">
          <cell r="C3490" t="str">
            <v>TL</v>
          </cell>
          <cell r="D3490" t="str">
            <v>SMB</v>
          </cell>
        </row>
        <row r="3491">
          <cell r="C3491" t="str">
            <v>USD</v>
          </cell>
          <cell r="D3491" t="str">
            <v>SMB</v>
          </cell>
          <cell r="G3491">
            <v>45285</v>
          </cell>
        </row>
        <row r="3492">
          <cell r="C3492" t="str">
            <v>USD</v>
          </cell>
          <cell r="D3492" t="str">
            <v>SMB</v>
          </cell>
          <cell r="G3492">
            <v>45615</v>
          </cell>
        </row>
        <row r="3493">
          <cell r="C3493" t="str">
            <v>EUR</v>
          </cell>
          <cell r="D3493" t="str">
            <v>SMB</v>
          </cell>
        </row>
        <row r="3494">
          <cell r="C3494" t="str">
            <v>Kur Sabitleme</v>
          </cell>
          <cell r="D3494" t="str">
            <v>SMB</v>
          </cell>
        </row>
        <row r="3495">
          <cell r="C3495" t="str">
            <v>UÇARLAR TİC. KOLL.ŞTİ</v>
          </cell>
          <cell r="D3495" t="str">
            <v>SMB</v>
          </cell>
          <cell r="E3495" t="str">
            <v>BİLGESİS BİLGİSAYAR</v>
          </cell>
          <cell r="F3495" t="str">
            <v>A-MB681</v>
          </cell>
          <cell r="G3495">
            <v>45286</v>
          </cell>
        </row>
        <row r="3496">
          <cell r="C3496" t="str">
            <v>TL</v>
          </cell>
          <cell r="D3496" t="str">
            <v>SMB</v>
          </cell>
        </row>
        <row r="3497">
          <cell r="C3497" t="str">
            <v>USD</v>
          </cell>
          <cell r="D3497" t="str">
            <v>SMB</v>
          </cell>
          <cell r="G3497">
            <v>45286</v>
          </cell>
        </row>
        <row r="3498">
          <cell r="C3498" t="str">
            <v>EUR</v>
          </cell>
          <cell r="D3498" t="str">
            <v>SMB</v>
          </cell>
        </row>
        <row r="3499">
          <cell r="C3499" t="str">
            <v>Kur Sabitleme</v>
          </cell>
          <cell r="D3499" t="str">
            <v>SMB</v>
          </cell>
        </row>
        <row r="3500">
          <cell r="C3500" t="str">
            <v>ARICIOĞLU OTOMOTİV SANAYİ VE TİCARET ANONİM ŞİRKET</v>
          </cell>
          <cell r="D3500" t="str">
            <v>SMB</v>
          </cell>
          <cell r="E3500" t="str">
            <v>UGI SOFT YAZILIM VE DANISMANLIK ANONIM SIRKETI</v>
          </cell>
          <cell r="F3500" t="str">
            <v>A-MB549</v>
          </cell>
          <cell r="G3500">
            <v>44830</v>
          </cell>
        </row>
        <row r="3501">
          <cell r="C3501" t="str">
            <v>TL</v>
          </cell>
          <cell r="D3501" t="str">
            <v>SMB</v>
          </cell>
          <cell r="G3501">
            <v>44830</v>
          </cell>
        </row>
        <row r="3502">
          <cell r="C3502" t="str">
            <v>TL</v>
          </cell>
          <cell r="D3502" t="str">
            <v>SMB</v>
          </cell>
          <cell r="G3502">
            <v>45377</v>
          </cell>
        </row>
        <row r="3503">
          <cell r="C3503" t="str">
            <v>USD</v>
          </cell>
          <cell r="D3503" t="str">
            <v>SMB</v>
          </cell>
          <cell r="G3503">
            <v>44872</v>
          </cell>
        </row>
        <row r="3504">
          <cell r="C3504" t="str">
            <v>USD</v>
          </cell>
          <cell r="D3504" t="str">
            <v>SMB</v>
          </cell>
          <cell r="G3504">
            <v>45155</v>
          </cell>
        </row>
        <row r="3505">
          <cell r="C3505" t="str">
            <v>USD</v>
          </cell>
          <cell r="D3505" t="str">
            <v>SMB</v>
          </cell>
          <cell r="G3505">
            <v>44949</v>
          </cell>
        </row>
        <row r="3506">
          <cell r="C3506" t="str">
            <v>USD</v>
          </cell>
          <cell r="D3506" t="str">
            <v>SMB</v>
          </cell>
          <cell r="G3506">
            <v>44985</v>
          </cell>
        </row>
        <row r="3507">
          <cell r="C3507" t="str">
            <v>USD</v>
          </cell>
          <cell r="D3507" t="str">
            <v>SMB</v>
          </cell>
          <cell r="G3507">
            <v>45706</v>
          </cell>
        </row>
        <row r="3508">
          <cell r="C3508" t="str">
            <v>USD</v>
          </cell>
          <cell r="D3508" t="str">
            <v>SMB</v>
          </cell>
          <cell r="G3508">
            <v>45615</v>
          </cell>
        </row>
        <row r="3509">
          <cell r="C3509" t="str">
            <v>USD</v>
          </cell>
          <cell r="D3509" t="str">
            <v>SMB</v>
          </cell>
          <cell r="G3509">
            <v>45581</v>
          </cell>
        </row>
        <row r="3510">
          <cell r="C3510" t="str">
            <v>EUR</v>
          </cell>
          <cell r="D3510" t="str">
            <v>SMB</v>
          </cell>
        </row>
        <row r="3511">
          <cell r="C3511" t="str">
            <v>Kur Sabitleme</v>
          </cell>
          <cell r="D3511" t="str">
            <v>SMB</v>
          </cell>
        </row>
        <row r="3512">
          <cell r="C3512" t="str">
            <v>WEITNAUER DIŞ TİC.A.Ş. (DEM DIŞ TİC )</v>
          </cell>
          <cell r="D3512" t="str">
            <v>SMB</v>
          </cell>
          <cell r="E3512" t="str">
            <v>AES YAZILIM DANIŞMANLIK HİZMETLERİ TİC. LTD. ŞT.</v>
          </cell>
          <cell r="F3512" t="str">
            <v>A-MB584</v>
          </cell>
          <cell r="G3512">
            <v>44932</v>
          </cell>
        </row>
        <row r="3513">
          <cell r="C3513" t="str">
            <v>TL</v>
          </cell>
          <cell r="D3513" t="str">
            <v>SMB</v>
          </cell>
        </row>
        <row r="3514">
          <cell r="C3514" t="str">
            <v>USD</v>
          </cell>
          <cell r="D3514" t="str">
            <v>SMB</v>
          </cell>
          <cell r="G3514">
            <v>44932</v>
          </cell>
        </row>
        <row r="3515">
          <cell r="C3515" t="str">
            <v>USD</v>
          </cell>
          <cell r="D3515" t="str">
            <v>SMB</v>
          </cell>
        </row>
        <row r="3516">
          <cell r="C3516" t="str">
            <v>USD</v>
          </cell>
          <cell r="D3516" t="str">
            <v>SMB</v>
          </cell>
          <cell r="G3516">
            <v>45665</v>
          </cell>
        </row>
        <row r="3517">
          <cell r="C3517" t="str">
            <v>EUR</v>
          </cell>
          <cell r="D3517" t="str">
            <v>SMB</v>
          </cell>
        </row>
        <row r="3518">
          <cell r="C3518" t="str">
            <v>Kur Sabitleme</v>
          </cell>
          <cell r="D3518" t="str">
            <v>SMB</v>
          </cell>
        </row>
        <row r="3519">
          <cell r="C3519" t="str">
            <v>WORKINTON</v>
          </cell>
          <cell r="D3519" t="str">
            <v>SMB</v>
          </cell>
          <cell r="E3519" t="str">
            <v>AES YAZILIM DANIŞMANLIK HİZMETLERİ TİC. LTD. ŞT.</v>
          </cell>
          <cell r="F3519" t="str">
            <v>A-MB616</v>
          </cell>
          <cell r="G3519">
            <v>45068</v>
          </cell>
        </row>
        <row r="3520">
          <cell r="C3520" t="str">
            <v>TL</v>
          </cell>
          <cell r="D3520" t="str">
            <v>SMB</v>
          </cell>
          <cell r="G3520">
            <v>45068</v>
          </cell>
        </row>
        <row r="3521">
          <cell r="C3521" t="str">
            <v>USD</v>
          </cell>
          <cell r="D3521" t="str">
            <v>SMB</v>
          </cell>
          <cell r="G3521">
            <v>45595</v>
          </cell>
        </row>
        <row r="3522">
          <cell r="C3522" t="str">
            <v>EUR</v>
          </cell>
          <cell r="D3522" t="str">
            <v>SMB</v>
          </cell>
        </row>
        <row r="3523">
          <cell r="C3523" t="str">
            <v>Kur Sabitleme</v>
          </cell>
          <cell r="D3523" t="str">
            <v>SMB</v>
          </cell>
        </row>
        <row r="3524">
          <cell r="C3524" t="str">
            <v>CNMAR DENİZCİLİK VE LOJİSTİK HİZMETLERİ LİMİTED Şİ</v>
          </cell>
          <cell r="D3524" t="str">
            <v>SMB</v>
          </cell>
          <cell r="E3524" t="str">
            <v xml:space="preserve">ARTEK YAZILIMEVİ DAN. HİZ. TİC. LTD. ŞTİ. </v>
          </cell>
          <cell r="F3524" t="str">
            <v>A-MB553</v>
          </cell>
          <cell r="G3524">
            <v>44830</v>
          </cell>
        </row>
        <row r="3525">
          <cell r="C3525" t="str">
            <v>TL</v>
          </cell>
          <cell r="D3525" t="str">
            <v>SMB</v>
          </cell>
        </row>
        <row r="3526">
          <cell r="C3526" t="str">
            <v>USD</v>
          </cell>
          <cell r="D3526" t="str">
            <v>SMB</v>
          </cell>
          <cell r="G3526">
            <v>44830</v>
          </cell>
        </row>
        <row r="3527">
          <cell r="C3527" t="str">
            <v>USD</v>
          </cell>
          <cell r="D3527" t="str">
            <v>SMB</v>
          </cell>
          <cell r="G3527">
            <v>45044</v>
          </cell>
        </row>
        <row r="3528">
          <cell r="C3528" t="str">
            <v>EUR</v>
          </cell>
          <cell r="D3528" t="str">
            <v>SMB</v>
          </cell>
        </row>
        <row r="3529">
          <cell r="C3529" t="str">
            <v>Kur Sabitleme</v>
          </cell>
          <cell r="D3529" t="str">
            <v>SMB</v>
          </cell>
        </row>
        <row r="3530">
          <cell r="C3530" t="str">
            <v>DÜĞÜNÜMÜZ VAR FOTOĞRAFÇILIK HİZ. SAN. TİC. LTD. ŞT</v>
          </cell>
          <cell r="D3530" t="str">
            <v>SMB</v>
          </cell>
          <cell r="E3530" t="str">
            <v xml:space="preserve">ARTEK YAZILIMEVİ DAN. HİZ. TİC. LTD. ŞTİ. </v>
          </cell>
          <cell r="F3530" t="str">
            <v>A-MB556</v>
          </cell>
          <cell r="G3530">
            <v>44879</v>
          </cell>
        </row>
        <row r="3531">
          <cell r="C3531" t="str">
            <v>TL</v>
          </cell>
          <cell r="D3531" t="str">
            <v>SMB</v>
          </cell>
        </row>
        <row r="3532">
          <cell r="C3532" t="str">
            <v>USD</v>
          </cell>
          <cell r="D3532" t="str">
            <v>SMB</v>
          </cell>
          <cell r="G3532">
            <v>44879</v>
          </cell>
        </row>
        <row r="3533">
          <cell r="C3533" t="str">
            <v>EUR</v>
          </cell>
          <cell r="D3533" t="str">
            <v>SMB</v>
          </cell>
        </row>
        <row r="3534">
          <cell r="C3534" t="str">
            <v>Kur Sabitleme</v>
          </cell>
          <cell r="D3534" t="str">
            <v>SMB</v>
          </cell>
        </row>
        <row r="3535">
          <cell r="C3535" t="str">
            <v>NESTINVEST PROJE PAZARLAMA ANONİM ŞİRKETİ</v>
          </cell>
          <cell r="D3535" t="str">
            <v>SMB</v>
          </cell>
          <cell r="E3535" t="str">
            <v xml:space="preserve">ARTEK YAZILIMEVİ DAN. HİZ. TİC. LTD. ŞTİ. </v>
          </cell>
          <cell r="F3535" t="str">
            <v>A-MB559</v>
          </cell>
          <cell r="G3535">
            <v>44895</v>
          </cell>
        </row>
        <row r="3536">
          <cell r="C3536" t="str">
            <v>TL</v>
          </cell>
          <cell r="D3536" t="str">
            <v>SMB</v>
          </cell>
        </row>
        <row r="3537">
          <cell r="C3537" t="str">
            <v>USD</v>
          </cell>
          <cell r="D3537" t="str">
            <v>SMB</v>
          </cell>
          <cell r="G3537">
            <v>44895</v>
          </cell>
        </row>
        <row r="3538">
          <cell r="C3538" t="str">
            <v>EUR</v>
          </cell>
          <cell r="D3538" t="str">
            <v>SMB</v>
          </cell>
        </row>
        <row r="3539">
          <cell r="C3539" t="str">
            <v>Kur Sabitleme</v>
          </cell>
          <cell r="D3539" t="str">
            <v>SMB</v>
          </cell>
        </row>
        <row r="3540">
          <cell r="C3540" t="str">
            <v>HASGÜR OFİS MALZEMELERİ TEMİZLİK ÜRÜNLERİ LTD.ŞTİ.</v>
          </cell>
          <cell r="D3540" t="str">
            <v>SMB</v>
          </cell>
          <cell r="E3540" t="str">
            <v xml:space="preserve">ARTEK YAZILIMEVİ DAN. HİZ. TİC. LTD. ŞTİ. </v>
          </cell>
          <cell r="F3540" t="str">
            <v>A-MB553</v>
          </cell>
          <cell r="G3540">
            <v>44826</v>
          </cell>
        </row>
        <row r="3541">
          <cell r="C3541" t="str">
            <v>TL</v>
          </cell>
          <cell r="D3541" t="str">
            <v>SMB</v>
          </cell>
        </row>
        <row r="3542">
          <cell r="C3542" t="str">
            <v>USD</v>
          </cell>
          <cell r="D3542" t="str">
            <v>SMB</v>
          </cell>
          <cell r="G3542">
            <v>44826</v>
          </cell>
        </row>
        <row r="3543">
          <cell r="C3543" t="str">
            <v>USD</v>
          </cell>
          <cell r="D3543" t="str">
            <v>SMB</v>
          </cell>
          <cell r="G3543">
            <v>45043</v>
          </cell>
        </row>
        <row r="3544">
          <cell r="C3544" t="str">
            <v>EUR</v>
          </cell>
          <cell r="D3544" t="str">
            <v>SMB</v>
          </cell>
        </row>
        <row r="3545">
          <cell r="C3545" t="str">
            <v>Kur Sabitleme</v>
          </cell>
          <cell r="D3545" t="str">
            <v>SMB</v>
          </cell>
        </row>
        <row r="3546">
          <cell r="C3546" t="str">
            <v>VENITURE BİLİŞİM TEKNOLOJİLERİ LİMİTED ŞİRKETİ</v>
          </cell>
          <cell r="D3546" t="str">
            <v>SMB</v>
          </cell>
          <cell r="E3546" t="str">
            <v xml:space="preserve">ARTEK YAZILIMEVİ DAN. HİZ. TİC. LTD. ŞTİ. </v>
          </cell>
          <cell r="F3546" t="str">
            <v>A-MB553</v>
          </cell>
          <cell r="G3546">
            <v>44898</v>
          </cell>
        </row>
        <row r="3547">
          <cell r="C3547" t="str">
            <v>TL</v>
          </cell>
          <cell r="D3547" t="str">
            <v>SMB</v>
          </cell>
        </row>
        <row r="3548">
          <cell r="C3548" t="str">
            <v>USD</v>
          </cell>
          <cell r="D3548" t="str">
            <v>SMB</v>
          </cell>
          <cell r="G3548">
            <v>44898</v>
          </cell>
        </row>
        <row r="3549">
          <cell r="C3549" t="str">
            <v>USD</v>
          </cell>
          <cell r="D3549" t="str">
            <v>SMB</v>
          </cell>
          <cell r="G3549">
            <v>45047</v>
          </cell>
        </row>
        <row r="3550">
          <cell r="C3550" t="str">
            <v>EUR</v>
          </cell>
          <cell r="D3550" t="str">
            <v>SMB</v>
          </cell>
        </row>
        <row r="3551">
          <cell r="C3551" t="str">
            <v>Kur Sabitleme</v>
          </cell>
          <cell r="D3551" t="str">
            <v>SMB</v>
          </cell>
        </row>
        <row r="3552">
          <cell r="C3552" t="str">
            <v>METROPET İTHALAT İHRACAT İNŞAAT LİMİTED ŞİRKETİ</v>
          </cell>
          <cell r="D3552" t="str">
            <v>SMB</v>
          </cell>
          <cell r="E3552" t="str">
            <v xml:space="preserve">ARTEK YAZILIMEVİ DAN. HİZ. TİC. LTD. ŞTİ. </v>
          </cell>
          <cell r="F3552" t="str">
            <v>A-MB566</v>
          </cell>
          <cell r="G3552">
            <v>44908</v>
          </cell>
        </row>
        <row r="3553">
          <cell r="C3553" t="str">
            <v>TL</v>
          </cell>
          <cell r="D3553" t="str">
            <v>SMB</v>
          </cell>
        </row>
        <row r="3554">
          <cell r="C3554" t="str">
            <v>USD</v>
          </cell>
          <cell r="D3554" t="str">
            <v>SMB</v>
          </cell>
          <cell r="G3554">
            <v>44908</v>
          </cell>
        </row>
        <row r="3555">
          <cell r="C3555" t="str">
            <v>USD</v>
          </cell>
          <cell r="D3555" t="str">
            <v>SMB</v>
          </cell>
          <cell r="G3555">
            <v>45043</v>
          </cell>
        </row>
        <row r="3556">
          <cell r="C3556" t="str">
            <v>EUR</v>
          </cell>
          <cell r="D3556" t="str">
            <v>SMB</v>
          </cell>
        </row>
        <row r="3557">
          <cell r="C3557" t="str">
            <v>Kur Sabitleme</v>
          </cell>
          <cell r="D3557" t="str">
            <v>SMB</v>
          </cell>
        </row>
        <row r="3558">
          <cell r="C3558" t="str">
            <v>AŞÇIOĞLU İŞ ORTAKLIĞI</v>
          </cell>
          <cell r="D3558" t="str">
            <v>SMB</v>
          </cell>
          <cell r="E3558" t="str">
            <v xml:space="preserve">ARTEK YAZILIMEVİ DAN. HİZ. TİC. LTD. ŞTİ. </v>
          </cell>
          <cell r="F3558" t="str">
            <v>A-MB553</v>
          </cell>
          <cell r="G3558">
            <v>44927</v>
          </cell>
        </row>
        <row r="3559">
          <cell r="C3559" t="str">
            <v>TL</v>
          </cell>
          <cell r="D3559" t="str">
            <v>SMB</v>
          </cell>
        </row>
        <row r="3560">
          <cell r="C3560" t="str">
            <v>USD</v>
          </cell>
          <cell r="D3560" t="str">
            <v>SMB</v>
          </cell>
          <cell r="G3560">
            <v>44927</v>
          </cell>
        </row>
        <row r="3561">
          <cell r="C3561" t="str">
            <v>EUR</v>
          </cell>
          <cell r="D3561" t="str">
            <v>SMB</v>
          </cell>
        </row>
        <row r="3562">
          <cell r="C3562" t="str">
            <v>Kur Sabitleme</v>
          </cell>
          <cell r="D3562" t="str">
            <v>SMB</v>
          </cell>
        </row>
        <row r="3563">
          <cell r="C3563" t="str">
            <v>POİNT KURYE HİMZETLERİ TİCARET LİMİTED ŞİRKETİ</v>
          </cell>
          <cell r="D3563" t="str">
            <v>SMB</v>
          </cell>
          <cell r="E3563" t="str">
            <v xml:space="preserve">ARTEK YAZILIMEVİ DAN. HİZ. TİC. LTD. ŞTİ. </v>
          </cell>
          <cell r="F3563" t="str">
            <v>A-MB583</v>
          </cell>
          <cell r="G3563">
            <v>44938</v>
          </cell>
        </row>
        <row r="3564">
          <cell r="C3564" t="str">
            <v>TL</v>
          </cell>
          <cell r="D3564" t="str">
            <v>SMB</v>
          </cell>
        </row>
        <row r="3565">
          <cell r="C3565" t="str">
            <v>USD</v>
          </cell>
          <cell r="D3565" t="str">
            <v>SMB</v>
          </cell>
          <cell r="G3565">
            <v>44938</v>
          </cell>
        </row>
        <row r="3566">
          <cell r="C3566" t="str">
            <v>EUR</v>
          </cell>
          <cell r="D3566" t="str">
            <v>SMB</v>
          </cell>
        </row>
        <row r="3567">
          <cell r="C3567" t="str">
            <v>Kur Sabitleme</v>
          </cell>
          <cell r="D3567" t="str">
            <v>SMB</v>
          </cell>
        </row>
        <row r="3568">
          <cell r="C3568" t="str">
            <v>RENTMAK LOJISTIK TICARET ANONIM SIRKETI (GEMONT)</v>
          </cell>
          <cell r="D3568" t="str">
            <v>SMB</v>
          </cell>
          <cell r="E3568" t="str">
            <v xml:space="preserve">ARTEK YAZILIMEVİ DAN. HİZ. TİC. LTD. ŞTİ. </v>
          </cell>
          <cell r="F3568" t="str">
            <v>A-MB611</v>
          </cell>
          <cell r="G3568">
            <v>45069</v>
          </cell>
        </row>
        <row r="3569">
          <cell r="C3569" t="str">
            <v>TL</v>
          </cell>
          <cell r="D3569" t="str">
            <v>SMB</v>
          </cell>
        </row>
        <row r="3570">
          <cell r="C3570" t="str">
            <v>USD</v>
          </cell>
          <cell r="D3570" t="str">
            <v>SMB</v>
          </cell>
          <cell r="G3570">
            <v>45069</v>
          </cell>
        </row>
        <row r="3571">
          <cell r="C3571" t="str">
            <v>EUR</v>
          </cell>
          <cell r="D3571" t="str">
            <v>SMB</v>
          </cell>
        </row>
        <row r="3572">
          <cell r="C3572" t="str">
            <v>Kur Sabitleme</v>
          </cell>
          <cell r="D3572" t="str">
            <v>SMB</v>
          </cell>
        </row>
        <row r="3573">
          <cell r="C3573" t="str">
            <v>CİTİX İST BİLİŞİM REKLAMCILIK TİCARET A.Ş</v>
          </cell>
          <cell r="D3573" t="str">
            <v>SMB</v>
          </cell>
          <cell r="E3573" t="str">
            <v xml:space="preserve">ARTEK YAZILIMEVİ DAN. HİZ. TİC. LTD. ŞTİ. </v>
          </cell>
          <cell r="F3573" t="str">
            <v>A-MB553</v>
          </cell>
          <cell r="G3573">
            <v>45205</v>
          </cell>
        </row>
        <row r="3574">
          <cell r="C3574" t="str">
            <v>TL</v>
          </cell>
          <cell r="D3574" t="str">
            <v>SMB</v>
          </cell>
        </row>
        <row r="3575">
          <cell r="C3575" t="str">
            <v>USD</v>
          </cell>
          <cell r="D3575" t="str">
            <v>SMB</v>
          </cell>
          <cell r="G3575">
            <v>45205</v>
          </cell>
        </row>
        <row r="3576">
          <cell r="C3576" t="str">
            <v>EUR</v>
          </cell>
          <cell r="D3576" t="str">
            <v>SMB</v>
          </cell>
        </row>
        <row r="3577">
          <cell r="C3577" t="str">
            <v>Kur Sabitleme</v>
          </cell>
          <cell r="D3577" t="str">
            <v>SMB</v>
          </cell>
        </row>
        <row r="3578">
          <cell r="C3578" t="str">
            <v>EFEX ELEKTRİK MÜHENDİSLİK OTOMASYON</v>
          </cell>
          <cell r="D3578" t="str">
            <v>SMB</v>
          </cell>
          <cell r="E3578" t="str">
            <v xml:space="preserve">ARTEK YAZILIMEVİ DAN. HİZ. TİC. LTD. ŞTİ. </v>
          </cell>
          <cell r="F3578" t="str">
            <v>A-MB834</v>
          </cell>
          <cell r="G3578">
            <v>45230</v>
          </cell>
        </row>
        <row r="3579">
          <cell r="C3579" t="str">
            <v>TL</v>
          </cell>
          <cell r="D3579" t="str">
            <v>SMB</v>
          </cell>
        </row>
        <row r="3580">
          <cell r="C3580" t="str">
            <v>USD</v>
          </cell>
          <cell r="D3580" t="str">
            <v>SMB</v>
          </cell>
          <cell r="G3580">
            <v>45230</v>
          </cell>
        </row>
        <row r="3581">
          <cell r="C3581" t="str">
            <v>USD</v>
          </cell>
          <cell r="D3581" t="str">
            <v>SMB</v>
          </cell>
          <cell r="G3581">
            <v>45729</v>
          </cell>
        </row>
        <row r="3582">
          <cell r="C3582" t="str">
            <v>EUR</v>
          </cell>
          <cell r="D3582" t="str">
            <v>SMB</v>
          </cell>
        </row>
        <row r="3583">
          <cell r="C3583" t="str">
            <v>Kur Sabitleme</v>
          </cell>
          <cell r="D3583" t="str">
            <v>SMB</v>
          </cell>
        </row>
        <row r="3584">
          <cell r="C3584" t="str">
            <v>EUROTEC MÜHENDISLIK</v>
          </cell>
          <cell r="D3584" t="str">
            <v>SMB</v>
          </cell>
          <cell r="E3584" t="str">
            <v>DOĞRU BİLİŞİM</v>
          </cell>
          <cell r="F3584" t="str">
            <v>A-MB395</v>
          </cell>
          <cell r="G3584">
            <v>44648</v>
          </cell>
        </row>
        <row r="3585">
          <cell r="C3585" t="str">
            <v>TL</v>
          </cell>
          <cell r="D3585" t="str">
            <v>SMB</v>
          </cell>
        </row>
        <row r="3586">
          <cell r="C3586" t="str">
            <v>USD</v>
          </cell>
          <cell r="D3586" t="str">
            <v>SMB</v>
          </cell>
          <cell r="G3586">
            <v>44648</v>
          </cell>
        </row>
        <row r="3587">
          <cell r="C3587" t="str">
            <v>EUR</v>
          </cell>
          <cell r="D3587" t="str">
            <v>SMB</v>
          </cell>
        </row>
        <row r="3588">
          <cell r="C3588" t="str">
            <v>Kur Sabitleme</v>
          </cell>
          <cell r="D3588" t="str">
            <v>SMB</v>
          </cell>
        </row>
        <row r="3589">
          <cell r="C3589" t="str">
            <v>ÖZ-SEL ECZA DEPOLARI (ÖZSEL)</v>
          </cell>
          <cell r="D3589" t="str">
            <v>SMB</v>
          </cell>
          <cell r="E3589" t="str">
            <v>GENOKA</v>
          </cell>
          <cell r="F3589" t="str">
            <v>A-MB415</v>
          </cell>
          <cell r="G3589">
            <v>44685</v>
          </cell>
        </row>
        <row r="3590">
          <cell r="C3590" t="str">
            <v>TL</v>
          </cell>
          <cell r="D3590" t="str">
            <v>SMB</v>
          </cell>
        </row>
        <row r="3591">
          <cell r="C3591" t="str">
            <v>USD</v>
          </cell>
          <cell r="D3591" t="str">
            <v>SMB</v>
          </cell>
          <cell r="G3591">
            <v>44685</v>
          </cell>
        </row>
        <row r="3592">
          <cell r="C3592" t="str">
            <v>EUR</v>
          </cell>
          <cell r="D3592" t="str">
            <v>SMB</v>
          </cell>
        </row>
        <row r="3593">
          <cell r="C3593" t="str">
            <v>Kur Sabitleme</v>
          </cell>
          <cell r="D3593" t="str">
            <v>SMB</v>
          </cell>
        </row>
        <row r="3594">
          <cell r="C3594" t="str">
            <v>CAHAN TİCARET MMC</v>
          </cell>
          <cell r="D3594" t="str">
            <v>SMB</v>
          </cell>
          <cell r="E3594" t="str">
            <v>LAYDA BİLGİSAYAR YAZILIM ve DANIŞMANLIK LTD.ŞTİ.</v>
          </cell>
          <cell r="F3594" t="str">
            <v>A-MB510</v>
          </cell>
          <cell r="G3594">
            <v>44855</v>
          </cell>
        </row>
        <row r="3595">
          <cell r="C3595" t="str">
            <v>TL</v>
          </cell>
          <cell r="D3595" t="str">
            <v>SMB</v>
          </cell>
          <cell r="G3595">
            <v>44855</v>
          </cell>
        </row>
        <row r="3596">
          <cell r="C3596" t="str">
            <v>USD</v>
          </cell>
          <cell r="D3596" t="str">
            <v>SMB</v>
          </cell>
          <cell r="G3596">
            <v>45016</v>
          </cell>
        </row>
        <row r="3597">
          <cell r="C3597" t="str">
            <v>EUR</v>
          </cell>
          <cell r="D3597" t="str">
            <v>SMB</v>
          </cell>
        </row>
        <row r="3598">
          <cell r="C3598" t="str">
            <v>Kur Sabitleme</v>
          </cell>
          <cell r="D3598" t="str">
            <v>SMB</v>
          </cell>
        </row>
        <row r="3599">
          <cell r="C3599" t="str">
            <v>DORUK SOĞUTMA SİSTEMLERİ SAN.VE TİCARETLTD.ŞTİ</v>
          </cell>
          <cell r="D3599" t="str">
            <v>SMB</v>
          </cell>
          <cell r="E3599" t="str">
            <v>LAYDA BİLGİSAYAR YAZILIM ve DANIŞMANLIK LTD.ŞTİ.</v>
          </cell>
          <cell r="F3599" t="str">
            <v>A-MB374</v>
          </cell>
          <cell r="G3599">
            <v>44545</v>
          </cell>
        </row>
        <row r="3600">
          <cell r="C3600" t="str">
            <v>TL</v>
          </cell>
          <cell r="D3600" t="str">
            <v>SMB</v>
          </cell>
        </row>
        <row r="3601">
          <cell r="C3601" t="str">
            <v>USD</v>
          </cell>
          <cell r="D3601" t="str">
            <v>SMB</v>
          </cell>
          <cell r="G3601">
            <v>44545</v>
          </cell>
        </row>
        <row r="3602">
          <cell r="C3602" t="str">
            <v>EUR</v>
          </cell>
          <cell r="D3602" t="str">
            <v>SMB</v>
          </cell>
        </row>
        <row r="3603">
          <cell r="C3603" t="str">
            <v>Kur Sabitleme</v>
          </cell>
          <cell r="D3603" t="str">
            <v>SMB</v>
          </cell>
        </row>
        <row r="3604">
          <cell r="C3604" t="str">
            <v>ELESA GANTER ENDÜST. VE MAKINE EKIPMANLARI SAN. VE</v>
          </cell>
          <cell r="D3604" t="str">
            <v>SMB</v>
          </cell>
          <cell r="E3604" t="str">
            <v>LAYDA BİLGİSAYAR YAZILIM ve DANIŞMANLIK LTD.ŞTİ.</v>
          </cell>
          <cell r="F3604" t="str">
            <v>A-MB329</v>
          </cell>
          <cell r="G3604">
            <v>44215</v>
          </cell>
        </row>
        <row r="3605">
          <cell r="C3605" t="str">
            <v>TL</v>
          </cell>
          <cell r="D3605" t="str">
            <v>SMB</v>
          </cell>
          <cell r="G3605">
            <v>44215</v>
          </cell>
        </row>
        <row r="3606">
          <cell r="C3606" t="str">
            <v>USD</v>
          </cell>
          <cell r="D3606" t="str">
            <v>SMB</v>
          </cell>
          <cell r="G3606">
            <v>44461</v>
          </cell>
        </row>
        <row r="3607">
          <cell r="C3607" t="str">
            <v>USD</v>
          </cell>
          <cell r="D3607" t="str">
            <v>SMB</v>
          </cell>
          <cell r="G3607">
            <v>45588</v>
          </cell>
        </row>
        <row r="3608">
          <cell r="C3608" t="str">
            <v>EUR</v>
          </cell>
          <cell r="D3608" t="str">
            <v>SMB</v>
          </cell>
        </row>
        <row r="3609">
          <cell r="C3609" t="str">
            <v>Kur Sabitleme</v>
          </cell>
          <cell r="D3609" t="str">
            <v>SMB</v>
          </cell>
        </row>
        <row r="3610">
          <cell r="C3610" t="str">
            <v>PERNET - İNSAN KAYNAKLARI YÖN.SİST.VE TİC.A.Ş</v>
          </cell>
          <cell r="D3610" t="str">
            <v>SMB</v>
          </cell>
          <cell r="E3610" t="str">
            <v>LAYDA BİLGİSAYAR YAZILIM ve DANIŞMANLIK LTD.ŞTİ.</v>
          </cell>
          <cell r="F3610" t="str">
            <v>A-MB362</v>
          </cell>
          <cell r="G3610">
            <v>44484</v>
          </cell>
        </row>
        <row r="3611">
          <cell r="C3611" t="str">
            <v>TL</v>
          </cell>
          <cell r="D3611" t="str">
            <v>SMB</v>
          </cell>
          <cell r="G3611">
            <v>44484</v>
          </cell>
        </row>
        <row r="3612">
          <cell r="C3612" t="str">
            <v>USD</v>
          </cell>
          <cell r="D3612" t="str">
            <v>SMB</v>
          </cell>
          <cell r="G3612">
            <v>45041</v>
          </cell>
        </row>
        <row r="3613">
          <cell r="C3613" t="str">
            <v>EUR</v>
          </cell>
          <cell r="D3613" t="str">
            <v>SMB</v>
          </cell>
        </row>
        <row r="3614">
          <cell r="C3614" t="str">
            <v>Kur Sabitleme</v>
          </cell>
          <cell r="D3614" t="str">
            <v>SMB</v>
          </cell>
        </row>
        <row r="3615">
          <cell r="C3615" t="str">
            <v>NATUREM TEKNIK MAKINE TIC.LTD.STI</v>
          </cell>
          <cell r="D3615" t="str">
            <v>SMB</v>
          </cell>
          <cell r="E3615" t="str">
            <v>LAYDA BİLGİSAYAR YAZILIM ve DANIŞMANLIK LTD.ŞTİ.</v>
          </cell>
          <cell r="F3615" t="str">
            <v>A-MB598</v>
          </cell>
          <cell r="G3615">
            <v>45008</v>
          </cell>
        </row>
        <row r="3616">
          <cell r="C3616" t="str">
            <v>TL</v>
          </cell>
          <cell r="D3616" t="str">
            <v>SMB</v>
          </cell>
        </row>
        <row r="3617">
          <cell r="C3617" t="str">
            <v>USD</v>
          </cell>
          <cell r="D3617" t="str">
            <v>SMB</v>
          </cell>
          <cell r="G3617">
            <v>45008</v>
          </cell>
        </row>
        <row r="3618">
          <cell r="C3618" t="str">
            <v>USD</v>
          </cell>
          <cell r="D3618" t="str">
            <v>SMB</v>
          </cell>
        </row>
        <row r="3619">
          <cell r="C3619" t="str">
            <v>EUR</v>
          </cell>
          <cell r="D3619" t="str">
            <v>SMB</v>
          </cell>
        </row>
        <row r="3620">
          <cell r="C3620" t="str">
            <v>Kur Sabitleme</v>
          </cell>
          <cell r="D3620" t="str">
            <v>SMB</v>
          </cell>
        </row>
        <row r="3621">
          <cell r="C3621" t="str">
            <v>İD GEMİ ACENTELİĞİ TİC.LTD.ŞTİ.</v>
          </cell>
          <cell r="D3621" t="str">
            <v>SMB</v>
          </cell>
          <cell r="E3621" t="str">
            <v>LAYDA BİLGİSAYAR YAZILIM ve DANIŞMANLIK LTD.ŞTİ.</v>
          </cell>
          <cell r="F3621" t="str">
            <v>…..</v>
          </cell>
          <cell r="G3621">
            <v>45041</v>
          </cell>
        </row>
        <row r="3622">
          <cell r="C3622" t="str">
            <v>TL</v>
          </cell>
          <cell r="D3622" t="str">
            <v>SMB</v>
          </cell>
        </row>
        <row r="3623">
          <cell r="C3623" t="str">
            <v>USD</v>
          </cell>
          <cell r="D3623" t="str">
            <v>SMB</v>
          </cell>
          <cell r="G3623">
            <v>45041</v>
          </cell>
        </row>
        <row r="3624">
          <cell r="C3624" t="str">
            <v>USD</v>
          </cell>
          <cell r="D3624" t="str">
            <v>SMB</v>
          </cell>
          <cell r="G3624">
            <v>45251</v>
          </cell>
        </row>
        <row r="3625">
          <cell r="C3625" t="str">
            <v>EUR</v>
          </cell>
          <cell r="D3625" t="str">
            <v>SMB</v>
          </cell>
        </row>
        <row r="3626">
          <cell r="C3626" t="str">
            <v>Kur Sabitleme</v>
          </cell>
          <cell r="D3626" t="str">
            <v>SMB</v>
          </cell>
        </row>
        <row r="3627">
          <cell r="C3627" t="str">
            <v>KARDEŞ ELEKTRIK SAN. VE TIC. AS.</v>
          </cell>
          <cell r="D3627" t="str">
            <v>SMB</v>
          </cell>
          <cell r="E3627" t="str">
            <v>ODİN BİLGİ TEKNOLOJİLERİ</v>
          </cell>
          <cell r="F3627" t="str">
            <v>A-MB409</v>
          </cell>
          <cell r="G3627">
            <v>43189</v>
          </cell>
        </row>
        <row r="3628">
          <cell r="C3628" t="str">
            <v>TL</v>
          </cell>
          <cell r="D3628" t="str">
            <v>SMB</v>
          </cell>
          <cell r="G3628">
            <v>43189</v>
          </cell>
        </row>
        <row r="3629">
          <cell r="C3629" t="str">
            <v>USD</v>
          </cell>
          <cell r="D3629" t="str">
            <v>SMB</v>
          </cell>
        </row>
        <row r="3630">
          <cell r="C3630" t="str">
            <v>EUR</v>
          </cell>
          <cell r="D3630" t="str">
            <v>SMB</v>
          </cell>
        </row>
        <row r="3631">
          <cell r="C3631" t="str">
            <v>Kur Sabitleme</v>
          </cell>
          <cell r="D3631" t="str">
            <v>SMB</v>
          </cell>
          <cell r="G3631">
            <v>43189</v>
          </cell>
        </row>
        <row r="3632">
          <cell r="C3632" t="str">
            <v>GUCCI TURKEY LÜKS ÜRÜNLER TIC.LTD.STI.</v>
          </cell>
          <cell r="D3632" t="str">
            <v>SMB</v>
          </cell>
          <cell r="E3632" t="str">
            <v>PROFESYONEL PERAKENDE ÇÖZÜMLERİ SN.TC.A.Ş (PROPERA</v>
          </cell>
          <cell r="F3632" t="str">
            <v>A-MB308</v>
          </cell>
          <cell r="G3632">
            <v>44044</v>
          </cell>
        </row>
        <row r="3633">
          <cell r="C3633" t="str">
            <v>TL</v>
          </cell>
          <cell r="D3633" t="str">
            <v>SMB</v>
          </cell>
          <cell r="G3633">
            <v>44044</v>
          </cell>
        </row>
        <row r="3634">
          <cell r="C3634" t="str">
            <v>USD</v>
          </cell>
          <cell r="D3634" t="str">
            <v>SMB</v>
          </cell>
          <cell r="G3634">
            <v>44125</v>
          </cell>
        </row>
        <row r="3635">
          <cell r="C3635" t="str">
            <v>USD</v>
          </cell>
          <cell r="D3635" t="str">
            <v>SMB</v>
          </cell>
          <cell r="G3635">
            <v>45428</v>
          </cell>
        </row>
        <row r="3636">
          <cell r="C3636" t="str">
            <v>USD</v>
          </cell>
          <cell r="D3636" t="str">
            <v>SMB</v>
          </cell>
          <cell r="G3636">
            <v>45839</v>
          </cell>
        </row>
        <row r="3637">
          <cell r="C3637" t="str">
            <v>EUR</v>
          </cell>
          <cell r="D3637" t="str">
            <v>SMB</v>
          </cell>
        </row>
        <row r="3638">
          <cell r="C3638" t="str">
            <v>Kur Sabitleme</v>
          </cell>
          <cell r="D3638" t="str">
            <v>SMB</v>
          </cell>
        </row>
        <row r="3639">
          <cell r="C3639" t="str">
            <v>PROFESYONEL PERAKENDE ÇÖZÜMLERİ SN.TC.A.Ş (PROPERA</v>
          </cell>
          <cell r="D3639" t="str">
            <v>SMB</v>
          </cell>
          <cell r="E3639" t="str">
            <v>PROFESYONEL PERAKENDE ÇÖZÜMLERİ SN.TC.A.Ş (PROPERA</v>
          </cell>
          <cell r="F3639" t="str">
            <v>A-MB270</v>
          </cell>
          <cell r="G3639">
            <v>43755</v>
          </cell>
        </row>
        <row r="3640">
          <cell r="C3640" t="str">
            <v>TL</v>
          </cell>
          <cell r="D3640" t="str">
            <v>SMB</v>
          </cell>
        </row>
        <row r="3641">
          <cell r="C3641" t="str">
            <v>USD</v>
          </cell>
          <cell r="D3641" t="str">
            <v>SMB</v>
          </cell>
          <cell r="G3641">
            <v>43755</v>
          </cell>
        </row>
        <row r="3642">
          <cell r="C3642" t="str">
            <v>EUR</v>
          </cell>
          <cell r="D3642" t="str">
            <v>SMB</v>
          </cell>
        </row>
        <row r="3643">
          <cell r="C3643" t="str">
            <v>Kur Sabitleme</v>
          </cell>
          <cell r="D3643" t="str">
            <v>SMB</v>
          </cell>
        </row>
        <row r="3644">
          <cell r="C3644" t="str">
            <v>BOTTEGA VENETA TURKEY LUKS URUNLER TICARET LTD</v>
          </cell>
          <cell r="D3644" t="str">
            <v>SMB</v>
          </cell>
          <cell r="E3644" t="str">
            <v>PROFESYONEL PERAKENDE ÇÖZÜMLERİ SN.TC.A.Ş (PROPERA</v>
          </cell>
          <cell r="F3644" t="str">
            <v>A-MB618</v>
          </cell>
          <cell r="G3644">
            <v>45071</v>
          </cell>
        </row>
        <row r="3645">
          <cell r="C3645" t="str">
            <v>TL</v>
          </cell>
          <cell r="D3645" t="str">
            <v>SMB</v>
          </cell>
        </row>
        <row r="3646">
          <cell r="C3646" t="str">
            <v>USD</v>
          </cell>
          <cell r="D3646" t="str">
            <v>SMB</v>
          </cell>
          <cell r="G3646">
            <v>45071</v>
          </cell>
        </row>
        <row r="3647">
          <cell r="C3647" t="str">
            <v>EUR</v>
          </cell>
          <cell r="D3647" t="str">
            <v>SMB</v>
          </cell>
        </row>
        <row r="3648">
          <cell r="C3648" t="str">
            <v>Kur Sabitleme</v>
          </cell>
          <cell r="D3648" t="str">
            <v>SMB</v>
          </cell>
        </row>
        <row r="3649">
          <cell r="C3649" t="str">
            <v>SAINT LAURENT TURKEY LÜKS ÜRÜNLER LİMİTED ŞİRKETİ</v>
          </cell>
          <cell r="D3649" t="str">
            <v>SMB</v>
          </cell>
          <cell r="E3649" t="str">
            <v>PROFESYONEL PERAKENDE ÇÖZÜMLERİ SN.TC.A.Ş (PROPERA</v>
          </cell>
          <cell r="F3649" t="str">
            <v>A-MB594</v>
          </cell>
          <cell r="G3649">
            <v>44979</v>
          </cell>
        </row>
        <row r="3650">
          <cell r="C3650" t="str">
            <v>TL</v>
          </cell>
          <cell r="D3650" t="str">
            <v>SMB</v>
          </cell>
        </row>
        <row r="3651">
          <cell r="C3651" t="str">
            <v>USD</v>
          </cell>
          <cell r="D3651" t="str">
            <v>SMB</v>
          </cell>
          <cell r="G3651">
            <v>44979</v>
          </cell>
        </row>
        <row r="3652">
          <cell r="C3652" t="str">
            <v>EUR</v>
          </cell>
          <cell r="D3652" t="str">
            <v>SMB</v>
          </cell>
        </row>
        <row r="3653">
          <cell r="C3653" t="str">
            <v>Kur Sabitleme</v>
          </cell>
          <cell r="D3653" t="str">
            <v>SMB</v>
          </cell>
        </row>
        <row r="3654">
          <cell r="C3654" t="str">
            <v xml:space="preserve">APLUS DIAGNOSTICS LABORATUVAR SANAYI VE TIC. A.S. </v>
          </cell>
          <cell r="D3654" t="str">
            <v>SMB</v>
          </cell>
          <cell r="E3654" t="str">
            <v>VENÜS BİLİŞİM TEKNOLOJİ ve YAZILIM ANONİM ŞİRKETİ</v>
          </cell>
          <cell r="F3654" t="str">
            <v>…..</v>
          </cell>
          <cell r="G3654">
            <v>44308</v>
          </cell>
        </row>
        <row r="3655">
          <cell r="C3655" t="str">
            <v>TL</v>
          </cell>
          <cell r="D3655" t="str">
            <v>SMB</v>
          </cell>
          <cell r="G3655">
            <v>44308</v>
          </cell>
        </row>
        <row r="3656">
          <cell r="C3656" t="str">
            <v>USD</v>
          </cell>
          <cell r="D3656" t="str">
            <v>SMB</v>
          </cell>
        </row>
        <row r="3657">
          <cell r="C3657" t="str">
            <v>EUR</v>
          </cell>
          <cell r="D3657" t="str">
            <v>SMB</v>
          </cell>
        </row>
        <row r="3658">
          <cell r="C3658" t="str">
            <v>Kur Sabitleme</v>
          </cell>
          <cell r="D3658" t="str">
            <v>SMB</v>
          </cell>
        </row>
        <row r="3659">
          <cell r="C3659" t="str">
            <v>AHMAD TEA ÇAY İTHALAT VE TİCARET LTD.ŞTİ</v>
          </cell>
          <cell r="D3659" t="str">
            <v>SMB</v>
          </cell>
          <cell r="E3659" t="str">
            <v>VENÜS BİLİŞİM TEKNOLOJİ ve YAZILIM ANONİM ŞİRKETİ</v>
          </cell>
          <cell r="F3659" t="str">
            <v>A-MB307</v>
          </cell>
          <cell r="G3659">
            <v>44047</v>
          </cell>
        </row>
        <row r="3660">
          <cell r="C3660" t="str">
            <v>TL</v>
          </cell>
          <cell r="D3660" t="str">
            <v>SMB</v>
          </cell>
        </row>
        <row r="3661">
          <cell r="C3661" t="str">
            <v>USD</v>
          </cell>
          <cell r="D3661" t="str">
            <v>SMB</v>
          </cell>
          <cell r="G3661">
            <v>44047</v>
          </cell>
        </row>
        <row r="3662">
          <cell r="C3662" t="str">
            <v>USD</v>
          </cell>
          <cell r="D3662" t="str">
            <v>SMB</v>
          </cell>
          <cell r="G3662">
            <v>45350</v>
          </cell>
        </row>
        <row r="3663">
          <cell r="C3663" t="str">
            <v>EUR</v>
          </cell>
          <cell r="D3663" t="str">
            <v>SMB</v>
          </cell>
        </row>
        <row r="3664">
          <cell r="C3664" t="str">
            <v>Kur Sabitleme</v>
          </cell>
          <cell r="D3664" t="str">
            <v>SMB</v>
          </cell>
        </row>
        <row r="3665">
          <cell r="C3665" t="str">
            <v>Çerko Motor İç ve Dış Ticaret A.Ş.</v>
          </cell>
          <cell r="D3665" t="str">
            <v>SMB</v>
          </cell>
          <cell r="E3665" t="str">
            <v>VENÜS BİLİŞİM TEKNOLOJİ ve YAZILIM ANONİM ŞİRKETİ</v>
          </cell>
          <cell r="F3665" t="str">
            <v>A-MB568</v>
          </cell>
          <cell r="G3665">
            <v>44904</v>
          </cell>
        </row>
        <row r="3666">
          <cell r="C3666" t="str">
            <v>TL</v>
          </cell>
          <cell r="D3666" t="str">
            <v>SMB</v>
          </cell>
        </row>
        <row r="3667">
          <cell r="C3667" t="str">
            <v>USD</v>
          </cell>
          <cell r="D3667" t="str">
            <v>SMB</v>
          </cell>
          <cell r="G3667">
            <v>44904</v>
          </cell>
        </row>
        <row r="3668">
          <cell r="C3668" t="str">
            <v>EUR</v>
          </cell>
          <cell r="D3668" t="str">
            <v>SMB</v>
          </cell>
        </row>
        <row r="3669">
          <cell r="C3669" t="str">
            <v>Kur Sabitleme</v>
          </cell>
          <cell r="D3669" t="str">
            <v>SMB</v>
          </cell>
        </row>
        <row r="3670">
          <cell r="C3670" t="str">
            <v>ALACA YAZILIM VE TEKNOLOJİ SAN.TİC.LTD.ŞTİ.</v>
          </cell>
          <cell r="D3670" t="str">
            <v>SMB</v>
          </cell>
          <cell r="E3670" t="str">
            <v>ALACA YAZILIM VE TEKNOLOJİ SAN.TİC.LTD.ŞTİ.</v>
          </cell>
          <cell r="F3670" t="str">
            <v>A-MB370</v>
          </cell>
          <cell r="G3670">
            <v>44987</v>
          </cell>
        </row>
        <row r="3671">
          <cell r="C3671" t="str">
            <v>TL</v>
          </cell>
          <cell r="D3671" t="str">
            <v>SMB</v>
          </cell>
        </row>
        <row r="3672">
          <cell r="C3672" t="str">
            <v>USD</v>
          </cell>
          <cell r="D3672" t="str">
            <v>SMB</v>
          </cell>
          <cell r="G3672">
            <v>44987</v>
          </cell>
        </row>
        <row r="3673">
          <cell r="C3673" t="str">
            <v>EUR</v>
          </cell>
          <cell r="D3673" t="str">
            <v>SMB</v>
          </cell>
        </row>
        <row r="3674">
          <cell r="C3674" t="str">
            <v>Kur Sabitleme</v>
          </cell>
          <cell r="D3674" t="str">
            <v>SMB</v>
          </cell>
        </row>
        <row r="3675">
          <cell r="C3675" t="str">
            <v>ÇAMLIBEL KURUMSAL PAZARLAMA HİZ. GIDA HAYV. SÜT ÜR</v>
          </cell>
          <cell r="D3675" t="str">
            <v>SMB</v>
          </cell>
          <cell r="E3675" t="str">
            <v>ALACA YAZILIM VE TEKNOLOJİ SAN.TİC.LTD.ŞTİ.</v>
          </cell>
          <cell r="F3675" t="str">
            <v>A-MB554</v>
          </cell>
          <cell r="G3675">
            <v>44886</v>
          </cell>
        </row>
        <row r="3676">
          <cell r="C3676" t="str">
            <v>TL</v>
          </cell>
          <cell r="D3676" t="str">
            <v>SMB</v>
          </cell>
        </row>
        <row r="3677">
          <cell r="C3677" t="str">
            <v>USD</v>
          </cell>
          <cell r="D3677" t="str">
            <v>SMB</v>
          </cell>
          <cell r="G3677">
            <v>44886</v>
          </cell>
        </row>
        <row r="3678">
          <cell r="C3678" t="str">
            <v>USD</v>
          </cell>
          <cell r="D3678" t="str">
            <v>SMB</v>
          </cell>
          <cell r="G3678">
            <v>45044</v>
          </cell>
        </row>
        <row r="3679">
          <cell r="C3679" t="str">
            <v>EUR</v>
          </cell>
          <cell r="D3679" t="str">
            <v>SMB</v>
          </cell>
        </row>
        <row r="3680">
          <cell r="C3680" t="str">
            <v>Kur Sabitleme</v>
          </cell>
          <cell r="D3680" t="str">
            <v>SMB</v>
          </cell>
        </row>
        <row r="3681">
          <cell r="C3681" t="str">
            <v>EREN GIDA MAD. TURİZM SAN. TİC. LTD. ŞTİ.</v>
          </cell>
          <cell r="D3681" t="str">
            <v>SMB</v>
          </cell>
          <cell r="E3681" t="str">
            <v>ALACA YAZILIM VE TEKNOLOJİ SAN.TİC.LTD.ŞTİ.</v>
          </cell>
          <cell r="F3681" t="str">
            <v>A-MB558</v>
          </cell>
          <cell r="G3681">
            <v>44867</v>
          </cell>
        </row>
        <row r="3682">
          <cell r="C3682" t="str">
            <v>TL</v>
          </cell>
          <cell r="D3682" t="str">
            <v>SMB</v>
          </cell>
        </row>
        <row r="3683">
          <cell r="C3683" t="str">
            <v>USD</v>
          </cell>
          <cell r="D3683" t="str">
            <v>SMB</v>
          </cell>
          <cell r="G3683">
            <v>44867</v>
          </cell>
        </row>
        <row r="3684">
          <cell r="C3684" t="str">
            <v>EUR</v>
          </cell>
          <cell r="D3684" t="str">
            <v>SMB</v>
          </cell>
        </row>
        <row r="3685">
          <cell r="C3685" t="str">
            <v>Kur Sabitleme</v>
          </cell>
          <cell r="D3685" t="str">
            <v>SMB</v>
          </cell>
        </row>
        <row r="3686">
          <cell r="C3686" t="str">
            <v>SOLVOCODE YAZILIM ANONİM ŞİRKETİ</v>
          </cell>
          <cell r="D3686" t="str">
            <v>SMB</v>
          </cell>
          <cell r="E3686" t="str">
            <v>ALACA YAZILIM VE TEKNOLOJİ SAN.TİC.LTD.ŞTİ.</v>
          </cell>
          <cell r="F3686" t="str">
            <v>A-MB658</v>
          </cell>
          <cell r="G3686">
            <v>45222</v>
          </cell>
        </row>
        <row r="3687">
          <cell r="C3687" t="str">
            <v>TL</v>
          </cell>
          <cell r="D3687" t="str">
            <v>SMB</v>
          </cell>
        </row>
        <row r="3688">
          <cell r="C3688" t="str">
            <v>USD</v>
          </cell>
          <cell r="D3688" t="str">
            <v>SMB</v>
          </cell>
          <cell r="G3688">
            <v>45222</v>
          </cell>
        </row>
        <row r="3689">
          <cell r="C3689" t="str">
            <v>EUR</v>
          </cell>
          <cell r="D3689" t="str">
            <v>SMB</v>
          </cell>
        </row>
        <row r="3690">
          <cell r="C3690" t="str">
            <v>Kur Sabitleme</v>
          </cell>
          <cell r="D3690" t="str">
            <v>SMB</v>
          </cell>
        </row>
        <row r="3691">
          <cell r="C3691" t="str">
            <v>Sinerji Gıda Kimya Tekstil San. Ve Tic. A.Ş.</v>
          </cell>
          <cell r="D3691" t="str">
            <v>SMB</v>
          </cell>
          <cell r="E3691" t="str">
            <v>ALACA YAZILIM VE TEKNOLOJİ SAN.TİC.LTD.ŞTİ.</v>
          </cell>
          <cell r="F3691" t="str">
            <v>A-MB370</v>
          </cell>
          <cell r="G3691">
            <v>45272</v>
          </cell>
        </row>
        <row r="3692">
          <cell r="C3692" t="str">
            <v>TL</v>
          </cell>
          <cell r="D3692" t="str">
            <v>SMB</v>
          </cell>
        </row>
        <row r="3693">
          <cell r="C3693" t="str">
            <v>USD</v>
          </cell>
          <cell r="D3693" t="str">
            <v>SMB</v>
          </cell>
          <cell r="G3693">
            <v>45272</v>
          </cell>
        </row>
        <row r="3694">
          <cell r="C3694" t="str">
            <v>EUR</v>
          </cell>
          <cell r="D3694" t="str">
            <v>SMB</v>
          </cell>
        </row>
        <row r="3695">
          <cell r="C3695" t="str">
            <v>Kur Sabitleme</v>
          </cell>
          <cell r="D3695" t="str">
            <v>SMB</v>
          </cell>
        </row>
        <row r="3696">
          <cell r="C3696" t="str">
            <v>LIBA LABORATUARLARI A.S.</v>
          </cell>
          <cell r="D3696" t="str">
            <v>SMB</v>
          </cell>
          <cell r="E3696" t="str">
            <v>FERHAT CEBE</v>
          </cell>
          <cell r="F3696" t="str">
            <v>A-MB410</v>
          </cell>
          <cell r="G3696">
            <v>44959</v>
          </cell>
        </row>
        <row r="3697">
          <cell r="C3697" t="str">
            <v>TL</v>
          </cell>
          <cell r="D3697" t="str">
            <v>SMB</v>
          </cell>
        </row>
        <row r="3698">
          <cell r="C3698" t="str">
            <v>USD</v>
          </cell>
          <cell r="D3698" t="str">
            <v>SMB</v>
          </cell>
          <cell r="G3698">
            <v>44959</v>
          </cell>
        </row>
        <row r="3699">
          <cell r="C3699" t="str">
            <v>USD</v>
          </cell>
          <cell r="D3699" t="str">
            <v>SMB</v>
          </cell>
          <cell r="G3699">
            <v>45597</v>
          </cell>
        </row>
        <row r="3700">
          <cell r="C3700" t="str">
            <v>USD</v>
          </cell>
          <cell r="D3700" t="str">
            <v>SMB</v>
          </cell>
          <cell r="G3700">
            <v>45761</v>
          </cell>
        </row>
        <row r="3701">
          <cell r="C3701" t="str">
            <v>EUR</v>
          </cell>
          <cell r="D3701" t="str">
            <v>SMB</v>
          </cell>
        </row>
        <row r="3702">
          <cell r="C3702" t="str">
            <v>Kur Sabitleme</v>
          </cell>
          <cell r="D3702" t="str">
            <v>SMB</v>
          </cell>
        </row>
        <row r="3703">
          <cell r="C3703" t="str">
            <v>ARSAN KİMYA SAN.TİC. A.Ş.</v>
          </cell>
          <cell r="D3703" t="str">
            <v>SMB</v>
          </cell>
          <cell r="E3703" t="str">
            <v>FERHAT CEBE</v>
          </cell>
          <cell r="F3703" t="str">
            <v>A-MB555</v>
          </cell>
          <cell r="G3703">
            <v>44876</v>
          </cell>
        </row>
        <row r="3704">
          <cell r="C3704" t="str">
            <v>TL</v>
          </cell>
          <cell r="D3704" t="str">
            <v>SMB</v>
          </cell>
        </row>
        <row r="3705">
          <cell r="C3705" t="str">
            <v>USD</v>
          </cell>
          <cell r="D3705" t="str">
            <v>SMB</v>
          </cell>
          <cell r="G3705">
            <v>44876</v>
          </cell>
        </row>
        <row r="3706">
          <cell r="C3706" t="str">
            <v>EUR</v>
          </cell>
          <cell r="D3706" t="str">
            <v>SMB</v>
          </cell>
        </row>
        <row r="3707">
          <cell r="C3707" t="str">
            <v>Kur Sabitleme</v>
          </cell>
          <cell r="D3707" t="str">
            <v>SMB</v>
          </cell>
        </row>
        <row r="3708">
          <cell r="C3708" t="str">
            <v>Helsakam Konfeksiyon Yan Ürünleri San. ve Tic. A.Ş</v>
          </cell>
          <cell r="D3708" t="str">
            <v>SMB</v>
          </cell>
          <cell r="E3708" t="str">
            <v>FERHAT CEBE</v>
          </cell>
          <cell r="F3708" t="str">
            <v>A-MB689</v>
          </cell>
          <cell r="G3708">
            <v>45288</v>
          </cell>
        </row>
        <row r="3709">
          <cell r="C3709" t="str">
            <v>TL</v>
          </cell>
          <cell r="D3709" t="str">
            <v>SMB</v>
          </cell>
        </row>
        <row r="3710">
          <cell r="C3710" t="str">
            <v>USD</v>
          </cell>
          <cell r="D3710" t="str">
            <v>SMB</v>
          </cell>
          <cell r="G3710">
            <v>45288</v>
          </cell>
        </row>
        <row r="3711">
          <cell r="C3711" t="str">
            <v>EUR</v>
          </cell>
          <cell r="D3711" t="str">
            <v>SMB</v>
          </cell>
        </row>
        <row r="3712">
          <cell r="C3712" t="str">
            <v>Kur Sabitleme</v>
          </cell>
          <cell r="D3712" t="str">
            <v>SMB</v>
          </cell>
        </row>
        <row r="3713">
          <cell r="C3713" t="str">
            <v>VAKIFBANK SPOR KULUBÜ DERNEĞİ</v>
          </cell>
          <cell r="D3713" t="str">
            <v>SMB</v>
          </cell>
          <cell r="E3713" t="str">
            <v>BOYUT BİLGİSAYAR SİSTEMLERİ NEDİME GÖZLÜK</v>
          </cell>
          <cell r="F3713" t="str">
            <v>A-MB564</v>
          </cell>
          <cell r="G3713">
            <v>44907</v>
          </cell>
        </row>
        <row r="3714">
          <cell r="C3714" t="str">
            <v>TL</v>
          </cell>
          <cell r="D3714" t="str">
            <v>SMB</v>
          </cell>
        </row>
        <row r="3715">
          <cell r="C3715" t="str">
            <v>USD</v>
          </cell>
          <cell r="D3715" t="str">
            <v>SMB</v>
          </cell>
          <cell r="G3715">
            <v>44907</v>
          </cell>
        </row>
        <row r="3716">
          <cell r="C3716" t="str">
            <v>USD</v>
          </cell>
          <cell r="D3716" t="str">
            <v>SMB</v>
          </cell>
          <cell r="G3716">
            <v>45043</v>
          </cell>
        </row>
        <row r="3717">
          <cell r="C3717" t="str">
            <v>EUR</v>
          </cell>
          <cell r="D3717" t="str">
            <v>SMB</v>
          </cell>
        </row>
        <row r="3718">
          <cell r="C3718" t="str">
            <v>Kur Sabitleme</v>
          </cell>
          <cell r="D3718" t="str">
            <v>SMB</v>
          </cell>
        </row>
        <row r="3719">
          <cell r="C3719" t="str">
            <v>Trada Teknoloji Anonim Şirketi</v>
          </cell>
          <cell r="D3719" t="str">
            <v>SMB</v>
          </cell>
          <cell r="E3719" t="str">
            <v>BOYUT BİLGİSAYAR SİSTEMLERİ NEDİME GÖZLÜK</v>
          </cell>
          <cell r="F3719" t="str">
            <v>A-MB571</v>
          </cell>
          <cell r="G3719">
            <v>44915</v>
          </cell>
        </row>
        <row r="3720">
          <cell r="C3720" t="str">
            <v>TL</v>
          </cell>
          <cell r="D3720" t="str">
            <v>SMB</v>
          </cell>
        </row>
        <row r="3721">
          <cell r="C3721" t="str">
            <v>USD</v>
          </cell>
          <cell r="D3721" t="str">
            <v>SMB</v>
          </cell>
          <cell r="G3721">
            <v>44915</v>
          </cell>
        </row>
        <row r="3722">
          <cell r="C3722" t="str">
            <v>EUR</v>
          </cell>
          <cell r="D3722" t="str">
            <v>SMB</v>
          </cell>
        </row>
        <row r="3723">
          <cell r="C3723" t="str">
            <v>Kur Sabitleme</v>
          </cell>
          <cell r="D3723" t="str">
            <v>SMB</v>
          </cell>
        </row>
        <row r="3724">
          <cell r="C3724" t="str">
            <v>POLİMAZ AMBALAJ SANAYİ TİC. LTD. ŞTİ.</v>
          </cell>
          <cell r="D3724" t="str">
            <v>SMB</v>
          </cell>
          <cell r="E3724" t="str">
            <v>BOYUT BİLGİSAYAR SİSTEMLERİ NEDİME GÖZLÜK</v>
          </cell>
          <cell r="F3724" t="str">
            <v>A-MB588</v>
          </cell>
          <cell r="G3724">
            <v>44931</v>
          </cell>
        </row>
        <row r="3725">
          <cell r="C3725" t="str">
            <v>TL</v>
          </cell>
          <cell r="D3725" t="str">
            <v>SMB</v>
          </cell>
        </row>
        <row r="3726">
          <cell r="C3726" t="str">
            <v>USD</v>
          </cell>
          <cell r="D3726" t="str">
            <v>SMB</v>
          </cell>
          <cell r="G3726">
            <v>44931</v>
          </cell>
        </row>
        <row r="3727">
          <cell r="C3727" t="str">
            <v>EUR</v>
          </cell>
          <cell r="D3727" t="str">
            <v>SMB</v>
          </cell>
        </row>
        <row r="3728">
          <cell r="C3728" t="str">
            <v>Kur Sabitleme</v>
          </cell>
          <cell r="D3728" t="str">
            <v>SMB</v>
          </cell>
        </row>
        <row r="3729">
          <cell r="C3729" t="str">
            <v>MİLA PROJE MAĞAZACILIK ANONİM ŞİRKETİ</v>
          </cell>
          <cell r="D3729" t="str">
            <v>SMB</v>
          </cell>
          <cell r="E3729" t="str">
            <v>BOYUT BİLGİSAYAR SİSTEMLERİ NEDİME GÖZLÜK</v>
          </cell>
          <cell r="F3729" t="str">
            <v>…..</v>
          </cell>
          <cell r="G3729">
            <v>45051</v>
          </cell>
        </row>
        <row r="3730">
          <cell r="C3730" t="str">
            <v>TL</v>
          </cell>
          <cell r="D3730" t="str">
            <v>SMB</v>
          </cell>
        </row>
        <row r="3731">
          <cell r="C3731" t="str">
            <v>USD</v>
          </cell>
          <cell r="D3731" t="str">
            <v>SMB</v>
          </cell>
          <cell r="G3731">
            <v>45051</v>
          </cell>
        </row>
        <row r="3732">
          <cell r="C3732" t="str">
            <v>EUR</v>
          </cell>
          <cell r="D3732" t="str">
            <v>SMB</v>
          </cell>
        </row>
        <row r="3733">
          <cell r="C3733" t="str">
            <v>Kur Sabitleme</v>
          </cell>
          <cell r="D3733" t="str">
            <v>SMB</v>
          </cell>
        </row>
        <row r="3734">
          <cell r="C3734" t="str">
            <v>PROSİSTEM ELEKTRONİK SİSTEMLERİ SANAYİ VE TİCARET</v>
          </cell>
          <cell r="D3734" t="str">
            <v>SMB</v>
          </cell>
          <cell r="E3734" t="str">
            <v>BOYUT BİLGİSAYAR SİSTEMLERİ NEDİME GÖZLÜK</v>
          </cell>
          <cell r="F3734" t="str">
            <v>A-MB684</v>
          </cell>
          <cell r="G3734">
            <v>45272</v>
          </cell>
        </row>
        <row r="3735">
          <cell r="C3735" t="str">
            <v>TL</v>
          </cell>
          <cell r="D3735" t="str">
            <v>SMB</v>
          </cell>
          <cell r="G3735">
            <v>45636</v>
          </cell>
        </row>
        <row r="3736">
          <cell r="C3736" t="str">
            <v>USD</v>
          </cell>
          <cell r="D3736" t="str">
            <v>SMB</v>
          </cell>
          <cell r="G3736">
            <v>45272</v>
          </cell>
        </row>
        <row r="3737">
          <cell r="C3737" t="str">
            <v>USD</v>
          </cell>
          <cell r="D3737" t="str">
            <v>SMB</v>
          </cell>
          <cell r="G3737">
            <v>45582</v>
          </cell>
        </row>
        <row r="3738">
          <cell r="C3738" t="str">
            <v>USD</v>
          </cell>
          <cell r="D3738" t="str">
            <v>SMB</v>
          </cell>
          <cell r="G3738">
            <v>45587</v>
          </cell>
        </row>
        <row r="3739">
          <cell r="C3739" t="str">
            <v>USD</v>
          </cell>
          <cell r="D3739" t="str">
            <v>SMB</v>
          </cell>
          <cell r="G3739">
            <v>45651</v>
          </cell>
        </row>
        <row r="3740">
          <cell r="C3740" t="str">
            <v>EUR</v>
          </cell>
          <cell r="D3740" t="str">
            <v>SMB</v>
          </cell>
        </row>
        <row r="3741">
          <cell r="C3741" t="str">
            <v>Kur Sabitleme</v>
          </cell>
          <cell r="D3741" t="str">
            <v>SMB</v>
          </cell>
        </row>
        <row r="3742">
          <cell r="C3742" t="str">
            <v>PİA BİLİŞİM HİZMETLERİ A.Ş.</v>
          </cell>
          <cell r="D3742" t="str">
            <v>Enterprise</v>
          </cell>
          <cell r="E3742" t="str">
            <v>GÖKHAN ŞENGÜN</v>
          </cell>
          <cell r="F3742" t="str">
            <v>A-MB538</v>
          </cell>
          <cell r="G3742">
            <v>44749</v>
          </cell>
        </row>
        <row r="3743">
          <cell r="C3743" t="str">
            <v>TL</v>
          </cell>
          <cell r="D3743" t="str">
            <v>Enterprise</v>
          </cell>
          <cell r="G3743">
            <v>44749</v>
          </cell>
        </row>
        <row r="3744">
          <cell r="C3744" t="str">
            <v>USD</v>
          </cell>
          <cell r="D3744" t="str">
            <v>Enterprise</v>
          </cell>
          <cell r="G3744">
            <v>44749</v>
          </cell>
        </row>
        <row r="3745">
          <cell r="C3745" t="str">
            <v>USD</v>
          </cell>
          <cell r="D3745" t="str">
            <v>Enterprise</v>
          </cell>
        </row>
        <row r="3746">
          <cell r="C3746" t="str">
            <v>EUR</v>
          </cell>
          <cell r="D3746" t="str">
            <v>Enterprise</v>
          </cell>
        </row>
        <row r="3747">
          <cell r="C3747" t="str">
            <v>Kur Sabitleme</v>
          </cell>
          <cell r="D3747" t="str">
            <v>Enterprise</v>
          </cell>
        </row>
        <row r="3748">
          <cell r="C3748" t="str">
            <v>SESTEK SES VE İLETİŞİM BİLGİSAYAR TEKNOLOJİLERİ SA</v>
          </cell>
          <cell r="D3748" t="str">
            <v>Enterprise</v>
          </cell>
          <cell r="E3748" t="str">
            <v>GÖKHAN ŞENGÜN</v>
          </cell>
          <cell r="F3748" t="str">
            <v>A-MB578</v>
          </cell>
          <cell r="G3748">
            <v>44909</v>
          </cell>
        </row>
        <row r="3749">
          <cell r="C3749" t="str">
            <v>TL</v>
          </cell>
          <cell r="D3749" t="str">
            <v>Enterprise</v>
          </cell>
        </row>
        <row r="3750">
          <cell r="C3750" t="str">
            <v>USD</v>
          </cell>
          <cell r="D3750" t="str">
            <v>Enterprise</v>
          </cell>
          <cell r="G3750">
            <v>44909</v>
          </cell>
        </row>
        <row r="3751">
          <cell r="C3751" t="str">
            <v>EUR</v>
          </cell>
          <cell r="D3751" t="str">
            <v>Enterprise</v>
          </cell>
        </row>
        <row r="3752">
          <cell r="C3752" t="str">
            <v>Kur Sabitleme</v>
          </cell>
          <cell r="D3752" t="str">
            <v>Enterprise</v>
          </cell>
        </row>
        <row r="3753">
          <cell r="C3753" t="str">
            <v>SHERPA YAZILIM EĞİTİM VE FİNANSAL DAN.TİC.LTD.ŞTİ.</v>
          </cell>
          <cell r="D3753" t="str">
            <v>SMB</v>
          </cell>
          <cell r="E3753">
            <v>0</v>
          </cell>
          <cell r="F3753">
            <v>0</v>
          </cell>
          <cell r="G3753">
            <v>44986</v>
          </cell>
        </row>
        <row r="3754">
          <cell r="C3754" t="str">
            <v>TL</v>
          </cell>
          <cell r="D3754" t="str">
            <v>SMB</v>
          </cell>
        </row>
        <row r="3755">
          <cell r="C3755" t="str">
            <v>USD</v>
          </cell>
          <cell r="D3755" t="str">
            <v>SMB</v>
          </cell>
          <cell r="G3755">
            <v>44986</v>
          </cell>
        </row>
        <row r="3756">
          <cell r="C3756" t="str">
            <v>EUR</v>
          </cell>
          <cell r="D3756" t="str">
            <v>SMB</v>
          </cell>
        </row>
        <row r="3757">
          <cell r="C3757" t="str">
            <v>Kur Sabitleme</v>
          </cell>
          <cell r="D3757" t="str">
            <v>SMB</v>
          </cell>
        </row>
        <row r="3758">
          <cell r="C3758" t="str">
            <v>MEY Kozmetik İth.İhr.San.ve Tic.Ltd.Şti.</v>
          </cell>
          <cell r="D3758" t="str">
            <v>SMB</v>
          </cell>
          <cell r="E3758" t="str">
            <v>SHERPA YAZILIM EĞİTİM VE FİNANSAL DAN.TİC.LTD.ŞTİ.</v>
          </cell>
          <cell r="F3758" t="str">
            <v>A-MB572</v>
          </cell>
          <cell r="G3758">
            <v>44922</v>
          </cell>
        </row>
        <row r="3759">
          <cell r="C3759" t="str">
            <v>TL</v>
          </cell>
          <cell r="D3759" t="str">
            <v>SMB</v>
          </cell>
        </row>
        <row r="3760">
          <cell r="C3760" t="str">
            <v>USD</v>
          </cell>
          <cell r="D3760" t="str">
            <v>SMB</v>
          </cell>
          <cell r="G3760">
            <v>44922</v>
          </cell>
        </row>
        <row r="3761">
          <cell r="C3761" t="str">
            <v>USD</v>
          </cell>
          <cell r="D3761" t="str">
            <v>SMB</v>
          </cell>
          <cell r="G3761">
            <v>45722</v>
          </cell>
        </row>
        <row r="3762">
          <cell r="C3762" t="str">
            <v>EUR</v>
          </cell>
          <cell r="D3762" t="str">
            <v>SMB</v>
          </cell>
        </row>
        <row r="3763">
          <cell r="C3763" t="str">
            <v>Kur Sabitleme</v>
          </cell>
          <cell r="D3763" t="str">
            <v>SMB</v>
          </cell>
        </row>
        <row r="3764">
          <cell r="C3764" t="str">
            <v>BİLGİLİ GRUP MÜHENDİSLİK VE TİC. LTD. ŞTİ.</v>
          </cell>
          <cell r="D3764" t="str">
            <v>SMB</v>
          </cell>
          <cell r="E3764" t="str">
            <v>SHERPA YAZILIM EĞİTİM VE FİNANSAL DAN.TİC.LTD.ŞTİ.</v>
          </cell>
          <cell r="F3764" t="str">
            <v>…..</v>
          </cell>
          <cell r="G3764">
            <v>44927</v>
          </cell>
        </row>
        <row r="3765">
          <cell r="C3765" t="str">
            <v>TL</v>
          </cell>
          <cell r="D3765" t="str">
            <v>SMB</v>
          </cell>
        </row>
        <row r="3766">
          <cell r="C3766" t="str">
            <v>USD</v>
          </cell>
          <cell r="D3766" t="str">
            <v>SMB</v>
          </cell>
          <cell r="G3766">
            <v>44927</v>
          </cell>
        </row>
        <row r="3767">
          <cell r="C3767" t="str">
            <v>EUR</v>
          </cell>
          <cell r="D3767" t="str">
            <v>SMB</v>
          </cell>
        </row>
        <row r="3768">
          <cell r="C3768" t="str">
            <v>Kur Sabitleme</v>
          </cell>
          <cell r="D3768" t="str">
            <v>SMB</v>
          </cell>
        </row>
        <row r="3769">
          <cell r="C3769" t="str">
            <v>KILIÇKAYA LPG GIDA NAK. TURIZM INS.TIC. LTD. ŞTI.</v>
          </cell>
          <cell r="D3769" t="str">
            <v>SMB</v>
          </cell>
          <cell r="E3769" t="str">
            <v>NESİLSOFT YAZILIM SANAYİ VE TİCARET ANONİM ŞİRKETİ</v>
          </cell>
          <cell r="F3769" t="str">
            <v>A-MB573</v>
          </cell>
          <cell r="G3769">
            <v>44922</v>
          </cell>
        </row>
        <row r="3770">
          <cell r="C3770" t="str">
            <v>TL</v>
          </cell>
          <cell r="D3770" t="str">
            <v>SMB</v>
          </cell>
        </row>
        <row r="3771">
          <cell r="C3771" t="str">
            <v>USD</v>
          </cell>
          <cell r="D3771" t="str">
            <v>SMB</v>
          </cell>
          <cell r="G3771">
            <v>44922</v>
          </cell>
        </row>
        <row r="3772">
          <cell r="C3772" t="str">
            <v>EUR</v>
          </cell>
          <cell r="D3772" t="str">
            <v>SMB</v>
          </cell>
        </row>
        <row r="3773">
          <cell r="C3773" t="str">
            <v>Kur Sabitleme</v>
          </cell>
          <cell r="D3773" t="str">
            <v>SMB</v>
          </cell>
        </row>
        <row r="3774">
          <cell r="C3774" t="str">
            <v>TIED UP DEKORASYON ÜRÜNLERİ SAN.TİC.LTD.ŞTİ.</v>
          </cell>
          <cell r="D3774" t="str">
            <v>SMB</v>
          </cell>
          <cell r="E3774" t="str">
            <v>NESİLSOFT YAZILIM SANAYİ VE TİCARET ANONİM ŞİRKETİ</v>
          </cell>
          <cell r="F3774" t="str">
            <v>…..</v>
          </cell>
          <cell r="G3774">
            <v>44953</v>
          </cell>
        </row>
        <row r="3775">
          <cell r="C3775" t="str">
            <v>TL</v>
          </cell>
          <cell r="D3775" t="str">
            <v>SMB</v>
          </cell>
        </row>
        <row r="3776">
          <cell r="C3776" t="str">
            <v>USD</v>
          </cell>
          <cell r="D3776" t="str">
            <v>SMB</v>
          </cell>
          <cell r="G3776">
            <v>44953</v>
          </cell>
        </row>
        <row r="3777">
          <cell r="C3777" t="str">
            <v>EUR</v>
          </cell>
          <cell r="D3777" t="str">
            <v>SMB</v>
          </cell>
        </row>
        <row r="3778">
          <cell r="C3778" t="str">
            <v>Kur Sabitleme</v>
          </cell>
          <cell r="D3778" t="str">
            <v>SMB</v>
          </cell>
        </row>
        <row r="3779">
          <cell r="C3779" t="str">
            <v>FARMASU DOGAL KAY. SULARI MES VE GIDA MAD.ÜRET. PA</v>
          </cell>
          <cell r="D3779" t="str">
            <v>SMB</v>
          </cell>
          <cell r="E3779" t="str">
            <v>NESİLSOFT YAZILIM SANAYİ VE TİCARET ANONİM ŞİRKETİ</v>
          </cell>
          <cell r="F3779" t="str">
            <v>A-MB322</v>
          </cell>
          <cell r="G3779">
            <v>44167</v>
          </cell>
        </row>
        <row r="3780">
          <cell r="C3780" t="str">
            <v>TL</v>
          </cell>
          <cell r="D3780" t="str">
            <v>SMB</v>
          </cell>
          <cell r="G3780">
            <v>44167</v>
          </cell>
        </row>
        <row r="3781">
          <cell r="C3781" t="str">
            <v>USD</v>
          </cell>
          <cell r="D3781" t="str">
            <v>SMB</v>
          </cell>
          <cell r="G3781">
            <v>45099</v>
          </cell>
        </row>
        <row r="3782">
          <cell r="C3782" t="str">
            <v>USD</v>
          </cell>
          <cell r="D3782" t="str">
            <v>SMB</v>
          </cell>
          <cell r="G3782">
            <v>45092</v>
          </cell>
        </row>
        <row r="3783">
          <cell r="C3783" t="str">
            <v>EUR</v>
          </cell>
          <cell r="D3783" t="str">
            <v>SMB</v>
          </cell>
        </row>
        <row r="3784">
          <cell r="C3784" t="str">
            <v>Kur Sabitleme</v>
          </cell>
          <cell r="D3784" t="str">
            <v>SMB</v>
          </cell>
        </row>
        <row r="3785">
          <cell r="C3785" t="str">
            <v>PAMTEK METAL END. ÜRUNLER SAN. VE TIC.LTD.STI.</v>
          </cell>
          <cell r="D3785" t="str">
            <v>SMB</v>
          </cell>
          <cell r="E3785" t="str">
            <v>NESİLSOFT YAZILIM SANAYİ VE TİCARET ANONİM ŞİRKETİ</v>
          </cell>
          <cell r="F3785" t="str">
            <v>A-MB619</v>
          </cell>
          <cell r="G3785">
            <v>45075</v>
          </cell>
        </row>
        <row r="3786">
          <cell r="C3786" t="str">
            <v>TL</v>
          </cell>
          <cell r="D3786" t="str">
            <v>SMB</v>
          </cell>
        </row>
        <row r="3787">
          <cell r="C3787" t="str">
            <v>USD</v>
          </cell>
          <cell r="D3787" t="str">
            <v>SMB</v>
          </cell>
          <cell r="G3787">
            <v>45075</v>
          </cell>
        </row>
        <row r="3788">
          <cell r="C3788" t="str">
            <v>EUR</v>
          </cell>
          <cell r="D3788" t="str">
            <v>SMB</v>
          </cell>
        </row>
        <row r="3789">
          <cell r="C3789" t="str">
            <v>Kur Sabitleme</v>
          </cell>
          <cell r="D3789" t="str">
            <v>SMB</v>
          </cell>
        </row>
        <row r="3790">
          <cell r="C3790" t="str">
            <v>PAYBOX ELEKTRONİK TİCARET ANONİM ŞİRKETİ</v>
          </cell>
          <cell r="D3790" t="str">
            <v>SMB</v>
          </cell>
          <cell r="E3790" t="str">
            <v>HAZİRAN TEKNOLOJİ YAZILIM VE BİLİŞİM A.Ş.</v>
          </cell>
          <cell r="F3790" t="str">
            <v>…..</v>
          </cell>
          <cell r="G3790">
            <v>44937</v>
          </cell>
        </row>
        <row r="3791">
          <cell r="C3791" t="str">
            <v>TL</v>
          </cell>
          <cell r="D3791" t="str">
            <v>SMB</v>
          </cell>
        </row>
        <row r="3792">
          <cell r="C3792" t="str">
            <v>USD</v>
          </cell>
          <cell r="D3792" t="str">
            <v>SMB</v>
          </cell>
          <cell r="G3792">
            <v>44937</v>
          </cell>
        </row>
        <row r="3793">
          <cell r="C3793" t="str">
            <v>EUR</v>
          </cell>
          <cell r="D3793" t="str">
            <v>SMB</v>
          </cell>
        </row>
        <row r="3794">
          <cell r="C3794" t="str">
            <v>Kur Sabitleme</v>
          </cell>
          <cell r="D3794" t="str">
            <v>SMB</v>
          </cell>
        </row>
        <row r="3795">
          <cell r="C3795" t="str">
            <v>BRİİSK LİMİTED</v>
          </cell>
          <cell r="D3795" t="str">
            <v>SMB</v>
          </cell>
          <cell r="E3795" t="str">
            <v>HAZİRAN TEKNOLOJİ YAZILIM VE BİLİŞİM A.Ş.</v>
          </cell>
          <cell r="F3795" t="str">
            <v>A-MB606</v>
          </cell>
          <cell r="G3795">
            <v>45042</v>
          </cell>
        </row>
        <row r="3796">
          <cell r="C3796" t="str">
            <v>TL</v>
          </cell>
          <cell r="D3796" t="str">
            <v>SMB</v>
          </cell>
        </row>
        <row r="3797">
          <cell r="C3797" t="str">
            <v>USD</v>
          </cell>
          <cell r="D3797" t="str">
            <v>SMB</v>
          </cell>
          <cell r="G3797">
            <v>45042</v>
          </cell>
        </row>
        <row r="3798">
          <cell r="C3798" t="str">
            <v>EUR</v>
          </cell>
          <cell r="D3798" t="str">
            <v>SMB</v>
          </cell>
        </row>
        <row r="3799">
          <cell r="C3799" t="str">
            <v>Kur Sabitleme</v>
          </cell>
          <cell r="D3799" t="str">
            <v>SMB</v>
          </cell>
        </row>
        <row r="3800">
          <cell r="C3800" t="str">
            <v>HAZİRAN TEKNOLOJİ YAZILIM VE BİLİŞİM A.Ş.</v>
          </cell>
          <cell r="D3800" t="str">
            <v>SMB</v>
          </cell>
          <cell r="E3800" t="str">
            <v>HAZİRAN TEKNOLOJİ YAZILIM VE BİLİŞİM A.Ş.</v>
          </cell>
          <cell r="F3800" t="str">
            <v>A-MB644</v>
          </cell>
          <cell r="G3800">
            <v>45169</v>
          </cell>
        </row>
        <row r="3801">
          <cell r="C3801" t="str">
            <v>TL</v>
          </cell>
          <cell r="D3801" t="str">
            <v>SMB</v>
          </cell>
        </row>
        <row r="3802">
          <cell r="C3802" t="str">
            <v>USD</v>
          </cell>
          <cell r="D3802" t="str">
            <v>SMB</v>
          </cell>
          <cell r="G3802">
            <v>45169</v>
          </cell>
        </row>
        <row r="3803">
          <cell r="C3803" t="str">
            <v>EUR</v>
          </cell>
          <cell r="D3803" t="str">
            <v>SMB</v>
          </cell>
        </row>
        <row r="3804">
          <cell r="C3804" t="str">
            <v>Kur Sabitleme</v>
          </cell>
          <cell r="D3804" t="str">
            <v>SMB</v>
          </cell>
        </row>
        <row r="3805">
          <cell r="C3805" t="str">
            <v>İPEKYOLU GÜMRÜK MÜŞAVİRLİĞİ LTD. ŞTİ.</v>
          </cell>
          <cell r="D3805" t="str">
            <v>SMB</v>
          </cell>
          <cell r="E3805" t="str">
            <v>HAZİRAN TEKNOLOJİ YAZILIM VE BİLİŞİM A.Ş.</v>
          </cell>
          <cell r="F3805" t="str">
            <v>A-MB692</v>
          </cell>
          <cell r="G3805">
            <v>45413</v>
          </cell>
        </row>
        <row r="3806">
          <cell r="C3806" t="str">
            <v>TL</v>
          </cell>
          <cell r="D3806" t="str">
            <v>SMB</v>
          </cell>
        </row>
        <row r="3807">
          <cell r="C3807" t="str">
            <v>USD</v>
          </cell>
          <cell r="D3807" t="str">
            <v>SMB</v>
          </cell>
          <cell r="G3807">
            <v>45413</v>
          </cell>
        </row>
        <row r="3808">
          <cell r="C3808" t="str">
            <v>EUR</v>
          </cell>
          <cell r="D3808" t="str">
            <v>SMB</v>
          </cell>
        </row>
        <row r="3809">
          <cell r="C3809" t="str">
            <v>Kur Sabitleme</v>
          </cell>
          <cell r="D3809" t="str">
            <v>SMB</v>
          </cell>
        </row>
        <row r="3810">
          <cell r="C3810" t="str">
            <v>BURSA KAYNAK MAKİNE İNŞAAT YEDEK PARÇA NAKLİYE VE</v>
          </cell>
          <cell r="D3810" t="str">
            <v>SMB</v>
          </cell>
          <cell r="E3810" t="str">
            <v>ORFESOFT YAZILIM</v>
          </cell>
          <cell r="F3810" t="str">
            <v>A-MB701</v>
          </cell>
          <cell r="G3810">
            <v>45322</v>
          </cell>
        </row>
        <row r="3811">
          <cell r="C3811" t="str">
            <v>TL</v>
          </cell>
          <cell r="D3811" t="str">
            <v>SMB</v>
          </cell>
        </row>
        <row r="3812">
          <cell r="C3812" t="str">
            <v>USD</v>
          </cell>
          <cell r="D3812" t="str">
            <v>SMB</v>
          </cell>
          <cell r="G3812">
            <v>45322</v>
          </cell>
        </row>
        <row r="3813">
          <cell r="C3813" t="str">
            <v>EUR</v>
          </cell>
          <cell r="D3813" t="str">
            <v>SMB</v>
          </cell>
        </row>
        <row r="3814">
          <cell r="C3814" t="str">
            <v>Kur Sabitleme</v>
          </cell>
          <cell r="D3814" t="str">
            <v>SMB</v>
          </cell>
        </row>
        <row r="3815">
          <cell r="C3815" t="str">
            <v>BUSEM HEDİYELİK EŞYA VE METAL SAN. TİC. LTD. ŞTİ.</v>
          </cell>
          <cell r="D3815" t="str">
            <v>SMB</v>
          </cell>
          <cell r="E3815" t="str">
            <v>ORFESOFT YAZILIM</v>
          </cell>
          <cell r="F3815" t="str">
            <v>A-MB701</v>
          </cell>
          <cell r="G3815">
            <v>45322</v>
          </cell>
        </row>
        <row r="3816">
          <cell r="C3816" t="str">
            <v>TL</v>
          </cell>
          <cell r="D3816" t="str">
            <v>SMB</v>
          </cell>
        </row>
        <row r="3817">
          <cell r="C3817" t="str">
            <v>USD</v>
          </cell>
          <cell r="D3817" t="str">
            <v>SMB</v>
          </cell>
          <cell r="G3817">
            <v>45322</v>
          </cell>
        </row>
        <row r="3818">
          <cell r="C3818" t="str">
            <v>EUR</v>
          </cell>
          <cell r="D3818" t="str">
            <v>SMB</v>
          </cell>
        </row>
        <row r="3819">
          <cell r="C3819" t="str">
            <v>Kur Sabitleme</v>
          </cell>
          <cell r="D3819" t="str">
            <v>SMB</v>
          </cell>
        </row>
        <row r="3820">
          <cell r="C3820" t="str">
            <v>JANUS BARKOD TEKNOLOJİLERİ VE TURİZM SAN.TİC.LTD.Ş</v>
          </cell>
          <cell r="D3820" t="str">
            <v>SMB</v>
          </cell>
          <cell r="E3820" t="str">
            <v>ORFESOFT YAZILIM</v>
          </cell>
          <cell r="F3820" t="str">
            <v>A-MB701</v>
          </cell>
          <cell r="G3820">
            <v>45688</v>
          </cell>
        </row>
        <row r="3821">
          <cell r="C3821" t="str">
            <v>TL</v>
          </cell>
          <cell r="D3821" t="str">
            <v>SMB</v>
          </cell>
        </row>
        <row r="3822">
          <cell r="C3822" t="str">
            <v>USD</v>
          </cell>
          <cell r="D3822" t="str">
            <v>SMB</v>
          </cell>
          <cell r="G3822">
            <v>45688</v>
          </cell>
        </row>
        <row r="3823">
          <cell r="C3823" t="str">
            <v>EUR</v>
          </cell>
          <cell r="D3823" t="str">
            <v>SMB</v>
          </cell>
        </row>
        <row r="3824">
          <cell r="C3824" t="str">
            <v>Kur Sabitleme</v>
          </cell>
          <cell r="D3824" t="str">
            <v>SMB</v>
          </cell>
        </row>
        <row r="3825">
          <cell r="C3825" t="str">
            <v>VONTECH ELEKTRONİK VE TİC.LTD.ŞTİ</v>
          </cell>
          <cell r="D3825" t="str">
            <v>SMB</v>
          </cell>
          <cell r="E3825" t="str">
            <v>ORFESOFT YAZILIM</v>
          </cell>
          <cell r="F3825" t="str">
            <v>A-MB701</v>
          </cell>
          <cell r="G3825">
            <v>45688</v>
          </cell>
        </row>
        <row r="3826">
          <cell r="C3826" t="str">
            <v>TL</v>
          </cell>
          <cell r="D3826" t="str">
            <v>SMB</v>
          </cell>
        </row>
        <row r="3827">
          <cell r="C3827" t="str">
            <v>USD</v>
          </cell>
          <cell r="D3827" t="str">
            <v>SMB</v>
          </cell>
          <cell r="G3827">
            <v>45706</v>
          </cell>
        </row>
        <row r="3828">
          <cell r="C3828" t="str">
            <v>USD</v>
          </cell>
          <cell r="D3828" t="str">
            <v>SMB</v>
          </cell>
          <cell r="G3828">
            <v>45688</v>
          </cell>
        </row>
        <row r="3829">
          <cell r="C3829" t="str">
            <v>EUR</v>
          </cell>
          <cell r="D3829" t="str">
            <v>SMB</v>
          </cell>
        </row>
        <row r="3830">
          <cell r="C3830" t="str">
            <v>Kur Sabitleme</v>
          </cell>
          <cell r="D3830" t="str">
            <v>SMB</v>
          </cell>
        </row>
        <row r="3831">
          <cell r="C3831" t="str">
            <v>ALL PARTS OTOMOTİV VE DIŞ TİC. LTD.ŞTİ</v>
          </cell>
          <cell r="D3831" t="str">
            <v>SMB</v>
          </cell>
          <cell r="E3831" t="str">
            <v>TNC YAZILIM - TUNCAY TÜRKOĞLU</v>
          </cell>
          <cell r="F3831" t="str">
            <v>A-MB696</v>
          </cell>
          <cell r="G3831">
            <v>45293</v>
          </cell>
        </row>
        <row r="3832">
          <cell r="C3832" t="str">
            <v>TL</v>
          </cell>
          <cell r="D3832" t="str">
            <v>SMB</v>
          </cell>
        </row>
        <row r="3833">
          <cell r="C3833" t="str">
            <v>USD</v>
          </cell>
          <cell r="D3833" t="str">
            <v>SMB</v>
          </cell>
          <cell r="G3833">
            <v>45293</v>
          </cell>
        </row>
        <row r="3834">
          <cell r="C3834" t="str">
            <v>USD</v>
          </cell>
          <cell r="D3834" t="str">
            <v>SMB</v>
          </cell>
          <cell r="G3834">
            <v>45672</v>
          </cell>
        </row>
        <row r="3835">
          <cell r="C3835" t="str">
            <v>EUR</v>
          </cell>
          <cell r="D3835" t="str">
            <v>SMB</v>
          </cell>
        </row>
        <row r="3836">
          <cell r="C3836" t="str">
            <v>Kur Sabitleme</v>
          </cell>
          <cell r="D3836" t="str">
            <v>SMB</v>
          </cell>
        </row>
        <row r="3837">
          <cell r="C3837" t="str">
            <v>CAREWIND RÜZGAR TÜRBİNLERİ MONTAJ BAKIM VE SERVİS</v>
          </cell>
          <cell r="D3837" t="str">
            <v>SMB</v>
          </cell>
          <cell r="E3837" t="str">
            <v>TNC YAZILIM - TUNCAY TÜRKOĞLU</v>
          </cell>
          <cell r="F3837" t="str">
            <v>A-MB696</v>
          </cell>
          <cell r="G3837">
            <v>45293</v>
          </cell>
        </row>
        <row r="3838">
          <cell r="C3838" t="str">
            <v>TL</v>
          </cell>
          <cell r="D3838" t="str">
            <v>SMB</v>
          </cell>
        </row>
        <row r="3839">
          <cell r="C3839" t="str">
            <v>USD</v>
          </cell>
          <cell r="D3839" t="str">
            <v>SMB</v>
          </cell>
          <cell r="G3839">
            <v>45293</v>
          </cell>
        </row>
        <row r="3840">
          <cell r="C3840" t="str">
            <v>EUR</v>
          </cell>
          <cell r="D3840" t="str">
            <v>SMB</v>
          </cell>
        </row>
        <row r="3841">
          <cell r="C3841" t="str">
            <v>Kur Sabitleme</v>
          </cell>
          <cell r="D3841" t="str">
            <v>SMB</v>
          </cell>
        </row>
        <row r="3842">
          <cell r="C3842" t="str">
            <v>ANATORIAS DIŞ TİCARET LTD. ŞTİ.</v>
          </cell>
          <cell r="D3842" t="str">
            <v>SMB</v>
          </cell>
          <cell r="E3842" t="str">
            <v>Hündür Bilişim Teknolojileri Yaz. ve Dan.Hiz.Tic.L</v>
          </cell>
          <cell r="F3842" t="str">
            <v>…..</v>
          </cell>
          <cell r="G3842">
            <v>45108</v>
          </cell>
        </row>
        <row r="3843">
          <cell r="C3843" t="str">
            <v>TL</v>
          </cell>
          <cell r="D3843" t="str">
            <v>SMB</v>
          </cell>
        </row>
        <row r="3844">
          <cell r="C3844" t="str">
            <v>USD</v>
          </cell>
          <cell r="D3844" t="str">
            <v>SMB</v>
          </cell>
          <cell r="G3844">
            <v>45108</v>
          </cell>
        </row>
        <row r="3845">
          <cell r="C3845" t="str">
            <v>EUR</v>
          </cell>
          <cell r="D3845" t="str">
            <v>SMB</v>
          </cell>
        </row>
        <row r="3846">
          <cell r="C3846" t="str">
            <v>Kur Sabitleme</v>
          </cell>
          <cell r="D3846" t="str">
            <v>SMB</v>
          </cell>
        </row>
        <row r="3847">
          <cell r="C3847" t="str">
            <v>LEY MODA TEKSTİL TASARIM SANAYİ VE TİC LİMİTED</v>
          </cell>
          <cell r="D3847" t="str">
            <v>SMB</v>
          </cell>
          <cell r="E3847" t="str">
            <v>Hündür Bilişim Teknolojileri Yaz. ve Dan.Hiz.Tic.L</v>
          </cell>
          <cell r="F3847" t="str">
            <v/>
          </cell>
          <cell r="G3847">
            <v>45090</v>
          </cell>
        </row>
        <row r="3848">
          <cell r="C3848" t="str">
            <v>TL</v>
          </cell>
          <cell r="D3848" t="str">
            <v>SMB</v>
          </cell>
        </row>
        <row r="3849">
          <cell r="C3849" t="str">
            <v>USD</v>
          </cell>
          <cell r="D3849" t="str">
            <v>SMB</v>
          </cell>
          <cell r="G3849">
            <v>45090</v>
          </cell>
        </row>
        <row r="3850">
          <cell r="C3850" t="str">
            <v>USD</v>
          </cell>
          <cell r="D3850" t="str">
            <v>SMB</v>
          </cell>
          <cell r="G3850">
            <v>45413</v>
          </cell>
        </row>
        <row r="3851">
          <cell r="C3851" t="str">
            <v>EUR</v>
          </cell>
          <cell r="D3851" t="str">
            <v>SMB</v>
          </cell>
        </row>
        <row r="3852">
          <cell r="C3852" t="str">
            <v>Kur Sabitleme</v>
          </cell>
          <cell r="D3852" t="str">
            <v>SMB</v>
          </cell>
        </row>
        <row r="3853">
          <cell r="C3853" t="str">
            <v>MARKAHUB TEKSTİL</v>
          </cell>
          <cell r="D3853" t="str">
            <v>SMB</v>
          </cell>
          <cell r="E3853" t="str">
            <v>Hündür Bilişim Teknolojileri Yaz. ve Dan.Hiz.Tic.L</v>
          </cell>
          <cell r="F3853" t="str">
            <v>A-MB627</v>
          </cell>
          <cell r="G3853">
            <v>45230</v>
          </cell>
        </row>
        <row r="3854">
          <cell r="C3854" t="str">
            <v>TL</v>
          </cell>
          <cell r="D3854" t="str">
            <v>SMB</v>
          </cell>
        </row>
        <row r="3855">
          <cell r="C3855" t="str">
            <v>USD</v>
          </cell>
          <cell r="D3855" t="str">
            <v>SMB</v>
          </cell>
          <cell r="G3855">
            <v>45230</v>
          </cell>
        </row>
        <row r="3856">
          <cell r="C3856" t="str">
            <v>EUR</v>
          </cell>
          <cell r="D3856" t="str">
            <v>SMB</v>
          </cell>
        </row>
        <row r="3857">
          <cell r="C3857" t="str">
            <v>Kur Sabitleme</v>
          </cell>
          <cell r="D3857" t="str">
            <v>SMB</v>
          </cell>
        </row>
        <row r="3858">
          <cell r="C3858" t="str">
            <v>ZEYMEL İÇ VE DIŞ TİC. A.Ş.</v>
          </cell>
          <cell r="D3858" t="str">
            <v>SMB</v>
          </cell>
          <cell r="E3858" t="str">
            <v>Hündür Bilişim Teknolojileri Yaz. ve Dan.Hiz.Tic.L</v>
          </cell>
          <cell r="F3858" t="str">
            <v>…..</v>
          </cell>
          <cell r="G3858">
            <v>45217</v>
          </cell>
        </row>
        <row r="3859">
          <cell r="C3859" t="str">
            <v>TL</v>
          </cell>
          <cell r="D3859" t="str">
            <v>SMB</v>
          </cell>
        </row>
        <row r="3860">
          <cell r="C3860" t="str">
            <v>USD</v>
          </cell>
          <cell r="D3860" t="str">
            <v>SMB</v>
          </cell>
          <cell r="G3860">
            <v>45217</v>
          </cell>
        </row>
        <row r="3861">
          <cell r="C3861" t="str">
            <v>EUR</v>
          </cell>
          <cell r="D3861" t="str">
            <v>SMB</v>
          </cell>
        </row>
        <row r="3862">
          <cell r="C3862" t="str">
            <v>Kur Sabitleme</v>
          </cell>
          <cell r="D3862" t="str">
            <v>SMB</v>
          </cell>
        </row>
        <row r="3863">
          <cell r="C3863" t="str">
            <v>DÖRTSAN GRUP HİDROLİK OTOMOTİV SAN. VE DIŞ TİC. LT</v>
          </cell>
          <cell r="D3863" t="str">
            <v>SMB</v>
          </cell>
          <cell r="E3863" t="str">
            <v>Hündür Bilişim Teknolojileri Yaz. ve Dan.Hiz.Tic.L</v>
          </cell>
          <cell r="F3863" t="str">
            <v>A-MB627</v>
          </cell>
          <cell r="G3863">
            <v>45657</v>
          </cell>
        </row>
        <row r="3864">
          <cell r="C3864" t="str">
            <v>TL</v>
          </cell>
          <cell r="D3864" t="str">
            <v>SMB</v>
          </cell>
        </row>
        <row r="3865">
          <cell r="C3865" t="str">
            <v>USD</v>
          </cell>
          <cell r="D3865" t="str">
            <v>SMB</v>
          </cell>
          <cell r="G3865">
            <v>45657</v>
          </cell>
        </row>
        <row r="3866">
          <cell r="C3866" t="str">
            <v>EUR</v>
          </cell>
          <cell r="D3866" t="str">
            <v>SMB</v>
          </cell>
        </row>
        <row r="3867">
          <cell r="C3867" t="str">
            <v>Kur Sabitleme</v>
          </cell>
          <cell r="D3867" t="str">
            <v>SMB</v>
          </cell>
        </row>
        <row r="3868">
          <cell r="C3868" t="str">
            <v>HİVA TEKSTİL ÜRÜNLERİ SAN. VE TİC. LTD.ŞTİ</v>
          </cell>
          <cell r="D3868" t="str">
            <v>SMB</v>
          </cell>
          <cell r="E3868" t="str">
            <v>Hündür Bilişim Teknolojileri Yaz. ve Dan.Hiz.Tic.L</v>
          </cell>
          <cell r="F3868" t="str">
            <v>A-MB627</v>
          </cell>
          <cell r="G3868">
            <v>45322</v>
          </cell>
        </row>
        <row r="3869">
          <cell r="C3869" t="str">
            <v>TL</v>
          </cell>
          <cell r="D3869" t="str">
            <v>SMB</v>
          </cell>
        </row>
        <row r="3870">
          <cell r="C3870" t="str">
            <v>USD</v>
          </cell>
          <cell r="D3870" t="str">
            <v>SMB</v>
          </cell>
          <cell r="G3870">
            <v>45322</v>
          </cell>
        </row>
        <row r="3871">
          <cell r="C3871" t="str">
            <v>EUR</v>
          </cell>
          <cell r="D3871" t="str">
            <v>SMB</v>
          </cell>
        </row>
        <row r="3872">
          <cell r="C3872" t="str">
            <v>Kur Sabitleme</v>
          </cell>
          <cell r="D3872" t="str">
            <v>SMB</v>
          </cell>
        </row>
        <row r="3873">
          <cell r="C3873" t="str">
            <v>AVM LOJİSTİK TİCARET ANONİM ŞİRKETİ</v>
          </cell>
          <cell r="D3873" t="str">
            <v>SMB</v>
          </cell>
          <cell r="E3873" t="str">
            <v>NEPROTECH YAZILIM VE BILGI TEKNOLOJILERI</v>
          </cell>
          <cell r="F3873" t="str">
            <v>A-MB650</v>
          </cell>
          <cell r="G3873">
            <v>45194</v>
          </cell>
        </row>
        <row r="3874">
          <cell r="C3874" t="str">
            <v>TL</v>
          </cell>
          <cell r="D3874" t="str">
            <v>SMB</v>
          </cell>
        </row>
        <row r="3875">
          <cell r="C3875" t="str">
            <v>USD</v>
          </cell>
          <cell r="D3875" t="str">
            <v>SMB</v>
          </cell>
          <cell r="G3875">
            <v>45194</v>
          </cell>
        </row>
        <row r="3876">
          <cell r="C3876" t="str">
            <v>USD</v>
          </cell>
          <cell r="D3876" t="str">
            <v>SMB</v>
          </cell>
          <cell r="G3876">
            <v>45636</v>
          </cell>
        </row>
        <row r="3877">
          <cell r="C3877" t="str">
            <v>EUR</v>
          </cell>
          <cell r="D3877" t="str">
            <v>SMB</v>
          </cell>
        </row>
        <row r="3878">
          <cell r="C3878" t="str">
            <v>Kur Sabitleme</v>
          </cell>
          <cell r="D3878" t="str">
            <v>SMB</v>
          </cell>
        </row>
        <row r="3879">
          <cell r="C3879" t="str">
            <v>SL INVEST DANIŞMANLIK ANONİM ŞİRKETİ</v>
          </cell>
          <cell r="D3879" t="str">
            <v>SMB</v>
          </cell>
          <cell r="E3879" t="str">
            <v>NEPROTECH YAZILIM VE BILGI TEKNOLOJILERI</v>
          </cell>
          <cell r="F3879" t="str">
            <v>A-MB650</v>
          </cell>
          <cell r="G3879">
            <v>45194</v>
          </cell>
        </row>
        <row r="3880">
          <cell r="C3880" t="str">
            <v>TL</v>
          </cell>
          <cell r="D3880" t="str">
            <v>SMB</v>
          </cell>
        </row>
        <row r="3881">
          <cell r="C3881" t="str">
            <v>USD</v>
          </cell>
          <cell r="D3881" t="str">
            <v>SMB</v>
          </cell>
          <cell r="G3881">
            <v>45194</v>
          </cell>
        </row>
        <row r="3882">
          <cell r="C3882" t="str">
            <v>EUR</v>
          </cell>
          <cell r="D3882" t="str">
            <v>SMB</v>
          </cell>
        </row>
        <row r="3883">
          <cell r="C3883" t="str">
            <v>Kur Sabitleme</v>
          </cell>
          <cell r="D3883" t="str">
            <v>SMB</v>
          </cell>
        </row>
        <row r="3884">
          <cell r="C3884" t="str">
            <v>ASYAMED TEKNİK TIBBI MALZEMELER - ASLAN BURSALI</v>
          </cell>
          <cell r="D3884" t="str">
            <v>SMB</v>
          </cell>
          <cell r="E3884" t="str">
            <v>NEPROTECH YAZILIM VE BILGI TEKNOLOJILERI</v>
          </cell>
          <cell r="F3884" t="str">
            <v>A-MB650</v>
          </cell>
          <cell r="G3884">
            <v>45565</v>
          </cell>
        </row>
        <row r="3885">
          <cell r="C3885" t="str">
            <v>TL</v>
          </cell>
          <cell r="D3885" t="str">
            <v>SMB</v>
          </cell>
        </row>
        <row r="3886">
          <cell r="C3886" t="str">
            <v>USD</v>
          </cell>
          <cell r="D3886" t="str">
            <v>SMB</v>
          </cell>
          <cell r="G3886">
            <v>45565</v>
          </cell>
        </row>
        <row r="3887">
          <cell r="C3887" t="str">
            <v>EUR</v>
          </cell>
          <cell r="D3887" t="str">
            <v>SMB</v>
          </cell>
        </row>
        <row r="3888">
          <cell r="C3888" t="str">
            <v>Kur Sabitleme</v>
          </cell>
          <cell r="D3888" t="str">
            <v>SMB</v>
          </cell>
        </row>
        <row r="3889">
          <cell r="C3889" t="str">
            <v>Atomy Turkey Kozmetik ve Sağlıklı Ürünler Limited</v>
          </cell>
          <cell r="D3889" t="str">
            <v>SMB</v>
          </cell>
          <cell r="E3889" t="str">
            <v>NEPROTECH YAZILIM VE BILGI TEKNOLOJILERI</v>
          </cell>
          <cell r="F3889" t="str">
            <v>A-MB650</v>
          </cell>
          <cell r="G3889">
            <v>45199</v>
          </cell>
        </row>
        <row r="3890">
          <cell r="C3890" t="str">
            <v>TL</v>
          </cell>
          <cell r="D3890" t="str">
            <v>SMB</v>
          </cell>
        </row>
        <row r="3891">
          <cell r="C3891" t="str">
            <v>USD</v>
          </cell>
          <cell r="D3891" t="str">
            <v>SMB</v>
          </cell>
          <cell r="G3891">
            <v>45199</v>
          </cell>
        </row>
        <row r="3892">
          <cell r="C3892" t="str">
            <v>EUR</v>
          </cell>
          <cell r="D3892" t="str">
            <v>SMB</v>
          </cell>
        </row>
        <row r="3893">
          <cell r="C3893" t="str">
            <v>Kur Sabitleme</v>
          </cell>
          <cell r="D3893" t="str">
            <v>SMB</v>
          </cell>
        </row>
        <row r="3894">
          <cell r="C3894" t="str">
            <v>BY SELMA ÖZKAN / MELİSA COLLECTION</v>
          </cell>
          <cell r="D3894" t="str">
            <v>SMB</v>
          </cell>
          <cell r="E3894" t="str">
            <v>NEPROTECH YAZILIM VE BILGI TEKNOLOJILERI</v>
          </cell>
          <cell r="F3894" t="str">
            <v>A-MB650</v>
          </cell>
          <cell r="G3894">
            <v>45565</v>
          </cell>
        </row>
        <row r="3895">
          <cell r="C3895" t="str">
            <v>TL</v>
          </cell>
          <cell r="D3895" t="str">
            <v>SMB</v>
          </cell>
        </row>
        <row r="3896">
          <cell r="C3896" t="str">
            <v>USD</v>
          </cell>
          <cell r="D3896" t="str">
            <v>SMB</v>
          </cell>
          <cell r="G3896">
            <v>45565</v>
          </cell>
        </row>
        <row r="3897">
          <cell r="C3897" t="str">
            <v>EUR</v>
          </cell>
          <cell r="D3897" t="str">
            <v>SMB</v>
          </cell>
        </row>
        <row r="3898">
          <cell r="C3898" t="str">
            <v>Kur Sabitleme</v>
          </cell>
          <cell r="D3898" t="str">
            <v>SMB</v>
          </cell>
        </row>
        <row r="3899">
          <cell r="C3899" t="str">
            <v>EMTEK SU VE ISI TEKN İNŞ SAN DIŞ TİC LTD ŞTİ</v>
          </cell>
          <cell r="D3899" t="str">
            <v>SMB</v>
          </cell>
          <cell r="E3899" t="str">
            <v>NEPROTECH YAZILIM VE BILGI TEKNOLOJILERI</v>
          </cell>
          <cell r="F3899" t="str">
            <v>A-MB650</v>
          </cell>
          <cell r="G3899">
            <v>45565</v>
          </cell>
        </row>
        <row r="3900">
          <cell r="C3900" t="str">
            <v>TL</v>
          </cell>
          <cell r="D3900" t="str">
            <v>SMB</v>
          </cell>
        </row>
        <row r="3901">
          <cell r="C3901" t="str">
            <v>USD</v>
          </cell>
          <cell r="D3901" t="str">
            <v>SMB</v>
          </cell>
          <cell r="G3901">
            <v>45565</v>
          </cell>
        </row>
        <row r="3902">
          <cell r="C3902" t="str">
            <v>EUR</v>
          </cell>
          <cell r="D3902" t="str">
            <v>SMB</v>
          </cell>
        </row>
        <row r="3903">
          <cell r="C3903" t="str">
            <v>Kur Sabitleme</v>
          </cell>
          <cell r="D3903" t="str">
            <v>SMB</v>
          </cell>
        </row>
        <row r="3904">
          <cell r="C3904" t="str">
            <v>MURAT UYSAL YAPI MALZEMELERİ SANAYİ VE DIŞ TİCARET</v>
          </cell>
          <cell r="D3904" t="str">
            <v>SMB</v>
          </cell>
          <cell r="E3904" t="str">
            <v>NEPROTECH YAZILIM VE BILGI TEKNOLOJILERI</v>
          </cell>
          <cell r="F3904" t="str">
            <v>A-MB650</v>
          </cell>
          <cell r="G3904">
            <v>45565</v>
          </cell>
        </row>
        <row r="3905">
          <cell r="C3905" t="str">
            <v>TL</v>
          </cell>
          <cell r="D3905" t="str">
            <v>SMB</v>
          </cell>
        </row>
        <row r="3906">
          <cell r="C3906" t="str">
            <v>USD</v>
          </cell>
          <cell r="D3906" t="str">
            <v>SMB</v>
          </cell>
          <cell r="G3906">
            <v>45565</v>
          </cell>
        </row>
        <row r="3907">
          <cell r="C3907" t="str">
            <v>EUR</v>
          </cell>
          <cell r="D3907" t="str">
            <v>SMB</v>
          </cell>
        </row>
        <row r="3908">
          <cell r="C3908" t="str">
            <v>Kur Sabitleme</v>
          </cell>
          <cell r="D3908" t="str">
            <v>SMB</v>
          </cell>
        </row>
        <row r="3909">
          <cell r="C3909" t="str">
            <v>NEPROTECH YAZILIM VE BILGI TEKNOLOJILERI</v>
          </cell>
          <cell r="D3909" t="str">
            <v>SMB</v>
          </cell>
          <cell r="E3909" t="str">
            <v>NEPROTECH YAZILIM VE BILGI TEKNOLOJILERI</v>
          </cell>
          <cell r="F3909" t="str">
            <v>A-MB650</v>
          </cell>
          <cell r="G3909">
            <v>45199</v>
          </cell>
        </row>
        <row r="3910">
          <cell r="C3910" t="str">
            <v>TL</v>
          </cell>
          <cell r="D3910" t="str">
            <v>SMB</v>
          </cell>
        </row>
        <row r="3911">
          <cell r="C3911" t="str">
            <v>USD</v>
          </cell>
          <cell r="D3911" t="str">
            <v>SMB</v>
          </cell>
          <cell r="G3911">
            <v>45199</v>
          </cell>
        </row>
        <row r="3912">
          <cell r="C3912" t="str">
            <v>USD</v>
          </cell>
          <cell r="D3912" t="str">
            <v>SMB</v>
          </cell>
          <cell r="G3912">
            <v>45322</v>
          </cell>
        </row>
        <row r="3913">
          <cell r="C3913" t="str">
            <v>USD</v>
          </cell>
          <cell r="D3913" t="str">
            <v>SMB</v>
          </cell>
          <cell r="G3913">
            <v>45716</v>
          </cell>
        </row>
        <row r="3914">
          <cell r="C3914" t="str">
            <v>EUR</v>
          </cell>
          <cell r="D3914" t="str">
            <v>SMB</v>
          </cell>
        </row>
        <row r="3915">
          <cell r="C3915" t="str">
            <v>Kur Sabitleme</v>
          </cell>
          <cell r="D3915" t="str">
            <v>SMB</v>
          </cell>
        </row>
        <row r="3916">
          <cell r="C3916" t="str">
            <v>SADIK GROUP YATIRIM İNŞAAT VE TİCARET LİMİTED ŞİRK</v>
          </cell>
          <cell r="D3916" t="str">
            <v>SMB</v>
          </cell>
          <cell r="E3916" t="str">
            <v>NEPROTECH YAZILIM VE BILGI TEKNOLOJILERI</v>
          </cell>
          <cell r="F3916" t="str">
            <v>A-MB650</v>
          </cell>
          <cell r="G3916">
            <v>45199</v>
          </cell>
        </row>
        <row r="3917">
          <cell r="C3917" t="str">
            <v>TL</v>
          </cell>
          <cell r="D3917" t="str">
            <v>SMB</v>
          </cell>
        </row>
        <row r="3918">
          <cell r="C3918" t="str">
            <v>USD</v>
          </cell>
          <cell r="D3918" t="str">
            <v>SMB</v>
          </cell>
          <cell r="G3918">
            <v>45199</v>
          </cell>
        </row>
        <row r="3919">
          <cell r="C3919" t="str">
            <v>EUR</v>
          </cell>
          <cell r="D3919" t="str">
            <v>SMB</v>
          </cell>
        </row>
        <row r="3920">
          <cell r="C3920" t="str">
            <v>Kur Sabitleme</v>
          </cell>
          <cell r="D3920" t="str">
            <v>SMB</v>
          </cell>
        </row>
        <row r="3921">
          <cell r="C3921" t="str">
            <v>SAREM TURİZM GIDA TİCARET LİMİTED ŞİRKETİ</v>
          </cell>
          <cell r="D3921" t="str">
            <v>SMB</v>
          </cell>
          <cell r="E3921" t="str">
            <v>NEPROTECH YAZILIM VE BILGI TEKNOLOJILERI</v>
          </cell>
          <cell r="F3921" t="str">
            <v>A-MB650</v>
          </cell>
          <cell r="G3921">
            <v>45441</v>
          </cell>
        </row>
        <row r="3922">
          <cell r="C3922" t="str">
            <v>TL</v>
          </cell>
          <cell r="D3922" t="str">
            <v>SMB</v>
          </cell>
        </row>
        <row r="3923">
          <cell r="C3923" t="str">
            <v>USD</v>
          </cell>
          <cell r="D3923" t="str">
            <v>SMB</v>
          </cell>
          <cell r="G3923">
            <v>45565</v>
          </cell>
        </row>
        <row r="3924">
          <cell r="C3924" t="str">
            <v>USD</v>
          </cell>
          <cell r="D3924" t="str">
            <v>SMB</v>
          </cell>
          <cell r="G3924">
            <v>45441</v>
          </cell>
        </row>
        <row r="3925">
          <cell r="C3925" t="str">
            <v>EUR</v>
          </cell>
          <cell r="D3925" t="str">
            <v>SMB</v>
          </cell>
        </row>
        <row r="3926">
          <cell r="C3926" t="str">
            <v>Kur Sabitleme</v>
          </cell>
          <cell r="D3926" t="str">
            <v>SMB</v>
          </cell>
        </row>
        <row r="3927">
          <cell r="C3927" t="str">
            <v>TARGET MUTFAK SİSTEM ÇÖZÜMLERİ A.Ş</v>
          </cell>
          <cell r="D3927" t="str">
            <v>SMB</v>
          </cell>
          <cell r="E3927" t="str">
            <v>NEPROTECH YAZILIM VE BILGI TEKNOLOJILERI</v>
          </cell>
          <cell r="F3927" t="str">
            <v>A-MB650</v>
          </cell>
          <cell r="G3927">
            <v>45565</v>
          </cell>
        </row>
        <row r="3928">
          <cell r="C3928" t="str">
            <v>TL</v>
          </cell>
          <cell r="D3928" t="str">
            <v>SMB</v>
          </cell>
        </row>
        <row r="3929">
          <cell r="C3929" t="str">
            <v>USD</v>
          </cell>
          <cell r="D3929" t="str">
            <v>SMB</v>
          </cell>
          <cell r="G3929">
            <v>45565</v>
          </cell>
        </row>
        <row r="3930">
          <cell r="C3930" t="str">
            <v>EUR</v>
          </cell>
          <cell r="D3930" t="str">
            <v>SMB</v>
          </cell>
        </row>
        <row r="3931">
          <cell r="C3931" t="str">
            <v>Kur Sabitleme</v>
          </cell>
          <cell r="D3931" t="str">
            <v>SMB</v>
          </cell>
        </row>
        <row r="3932">
          <cell r="C3932" t="str">
            <v>EZA İNTERNET HİZMETLERİ PAZARLAMA TİC. A.Ş</v>
          </cell>
          <cell r="D3932" t="str">
            <v>SMB</v>
          </cell>
          <cell r="E3932" t="str">
            <v>NEPROTECH YAZILIM VE BILGI TEKNOLOJILERI</v>
          </cell>
          <cell r="F3932" t="str">
            <v>A-MB650</v>
          </cell>
          <cell r="G3932">
            <v>45597</v>
          </cell>
        </row>
        <row r="3933">
          <cell r="C3933" t="str">
            <v>TL</v>
          </cell>
          <cell r="D3933" t="str">
            <v>SMB</v>
          </cell>
        </row>
        <row r="3934">
          <cell r="C3934" t="str">
            <v>USD</v>
          </cell>
          <cell r="D3934" t="str">
            <v>SMB</v>
          </cell>
          <cell r="G3934">
            <v>45597</v>
          </cell>
        </row>
        <row r="3935">
          <cell r="C3935" t="str">
            <v>EUR</v>
          </cell>
          <cell r="D3935" t="str">
            <v>SMB</v>
          </cell>
        </row>
        <row r="3936">
          <cell r="C3936" t="str">
            <v>Kur Sabitleme</v>
          </cell>
          <cell r="D3936" t="str">
            <v>SMB</v>
          </cell>
        </row>
        <row r="3937">
          <cell r="C3937" t="str">
            <v>MY FLOWERS TARIM SANAYİ TİC.LTD.ŞTİ</v>
          </cell>
          <cell r="D3937" t="str">
            <v>SMB</v>
          </cell>
          <cell r="E3937" t="str">
            <v>NEPROTECH YAZILIM VE BILGI TEKNOLOJILERI</v>
          </cell>
          <cell r="F3937" t="str">
            <v>A-MB650</v>
          </cell>
          <cell r="G3937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Churns"/>
      <sheetName val="2024 Churns"/>
      <sheetName val="Sheet1"/>
    </sheetNames>
    <sheetDataSet>
      <sheetData sheetId="0"/>
      <sheetData sheetId="1"/>
      <sheetData sheetId="2">
        <row r="1">
          <cell r="A1" t="str">
            <v>ESTIMA ARASTIRMA DANISMANLIK VE TIC.A.S</v>
          </cell>
          <cell r="B1" t="str">
            <v>SMB</v>
          </cell>
          <cell r="C1" t="str">
            <v>Jan.25</v>
          </cell>
        </row>
        <row r="2">
          <cell r="A2" t="str">
            <v>OKAN KONFEKSIYON SAN. VE TIC. LTD.STI. (KİKİRİKİ)</v>
          </cell>
          <cell r="B2" t="str">
            <v>SMB</v>
          </cell>
          <cell r="C2" t="str">
            <v>Jan.25</v>
          </cell>
        </row>
        <row r="3">
          <cell r="A3" t="str">
            <v xml:space="preserve">İNGENO DAN. ÇEVİRİ VE TIBBİ ARAŞ. ORG. TİC. İTH. </v>
          </cell>
          <cell r="B3" t="str">
            <v>SMB</v>
          </cell>
          <cell r="C3" t="str">
            <v>Jan.25</v>
          </cell>
        </row>
        <row r="4">
          <cell r="A4" t="str">
            <v>Royal Duchess Marine Denizcilik A.Ş.</v>
          </cell>
          <cell r="B4" t="str">
            <v>SMB</v>
          </cell>
          <cell r="C4" t="str">
            <v>Jan.25</v>
          </cell>
        </row>
        <row r="5">
          <cell r="A5" t="str">
            <v>LEY MODA TEKSTİL TASARIM SANAYİ VE TİC LİMİTED</v>
          </cell>
          <cell r="B5" t="str">
            <v>SMB</v>
          </cell>
          <cell r="C5" t="str">
            <v>Jan.25</v>
          </cell>
        </row>
        <row r="6">
          <cell r="A6" t="str">
            <v>HİVA TEKSTİL ÜRÜNLERİ SAN. VE TİC. LTD.ŞTİ</v>
          </cell>
          <cell r="B6" t="str">
            <v>SMB</v>
          </cell>
          <cell r="C6" t="str">
            <v>Jan.25</v>
          </cell>
        </row>
        <row r="7">
          <cell r="A7" t="str">
            <v>DİNAMİK TOPTAN GIDA PAZARLAMA SAN.TİC.LTD.ŞTİ</v>
          </cell>
          <cell r="B7" t="str">
            <v>SMB</v>
          </cell>
          <cell r="C7" t="str">
            <v>Jan.25</v>
          </cell>
        </row>
        <row r="8">
          <cell r="A8" t="str">
            <v>DICLE ÜNIVERSITESI</v>
          </cell>
          <cell r="B8" t="str">
            <v>SMB</v>
          </cell>
          <cell r="C8" t="str">
            <v>Feb.25</v>
          </cell>
        </row>
        <row r="9">
          <cell r="A9" t="str">
            <v>AXOFT BILISIM LIMITED SIRKETI</v>
          </cell>
          <cell r="B9" t="str">
            <v>SMB</v>
          </cell>
          <cell r="C9" t="str">
            <v>Feb.25</v>
          </cell>
        </row>
        <row r="10">
          <cell r="A10" t="str">
            <v>Kentglobal Park Dış Tic AŞ</v>
          </cell>
          <cell r="B10" t="str">
            <v>SMB</v>
          </cell>
          <cell r="C10" t="str">
            <v>Feb.25</v>
          </cell>
        </row>
        <row r="11">
          <cell r="A11" t="str">
            <v>ROSTHİL SU ARITIM TEKNOLOJİLERİ</v>
          </cell>
          <cell r="B11" t="str">
            <v>SMB</v>
          </cell>
          <cell r="C11" t="str">
            <v>Feb.25</v>
          </cell>
        </row>
        <row r="12">
          <cell r="A12" t="str">
            <v>TS Verim Danışmanlık ve Turizm Ltd Şti.</v>
          </cell>
          <cell r="B12" t="str">
            <v>SMB</v>
          </cell>
          <cell r="C12" t="str">
            <v>Feb.25</v>
          </cell>
        </row>
        <row r="13">
          <cell r="A13" t="str">
            <v>PENINSULA CORPORATE FINANCE DANIŞMANLIK A.Ş</v>
          </cell>
          <cell r="B13" t="str">
            <v>SMB</v>
          </cell>
          <cell r="C13" t="str">
            <v>Feb.25</v>
          </cell>
        </row>
        <row r="14">
          <cell r="A14" t="str">
            <v>PRİNCEPS LEGEM KURUMSAL DANIŞMANLIK LTD.ŞTİ</v>
          </cell>
          <cell r="B14" t="str">
            <v>SMB</v>
          </cell>
          <cell r="C14" t="str">
            <v>Feb.25</v>
          </cell>
        </row>
        <row r="15">
          <cell r="A15" t="str">
            <v>Welldermo Sağlık Güzellik ve Spor Ürünleri San. Ti</v>
          </cell>
          <cell r="B15" t="str">
            <v>SMB</v>
          </cell>
          <cell r="C15" t="str">
            <v>Feb.25</v>
          </cell>
        </row>
        <row r="16">
          <cell r="A16" t="str">
            <v>BS GÜMRÜK</v>
          </cell>
          <cell r="B16" t="str">
            <v>SMB</v>
          </cell>
          <cell r="C16" t="str">
            <v>Feb.25</v>
          </cell>
        </row>
        <row r="17">
          <cell r="A17" t="str">
            <v>ANTIK DANTEL SAN.TIC.A.S.</v>
          </cell>
          <cell r="B17" t="str">
            <v>SMB</v>
          </cell>
          <cell r="C17" t="str">
            <v>Mar.25</v>
          </cell>
        </row>
        <row r="18">
          <cell r="A18" t="str">
            <v>ESM DANIŞMANLIK HİZMETLERİ AŞ.</v>
          </cell>
          <cell r="B18" t="str">
            <v>SMB</v>
          </cell>
          <cell r="C18" t="str">
            <v>Mar.25</v>
          </cell>
        </row>
        <row r="19">
          <cell r="A19" t="str">
            <v>KARACA ZÜCCACIYE TICARET SANAYI A.S.</v>
          </cell>
          <cell r="B19" t="str">
            <v>Enterprise</v>
          </cell>
          <cell r="C19" t="str">
            <v>Mar.25</v>
          </cell>
        </row>
        <row r="20">
          <cell r="A20" t="str">
            <v>ZONGULDAK KÖMÜR İŞLETMELERİ ANONİM ŞİRKETİ</v>
          </cell>
          <cell r="B20" t="str">
            <v>SMB</v>
          </cell>
          <cell r="C20" t="str">
            <v>Mar.25</v>
          </cell>
        </row>
        <row r="21">
          <cell r="A21" t="str">
            <v>HEXAROB OTOMASYON VE MÜHENDISLIK LTD. ŞTI.</v>
          </cell>
          <cell r="B21" t="str">
            <v>SMB</v>
          </cell>
          <cell r="C21" t="str">
            <v>Mar.25</v>
          </cell>
        </row>
        <row r="22">
          <cell r="A22" t="str">
            <v>SUNTEL BANYO MUTFAK AKSESUARLARI SAN. TİC. LTD.ŞTİ</v>
          </cell>
          <cell r="B22" t="str">
            <v>SMB</v>
          </cell>
          <cell r="C22" t="str">
            <v>Mar.25</v>
          </cell>
        </row>
        <row r="23">
          <cell r="A23" t="str">
            <v>VELOSİ ELEKTRONİK TİC.LTD.ŞTİ</v>
          </cell>
          <cell r="B23" t="str">
            <v>SMB</v>
          </cell>
          <cell r="C23" t="str">
            <v>Mar.25</v>
          </cell>
        </row>
        <row r="24">
          <cell r="A24" t="str">
            <v>ICBC</v>
          </cell>
          <cell r="B24" t="str">
            <v>Enterprise</v>
          </cell>
          <cell r="C24" t="str">
            <v>Mar.25</v>
          </cell>
        </row>
        <row r="25">
          <cell r="A25" t="str">
            <v>DENİZLİ RATEKS TEKSTİL SANAYİ VE TİCARET A.Ş.</v>
          </cell>
          <cell r="B25" t="str">
            <v>SMB</v>
          </cell>
          <cell r="C25" t="str">
            <v>Mar.25</v>
          </cell>
        </row>
        <row r="26">
          <cell r="A26" t="str">
            <v>BOYNER HOLDING</v>
          </cell>
          <cell r="B26" t="str">
            <v>Enterprise</v>
          </cell>
          <cell r="C26" t="str">
            <v>Mar.25</v>
          </cell>
        </row>
        <row r="27">
          <cell r="A27" t="str">
            <v>YILDIZ BRONZ SAN VE TIC LTD. STI.</v>
          </cell>
          <cell r="B27" t="str">
            <v>SMB</v>
          </cell>
          <cell r="C27" t="str">
            <v>Mar.25</v>
          </cell>
        </row>
        <row r="28">
          <cell r="A28" t="str">
            <v>ATAKO TASIMACILIK DENIZCILIK A.S.</v>
          </cell>
          <cell r="B28" t="str">
            <v>SMB</v>
          </cell>
          <cell r="C28" t="str">
            <v>Apr.25</v>
          </cell>
        </row>
        <row r="29">
          <cell r="A29" t="str">
            <v>CHRONOS ISTIHDAM HIZMETLERI LTD.STI</v>
          </cell>
          <cell r="B29" t="str">
            <v>SMB</v>
          </cell>
          <cell r="C29" t="str">
            <v>Apr.25</v>
          </cell>
        </row>
        <row r="30">
          <cell r="A30" t="str">
            <v>HDI SIGORTA A.S.</v>
          </cell>
          <cell r="B30" t="str">
            <v>Enterprise</v>
          </cell>
          <cell r="C30" t="str">
            <v>Apr.25</v>
          </cell>
        </row>
        <row r="31">
          <cell r="A31" t="str">
            <v>MAPPLİCO BİLGİ TEKNOLOJİLERİ ANONİM ŞİRKET</v>
          </cell>
          <cell r="B31" t="str">
            <v>SMB</v>
          </cell>
          <cell r="C31" t="str">
            <v>Apr.25</v>
          </cell>
        </row>
        <row r="32">
          <cell r="A32" t="str">
            <v>GEMSAN GEMİ VE GEMİ İŞLETMECİLİĞİ SANAYİ VE TİCARE</v>
          </cell>
          <cell r="B32" t="str">
            <v>SMB</v>
          </cell>
          <cell r="C32" t="str">
            <v>Apr.25</v>
          </cell>
        </row>
        <row r="33">
          <cell r="A33" t="str">
            <v>İGM GÜMRÜK MÜŞAVİRLİĞİ</v>
          </cell>
          <cell r="B33" t="str">
            <v>SMB</v>
          </cell>
          <cell r="C33" t="str">
            <v>Apr.25</v>
          </cell>
        </row>
        <row r="34">
          <cell r="A34" t="str">
            <v>ASYAMED TEKNİK TIBBI MALZEMELER - ASLAN BURSALI</v>
          </cell>
          <cell r="B34" t="str">
            <v>SMB</v>
          </cell>
          <cell r="C34" t="str">
            <v>Apr.25</v>
          </cell>
        </row>
        <row r="35">
          <cell r="A35" t="str">
            <v>BY SELMA ÖZKAN / MELİSA COLLECTION</v>
          </cell>
          <cell r="B35" t="str">
            <v>SMB</v>
          </cell>
          <cell r="C35" t="str">
            <v>Apr.25</v>
          </cell>
        </row>
        <row r="36">
          <cell r="A36" t="str">
            <v>EMTEK SU VE ISI TEKN İNŞ SAN DIŞ TİC LTD ŞTİ</v>
          </cell>
          <cell r="B36" t="str">
            <v>SMB</v>
          </cell>
          <cell r="C36" t="str">
            <v>Apr.25</v>
          </cell>
        </row>
        <row r="37">
          <cell r="A37" t="str">
            <v>MURAT UYSAL YAPI MALZEMELERİ SANAYİ VE DIŞ TİCARET</v>
          </cell>
          <cell r="B37" t="str">
            <v>SMB</v>
          </cell>
          <cell r="C37" t="str">
            <v>Apr.25</v>
          </cell>
        </row>
        <row r="38">
          <cell r="A38" t="str">
            <v>SAREM TURİZM GIDA TİCARET LİMİTED ŞİRKETİ</v>
          </cell>
          <cell r="B38" t="str">
            <v>SMB</v>
          </cell>
          <cell r="C38" t="str">
            <v>Apr.25</v>
          </cell>
        </row>
        <row r="39">
          <cell r="A39" t="str">
            <v>TARGET MUTFAK SİSTEM ÇÖZÜMLERİ A.Ş</v>
          </cell>
          <cell r="B39" t="str">
            <v>SMB</v>
          </cell>
          <cell r="C39" t="str">
            <v>Apr.25</v>
          </cell>
        </row>
        <row r="40">
          <cell r="A40" t="str">
            <v>EZA İNTERNET HİZMETLERİ PAZARLAMA TİC. A.Ş</v>
          </cell>
          <cell r="B40" t="str">
            <v>SMB</v>
          </cell>
          <cell r="C40" t="str">
            <v>Apr.25</v>
          </cell>
        </row>
        <row r="41">
          <cell r="A41" t="str">
            <v>İKİ MİMARİ PROJE VE DANIŞMANLIK A.Ş.</v>
          </cell>
          <cell r="B41" t="str">
            <v>SMB</v>
          </cell>
          <cell r="C41" t="str">
            <v>May.25</v>
          </cell>
        </row>
        <row r="42">
          <cell r="A42" t="str">
            <v>IRMAK SAYA TRİKO SAN. VE TİC.LTD.ŞTİ.</v>
          </cell>
          <cell r="B42" t="str">
            <v>SMB</v>
          </cell>
          <cell r="C42" t="str">
            <v>May.25</v>
          </cell>
        </row>
        <row r="43">
          <cell r="A43" t="str">
            <v>ASN FORKLİFT İŞ MAKİNALARI SAN.VE TİC.LTD.ŞTİ</v>
          </cell>
          <cell r="B43" t="str">
            <v>SMB</v>
          </cell>
          <cell r="C43" t="str">
            <v>May.25</v>
          </cell>
        </row>
        <row r="44">
          <cell r="A44" t="str">
            <v>PETROLİGHT KİMYA SANAYİ VE DIŞ TİC.LTD.ŞTİ</v>
          </cell>
          <cell r="B44" t="str">
            <v>SMB</v>
          </cell>
          <cell r="C44" t="str">
            <v>May.25</v>
          </cell>
        </row>
        <row r="45">
          <cell r="A45" t="str">
            <v>ENVAWİSE LOJİSTİK ANONİM ŞİRKETİ</v>
          </cell>
          <cell r="B45" t="str">
            <v>SMB</v>
          </cell>
          <cell r="C45" t="str">
            <v>May.25</v>
          </cell>
        </row>
        <row r="46">
          <cell r="A46" t="str">
            <v>4D ENDÜSTRİYEL ÇÖZÜMLER SANAYİ VE TİCARET LİMİTED</v>
          </cell>
          <cell r="B46" t="str">
            <v>SMB</v>
          </cell>
          <cell r="C46" t="str">
            <v>May.25</v>
          </cell>
        </row>
        <row r="47">
          <cell r="A47" t="str">
            <v>DBB MÜHENDİSLİK ELEKTRİK TAAHHÜT İNŞAAT TİCARET LT</v>
          </cell>
          <cell r="B47" t="str">
            <v>SMB</v>
          </cell>
          <cell r="C47" t="str">
            <v>May.25</v>
          </cell>
        </row>
        <row r="48">
          <cell r="A48" t="str">
            <v>KOREL ELEKTRİK VE GEMİ MALZEMELERİ SAN.TİC.LTD.ŞTİ</v>
          </cell>
          <cell r="B48" t="str">
            <v>SMB</v>
          </cell>
          <cell r="C48" t="str">
            <v>May.25</v>
          </cell>
        </row>
        <row r="49">
          <cell r="A49" t="str">
            <v>BIRCOM TELEKOMÜNIKASYON VE BILISIM HIZ.SAN.TIC.A.S</v>
          </cell>
          <cell r="B49" t="str">
            <v>SMB</v>
          </cell>
          <cell r="C49" t="str">
            <v>Jun.25</v>
          </cell>
        </row>
        <row r="50">
          <cell r="A50" t="str">
            <v>DATASAFE ARSIVLEME HIZMETLERI A.S</v>
          </cell>
          <cell r="B50" t="str">
            <v>SMB</v>
          </cell>
          <cell r="C50" t="str">
            <v>Jun.25</v>
          </cell>
        </row>
        <row r="51">
          <cell r="A51" t="str">
            <v>Mia Istanbul Gayrimenkul</v>
          </cell>
          <cell r="B51" t="str">
            <v>SMB</v>
          </cell>
          <cell r="C51" t="str">
            <v>Jun.25</v>
          </cell>
        </row>
        <row r="52">
          <cell r="A52" t="str">
            <v>ROTAP TEKNOLOJİ YAZILIM</v>
          </cell>
          <cell r="B52" t="str">
            <v>SMB</v>
          </cell>
          <cell r="C52" t="str">
            <v>Jun.25</v>
          </cell>
        </row>
        <row r="53">
          <cell r="A53" t="str">
            <v>FYTECH</v>
          </cell>
          <cell r="B53" t="str">
            <v>SMB</v>
          </cell>
          <cell r="C53" t="str">
            <v>Jun.25</v>
          </cell>
        </row>
        <row r="54">
          <cell r="A54" t="str">
            <v>MOBILTRUST</v>
          </cell>
          <cell r="B54" t="str">
            <v>Enterprise</v>
          </cell>
          <cell r="C54" t="str">
            <v>Jun.25</v>
          </cell>
        </row>
        <row r="55">
          <cell r="A55" t="str">
            <v>OTO NAMUK TRAKTÖR YEDEK PARÇA VE TARIM MAK.SAN.TİC</v>
          </cell>
          <cell r="B55" t="str">
            <v>SMB</v>
          </cell>
          <cell r="C55" t="str">
            <v>Jun.25</v>
          </cell>
        </row>
        <row r="56">
          <cell r="A56" t="str">
            <v>PRİME PORTFÖY YÖNETİMİ ANONİM ŞİRKETİ</v>
          </cell>
          <cell r="B56" t="str">
            <v>SMB</v>
          </cell>
          <cell r="C56" t="str">
            <v>Jun.25</v>
          </cell>
        </row>
        <row r="57">
          <cell r="A57" t="str">
            <v>ANDRİALİ CONTRACT TEKSTİL SAN.TİC.LTD.ŞTİ</v>
          </cell>
          <cell r="B57" t="str">
            <v>SMB</v>
          </cell>
          <cell r="C57" t="str">
            <v>Jun.25</v>
          </cell>
        </row>
        <row r="58">
          <cell r="A58" t="str">
            <v>Rateks Baski Boya Sanayi ve Ticaret Anonim Şirketi</v>
          </cell>
          <cell r="B58" t="str">
            <v>SMB</v>
          </cell>
          <cell r="C58" t="str">
            <v>Jun.25</v>
          </cell>
        </row>
        <row r="59">
          <cell r="A59" t="str">
            <v>BRİİSK LİMİTED</v>
          </cell>
          <cell r="B59" t="str">
            <v>SMB</v>
          </cell>
          <cell r="C59" t="str">
            <v>Jun.25</v>
          </cell>
        </row>
        <row r="60">
          <cell r="A60" t="str">
            <v>BOYTORUN MIMARLIK LTD.STI.</v>
          </cell>
          <cell r="B60" t="str">
            <v>SMB</v>
          </cell>
          <cell r="C60" t="str">
            <v>Jun.25</v>
          </cell>
        </row>
        <row r="61">
          <cell r="A61" t="str">
            <v>2 DESIGN MIMARLIK INS. SAN. VE TIC. A.S.</v>
          </cell>
          <cell r="B61" t="str">
            <v>SMB</v>
          </cell>
          <cell r="C61" t="str">
            <v>Jul.25</v>
          </cell>
        </row>
        <row r="62">
          <cell r="A62" t="str">
            <v>İLERİ MEKANİK MAKINA KALIP IML.SAN. VETIC. A.S.</v>
          </cell>
          <cell r="B62" t="str">
            <v>SMB</v>
          </cell>
          <cell r="C62" t="str">
            <v>Jul.25</v>
          </cell>
        </row>
        <row r="63">
          <cell r="A63" t="str">
            <v>MEDIALYZER MEDYA TEKNOLOJİLERİ ANONİM ŞİRKETİ</v>
          </cell>
          <cell r="B63" t="str">
            <v>SMB</v>
          </cell>
          <cell r="C63" t="str">
            <v>Jul.25</v>
          </cell>
        </row>
        <row r="64">
          <cell r="A64" t="str">
            <v>PEDAŞ LED AYDINLATMA TEKNOLOJİLERİ A.Ş.</v>
          </cell>
          <cell r="B64" t="str">
            <v>SMB</v>
          </cell>
          <cell r="C64" t="str">
            <v>Jul.25</v>
          </cell>
        </row>
        <row r="65">
          <cell r="A65" t="str">
            <v>İDİLSU TEKS.TUR.İNŞ.TAAH.İTH.İHR.VETİC.LTD.ŞTİ</v>
          </cell>
          <cell r="B65" t="str">
            <v>SMB</v>
          </cell>
          <cell r="C65" t="str">
            <v>Jul.25</v>
          </cell>
        </row>
        <row r="66">
          <cell r="A66" t="str">
            <v>MY FLOWERS TARIM SANAYİ TİC.LTD.ŞTİ</v>
          </cell>
          <cell r="B66" t="str">
            <v>SMB</v>
          </cell>
          <cell r="C66" t="str">
            <v>Jul.25</v>
          </cell>
        </row>
        <row r="67">
          <cell r="A67" t="str">
            <v>LKG MÜHENDISLIK VE ARGE HIZMETLERI LTD. ŞTI.</v>
          </cell>
          <cell r="B67" t="str">
            <v>SMB</v>
          </cell>
          <cell r="C67" t="str">
            <v>Jul.25</v>
          </cell>
        </row>
        <row r="68">
          <cell r="A68" t="str">
            <v>SİMETO GÜMRÜK MÜŞAVİRLİĞİ VE LOJİSTİK</v>
          </cell>
          <cell r="B68" t="str">
            <v>SMB</v>
          </cell>
          <cell r="C68" t="str">
            <v>Jul.25</v>
          </cell>
        </row>
        <row r="69">
          <cell r="A69" t="str">
            <v>ES DIL HIZ. VE DAN.TIC.A.S.</v>
          </cell>
          <cell r="B69" t="str">
            <v>SMB</v>
          </cell>
          <cell r="C69" t="str">
            <v>Aug.25</v>
          </cell>
        </row>
        <row r="70">
          <cell r="A70" t="str">
            <v>HIT REKLAM TAN. ORG.YAT.EMLAK GIDA TEKS.YAZ.DAN.IT</v>
          </cell>
          <cell r="B70" t="str">
            <v>SMB</v>
          </cell>
          <cell r="C70" t="str">
            <v>Aug.25</v>
          </cell>
        </row>
        <row r="71">
          <cell r="A71" t="str">
            <v>KONTAK ARTI İLETİŞİM HİZMETLERİ LTD.ŞTİ</v>
          </cell>
          <cell r="B71" t="str">
            <v>SMB</v>
          </cell>
          <cell r="C71" t="str">
            <v>Aug.25</v>
          </cell>
        </row>
        <row r="72">
          <cell r="A72" t="str">
            <v>ONURFİX MONTAJ SİSTEMLERİ SAN. TİC. A.Ş.</v>
          </cell>
          <cell r="B72" t="str">
            <v>SMB</v>
          </cell>
          <cell r="C72" t="str">
            <v>Aug.25</v>
          </cell>
        </row>
        <row r="73">
          <cell r="A73" t="str">
            <v>CABİR HOLDİNG - MİLK ACADEMY</v>
          </cell>
          <cell r="B73" t="str">
            <v>SMB</v>
          </cell>
          <cell r="C73" t="str">
            <v>Aug.25</v>
          </cell>
        </row>
        <row r="74">
          <cell r="A74" t="str">
            <v>DEMİRSOY PASLANMAZ ÇELİK DÖKÜM SAN.VE TİC.LTD.ŞTİ</v>
          </cell>
          <cell r="B74" t="str">
            <v>SMB</v>
          </cell>
          <cell r="C74" t="str">
            <v>Aug.25</v>
          </cell>
        </row>
        <row r="75">
          <cell r="A75" t="str">
            <v>AKSAN KOZMETIK SAN. VE TIC. A.S.</v>
          </cell>
          <cell r="B75" t="str">
            <v>SMB</v>
          </cell>
          <cell r="C75" t="str">
            <v>Aug.25</v>
          </cell>
        </row>
        <row r="76">
          <cell r="A76" t="str">
            <v>KARDEŞ ELEKTRIK SAN. VE TIC. AS.</v>
          </cell>
          <cell r="B76" t="str">
            <v>SMB</v>
          </cell>
          <cell r="C76" t="str">
            <v>Aug.25</v>
          </cell>
        </row>
        <row r="77">
          <cell r="A77" t="str">
            <v>PROFESYONEL PERAKENDE ÇÖZÜMLERİ SN.TC.A.Ş (PROPERA</v>
          </cell>
          <cell r="B77" t="str">
            <v>SMB</v>
          </cell>
          <cell r="C77" t="str">
            <v>Aug.25</v>
          </cell>
        </row>
        <row r="78">
          <cell r="A78" t="str">
            <v>CCL LABEL TURKEY AMBALAJ SAN. VE TIC. A.S</v>
          </cell>
          <cell r="B78" t="str">
            <v>SMB</v>
          </cell>
          <cell r="C78" t="str">
            <v>Aug.25</v>
          </cell>
        </row>
        <row r="79">
          <cell r="A79" t="str">
            <v>AVEON GLOBAL SİGORTA ANONİM ŞİRKETİ</v>
          </cell>
          <cell r="B79" t="str">
            <v>Enterprise</v>
          </cell>
          <cell r="C79" t="str">
            <v>Aug.25</v>
          </cell>
        </row>
        <row r="80">
          <cell r="A80" t="str">
            <v>FİNE OTEL TURİZM İŞLT. A.Ş</v>
          </cell>
          <cell r="B80" t="str">
            <v>Enterprise</v>
          </cell>
          <cell r="C80" t="str">
            <v>Sep.25</v>
          </cell>
        </row>
        <row r="81">
          <cell r="A81" t="str">
            <v>USTA ELLER BAKLAVA</v>
          </cell>
          <cell r="B81" t="str">
            <v>SMB</v>
          </cell>
          <cell r="C81" t="str">
            <v>Sep.25</v>
          </cell>
        </row>
        <row r="82">
          <cell r="A82" t="str">
            <v>Vigo Teknoloji ve Lojistik A.Ş.</v>
          </cell>
          <cell r="B82" t="str">
            <v>Enterprise</v>
          </cell>
          <cell r="C82" t="str">
            <v>Sep.25</v>
          </cell>
        </row>
        <row r="83">
          <cell r="A83" t="str">
            <v>MAYEN TELEKOMİNİKASYON HİZMETLERİ A.Ş.</v>
          </cell>
          <cell r="B83" t="str">
            <v>SMB</v>
          </cell>
          <cell r="C83" t="str">
            <v>Sep.25</v>
          </cell>
        </row>
        <row r="84">
          <cell r="A84" t="str">
            <v>AVM LOJİSTİK TİCARET ANONİM ŞİRKETİ</v>
          </cell>
          <cell r="B84" t="str">
            <v>SMB</v>
          </cell>
          <cell r="C84" t="str">
            <v>Sep.25</v>
          </cell>
        </row>
        <row r="85">
          <cell r="A85" t="str">
            <v>TAKSIM OTELCILIK A.S.</v>
          </cell>
          <cell r="B85" t="str">
            <v>SMB</v>
          </cell>
          <cell r="C85" t="str">
            <v>Oct.25</v>
          </cell>
        </row>
        <row r="86">
          <cell r="A86" t="str">
            <v>MEDICANA HASTANE İŞLETMECILIĞI A.Ş.</v>
          </cell>
          <cell r="B86" t="str">
            <v>Enterprise</v>
          </cell>
          <cell r="C86" t="str">
            <v>Oct.25</v>
          </cell>
        </row>
        <row r="87">
          <cell r="A87" t="str">
            <v>KALE JET MOTORLARI</v>
          </cell>
          <cell r="B87" t="str">
            <v>Enterprise</v>
          </cell>
          <cell r="C87" t="str">
            <v>Oct.25</v>
          </cell>
        </row>
        <row r="88">
          <cell r="A88" t="str">
            <v>KALE HAVACILIK SANAYİ A.Ş.</v>
          </cell>
          <cell r="B88" t="str">
            <v>Enterprise</v>
          </cell>
          <cell r="C88" t="str">
            <v>Oct.25</v>
          </cell>
        </row>
        <row r="89">
          <cell r="A89" t="str">
            <v>SİSKON OTOMASYON YAZILIM A.Ş.</v>
          </cell>
          <cell r="B89" t="str">
            <v>Enterprise</v>
          </cell>
          <cell r="C89" t="str">
            <v>Oct.25</v>
          </cell>
        </row>
        <row r="90">
          <cell r="A90" t="str">
            <v>CİTİX İST BİLİŞİM REKLAMCILIK TİCARET A.Ş</v>
          </cell>
          <cell r="B90" t="str">
            <v>SMB</v>
          </cell>
          <cell r="C90" t="str">
            <v>Oct.25</v>
          </cell>
        </row>
        <row r="91">
          <cell r="A91" t="str">
            <v>KALE HOLDING A.S.</v>
          </cell>
          <cell r="B91" t="str">
            <v>Enterprise</v>
          </cell>
          <cell r="C91" t="str">
            <v>Apr.24</v>
          </cell>
        </row>
        <row r="92">
          <cell r="A92" t="str">
            <v>ŞEKER SIGORTA A.S.</v>
          </cell>
          <cell r="B92" t="str">
            <v>SMB</v>
          </cell>
          <cell r="C92" t="str">
            <v>Mar.24</v>
          </cell>
        </row>
        <row r="93">
          <cell r="A93" t="str">
            <v>SANGO OTOMOTIV ÜRÜNLERI SANAYI VE TICARET A.S</v>
          </cell>
          <cell r="B93" t="str">
            <v>SMB</v>
          </cell>
          <cell r="C93" t="str">
            <v>Aug.24</v>
          </cell>
        </row>
        <row r="94">
          <cell r="A94" t="str">
            <v>ABALIOĞLU YAĞ</v>
          </cell>
          <cell r="B94" t="str">
            <v>SMB</v>
          </cell>
          <cell r="C94" t="str">
            <v>Jul.24</v>
          </cell>
        </row>
        <row r="95">
          <cell r="A95" t="str">
            <v>COCA-COLA İÇECEK A.Ş.</v>
          </cell>
          <cell r="B95" t="str">
            <v>Enterprise</v>
          </cell>
          <cell r="C95" t="str">
            <v>Feb.24</v>
          </cell>
        </row>
        <row r="96">
          <cell r="A96" t="str">
            <v>NOBEL BIOCARE</v>
          </cell>
          <cell r="B96" t="str">
            <v>SMB</v>
          </cell>
          <cell r="C96" t="str">
            <v>Mar.24</v>
          </cell>
        </row>
        <row r="97">
          <cell r="A97" t="str">
            <v>Dizayn Teknik Boru ve Elemanları San. ve Tic A.Ş.</v>
          </cell>
          <cell r="B97" t="str">
            <v>SMB</v>
          </cell>
          <cell r="C97" t="str">
            <v>Jul.24</v>
          </cell>
        </row>
        <row r="98">
          <cell r="A98" t="str">
            <v xml:space="preserve">NEXTSOFTEK BILGI TEKNOLOJILERI YAZILIM A.S- EKSİT </v>
          </cell>
          <cell r="B98" t="str">
            <v>SMB</v>
          </cell>
          <cell r="C98" t="str">
            <v>Apr.24</v>
          </cell>
        </row>
        <row r="99">
          <cell r="A99" t="str">
            <v>ALTIUM INTERNATIONAL LABORATUVAR CİHAZLARI A.Ş.</v>
          </cell>
          <cell r="B99" t="str">
            <v>SMB</v>
          </cell>
          <cell r="C99" t="str">
            <v>Jun.24</v>
          </cell>
        </row>
        <row r="100">
          <cell r="A100" t="str">
            <v>OGOO ILETISIM HIZMETLERI TICARET LIMITED SIRKETI</v>
          </cell>
          <cell r="B100" t="str">
            <v>SMB</v>
          </cell>
          <cell r="C100" t="str">
            <v>Mar.24</v>
          </cell>
        </row>
        <row r="101">
          <cell r="A101" t="str">
            <v>EURO GIDA</v>
          </cell>
          <cell r="B101" t="str">
            <v>SMB</v>
          </cell>
          <cell r="C101" t="str">
            <v>Jun.24</v>
          </cell>
        </row>
        <row r="102">
          <cell r="A102" t="str">
            <v>PENINSULA EMLAK YATIRIM A.S.</v>
          </cell>
          <cell r="B102" t="str">
            <v>SMB</v>
          </cell>
          <cell r="C102" t="str">
            <v>Nov.24</v>
          </cell>
        </row>
        <row r="103">
          <cell r="A103" t="str">
            <v>ANTAKYA BASIM YAYIN TURZ.İNŞ.TİC.LTD.ŞTİ</v>
          </cell>
          <cell r="B103" t="str">
            <v>SMB</v>
          </cell>
          <cell r="C103" t="str">
            <v>Dec.24</v>
          </cell>
        </row>
        <row r="104">
          <cell r="A104" t="str">
            <v>ALVIMEDICA SAGLIK EKIPMANLARI PAZARLAMA</v>
          </cell>
          <cell r="B104" t="str">
            <v>SMB</v>
          </cell>
          <cell r="C104" t="str">
            <v>Feb.24</v>
          </cell>
        </row>
        <row r="105">
          <cell r="A105" t="str">
            <v>GİSAŞ GEMI İNŞA SANAYI A.Ş.</v>
          </cell>
          <cell r="B105" t="str">
            <v>SMB</v>
          </cell>
          <cell r="C105" t="str">
            <v>Dec.24</v>
          </cell>
        </row>
        <row r="106">
          <cell r="A106" t="str">
            <v>LKG MÜHENDISLIK VE ARGE HIZMETLERI LTD. ŞTI.</v>
          </cell>
          <cell r="B106" t="str">
            <v>SMB</v>
          </cell>
          <cell r="C106" t="str">
            <v>May.24</v>
          </cell>
        </row>
        <row r="107">
          <cell r="A107" t="str">
            <v>İPEKYOLU GÜMRÜK MÜŞAVİRLİĞİ LTD. ŞTİ.</v>
          </cell>
          <cell r="B107" t="str">
            <v>SMB</v>
          </cell>
          <cell r="C107" t="str">
            <v>Mar.24</v>
          </cell>
        </row>
        <row r="108">
          <cell r="A108" t="str">
            <v>KGM ENERJİ TİC.LTD.ŞTİ.</v>
          </cell>
          <cell r="B108" t="str">
            <v>SMB</v>
          </cell>
          <cell r="C108" t="str">
            <v>Apr.24</v>
          </cell>
        </row>
        <row r="109">
          <cell r="A109" t="str">
            <v>NEMA BAHÇE KÜLTÜRLERI ÜRETIM VE PAZARLAMA LTD.STI.</v>
          </cell>
          <cell r="B109" t="str">
            <v>SMB</v>
          </cell>
          <cell r="C109" t="str">
            <v>Mar.24</v>
          </cell>
        </row>
        <row r="110">
          <cell r="A110" t="str">
            <v>CAHAN TABAK  BEYNELXALQ MMC</v>
          </cell>
          <cell r="B110" t="str">
            <v>SMB</v>
          </cell>
          <cell r="C110" t="str">
            <v>Aug.24</v>
          </cell>
        </row>
        <row r="111">
          <cell r="A111" t="str">
            <v>TURGUT ALTON MIMARLIK MÜSAVIRLIK LTD.STI.</v>
          </cell>
          <cell r="B111" t="str">
            <v>SMB</v>
          </cell>
          <cell r="C111" t="str">
            <v>Oct.24</v>
          </cell>
        </row>
        <row r="112">
          <cell r="A112" t="str">
            <v>FRESENIUS KABI ILAÇ SAN. VE TIC. LTD. STI.</v>
          </cell>
          <cell r="B112" t="str">
            <v>SMB</v>
          </cell>
          <cell r="C112" t="str">
            <v>Feb.24</v>
          </cell>
        </row>
        <row r="113">
          <cell r="A113" t="str">
            <v>ECE FITOTERAPI SAGLIK ÜRÜNLERI SANAYI VE TIC.A.S</v>
          </cell>
          <cell r="B113" t="str">
            <v>SMB</v>
          </cell>
          <cell r="C113" t="str">
            <v>Nov.24</v>
          </cell>
        </row>
        <row r="114">
          <cell r="A114" t="str">
            <v>ZEKİ EDEBALI</v>
          </cell>
          <cell r="B114" t="str">
            <v>SMB</v>
          </cell>
          <cell r="C114" t="str">
            <v>Apr.24</v>
          </cell>
        </row>
        <row r="115">
          <cell r="A115" t="str">
            <v>MAYA HOLDING - MAYA GAYRİMENKUL GELİŞTİRME A.Ş.</v>
          </cell>
          <cell r="B115" t="str">
            <v>SMB</v>
          </cell>
          <cell r="C115" t="str">
            <v>Apr.24</v>
          </cell>
        </row>
        <row r="116">
          <cell r="A116" t="str">
            <v>CAFFE NERO GIDA ÜRÜNLERI A.S.</v>
          </cell>
          <cell r="B116" t="str">
            <v>SMB</v>
          </cell>
          <cell r="C116" t="str">
            <v>Nov.24</v>
          </cell>
        </row>
        <row r="117">
          <cell r="A117" t="str">
            <v>BASKENT HOLDING A S.</v>
          </cell>
          <cell r="B117" t="str">
            <v>SMB</v>
          </cell>
          <cell r="C117" t="str">
            <v>May.24</v>
          </cell>
        </row>
        <row r="118">
          <cell r="A118" t="str">
            <v>JONES LANG LASALLE GAYRIMENKUL HIZMETLERI TIC.A.Ş.</v>
          </cell>
          <cell r="B118" t="str">
            <v>SMB</v>
          </cell>
          <cell r="C118" t="str">
            <v>Jun.24</v>
          </cell>
        </row>
        <row r="119">
          <cell r="A119" t="str">
            <v>PAYBOX ELEKTRONİK TİCARET ANONİM ŞİRKETİ</v>
          </cell>
          <cell r="B119" t="str">
            <v>SMB</v>
          </cell>
          <cell r="C119" t="str">
            <v>Apr.24</v>
          </cell>
        </row>
        <row r="120">
          <cell r="A120" t="str">
            <v>ÖZEL ALEV OKULLARI</v>
          </cell>
          <cell r="B120" t="str">
            <v>SMB</v>
          </cell>
          <cell r="C120" t="str">
            <v>Oct.24</v>
          </cell>
        </row>
        <row r="121">
          <cell r="A121" t="str">
            <v>İD GEMİ ACENTELİĞİ TİC.LTD.ŞTİ.</v>
          </cell>
          <cell r="B121" t="str">
            <v>SMB</v>
          </cell>
          <cell r="C121" t="str">
            <v>Nov.24</v>
          </cell>
        </row>
        <row r="122">
          <cell r="A122" t="str">
            <v>SİLKAR TURİZM YATIRIM VE İŞLETMELERİ A.Ş</v>
          </cell>
          <cell r="B122" t="str">
            <v>SMB</v>
          </cell>
          <cell r="C122" t="str">
            <v>Feb.24</v>
          </cell>
        </row>
        <row r="123">
          <cell r="A123" t="str">
            <v>MİLA PROJE MAĞAZACILIK ANONİM ŞİRKETİ</v>
          </cell>
          <cell r="B123" t="str">
            <v>SMB</v>
          </cell>
          <cell r="C123" t="str">
            <v>Oct.24</v>
          </cell>
        </row>
        <row r="124">
          <cell r="A124" t="str">
            <v>METU KİMYA</v>
          </cell>
          <cell r="B124" t="str">
            <v>SMB</v>
          </cell>
          <cell r="C124" t="str">
            <v>Dec.24</v>
          </cell>
        </row>
        <row r="125">
          <cell r="A125" t="str">
            <v>VENITURE BİLİŞİM TEKNOLOJİLERİ LİMİTED ŞİRKETİ</v>
          </cell>
          <cell r="B125" t="str">
            <v>SMB</v>
          </cell>
          <cell r="C125" t="str">
            <v>Dec.24</v>
          </cell>
        </row>
        <row r="126">
          <cell r="A126" t="str">
            <v>ULU MOTOR SAN. VE TİC.. A.Ş</v>
          </cell>
          <cell r="B126" t="str">
            <v>SMB</v>
          </cell>
          <cell r="C126" t="str">
            <v>Nov.24</v>
          </cell>
        </row>
        <row r="127">
          <cell r="A127" t="str">
            <v>SAĞLIK BAHÇESİ EĞ. ARŞ. DAN VE İLETİŞİM A.Ş</v>
          </cell>
          <cell r="B127" t="str">
            <v>SMB</v>
          </cell>
          <cell r="C127" t="str">
            <v>May.24</v>
          </cell>
        </row>
        <row r="128">
          <cell r="A128" t="str">
            <v>KISAN (TİBET ÖRS)</v>
          </cell>
          <cell r="B128" t="str">
            <v>SMB</v>
          </cell>
          <cell r="C128" t="str">
            <v>Feb.24</v>
          </cell>
        </row>
        <row r="129">
          <cell r="A129" t="str">
            <v>SL INVEST DANIŞMANLIK ANONİM ŞİRKETİ</v>
          </cell>
          <cell r="B129" t="str">
            <v>SMB</v>
          </cell>
          <cell r="C129" t="str">
            <v>Sep.24</v>
          </cell>
        </row>
        <row r="130">
          <cell r="A130" t="str">
            <v>Atomy Turkey Kozmetik ve Sağlıklı Ürünler Limited</v>
          </cell>
          <cell r="B130" t="str">
            <v>SMB</v>
          </cell>
          <cell r="C130" t="str">
            <v>Sep.24</v>
          </cell>
        </row>
        <row r="131">
          <cell r="A131" t="str">
            <v>SADIK GROUP YATIRIM İNŞAAT VE TİCARET LİMİTED ŞİRK</v>
          </cell>
          <cell r="B131" t="str">
            <v>SMB</v>
          </cell>
          <cell r="C131" t="str">
            <v>Sep.24</v>
          </cell>
        </row>
        <row r="132">
          <cell r="A132" t="str">
            <v>ALBAŞLAR İNŞAAT TESİSAT TEKNİK YAPI MAL</v>
          </cell>
          <cell r="B132" t="str">
            <v>SMB</v>
          </cell>
          <cell r="C132" t="str">
            <v>Nov.24</v>
          </cell>
        </row>
        <row r="133">
          <cell r="A133" t="str">
            <v>APEC ÇELİK YAPI SİSTEMLERİ A.Ş.</v>
          </cell>
          <cell r="B133" t="str">
            <v>SMB</v>
          </cell>
          <cell r="C133" t="str">
            <v>Aug.24</v>
          </cell>
        </row>
        <row r="134">
          <cell r="A134" t="str">
            <v>ITO Bilgiyi Ticarilestirme ve Arastirma Vakfi Ikti</v>
          </cell>
          <cell r="B134" t="str">
            <v>SMB</v>
          </cell>
          <cell r="C134" t="str">
            <v>Feb.24</v>
          </cell>
        </row>
        <row r="135">
          <cell r="A135" t="str">
            <v>SÜTPLUS GIDA TÜKETİM MADDELERİ SAN.VE TİC.LTD.ŞTİ.</v>
          </cell>
          <cell r="B135" t="str">
            <v>SMB</v>
          </cell>
          <cell r="C135" t="str">
            <v>Jul.24</v>
          </cell>
        </row>
        <row r="136">
          <cell r="A136" t="str">
            <v>ANATORIAS DIŞ TİCARET LTD. ŞTİ.</v>
          </cell>
          <cell r="B136" t="str">
            <v>SMB</v>
          </cell>
          <cell r="C136" t="str">
            <v>Jul.24</v>
          </cell>
        </row>
        <row r="137">
          <cell r="A137" t="str">
            <v>ZEYMEL İÇ VE DIŞ TİC. A.Ş.</v>
          </cell>
          <cell r="B137" t="str">
            <v>SMB</v>
          </cell>
          <cell r="C137" t="str">
            <v>Nov.24</v>
          </cell>
        </row>
        <row r="138">
          <cell r="A138" t="str">
            <v>HASGÜR OFİS MALZEMELERİ TEMİZLİK ÜRÜNLERİ LTD.ŞTİ.</v>
          </cell>
          <cell r="B138" t="str">
            <v>SMB</v>
          </cell>
          <cell r="C138" t="str">
            <v>Dec.24</v>
          </cell>
        </row>
        <row r="139">
          <cell r="A139" t="str">
            <v>MARGE ARAŞTIRMA GELİŞTİRME VE MÜHENDİSLİK  A.Ş.</v>
          </cell>
          <cell r="B139" t="str">
            <v>SMB</v>
          </cell>
          <cell r="C139" t="str">
            <v>Apr.24</v>
          </cell>
        </row>
        <row r="140">
          <cell r="A140" t="str">
            <v>ARTEK YAZILIMEVİ DAN. HİZ. TİC. LTD. ŞTİ.</v>
          </cell>
          <cell r="B140" t="str">
            <v>SMB</v>
          </cell>
          <cell r="C140" t="str">
            <v>Dec.24</v>
          </cell>
        </row>
        <row r="141">
          <cell r="A141" t="str">
            <v>İSTEM OKULLARI LTD.ŞTİ.</v>
          </cell>
          <cell r="B141" t="str">
            <v>SMB</v>
          </cell>
          <cell r="C141" t="str">
            <v>Feb.24</v>
          </cell>
        </row>
        <row r="142">
          <cell r="A142" t="str">
            <v>SAKLIKOY SPOR VE TUR (TAMER CANKAT)</v>
          </cell>
          <cell r="B142" t="str">
            <v>SMB</v>
          </cell>
          <cell r="C142" t="str">
            <v>Aug.24</v>
          </cell>
        </row>
        <row r="143">
          <cell r="A143" t="str">
            <v>COGİTO PARK COGNİTİVE DİJİTAL TEKN. VE YATIRIM A.Ş</v>
          </cell>
          <cell r="B143" t="str">
            <v>SMB</v>
          </cell>
          <cell r="C143" t="str">
            <v>Jan.24</v>
          </cell>
        </row>
        <row r="144">
          <cell r="A144" t="str">
            <v>Mor Elma Yayıncılık</v>
          </cell>
          <cell r="B144" t="str">
            <v>SMB</v>
          </cell>
          <cell r="C144" t="str">
            <v>Aug.24</v>
          </cell>
        </row>
        <row r="145">
          <cell r="A145" t="str">
            <v>Fortis Plastik Sanayi Ticaret Ltd.Şti.</v>
          </cell>
          <cell r="B145" t="str">
            <v>SMB</v>
          </cell>
          <cell r="C145" t="str">
            <v>Aug.24</v>
          </cell>
        </row>
        <row r="146">
          <cell r="A146" t="str">
            <v>Mastcolor Plastik San Ve Tic Ltd Şti</v>
          </cell>
          <cell r="B146" t="str">
            <v>SMB</v>
          </cell>
          <cell r="C146" t="str">
            <v>Aug.24</v>
          </cell>
        </row>
        <row r="147">
          <cell r="A147" t="str">
            <v>VMM VAROL MAKİNA SAN.TİC.LTD.ŞTİ.</v>
          </cell>
          <cell r="B147" t="str">
            <v>SMB</v>
          </cell>
          <cell r="C147" t="str">
            <v>Sep.24</v>
          </cell>
        </row>
        <row r="148">
          <cell r="A148" t="str">
            <v>SONÇAĞ MÜHENDİSLİK - SİNAN SONÇAĞI</v>
          </cell>
          <cell r="B148" t="str">
            <v>SMB</v>
          </cell>
          <cell r="C148" t="str">
            <v>Sep.24</v>
          </cell>
        </row>
        <row r="149">
          <cell r="A149" t="str">
            <v>Bisam Cephe Sistemleri AS</v>
          </cell>
          <cell r="B149" t="str">
            <v>SMB</v>
          </cell>
          <cell r="C149" t="str">
            <v>Sep.24</v>
          </cell>
        </row>
        <row r="150">
          <cell r="A150" t="str">
            <v>Birleşik Araştırmacılar</v>
          </cell>
          <cell r="B150" t="str">
            <v>SMB</v>
          </cell>
          <cell r="C150" t="str">
            <v>Nov.24</v>
          </cell>
        </row>
        <row r="151">
          <cell r="A151" t="str">
            <v>AKAR TAAHHÜT YAPI İNŞAAT</v>
          </cell>
          <cell r="B151" t="str">
            <v>SMB</v>
          </cell>
          <cell r="C151" t="str">
            <v>Dec.24</v>
          </cell>
        </row>
        <row r="152">
          <cell r="A152" t="str">
            <v>CNMAR DENİZCİLİK VE LOJİSTİK HİZMETLERİ LİMİTED Şİ</v>
          </cell>
          <cell r="B152" t="str">
            <v>SMB</v>
          </cell>
          <cell r="C152" t="str">
            <v>Jan.24</v>
          </cell>
        </row>
        <row r="153">
          <cell r="A153" t="str">
            <v>BİLGİLİ GRUP MÜHENDİSLİK VE TİC. LTD. ŞTİ.</v>
          </cell>
          <cell r="B153" t="str">
            <v>SMB</v>
          </cell>
          <cell r="C153" t="str">
            <v>Jan.24</v>
          </cell>
        </row>
        <row r="154">
          <cell r="A154" t="str">
            <v>AFFIDEA</v>
          </cell>
          <cell r="B154" t="str">
            <v>SMB</v>
          </cell>
          <cell r="C154" t="str">
            <v>Dec.23</v>
          </cell>
        </row>
        <row r="155">
          <cell r="A155" t="str">
            <v>ASTAY GAYRIMENKUL INSAAT YATIRIM VE TURIZM A.S.</v>
          </cell>
          <cell r="B155" t="str">
            <v>SMB</v>
          </cell>
          <cell r="C155" t="str">
            <v>Sep.23</v>
          </cell>
        </row>
        <row r="156">
          <cell r="A156" t="str">
            <v>AYDOGAN KARDESLER INS. SAN. VE TIC.LTD.STI.</v>
          </cell>
          <cell r="B156" t="str">
            <v>SMB</v>
          </cell>
          <cell r="C156" t="str">
            <v>Jul.23</v>
          </cell>
        </row>
        <row r="157">
          <cell r="A157" t="str">
            <v xml:space="preserve">AZE MEDYA ANONİM ŞİRKETİ </v>
          </cell>
          <cell r="B157" t="str">
            <v>SMB</v>
          </cell>
          <cell r="C157" t="str">
            <v>Feb.23</v>
          </cell>
        </row>
        <row r="158">
          <cell r="A158" t="str">
            <v>DAM BILGI TEKNOLOJILERI A.S.</v>
          </cell>
          <cell r="B158" t="str">
            <v>SMB</v>
          </cell>
          <cell r="C158" t="str">
            <v>Aug.23</v>
          </cell>
        </row>
        <row r="159">
          <cell r="A159" t="str">
            <v>DIGITAY TEKNOLOJI VE YAZILIM TICARET LIMITED SIRKE</v>
          </cell>
          <cell r="B159" t="str">
            <v>SMB</v>
          </cell>
          <cell r="C159" t="str">
            <v>Mar.23</v>
          </cell>
        </row>
        <row r="160">
          <cell r="A160" t="str">
            <v>DOĞUŞ TEKNOLOJİ</v>
          </cell>
          <cell r="B160" t="str">
            <v>Enterprise</v>
          </cell>
          <cell r="C160" t="str">
            <v>Sep.23</v>
          </cell>
        </row>
        <row r="161">
          <cell r="A161" t="str">
            <v>GENMAK GENEL MAKİNA SANAYİ VE TİCARET LTD.ŞTİ.</v>
          </cell>
          <cell r="B161" t="str">
            <v>SMB</v>
          </cell>
          <cell r="C161" t="str">
            <v>Apr.23</v>
          </cell>
        </row>
        <row r="162">
          <cell r="A162" t="str">
            <v>HARE GROUP ORGANİZASYON TURİZM SANAYİ TİCARET A.Ş</v>
          </cell>
          <cell r="B162" t="str">
            <v>SMB</v>
          </cell>
          <cell r="C162" t="str">
            <v>Nov.23</v>
          </cell>
        </row>
        <row r="163">
          <cell r="A163" t="str">
            <v>INTER MEDYA TİCARET LTD.ŞTİ.</v>
          </cell>
          <cell r="B163" t="str">
            <v>SMB</v>
          </cell>
          <cell r="C163" t="str">
            <v>Apr.23</v>
          </cell>
        </row>
        <row r="164">
          <cell r="A164" t="str">
            <v>KENTPARK ALISVERIS MERKEZI VE ILETMECILIK AS.</v>
          </cell>
          <cell r="B164" t="str">
            <v>SMB</v>
          </cell>
          <cell r="C164" t="str">
            <v>Aug.23</v>
          </cell>
        </row>
        <row r="165">
          <cell r="A165" t="str">
            <v>MASTERTEK BILGI TEKNOLOJILERI TIC.LTD.STI.</v>
          </cell>
          <cell r="B165" t="str">
            <v>SMB</v>
          </cell>
          <cell r="C165" t="str">
            <v>Jan.23</v>
          </cell>
        </row>
        <row r="166">
          <cell r="A166" t="str">
            <v>PSH PERAKENDE SATIS HIZMETLERI GIDA ANONIM SIRKETI</v>
          </cell>
          <cell r="B166" t="str">
            <v>SMB</v>
          </cell>
          <cell r="C166" t="str">
            <v>Mar.23</v>
          </cell>
        </row>
        <row r="167">
          <cell r="A167" t="str">
            <v>SEZER TEKSTIL SAN.TIC.A.S</v>
          </cell>
          <cell r="B167" t="str">
            <v>SMB</v>
          </cell>
          <cell r="C167" t="str">
            <v>Oct.23</v>
          </cell>
        </row>
        <row r="168">
          <cell r="A168" t="str">
            <v>SHAYA MAGAZACILIK A.Ş.</v>
          </cell>
          <cell r="B168" t="str">
            <v>SMB</v>
          </cell>
          <cell r="C168" t="str">
            <v>Jan.23</v>
          </cell>
        </row>
        <row r="169">
          <cell r="A169" t="str">
            <v>SOYKP IS MERKEZI ISLETMECILIGI A.S.</v>
          </cell>
          <cell r="B169" t="str">
            <v>SMB</v>
          </cell>
          <cell r="C169" t="str">
            <v>Mar.23</v>
          </cell>
        </row>
        <row r="170">
          <cell r="A170" t="str">
            <v>STRADA SEYAHAT ACENTELIGI LTD. STI</v>
          </cell>
          <cell r="B170" t="str">
            <v>SMB</v>
          </cell>
          <cell r="C170" t="str">
            <v>Apr.23</v>
          </cell>
        </row>
        <row r="171">
          <cell r="A171" t="str">
            <v>TEKYAZ TEKNOLOJIK  YAZILIMLAR VE MAKINE  TIC. A.S.</v>
          </cell>
          <cell r="B171" t="str">
            <v>SMB</v>
          </cell>
          <cell r="C171" t="str">
            <v>May.23</v>
          </cell>
        </row>
        <row r="172">
          <cell r="A172" t="str">
            <v>TERAKKI VAKFI ÖZEL SISLI TERAKKI LISESI</v>
          </cell>
          <cell r="B172" t="str">
            <v>SMB</v>
          </cell>
          <cell r="C172" t="str">
            <v>Jul.23</v>
          </cell>
        </row>
        <row r="173">
          <cell r="A173" t="str">
            <v>TK 34 YIYECEK IÇECEK GIDA RESTORAN TUR.TIC.SAN.LTD</v>
          </cell>
          <cell r="B173" t="str">
            <v>SMB</v>
          </cell>
          <cell r="C173" t="str">
            <v>Mar.23</v>
          </cell>
        </row>
        <row r="174">
          <cell r="A174" t="str">
            <v>TSM DANISMANLIK ORGA.VE PAZ. AS.</v>
          </cell>
          <cell r="B174" t="str">
            <v>SMB</v>
          </cell>
          <cell r="C174" t="str">
            <v>Jun.23</v>
          </cell>
        </row>
        <row r="175">
          <cell r="A175" t="str">
            <v>TÜRKİYE SINAI KALKINMA BANKASI A.S.</v>
          </cell>
          <cell r="B175" t="str">
            <v>Enterprise</v>
          </cell>
          <cell r="C175" t="str">
            <v>Apr.23</v>
          </cell>
        </row>
        <row r="176">
          <cell r="A176" t="str">
            <v>ULUSAL FAKTORING A.S.</v>
          </cell>
          <cell r="B176" t="str">
            <v>Enterprise</v>
          </cell>
          <cell r="C176" t="str">
            <v>Mar.23</v>
          </cell>
        </row>
        <row r="177">
          <cell r="A177" t="str">
            <v>UMTAS ULUSLARARASI MAKINA TIC. A.S.</v>
          </cell>
          <cell r="B177" t="str">
            <v>SMB</v>
          </cell>
          <cell r="C177" t="str">
            <v>Mar.23</v>
          </cell>
        </row>
        <row r="178">
          <cell r="A178" t="str">
            <v>YARGICI KONFEKSIYON IHRACAT VE TICARET AS.</v>
          </cell>
          <cell r="B178" t="str">
            <v>SMB</v>
          </cell>
          <cell r="C178" t="str">
            <v>Feb.23</v>
          </cell>
        </row>
        <row r="179">
          <cell r="A179" t="str">
            <v>WYNDHAM HOTEL ( Reisler Turizm  )</v>
          </cell>
          <cell r="B179" t="str">
            <v>Enterprise</v>
          </cell>
          <cell r="C179" t="str">
            <v>Feb.23</v>
          </cell>
        </row>
        <row r="180">
          <cell r="A180" t="str">
            <v>DEVON YAPI ÜRÜNLERİ İTH. SAN. ve TİC. A.Ş.</v>
          </cell>
          <cell r="B180" t="str">
            <v>SMB</v>
          </cell>
          <cell r="C180" t="str">
            <v>Sep.23</v>
          </cell>
        </row>
        <row r="181">
          <cell r="A181" t="str">
            <v>BADE HALI</v>
          </cell>
          <cell r="B181" t="str">
            <v>Enterprise</v>
          </cell>
          <cell r="C181" t="str">
            <v>Feb.23</v>
          </cell>
        </row>
        <row r="182">
          <cell r="A182" t="str">
            <v>TÜM TEKNOLOJI ÜRETIM MERKEZI A.Ş.</v>
          </cell>
          <cell r="B182" t="str">
            <v>SMB</v>
          </cell>
          <cell r="C182" t="str">
            <v>Mar.23</v>
          </cell>
        </row>
        <row r="183">
          <cell r="A183" t="str">
            <v>SHOPISTANBUL TEKNOLOJI VE TICARET LIMITED SIRKETI</v>
          </cell>
          <cell r="B183" t="str">
            <v>SMB</v>
          </cell>
          <cell r="C183" t="str">
            <v>Jul.23</v>
          </cell>
        </row>
        <row r="184">
          <cell r="A184" t="str">
            <v>GÜLENYÜZ SİGORTA</v>
          </cell>
          <cell r="B184" t="str">
            <v>SMB</v>
          </cell>
          <cell r="C184" t="str">
            <v>Jul.23</v>
          </cell>
        </row>
        <row r="185">
          <cell r="A185" t="str">
            <v>DAĞCIOĞLU BAHARAT</v>
          </cell>
          <cell r="B185" t="str">
            <v>SMB</v>
          </cell>
          <cell r="C185" t="str">
            <v>Dec.23</v>
          </cell>
        </row>
        <row r="186">
          <cell r="A186" t="str">
            <v>TEDMARİNE GEMİ ACENTELİĞİ ANONİM ŞİRKETİ</v>
          </cell>
          <cell r="B186" t="str">
            <v>SMB</v>
          </cell>
          <cell r="C186" t="str">
            <v>Dec.23</v>
          </cell>
        </row>
        <row r="187">
          <cell r="A187" t="str">
            <v>TURKISH DO &amp; CO  (TREO BAKIM)</v>
          </cell>
          <cell r="B187" t="str">
            <v>SMB</v>
          </cell>
          <cell r="C187" t="str">
            <v>Jan.23</v>
          </cell>
        </row>
        <row r="188">
          <cell r="A188" t="str">
            <v>ŞEKERBANK T.A.S.</v>
          </cell>
          <cell r="B188" t="str">
            <v>Enterprise</v>
          </cell>
          <cell r="C188" t="str">
            <v>Apr.23</v>
          </cell>
        </row>
        <row r="189">
          <cell r="A189" t="str">
            <v>AŞÇIOĞLU İŞ ORTAKLIĞI</v>
          </cell>
          <cell r="B189" t="str">
            <v>SMB</v>
          </cell>
          <cell r="C189" t="str">
            <v>Jul.23</v>
          </cell>
        </row>
        <row r="190">
          <cell r="A190" t="str">
            <v xml:space="preserve">APLUS DIAGNOSTICS LABORATUVAR SANAYI VE TIC. A.S. </v>
          </cell>
          <cell r="B190" t="str">
            <v>SMB</v>
          </cell>
          <cell r="C190" t="str">
            <v>Jan.23</v>
          </cell>
        </row>
        <row r="191">
          <cell r="A191" t="str">
            <v>TIED UP DEKORASYON ÜRÜNLERİ SAN.TİC.LTD.ŞTİ.</v>
          </cell>
          <cell r="B191" t="str">
            <v>SMB</v>
          </cell>
          <cell r="C191" t="str">
            <v>Oct.23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sk Puanı Hesaplama"/>
      <sheetName val="Özet Tablo"/>
      <sheetName val="Churn Takip"/>
      <sheetName val="Riskli Müşteri Listesi"/>
      <sheetName val="Sayfa1"/>
      <sheetName val="Sheet1"/>
      <sheetName val="Riskli Müşteri Kılavuzu"/>
      <sheetName val="To Do - Actions"/>
      <sheetName val="Risk_Kriterleri"/>
      <sheetName val="Sheet2"/>
      <sheetName val="Kurtarılan"/>
      <sheetName val="Chu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KOZA GIDA DAGITIM SAN. VE TIC. A.S.</v>
          </cell>
          <cell r="B1" t="str">
            <v>LOW RISK</v>
          </cell>
        </row>
        <row r="2">
          <cell r="A2" t="str">
            <v>DIGITURK KREA IÇERIK HIZMETLERI VE PRODÜKSIYON A.S</v>
          </cell>
          <cell r="B2" t="str">
            <v>NO RISK</v>
          </cell>
        </row>
        <row r="3">
          <cell r="A3" t="str">
            <v>GUSTOGIYIM SAN. VE TIC. A.S</v>
          </cell>
          <cell r="B3" t="str">
            <v>MEDIUM RISK</v>
          </cell>
        </row>
        <row r="4">
          <cell r="A4" t="str">
            <v>SESTEK SES VE İLETİŞİM BİLGİSAYAR TEKNOLOJİLERİ SA</v>
          </cell>
          <cell r="B4" t="str">
            <v>NO RISK</v>
          </cell>
        </row>
        <row r="5">
          <cell r="A5" t="str">
            <v>2 DESIGN MIMARLIK INS. SAN. VE TIC. A.S.</v>
          </cell>
          <cell r="B5" t="str">
            <v>CHURN</v>
          </cell>
        </row>
        <row r="6">
          <cell r="A6" t="str">
            <v>GOSB</v>
          </cell>
          <cell r="B6" t="str">
            <v xml:space="preserve">NO RISK </v>
          </cell>
        </row>
        <row r="7">
          <cell r="A7" t="str">
            <v>ELİG HUKUK BÜROSU, GÖNENÇ GÜRKAYNAK</v>
          </cell>
          <cell r="B7" t="str">
            <v xml:space="preserve">NO RISK </v>
          </cell>
        </row>
        <row r="8">
          <cell r="A8" t="str">
            <v>AKSAN KOZMETIK SAN. VE TIC. A.S.</v>
          </cell>
          <cell r="B8" t="str">
            <v>CHURN</v>
          </cell>
        </row>
        <row r="9">
          <cell r="A9" t="str">
            <v>ARICIOĞLU OTOMOTİV SANAYİ VE TİCARET ANONİM ŞİRKET</v>
          </cell>
          <cell r="B9" t="str">
            <v>HIGH RISK</v>
          </cell>
        </row>
        <row r="10">
          <cell r="A10" t="str">
            <v>ARSAN KİMYA SAN.TİC. A.Ş.</v>
          </cell>
          <cell r="B10" t="str">
            <v xml:space="preserve">HIGH RISK </v>
          </cell>
        </row>
        <row r="11">
          <cell r="A11" t="str">
            <v>MOROGLU ARSEVEN AVUKATLIK ORTAKLIGI</v>
          </cell>
          <cell r="B11" t="str">
            <v>BOOKED CHURN</v>
          </cell>
        </row>
        <row r="12">
          <cell r="A12" t="str">
            <v>AVEON GLOBAL SİGORTA ANONİM ŞİRKETİ</v>
          </cell>
          <cell r="B12" t="str">
            <v>CHURN</v>
          </cell>
        </row>
        <row r="13">
          <cell r="A13" t="str">
            <v>BEYMEN GRUP</v>
          </cell>
          <cell r="B13" t="str">
            <v>HIGH RISK</v>
          </cell>
        </row>
        <row r="14">
          <cell r="A14" t="str">
            <v>INVEON BILGI TEKNOLOJILERI DANISMANLIK VE TIC. A.S</v>
          </cell>
          <cell r="B14" t="str">
            <v xml:space="preserve">HIGH RISK </v>
          </cell>
        </row>
        <row r="15">
          <cell r="A15" t="str">
            <v>İSTANBUL GÖMLEK GIYIM SAN.VE TIC.A.S</v>
          </cell>
          <cell r="B15" t="str">
            <v>LOW RISK</v>
          </cell>
        </row>
        <row r="16">
          <cell r="A16" t="str">
            <v>YAYLAGÜL MULTİMEDYA BİLG.TİC.LTD ŞTİ (REVOTAS)</v>
          </cell>
          <cell r="B16" t="str">
            <v>MEDIUM RISK</v>
          </cell>
        </row>
        <row r="17">
          <cell r="A17" t="str">
            <v>BIRCOM TELEKOMÜNIKASYON VE BILISIM HIZ.SAN.TIC.A.S</v>
          </cell>
          <cell r="B17" t="str">
            <v>CHURN</v>
          </cell>
        </row>
        <row r="18">
          <cell r="A18" t="str">
            <v>AXA SIGORTA</v>
          </cell>
          <cell r="B18" t="str">
            <v xml:space="preserve">NO RISK </v>
          </cell>
        </row>
        <row r="19">
          <cell r="A19" t="str">
            <v>GALSAN PLASTIK VE KALIP SAN. A.S</v>
          </cell>
          <cell r="B19" t="str">
            <v>NO RISK</v>
          </cell>
        </row>
        <row r="20">
          <cell r="A20" t="str">
            <v>BOYTORUN MIMARLIK LTD.STI.</v>
          </cell>
          <cell r="B20" t="str">
            <v>CHURN</v>
          </cell>
        </row>
        <row r="21">
          <cell r="A21" t="str">
            <v>BRİİSK LİMİTED</v>
          </cell>
          <cell r="B21" t="str">
            <v>CHURN</v>
          </cell>
        </row>
        <row r="22">
          <cell r="A22" t="str">
            <v>CABİR HOLDİNG - MİLK ACADEMY</v>
          </cell>
          <cell r="B22" t="str">
            <v>CHURN</v>
          </cell>
        </row>
        <row r="23">
          <cell r="A23" t="str">
            <v>DATA HIDROLIK MAKINA SANAYI A.S.</v>
          </cell>
          <cell r="B23" t="str">
            <v>NO RISK</v>
          </cell>
        </row>
        <row r="24">
          <cell r="A24" t="str">
            <v>HOROZ LOJİSTİK KARGO HİZMETLERİ VE TİC. A.Ş.</v>
          </cell>
          <cell r="B24" t="str">
            <v>NO RISK</v>
          </cell>
        </row>
        <row r="25">
          <cell r="A25" t="str">
            <v>SUNEXPRESS (GÜNEŞ HAVACILIK)</v>
          </cell>
          <cell r="B25" t="str">
            <v>NO RISK</v>
          </cell>
        </row>
        <row r="26">
          <cell r="A26" t="str">
            <v>OTOFORM OTOMOTIV TIC.VE SAN.A.S.</v>
          </cell>
          <cell r="B26" t="str">
            <v xml:space="preserve">NO RISK </v>
          </cell>
        </row>
        <row r="27">
          <cell r="A27" t="str">
            <v>ASE ASYA AFRİKA HIZLI LOJİSTİK SİSTEMLERİ ANONİM Ş</v>
          </cell>
          <cell r="B27" t="str">
            <v>BOOKED CHURN</v>
          </cell>
        </row>
        <row r="28">
          <cell r="A28" t="str">
            <v>KORHAN SERA PAZARLAMA VE DIS TICARET ANONIM SIRKET</v>
          </cell>
          <cell r="B28" t="str">
            <v>NO RISK</v>
          </cell>
        </row>
        <row r="29">
          <cell r="A29" t="str">
            <v xml:space="preserve">DICLE ÜNIVERSITESI </v>
          </cell>
          <cell r="B29" t="str">
            <v>CHURN</v>
          </cell>
        </row>
        <row r="30">
          <cell r="A30" t="str">
            <v>CCL LABEL TURKEY AMBALAJ SAN. VE TIC. A.S</v>
          </cell>
          <cell r="B30" t="str">
            <v>BOOKED CHURN</v>
          </cell>
        </row>
        <row r="31">
          <cell r="A31" t="str">
            <v>DÖNÜŞÜM OTOMOTİV</v>
          </cell>
          <cell r="B31" t="str">
            <v xml:space="preserve">NO RISK </v>
          </cell>
        </row>
        <row r="32">
          <cell r="A32" t="str">
            <v>UNIFREE DUTY FREE İŞLETMECİLİĞİ A.Ş.</v>
          </cell>
          <cell r="B32" t="str">
            <v>HIGH RISK</v>
          </cell>
        </row>
        <row r="33">
          <cell r="A33" t="str">
            <v>YEMEK PAY ELEKTRONİK PARA ve ODEME Hiz. A.S.</v>
          </cell>
          <cell r="B33" t="str">
            <v xml:space="preserve">HIGH RISK </v>
          </cell>
        </row>
        <row r="34">
          <cell r="A34" t="str">
            <v>BİLSAR TEKSTIL SAN.VE DIS.TIC.A.S</v>
          </cell>
          <cell r="B34" t="str">
            <v>HIGH RISK</v>
          </cell>
        </row>
        <row r="35">
          <cell r="A35" t="str">
            <v>TEMEL TEL METAL SAN. TİC.</v>
          </cell>
          <cell r="B35" t="str">
            <v>NO RISK</v>
          </cell>
        </row>
        <row r="36">
          <cell r="A36" t="str">
            <v>DALYA GAYRIMENKUL GELISTIRME TICARET A.S</v>
          </cell>
          <cell r="B36" t="str">
            <v xml:space="preserve">NO RISK </v>
          </cell>
        </row>
        <row r="37">
          <cell r="A37" t="str">
            <v>HM IÇ VE DIS TICARET REKLAM. ORG.TUR. A.S.</v>
          </cell>
          <cell r="B37" t="str">
            <v>LOW RISK</v>
          </cell>
        </row>
        <row r="38">
          <cell r="A38" t="str">
            <v>EMEÇ GIDA PAZARLAMA NAKLİYAT SAN. VE TİC.LTD.ŞTİ.</v>
          </cell>
          <cell r="B38" t="str">
            <v>CHURN</v>
          </cell>
        </row>
        <row r="39">
          <cell r="A39" t="str">
            <v>ES DIL HIZ. VE DAN.TIC.A.S.</v>
          </cell>
          <cell r="B39" t="str">
            <v>CHURN</v>
          </cell>
        </row>
        <row r="40">
          <cell r="A40" t="str">
            <v>TURASSİST SAĞLIK DESTEK HİZMETLERI ANONİM ŞİRKETİ</v>
          </cell>
          <cell r="B40" t="str">
            <v>HIGH RISK</v>
          </cell>
        </row>
        <row r="41">
          <cell r="A41" t="str">
            <v>CAHAN HOLDİNG</v>
          </cell>
          <cell r="B41" t="str">
            <v>BOOKED CHURN</v>
          </cell>
        </row>
        <row r="42">
          <cell r="A42" t="str">
            <v>TITAN HAVACILIK ANONIM SIRKETI</v>
          </cell>
          <cell r="B42" t="str">
            <v>NO RISK</v>
          </cell>
        </row>
        <row r="43">
          <cell r="A43" t="str">
            <v>POLİMAZ AMBALAJ SANAYİ TİC. LTD. ŞTİ.</v>
          </cell>
          <cell r="B43" t="str">
            <v>NO RISK</v>
          </cell>
        </row>
        <row r="44">
          <cell r="A44" t="str">
            <v>GÜLMAN GROUP - ÜSKÜDAR EĞİTİM HİZMETLERİ VE TİC.A.</v>
          </cell>
          <cell r="B44" t="str">
            <v xml:space="preserve">NO RISK </v>
          </cell>
        </row>
        <row r="45">
          <cell r="A45" t="str">
            <v>PUSULA GÖRSEL VE DIJITAL PLATFORM LTD.STI.</v>
          </cell>
          <cell r="B45" t="str">
            <v>NO RISK</v>
          </cell>
        </row>
        <row r="46">
          <cell r="A46" t="str">
            <v>E SİM TELEKOMÜNİKASYON LİMİTED SİRKETİ</v>
          </cell>
          <cell r="B46" t="str">
            <v xml:space="preserve">NO RISK </v>
          </cell>
        </row>
        <row r="47">
          <cell r="A47" t="str">
            <v>OSMANLI YATIRIM MENKUL DEGERLER A.S.</v>
          </cell>
          <cell r="B47" t="str">
            <v>NO RISK</v>
          </cell>
        </row>
        <row r="48">
          <cell r="A48" t="str">
            <v>TEKHNELOGOS</v>
          </cell>
          <cell r="B48" t="str">
            <v xml:space="preserve">NO RISK </v>
          </cell>
        </row>
        <row r="49">
          <cell r="A49" t="str">
            <v>KALE JET MOTORLARI</v>
          </cell>
          <cell r="B49" t="str">
            <v>BOOKED CHURN</v>
          </cell>
        </row>
        <row r="50">
          <cell r="A50" t="str">
            <v>KALE HAVACILIK</v>
          </cell>
          <cell r="B50" t="str">
            <v>BOOKED CHURN</v>
          </cell>
        </row>
        <row r="51">
          <cell r="A51" t="str">
            <v>GÜVEN PRES DÖKÜM</v>
          </cell>
          <cell r="B51" t="str">
            <v xml:space="preserve">HIGH RISK </v>
          </cell>
        </row>
        <row r="52">
          <cell r="A52" t="str">
            <v>HIT REKLAM TAN. ORG.YAT.EMLAK GIDA TEKS.YAZ.DAN.IT</v>
          </cell>
          <cell r="B52" t="str">
            <v>CHURN</v>
          </cell>
        </row>
        <row r="53">
          <cell r="A53" t="str">
            <v>İGM GÜMRÜK MÜŞAVİRLİĞİ</v>
          </cell>
          <cell r="B53" t="str">
            <v>CHURN</v>
          </cell>
        </row>
        <row r="54">
          <cell r="A54" t="str">
            <v>MARTAS OTOMOTIV YEDEK PARÇA TIC.VE SAN.A.S</v>
          </cell>
          <cell r="B54" t="str">
            <v>NO RISK</v>
          </cell>
        </row>
        <row r="55">
          <cell r="A55" t="str">
            <v>VANORAVENTURES YAZILIM TEKNOLOJİLERİ (NO21)</v>
          </cell>
          <cell r="B55" t="str">
            <v>HIGH RISK</v>
          </cell>
        </row>
        <row r="56">
          <cell r="A56" t="str">
            <v>İLERİ MEKANİK MAKINA KALIP IML.SAN. VETIC. A.S.</v>
          </cell>
          <cell r="B56" t="str">
            <v>CHURN</v>
          </cell>
        </row>
        <row r="57">
          <cell r="A57" t="str">
            <v>KALİTEST BELGELENDIRME VE EGITIM HIZMETLERI LTD.ST</v>
          </cell>
          <cell r="B57" t="str">
            <v>MEDIUM RISK</v>
          </cell>
        </row>
        <row r="58">
          <cell r="A58" t="str">
            <v>Özdemir Çelik Konstrüksiyon İmalat Montaj Sanayi</v>
          </cell>
          <cell r="B58" t="str">
            <v>NO RISK</v>
          </cell>
        </row>
        <row r="59">
          <cell r="A59" t="str">
            <v>TED GLOBAL AG</v>
          </cell>
          <cell r="B59" t="str">
            <v>NO RISK</v>
          </cell>
        </row>
        <row r="60">
          <cell r="A60" t="str">
            <v>METRANS MAKINA ENT.ÜRN.SAN.VE TIC.A.S</v>
          </cell>
          <cell r="B60" t="str">
            <v>MEDIUM RISK</v>
          </cell>
        </row>
        <row r="61">
          <cell r="A61" t="str">
            <v>BURSA KAYNAK MAKİNE İNŞAAT YEDEK PARÇA NAKLİYE</v>
          </cell>
          <cell r="B61" t="str">
            <v>Booked Churn</v>
          </cell>
        </row>
        <row r="62">
          <cell r="A62" t="str">
            <v>VAILLANT GROUP TURKEY</v>
          </cell>
          <cell r="B62" t="str">
            <v>MEDIUM RISK</v>
          </cell>
        </row>
        <row r="63">
          <cell r="A63" t="str">
            <v>GARDENSA PEYZAJ A.Ş.</v>
          </cell>
          <cell r="B63" t="str">
            <v>BOOKED CHURN</v>
          </cell>
        </row>
        <row r="64">
          <cell r="A64" t="str">
            <v>İBRAHİM POLAT HOLDİNG</v>
          </cell>
          <cell r="B64" t="str">
            <v>NO RISK</v>
          </cell>
        </row>
        <row r="65">
          <cell r="A65" t="str">
            <v>AKSOY PLASTIK SANAYI VE TIC. A.S.</v>
          </cell>
          <cell r="B65" t="str">
            <v>HIGH RISK</v>
          </cell>
        </row>
        <row r="66">
          <cell r="A66" t="str">
            <v>AKTİF HUKUK</v>
          </cell>
          <cell r="B66" t="str">
            <v>NO RISK</v>
          </cell>
        </row>
        <row r="67">
          <cell r="A67" t="str">
            <v>ALVIMEDICA SAGLIK EKIPMANLARI PAZARLAMA</v>
          </cell>
          <cell r="B67" t="str">
            <v>NO RISK</v>
          </cell>
        </row>
        <row r="68">
          <cell r="A68" t="str">
            <v>PROSES MÜHENDISLIK ARITMA SISTEMLERI.INS.SAN.TIC.L</v>
          </cell>
          <cell r="B68" t="str">
            <v>BOOKED CHURN</v>
          </cell>
        </row>
        <row r="69">
          <cell r="A69" t="str">
            <v>ASİMETRİK SES IŞIK ve GÖRÜNTÜ SİSTEMLERİ AŞ (ASF)</v>
          </cell>
          <cell r="B69" t="str">
            <v>NO RISK</v>
          </cell>
        </row>
        <row r="70">
          <cell r="A70" t="str">
            <v>FET RESTORAN ISLETMELERI A.S</v>
          </cell>
          <cell r="B70" t="str">
            <v>NO RISK</v>
          </cell>
        </row>
        <row r="71">
          <cell r="A71" t="str">
            <v>BCM Uluslararası Madencilik iIracat San ve Tic</v>
          </cell>
          <cell r="B71" t="str">
            <v>NO RISK</v>
          </cell>
        </row>
        <row r="72">
          <cell r="A72" t="str">
            <v>BDO DENET YEMİNLİ MALİ MÜŞAVİRLİK A.Ş.</v>
          </cell>
          <cell r="B72" t="str">
            <v xml:space="preserve">NO RISK </v>
          </cell>
        </row>
        <row r="73">
          <cell r="A73" t="str">
            <v>TURSOY OTELCILIK VE TURIZM YATIRIMLARI A.S</v>
          </cell>
          <cell r="B73" t="str">
            <v>BOOKED CHURN</v>
          </cell>
        </row>
        <row r="74">
          <cell r="A74" t="str">
            <v>İPSİZCAMBAZ</v>
          </cell>
          <cell r="B74" t="str">
            <v>HIGH RISK</v>
          </cell>
        </row>
        <row r="75">
          <cell r="A75" t="str">
            <v>VİGO TEKNOLOJİ VE LOJİSTİK A.Ş.</v>
          </cell>
          <cell r="B75" t="str">
            <v>HIGH RISK</v>
          </cell>
        </row>
        <row r="76">
          <cell r="A76" t="str">
            <v>KARDEŞ ELEKTRIK SAN. VE TIC. AS.</v>
          </cell>
          <cell r="B76" t="str">
            <v>CHURN</v>
          </cell>
        </row>
        <row r="77">
          <cell r="A77" t="str">
            <v>HBM GIDA SANAYİ VE DIŞ TİCARET</v>
          </cell>
          <cell r="B77" t="str">
            <v xml:space="preserve">NO RISK </v>
          </cell>
        </row>
        <row r="78">
          <cell r="A78" t="str">
            <v>KALE PRATT</v>
          </cell>
          <cell r="B78" t="str">
            <v>NO RISK</v>
          </cell>
        </row>
        <row r="79">
          <cell r="A79" t="str">
            <v>KONTAK ARTI İLETİŞİM HİZMETLERİ LTD.ŞTİ</v>
          </cell>
          <cell r="B79" t="str">
            <v>CHURN</v>
          </cell>
        </row>
        <row r="80">
          <cell r="A80" t="str">
            <v>İSTANBUL TURİZM OTELCİLİK AŞ (THE MARMARA HOTELS)</v>
          </cell>
          <cell r="B80" t="str">
            <v>LOW RISK</v>
          </cell>
        </row>
        <row r="81">
          <cell r="A81" t="str">
            <v>MEDIALYZER MEDYA TEKNOLOJİLERİ ANONİM ŞİRKETİ</v>
          </cell>
          <cell r="B81" t="str">
            <v>CHURN</v>
          </cell>
        </row>
        <row r="82">
          <cell r="A82" t="str">
            <v>REISSWOLF DÖKÜMAN YÖNETIMI HIZMETLERI A.S.</v>
          </cell>
          <cell r="B82" t="str">
            <v>CHURN</v>
          </cell>
        </row>
        <row r="83">
          <cell r="A83" t="str">
            <v>MAYA HOLDING A.S</v>
          </cell>
          <cell r="B83" t="str">
            <v>NO RISK</v>
          </cell>
        </row>
        <row r="84">
          <cell r="A84" t="str">
            <v>MEDITEL MEDIKAL TEKNIK ELEKTRONIK A.S</v>
          </cell>
          <cell r="B84" t="str">
            <v>NO RISK</v>
          </cell>
        </row>
        <row r="85">
          <cell r="A85" t="str">
            <v>RAFINERI REKLAMCILIK HIZ.TIC.VE A.S</v>
          </cell>
          <cell r="B85" t="str">
            <v>CHURN</v>
          </cell>
        </row>
        <row r="86">
          <cell r="A86" t="str">
            <v>MIRORA ÇEVIRI LTD. STI. (MİRORA)</v>
          </cell>
          <cell r="B86" t="str">
            <v>LOW RISK</v>
          </cell>
        </row>
        <row r="87">
          <cell r="A87" t="str">
            <v>PEDAŞ LED AYDINLATMA TEKNOLOJİLERİ A.Ş.</v>
          </cell>
          <cell r="B87" t="str">
            <v>CHURN</v>
          </cell>
        </row>
        <row r="88">
          <cell r="A88" t="str">
            <v>SİSKON OTOMASYON YAZILIM A.Ş.</v>
          </cell>
          <cell r="B88" t="str">
            <v>BOOKED CHURN</v>
          </cell>
        </row>
        <row r="89">
          <cell r="A89" t="str">
            <v>BANK OF BAHRAIN AND KUWAIT TÜRKIYE TEMS. OF. (BBK)</v>
          </cell>
          <cell r="B89" t="str">
            <v>BOOKED CHURN</v>
          </cell>
        </row>
        <row r="90">
          <cell r="A90" t="str">
            <v>Sinerji Gıda Kimya Tekstil San. Ve Tic. A.Ş.</v>
          </cell>
          <cell r="B90" t="str">
            <v>NO RISK</v>
          </cell>
        </row>
        <row r="91">
          <cell r="A91" t="str">
            <v>WEITNAUER DIŞ TİC.A.Ş. (DEM DIŞ TİC )</v>
          </cell>
          <cell r="B91" t="str">
            <v>HIGH RISK</v>
          </cell>
        </row>
        <row r="92">
          <cell r="A92" t="str">
            <v>SYS TELEKOMINIKASYON BILG. ELKT. SAN.TIC.AS.</v>
          </cell>
          <cell r="B92" t="str">
            <v>HIGH RISK</v>
          </cell>
        </row>
        <row r="93">
          <cell r="A93" t="str">
            <v xml:space="preserve">EKSEN MEDIKAL TIBBI MALZ. VE GERÇ. PAZ. TUR. ITH. </v>
          </cell>
          <cell r="B93" t="str">
            <v>BOOKED CHURN</v>
          </cell>
        </row>
        <row r="94">
          <cell r="A94" t="str">
            <v>SİMETO GÜMRÜK MÜŞAVİRLİĞİ VE LOJİSTİK</v>
          </cell>
          <cell r="B94" t="str">
            <v>CHURN</v>
          </cell>
        </row>
        <row r="95">
          <cell r="A95" t="str">
            <v>COMPUGROUP MEDICAL BILGI SISTEMLERI A.S. (CGM)</v>
          </cell>
          <cell r="B95" t="str">
            <v>LOW RISK</v>
          </cell>
        </row>
        <row r="96">
          <cell r="A96" t="str">
            <v>MEY Kozmetik İth.İhr.San.ve Tic.Ltd.Şti.</v>
          </cell>
          <cell r="B96" t="str">
            <v>BOOKED CHURN</v>
          </cell>
        </row>
        <row r="97">
          <cell r="A97" t="str">
            <v>BACACI YATIRIM HOLDING ANONIM SIRKETI</v>
          </cell>
          <cell r="B97" t="str">
            <v>NO RISK</v>
          </cell>
        </row>
        <row r="98">
          <cell r="A98" t="str">
            <v>ARTI DEĞER İNŞAAT OTOMOTİV SANAYİ VE DIŞ TİCARET A</v>
          </cell>
          <cell r="B98" t="str">
            <v>BOOKED CHURN</v>
          </cell>
        </row>
        <row r="99">
          <cell r="A99" t="str">
            <v>Trada Teknoloji Anonim Şirketi</v>
          </cell>
          <cell r="B99" t="str">
            <v>BOOKED CHURN</v>
          </cell>
        </row>
        <row r="100">
          <cell r="A100" t="str">
            <v>FUTURE LOJİSTİK</v>
          </cell>
          <cell r="B100" t="str">
            <v>LOW RISK</v>
          </cell>
        </row>
        <row r="101">
          <cell r="A101" t="str">
            <v>ŞEKER YATIRIM MENKUL DEGERLER A.S.</v>
          </cell>
          <cell r="B101" t="str">
            <v>NO RISK</v>
          </cell>
        </row>
        <row r="102">
          <cell r="A102" t="str">
            <v>GRAND STAR TURİZM SAN.A.Ş.</v>
          </cell>
          <cell r="B102" t="str">
            <v>CHURN</v>
          </cell>
        </row>
        <row r="103">
          <cell r="A103" t="str">
            <v>AROMSA BESİN AROMA KATKI MAD SAN TİC AŞ</v>
          </cell>
          <cell r="B103" t="str">
            <v>NO RISK</v>
          </cell>
        </row>
        <row r="104">
          <cell r="A104" t="str">
            <v>ŞÖLEN ÇIKOLATA GIDA</v>
          </cell>
          <cell r="B104" t="str">
            <v>NO RISK</v>
          </cell>
        </row>
        <row r="105">
          <cell r="A105" t="str">
            <v>CAPITOL ALISVERIS HIZ.TIC.A.S</v>
          </cell>
          <cell r="B105" t="str">
            <v>BOOKED CHURN</v>
          </cell>
        </row>
        <row r="106">
          <cell r="A106" t="str">
            <v>INFOTECH BİLİŞİM VE İLETİŞİM TEKNOLOJİLERİ SAN. VE</v>
          </cell>
          <cell r="B106" t="str">
            <v>NO RISK</v>
          </cell>
        </row>
        <row r="107">
          <cell r="A107" t="str">
            <v>BABUR ARSLAN TUR. TİC. ÖZEL SAĞLIK HİZ VE SAN AŞ</v>
          </cell>
          <cell r="B107" t="str">
            <v>HIGH RISK</v>
          </cell>
        </row>
        <row r="108">
          <cell r="A108" t="str">
            <v>FRT SU ARITMA SANAYİ TİCARET LİMİTED ŞİRKETİ</v>
          </cell>
          <cell r="B108" t="str">
            <v>NO RISK</v>
          </cell>
        </row>
        <row r="109">
          <cell r="A109" t="str">
            <v>PIMMS ULUSLAR ARASI REKLAM ÜRÜNLERI A.S.</v>
          </cell>
          <cell r="B109" t="str">
            <v>CHURN</v>
          </cell>
        </row>
        <row r="110">
          <cell r="A110" t="str">
            <v>SAFİ REZİSTANS IMALAT SAN.SAFI YILMAZ</v>
          </cell>
          <cell r="B110" t="str">
            <v>MEDIUM RISK</v>
          </cell>
        </row>
        <row r="111">
          <cell r="A111" t="str">
            <v>AKSISTEM ELEK.SAN.VE TIC.LTD.STI.</v>
          </cell>
          <cell r="B111" t="str">
            <v>HIGH RISK</v>
          </cell>
        </row>
        <row r="112">
          <cell r="A112" t="str">
            <v>INCOMET INSAAT SAN. VE TIC. LTD.STI.</v>
          </cell>
          <cell r="B112" t="str">
            <v xml:space="preserve">BOOKED CHURN </v>
          </cell>
        </row>
        <row r="113">
          <cell r="A113" t="str">
            <v>MEDİCANA HASTANE İŞLETMECİLİĞİ A.Ş.</v>
          </cell>
          <cell r="B113" t="str">
            <v xml:space="preserve">BOOKED CHURN </v>
          </cell>
        </row>
        <row r="114">
          <cell r="A114" t="str">
            <v>NATUREM TEKNIK MAKINE TIC.LTD.STI</v>
          </cell>
          <cell r="B114" t="str">
            <v>BOOKED CHURN</v>
          </cell>
        </row>
        <row r="115">
          <cell r="A115" t="str">
            <v>FİNE OTEL TURİZM İŞLT. A.Ş</v>
          </cell>
          <cell r="B115" t="str">
            <v>CHURN</v>
          </cell>
        </row>
        <row r="116">
          <cell r="A116" t="str">
            <v>TRANSORIENT ULUSLARARASI LOJİSTİK VE TİCARET A.Ş</v>
          </cell>
          <cell r="B116" t="str">
            <v>HIGH RISK</v>
          </cell>
        </row>
        <row r="117">
          <cell r="A117" t="str">
            <v>DEMANT ISITME CIHAZLARI SAN.VE TIC.A.S. (SES)</v>
          </cell>
          <cell r="B117" t="str">
            <v>BOOKED CHURN</v>
          </cell>
        </row>
        <row r="118">
          <cell r="A118" t="str">
            <v>KOALAY - KONUT KREDISI COM TR DANISMANLIK A.S</v>
          </cell>
          <cell r="B118" t="str">
            <v>LOW RISK</v>
          </cell>
        </row>
        <row r="119">
          <cell r="A119" t="str">
            <v>LOGO YAZILIM SANAYİ TİC AŞ</v>
          </cell>
          <cell r="B119" t="str">
            <v>NO RISK</v>
          </cell>
        </row>
        <row r="120">
          <cell r="A120" t="str">
            <v>ABALIOĞLU HOLDİNG</v>
          </cell>
          <cell r="B120" t="str">
            <v>BOOKED CHURN</v>
          </cell>
        </row>
        <row r="121">
          <cell r="A121" t="str">
            <v xml:space="preserve">SOLVENTAS TEKNIK DEPOLAMA A.S. </v>
          </cell>
          <cell r="B121" t="str">
            <v>MEDIUM RISK</v>
          </cell>
        </row>
        <row r="122">
          <cell r="A122" t="str">
            <v>FILIDEA TEKSTIL SAN. VE TIC. A.S</v>
          </cell>
          <cell r="B122" t="str">
            <v>HIGH RISK</v>
          </cell>
        </row>
        <row r="123">
          <cell r="A123" t="str">
            <v>REFORM CNC,LOJISTIK VE GERI DÖNÜSÜM SISTEMLERI GÖR</v>
          </cell>
          <cell r="B123" t="str">
            <v>LOW RISK</v>
          </cell>
        </row>
        <row r="124">
          <cell r="A124" t="str">
            <v>KEY DİGİTAL PLATFORM TEKNOLOJİLERİ ANONİM ŞİRKETİ</v>
          </cell>
          <cell r="B124" t="str">
            <v>LOW RISK</v>
          </cell>
        </row>
        <row r="125">
          <cell r="A125" t="str">
            <v>AKS GÜMRÜK MÜSAVIRLIK LTD. STI.</v>
          </cell>
          <cell r="B125" t="str">
            <v>LOW RISK</v>
          </cell>
        </row>
        <row r="126">
          <cell r="A126" t="str">
            <v>BAUZADE YAPI MALZEMELERİ SANAYİ VE TİCARET LİMİTED</v>
          </cell>
          <cell r="B126" t="str">
            <v>LOW RISK</v>
          </cell>
        </row>
        <row r="127">
          <cell r="A127" t="str">
            <v>LKG MÜHENDISLIK VE ARGE HIZMETLERI LTD. ŞTI.</v>
          </cell>
          <cell r="B127" t="str">
            <v>CHURN</v>
          </cell>
        </row>
        <row r="128">
          <cell r="A128" t="str">
            <v>ORBITER AVIATION LIMITED</v>
          </cell>
          <cell r="B128" t="str">
            <v>LOW RISK</v>
          </cell>
        </row>
        <row r="129">
          <cell r="A129" t="str">
            <v>Ömür Akkor Anadolu  Gastronomi Vakfı</v>
          </cell>
          <cell r="B129" t="str">
            <v>LOW RISK</v>
          </cell>
        </row>
        <row r="130">
          <cell r="A130" t="str">
            <v>PAMTEK METAL END. ÜRUNLER SAN. VE TIC.LTD.STI.</v>
          </cell>
          <cell r="B130" t="str">
            <v>LOW RISK</v>
          </cell>
        </row>
        <row r="131">
          <cell r="A131" t="str">
            <v>UGI SOFT YAZILIM VE DANISMANLIK ANONIM SIRKETI</v>
          </cell>
          <cell r="B131" t="str">
            <v>LOW RISK</v>
          </cell>
        </row>
        <row r="132">
          <cell r="A132" t="str">
            <v>EGGO GROUP (URFASAN)</v>
          </cell>
          <cell r="B132" t="str">
            <v>BOOKED CHURN</v>
          </cell>
        </row>
        <row r="133">
          <cell r="A133" t="str">
            <v>DÜĞÜNÜMÜZ VAR FOTOĞRAFÇILIK HİZ. SAN. TİC. LTD. ŞT</v>
          </cell>
          <cell r="B133" t="str">
            <v>BOOKED CHURN</v>
          </cell>
        </row>
        <row r="134">
          <cell r="A134" t="str">
            <v>ÇAMLIBEL KURUMSAL PAZARLAMA HİZ. GIDA HAYV. SÜT ÜR</v>
          </cell>
          <cell r="B134" t="str">
            <v xml:space="preserve">HIGH RISK </v>
          </cell>
        </row>
        <row r="135">
          <cell r="A135" t="str">
            <v>TEKNOSA İÇ ve DIŞ TİCARET A.Ş.</v>
          </cell>
          <cell r="B135" t="str">
            <v>LOW RISK</v>
          </cell>
        </row>
        <row r="136">
          <cell r="A136" t="str">
            <v>DİKEY VITAMIN KOZM.GIDATAKV.TIC.AS(SUPPLEMTLER)</v>
          </cell>
          <cell r="B136" t="str">
            <v>LOW RISK</v>
          </cell>
        </row>
        <row r="137">
          <cell r="A137" t="str">
            <v>HAKMAR MAĞAZACILIK</v>
          </cell>
          <cell r="B137" t="str">
            <v>NO RISK</v>
          </cell>
        </row>
        <row r="138">
          <cell r="A138" t="str">
            <v>CARREFOURSA CARREFOUR SABANCI TİCARET MERKEZİ A.Ş</v>
          </cell>
          <cell r="B138" t="str">
            <v>LOW RISK</v>
          </cell>
        </row>
        <row r="139">
          <cell r="A139" t="str">
            <v>ABİDA BİLİŞİM TEKNOLOJİLERİ DANIŞMANLIK AŞ.</v>
          </cell>
          <cell r="B139" t="str">
            <v xml:space="preserve">BOOKED CHURN </v>
          </cell>
        </row>
        <row r="140">
          <cell r="A140" t="str">
            <v>BİS Çözüm Bilgisayar ve Entegrasyon Hizmetleri</v>
          </cell>
          <cell r="B140" t="str">
            <v>LOW RISK</v>
          </cell>
        </row>
        <row r="141">
          <cell r="A141" t="str">
            <v>ALTERNA GIDA SANAYI PAZARLAMA VE TİC. A.Ş.</v>
          </cell>
          <cell r="B141" t="str">
            <v>LOW RISK</v>
          </cell>
        </row>
        <row r="142">
          <cell r="A142" t="str">
            <v>EVIDEA MAGAZACILIK A.S.</v>
          </cell>
          <cell r="B142" t="str">
            <v>LOW RISK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9"/>
  <sheetViews>
    <sheetView tabSelected="1" topLeftCell="I1" zoomScale="70" zoomScaleNormal="70" workbookViewId="0">
      <selection activeCell="G2" sqref="G2:G444"/>
    </sheetView>
  </sheetViews>
  <sheetFormatPr defaultColWidth="9.140625" defaultRowHeight="15" x14ac:dyDescent="0.25"/>
  <cols>
    <col min="1" max="1" width="60.7109375" style="5" customWidth="1"/>
    <col min="2" max="2" width="10.5703125" style="5" bestFit="1" customWidth="1"/>
    <col min="3" max="3" width="17" style="5" bestFit="1" customWidth="1"/>
    <col min="4" max="4" width="12.28515625" style="5" bestFit="1" customWidth="1"/>
    <col min="5" max="5" width="20.28515625" style="5" bestFit="1" customWidth="1"/>
    <col min="6" max="6" width="21.7109375" style="5" bestFit="1" customWidth="1"/>
    <col min="7" max="7" width="21.7109375" style="5" customWidth="1"/>
    <col min="8" max="8" width="15.85546875" style="5" bestFit="1" customWidth="1"/>
    <col min="9" max="10" width="15.85546875" style="5" customWidth="1"/>
    <col min="11" max="11" width="19.7109375" style="5" bestFit="1" customWidth="1"/>
    <col min="12" max="12" width="26.85546875" style="5" customWidth="1"/>
    <col min="13" max="13" width="15" style="5" bestFit="1" customWidth="1"/>
    <col min="14" max="14" width="29.5703125" style="5" bestFit="1" customWidth="1"/>
    <col min="15" max="15" width="38.5703125" style="5" bestFit="1" customWidth="1"/>
    <col min="16" max="16" width="42.42578125" style="5" bestFit="1" customWidth="1"/>
    <col min="17" max="17" width="29.5703125" style="5" customWidth="1"/>
    <col min="18" max="18" width="10.140625" style="5" bestFit="1" customWidth="1"/>
    <col min="19" max="19" width="10.140625" style="5" customWidth="1"/>
    <col min="20" max="20" width="17" style="5" bestFit="1" customWidth="1"/>
    <col min="21" max="21" width="30.7109375" style="5" bestFit="1" customWidth="1"/>
    <col min="22" max="22" width="38.7109375" style="5" bestFit="1" customWidth="1"/>
    <col min="23" max="23" width="30.7109375" style="5" customWidth="1"/>
    <col min="24" max="24" width="13.7109375" style="5" customWidth="1"/>
    <col min="25" max="26" width="11.85546875" style="5" bestFit="1" customWidth="1"/>
    <col min="27" max="29" width="12.5703125" style="5" bestFit="1" customWidth="1"/>
    <col min="30" max="31" width="11.85546875" style="5" bestFit="1" customWidth="1"/>
    <col min="32" max="36" width="12.5703125" style="5" bestFit="1" customWidth="1"/>
    <col min="37" max="37" width="11.85546875" style="5" bestFit="1" customWidth="1"/>
    <col min="38" max="39" width="12.5703125" style="5" bestFit="1" customWidth="1"/>
    <col min="40" max="48" width="11.85546875" style="5" bestFit="1" customWidth="1"/>
    <col min="49" max="57" width="8.28515625" style="5" bestFit="1" customWidth="1"/>
    <col min="58" max="58" width="10.140625" style="5" bestFit="1" customWidth="1"/>
    <col min="59" max="59" width="9.140625" style="5"/>
    <col min="60" max="61" width="11.85546875" style="5" bestFit="1" customWidth="1"/>
    <col min="62" max="62" width="9.7109375" style="5" bestFit="1" customWidth="1"/>
    <col min="63" max="16384" width="9.140625" style="5"/>
  </cols>
  <sheetData>
    <row r="1" spans="1:62" x14ac:dyDescent="0.25">
      <c r="A1" s="1" t="s">
        <v>408</v>
      </c>
      <c r="B1" s="1" t="s">
        <v>642</v>
      </c>
      <c r="C1" s="1" t="s">
        <v>682</v>
      </c>
      <c r="D1" s="1" t="s">
        <v>409</v>
      </c>
      <c r="E1" s="1" t="s">
        <v>410</v>
      </c>
      <c r="F1" s="1" t="s">
        <v>683</v>
      </c>
      <c r="G1" s="1" t="s">
        <v>699</v>
      </c>
      <c r="H1" s="1" t="s">
        <v>684</v>
      </c>
      <c r="I1" s="1" t="s">
        <v>685</v>
      </c>
      <c r="J1" s="1" t="s">
        <v>686</v>
      </c>
      <c r="K1" s="1" t="s">
        <v>687</v>
      </c>
      <c r="L1" s="1" t="s">
        <v>411</v>
      </c>
      <c r="M1" s="1" t="s">
        <v>425</v>
      </c>
      <c r="N1" s="1" t="s">
        <v>426</v>
      </c>
      <c r="O1" s="1" t="s">
        <v>701</v>
      </c>
      <c r="P1" s="1" t="s">
        <v>702</v>
      </c>
      <c r="Q1" s="1" t="s">
        <v>427</v>
      </c>
      <c r="R1" s="1" t="s">
        <v>428</v>
      </c>
      <c r="S1" s="1" t="s">
        <v>695</v>
      </c>
      <c r="T1" s="12" t="s">
        <v>429</v>
      </c>
      <c r="U1" s="12" t="s">
        <v>700</v>
      </c>
      <c r="V1" s="12" t="s">
        <v>703</v>
      </c>
      <c r="W1" s="12" t="s">
        <v>704</v>
      </c>
      <c r="X1" s="1"/>
      <c r="Y1" s="2" t="s">
        <v>645</v>
      </c>
      <c r="Z1" s="2" t="s">
        <v>646</v>
      </c>
      <c r="AA1" s="2" t="s">
        <v>647</v>
      </c>
      <c r="AB1" s="2" t="s">
        <v>648</v>
      </c>
      <c r="AC1" s="2" t="s">
        <v>649</v>
      </c>
      <c r="AD1" s="2" t="s">
        <v>650</v>
      </c>
      <c r="AE1" s="2" t="s">
        <v>651</v>
      </c>
      <c r="AF1" s="2" t="s">
        <v>652</v>
      </c>
      <c r="AG1" s="2" t="s">
        <v>653</v>
      </c>
      <c r="AH1" s="2" t="s">
        <v>654</v>
      </c>
      <c r="AI1" s="2" t="s">
        <v>655</v>
      </c>
      <c r="AJ1" s="2" t="s">
        <v>656</v>
      </c>
      <c r="AK1" s="3" t="s">
        <v>658</v>
      </c>
      <c r="AL1" s="3" t="s">
        <v>659</v>
      </c>
      <c r="AM1" s="3" t="s">
        <v>660</v>
      </c>
      <c r="AN1" s="3" t="s">
        <v>661</v>
      </c>
      <c r="AO1" s="3" t="s">
        <v>662</v>
      </c>
      <c r="AP1" s="3" t="s">
        <v>663</v>
      </c>
      <c r="AQ1" s="3" t="s">
        <v>664</v>
      </c>
      <c r="AR1" s="3" t="s">
        <v>665</v>
      </c>
      <c r="AS1" s="3" t="s">
        <v>666</v>
      </c>
      <c r="AT1" s="3" t="s">
        <v>667</v>
      </c>
      <c r="AU1" s="3" t="s">
        <v>668</v>
      </c>
      <c r="AV1" s="3" t="s">
        <v>669</v>
      </c>
      <c r="AW1" s="2" t="s">
        <v>671</v>
      </c>
      <c r="AX1" s="2" t="s">
        <v>672</v>
      </c>
      <c r="AY1" s="2" t="s">
        <v>673</v>
      </c>
      <c r="AZ1" s="2" t="s">
        <v>674</v>
      </c>
      <c r="BA1" s="2" t="s">
        <v>675</v>
      </c>
      <c r="BB1" s="2" t="s">
        <v>676</v>
      </c>
      <c r="BC1" s="2" t="s">
        <v>677</v>
      </c>
      <c r="BD1" s="2" t="s">
        <v>678</v>
      </c>
      <c r="BE1" s="2" t="s">
        <v>679</v>
      </c>
      <c r="BF1" s="2" t="s">
        <v>680</v>
      </c>
      <c r="BG1" s="1"/>
      <c r="BH1" s="3" t="s">
        <v>657</v>
      </c>
      <c r="BI1" s="3" t="s">
        <v>670</v>
      </c>
      <c r="BJ1" s="4" t="s">
        <v>681</v>
      </c>
    </row>
    <row r="2" spans="1:62" x14ac:dyDescent="0.25">
      <c r="A2" s="9" t="s">
        <v>117</v>
      </c>
      <c r="B2" s="9" t="s">
        <v>643</v>
      </c>
      <c r="C2" s="10">
        <v>44927</v>
      </c>
      <c r="D2" s="6" cm="1">
        <f t="array" ref="D2">_xlfn.LET(
  _xlpm.aralık, Y2:BF2,
  _xlpm.ilk, MATCH(TRUE, _xlpm.aralık&lt;&gt;0, 0),
  _xlpm.son, MIN(_xlpm.ilk+2, COLUMNS(_xlpm.aralık)),
  MAX(INDEX(_xlpm.aralık, _xlpm.ilk):INDEX(_xlpm.aralık, _xlpm.son))
)</f>
        <v>66122.871317364115</v>
      </c>
      <c r="E2" s="6">
        <f t="shared" ref="E2:E65" si="0">IFERROR(INDEX($Y2:$BF2,MATCH(TEXT(EDATE($C2,12),"mmm.yy"),$Y$1:$BF$1,0)),0)</f>
        <v>66954.397661657349</v>
      </c>
      <c r="F2" s="6">
        <f t="shared" ref="F2:F65" si="1">IFERROR(INDEX($Y2:$BF2,MATCH(TEXT(EDATE($C2,24),"mmm.yy"),$Y$1:$BF$1,0)),0)</f>
        <v>100878.24920751381</v>
      </c>
      <c r="G2" s="6">
        <f>BF2</f>
        <v>115831.48739831554</v>
      </c>
      <c r="H2" s="7">
        <f t="shared" ref="H2:H65" si="2">(E2-D2)/D2</f>
        <v>1.2575472415621972E-2</v>
      </c>
      <c r="I2" s="7">
        <f t="shared" ref="I2:I65" si="3">(F2-D2)/D2</f>
        <v>0.52561809851446673</v>
      </c>
      <c r="J2" s="7">
        <f t="shared" ref="J2:J65" si="4">(F2-E2)/E2</f>
        <v>0.50667099892802969</v>
      </c>
      <c r="K2" s="7">
        <f>IF(R2="",((BF2-D2)/D2),((T2-D2)/D2))</f>
        <v>0.75176130574199307</v>
      </c>
      <c r="L2" s="5" t="s">
        <v>416</v>
      </c>
      <c r="M2" s="7">
        <f>IF(R2="",(VLOOKUP(A2,[1]Export!$B$2:$H$680,7,0)),"CHURN")</f>
        <v>1.8704257065266551E-2</v>
      </c>
      <c r="N2" s="5">
        <f>(1-M2)*G2</f>
        <v>113664.94548176526</v>
      </c>
      <c r="O2" s="5">
        <f>(1-M2)*E2</f>
        <v>65702.065396143633</v>
      </c>
      <c r="P2" s="5">
        <f>(1-M2)*F2</f>
        <v>98991.396502042451</v>
      </c>
      <c r="Q2" s="5" t="s">
        <v>430</v>
      </c>
      <c r="T2" s="6" t="str" cm="1">
        <f t="array" ref="T2">IF(R2&lt;&gt;"Churn","",
 _xlfn.LET(
   _xlpm.rng,Y2:BF2,
   _xlpm.pos,MAX(IF((_xlpm.rng&lt;&gt;0)*(_xlpm.rng&lt;&gt;""),COLUMN(_xlpm.rng)-COLUMN(Y2)+1)),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" s="6" t="str" cm="1">
        <f t="array" ref="U2">IF(R2="Churn",
   MAX(IF((Y2:BF2&lt;&gt;"")*(Y2:BF2&lt;&gt;0), COLUMN(Y2:BF2)-COLUMN(Y2)+1))
   -MATCH(1, --((Y2:BF2&lt;&gt;"")*(Y2:BF2&lt;&gt;0)), 0)
   +1,
"")</f>
        <v/>
      </c>
      <c r="V2" s="6" t="str" cm="1">
        <f t="array" ref="V2">IFERROR(
    IF(
        MATCH(2,1/((Y2:BF2&lt;&gt;0)*(Y2:BF2&lt;&gt;"")))-MATCH(1,INDEX((Y2:BF2&lt;&gt;0)*(Y2:BF2&lt;&gt;""),0),0)+1 &lt;= 12,
        "No",
        "Yes"
    ),
    "No"
)</f>
        <v>Yes</v>
      </c>
      <c r="W2" s="6" t="str" cm="1">
        <f t="array" ref="W2">IFERROR(
    IF(
        MATCH(2,1/((Y2:BF2&lt;&gt;0)*(Y2:BF2&lt;&gt;"")))-MATCH(1,INDEX((Y2:BF2&lt;&gt;0)*(Y2:BF2&lt;&gt;""),0),0)+1 &lt;= 24,
        "No",
        "Yes"
    ),
    "No"
)</f>
        <v>Yes</v>
      </c>
      <c r="X2" s="6"/>
      <c r="Y2" s="8">
        <v>61920.122874496446</v>
      </c>
      <c r="Z2" s="8">
        <v>66122.871317364115</v>
      </c>
      <c r="AA2" s="8">
        <v>63853.704164930838</v>
      </c>
      <c r="AB2" s="8">
        <v>63387.800537135925</v>
      </c>
      <c r="AC2" s="8">
        <v>65735.087636218275</v>
      </c>
      <c r="AD2" s="8">
        <v>58504.945340900027</v>
      </c>
      <c r="AE2" s="8">
        <v>56273.164356431138</v>
      </c>
      <c r="AF2" s="8">
        <v>58267.986034066154</v>
      </c>
      <c r="AG2" s="8">
        <v>71352.825469976335</v>
      </c>
      <c r="AH2" s="8">
        <v>69001.861014024907</v>
      </c>
      <c r="AI2" s="8">
        <v>70927.228179330996</v>
      </c>
      <c r="AJ2" s="8">
        <v>72009.588100897876</v>
      </c>
      <c r="AK2" s="8">
        <v>66954.397661657349</v>
      </c>
      <c r="AL2" s="8">
        <v>71310.191583974549</v>
      </c>
      <c r="AM2" s="8">
        <v>76920.674784292351</v>
      </c>
      <c r="AN2" s="8">
        <v>71577.798548665756</v>
      </c>
      <c r="AO2" s="8">
        <v>74954.628213093107</v>
      </c>
      <c r="AP2" s="8">
        <v>74046.103121715947</v>
      </c>
      <c r="AQ2" s="8">
        <v>74353.705031676305</v>
      </c>
      <c r="AR2" s="8">
        <v>73381.939725831529</v>
      </c>
      <c r="AS2" s="8">
        <v>86385.26347037933</v>
      </c>
      <c r="AT2" s="8">
        <v>86638.324691212067</v>
      </c>
      <c r="AU2" s="8">
        <v>87747.849173459923</v>
      </c>
      <c r="AV2" s="8">
        <v>89147.306663075738</v>
      </c>
      <c r="AW2" s="8">
        <v>100878.24920751381</v>
      </c>
      <c r="AX2" s="8">
        <v>108867.11209384332</v>
      </c>
      <c r="AY2" s="8">
        <v>113765.86353307619</v>
      </c>
      <c r="AZ2" s="8">
        <v>114090.83425498909</v>
      </c>
      <c r="BA2" s="8">
        <v>117172.46417257728</v>
      </c>
      <c r="BB2" s="8">
        <v>116917.62393290293</v>
      </c>
      <c r="BC2" s="8">
        <v>119104.01261949772</v>
      </c>
      <c r="BD2" s="8">
        <v>119837.60564362466</v>
      </c>
      <c r="BE2" s="8">
        <v>116204.80497474001</v>
      </c>
      <c r="BF2" s="8">
        <v>115831.48739831554</v>
      </c>
      <c r="BH2" s="8">
        <f t="shared" ref="BH2:BH65" si="5">SUM(Y2:AJ2)</f>
        <v>777357.18502577301</v>
      </c>
      <c r="BI2" s="8">
        <f t="shared" ref="BI2:BI65" si="6">SUM(AK2:AV2)</f>
        <v>933418.18266903376</v>
      </c>
      <c r="BJ2" s="8">
        <f t="shared" ref="BJ2:BJ65" si="7">SUM(AW2:BF2)</f>
        <v>1142670.0578310806</v>
      </c>
    </row>
    <row r="3" spans="1:62" x14ac:dyDescent="0.25">
      <c r="A3" s="9" t="s">
        <v>114</v>
      </c>
      <c r="B3" s="9" t="s">
        <v>643</v>
      </c>
      <c r="C3" s="10">
        <v>44927</v>
      </c>
      <c r="D3" s="6" cm="1">
        <f t="array" ref="D3">_xlfn.LET(
  _xlpm.aralık, Y3:BF3,
  _xlpm.ilk, MATCH(TRUE, _xlpm.aralık&lt;&gt;0, 0),
  _xlpm.son, MIN(_xlpm.ilk+2, COLUMNS(_xlpm.aralık)),
  MAX(INDEX(_xlpm.aralık, _xlpm.ilk):INDEX(_xlpm.aralık, _xlpm.son))
)</f>
        <v>64779.075606814818</v>
      </c>
      <c r="E3" s="6">
        <f t="shared" si="0"/>
        <v>61839.225249512347</v>
      </c>
      <c r="F3" s="6">
        <f t="shared" si="1"/>
        <v>81889.509394700464</v>
      </c>
      <c r="G3" s="6">
        <f t="shared" ref="G3:G66" si="8">BF3</f>
        <v>87273.781974941478</v>
      </c>
      <c r="H3" s="7">
        <f t="shared" si="2"/>
        <v>-4.5382715479706487E-2</v>
      </c>
      <c r="I3" s="7">
        <f t="shared" si="3"/>
        <v>0.26413519531738444</v>
      </c>
      <c r="J3" s="7">
        <f t="shared" si="4"/>
        <v>0.32423246029179886</v>
      </c>
      <c r="K3" s="7">
        <f t="shared" ref="K3:K66" si="9">IF(R3="",((BF3-D3)/D3),((T3-D3)/D3))</f>
        <v>0.34725266079221723</v>
      </c>
      <c r="L3" s="5" t="s">
        <v>413</v>
      </c>
      <c r="M3" s="7">
        <v>0</v>
      </c>
      <c r="N3" s="5">
        <f t="shared" ref="N3:N66" si="10">(1-M3)*G3</f>
        <v>87273.781974941478</v>
      </c>
      <c r="O3" s="5">
        <f t="shared" ref="O3:O66" si="11">(1-M3)*E3</f>
        <v>61839.225249512347</v>
      </c>
      <c r="P3" s="5">
        <f t="shared" ref="P3:P66" si="12">(1-M3)*F3</f>
        <v>81889.509394700464</v>
      </c>
      <c r="Q3" s="5" t="s">
        <v>430</v>
      </c>
      <c r="T3" s="6" t="str" cm="1">
        <f t="array" ref="T3">IF(R3&lt;&gt;"Churn","",
 _xlfn.LET(
   _xlpm.rng,Y3:BF3,
   _xlpm.pos,MAX(IF((_xlpm.rng&lt;&gt;0)*(_xlpm.rng&lt;&gt;""),COLUMN(_xlpm.rng)-COLUMN(Y3)+1)),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" s="6" t="str" cm="1">
        <f t="array" ref="U3">IF(R3="Churn",
   MAX(IF((Y3:BF3&lt;&gt;"")*(Y3:BF3&lt;&gt;0), COLUMN(Y3:BF3)-COLUMN(Y3)+1))
   -MATCH(1, --((Y3:BF3&lt;&gt;"")*(Y3:BF3&lt;&gt;0)), 0)
   +1,
"")</f>
        <v/>
      </c>
      <c r="V3" s="6" t="str" cm="1">
        <f t="array" ref="V3">IFERROR(
    IF(
        MATCH(2,1/((Y3:BF3&lt;&gt;0)*(Y3:BF3&lt;&gt;"")))-MATCH(1,INDEX((Y3:BF3&lt;&gt;0)*(Y3:BF3&lt;&gt;""),0),0)+1 &lt;= 12,
        "No",
        "Yes"
    ),
    "No"
)</f>
        <v>Yes</v>
      </c>
      <c r="W3" s="6" t="str" cm="1">
        <f t="array" ref="W3">IFERROR(
    IF(
        MATCH(2,1/((Y3:BF3&lt;&gt;0)*(Y3:BF3&lt;&gt;"")))-MATCH(1,INDEX((Y3:BF3&lt;&gt;0)*(Y3:BF3&lt;&gt;""),0),0)+1 &lt;= 24,
        "No",
        "Yes"
    ),
    "No"
)</f>
        <v>Yes</v>
      </c>
      <c r="Y3" s="8">
        <v>60427.282029821465</v>
      </c>
      <c r="Z3" s="8">
        <v>64779.075606814818</v>
      </c>
      <c r="AA3" s="8">
        <v>64647.75466564011</v>
      </c>
      <c r="AB3" s="8">
        <v>64332.707356742168</v>
      </c>
      <c r="AC3" s="8">
        <v>64002.483231025646</v>
      </c>
      <c r="AD3" s="8">
        <v>62754.360070561692</v>
      </c>
      <c r="AE3" s="8">
        <v>61119.388078908996</v>
      </c>
      <c r="AF3" s="8">
        <v>63377.256761543118</v>
      </c>
      <c r="AG3" s="8">
        <v>63363.343229304395</v>
      </c>
      <c r="AH3" s="8">
        <v>62901.662569464774</v>
      </c>
      <c r="AI3" s="8">
        <v>62502.011746309858</v>
      </c>
      <c r="AJ3" s="8">
        <v>62282.045129934937</v>
      </c>
      <c r="AK3" s="8">
        <v>61839.225249512347</v>
      </c>
      <c r="AL3" s="8">
        <v>65276.469230158778</v>
      </c>
      <c r="AM3" s="8">
        <v>64664.630903898091</v>
      </c>
      <c r="AN3" s="8">
        <v>64502.481774207256</v>
      </c>
      <c r="AO3" s="8">
        <v>64560.497309000544</v>
      </c>
      <c r="AP3" s="8">
        <v>64389.2442196665</v>
      </c>
      <c r="AQ3" s="8">
        <v>64203.849290505634</v>
      </c>
      <c r="AR3" s="8">
        <v>63863.292414624702</v>
      </c>
      <c r="AS3" s="8">
        <v>63686.075383711141</v>
      </c>
      <c r="AT3" s="8">
        <v>63591.455169978959</v>
      </c>
      <c r="AU3" s="8">
        <v>63507.630859118566</v>
      </c>
      <c r="AV3" s="8">
        <v>63272.481691646513</v>
      </c>
      <c r="AW3" s="8">
        <v>81889.509394700464</v>
      </c>
      <c r="AX3" s="8">
        <v>81489.334467536581</v>
      </c>
      <c r="AY3" s="8">
        <v>80932.961395560051</v>
      </c>
      <c r="AZ3" s="8">
        <v>80352.103502326936</v>
      </c>
      <c r="BA3" s="8">
        <v>82989.411970801419</v>
      </c>
      <c r="BB3" s="8">
        <v>82636.120298623602</v>
      </c>
      <c r="BC3" s="8">
        <v>93911.372428625589</v>
      </c>
      <c r="BD3" s="8">
        <v>94350.490159703011</v>
      </c>
      <c r="BE3" s="8">
        <v>86096.912471922114</v>
      </c>
      <c r="BF3" s="8">
        <v>87273.781974941478</v>
      </c>
      <c r="BH3" s="8">
        <f t="shared" si="5"/>
        <v>756489.37047607196</v>
      </c>
      <c r="BI3" s="8">
        <f t="shared" si="6"/>
        <v>767357.33349602902</v>
      </c>
      <c r="BJ3" s="8">
        <f t="shared" si="7"/>
        <v>851921.99806474126</v>
      </c>
    </row>
    <row r="4" spans="1:62" x14ac:dyDescent="0.25">
      <c r="A4" s="9" t="s">
        <v>197</v>
      </c>
      <c r="B4" s="9" t="s">
        <v>643</v>
      </c>
      <c r="C4" s="10">
        <f>VLOOKUP(A4,'[2]Revenue_Engine_2025 Oct.25'!$C$14:G$3937,5,0)</f>
        <v>44951</v>
      </c>
      <c r="D4" s="6" cm="1">
        <f t="array" ref="D4">_xlfn.LET(
  _xlpm.aralık, Y4:BF4,
  _xlpm.ilk, MATCH(TRUE, _xlpm.aralık&lt;&gt;0, 0),
  _xlpm.son, MIN(_xlpm.ilk+2, COLUMNS(_xlpm.aralık)),
  MAX(INDEX(_xlpm.aralık, _xlpm.ilk):INDEX(_xlpm.aralık, _xlpm.son))
)</f>
        <v>15464.324640174476</v>
      </c>
      <c r="E4" s="6">
        <f t="shared" si="0"/>
        <v>27571.30845474638</v>
      </c>
      <c r="F4" s="6">
        <f t="shared" si="1"/>
        <v>76325.108717543131</v>
      </c>
      <c r="G4" s="6">
        <f t="shared" si="8"/>
        <v>79907.712465018252</v>
      </c>
      <c r="H4" s="7">
        <f t="shared" si="2"/>
        <v>0.78289767553892398</v>
      </c>
      <c r="I4" s="7">
        <f t="shared" si="3"/>
        <v>3.9355604265613757</v>
      </c>
      <c r="J4" s="7">
        <f t="shared" si="4"/>
        <v>1.7682802520169774</v>
      </c>
      <c r="K4" s="7">
        <f t="shared" si="9"/>
        <v>4.1672293698120848</v>
      </c>
      <c r="L4" s="5" t="s">
        <v>414</v>
      </c>
      <c r="M4" s="7">
        <f>IF(R4="",(VLOOKUP(A4,[1]Export!$B$2:$H$680,7,0)),"CHURN")</f>
        <v>0.19781585966045662</v>
      </c>
      <c r="N4" s="5">
        <f t="shared" si="10"/>
        <v>64100.699630250077</v>
      </c>
      <c r="O4" s="5">
        <f t="shared" si="11"/>
        <v>22117.266370807109</v>
      </c>
      <c r="P4" s="5">
        <f t="shared" si="12"/>
        <v>61226.79172290452</v>
      </c>
      <c r="Q4" s="5" t="s">
        <v>430</v>
      </c>
      <c r="T4" s="6" t="str" cm="1">
        <f t="array" ref="T4">IF(R4&lt;&gt;"Churn","",
 _xlfn.LET(
   _xlpm.rng,Y4:BF4,
   _xlpm.pos,MAX(IF((_xlpm.rng&lt;&gt;0)*(_xlpm.rng&lt;&gt;""),COLUMN(_xlpm.rng)-COLUMN(Y4)+1)),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" s="6" t="str" cm="1">
        <f t="array" ref="U4">IF(R4="Churn",
   MAX(IF((Y4:BF4&lt;&gt;"")*(Y4:BF4&lt;&gt;0), COLUMN(Y4:BF4)-COLUMN(Y4)+1))
   -MATCH(1, --((Y4:BF4&lt;&gt;"")*(Y4:BF4&lt;&gt;0)), 0)
   +1,
"")</f>
        <v/>
      </c>
      <c r="V4" s="6" t="str" cm="1">
        <f t="array" ref="V4">IFERROR(
    IF(
        MATCH(2,1/((Y4:BF4&lt;&gt;0)*(Y4:BF4&lt;&gt;"")))-MATCH(1,INDEX((Y4:BF4&lt;&gt;0)*(Y4:BF4&lt;&gt;""),0),0)+1 &lt;= 12,
        "No",
        "Yes"
    ),
    "No"
)</f>
        <v>Yes</v>
      </c>
      <c r="W4" s="6" t="str" cm="1">
        <f t="array" ref="W4">IFERROR(
    IF(
        MATCH(2,1/((Y4:BF4&lt;&gt;0)*(Y4:BF4&lt;&gt;"")))-MATCH(1,INDEX((Y4:BF4&lt;&gt;0)*(Y4:BF4&lt;&gt;""),0),0)+1 &lt;= 24,
        "No",
        "Yes"
    ),
    "No"
)</f>
        <v>Yes</v>
      </c>
      <c r="Y4" s="8">
        <v>0</v>
      </c>
      <c r="Z4" s="8">
        <v>0</v>
      </c>
      <c r="AA4" s="8">
        <v>14964.798965464508</v>
      </c>
      <c r="AB4" s="8">
        <v>14805.527067714349</v>
      </c>
      <c r="AC4" s="8">
        <v>15464.324640174476</v>
      </c>
      <c r="AD4" s="8">
        <v>13959.146750406755</v>
      </c>
      <c r="AE4" s="8">
        <v>13053.578770565338</v>
      </c>
      <c r="AF4" s="8">
        <v>13968.795247727656</v>
      </c>
      <c r="AG4" s="8">
        <v>13962.373298104125</v>
      </c>
      <c r="AH4" s="8">
        <v>13749.279319610479</v>
      </c>
      <c r="AI4" s="8">
        <v>15231.485920290426</v>
      </c>
      <c r="AJ4" s="8">
        <v>20129.957817650393</v>
      </c>
      <c r="AK4" s="8">
        <v>27571.30845474638</v>
      </c>
      <c r="AL4" s="8">
        <v>27402.292225273413</v>
      </c>
      <c r="AM4" s="8">
        <v>31269.721260293303</v>
      </c>
      <c r="AN4" s="8">
        <v>36167.648593642436</v>
      </c>
      <c r="AO4" s="8">
        <v>41542.731195914886</v>
      </c>
      <c r="AP4" s="8">
        <v>51453.64715776364</v>
      </c>
      <c r="AQ4" s="8">
        <v>51332.796132685166</v>
      </c>
      <c r="AR4" s="8">
        <v>56047.038164931488</v>
      </c>
      <c r="AS4" s="8">
        <v>55909.356500255933</v>
      </c>
      <c r="AT4" s="8">
        <v>55835.845120049155</v>
      </c>
      <c r="AU4" s="8">
        <v>67790.476655786653</v>
      </c>
      <c r="AV4" s="8">
        <v>72663.39491929629</v>
      </c>
      <c r="AW4" s="8">
        <v>76325.108717543131</v>
      </c>
      <c r="AX4" s="8">
        <v>72656.264624924981</v>
      </c>
      <c r="AY4" s="8">
        <v>74899.274975939232</v>
      </c>
      <c r="AZ4" s="8">
        <v>74091.355843382655</v>
      </c>
      <c r="BA4" s="8">
        <v>82044.152730775779</v>
      </c>
      <c r="BB4" s="8">
        <v>81550.648967276851</v>
      </c>
      <c r="BC4" s="8">
        <v>81001.031546535407</v>
      </c>
      <c r="BD4" s="8">
        <v>80569.445257574524</v>
      </c>
      <c r="BE4" s="8">
        <v>80235.455823027965</v>
      </c>
      <c r="BF4" s="8">
        <v>79907.712465018252</v>
      </c>
      <c r="BH4" s="8">
        <f t="shared" si="5"/>
        <v>149289.26779770851</v>
      </c>
      <c r="BI4" s="8">
        <f t="shared" si="6"/>
        <v>574986.25638063869</v>
      </c>
      <c r="BJ4" s="8">
        <f t="shared" si="7"/>
        <v>783280.45095199882</v>
      </c>
    </row>
    <row r="5" spans="1:62" x14ac:dyDescent="0.25">
      <c r="A5" s="9" t="s">
        <v>304</v>
      </c>
      <c r="B5" s="9" t="s">
        <v>643</v>
      </c>
      <c r="C5" s="10">
        <f>VLOOKUP(A5,'[2]Revenue_Engine_2025 Oct.25'!$C$14:G$3937,5,0)</f>
        <v>45443</v>
      </c>
      <c r="D5" s="6" cm="1">
        <f t="array" ref="D5">_xlfn.LET(
  _xlpm.aralık, Y5:BF5,
  _xlpm.ilk, MATCH(TRUE, _xlpm.aralık&lt;&gt;0, 0),
  _xlpm.son, MIN(_xlpm.ilk+2, COLUMNS(_xlpm.aralık)),
  MAX(INDEX(_xlpm.aralık, _xlpm.ilk):INDEX(_xlpm.aralık, _xlpm.son))
)</f>
        <v>37183.503359423281</v>
      </c>
      <c r="E5" s="6">
        <f t="shared" si="0"/>
        <v>60452.734651856998</v>
      </c>
      <c r="F5" s="6">
        <f t="shared" si="1"/>
        <v>0</v>
      </c>
      <c r="G5" s="6">
        <f t="shared" si="8"/>
        <v>51835.846696208384</v>
      </c>
      <c r="H5" s="7">
        <f t="shared" si="2"/>
        <v>0.62579448384700631</v>
      </c>
      <c r="I5" s="7">
        <f t="shared" si="3"/>
        <v>-1</v>
      </c>
      <c r="J5" s="7">
        <f t="shared" si="4"/>
        <v>-1</v>
      </c>
      <c r="K5" s="7">
        <f t="shared" si="9"/>
        <v>0.39405494407432734</v>
      </c>
      <c r="L5" s="5" t="s">
        <v>418</v>
      </c>
      <c r="M5" s="7">
        <v>0</v>
      </c>
      <c r="N5" s="5">
        <f t="shared" si="10"/>
        <v>51835.846696208384</v>
      </c>
      <c r="O5" s="5">
        <f t="shared" si="11"/>
        <v>60452.734651856998</v>
      </c>
      <c r="P5" s="5">
        <f t="shared" si="12"/>
        <v>0</v>
      </c>
      <c r="Q5" s="5" t="s">
        <v>430</v>
      </c>
      <c r="T5" s="6" t="str" cm="1">
        <f t="array" ref="T5">IF(R5&lt;&gt;"Churn","",
 _xlfn.LET(
   _xlpm.rng,Y5:BF5,
   _xlpm.pos,MAX(IF((_xlpm.rng&lt;&gt;0)*(_xlpm.rng&lt;&gt;""),COLUMN(_xlpm.rng)-COLUMN(Y5)+1)),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" s="6" t="str" cm="1">
        <f t="array" ref="U5">IF(R5="Churn",
   MAX(IF((Y5:BF5&lt;&gt;"")*(Y5:BF5&lt;&gt;0), COLUMN(Y5:BF5)-COLUMN(Y5)+1))
   -MATCH(1, --((Y5:BF5&lt;&gt;"")*(Y5:BF5&lt;&gt;0)), 0)
   +1,
"")</f>
        <v/>
      </c>
      <c r="V5" s="6" t="str" cm="1">
        <f t="array" ref="V5">IFERROR(
    IF(
        MATCH(2,1/((Y5:BF5&lt;&gt;0)*(Y5:BF5&lt;&gt;"")))-MATCH(1,INDEX((Y5:BF5&lt;&gt;0)*(Y5:BF5&lt;&gt;""),0),0)+1 &lt;= 12,
        "No",
        "Yes"
    ),
    "No"
)</f>
        <v>Yes</v>
      </c>
      <c r="W5" s="6" t="str" cm="1">
        <f t="array" ref="W5">IFERROR(
    IF(
        MATCH(2,1/((Y5:BF5&lt;&gt;0)*(Y5:BF5&lt;&gt;"")))-MATCH(1,INDEX((Y5:BF5&lt;&gt;0)*(Y5:BF5&lt;&gt;""),0),0)+1 &lt;= 24,
        "No",
        "Yes"
    ),
    "No"
)</f>
        <v>No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19597.421759726643</v>
      </c>
      <c r="AP5" s="8">
        <v>32740.533581377014</v>
      </c>
      <c r="AQ5" s="8">
        <v>37183.503359423281</v>
      </c>
      <c r="AR5" s="8">
        <v>46992.87471775899</v>
      </c>
      <c r="AS5" s="8">
        <v>56495.453394347365</v>
      </c>
      <c r="AT5" s="8">
        <v>60344.095965256791</v>
      </c>
      <c r="AU5" s="8">
        <v>61022.814252577838</v>
      </c>
      <c r="AV5" s="8">
        <v>63032.192259646792</v>
      </c>
      <c r="AW5" s="8">
        <v>62259.784970511049</v>
      </c>
      <c r="AX5" s="8">
        <v>58520.385109043084</v>
      </c>
      <c r="AY5" s="8">
        <v>52801.391505545209</v>
      </c>
      <c r="AZ5" s="8">
        <v>49019.096163509275</v>
      </c>
      <c r="BA5" s="8">
        <v>60452.734651856998</v>
      </c>
      <c r="BB5" s="8">
        <v>59288.375954494484</v>
      </c>
      <c r="BC5" s="8">
        <v>52377.057937473823</v>
      </c>
      <c r="BD5" s="8">
        <v>53068.867493664926</v>
      </c>
      <c r="BE5" s="8">
        <v>52640.973836010533</v>
      </c>
      <c r="BF5" s="8">
        <v>51835.846696208384</v>
      </c>
      <c r="BH5" s="8">
        <f t="shared" si="5"/>
        <v>0</v>
      </c>
      <c r="BI5" s="8">
        <f t="shared" si="6"/>
        <v>377408.88929011469</v>
      </c>
      <c r="BJ5" s="8">
        <f t="shared" si="7"/>
        <v>552264.51431831776</v>
      </c>
    </row>
    <row r="6" spans="1:62" x14ac:dyDescent="0.25">
      <c r="A6" s="9" t="s">
        <v>688</v>
      </c>
      <c r="B6" s="9" t="s">
        <v>643</v>
      </c>
      <c r="C6" s="10">
        <f>VLOOKUP(A6,'[2]Revenue_Engine_2025 Oct.25'!$C$14:G$3937,5,0)</f>
        <v>45576</v>
      </c>
      <c r="D6" s="6" cm="1">
        <f t="array" ref="D6">_xlfn.LET(
  _xlpm.aralık, Y6:BF6,
  _xlpm.ilk, MATCH(TRUE, _xlpm.aralık&lt;&gt;0, 0),
  _xlpm.son, MIN(_xlpm.ilk+2, COLUMNS(_xlpm.aralık)),
  MAX(INDEX(_xlpm.aralık, _xlpm.ilk):INDEX(_xlpm.aralık, _xlpm.son))
)</f>
        <v>26825</v>
      </c>
      <c r="E6" s="6">
        <f t="shared" si="0"/>
        <v>29388.319299999999</v>
      </c>
      <c r="F6" s="6">
        <f t="shared" si="1"/>
        <v>0</v>
      </c>
      <c r="G6" s="6">
        <f t="shared" si="8"/>
        <v>29388.319299999999</v>
      </c>
      <c r="H6" s="7">
        <f t="shared" si="2"/>
        <v>9.5557103448275837E-2</v>
      </c>
      <c r="I6" s="7">
        <f t="shared" si="3"/>
        <v>-1</v>
      </c>
      <c r="J6" s="7">
        <f t="shared" si="4"/>
        <v>-1</v>
      </c>
      <c r="K6" s="7">
        <f t="shared" si="9"/>
        <v>9.5557103448275837E-2</v>
      </c>
      <c r="L6" s="5" t="s">
        <v>418</v>
      </c>
      <c r="M6" s="7">
        <f>IF(R6="",(VLOOKUP(A6,[1]Export!$B$2:$H$680,7,0)),"CHURN")</f>
        <v>0</v>
      </c>
      <c r="N6" s="5">
        <f t="shared" si="10"/>
        <v>29388.319299999999</v>
      </c>
      <c r="O6" s="5">
        <f t="shared" si="11"/>
        <v>29388.319299999999</v>
      </c>
      <c r="P6" s="5">
        <f t="shared" si="12"/>
        <v>0</v>
      </c>
      <c r="Q6" s="5" t="s">
        <v>430</v>
      </c>
      <c r="T6" s="6" t="str" cm="1">
        <f t="array" ref="T6">IF(R6&lt;&gt;"Churn","",
 _xlfn.LET(
   _xlpm.rng,Y6:BF6,
   _xlpm.pos,MAX(IF((_xlpm.rng&lt;&gt;0)*(_xlpm.rng&lt;&gt;""),COLUMN(_xlpm.rng)-COLUMN(Y6)+1)),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" s="6" t="str" cm="1">
        <f t="array" ref="U6">IF(R6="Churn",
   MAX(IF((Y6:BF6&lt;&gt;"")*(Y6:BF6&lt;&gt;0), COLUMN(Y6:BF6)-COLUMN(Y6)+1))
   -MATCH(1, --((Y6:BF6&lt;&gt;"")*(Y6:BF6&lt;&gt;0)), 0)
   +1,
"")</f>
        <v/>
      </c>
      <c r="V6" s="6" t="str" cm="1">
        <f t="array" ref="V6">IFERROR(
    IF(
        MATCH(2,1/((Y6:BF6&lt;&gt;0)*(Y6:BF6&lt;&gt;"")))-MATCH(1,INDEX((Y6:BF6&lt;&gt;0)*(Y6:BF6&lt;&gt;""),0),0)+1 &lt;= 12,
        "No",
        "Yes"
    ),
    "No"
)</f>
        <v>No</v>
      </c>
      <c r="W6" s="6" t="str" cm="1">
        <f t="array" ref="W6">IFERROR(
    IF(
        MATCH(2,1/((Y6:BF6&lt;&gt;0)*(Y6:BF6&lt;&gt;"")))-MATCH(1,INDEX((Y6:BF6&lt;&gt;0)*(Y6:BF6&lt;&gt;""),0),0)+1 &lt;= 24,
        "No",
        "Yes"
    ),
    "No"
)</f>
        <v>No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2418.85</v>
      </c>
      <c r="AV6" s="8">
        <v>12984.04</v>
      </c>
      <c r="AW6" s="8">
        <v>26825</v>
      </c>
      <c r="AX6" s="8">
        <v>27180.94</v>
      </c>
      <c r="AY6" s="8">
        <v>27897.26</v>
      </c>
      <c r="AZ6" s="8">
        <v>28291.021400000001</v>
      </c>
      <c r="BA6" s="8">
        <v>28297.23</v>
      </c>
      <c r="BB6" s="8">
        <v>28496.097599999997</v>
      </c>
      <c r="BC6" s="8">
        <v>29211.5</v>
      </c>
      <c r="BD6" s="8">
        <v>28949.17</v>
      </c>
      <c r="BE6" s="8">
        <v>29374.3</v>
      </c>
      <c r="BF6" s="8">
        <v>29388.319299999999</v>
      </c>
      <c r="BH6" s="8">
        <f t="shared" si="5"/>
        <v>0</v>
      </c>
      <c r="BI6" s="8">
        <f t="shared" si="6"/>
        <v>15402.890000000001</v>
      </c>
      <c r="BJ6" s="8">
        <f t="shared" si="7"/>
        <v>283910.83829999994</v>
      </c>
    </row>
    <row r="7" spans="1:62" x14ac:dyDescent="0.25">
      <c r="A7" s="9" t="s">
        <v>146</v>
      </c>
      <c r="B7" s="9" t="s">
        <v>643</v>
      </c>
      <c r="C7" s="10">
        <v>44927</v>
      </c>
      <c r="D7" s="6" cm="1">
        <f t="array" ref="D7">_xlfn.LET(
  _xlpm.aralık, Y7:BF7,
  _xlpm.ilk, MATCH(TRUE, _xlpm.aralık&lt;&gt;0, 0),
  _xlpm.son, MIN(_xlpm.ilk+2, COLUMNS(_xlpm.aralık)),
  MAX(INDEX(_xlpm.aralık, _xlpm.ilk):INDEX(_xlpm.aralık, _xlpm.son))
)</f>
        <v>13132.282776157756</v>
      </c>
      <c r="E7" s="6">
        <f t="shared" si="0"/>
        <v>15795.814897218823</v>
      </c>
      <c r="F7" s="6">
        <f t="shared" si="1"/>
        <v>29488.376555577506</v>
      </c>
      <c r="G7" s="6">
        <f t="shared" si="8"/>
        <v>29344.621037235509</v>
      </c>
      <c r="H7" s="7">
        <f t="shared" si="2"/>
        <v>0.20282323846215286</v>
      </c>
      <c r="I7" s="7">
        <f t="shared" si="3"/>
        <v>1.2454874798397555</v>
      </c>
      <c r="J7" s="7">
        <f t="shared" si="4"/>
        <v>0.8668474369606306</v>
      </c>
      <c r="K7" s="7">
        <f t="shared" si="9"/>
        <v>1.2345407525424275</v>
      </c>
      <c r="L7" s="5" t="s">
        <v>414</v>
      </c>
      <c r="M7" s="7">
        <f>IF(R7="",(VLOOKUP(A7,[1]Export!$B$2:$H$680,7,0)),"CHURN")</f>
        <v>4.6201221781282682E-3</v>
      </c>
      <c r="N7" s="5">
        <f t="shared" si="10"/>
        <v>29209.045302772607</v>
      </c>
      <c r="O7" s="5">
        <f t="shared" si="11"/>
        <v>15722.836302490574</v>
      </c>
      <c r="P7" s="5">
        <f t="shared" si="12"/>
        <v>29352.136653056084</v>
      </c>
      <c r="Q7" s="5" t="s">
        <v>430</v>
      </c>
      <c r="T7" s="6" t="str" cm="1">
        <f t="array" ref="T7">IF(R7&lt;&gt;"Churn","",
 _xlfn.LET(
   _xlpm.rng,Y7:BF7,
   _xlpm.pos,MAX(IF((_xlpm.rng&lt;&gt;0)*(_xlpm.rng&lt;&gt;""),COLUMN(_xlpm.rng)-COLUMN(Y7)+1)),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" s="6" t="str" cm="1">
        <f t="array" ref="U7">IF(R7="Churn",
   MAX(IF((Y7:BF7&lt;&gt;"")*(Y7:BF7&lt;&gt;0), COLUMN(Y7:BF7)-COLUMN(Y7)+1))
   -MATCH(1, --((Y7:BF7&lt;&gt;"")*(Y7:BF7&lt;&gt;0)), 0)
   +1,
"")</f>
        <v/>
      </c>
      <c r="V7" s="6" t="str" cm="1">
        <f t="array" ref="V7">IFERROR(
    IF(
        MATCH(2,1/((Y7:BF7&lt;&gt;0)*(Y7:BF7&lt;&gt;"")))-MATCH(1,INDEX((Y7:BF7&lt;&gt;0)*(Y7:BF7&lt;&gt;""),0),0)+1 &lt;= 12,
        "No",
        "Yes"
    ),
    "No"
)</f>
        <v>Yes</v>
      </c>
      <c r="W7" s="6" t="str" cm="1">
        <f t="array" ref="W7">IFERROR(
    IF(
        MATCH(2,1/((Y7:BF7&lt;&gt;0)*(Y7:BF7&lt;&gt;"")))-MATCH(1,INDEX((Y7:BF7&lt;&gt;0)*(Y7:BF7&lt;&gt;""),0),0)+1 &lt;= 24,
        "No",
        "Yes"
    ),
    "No"
)</f>
        <v>Yes</v>
      </c>
      <c r="Y7" s="8">
        <v>13132.282776157756</v>
      </c>
      <c r="Z7" s="8">
        <v>13086.656714673523</v>
      </c>
      <c r="AA7" s="8">
        <v>12990.455147101475</v>
      </c>
      <c r="AB7" s="8">
        <v>12998.601478289243</v>
      </c>
      <c r="AC7" s="8">
        <v>12517.749197121831</v>
      </c>
      <c r="AD7" s="8">
        <v>10526.960189395233</v>
      </c>
      <c r="AE7" s="8">
        <v>12565.312004120417</v>
      </c>
      <c r="AF7" s="8">
        <v>12341.274341149501</v>
      </c>
      <c r="AG7" s="8">
        <v>12772.397204084737</v>
      </c>
      <c r="AH7" s="8">
        <v>12400.294574441026</v>
      </c>
      <c r="AI7" s="8">
        <v>12058.921942839948</v>
      </c>
      <c r="AJ7" s="8">
        <v>12020.15856560807</v>
      </c>
      <c r="AK7" s="8">
        <v>15795.814897218823</v>
      </c>
      <c r="AL7" s="8">
        <v>17978.612499299586</v>
      </c>
      <c r="AM7" s="8">
        <v>16565.396544917949</v>
      </c>
      <c r="AN7" s="8">
        <v>21113.211670259589</v>
      </c>
      <c r="AO7" s="8">
        <v>20463.288809536371</v>
      </c>
      <c r="AP7" s="8">
        <v>20810.600633281389</v>
      </c>
      <c r="AQ7" s="8">
        <v>26057.019931289364</v>
      </c>
      <c r="AR7" s="8">
        <v>25496.070520068155</v>
      </c>
      <c r="AS7" s="8">
        <v>25204.166887548072</v>
      </c>
      <c r="AT7" s="8">
        <v>25048.312882118309</v>
      </c>
      <c r="AU7" s="8">
        <v>24910.241384658366</v>
      </c>
      <c r="AV7" s="8">
        <v>24522.914637249734</v>
      </c>
      <c r="AW7" s="8">
        <v>29488.376555577506</v>
      </c>
      <c r="AX7" s="8">
        <v>28968.549985889687</v>
      </c>
      <c r="AY7" s="8">
        <v>28245.8220177371</v>
      </c>
      <c r="AZ7" s="8">
        <v>27491.288295480554</v>
      </c>
      <c r="BA7" s="8">
        <v>27030.414512020361</v>
      </c>
      <c r="BB7" s="8">
        <v>26571.489044094273</v>
      </c>
      <c r="BC7" s="8">
        <v>30535.946740667961</v>
      </c>
      <c r="BD7" s="8">
        <v>30065.673846082074</v>
      </c>
      <c r="BE7" s="8">
        <v>29701.746209447756</v>
      </c>
      <c r="BF7" s="8">
        <v>29344.621037235509</v>
      </c>
      <c r="BH7" s="8">
        <f t="shared" si="5"/>
        <v>149411.06413498273</v>
      </c>
      <c r="BI7" s="8">
        <f t="shared" si="6"/>
        <v>263965.6512974457</v>
      </c>
      <c r="BJ7" s="8">
        <f t="shared" si="7"/>
        <v>287443.92824423278</v>
      </c>
    </row>
    <row r="8" spans="1:62" x14ac:dyDescent="0.25">
      <c r="A8" s="9" t="s">
        <v>104</v>
      </c>
      <c r="B8" s="9" t="s">
        <v>643</v>
      </c>
      <c r="C8" s="10">
        <v>44927</v>
      </c>
      <c r="D8" s="6" cm="1">
        <f t="array" ref="D8">_xlfn.LET(
  _xlpm.aralık, Y8:BF8,
  _xlpm.ilk, MATCH(TRUE, _xlpm.aralık&lt;&gt;0, 0),
  _xlpm.son, MIN(_xlpm.ilk+2, COLUMNS(_xlpm.aralık)),
  MAX(INDEX(_xlpm.aralık, _xlpm.ilk):INDEX(_xlpm.aralık, _xlpm.son))
)</f>
        <v>21218.719513159769</v>
      </c>
      <c r="E8" s="6">
        <f t="shared" si="0"/>
        <v>29462.92049190135</v>
      </c>
      <c r="F8" s="6">
        <f t="shared" si="1"/>
        <v>28683.128422000005</v>
      </c>
      <c r="G8" s="6">
        <f t="shared" si="8"/>
        <v>28399.27</v>
      </c>
      <c r="H8" s="7">
        <f t="shared" si="2"/>
        <v>0.38853433043537611</v>
      </c>
      <c r="I8" s="7">
        <f t="shared" si="3"/>
        <v>0.35178413589994617</v>
      </c>
      <c r="J8" s="7">
        <f t="shared" si="4"/>
        <v>-2.6466896590095029E-2</v>
      </c>
      <c r="K8" s="7">
        <f t="shared" si="9"/>
        <v>0.33840640017824269</v>
      </c>
      <c r="L8" s="5" t="s">
        <v>416</v>
      </c>
      <c r="M8" s="7">
        <f>IF(R8="",(VLOOKUP(A8,[1]Export!$B$2:$H$680,7,0)),"CHURN")</f>
        <v>0</v>
      </c>
      <c r="N8" s="5">
        <f t="shared" si="10"/>
        <v>28399.27</v>
      </c>
      <c r="O8" s="5">
        <f t="shared" si="11"/>
        <v>29462.92049190135</v>
      </c>
      <c r="P8" s="5">
        <f t="shared" si="12"/>
        <v>28683.128422000005</v>
      </c>
      <c r="Q8" s="5" t="str">
        <f>VLOOKUP(A8,[4]Sheet2!$A$1:$B$142,2,0)</f>
        <v>NO RISK</v>
      </c>
      <c r="T8" s="6" t="str" cm="1">
        <f t="array" ref="T8">IF(R8&lt;&gt;"Churn","",
 _xlfn.LET(
   _xlpm.rng,Y8:BF8,
   _xlpm.pos,MAX(IF((_xlpm.rng&lt;&gt;0)*(_xlpm.rng&lt;&gt;""),COLUMN(_xlpm.rng)-COLUMN(Y8)+1)),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" s="6" t="str" cm="1">
        <f t="array" ref="U8">IF(R8="Churn",
   MAX(IF((Y8:BF8&lt;&gt;"")*(Y8:BF8&lt;&gt;0), COLUMN(Y8:BF8)-COLUMN(Y8)+1))
   -MATCH(1, --((Y8:BF8&lt;&gt;"")*(Y8:BF8&lt;&gt;0)), 0)
   +1,
"")</f>
        <v/>
      </c>
      <c r="V8" s="6" t="str" cm="1">
        <f t="array" ref="V8">IFERROR(
    IF(
        MATCH(2,1/((Y8:BF8&lt;&gt;0)*(Y8:BF8&lt;&gt;"")))-MATCH(1,INDEX((Y8:BF8&lt;&gt;0)*(Y8:BF8&lt;&gt;""),0),0)+1 &lt;= 12,
        "No",
        "Yes"
    ),
    "No"
)</f>
        <v>Yes</v>
      </c>
      <c r="W8" s="6" t="str" cm="1">
        <f t="array" ref="W8">IFERROR(
    IF(
        MATCH(2,1/((Y8:BF8&lt;&gt;0)*(Y8:BF8&lt;&gt;"")))-MATCH(1,INDEX((Y8:BF8&lt;&gt;0)*(Y8:BF8&lt;&gt;""),0),0)+1 &lt;= 24,
        "No",
        "Yes"
    ),
    "No"
)</f>
        <v>Yes</v>
      </c>
      <c r="X8" s="6"/>
      <c r="Y8" s="8">
        <v>11101.411108682558</v>
      </c>
      <c r="Z8" s="8">
        <v>11062.840993003501</v>
      </c>
      <c r="AA8" s="8">
        <v>21218.719513159769</v>
      </c>
      <c r="AB8" s="8">
        <v>28283.246585638735</v>
      </c>
      <c r="AC8" s="8">
        <v>28261.090863449732</v>
      </c>
      <c r="AD8" s="8">
        <v>26523.56998294605</v>
      </c>
      <c r="AE8" s="8">
        <v>27494.598855809243</v>
      </c>
      <c r="AF8" s="8">
        <v>27286.52658337761</v>
      </c>
      <c r="AG8" s="8">
        <v>30868.018852754154</v>
      </c>
      <c r="AH8" s="8">
        <v>32054.600848638907</v>
      </c>
      <c r="AI8" s="8">
        <v>31268.98812321353</v>
      </c>
      <c r="AJ8" s="8">
        <v>30792.803793096253</v>
      </c>
      <c r="AK8" s="8">
        <v>29462.92049190135</v>
      </c>
      <c r="AL8" s="8">
        <v>27544.758813386801</v>
      </c>
      <c r="AM8" s="8">
        <v>27479.497528876382</v>
      </c>
      <c r="AN8" s="8">
        <v>27587.992398548748</v>
      </c>
      <c r="AO8" s="8">
        <v>28295.133554399315</v>
      </c>
      <c r="AP8" s="8">
        <v>28389.160046475736</v>
      </c>
      <c r="AQ8" s="8">
        <v>6349.7209867297452</v>
      </c>
      <c r="AR8" s="8">
        <v>22142.023070999996</v>
      </c>
      <c r="AS8" s="8">
        <v>22348.273855999996</v>
      </c>
      <c r="AT8" s="8">
        <v>23996.022813</v>
      </c>
      <c r="AU8" s="8">
        <v>24346.28</v>
      </c>
      <c r="AV8" s="8">
        <v>26075.58</v>
      </c>
      <c r="AW8" s="8">
        <v>28683.128422000005</v>
      </c>
      <c r="AX8" s="8">
        <v>30203.06</v>
      </c>
      <c r="AY8" s="8">
        <v>30957.19</v>
      </c>
      <c r="AZ8" s="8">
        <v>27824.37</v>
      </c>
      <c r="BA8" s="8">
        <v>28410.880000000001</v>
      </c>
      <c r="BB8" s="8">
        <v>28998.59</v>
      </c>
      <c r="BC8" s="8">
        <v>29564.011117999999</v>
      </c>
      <c r="BD8" s="8">
        <v>29951.460000000003</v>
      </c>
      <c r="BE8" s="8">
        <v>30462.07</v>
      </c>
      <c r="BF8" s="8">
        <v>28399.27</v>
      </c>
      <c r="BH8" s="8">
        <f t="shared" si="5"/>
        <v>306216.41610377008</v>
      </c>
      <c r="BI8" s="8">
        <f t="shared" si="6"/>
        <v>294017.36356031807</v>
      </c>
      <c r="BJ8" s="8">
        <f t="shared" si="7"/>
        <v>293454.02954000002</v>
      </c>
    </row>
    <row r="9" spans="1:62" x14ac:dyDescent="0.25">
      <c r="A9" s="9" t="s">
        <v>88</v>
      </c>
      <c r="B9" s="9" t="s">
        <v>643</v>
      </c>
      <c r="C9" s="10">
        <v>44927</v>
      </c>
      <c r="D9" s="6" cm="1">
        <f t="array" ref="D9">_xlfn.LET(
  _xlpm.aralık, Y9:BF9,
  _xlpm.ilk, MATCH(TRUE, _xlpm.aralık&lt;&gt;0, 0),
  _xlpm.son, MIN(_xlpm.ilk+2, COLUMNS(_xlpm.aralık)),
  MAX(INDEX(_xlpm.aralık, _xlpm.ilk):INDEX(_xlpm.aralık, _xlpm.son))
)</f>
        <v>14466.911528178409</v>
      </c>
      <c r="E9" s="6">
        <f t="shared" si="0"/>
        <v>16588.273765875652</v>
      </c>
      <c r="F9" s="6">
        <f t="shared" si="1"/>
        <v>19809.566563055563</v>
      </c>
      <c r="G9" s="6">
        <f t="shared" si="8"/>
        <v>22226.97373287351</v>
      </c>
      <c r="H9" s="7">
        <f t="shared" si="2"/>
        <v>0.14663546075921524</v>
      </c>
      <c r="I9" s="7">
        <f t="shared" si="3"/>
        <v>0.369301700951915</v>
      </c>
      <c r="J9" s="7">
        <f t="shared" si="4"/>
        <v>0.19419095938762179</v>
      </c>
      <c r="K9" s="7">
        <f t="shared" si="9"/>
        <v>0.53640075074629312</v>
      </c>
      <c r="L9" s="5" t="s">
        <v>422</v>
      </c>
      <c r="M9" s="7">
        <f>IF(R9="",(VLOOKUP(A9,[1]Export!$B$2:$H$680,7,0)),"CHURN")</f>
        <v>6.4973849673539502E-2</v>
      </c>
      <c r="N9" s="5">
        <f t="shared" si="10"/>
        <v>20782.801682856076</v>
      </c>
      <c r="O9" s="5">
        <f t="shared" si="11"/>
        <v>15510.469759868129</v>
      </c>
      <c r="P9" s="5">
        <f t="shared" si="12"/>
        <v>18522.462763089618</v>
      </c>
      <c r="Q9" s="5" t="s">
        <v>430</v>
      </c>
      <c r="T9" s="6" t="str" cm="1">
        <f t="array" ref="T9">IF(R9&lt;&gt;"Churn","",
 _xlfn.LET(
   _xlpm.rng,Y9:BF9,
   _xlpm.pos,MAX(IF((_xlpm.rng&lt;&gt;0)*(_xlpm.rng&lt;&gt;""),COLUMN(_xlpm.rng)-COLUMN(Y9)+1)),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" s="6" t="str" cm="1">
        <f t="array" ref="U9">IF(R9="Churn",
   MAX(IF((Y9:BF9&lt;&gt;"")*(Y9:BF9&lt;&gt;0), COLUMN(Y9:BF9)-COLUMN(Y9)+1))
   -MATCH(1, --((Y9:BF9&lt;&gt;"")*(Y9:BF9&lt;&gt;0)), 0)
   +1,
"")</f>
        <v/>
      </c>
      <c r="V9" s="6" t="str" cm="1">
        <f t="array" ref="V9">IFERROR(
    IF(
        MATCH(2,1/((Y9:BF9&lt;&gt;0)*(Y9:BF9&lt;&gt;"")))-MATCH(1,INDEX((Y9:BF9&lt;&gt;0)*(Y9:BF9&lt;&gt;""),0),0)+1 &lt;= 12,
        "No",
        "Yes"
    ),
    "No"
)</f>
        <v>Yes</v>
      </c>
      <c r="W9" s="6" t="str" cm="1">
        <f t="array" ref="W9">IFERROR(
    IF(
        MATCH(2,1/((Y9:BF9&lt;&gt;0)*(Y9:BF9&lt;&gt;"")))-MATCH(1,INDEX((Y9:BF9&lt;&gt;0)*(Y9:BF9&lt;&gt;""),0),0)+1 &lt;= 24,
        "No",
        "Yes"
    ),
    "No"
)</f>
        <v>Yes</v>
      </c>
      <c r="Y9" s="8">
        <v>13472.366898919414</v>
      </c>
      <c r="Z9" s="8">
        <v>13590.458836466796</v>
      </c>
      <c r="AA9" s="8">
        <v>14466.911528178409</v>
      </c>
      <c r="AB9" s="8">
        <v>13053.80889977779</v>
      </c>
      <c r="AC9" s="8">
        <v>13082.261487052319</v>
      </c>
      <c r="AD9" s="8">
        <v>10578.707992889133</v>
      </c>
      <c r="AE9" s="8">
        <v>9417.9400949059072</v>
      </c>
      <c r="AF9" s="8">
        <v>10203.843157763717</v>
      </c>
      <c r="AG9" s="8">
        <v>11640.594093573329</v>
      </c>
      <c r="AH9" s="8">
        <v>17398.641766468088</v>
      </c>
      <c r="AI9" s="8">
        <v>17060.872374741542</v>
      </c>
      <c r="AJ9" s="8">
        <v>17182.617469080738</v>
      </c>
      <c r="AK9" s="8">
        <v>16588.273765875652</v>
      </c>
      <c r="AL9" s="8">
        <v>16404.288489454721</v>
      </c>
      <c r="AM9" s="8">
        <v>16108.42722528213</v>
      </c>
      <c r="AN9" s="8">
        <v>16209.83545083175</v>
      </c>
      <c r="AO9" s="8">
        <v>16206.57012916052</v>
      </c>
      <c r="AP9" s="8">
        <v>16227.620509588081</v>
      </c>
      <c r="AQ9" s="8">
        <v>16227.615330295088</v>
      </c>
      <c r="AR9" s="8">
        <v>16059.337884309489</v>
      </c>
      <c r="AS9" s="8">
        <v>16113.520240610849</v>
      </c>
      <c r="AT9" s="8">
        <v>21601.636019572325</v>
      </c>
      <c r="AU9" s="8">
        <v>21628.155956327249</v>
      </c>
      <c r="AV9" s="8">
        <v>21022.167526817335</v>
      </c>
      <c r="AW9" s="8">
        <v>19809.566563055563</v>
      </c>
      <c r="AX9" s="8">
        <v>19577.609237848916</v>
      </c>
      <c r="AY9" s="8">
        <v>19740.732493438467</v>
      </c>
      <c r="AZ9" s="8">
        <v>18657.442471054663</v>
      </c>
      <c r="BA9" s="8">
        <v>18442.569647485481</v>
      </c>
      <c r="BB9" s="8">
        <v>18241.033562098401</v>
      </c>
      <c r="BC9" s="8">
        <v>17932.673936092218</v>
      </c>
      <c r="BD9" s="8">
        <v>17832.087380664743</v>
      </c>
      <c r="BE9" s="8">
        <v>17807.059566181357</v>
      </c>
      <c r="BF9" s="8">
        <v>22226.97373287351</v>
      </c>
      <c r="BH9" s="8">
        <f t="shared" si="5"/>
        <v>161149.02459981717</v>
      </c>
      <c r="BI9" s="8">
        <f t="shared" si="6"/>
        <v>210397.44852812518</v>
      </c>
      <c r="BJ9" s="8">
        <f t="shared" si="7"/>
        <v>190267.74859079332</v>
      </c>
    </row>
    <row r="10" spans="1:62" x14ac:dyDescent="0.25">
      <c r="A10" s="9" t="s">
        <v>130</v>
      </c>
      <c r="B10" s="9" t="s">
        <v>643</v>
      </c>
      <c r="C10" s="10">
        <v>44927</v>
      </c>
      <c r="D10" s="6" cm="1">
        <f t="array" ref="D10">_xlfn.LET(
  _xlpm.aralık, Y10:BF10,
  _xlpm.ilk, MATCH(TRUE, _xlpm.aralık&lt;&gt;0, 0),
  _xlpm.son, MIN(_xlpm.ilk+2, COLUMNS(_xlpm.aralık)),
  MAX(INDEX(_xlpm.aralık, _xlpm.ilk):INDEX(_xlpm.aralık, _xlpm.son))
)</f>
        <v>11483.88</v>
      </c>
      <c r="E10" s="6">
        <f t="shared" si="0"/>
        <v>15287.778107000002</v>
      </c>
      <c r="F10" s="6">
        <f t="shared" si="1"/>
        <v>15287.778107000002</v>
      </c>
      <c r="G10" s="6">
        <f t="shared" si="8"/>
        <v>16093.737314355694</v>
      </c>
      <c r="H10" s="7">
        <f t="shared" si="2"/>
        <v>0.33123805778186494</v>
      </c>
      <c r="I10" s="7">
        <f t="shared" si="3"/>
        <v>0.33123805778186494</v>
      </c>
      <c r="J10" s="7">
        <f t="shared" si="4"/>
        <v>0</v>
      </c>
      <c r="K10" s="7">
        <f t="shared" si="9"/>
        <v>0.40141984367266947</v>
      </c>
      <c r="L10" s="5" t="s">
        <v>419</v>
      </c>
      <c r="M10" s="7">
        <f>IF(R10="",(VLOOKUP(A10,[1]Export!$B$2:$H$680,7,0)),"CHURN")</f>
        <v>0.24659849019477784</v>
      </c>
      <c r="N10" s="5">
        <f t="shared" si="10"/>
        <v>12125.045991044221</v>
      </c>
      <c r="O10" s="5">
        <f t="shared" si="11"/>
        <v>11517.835107381023</v>
      </c>
      <c r="P10" s="5">
        <f t="shared" si="12"/>
        <v>11517.835107381023</v>
      </c>
      <c r="Q10" s="5" t="str">
        <f>VLOOKUP(A10,[4]Sheet2!$A$1:$B$142,2,0)</f>
        <v>NO RISK</v>
      </c>
      <c r="T10" s="6" t="str" cm="1">
        <f t="array" ref="T10">IF(R10&lt;&gt;"Churn","",
 _xlfn.LET(
   _xlpm.rng,Y10:BF10,
   _xlpm.pos,MAX(IF((_xlpm.rng&lt;&gt;0)*(_xlpm.rng&lt;&gt;""),COLUMN(_xlpm.rng)-COLUMN(Y10)+1)),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" s="6" t="str" cm="1">
        <f t="array" ref="U10">IF(R10="Churn",
   MAX(IF((Y10:BF10&lt;&gt;"")*(Y10:BF10&lt;&gt;0), COLUMN(Y10:BF10)-COLUMN(Y10)+1))
   -MATCH(1, --((Y10:BF10&lt;&gt;"")*(Y10:BF10&lt;&gt;0)), 0)
   +1,
"")</f>
        <v/>
      </c>
      <c r="V10" s="6" t="str" cm="1">
        <f t="array" ref="V10">IFERROR(
    IF(
        MATCH(2,1/((Y10:BF10&lt;&gt;0)*(Y10:BF10&lt;&gt;"")))-MATCH(1,INDEX((Y10:BF10&lt;&gt;0)*(Y10:BF10&lt;&gt;""),0),0)+1 &lt;= 12,
        "No",
        "Yes"
    ),
    "No"
)</f>
        <v>Yes</v>
      </c>
      <c r="W10" s="6" t="str" cm="1">
        <f t="array" ref="W10">IFERROR(
    IF(
        MATCH(2,1/((Y10:BF10&lt;&gt;0)*(Y10:BF10&lt;&gt;"")))-MATCH(1,INDEX((Y10:BF10&lt;&gt;0)*(Y10:BF10&lt;&gt;""),0),0)+1 &lt;= 24,
        "No",
        "Yes"
    ),
    "No"
)</f>
        <v>Yes</v>
      </c>
      <c r="Y10" s="8">
        <v>11373.41</v>
      </c>
      <c r="Z10" s="8">
        <v>11483.88</v>
      </c>
      <c r="AA10" s="8">
        <v>11483.88</v>
      </c>
      <c r="AB10" s="8">
        <v>11829.41</v>
      </c>
      <c r="AC10" s="8">
        <v>12267.511881</v>
      </c>
      <c r="AD10" s="8">
        <v>12591.663421000001</v>
      </c>
      <c r="AE10" s="8">
        <v>13751.663421000001</v>
      </c>
      <c r="AF10" s="8">
        <v>13747.283421</v>
      </c>
      <c r="AG10" s="8">
        <v>14806.898107000001</v>
      </c>
      <c r="AH10" s="8">
        <v>14806.898107000001</v>
      </c>
      <c r="AI10" s="8">
        <v>15287.778107000002</v>
      </c>
      <c r="AJ10" s="8">
        <v>15287.778107000002</v>
      </c>
      <c r="AK10" s="8">
        <v>15287.778107000002</v>
      </c>
      <c r="AL10" s="8">
        <v>15287.778107000002</v>
      </c>
      <c r="AM10" s="8">
        <v>15287.778107000002</v>
      </c>
      <c r="AN10" s="8">
        <v>15287.778107000002</v>
      </c>
      <c r="AO10" s="8">
        <v>15287.778107000002</v>
      </c>
      <c r="AP10" s="8">
        <v>15287.778107000002</v>
      </c>
      <c r="AQ10" s="8">
        <v>15287.778107000002</v>
      </c>
      <c r="AR10" s="8">
        <v>15287.778107000002</v>
      </c>
      <c r="AS10" s="8">
        <v>15287.778107000002</v>
      </c>
      <c r="AT10" s="8">
        <v>15287.778107000002</v>
      </c>
      <c r="AU10" s="8">
        <v>15287.778107000002</v>
      </c>
      <c r="AV10" s="8">
        <v>15287.778107000002</v>
      </c>
      <c r="AW10" s="8">
        <v>15287.778107000002</v>
      </c>
      <c r="AX10" s="8">
        <v>15287.778107000002</v>
      </c>
      <c r="AY10" s="8">
        <v>15287.778107000002</v>
      </c>
      <c r="AZ10" s="8">
        <v>15287.778107000002</v>
      </c>
      <c r="BA10" s="8">
        <v>15287.778107000002</v>
      </c>
      <c r="BB10" s="8">
        <v>15287.778107000002</v>
      </c>
      <c r="BC10" s="8">
        <v>16509.772002018257</v>
      </c>
      <c r="BD10" s="8">
        <v>16887.67861001434</v>
      </c>
      <c r="BE10" s="8">
        <v>19605.109424955001</v>
      </c>
      <c r="BF10" s="8">
        <v>16093.737314355694</v>
      </c>
      <c r="BH10" s="8">
        <f t="shared" si="5"/>
        <v>158718.05457199999</v>
      </c>
      <c r="BI10" s="8">
        <f t="shared" si="6"/>
        <v>183453.33728400001</v>
      </c>
      <c r="BJ10" s="8">
        <f t="shared" si="7"/>
        <v>160822.96599334333</v>
      </c>
    </row>
    <row r="11" spans="1:62" x14ac:dyDescent="0.25">
      <c r="A11" s="9" t="s">
        <v>11</v>
      </c>
      <c r="B11" s="9" t="s">
        <v>643</v>
      </c>
      <c r="C11" s="10">
        <v>44927</v>
      </c>
      <c r="D11" s="6" cm="1">
        <f t="array" ref="D11">_xlfn.LET(
  _xlpm.aralık, Y11:BF11,
  _xlpm.ilk, MATCH(TRUE, _xlpm.aralık&lt;&gt;0, 0),
  _xlpm.son, MIN(_xlpm.ilk+2, COLUMNS(_xlpm.aralık)),
  MAX(INDEX(_xlpm.aralık, _xlpm.ilk):INDEX(_xlpm.aralık, _xlpm.son))
)</f>
        <v>13840.188013092871</v>
      </c>
      <c r="E11" s="6">
        <f t="shared" si="0"/>
        <v>13488.300053495026</v>
      </c>
      <c r="F11" s="6">
        <f t="shared" si="1"/>
        <v>15693.8614077896</v>
      </c>
      <c r="G11" s="6">
        <f t="shared" si="8"/>
        <v>14429.631409821048</v>
      </c>
      <c r="H11" s="7">
        <f t="shared" si="2"/>
        <v>-2.5425085213073531E-2</v>
      </c>
      <c r="I11" s="7">
        <f t="shared" si="3"/>
        <v>0.13393411946016531</v>
      </c>
      <c r="J11" s="7">
        <f t="shared" si="4"/>
        <v>0.16351662889669177</v>
      </c>
      <c r="K11" s="7">
        <f t="shared" si="9"/>
        <v>4.2589262239108375E-2</v>
      </c>
      <c r="L11" s="5" t="s">
        <v>416</v>
      </c>
      <c r="M11" s="7">
        <f>IF(R11="",(VLOOKUP(A11,[1]Export!$B$2:$H$680,7,0)),"CHURN")</f>
        <v>0.26562248238101804</v>
      </c>
      <c r="N11" s="5">
        <f t="shared" si="10"/>
        <v>10596.796894901272</v>
      </c>
      <c r="O11" s="5">
        <f t="shared" si="11"/>
        <v>9905.5043101856591</v>
      </c>
      <c r="P11" s="5">
        <f t="shared" si="12"/>
        <v>11525.218982508868</v>
      </c>
      <c r="Q11" s="5" t="s">
        <v>430</v>
      </c>
      <c r="T11" s="6" t="str" cm="1">
        <f t="array" ref="T11">IF(R11&lt;&gt;"Churn","",
 _xlfn.LET(
   _xlpm.rng,Y11:BF11,
   _xlpm.pos,MAX(IF((_xlpm.rng&lt;&gt;0)*(_xlpm.rng&lt;&gt;""),COLUMN(_xlpm.rng)-COLUMN(Y11)+1)),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" s="6" t="str" cm="1">
        <f t="array" ref="U11">IF(R11="Churn",
   MAX(IF((Y11:BF11&lt;&gt;"")*(Y11:BF11&lt;&gt;0), COLUMN(Y11:BF11)-COLUMN(Y11)+1))
   -MATCH(1, --((Y11:BF11&lt;&gt;"")*(Y11:BF11&lt;&gt;0)), 0)
   +1,
"")</f>
        <v/>
      </c>
      <c r="V11" s="6" t="str" cm="1">
        <f t="array" ref="V11">IFERROR(
    IF(
        MATCH(2,1/((Y11:BF11&lt;&gt;0)*(Y11:BF11&lt;&gt;"")))-MATCH(1,INDEX((Y11:BF11&lt;&gt;0)*(Y11:BF11&lt;&gt;""),0),0)+1 &lt;= 12,
        "No",
        "Yes"
    ),
    "No"
)</f>
        <v>Yes</v>
      </c>
      <c r="W11" s="6" t="str" cm="1">
        <f t="array" ref="W11">IFERROR(
    IF(
        MATCH(2,1/((Y11:BF11&lt;&gt;0)*(Y11:BF11&lt;&gt;"")))-MATCH(1,INDEX((Y11:BF11&lt;&gt;0)*(Y11:BF11&lt;&gt;""),0),0)+1 &lt;= 24,
        "No",
        "Yes"
    ),
    "No"
)</f>
        <v>Yes</v>
      </c>
      <c r="Y11" s="8">
        <v>13840.188013092871</v>
      </c>
      <c r="Z11" s="8">
        <v>13815.001218357709</v>
      </c>
      <c r="AA11" s="8">
        <v>13761.895404337898</v>
      </c>
      <c r="AB11" s="8">
        <v>13634.491171287831</v>
      </c>
      <c r="AC11" s="8">
        <v>13500.949867923086</v>
      </c>
      <c r="AD11" s="8">
        <v>12401.981479435231</v>
      </c>
      <c r="AE11" s="8">
        <v>11740.803428496616</v>
      </c>
      <c r="AF11" s="8">
        <v>11643.36913140702</v>
      </c>
      <c r="AG11" s="8">
        <v>11638.680303958456</v>
      </c>
      <c r="AH11" s="8">
        <v>11483.095013811642</v>
      </c>
      <c r="AI11" s="8">
        <v>11348.41363188074</v>
      </c>
      <c r="AJ11" s="8">
        <v>13715.307572251295</v>
      </c>
      <c r="AK11" s="8">
        <v>13488.300053495026</v>
      </c>
      <c r="AL11" s="8">
        <v>13329.818133585002</v>
      </c>
      <c r="AM11" s="8">
        <v>13071.813115503755</v>
      </c>
      <c r="AN11" s="8">
        <v>13007.263112797982</v>
      </c>
      <c r="AO11" s="8">
        <v>13016.591047551447</v>
      </c>
      <c r="AP11" s="8">
        <v>12962.184335835453</v>
      </c>
      <c r="AQ11" s="8">
        <v>12888.380404838177</v>
      </c>
      <c r="AR11" s="8">
        <v>12752.808001202719</v>
      </c>
      <c r="AS11" s="8">
        <v>12682.259612526252</v>
      </c>
      <c r="AT11" s="8">
        <v>12644.592219157701</v>
      </c>
      <c r="AU11" s="8">
        <v>12611.222570469701</v>
      </c>
      <c r="AV11" s="8">
        <v>14786.322683363167</v>
      </c>
      <c r="AW11" s="8">
        <v>15693.8614077896</v>
      </c>
      <c r="AX11" s="8">
        <v>16736.376916991096</v>
      </c>
      <c r="AY11" s="8">
        <v>15379.571216169576</v>
      </c>
      <c r="AZ11" s="8">
        <v>15155.733877736779</v>
      </c>
      <c r="BA11" s="8">
        <v>15019.012670983204</v>
      </c>
      <c r="BB11" s="8">
        <v>14882.869444710443</v>
      </c>
      <c r="BC11" s="8">
        <v>14731.246104809368</v>
      </c>
      <c r="BD11" s="8">
        <v>14612.184095276485</v>
      </c>
      <c r="BE11" s="8">
        <v>14520.046197810821</v>
      </c>
      <c r="BF11" s="8">
        <v>14429.631409821048</v>
      </c>
      <c r="BH11" s="8">
        <f t="shared" si="5"/>
        <v>152524.1762362404</v>
      </c>
      <c r="BI11" s="8">
        <f t="shared" si="6"/>
        <v>157241.55529032636</v>
      </c>
      <c r="BJ11" s="8">
        <f t="shared" si="7"/>
        <v>151160.53334209841</v>
      </c>
    </row>
    <row r="12" spans="1:62" x14ac:dyDescent="0.25">
      <c r="A12" s="9" t="s">
        <v>328</v>
      </c>
      <c r="B12" s="9" t="s">
        <v>643</v>
      </c>
      <c r="C12" s="10">
        <v>44927</v>
      </c>
      <c r="D12" s="6" cm="1">
        <f t="array" ref="D12">_xlfn.LET(
  _xlpm.aralık, Y12:BF12,
  _xlpm.ilk, MATCH(TRUE, _xlpm.aralık&lt;&gt;0, 0),
  _xlpm.son, MIN(_xlpm.ilk+2, COLUMNS(_xlpm.aralık)),
  MAX(INDEX(_xlpm.aralık, _xlpm.ilk):INDEX(_xlpm.aralık, _xlpm.son))
)</f>
        <v>11700</v>
      </c>
      <c r="E12" s="6">
        <f t="shared" si="0"/>
        <v>12385.999268</v>
      </c>
      <c r="F12" s="6">
        <f t="shared" si="1"/>
        <v>13914</v>
      </c>
      <c r="G12" s="6">
        <f t="shared" si="8"/>
        <v>13913.999565000002</v>
      </c>
      <c r="H12" s="7">
        <f t="shared" si="2"/>
        <v>5.8632416068376034E-2</v>
      </c>
      <c r="I12" s="7">
        <f t="shared" si="3"/>
        <v>0.18923076923076923</v>
      </c>
      <c r="J12" s="7">
        <f t="shared" si="4"/>
        <v>0.12336515600704785</v>
      </c>
      <c r="K12" s="7">
        <f t="shared" si="9"/>
        <v>0.18923073205128221</v>
      </c>
      <c r="L12" s="5" t="s">
        <v>414</v>
      </c>
      <c r="M12" s="7">
        <v>5.6067667413355997E-2</v>
      </c>
      <c r="N12" s="5">
        <f t="shared" si="10"/>
        <v>13133.874065000002</v>
      </c>
      <c r="O12" s="5">
        <f t="shared" si="11"/>
        <v>11691.545180459705</v>
      </c>
      <c r="P12" s="5">
        <f t="shared" si="12"/>
        <v>13133.874475610564</v>
      </c>
      <c r="Q12" s="5" t="s">
        <v>431</v>
      </c>
      <c r="T12" s="6" t="str" cm="1">
        <f t="array" ref="T12">IF(R12&lt;&gt;"Churn","",
 _xlfn.LET(
   _xlpm.rng,Y12:BF12,
   _xlpm.pos,MAX(IF((_xlpm.rng&lt;&gt;0)*(_xlpm.rng&lt;&gt;""),COLUMN(_xlpm.rng)-COLUMN(Y12)+1)),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" s="6" t="str" cm="1">
        <f t="array" ref="U12">IF(R12="Churn",
   MAX(IF((Y12:BF12&lt;&gt;"")*(Y12:BF12&lt;&gt;0), COLUMN(Y12:BF12)-COLUMN(Y12)+1))
   -MATCH(1, --((Y12:BF12&lt;&gt;"")*(Y12:BF12&lt;&gt;0)), 0)
   +1,
"")</f>
        <v/>
      </c>
      <c r="V12" s="6" t="str" cm="1">
        <f t="array" ref="V12">IFERROR(
    IF(
        MATCH(2,1/((Y12:BF12&lt;&gt;0)*(Y12:BF12&lt;&gt;"")))-MATCH(1,INDEX((Y12:BF12&lt;&gt;0)*(Y12:BF12&lt;&gt;""),0),0)+1 &lt;= 12,
        "No",
        "Yes"
    ),
    "No"
)</f>
        <v>Yes</v>
      </c>
      <c r="W12" s="6" t="str" cm="1">
        <f t="array" ref="W12">IFERROR(
    IF(
        MATCH(2,1/((Y12:BF12&lt;&gt;0)*(Y12:BF12&lt;&gt;"")))-MATCH(1,INDEX((Y12:BF12&lt;&gt;0)*(Y12:BF12&lt;&gt;""),0),0)+1 &lt;= 24,
        "No",
        "Yes"
    ),
    "No"
)</f>
        <v>Yes</v>
      </c>
      <c r="Y12" s="8">
        <v>11700</v>
      </c>
      <c r="Z12" s="8">
        <v>11700</v>
      </c>
      <c r="AA12" s="8">
        <v>11700</v>
      </c>
      <c r="AB12" s="8">
        <v>12066</v>
      </c>
      <c r="AC12" s="8">
        <v>12066</v>
      </c>
      <c r="AD12" s="8">
        <v>12066</v>
      </c>
      <c r="AE12" s="8">
        <v>12066</v>
      </c>
      <c r="AF12" s="8">
        <v>12066</v>
      </c>
      <c r="AG12" s="8">
        <v>12066</v>
      </c>
      <c r="AH12" s="8">
        <v>12066</v>
      </c>
      <c r="AI12" s="8">
        <v>12386</v>
      </c>
      <c r="AJ12" s="8">
        <v>12386</v>
      </c>
      <c r="AK12" s="8">
        <v>12385.999268</v>
      </c>
      <c r="AL12" s="8">
        <v>12385.999268</v>
      </c>
      <c r="AM12" s="8">
        <v>12385.999268</v>
      </c>
      <c r="AN12" s="8">
        <v>12385.999268</v>
      </c>
      <c r="AO12" s="8">
        <v>12829.999268</v>
      </c>
      <c r="AP12" s="8">
        <v>12829.999268</v>
      </c>
      <c r="AQ12" s="8">
        <v>12829.999268</v>
      </c>
      <c r="AR12" s="8">
        <v>12829.999268</v>
      </c>
      <c r="AS12" s="8">
        <v>12829.999268</v>
      </c>
      <c r="AT12" s="8">
        <v>12829.999268</v>
      </c>
      <c r="AU12" s="8">
        <v>13914</v>
      </c>
      <c r="AV12" s="8">
        <v>13914</v>
      </c>
      <c r="AW12" s="8">
        <v>13914</v>
      </c>
      <c r="AX12" s="8">
        <v>13914</v>
      </c>
      <c r="AY12" s="8">
        <v>13914</v>
      </c>
      <c r="AZ12" s="8">
        <v>13914</v>
      </c>
      <c r="BA12" s="8">
        <v>13913.999565000002</v>
      </c>
      <c r="BB12" s="8">
        <v>13913.999565000002</v>
      </c>
      <c r="BC12" s="8">
        <v>13913.999565000002</v>
      </c>
      <c r="BD12" s="8">
        <v>13913.999565000002</v>
      </c>
      <c r="BE12" s="8">
        <v>13913.999565000002</v>
      </c>
      <c r="BF12" s="8">
        <v>13913.999565000002</v>
      </c>
      <c r="BH12" s="8">
        <f t="shared" si="5"/>
        <v>144334</v>
      </c>
      <c r="BI12" s="8">
        <f t="shared" si="6"/>
        <v>154351.99268</v>
      </c>
      <c r="BJ12" s="8">
        <f t="shared" si="7"/>
        <v>139139.99739000003</v>
      </c>
    </row>
    <row r="13" spans="1:62" x14ac:dyDescent="0.25">
      <c r="A13" s="9" t="s">
        <v>64</v>
      </c>
      <c r="B13" s="9" t="s">
        <v>643</v>
      </c>
      <c r="C13" s="10">
        <v>44927</v>
      </c>
      <c r="D13" s="6" cm="1">
        <f t="array" ref="D13">_xlfn.LET(
  _xlpm.aralık, Y13:BF13,
  _xlpm.ilk, MATCH(TRUE, _xlpm.aralık&lt;&gt;0, 0),
  _xlpm.son, MIN(_xlpm.ilk+2, COLUMNS(_xlpm.aralık)),
  MAX(INDEX(_xlpm.aralık, _xlpm.ilk):INDEX(_xlpm.aralık, _xlpm.son))
)</f>
        <v>3569.2072400750121</v>
      </c>
      <c r="E13" s="6">
        <f t="shared" si="0"/>
        <v>5714.4161934929598</v>
      </c>
      <c r="F13" s="6">
        <f t="shared" si="1"/>
        <v>7565.8873644774303</v>
      </c>
      <c r="G13" s="6">
        <f t="shared" si="8"/>
        <v>12584.573258995724</v>
      </c>
      <c r="H13" s="7">
        <f t="shared" si="2"/>
        <v>0.60103233270726608</v>
      </c>
      <c r="I13" s="7">
        <f t="shared" si="3"/>
        <v>1.1197668993629022</v>
      </c>
      <c r="J13" s="7">
        <f t="shared" si="4"/>
        <v>0.32400005674993571</v>
      </c>
      <c r="K13" s="7">
        <f t="shared" si="9"/>
        <v>2.5258735098641232</v>
      </c>
      <c r="L13" s="5" t="s">
        <v>414</v>
      </c>
      <c r="M13" s="7">
        <f>IF(R13="",(VLOOKUP(A13,[1]Export!$B$2:$H$680,7,0)),"CHURN")</f>
        <v>0.40361026587061338</v>
      </c>
      <c r="N13" s="5">
        <f t="shared" si="10"/>
        <v>7505.3103000642495</v>
      </c>
      <c r="O13" s="5">
        <f t="shared" si="11"/>
        <v>3408.0191543419282</v>
      </c>
      <c r="P13" s="5">
        <f t="shared" si="12"/>
        <v>4512.2175537535804</v>
      </c>
      <c r="Q13" s="5" t="str">
        <f>VLOOKUP(A13,[4]Sheet2!$A$1:$B$142,2,0)</f>
        <v>LOW RISK</v>
      </c>
      <c r="T13" s="6" t="str" cm="1">
        <f t="array" ref="T13">IF(R13&lt;&gt;"Churn","",
 _xlfn.LET(
   _xlpm.rng,Y13:BF13,
   _xlpm.pos,MAX(IF((_xlpm.rng&lt;&gt;0)*(_xlpm.rng&lt;&gt;""),COLUMN(_xlpm.rng)-COLUMN(Y13)+1)),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" s="6" t="str" cm="1">
        <f t="array" ref="U13">IF(R13="Churn",
   MAX(IF((Y13:BF13&lt;&gt;"")*(Y13:BF13&lt;&gt;0), COLUMN(Y13:BF13)-COLUMN(Y13)+1))
   -MATCH(1, --((Y13:BF13&lt;&gt;"")*(Y13:BF13&lt;&gt;0)), 0)
   +1,
"")</f>
        <v/>
      </c>
      <c r="V13" s="6" t="str" cm="1">
        <f t="array" ref="V13">IFERROR(
    IF(
        MATCH(2,1/((Y13:BF13&lt;&gt;0)*(Y13:BF13&lt;&gt;"")))-MATCH(1,INDEX((Y13:BF13&lt;&gt;0)*(Y13:BF13&lt;&gt;""),0),0)+1 &lt;= 12,
        "No",
        "Yes"
    ),
    "No"
)</f>
        <v>Yes</v>
      </c>
      <c r="W13" s="6" t="str" cm="1">
        <f t="array" ref="W13">IFERROR(
    IF(
        MATCH(2,1/((Y13:BF13&lt;&gt;0)*(Y13:BF13&lt;&gt;"")))-MATCH(1,INDEX((Y13:BF13&lt;&gt;0)*(Y13:BF13&lt;&gt;""),0),0)+1 &lt;= 24,
        "No",
        "Yes"
    ),
    "No"
)</f>
        <v>Yes</v>
      </c>
      <c r="Y13" s="8">
        <v>3396.4921381468471</v>
      </c>
      <c r="Z13" s="8">
        <v>3569.2072400750121</v>
      </c>
      <c r="AA13" s="8">
        <v>3550.9993606003236</v>
      </c>
      <c r="AB13" s="8">
        <v>3529.816222592859</v>
      </c>
      <c r="AC13" s="8">
        <v>4485.0489101182975</v>
      </c>
      <c r="AD13" s="8">
        <v>3949.0456784383446</v>
      </c>
      <c r="AE13" s="8">
        <v>2119.4769774399642</v>
      </c>
      <c r="AF13" s="8">
        <v>3597.0454233251471</v>
      </c>
      <c r="AG13" s="8">
        <v>6564.5038336185426</v>
      </c>
      <c r="AH13" s="8">
        <v>5737.1205614887303</v>
      </c>
      <c r="AI13" s="8">
        <v>5769.7546959744459</v>
      </c>
      <c r="AJ13" s="8">
        <v>5639.6852902527617</v>
      </c>
      <c r="AK13" s="8">
        <v>5714.4161934929598</v>
      </c>
      <c r="AL13" s="8">
        <v>5650.9618662213561</v>
      </c>
      <c r="AM13" s="8">
        <v>5544.2057649285989</v>
      </c>
      <c r="AN13" s="8">
        <v>5516.1205296255193</v>
      </c>
      <c r="AO13" s="8">
        <v>6889.0884930993234</v>
      </c>
      <c r="AP13" s="8">
        <v>6659.3446190581326</v>
      </c>
      <c r="AQ13" s="8">
        <v>6366.0298563947154</v>
      </c>
      <c r="AR13" s="8">
        <v>6391.7198433495969</v>
      </c>
      <c r="AS13" s="8">
        <v>6712.930922349864</v>
      </c>
      <c r="AT13" s="8">
        <v>6688.2591227409448</v>
      </c>
      <c r="AU13" s="8">
        <v>7398.00812232316</v>
      </c>
      <c r="AV13" s="8">
        <v>7634.0877274299301</v>
      </c>
      <c r="AW13" s="8">
        <v>7565.8873644774303</v>
      </c>
      <c r="AX13" s="8">
        <v>8046.8605865745212</v>
      </c>
      <c r="AY13" s="8">
        <v>8269.1737713863804</v>
      </c>
      <c r="AZ13" s="8">
        <v>8117.4035603274751</v>
      </c>
      <c r="BA13" s="8">
        <v>18345.217789914797</v>
      </c>
      <c r="BB13" s="8">
        <v>11217.379346739695</v>
      </c>
      <c r="BC13" s="8">
        <v>11070.647079625785</v>
      </c>
      <c r="BD13" s="8">
        <v>10955.425777962753</v>
      </c>
      <c r="BE13" s="8">
        <v>10881.260069101134</v>
      </c>
      <c r="BF13" s="8">
        <v>12584.573258995724</v>
      </c>
      <c r="BH13" s="8">
        <f t="shared" si="5"/>
        <v>51908.196332071275</v>
      </c>
      <c r="BI13" s="8">
        <f t="shared" si="6"/>
        <v>77165.173061014095</v>
      </c>
      <c r="BJ13" s="8">
        <f t="shared" si="7"/>
        <v>107053.82860510569</v>
      </c>
    </row>
    <row r="14" spans="1:62" x14ac:dyDescent="0.25">
      <c r="A14" s="9" t="s">
        <v>247</v>
      </c>
      <c r="B14" s="9" t="s">
        <v>643</v>
      </c>
      <c r="C14" s="10">
        <f>VLOOKUP(A14,'[2]Revenue_Engine_2025 Oct.25'!$C$14:G$3937,5,0)</f>
        <v>45260</v>
      </c>
      <c r="D14" s="6" cm="1">
        <f t="array" ref="D14">_xlfn.LET(
  _xlpm.aralık, Y14:BF14,
  _xlpm.ilk, MATCH(TRUE, _xlpm.aralık&lt;&gt;0, 0),
  _xlpm.son, MIN(_xlpm.ilk+2, COLUMNS(_xlpm.aralık)),
  MAX(INDEX(_xlpm.aralık, _xlpm.ilk):INDEX(_xlpm.aralık, _xlpm.son))
)</f>
        <v>8150</v>
      </c>
      <c r="E14" s="6">
        <f t="shared" si="0"/>
        <v>10085</v>
      </c>
      <c r="F14" s="6">
        <f t="shared" si="1"/>
        <v>0</v>
      </c>
      <c r="G14" s="6">
        <f t="shared" si="8"/>
        <v>11808.6</v>
      </c>
      <c r="H14" s="7">
        <f t="shared" si="2"/>
        <v>0.23742331288343557</v>
      </c>
      <c r="I14" s="7">
        <f t="shared" si="3"/>
        <v>-1</v>
      </c>
      <c r="J14" s="7">
        <f t="shared" si="4"/>
        <v>-1</v>
      </c>
      <c r="K14" s="7">
        <f t="shared" si="9"/>
        <v>0.44890797546012273</v>
      </c>
      <c r="L14" s="5" t="s">
        <v>418</v>
      </c>
      <c r="M14" s="7">
        <f>IF(R14="",(VLOOKUP(A14,[1]Export!$B$2:$H$680,7,0)),"CHURN")</f>
        <v>0.17379028843385336</v>
      </c>
      <c r="N14" s="5">
        <f t="shared" si="10"/>
        <v>9756.3799999999992</v>
      </c>
      <c r="O14" s="5">
        <f t="shared" si="11"/>
        <v>8332.3249411445886</v>
      </c>
      <c r="P14" s="5">
        <f t="shared" si="12"/>
        <v>0</v>
      </c>
      <c r="Q14" s="5" t="str">
        <f>VLOOKUP(A14,[4]Sheet2!$A$1:$B$142,2,0)</f>
        <v>NO RISK</v>
      </c>
      <c r="T14" s="6" t="str" cm="1">
        <f t="array" ref="T14">IF(R14&lt;&gt;"Churn","",
 _xlfn.LET(
   _xlpm.rng,Y14:BF14,
   _xlpm.pos,MAX(IF((_xlpm.rng&lt;&gt;0)*(_xlpm.rng&lt;&gt;""),COLUMN(_xlpm.rng)-COLUMN(Y14)+1)),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" s="6" t="str" cm="1">
        <f t="array" ref="U14">IF(R14="Churn",
   MAX(IF((Y14:BF14&lt;&gt;"")*(Y14:BF14&lt;&gt;0), COLUMN(Y14:BF14)-COLUMN(Y14)+1))
   -MATCH(1, --((Y14:BF14&lt;&gt;"")*(Y14:BF14&lt;&gt;0)), 0)
   +1,
"")</f>
        <v/>
      </c>
      <c r="V14" s="6" t="str" cm="1">
        <f t="array" ref="V14">IFERROR(
    IF(
        MATCH(2,1/((Y14:BF14&lt;&gt;0)*(Y14:BF14&lt;&gt;"")))-MATCH(1,INDEX((Y14:BF14&lt;&gt;0)*(Y14:BF14&lt;&gt;""),0),0)+1 &lt;= 12,
        "No",
        "Yes"
    ),
    "No"
)</f>
        <v>Yes</v>
      </c>
      <c r="W14" s="6" t="str" cm="1">
        <f t="array" ref="W14">IFERROR(
    IF(
        MATCH(2,1/((Y14:BF14&lt;&gt;0)*(Y14:BF14&lt;&gt;"")))-MATCH(1,INDEX((Y14:BF14&lt;&gt;0)*(Y14:BF14&lt;&gt;""),0),0)+1 &lt;= 24,
        "No",
        "Yes"
    ),
    "No"
)</f>
        <v>No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8150</v>
      </c>
      <c r="AJ14" s="8">
        <v>8150</v>
      </c>
      <c r="AK14" s="8">
        <v>8150</v>
      </c>
      <c r="AL14" s="8">
        <v>8150</v>
      </c>
      <c r="AM14" s="8">
        <v>8150</v>
      </c>
      <c r="AN14" s="8">
        <v>8150</v>
      </c>
      <c r="AO14" s="8">
        <v>8150</v>
      </c>
      <c r="AP14" s="8">
        <v>8150</v>
      </c>
      <c r="AQ14" s="8">
        <v>8150</v>
      </c>
      <c r="AR14" s="8">
        <v>9500</v>
      </c>
      <c r="AS14" s="8">
        <v>9500</v>
      </c>
      <c r="AT14" s="8">
        <v>10085</v>
      </c>
      <c r="AU14" s="8">
        <v>10085</v>
      </c>
      <c r="AV14" s="8">
        <v>10085</v>
      </c>
      <c r="AW14" s="8">
        <v>11808.6</v>
      </c>
      <c r="AX14" s="8">
        <v>11808.6</v>
      </c>
      <c r="AY14" s="8">
        <v>11808.6</v>
      </c>
      <c r="AZ14" s="8">
        <v>11808.599999999999</v>
      </c>
      <c r="BA14" s="8">
        <v>12308.6</v>
      </c>
      <c r="BB14" s="8">
        <v>11808.6</v>
      </c>
      <c r="BC14" s="8">
        <v>11808.6</v>
      </c>
      <c r="BD14" s="8">
        <v>11808.6</v>
      </c>
      <c r="BE14" s="8">
        <v>11808.6</v>
      </c>
      <c r="BF14" s="8">
        <v>11808.6</v>
      </c>
      <c r="BH14" s="8">
        <f t="shared" si="5"/>
        <v>16300</v>
      </c>
      <c r="BI14" s="8">
        <f t="shared" si="6"/>
        <v>106305</v>
      </c>
      <c r="BJ14" s="8">
        <f t="shared" si="7"/>
        <v>118586.00000000003</v>
      </c>
    </row>
    <row r="15" spans="1:62" x14ac:dyDescent="0.25">
      <c r="A15" s="9" t="s">
        <v>203</v>
      </c>
      <c r="B15" s="9" t="s">
        <v>643</v>
      </c>
      <c r="C15" s="10">
        <f>VLOOKUP(A15,'[2]Revenue_Engine_2025 Oct.25'!$C$14:G$3937,5,0)</f>
        <v>45044</v>
      </c>
      <c r="D15" s="6" cm="1">
        <f t="array" ref="D15">_xlfn.LET(
  _xlpm.aralık, Y15:BF15,
  _xlpm.ilk, MATCH(TRUE, _xlpm.aralık&lt;&gt;0, 0),
  _xlpm.son, MIN(_xlpm.ilk+2, COLUMNS(_xlpm.aralık)),
  MAX(INDEX(_xlpm.aralık, _xlpm.ilk):INDEX(_xlpm.aralık, _xlpm.son))
)</f>
        <v>1168.746697020204</v>
      </c>
      <c r="E15" s="6">
        <f t="shared" si="0"/>
        <v>1141.3569773537263</v>
      </c>
      <c r="F15" s="6">
        <f t="shared" si="1"/>
        <v>10241.976450871189</v>
      </c>
      <c r="G15" s="6">
        <f t="shared" si="8"/>
        <v>11723.409582829054</v>
      </c>
      <c r="H15" s="7">
        <f t="shared" si="2"/>
        <v>-2.3435120489589071E-2</v>
      </c>
      <c r="I15" s="7">
        <f t="shared" si="3"/>
        <v>7.7632131726949698</v>
      </c>
      <c r="J15" s="7">
        <f t="shared" si="4"/>
        <v>7.9735084238215714</v>
      </c>
      <c r="K15" s="7">
        <f t="shared" si="9"/>
        <v>9.0307531244525876</v>
      </c>
      <c r="L15" s="5" t="s">
        <v>416</v>
      </c>
      <c r="M15" s="7">
        <f>IF(R15="",(VLOOKUP(A15,[1]Export!$B$2:$H$680,7,0)),"CHURN")</f>
        <v>0.41529965584444617</v>
      </c>
      <c r="N15" s="5">
        <f t="shared" si="10"/>
        <v>6854.6816177566652</v>
      </c>
      <c r="O15" s="5">
        <f t="shared" si="11"/>
        <v>667.35181746306637</v>
      </c>
      <c r="P15" s="5">
        <f t="shared" si="12"/>
        <v>5988.4871556574617</v>
      </c>
      <c r="Q15" s="5" t="s">
        <v>430</v>
      </c>
      <c r="T15" s="6" t="str" cm="1">
        <f t="array" ref="T15">IF(R15&lt;&gt;"Churn","",
 _xlfn.LET(
   _xlpm.rng,Y15:BF15,
   _xlpm.pos,MAX(IF((_xlpm.rng&lt;&gt;0)*(_xlpm.rng&lt;&gt;""),COLUMN(_xlpm.rng)-COLUMN(Y15)+1)),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" s="6" t="str" cm="1">
        <f t="array" ref="U15">IF(R15="Churn",
   MAX(IF((Y15:BF15&lt;&gt;"")*(Y15:BF15&lt;&gt;0), COLUMN(Y15:BF15)-COLUMN(Y15)+1))
   -MATCH(1, --((Y15:BF15&lt;&gt;"")*(Y15:BF15&lt;&gt;0)), 0)
   +1,
"")</f>
        <v/>
      </c>
      <c r="V15" s="6" t="str" cm="1">
        <f t="array" ref="V15">IFERROR(
    IF(
        MATCH(2,1/((Y15:BF15&lt;&gt;0)*(Y15:BF15&lt;&gt;"")))-MATCH(1,INDEX((Y15:BF15&lt;&gt;0)*(Y15:BF15&lt;&gt;""),0),0)+1 &lt;= 12,
        "No",
        "Yes"
    ),
    "No"
)</f>
        <v>Yes</v>
      </c>
      <c r="W15" s="6" t="str" cm="1">
        <f t="array" ref="W15">IFERROR(
    IF(
        MATCH(2,1/((Y15:BF15&lt;&gt;0)*(Y15:BF15&lt;&gt;"")))-MATCH(1,INDEX((Y15:BF15&lt;&gt;0)*(Y15:BF15&lt;&gt;""),0),0)+1 &lt;= 24,
        "No",
        "Yes"
    ),
    "No"
)</f>
        <v>Yes</v>
      </c>
      <c r="Y15" s="8">
        <v>0</v>
      </c>
      <c r="Z15" s="8">
        <v>0</v>
      </c>
      <c r="AA15" s="8">
        <v>0</v>
      </c>
      <c r="AB15" s="8">
        <v>0</v>
      </c>
      <c r="AC15" s="8">
        <v>1168.746697020204</v>
      </c>
      <c r="AD15" s="8">
        <v>982.87238043143827</v>
      </c>
      <c r="AE15" s="8">
        <v>871.04385137719601</v>
      </c>
      <c r="AF15" s="8">
        <v>854.56430224824715</v>
      </c>
      <c r="AG15" s="8">
        <v>853.77125612024076</v>
      </c>
      <c r="AH15" s="8">
        <v>827.45629501766985</v>
      </c>
      <c r="AI15" s="8">
        <v>804.67692221573043</v>
      </c>
      <c r="AJ15" s="8">
        <v>792.13922363467918</v>
      </c>
      <c r="AK15" s="8">
        <v>766.89929278547822</v>
      </c>
      <c r="AL15" s="8">
        <v>749.27841231162165</v>
      </c>
      <c r="AM15" s="8">
        <v>720.59201333408532</v>
      </c>
      <c r="AN15" s="8">
        <v>1141.3569773537263</v>
      </c>
      <c r="AO15" s="8">
        <v>1143.0162304884677</v>
      </c>
      <c r="AP15" s="8">
        <v>4582.9524384459492</v>
      </c>
      <c r="AQ15" s="8">
        <v>4529.8649228717813</v>
      </c>
      <c r="AR15" s="8">
        <v>9287.7861782333348</v>
      </c>
      <c r="AS15" s="8">
        <v>10506.562066497052</v>
      </c>
      <c r="AT15" s="8">
        <v>10441.593056068505</v>
      </c>
      <c r="AU15" s="8">
        <v>11058.684166838862</v>
      </c>
      <c r="AV15" s="8">
        <v>10829.431986717398</v>
      </c>
      <c r="AW15" s="8">
        <v>10666.182223862066</v>
      </c>
      <c r="AX15" s="8">
        <v>10478.156717840819</v>
      </c>
      <c r="AY15" s="8">
        <v>10216.740218970212</v>
      </c>
      <c r="AZ15" s="8">
        <v>10241.976450871189</v>
      </c>
      <c r="BA15" s="8">
        <v>10070.276296760945</v>
      </c>
      <c r="BB15" s="8">
        <v>12438.611034121508</v>
      </c>
      <c r="BC15" s="8">
        <v>12199.352225425453</v>
      </c>
      <c r="BD15" s="8">
        <v>12011.474484746694</v>
      </c>
      <c r="BE15" s="8">
        <v>11866.082515682381</v>
      </c>
      <c r="BF15" s="8">
        <v>11723.409582829054</v>
      </c>
      <c r="BH15" s="8">
        <f t="shared" si="5"/>
        <v>7155.2709280654062</v>
      </c>
      <c r="BI15" s="8">
        <f t="shared" si="6"/>
        <v>65758.017741946271</v>
      </c>
      <c r="BJ15" s="8">
        <f t="shared" si="7"/>
        <v>111912.26175111033</v>
      </c>
    </row>
    <row r="16" spans="1:62" x14ac:dyDescent="0.25">
      <c r="A16" s="9" t="s">
        <v>46</v>
      </c>
      <c r="B16" s="9" t="s">
        <v>643</v>
      </c>
      <c r="C16" s="10">
        <v>44927</v>
      </c>
      <c r="D16" s="6" cm="1">
        <f t="array" ref="D16">_xlfn.LET(
  _xlpm.aralık, Y16:BF16,
  _xlpm.ilk, MATCH(TRUE, _xlpm.aralık&lt;&gt;0, 0),
  _xlpm.son, MIN(_xlpm.ilk+2, COLUMNS(_xlpm.aralık)),
  MAX(INDEX(_xlpm.aralık, _xlpm.ilk):INDEX(_xlpm.aralık, _xlpm.son))
)</f>
        <v>4110.6539505179044</v>
      </c>
      <c r="E16" s="6">
        <f t="shared" si="0"/>
        <v>7289.6535521714904</v>
      </c>
      <c r="F16" s="6">
        <f t="shared" si="1"/>
        <v>11701.195286533735</v>
      </c>
      <c r="G16" s="6">
        <f t="shared" si="8"/>
        <v>11399.02724622769</v>
      </c>
      <c r="H16" s="7">
        <f t="shared" si="2"/>
        <v>0.77335617152912162</v>
      </c>
      <c r="I16" s="7">
        <f t="shared" si="3"/>
        <v>1.8465532315264566</v>
      </c>
      <c r="J16" s="7">
        <f t="shared" si="4"/>
        <v>0.60517851812698364</v>
      </c>
      <c r="K16" s="7">
        <f t="shared" si="9"/>
        <v>1.7730447231617534</v>
      </c>
      <c r="L16" s="5" t="s">
        <v>413</v>
      </c>
      <c r="M16" s="7">
        <f>IF(R16="",(VLOOKUP(A16,[1]Export!$B$2:$H$680,7,0)),"CHURN")</f>
        <v>0.29978579743969941</v>
      </c>
      <c r="N16" s="5">
        <f t="shared" si="10"/>
        <v>7981.7607731804619</v>
      </c>
      <c r="O16" s="5">
        <f t="shared" si="11"/>
        <v>5104.3189489746228</v>
      </c>
      <c r="P16" s="5">
        <f t="shared" si="12"/>
        <v>8193.3431265625677</v>
      </c>
      <c r="Q16" s="5" t="str">
        <f>VLOOKUP(A16,[4]Sheet2!$A$1:$B$142,2,0)</f>
        <v>LOW RISK</v>
      </c>
      <c r="T16" s="6" t="str" cm="1">
        <f t="array" ref="T16">IF(R16&lt;&gt;"Churn","",
 _xlfn.LET(
   _xlpm.rng,Y16:BF16,
   _xlpm.pos,MAX(IF((_xlpm.rng&lt;&gt;0)*(_xlpm.rng&lt;&gt;""),COLUMN(_xlpm.rng)-COLUMN(Y16)+1)),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" s="6" t="str" cm="1">
        <f t="array" ref="U16">IF(R16="Churn",
   MAX(IF((Y16:BF16&lt;&gt;"")*(Y16:BF16&lt;&gt;0), COLUMN(Y16:BF16)-COLUMN(Y16)+1))
   -MATCH(1, --((Y16:BF16&lt;&gt;"")*(Y16:BF16&lt;&gt;0)), 0)
   +1,
"")</f>
        <v/>
      </c>
      <c r="V16" s="6" t="str" cm="1">
        <f t="array" ref="V16">IFERROR(
    IF(
        MATCH(2,1/((Y16:BF16&lt;&gt;0)*(Y16:BF16&lt;&gt;"")))-MATCH(1,INDEX((Y16:BF16&lt;&gt;0)*(Y16:BF16&lt;&gt;""),0),0)+1 &lt;= 12,
        "No",
        "Yes"
    ),
    "No"
)</f>
        <v>Yes</v>
      </c>
      <c r="W16" s="6" t="str" cm="1">
        <f t="array" ref="W16">IFERROR(
    IF(
        MATCH(2,1/((Y16:BF16&lt;&gt;0)*(Y16:BF16&lt;&gt;"")))-MATCH(1,INDEX((Y16:BF16&lt;&gt;0)*(Y16:BF16&lt;&gt;""),0),0)+1 &lt;= 24,
        "No",
        "Yes"
    ),
    "No"
)</f>
        <v>Yes</v>
      </c>
      <c r="Y16" s="8">
        <v>4110.6539505179044</v>
      </c>
      <c r="Z16" s="8">
        <v>4097.7618640331075</v>
      </c>
      <c r="AA16" s="8">
        <v>4045.38656654239</v>
      </c>
      <c r="AB16" s="8">
        <v>5439.8060716561085</v>
      </c>
      <c r="AC16" s="8">
        <v>6657.6958640595149</v>
      </c>
      <c r="AD16" s="8">
        <v>5885.6050541861823</v>
      </c>
      <c r="AE16" s="8">
        <v>6529.1477950850403</v>
      </c>
      <c r="AF16" s="8">
        <v>6604.3411083327446</v>
      </c>
      <c r="AG16" s="8">
        <v>6662.5765662804897</v>
      </c>
      <c r="AH16" s="8">
        <v>7427.0276692029038</v>
      </c>
      <c r="AI16" s="8">
        <v>7341.0110618383715</v>
      </c>
      <c r="AJ16" s="8">
        <v>7375.5786220545324</v>
      </c>
      <c r="AK16" s="8">
        <v>7289.6535521714904</v>
      </c>
      <c r="AL16" s="8">
        <v>7874.5425866641453</v>
      </c>
      <c r="AM16" s="8">
        <v>7732.9125447036486</v>
      </c>
      <c r="AN16" s="8">
        <v>8929.3796020014888</v>
      </c>
      <c r="AO16" s="8">
        <v>9408.9892305091762</v>
      </c>
      <c r="AP16" s="8">
        <v>9398.021706876847</v>
      </c>
      <c r="AQ16" s="8">
        <v>9383.1440138157996</v>
      </c>
      <c r="AR16" s="8">
        <v>9380.6481170988882</v>
      </c>
      <c r="AS16" s="8">
        <v>9421.4266893443328</v>
      </c>
      <c r="AT16" s="8">
        <v>9413.8335447871996</v>
      </c>
      <c r="AU16" s="8">
        <v>9407.1067568773069</v>
      </c>
      <c r="AV16" s="8">
        <v>11229.106957591939</v>
      </c>
      <c r="AW16" s="8">
        <v>11701.195286533735</v>
      </c>
      <c r="AX16" s="8">
        <v>11669.042503368544</v>
      </c>
      <c r="AY16" s="8">
        <v>11624.339695851355</v>
      </c>
      <c r="AZ16" s="8">
        <v>11577.669610788118</v>
      </c>
      <c r="BA16" s="8">
        <v>11536.746572513332</v>
      </c>
      <c r="BB16" s="8">
        <v>11508.360709835461</v>
      </c>
      <c r="BC16" s="8">
        <v>11476.747243466087</v>
      </c>
      <c r="BD16" s="8">
        <v>11427.089481145147</v>
      </c>
      <c r="BE16" s="8">
        <v>11407.878729523558</v>
      </c>
      <c r="BF16" s="8">
        <v>11399.02724622769</v>
      </c>
      <c r="BH16" s="8">
        <f t="shared" si="5"/>
        <v>72176.592193789285</v>
      </c>
      <c r="BI16" s="8">
        <f t="shared" si="6"/>
        <v>108868.76530244226</v>
      </c>
      <c r="BJ16" s="8">
        <f t="shared" si="7"/>
        <v>115328.09707925301</v>
      </c>
    </row>
    <row r="17" spans="1:62" x14ac:dyDescent="0.25">
      <c r="A17" s="9" t="s">
        <v>3</v>
      </c>
      <c r="B17" s="9" t="s">
        <v>643</v>
      </c>
      <c r="C17" s="10">
        <f>VLOOKUP(A17,'[2]Revenue_Engine_2025 Oct.25'!$C$14:G$3937,5,0)</f>
        <v>45044</v>
      </c>
      <c r="D17" s="6" cm="1">
        <f t="array" ref="D17">_xlfn.LET(
  _xlpm.aralık, Y17:BF17,
  _xlpm.ilk, MATCH(TRUE, _xlpm.aralık&lt;&gt;0, 0),
  _xlpm.son, MIN(_xlpm.ilk+2, COLUMNS(_xlpm.aralık)),
  MAX(INDEX(_xlpm.aralık, _xlpm.ilk):INDEX(_xlpm.aralık, _xlpm.son))
)</f>
        <v>5659.3251360730992</v>
      </c>
      <c r="E17" s="6">
        <f t="shared" si="0"/>
        <v>8505.5684506797588</v>
      </c>
      <c r="F17" s="6">
        <f t="shared" si="1"/>
        <v>11904.487135304502</v>
      </c>
      <c r="G17" s="6">
        <f t="shared" si="8"/>
        <v>11111.609026110629</v>
      </c>
      <c r="H17" s="7">
        <f t="shared" si="2"/>
        <v>0.5029298098574374</v>
      </c>
      <c r="I17" s="7">
        <f t="shared" si="3"/>
        <v>1.1035170888882353</v>
      </c>
      <c r="J17" s="7">
        <f t="shared" si="4"/>
        <v>0.39961099652935061</v>
      </c>
      <c r="K17" s="7">
        <f t="shared" si="9"/>
        <v>0.96341591248824565</v>
      </c>
      <c r="L17" s="5" t="s">
        <v>415</v>
      </c>
      <c r="M17" s="7">
        <f>IF(R17="",(VLOOKUP(A17,[1]Export!$B$2:$H$680,7,0)),"CHURN")</f>
        <v>0.2675212643619756</v>
      </c>
      <c r="N17" s="5">
        <f t="shared" si="10"/>
        <v>8139.017330349574</v>
      </c>
      <c r="O17" s="5">
        <f t="shared" si="11"/>
        <v>6230.14802463658</v>
      </c>
      <c r="P17" s="5">
        <f t="shared" si="12"/>
        <v>8719.7836852869696</v>
      </c>
      <c r="Q17" s="5" t="s">
        <v>430</v>
      </c>
      <c r="T17" s="6" t="str" cm="1">
        <f t="array" ref="T17">IF(R17&lt;&gt;"Churn","",
 _xlfn.LET(
   _xlpm.rng,Y17:BF17,
   _xlpm.pos,MAX(IF((_xlpm.rng&lt;&gt;0)*(_xlpm.rng&lt;&gt;""),COLUMN(_xlpm.rng)-COLUMN(Y17)+1)),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" s="6" t="str" cm="1">
        <f t="array" ref="U17">IF(R17="Churn",
   MAX(IF((Y17:BF17&lt;&gt;"")*(Y17:BF17&lt;&gt;0), COLUMN(Y17:BF17)-COLUMN(Y17)+1))
   -MATCH(1, --((Y17:BF17&lt;&gt;"")*(Y17:BF17&lt;&gt;0)), 0)
   +1,
"")</f>
        <v/>
      </c>
      <c r="V17" s="6" t="str" cm="1">
        <f t="array" ref="V17">IFERROR(
    IF(
        MATCH(2,1/((Y17:BF17&lt;&gt;0)*(Y17:BF17&lt;&gt;"")))-MATCH(1,INDEX((Y17:BF17&lt;&gt;0)*(Y17:BF17&lt;&gt;""),0),0)+1 &lt;= 12,
        "No",
        "Yes"
    ),
    "No"
)</f>
        <v>Yes</v>
      </c>
      <c r="W17" s="6" t="str" cm="1">
        <f t="array" ref="W17">IFERROR(
    IF(
        MATCH(2,1/((Y17:BF17&lt;&gt;0)*(Y17:BF17&lt;&gt;"")))-MATCH(1,INDEX((Y17:BF17&lt;&gt;0)*(Y17:BF17&lt;&gt;""),0),0)+1 &lt;= 24,
        "No",
        "Yes"
    ),
    "No"
)</f>
        <v>Yes</v>
      </c>
      <c r="X17" s="6"/>
      <c r="Y17" s="8">
        <v>5659.3251360730992</v>
      </c>
      <c r="Z17" s="8">
        <v>5645.1834283376811</v>
      </c>
      <c r="AA17" s="8">
        <v>5615.3659422773708</v>
      </c>
      <c r="AB17" s="8">
        <v>7839.681043815167</v>
      </c>
      <c r="AC17" s="8">
        <v>7731.6581161835848</v>
      </c>
      <c r="AD17" s="8">
        <v>6842.6939933677486</v>
      </c>
      <c r="AE17" s="8">
        <v>7724.2549431738562</v>
      </c>
      <c r="AF17" s="8">
        <v>7628.6425154657554</v>
      </c>
      <c r="AG17" s="8">
        <v>7613.5601242051571</v>
      </c>
      <c r="AH17" s="8">
        <v>7604.4707072916526</v>
      </c>
      <c r="AI17" s="8">
        <v>7454.092182878574</v>
      </c>
      <c r="AJ17" s="8">
        <v>7371.3242933257097</v>
      </c>
      <c r="AK17" s="8">
        <v>7871.5723042656273</v>
      </c>
      <c r="AL17" s="8">
        <v>7739.9251509958885</v>
      </c>
      <c r="AM17" s="8">
        <v>7525.6065323232515</v>
      </c>
      <c r="AN17" s="8">
        <v>8505.5684506797588</v>
      </c>
      <c r="AO17" s="8">
        <v>8514.8195185835193</v>
      </c>
      <c r="AP17" s="8">
        <v>8460.8611453950725</v>
      </c>
      <c r="AQ17" s="8">
        <v>8387.6653957178387</v>
      </c>
      <c r="AR17" s="8">
        <v>8253.2101765235057</v>
      </c>
      <c r="AS17" s="8">
        <v>8183.2431418694077</v>
      </c>
      <c r="AT17" s="8">
        <v>8145.8861466695153</v>
      </c>
      <c r="AU17" s="8">
        <v>8112.7914805835826</v>
      </c>
      <c r="AV17" s="8">
        <v>12697.619948886622</v>
      </c>
      <c r="AW17" s="8">
        <v>12551.420714197026</v>
      </c>
      <c r="AX17" s="8">
        <v>12383.028880200927</v>
      </c>
      <c r="AY17" s="8">
        <v>12148.909559832307</v>
      </c>
      <c r="AZ17" s="8">
        <v>11904.487135304502</v>
      </c>
      <c r="BA17" s="8">
        <v>11755.192432852036</v>
      </c>
      <c r="BB17" s="8">
        <v>11606.528864559044</v>
      </c>
      <c r="BC17" s="8">
        <v>11440.961561922672</v>
      </c>
      <c r="BD17" s="8">
        <v>11310.950075711593</v>
      </c>
      <c r="BE17" s="8">
        <v>11210.338763733303</v>
      </c>
      <c r="BF17" s="8">
        <v>11111.609026110629</v>
      </c>
      <c r="BH17" s="8">
        <f t="shared" si="5"/>
        <v>84730.252426395367</v>
      </c>
      <c r="BI17" s="8">
        <f t="shared" si="6"/>
        <v>102398.76939249359</v>
      </c>
      <c r="BJ17" s="8">
        <f t="shared" si="7"/>
        <v>117423.42701442404</v>
      </c>
    </row>
    <row r="18" spans="1:62" x14ac:dyDescent="0.25">
      <c r="A18" s="9" t="s">
        <v>108</v>
      </c>
      <c r="B18" s="9" t="s">
        <v>643</v>
      </c>
      <c r="C18" s="10">
        <v>44927</v>
      </c>
      <c r="D18" s="6" cm="1">
        <f t="array" ref="D18">_xlfn.LET(
  _xlpm.aralık, Y18:BF18,
  _xlpm.ilk, MATCH(TRUE, _xlpm.aralık&lt;&gt;0, 0),
  _xlpm.son, MIN(_xlpm.ilk+2, COLUMNS(_xlpm.aralık)),
  MAX(INDEX(_xlpm.aralık, _xlpm.ilk):INDEX(_xlpm.aralık, _xlpm.son))
)</f>
        <v>9950</v>
      </c>
      <c r="E18" s="6">
        <f t="shared" si="0"/>
        <v>9949.9858319999985</v>
      </c>
      <c r="F18" s="6">
        <f t="shared" si="1"/>
        <v>9949.9858319999985</v>
      </c>
      <c r="G18" s="6">
        <f t="shared" si="8"/>
        <v>9949.9858319999985</v>
      </c>
      <c r="H18" s="7">
        <f t="shared" si="2"/>
        <v>-1.4239195981425649E-6</v>
      </c>
      <c r="I18" s="7">
        <f t="shared" si="3"/>
        <v>-1.4239195981425649E-6</v>
      </c>
      <c r="J18" s="7">
        <f t="shared" si="4"/>
        <v>0</v>
      </c>
      <c r="K18" s="7">
        <f t="shared" si="9"/>
        <v>-1.4239195981425649E-6</v>
      </c>
      <c r="L18" s="5" t="s">
        <v>417</v>
      </c>
      <c r="M18" s="7">
        <f>IF(R18="",(VLOOKUP(A18,[1]Export!$B$2:$H$680,7,0)),"CHURN")</f>
        <v>0.16775959887618061</v>
      </c>
      <c r="N18" s="5">
        <f t="shared" si="10"/>
        <v>8280.7801999999974</v>
      </c>
      <c r="O18" s="5">
        <f t="shared" si="11"/>
        <v>8280.7801999999974</v>
      </c>
      <c r="P18" s="5">
        <f t="shared" si="12"/>
        <v>8280.7801999999974</v>
      </c>
      <c r="Q18" s="5" t="s">
        <v>430</v>
      </c>
      <c r="T18" s="6" t="str" cm="1">
        <f t="array" ref="T18">IF(R18&lt;&gt;"Churn","",
 _xlfn.LET(
   _xlpm.rng,Y18:BF18,
   _xlpm.pos,MAX(IF((_xlpm.rng&lt;&gt;0)*(_xlpm.rng&lt;&gt;""),COLUMN(_xlpm.rng)-COLUMN(Y18)+1)),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" s="6" t="str" cm="1">
        <f t="array" ref="U18">IF(R18="Churn",
   MAX(IF((Y18:BF18&lt;&gt;"")*(Y18:BF18&lt;&gt;0), COLUMN(Y18:BF18)-COLUMN(Y18)+1))
   -MATCH(1, --((Y18:BF18&lt;&gt;"")*(Y18:BF18&lt;&gt;0)), 0)
   +1,
"")</f>
        <v/>
      </c>
      <c r="V18" s="6" t="str" cm="1">
        <f t="array" ref="V18">IFERROR(
    IF(
        MATCH(2,1/((Y18:BF18&lt;&gt;0)*(Y18:BF18&lt;&gt;"")))-MATCH(1,INDEX((Y18:BF18&lt;&gt;0)*(Y18:BF18&lt;&gt;""),0),0)+1 &lt;= 12,
        "No",
        "Yes"
    ),
    "No"
)</f>
        <v>Yes</v>
      </c>
      <c r="W18" s="6" t="str" cm="1">
        <f t="array" ref="W18">IFERROR(
    IF(
        MATCH(2,1/((Y18:BF18&lt;&gt;0)*(Y18:BF18&lt;&gt;"")))-MATCH(1,INDEX((Y18:BF18&lt;&gt;0)*(Y18:BF18&lt;&gt;""),0),0)+1 &lt;= 24,
        "No",
        "Yes"
    ),
    "No"
)</f>
        <v>Yes</v>
      </c>
      <c r="Y18" s="8">
        <v>9950</v>
      </c>
      <c r="Z18" s="8">
        <v>9950</v>
      </c>
      <c r="AA18" s="8">
        <v>9950</v>
      </c>
      <c r="AB18" s="8">
        <v>9950</v>
      </c>
      <c r="AC18" s="8">
        <v>9949.9858319999985</v>
      </c>
      <c r="AD18" s="8">
        <v>9949.9858319999985</v>
      </c>
      <c r="AE18" s="8">
        <v>9949.9858319999985</v>
      </c>
      <c r="AF18" s="8">
        <v>9949.9858319999985</v>
      </c>
      <c r="AG18" s="8">
        <v>9949.9858319999985</v>
      </c>
      <c r="AH18" s="8">
        <v>9949.9858319999985</v>
      </c>
      <c r="AI18" s="8">
        <v>9949.9858319999985</v>
      </c>
      <c r="AJ18" s="8">
        <v>9949.9858319999985</v>
      </c>
      <c r="AK18" s="8">
        <v>9949.9858319999985</v>
      </c>
      <c r="AL18" s="8">
        <v>9949.9858319999985</v>
      </c>
      <c r="AM18" s="8">
        <v>9949.9858319999985</v>
      </c>
      <c r="AN18" s="8">
        <v>9949.9858319999985</v>
      </c>
      <c r="AO18" s="8">
        <v>9949.9858319999985</v>
      </c>
      <c r="AP18" s="8">
        <v>9949.9858319999985</v>
      </c>
      <c r="AQ18" s="8">
        <v>9949.9858319999985</v>
      </c>
      <c r="AR18" s="8">
        <v>9949.9858319999985</v>
      </c>
      <c r="AS18" s="8">
        <v>9949.9858319999985</v>
      </c>
      <c r="AT18" s="8">
        <v>9949.9858319999985</v>
      </c>
      <c r="AU18" s="8">
        <v>9949.9858319999985</v>
      </c>
      <c r="AV18" s="8">
        <v>9949.9858319999985</v>
      </c>
      <c r="AW18" s="8">
        <v>9949.9858319999985</v>
      </c>
      <c r="AX18" s="8">
        <v>9949.9858320000003</v>
      </c>
      <c r="AY18" s="8">
        <v>9949.9858319999985</v>
      </c>
      <c r="AZ18" s="8">
        <v>9949.9858319999985</v>
      </c>
      <c r="BA18" s="8">
        <v>9949.9858319999985</v>
      </c>
      <c r="BB18" s="8">
        <v>9949.9858319999985</v>
      </c>
      <c r="BC18" s="8">
        <v>9949.9858319999985</v>
      </c>
      <c r="BD18" s="8">
        <v>9949.9858319999985</v>
      </c>
      <c r="BE18" s="8">
        <v>9949.9858319999985</v>
      </c>
      <c r="BF18" s="8">
        <v>9949.9858319999985</v>
      </c>
      <c r="BH18" s="8">
        <f t="shared" si="5"/>
        <v>119399.88665600002</v>
      </c>
      <c r="BI18" s="8">
        <f t="shared" si="6"/>
        <v>119399.82998400001</v>
      </c>
      <c r="BJ18" s="8">
        <f t="shared" si="7"/>
        <v>99499.858319999999</v>
      </c>
    </row>
    <row r="19" spans="1:62" x14ac:dyDescent="0.25">
      <c r="A19" s="9" t="s">
        <v>250</v>
      </c>
      <c r="B19" s="9" t="s">
        <v>643</v>
      </c>
      <c r="C19" s="10">
        <f>VLOOKUP(A19,'[2]Revenue_Engine_2025 Oct.25'!$C$14:G$3937,5,0)</f>
        <v>45281</v>
      </c>
      <c r="D19" s="6" cm="1">
        <f t="array" ref="D19">_xlfn.LET(
  _xlpm.aralık, Y19:BF19,
  _xlpm.ilk, MATCH(TRUE, _xlpm.aralık&lt;&gt;0, 0),
  _xlpm.son, MIN(_xlpm.ilk+2, COLUMNS(_xlpm.aralık)),
  MAX(INDEX(_xlpm.aralık, _xlpm.ilk):INDEX(_xlpm.aralık, _xlpm.son))
)</f>
        <v>9800</v>
      </c>
      <c r="E19" s="6">
        <f t="shared" si="0"/>
        <v>9800</v>
      </c>
      <c r="F19" s="6">
        <f t="shared" si="1"/>
        <v>0</v>
      </c>
      <c r="G19" s="6">
        <f t="shared" si="8"/>
        <v>9800</v>
      </c>
      <c r="H19" s="7">
        <f t="shared" si="2"/>
        <v>0</v>
      </c>
      <c r="I19" s="7">
        <f t="shared" si="3"/>
        <v>-1</v>
      </c>
      <c r="J19" s="7">
        <f t="shared" si="4"/>
        <v>-1</v>
      </c>
      <c r="K19" s="7">
        <f t="shared" si="9"/>
        <v>0</v>
      </c>
      <c r="L19" s="5" t="s">
        <v>423</v>
      </c>
      <c r="M19" s="7">
        <f>IF(R19="",(VLOOKUP(A19,[1]Export!$B$2:$H$680,7,0)),"CHURN")</f>
        <v>0</v>
      </c>
      <c r="N19" s="5">
        <f t="shared" si="10"/>
        <v>9800</v>
      </c>
      <c r="O19" s="5">
        <f t="shared" si="11"/>
        <v>9800</v>
      </c>
      <c r="P19" s="5">
        <f t="shared" si="12"/>
        <v>0</v>
      </c>
      <c r="Q19" s="5" t="str">
        <f>VLOOKUP(A19,[4]Sheet2!$A$1:$B$142,2,0)</f>
        <v xml:space="preserve">NO RISK </v>
      </c>
      <c r="T19" s="6" t="str" cm="1">
        <f t="array" ref="T19">IF(R19&lt;&gt;"Churn","",
 _xlfn.LET(
   _xlpm.rng,Y19:BF19,
   _xlpm.pos,MAX(IF((_xlpm.rng&lt;&gt;0)*(_xlpm.rng&lt;&gt;""),COLUMN(_xlpm.rng)-COLUMN(Y19)+1)),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" s="6" t="str" cm="1">
        <f t="array" ref="U19">IF(R19="Churn",
   MAX(IF((Y19:BF19&lt;&gt;"")*(Y19:BF19&lt;&gt;0), COLUMN(Y19:BF19)-COLUMN(Y19)+1))
   -MATCH(1, --((Y19:BF19&lt;&gt;"")*(Y19:BF19&lt;&gt;0)), 0)
   +1,
"")</f>
        <v/>
      </c>
      <c r="V19" s="6" t="str" cm="1">
        <f t="array" ref="V19">IFERROR(
    IF(
        MATCH(2,1/((Y19:BF19&lt;&gt;0)*(Y19:BF19&lt;&gt;"")))-MATCH(1,INDEX((Y19:BF19&lt;&gt;0)*(Y19:BF19&lt;&gt;""),0),0)+1 &lt;= 12,
        "No",
        "Yes"
    ),
    "No"
)</f>
        <v>Yes</v>
      </c>
      <c r="W19" s="6" t="str" cm="1">
        <f t="array" ref="W19">IFERROR(
    IF(
        MATCH(2,1/((Y19:BF19&lt;&gt;0)*(Y19:BF19&lt;&gt;"")))-MATCH(1,INDEX((Y19:BF19&lt;&gt;0)*(Y19:BF19&lt;&gt;""),0),0)+1 &lt;= 24,
        "No",
        "Yes"
    ),
    "No"
)</f>
        <v>No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3793.55</v>
      </c>
      <c r="AK19" s="8">
        <v>9800</v>
      </c>
      <c r="AL19" s="8">
        <v>9800</v>
      </c>
      <c r="AM19" s="8">
        <v>9800</v>
      </c>
      <c r="AN19" s="8">
        <v>9800</v>
      </c>
      <c r="AO19" s="8">
        <v>9800</v>
      </c>
      <c r="AP19" s="8">
        <v>9800</v>
      </c>
      <c r="AQ19" s="8">
        <v>9800</v>
      </c>
      <c r="AR19" s="8">
        <v>9800</v>
      </c>
      <c r="AS19" s="8">
        <v>9800</v>
      </c>
      <c r="AT19" s="8">
        <v>9800</v>
      </c>
      <c r="AU19" s="8">
        <v>9800</v>
      </c>
      <c r="AV19" s="8">
        <v>9800</v>
      </c>
      <c r="AW19" s="8">
        <v>9800</v>
      </c>
      <c r="AX19" s="8">
        <v>9800</v>
      </c>
      <c r="AY19" s="8">
        <v>9800</v>
      </c>
      <c r="AZ19" s="8">
        <v>9800</v>
      </c>
      <c r="BA19" s="8">
        <v>9800</v>
      </c>
      <c r="BB19" s="8">
        <v>9800</v>
      </c>
      <c r="BC19" s="8">
        <v>9800</v>
      </c>
      <c r="BD19" s="8">
        <v>9800</v>
      </c>
      <c r="BE19" s="8">
        <v>9800</v>
      </c>
      <c r="BF19" s="8">
        <v>9800</v>
      </c>
      <c r="BH19" s="8">
        <f t="shared" si="5"/>
        <v>3793.55</v>
      </c>
      <c r="BI19" s="8">
        <f t="shared" si="6"/>
        <v>117600</v>
      </c>
      <c r="BJ19" s="8">
        <f t="shared" si="7"/>
        <v>98000</v>
      </c>
    </row>
    <row r="20" spans="1:62" x14ac:dyDescent="0.25">
      <c r="A20" s="9" t="s">
        <v>86</v>
      </c>
      <c r="B20" s="9" t="s">
        <v>643</v>
      </c>
      <c r="C20" s="10">
        <v>44927</v>
      </c>
      <c r="D20" s="6" cm="1">
        <f t="array" ref="D20">_xlfn.LET(
  _xlpm.aralık, Y20:BF20,
  _xlpm.ilk, MATCH(TRUE, _xlpm.aralık&lt;&gt;0, 0),
  _xlpm.son, MIN(_xlpm.ilk+2, COLUMNS(_xlpm.aralık)),
  MAX(INDEX(_xlpm.aralık, _xlpm.ilk):INDEX(_xlpm.aralık, _xlpm.son))
)</f>
        <v>14477.792941876465</v>
      </c>
      <c r="E20" s="6">
        <f t="shared" si="0"/>
        <v>10322.924925994219</v>
      </c>
      <c r="F20" s="6">
        <f t="shared" si="1"/>
        <v>12099.43624522392</v>
      </c>
      <c r="G20" s="6">
        <f t="shared" si="8"/>
        <v>9556.7671850607421</v>
      </c>
      <c r="H20" s="7">
        <f t="shared" si="2"/>
        <v>-0.28698214103231501</v>
      </c>
      <c r="I20" s="7">
        <f t="shared" si="3"/>
        <v>-0.16427619224842196</v>
      </c>
      <c r="J20" s="7">
        <f t="shared" si="4"/>
        <v>0.17209379434275043</v>
      </c>
      <c r="K20" s="7">
        <f t="shared" si="9"/>
        <v>-0.33990165328182331</v>
      </c>
      <c r="L20" s="5" t="s">
        <v>416</v>
      </c>
      <c r="M20" s="7">
        <f>IF(R20="",(VLOOKUP(A20,[1]Export!$B$2:$H$680,7,0)),"CHURN")</f>
        <v>2.5438797824410091E-2</v>
      </c>
      <c r="N20" s="5">
        <f t="shared" si="10"/>
        <v>9313.6545167850254</v>
      </c>
      <c r="O20" s="5">
        <f t="shared" si="11"/>
        <v>10060.322125845289</v>
      </c>
      <c r="P20" s="5">
        <f t="shared" si="12"/>
        <v>11791.641132792331</v>
      </c>
      <c r="Q20" s="5" t="str">
        <f>VLOOKUP(A20,[4]Sheet2!$A$1:$B$142,2,0)</f>
        <v xml:space="preserve">HIGH RISK </v>
      </c>
      <c r="T20" s="6" t="str" cm="1">
        <f t="array" ref="T20">IF(R20&lt;&gt;"Churn","",
 _xlfn.LET(
   _xlpm.rng,Y20:BF20,
   _xlpm.pos,MAX(IF((_xlpm.rng&lt;&gt;0)*(_xlpm.rng&lt;&gt;""),COLUMN(_xlpm.rng)-COLUMN(Y20)+1)),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" s="6" t="str" cm="1">
        <f t="array" ref="U20">IF(R20="Churn",
   MAX(IF((Y20:BF20&lt;&gt;"")*(Y20:BF20&lt;&gt;0), COLUMN(Y20:BF20)-COLUMN(Y20)+1))
   -MATCH(1, --((Y20:BF20&lt;&gt;"")*(Y20:BF20&lt;&gt;0)), 0)
   +1,
"")</f>
        <v/>
      </c>
      <c r="V20" s="6" t="str" cm="1">
        <f t="array" ref="V20">IFERROR(
    IF(
        MATCH(2,1/((Y20:BF20&lt;&gt;0)*(Y20:BF20&lt;&gt;"")))-MATCH(1,INDEX((Y20:BF20&lt;&gt;0)*(Y20:BF20&lt;&gt;""),0),0)+1 &lt;= 12,
        "No",
        "Yes"
    ),
    "No"
)</f>
        <v>Yes</v>
      </c>
      <c r="W20" s="6" t="str" cm="1">
        <f t="array" ref="W20">IFERROR(
    IF(
        MATCH(2,1/((Y20:BF20&lt;&gt;0)*(Y20:BF20&lt;&gt;"")))-MATCH(1,INDEX((Y20:BF20&lt;&gt;0)*(Y20:BF20&lt;&gt;""),0),0)+1 &lt;= 24,
        "No",
        "Yes"
    ),
    "No"
)</f>
        <v>Yes</v>
      </c>
      <c r="Y20" s="8">
        <v>13457.065352404004</v>
      </c>
      <c r="Z20" s="8">
        <v>14477.792941876465</v>
      </c>
      <c r="AA20" s="8">
        <v>12506.760128881881</v>
      </c>
      <c r="AB20" s="8">
        <v>13340.709050507352</v>
      </c>
      <c r="AC20" s="8">
        <v>13052.300522328143</v>
      </c>
      <c r="AD20" s="8">
        <v>12041.095567972035</v>
      </c>
      <c r="AE20" s="8">
        <v>10861.278584402256</v>
      </c>
      <c r="AF20" s="8">
        <v>10252.100140371476</v>
      </c>
      <c r="AG20" s="8">
        <v>10405.666857453611</v>
      </c>
      <c r="AH20" s="8">
        <v>10166.478520853518</v>
      </c>
      <c r="AI20" s="8">
        <v>9991.5997871104755</v>
      </c>
      <c r="AJ20" s="8">
        <v>12617.716790079663</v>
      </c>
      <c r="AK20" s="8">
        <v>10322.924925994219</v>
      </c>
      <c r="AL20" s="8">
        <v>12892.189976446596</v>
      </c>
      <c r="AM20" s="8">
        <v>11891.770420731746</v>
      </c>
      <c r="AN20" s="8">
        <v>13137.727509747419</v>
      </c>
      <c r="AO20" s="8">
        <v>11971.43425518366</v>
      </c>
      <c r="AP20" s="8">
        <v>12227.102088494923</v>
      </c>
      <c r="AQ20" s="8">
        <v>11919.578982339815</v>
      </c>
      <c r="AR20" s="8">
        <v>11807.155659595002</v>
      </c>
      <c r="AS20" s="8">
        <v>12329.849976471904</v>
      </c>
      <c r="AT20" s="8">
        <v>11466.99737620242</v>
      </c>
      <c r="AU20" s="8">
        <v>11948.868086385079</v>
      </c>
      <c r="AV20" s="8">
        <v>14411.490241843063</v>
      </c>
      <c r="AW20" s="8">
        <v>12099.43624522392</v>
      </c>
      <c r="AX20" s="8">
        <v>15436.863011041532</v>
      </c>
      <c r="AY20" s="8">
        <v>13980.564479820738</v>
      </c>
      <c r="AZ20" s="8">
        <v>14472.21705019297</v>
      </c>
      <c r="BA20" s="8">
        <v>12778.157055619075</v>
      </c>
      <c r="BB20" s="8">
        <v>12551.444249512424</v>
      </c>
      <c r="BC20" s="8">
        <v>11196.006454197675</v>
      </c>
      <c r="BD20" s="8">
        <v>10832.351904428666</v>
      </c>
      <c r="BE20" s="8">
        <v>9884.300611406783</v>
      </c>
      <c r="BF20" s="8">
        <v>9556.7671850607421</v>
      </c>
      <c r="BH20" s="8">
        <f t="shared" si="5"/>
        <v>143170.56424424087</v>
      </c>
      <c r="BI20" s="8">
        <f t="shared" si="6"/>
        <v>146327.08949943585</v>
      </c>
      <c r="BJ20" s="8">
        <f t="shared" si="7"/>
        <v>122788.10824650453</v>
      </c>
    </row>
    <row r="21" spans="1:62" x14ac:dyDescent="0.25">
      <c r="A21" s="9" t="s">
        <v>58</v>
      </c>
      <c r="B21" s="9" t="s">
        <v>644</v>
      </c>
      <c r="C21" s="10">
        <v>44927</v>
      </c>
      <c r="D21" s="6" cm="1">
        <f t="array" ref="D21">_xlfn.LET(
  _xlpm.aralık, Y21:BF21,
  _xlpm.ilk, MATCH(TRUE, _xlpm.aralık&lt;&gt;0, 0),
  _xlpm.son, MIN(_xlpm.ilk+2, COLUMNS(_xlpm.aralık)),
  MAX(INDEX(_xlpm.aralık, _xlpm.ilk):INDEX(_xlpm.aralık, _xlpm.son))
)</f>
        <v>1241.1300000000001</v>
      </c>
      <c r="E21" s="6">
        <f t="shared" si="0"/>
        <v>4693.1988060000003</v>
      </c>
      <c r="F21" s="6">
        <f t="shared" si="1"/>
        <v>9552.8482029999996</v>
      </c>
      <c r="G21" s="6">
        <f t="shared" si="8"/>
        <v>9552.8482029999996</v>
      </c>
      <c r="H21" s="7">
        <f t="shared" si="2"/>
        <v>2.781391801020038</v>
      </c>
      <c r="I21" s="7">
        <f t="shared" si="3"/>
        <v>6.6968957345322409</v>
      </c>
      <c r="J21" s="7">
        <f t="shared" si="4"/>
        <v>1.0354663413762062</v>
      </c>
      <c r="K21" s="7">
        <f t="shared" si="9"/>
        <v>6.6968957345322409</v>
      </c>
      <c r="L21" s="5" t="s">
        <v>421</v>
      </c>
      <c r="M21" s="7">
        <f>IF(R21="",(VLOOKUP(A21,[1]Export!$B$2:$H$680,7,0)),"CHURN")</f>
        <v>0.7107723116408029</v>
      </c>
      <c r="N21" s="5">
        <f t="shared" si="10"/>
        <v>2762.9482029999999</v>
      </c>
      <c r="O21" s="5">
        <f t="shared" si="11"/>
        <v>1357.4030416695241</v>
      </c>
      <c r="P21" s="5">
        <f t="shared" si="12"/>
        <v>2762.9482029999999</v>
      </c>
      <c r="Q21" s="5" t="str">
        <f>VLOOKUP(A21,[4]Sheet2!$A$1:$B$142,2,0)</f>
        <v xml:space="preserve">NO RISK </v>
      </c>
      <c r="T21" s="6" t="str" cm="1">
        <f t="array" ref="T21">IF(R21&lt;&gt;"Churn","",
 _xlfn.LET(
   _xlpm.rng,Y21:BF21,
   _xlpm.pos,MAX(IF((_xlpm.rng&lt;&gt;0)*(_xlpm.rng&lt;&gt;""),COLUMN(_xlpm.rng)-COLUMN(Y21)+1)),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" s="6" t="str" cm="1">
        <f t="array" ref="U21">IF(R21="Churn",
   MAX(IF((Y21:BF21&lt;&gt;"")*(Y21:BF21&lt;&gt;0), COLUMN(Y21:BF21)-COLUMN(Y21)+1))
   -MATCH(1, --((Y21:BF21&lt;&gt;"")*(Y21:BF21&lt;&gt;0)), 0)
   +1,
"")</f>
        <v/>
      </c>
      <c r="V21" s="6" t="str" cm="1">
        <f t="array" ref="V21">IFERROR(
    IF(
        MATCH(2,1/((Y21:BF21&lt;&gt;0)*(Y21:BF21&lt;&gt;"")))-MATCH(1,INDEX((Y21:BF21&lt;&gt;0)*(Y21:BF21&lt;&gt;""),0),0)+1 &lt;= 12,
        "No",
        "Yes"
    ),
    "No"
)</f>
        <v>Yes</v>
      </c>
      <c r="W21" s="6" t="str" cm="1">
        <f t="array" ref="W21">IFERROR(
    IF(
        MATCH(2,1/((Y21:BF21&lt;&gt;0)*(Y21:BF21&lt;&gt;"")))-MATCH(1,INDEX((Y21:BF21&lt;&gt;0)*(Y21:BF21&lt;&gt;""),0),0)+1 &lt;= 24,
        "No",
        "Yes"
    ),
    "No"
)</f>
        <v>Yes</v>
      </c>
      <c r="Y21" s="8">
        <v>1241.1300000000001</v>
      </c>
      <c r="Z21" s="8">
        <v>1241.1300000000001</v>
      </c>
      <c r="AA21" s="8">
        <v>1241.1300000000001</v>
      </c>
      <c r="AB21" s="8">
        <v>1241.1300000000001</v>
      </c>
      <c r="AC21" s="8">
        <v>1241.128768</v>
      </c>
      <c r="AD21" s="8">
        <v>1241.128768</v>
      </c>
      <c r="AE21" s="8">
        <v>1241.128768</v>
      </c>
      <c r="AF21" s="8">
        <v>1387.0534480000001</v>
      </c>
      <c r="AG21" s="8">
        <v>1412.3813439999999</v>
      </c>
      <c r="AH21" s="8">
        <v>1312.612576</v>
      </c>
      <c r="AI21" s="8">
        <v>1293.1988080000001</v>
      </c>
      <c r="AJ21" s="8">
        <v>1293.1988080000001</v>
      </c>
      <c r="AK21" s="8">
        <v>4693.1988060000003</v>
      </c>
      <c r="AL21" s="8">
        <v>4813.1988060000003</v>
      </c>
      <c r="AM21" s="8">
        <v>4813.1988060000003</v>
      </c>
      <c r="AN21" s="8">
        <v>4813.1988060000003</v>
      </c>
      <c r="AO21" s="8">
        <v>4905.4487010000003</v>
      </c>
      <c r="AP21" s="8">
        <v>1385.448703</v>
      </c>
      <c r="AQ21" s="8">
        <v>4905.4487010000003</v>
      </c>
      <c r="AR21" s="8">
        <v>4905.4487010000003</v>
      </c>
      <c r="AS21" s="8">
        <v>4905.4487010000003</v>
      </c>
      <c r="AT21" s="8">
        <v>5865.4487010000003</v>
      </c>
      <c r="AU21" s="8">
        <v>5865.4487010000003</v>
      </c>
      <c r="AV21" s="8">
        <v>12065.348700999999</v>
      </c>
      <c r="AW21" s="8">
        <v>9552.8482029999996</v>
      </c>
      <c r="AX21" s="8">
        <v>9552.8482029999996</v>
      </c>
      <c r="AY21" s="8">
        <v>9552.8482029999996</v>
      </c>
      <c r="AZ21" s="8">
        <v>9552.8482029999996</v>
      </c>
      <c r="BA21" s="8">
        <v>9552.8482029999996</v>
      </c>
      <c r="BB21" s="8">
        <v>9552.8482029999996</v>
      </c>
      <c r="BC21" s="8">
        <v>9552.8482029999996</v>
      </c>
      <c r="BD21" s="8">
        <v>9552.8482029999996</v>
      </c>
      <c r="BE21" s="8">
        <v>9552.8482029999996</v>
      </c>
      <c r="BF21" s="8">
        <v>9552.8482029999996</v>
      </c>
      <c r="BH21" s="8">
        <f t="shared" si="5"/>
        <v>15386.351288000002</v>
      </c>
      <c r="BI21" s="8">
        <f t="shared" si="6"/>
        <v>63936.284834000006</v>
      </c>
      <c r="BJ21" s="8">
        <f t="shared" si="7"/>
        <v>95528.482029999999</v>
      </c>
    </row>
    <row r="22" spans="1:62" x14ac:dyDescent="0.25">
      <c r="A22" s="9" t="s">
        <v>158</v>
      </c>
      <c r="B22" s="9" t="s">
        <v>643</v>
      </c>
      <c r="C22" s="10">
        <v>44927</v>
      </c>
      <c r="D22" s="6" cm="1">
        <f t="array" ref="D22">_xlfn.LET(
  _xlpm.aralık, Y22:BF22,
  _xlpm.ilk, MATCH(TRUE, _xlpm.aralık&lt;&gt;0, 0),
  _xlpm.son, MIN(_xlpm.ilk+2, COLUMNS(_xlpm.aralık)),
  MAX(INDEX(_xlpm.aralık, _xlpm.ilk):INDEX(_xlpm.aralık, _xlpm.son))
)</f>
        <v>3524.8230116801628</v>
      </c>
      <c r="E22" s="6">
        <f t="shared" si="0"/>
        <v>458.43447512412098</v>
      </c>
      <c r="F22" s="6">
        <f t="shared" si="1"/>
        <v>6857.9673955752469</v>
      </c>
      <c r="G22" s="6">
        <f t="shared" si="8"/>
        <v>9269.6395043461798</v>
      </c>
      <c r="H22" s="7">
        <f t="shared" si="2"/>
        <v>-0.86994113644713156</v>
      </c>
      <c r="I22" s="7">
        <f t="shared" si="3"/>
        <v>0.94562035394403754</v>
      </c>
      <c r="J22" s="7">
        <f t="shared" si="4"/>
        <v>13.959536788149396</v>
      </c>
      <c r="K22" s="7">
        <f t="shared" si="9"/>
        <v>1.6298170074439169</v>
      </c>
      <c r="L22" s="5" t="s">
        <v>417</v>
      </c>
      <c r="M22" s="7">
        <f>IF(R22="",(VLOOKUP(A22,[1]Export!$B$2:$H$680,7,0)),"CHURN")</f>
        <v>5.9779929561682925E-2</v>
      </c>
      <c r="N22" s="5">
        <f t="shared" si="10"/>
        <v>8715.5011077141717</v>
      </c>
      <c r="O22" s="5">
        <f t="shared" si="11"/>
        <v>431.02929449255396</v>
      </c>
      <c r="P22" s="5">
        <f t="shared" si="12"/>
        <v>6447.9985877314411</v>
      </c>
      <c r="Q22" s="5" t="str">
        <f>VLOOKUP(A22,[4]Sheet2!$A$1:$B$142,2,0)</f>
        <v>NO RISK</v>
      </c>
      <c r="T22" s="6" t="str" cm="1">
        <f t="array" ref="T22">IF(R22&lt;&gt;"Churn","",
 _xlfn.LET(
   _xlpm.rng,Y22:BF22,
   _xlpm.pos,MAX(IF((_xlpm.rng&lt;&gt;0)*(_xlpm.rng&lt;&gt;""),COLUMN(_xlpm.rng)-COLUMN(Y22)+1)),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" s="6" t="str" cm="1">
        <f t="array" ref="U22">IF(R22="Churn",
   MAX(IF((Y22:BF22&lt;&gt;"")*(Y22:BF22&lt;&gt;0), COLUMN(Y22:BF22)-COLUMN(Y22)+1))
   -MATCH(1, --((Y22:BF22&lt;&gt;"")*(Y22:BF22&lt;&gt;0)), 0)
   +1,
"")</f>
        <v/>
      </c>
      <c r="V22" s="6" t="str" cm="1">
        <f t="array" ref="V22">IFERROR(
    IF(
        MATCH(2,1/((Y22:BF22&lt;&gt;0)*(Y22:BF22&lt;&gt;"")))-MATCH(1,INDEX((Y22:BF22&lt;&gt;0)*(Y22:BF22&lt;&gt;""),0),0)+1 &lt;= 12,
        "No",
        "Yes"
    ),
    "No"
)</f>
        <v>Yes</v>
      </c>
      <c r="W22" s="6" t="str" cm="1">
        <f t="array" ref="W22">IFERROR(
    IF(
        MATCH(2,1/((Y22:BF22&lt;&gt;0)*(Y22:BF22&lt;&gt;"")))-MATCH(1,INDEX((Y22:BF22&lt;&gt;0)*(Y22:BF22&lt;&gt;""),0),0)+1 &lt;= 24,
        "No",
        "Yes"
    ),
    "No"
)</f>
        <v>Yes</v>
      </c>
      <c r="Y22" s="8">
        <v>3524.8230116801628</v>
      </c>
      <c r="Z22" s="8">
        <v>3523.4338891928792</v>
      </c>
      <c r="AA22" s="8">
        <v>3520.5049543587284</v>
      </c>
      <c r="AB22" s="8">
        <v>3513.4782529873978</v>
      </c>
      <c r="AC22" s="8">
        <v>3631.1130533761534</v>
      </c>
      <c r="AD22" s="8">
        <v>3552.3248995788858</v>
      </c>
      <c r="AE22" s="8">
        <v>2003.7147179900853</v>
      </c>
      <c r="AF22" s="8">
        <v>496.54969662967267</v>
      </c>
      <c r="AG22" s="8">
        <v>496.20489396532207</v>
      </c>
      <c r="AH22" s="8">
        <v>484.76360652942168</v>
      </c>
      <c r="AI22" s="8">
        <v>474.85953139814364</v>
      </c>
      <c r="AJ22" s="8">
        <v>469.40835810203441</v>
      </c>
      <c r="AK22" s="8">
        <v>458.43447512412098</v>
      </c>
      <c r="AL22" s="8">
        <v>450.77322274418333</v>
      </c>
      <c r="AM22" s="8">
        <v>313.3008753626458</v>
      </c>
      <c r="AN22" s="8">
        <v>310.18043195726955</v>
      </c>
      <c r="AO22" s="8">
        <v>310.63135823561385</v>
      </c>
      <c r="AP22" s="8">
        <v>462.00188496769067</v>
      </c>
      <c r="AQ22" s="8">
        <v>3908.8669290883136</v>
      </c>
      <c r="AR22" s="8">
        <v>4846.797538524781</v>
      </c>
      <c r="AS22" s="8">
        <v>4834.0032152303365</v>
      </c>
      <c r="AT22" s="8">
        <v>3471.5515700673386</v>
      </c>
      <c r="AU22" s="8">
        <v>3472.0688621860822</v>
      </c>
      <c r="AV22" s="8">
        <v>5075.7005173248654</v>
      </c>
      <c r="AW22" s="8">
        <v>6857.9673955752469</v>
      </c>
      <c r="AX22" s="8">
        <v>7390.6496218075072</v>
      </c>
      <c r="AY22" s="8">
        <v>7380.2753336856258</v>
      </c>
      <c r="AZ22" s="8">
        <v>7477.8604947291997</v>
      </c>
      <c r="BA22" s="8">
        <v>9307.9039524669315</v>
      </c>
      <c r="BB22" s="8">
        <v>9474.6873770021193</v>
      </c>
      <c r="BC22" s="8">
        <v>9467.3507637810999</v>
      </c>
      <c r="BD22" s="8">
        <v>10309.436698803702</v>
      </c>
      <c r="BE22" s="8">
        <v>9450.8614134424588</v>
      </c>
      <c r="BF22" s="8">
        <v>9269.6395043461798</v>
      </c>
      <c r="BH22" s="8">
        <f t="shared" si="5"/>
        <v>25691.178865788886</v>
      </c>
      <c r="BI22" s="8">
        <f t="shared" si="6"/>
        <v>27914.310880813242</v>
      </c>
      <c r="BJ22" s="8">
        <f t="shared" si="7"/>
        <v>86386.63255564007</v>
      </c>
    </row>
    <row r="23" spans="1:62" x14ac:dyDescent="0.25">
      <c r="A23" s="9" t="s">
        <v>53</v>
      </c>
      <c r="B23" s="9" t="s">
        <v>643</v>
      </c>
      <c r="C23" s="10">
        <v>44927</v>
      </c>
      <c r="D23" s="6" cm="1">
        <f t="array" ref="D23">_xlfn.LET(
  _xlpm.aralık, Y23:BF23,
  _xlpm.ilk, MATCH(TRUE, _xlpm.aralık&lt;&gt;0, 0),
  _xlpm.son, MIN(_xlpm.ilk+2, COLUMNS(_xlpm.aralık)),
  MAX(INDEX(_xlpm.aralık, _xlpm.ilk):INDEX(_xlpm.aralık, _xlpm.son))
)</f>
        <v>5486.0338490161694</v>
      </c>
      <c r="E23" s="6">
        <f t="shared" si="0"/>
        <v>6552.4666655552173</v>
      </c>
      <c r="F23" s="6">
        <f t="shared" si="1"/>
        <v>8070.119719502215</v>
      </c>
      <c r="G23" s="6">
        <f t="shared" si="8"/>
        <v>8640.0368292899202</v>
      </c>
      <c r="H23" s="7">
        <f t="shared" si="2"/>
        <v>0.19439049154432309</v>
      </c>
      <c r="I23" s="7">
        <f t="shared" si="3"/>
        <v>0.47102988089463926</v>
      </c>
      <c r="J23" s="7">
        <f t="shared" si="4"/>
        <v>0.23161553219720207</v>
      </c>
      <c r="K23" s="7">
        <f t="shared" si="9"/>
        <v>0.57491496900613726</v>
      </c>
      <c r="L23" s="5" t="s">
        <v>414</v>
      </c>
      <c r="M23" s="7">
        <v>0.16910810912417801</v>
      </c>
      <c r="N23" s="5">
        <f t="shared" si="10"/>
        <v>7178.9365383254435</v>
      </c>
      <c r="O23" s="5">
        <f t="shared" si="11"/>
        <v>5444.3914176439675</v>
      </c>
      <c r="P23" s="5">
        <f t="shared" si="12"/>
        <v>6705.3970333314537</v>
      </c>
      <c r="Q23" s="5" t="s">
        <v>697</v>
      </c>
      <c r="T23" s="6" t="str" cm="1">
        <f t="array" ref="T23">IF(R23&lt;&gt;"Churn","",
 _xlfn.LET(
   _xlpm.rng,Y23:BF23,
   _xlpm.pos,MAX(IF((_xlpm.rng&lt;&gt;0)*(_xlpm.rng&lt;&gt;""),COLUMN(_xlpm.rng)-COLUMN(Y23)+1)),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" s="6" t="str" cm="1">
        <f t="array" ref="U23">IF(R23="Churn",
   MAX(IF((Y23:BF23&lt;&gt;"")*(Y23:BF23&lt;&gt;0), COLUMN(Y23:BF23)-COLUMN(Y23)+1))
   -MATCH(1, --((Y23:BF23&lt;&gt;"")*(Y23:BF23&lt;&gt;0)), 0)
   +1,
"")</f>
        <v/>
      </c>
      <c r="V23" s="6" t="str" cm="1">
        <f t="array" ref="V23">IFERROR(
    IF(
        MATCH(2,1/((Y23:BF23&lt;&gt;0)*(Y23:BF23&lt;&gt;"")))-MATCH(1,INDEX((Y23:BF23&lt;&gt;0)*(Y23:BF23&lt;&gt;""),0),0)+1 &lt;= 12,
        "No",
        "Yes"
    ),
    "No"
)</f>
        <v>Yes</v>
      </c>
      <c r="W23" s="6" t="str" cm="1">
        <f t="array" ref="W23">IFERROR(
    IF(
        MATCH(2,1/((Y23:BF23&lt;&gt;0)*(Y23:BF23&lt;&gt;"")))-MATCH(1,INDEX((Y23:BF23&lt;&gt;0)*(Y23:BF23&lt;&gt;""),0),0)+1 &lt;= 24,
        "No",
        "Yes"
    ),
    "No"
)</f>
        <v>Yes</v>
      </c>
      <c r="Y23" s="8">
        <v>5486.0338490161694</v>
      </c>
      <c r="Z23" s="8">
        <v>5184.5081599260511</v>
      </c>
      <c r="AA23" s="8">
        <v>5117.6932437206997</v>
      </c>
      <c r="AB23" s="8">
        <v>5048.8455073784971</v>
      </c>
      <c r="AC23" s="8">
        <v>6100.7857369710155</v>
      </c>
      <c r="AD23" s="8">
        <v>5667.8656285255202</v>
      </c>
      <c r="AE23" s="8">
        <v>5035.7913338711078</v>
      </c>
      <c r="AF23" s="8">
        <v>4942.6460561857448</v>
      </c>
      <c r="AG23" s="8">
        <v>4938.1636215491862</v>
      </c>
      <c r="AH23" s="8">
        <v>4789.4268848824813</v>
      </c>
      <c r="AI23" s="8">
        <v>4660.6739081758678</v>
      </c>
      <c r="AJ23" s="8">
        <v>6714.2933343206369</v>
      </c>
      <c r="AK23" s="8">
        <v>6552.4666655552173</v>
      </c>
      <c r="AL23" s="8">
        <v>6272.0572414826584</v>
      </c>
      <c r="AM23" s="8">
        <v>6165.8528811775095</v>
      </c>
      <c r="AN23" s="8">
        <v>6114.5639660910738</v>
      </c>
      <c r="AO23" s="8">
        <v>5984.984196194765</v>
      </c>
      <c r="AP23" s="8">
        <v>7470.6313936440865</v>
      </c>
      <c r="AQ23" s="8">
        <v>9188.308519661834</v>
      </c>
      <c r="AR23" s="8">
        <v>7723.715488343968</v>
      </c>
      <c r="AS23" s="8">
        <v>8279.8345229892166</v>
      </c>
      <c r="AT23" s="8">
        <v>8065.0804596042817</v>
      </c>
      <c r="AU23" s="8">
        <v>7987.3316379172329</v>
      </c>
      <c r="AV23" s="8">
        <v>7638.2647165843437</v>
      </c>
      <c r="AW23" s="8">
        <v>8070.119719502215</v>
      </c>
      <c r="AX23" s="8">
        <v>7956.7935768679536</v>
      </c>
      <c r="AY23" s="8">
        <v>7905.139919747865</v>
      </c>
      <c r="AZ23" s="8">
        <v>7602.5187575799828</v>
      </c>
      <c r="BA23" s="8">
        <v>7528.2266358246643</v>
      </c>
      <c r="BB23" s="8">
        <v>7522.284855735611</v>
      </c>
      <c r="BC23" s="8">
        <v>8218.2001773636857</v>
      </c>
      <c r="BD23" s="8">
        <v>8056.8890677853733</v>
      </c>
      <c r="BE23" s="8">
        <v>8353.7154723878466</v>
      </c>
      <c r="BF23" s="8">
        <v>8640.0368292899202</v>
      </c>
      <c r="BH23" s="8">
        <f t="shared" si="5"/>
        <v>63686.727264522982</v>
      </c>
      <c r="BI23" s="8">
        <f t="shared" si="6"/>
        <v>87443.091689246183</v>
      </c>
      <c r="BJ23" s="8">
        <f t="shared" si="7"/>
        <v>79853.925012085121</v>
      </c>
    </row>
    <row r="24" spans="1:62" x14ac:dyDescent="0.25">
      <c r="A24" s="9" t="s">
        <v>99</v>
      </c>
      <c r="B24" s="9" t="s">
        <v>643</v>
      </c>
      <c r="C24" s="10">
        <v>44927</v>
      </c>
      <c r="D24" s="6" cm="1">
        <f t="array" ref="D24">_xlfn.LET(
  _xlpm.aralık, Y24:BF24,
  _xlpm.ilk, MATCH(TRUE, _xlpm.aralık&lt;&gt;0, 0),
  _xlpm.son, MIN(_xlpm.ilk+2, COLUMNS(_xlpm.aralık)),
  MAX(INDEX(_xlpm.aralık, _xlpm.ilk):INDEX(_xlpm.aralık, _xlpm.son))
)</f>
        <v>15135.389699493026</v>
      </c>
      <c r="E24" s="6">
        <f t="shared" si="0"/>
        <v>14293.421281855495</v>
      </c>
      <c r="F24" s="6">
        <f t="shared" si="1"/>
        <v>13398.991687548798</v>
      </c>
      <c r="G24" s="6">
        <f t="shared" si="8"/>
        <v>8475.4161963397983</v>
      </c>
      <c r="H24" s="7">
        <f t="shared" si="2"/>
        <v>-5.5629120515194461E-2</v>
      </c>
      <c r="I24" s="7">
        <f t="shared" si="3"/>
        <v>-0.1147243676191826</v>
      </c>
      <c r="J24" s="7">
        <f t="shared" si="4"/>
        <v>-6.2576312323636155E-2</v>
      </c>
      <c r="K24" s="7">
        <f t="shared" si="9"/>
        <v>-0.44002656260488021</v>
      </c>
      <c r="L24" s="5" t="s">
        <v>419</v>
      </c>
      <c r="M24" s="7">
        <f>IF(R24="",(VLOOKUP(A24,[1]Export!$B$2:$H$680,7,0)),"CHURN")</f>
        <v>0.39430231419861977</v>
      </c>
      <c r="N24" s="5">
        <f t="shared" si="10"/>
        <v>5133.5399763265523</v>
      </c>
      <c r="O24" s="5">
        <f t="shared" si="11"/>
        <v>8657.4921926040715</v>
      </c>
      <c r="P24" s="5">
        <f t="shared" si="12"/>
        <v>8115.7382572202378</v>
      </c>
      <c r="Q24" s="5" t="str">
        <f>VLOOKUP(A24,[4]Sheet2!$A$1:$B$142,2,0)</f>
        <v>LOW RISK</v>
      </c>
      <c r="T24" s="6" t="str" cm="1">
        <f t="array" ref="T24">IF(R24&lt;&gt;"Churn","",
 _xlfn.LET(
   _xlpm.rng,Y24:BF24,
   _xlpm.pos,MAX(IF((_xlpm.rng&lt;&gt;0)*(_xlpm.rng&lt;&gt;""),COLUMN(_xlpm.rng)-COLUMN(Y24)+1)),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" s="6" t="str" cm="1">
        <f t="array" ref="U24">IF(R24="Churn",
   MAX(IF((Y24:BF24&lt;&gt;"")*(Y24:BF24&lt;&gt;0), COLUMN(Y24:BF24)-COLUMN(Y24)+1))
   -MATCH(1, --((Y24:BF24&lt;&gt;"")*(Y24:BF24&lt;&gt;0)), 0)
   +1,
"")</f>
        <v/>
      </c>
      <c r="V24" s="6" t="str" cm="1">
        <f t="array" ref="V24">IFERROR(
    IF(
        MATCH(2,1/((Y24:BF24&lt;&gt;0)*(Y24:BF24&lt;&gt;"")))-MATCH(1,INDEX((Y24:BF24&lt;&gt;0)*(Y24:BF24&lt;&gt;""),0),0)+1 &lt;= 12,
        "No",
        "Yes"
    ),
    "No"
)</f>
        <v>Yes</v>
      </c>
      <c r="W24" s="6" t="str" cm="1">
        <f t="array" ref="W24">IFERROR(
    IF(
        MATCH(2,1/((Y24:BF24&lt;&gt;0)*(Y24:BF24&lt;&gt;"")))-MATCH(1,INDEX((Y24:BF24&lt;&gt;0)*(Y24:BF24&lt;&gt;""),0),0)+1 &lt;= 24,
        "No",
        "Yes"
    ),
    "No"
)</f>
        <v>Yes</v>
      </c>
      <c r="Y24" s="8">
        <v>15135.389699493026</v>
      </c>
      <c r="Z24" s="8">
        <v>15094.901820577252</v>
      </c>
      <c r="AA24" s="8">
        <v>15009.534000242576</v>
      </c>
      <c r="AB24" s="8">
        <v>19646.405067413925</v>
      </c>
      <c r="AC24" s="8">
        <v>17740.603866010813</v>
      </c>
      <c r="AD24" s="8">
        <v>14809.757615808008</v>
      </c>
      <c r="AE24" s="8">
        <v>16152.899074496972</v>
      </c>
      <c r="AF24" s="8">
        <v>16199.243619042667</v>
      </c>
      <c r="AG24" s="8">
        <v>14592.041386969966</v>
      </c>
      <c r="AH24" s="8">
        <v>14524.512199965247</v>
      </c>
      <c r="AI24" s="8">
        <v>14253.984879350941</v>
      </c>
      <c r="AJ24" s="8">
        <v>14112.145273994069</v>
      </c>
      <c r="AK24" s="8">
        <v>14293.421281855495</v>
      </c>
      <c r="AL24" s="8">
        <v>14386.63673666447</v>
      </c>
      <c r="AM24" s="8">
        <v>14391.139705747817</v>
      </c>
      <c r="AN24" s="8">
        <v>14341.804753639193</v>
      </c>
      <c r="AO24" s="8">
        <v>15589.636730993243</v>
      </c>
      <c r="AP24" s="8">
        <v>14426.267773120117</v>
      </c>
      <c r="AQ24" s="8">
        <v>15003.88892134657</v>
      </c>
      <c r="AR24" s="8">
        <v>15078.782002496231</v>
      </c>
      <c r="AS24" s="8">
        <v>15014.373061862105</v>
      </c>
      <c r="AT24" s="8">
        <v>14989.342115716099</v>
      </c>
      <c r="AU24" s="8">
        <v>15048.742475734936</v>
      </c>
      <c r="AV24" s="8">
        <v>15095.264266305283</v>
      </c>
      <c r="AW24" s="8">
        <v>13398.991687548798</v>
      </c>
      <c r="AX24" s="8">
        <v>9162.5205275382177</v>
      </c>
      <c r="AY24" s="8">
        <v>8986.7589693137179</v>
      </c>
      <c r="AZ24" s="8">
        <v>9362.5086180644557</v>
      </c>
      <c r="BA24" s="8">
        <v>8997.759986790621</v>
      </c>
      <c r="BB24" s="8">
        <v>8642.2898206410664</v>
      </c>
      <c r="BC24" s="8">
        <v>8609.932658593194</v>
      </c>
      <c r="BD24" s="8">
        <v>8741.2999486645585</v>
      </c>
      <c r="BE24" s="8">
        <v>8714.0470108947884</v>
      </c>
      <c r="BF24" s="8">
        <v>8475.4161963397983</v>
      </c>
      <c r="BH24" s="8">
        <f t="shared" si="5"/>
        <v>187271.41850336545</v>
      </c>
      <c r="BI24" s="8">
        <f t="shared" si="6"/>
        <v>177659.29982548158</v>
      </c>
      <c r="BJ24" s="8">
        <f t="shared" si="7"/>
        <v>93091.525424389212</v>
      </c>
    </row>
    <row r="25" spans="1:62" x14ac:dyDescent="0.25">
      <c r="A25" s="9" t="s">
        <v>198</v>
      </c>
      <c r="B25" s="9" t="s">
        <v>644</v>
      </c>
      <c r="C25" s="10">
        <f>VLOOKUP(A25,'[2]Revenue_Engine_2025 Oct.25'!$C$14:G$3937,5,0)</f>
        <v>44986</v>
      </c>
      <c r="D25" s="6" cm="1">
        <f t="array" ref="D25">_xlfn.LET(
  _xlpm.aralık, Y25:BF25,
  _xlpm.ilk, MATCH(TRUE, _xlpm.aralık&lt;&gt;0, 0),
  _xlpm.son, MIN(_xlpm.ilk+2, COLUMNS(_xlpm.aralık)),
  MAX(INDEX(_xlpm.aralık, _xlpm.ilk):INDEX(_xlpm.aralık, _xlpm.son))
)</f>
        <v>1351.9004345808439</v>
      </c>
      <c r="E25" s="6">
        <f t="shared" si="0"/>
        <v>3944.4844723936371</v>
      </c>
      <c r="F25" s="6">
        <f t="shared" si="1"/>
        <v>7368.5848867552922</v>
      </c>
      <c r="G25" s="6">
        <f t="shared" si="8"/>
        <v>8450.0199030538915</v>
      </c>
      <c r="H25" s="7">
        <f t="shared" si="2"/>
        <v>1.9177329716715585</v>
      </c>
      <c r="I25" s="7">
        <f t="shared" si="3"/>
        <v>4.4505381448744918</v>
      </c>
      <c r="J25" s="7">
        <f t="shared" si="4"/>
        <v>0.86807298604570327</v>
      </c>
      <c r="K25" s="7">
        <f t="shared" si="9"/>
        <v>5.2504750253104371</v>
      </c>
      <c r="L25" s="5" t="s">
        <v>418</v>
      </c>
      <c r="M25" s="7">
        <f>IF(R25="",(VLOOKUP(A25,[1]Export!$B$2:$H$680,7,0)),"CHURN")</f>
        <v>0.48654566984445069</v>
      </c>
      <c r="N25" s="5">
        <f t="shared" si="10"/>
        <v>4338.6993091235954</v>
      </c>
      <c r="O25" s="5">
        <f t="shared" si="11"/>
        <v>2025.3126325818403</v>
      </c>
      <c r="P25" s="5">
        <f t="shared" si="12"/>
        <v>3783.4318172232429</v>
      </c>
      <c r="Q25" s="5" t="str">
        <f>VLOOKUP(A25,[4]Sheet2!$A$1:$B$142,2,0)</f>
        <v>LOW RISK</v>
      </c>
      <c r="T25" s="6" t="str" cm="1">
        <f t="array" ref="T25">IF(R25&lt;&gt;"Churn","",
 _xlfn.LET(
   _xlpm.rng,Y25:BF25,
   _xlpm.pos,MAX(IF((_xlpm.rng&lt;&gt;0)*(_xlpm.rng&lt;&gt;""),COLUMN(_xlpm.rng)-COLUMN(Y25)+1)),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" s="6" t="str" cm="1">
        <f t="array" ref="U25">IF(R25="Churn",
   MAX(IF((Y25:BF25&lt;&gt;"")*(Y25:BF25&lt;&gt;0), COLUMN(Y25:BF25)-COLUMN(Y25)+1))
   -MATCH(1, --((Y25:BF25&lt;&gt;"")*(Y25:BF25&lt;&gt;0)), 0)
   +1,
"")</f>
        <v/>
      </c>
      <c r="V25" s="6" t="str" cm="1">
        <f t="array" ref="V25">IFERROR(
    IF(
        MATCH(2,1/((Y25:BF25&lt;&gt;0)*(Y25:BF25&lt;&gt;"")))-MATCH(1,INDEX((Y25:BF25&lt;&gt;0)*(Y25:BF25&lt;&gt;""),0),0)+1 &lt;= 12,
        "No",
        "Yes"
    ),
    "No"
)</f>
        <v>Yes</v>
      </c>
      <c r="W25" s="6" t="str" cm="1">
        <f t="array" ref="W25">IFERROR(
    IF(
        MATCH(2,1/((Y25:BF25&lt;&gt;0)*(Y25:BF25&lt;&gt;"")))-MATCH(1,INDEX((Y25:BF25&lt;&gt;0)*(Y25:BF25&lt;&gt;""),0),0)+1 &lt;= 24,
        "No",
        "Yes"
    ),
    "No"
)</f>
        <v>Yes</v>
      </c>
      <c r="Y25" s="8">
        <v>0</v>
      </c>
      <c r="Z25" s="8">
        <v>0</v>
      </c>
      <c r="AA25" s="8">
        <v>1351.9004345808439</v>
      </c>
      <c r="AB25" s="8">
        <v>1350.8288292819368</v>
      </c>
      <c r="AC25" s="8">
        <v>1340.2620258464569</v>
      </c>
      <c r="AD25" s="8">
        <v>1253.3859898038697</v>
      </c>
      <c r="AE25" s="8">
        <v>1238.6183096907528</v>
      </c>
      <c r="AF25" s="8">
        <v>1392.9159120149102</v>
      </c>
      <c r="AG25" s="8">
        <v>2311.2452491645254</v>
      </c>
      <c r="AH25" s="8">
        <v>3328.1458656285836</v>
      </c>
      <c r="AI25" s="8">
        <v>3357.1989852586225</v>
      </c>
      <c r="AJ25" s="8">
        <v>3651.3389741833521</v>
      </c>
      <c r="AK25" s="8">
        <v>3639.5420504210506</v>
      </c>
      <c r="AL25" s="8">
        <v>3654.3062044190679</v>
      </c>
      <c r="AM25" s="8">
        <v>3944.4844723936371</v>
      </c>
      <c r="AN25" s="8">
        <v>4169.2218593678481</v>
      </c>
      <c r="AO25" s="8">
        <v>4182.483789472004</v>
      </c>
      <c r="AP25" s="8">
        <v>4190.539706979991</v>
      </c>
      <c r="AQ25" s="8">
        <v>5074.5112088913957</v>
      </c>
      <c r="AR25" s="8">
        <v>5069.5873004269142</v>
      </c>
      <c r="AS25" s="8">
        <v>4393.8247235486542</v>
      </c>
      <c r="AT25" s="8">
        <v>5049.7479523542706</v>
      </c>
      <c r="AU25" s="8">
        <v>5247.0222321844312</v>
      </c>
      <c r="AV25" s="8">
        <v>5751.8758755290919</v>
      </c>
      <c r="AW25" s="8">
        <v>6070.5307921274934</v>
      </c>
      <c r="AX25" s="8">
        <v>6636.0048703718685</v>
      </c>
      <c r="AY25" s="8">
        <v>7368.5848867552922</v>
      </c>
      <c r="AZ25" s="8">
        <v>7352.3776685560424</v>
      </c>
      <c r="BA25" s="8">
        <v>7331.6669335986116</v>
      </c>
      <c r="BB25" s="8">
        <v>7373.5437519976267</v>
      </c>
      <c r="BC25" s="8">
        <v>7945.908952730204</v>
      </c>
      <c r="BD25" s="8">
        <v>7993.6232596472792</v>
      </c>
      <c r="BE25" s="8">
        <v>8288.7160717372444</v>
      </c>
      <c r="BF25" s="8">
        <v>8450.0199030538915</v>
      </c>
      <c r="BH25" s="8">
        <f t="shared" si="5"/>
        <v>20575.840575453854</v>
      </c>
      <c r="BI25" s="8">
        <f t="shared" si="6"/>
        <v>54367.147375988359</v>
      </c>
      <c r="BJ25" s="8">
        <f t="shared" si="7"/>
        <v>74810.977090575558</v>
      </c>
    </row>
    <row r="26" spans="1:62" x14ac:dyDescent="0.25">
      <c r="A26" s="9" t="s">
        <v>194</v>
      </c>
      <c r="B26" s="9" t="s">
        <v>643</v>
      </c>
      <c r="C26" s="10">
        <f>VLOOKUP(A26,'[2]Revenue_Engine_2025 Oct.25'!$C$14:G$3937,5,0)</f>
        <v>44939</v>
      </c>
      <c r="D26" s="6" cm="1">
        <f t="array" ref="D26">_xlfn.LET(
  _xlpm.aralık, Y26:BF26,
  _xlpm.ilk, MATCH(TRUE, _xlpm.aralık&lt;&gt;0, 0),
  _xlpm.son, MIN(_xlpm.ilk+2, COLUMNS(_xlpm.aralık)),
  MAX(INDEX(_xlpm.aralık, _xlpm.ilk):INDEX(_xlpm.aralık, _xlpm.son))
)</f>
        <v>4000</v>
      </c>
      <c r="E26" s="6">
        <f t="shared" si="0"/>
        <v>6033.5151999999998</v>
      </c>
      <c r="F26" s="6">
        <f t="shared" si="1"/>
        <v>6894.4809999999998</v>
      </c>
      <c r="G26" s="6">
        <f t="shared" si="8"/>
        <v>8377.0069829999993</v>
      </c>
      <c r="H26" s="7">
        <f t="shared" si="2"/>
        <v>0.50837879999999991</v>
      </c>
      <c r="I26" s="7">
        <f t="shared" si="3"/>
        <v>0.72362024999999996</v>
      </c>
      <c r="J26" s="7">
        <f t="shared" si="4"/>
        <v>0.14269721239784064</v>
      </c>
      <c r="K26" s="7">
        <f t="shared" si="9"/>
        <v>1.0942517457499998</v>
      </c>
      <c r="L26" s="5" t="s">
        <v>414</v>
      </c>
      <c r="M26" s="7">
        <f>IF(R26="",(VLOOKUP(A26,[1]Export!$B$2:$H$680,7,0)),"CHURN")</f>
        <v>0.1615135337413148</v>
      </c>
      <c r="N26" s="5">
        <f t="shared" si="10"/>
        <v>7024.0069829999993</v>
      </c>
      <c r="O26" s="5">
        <f t="shared" si="11"/>
        <v>5059.0208391660635</v>
      </c>
      <c r="P26" s="5">
        <f t="shared" si="12"/>
        <v>5780.9290103776457</v>
      </c>
      <c r="Q26" s="5" t="str">
        <f>VLOOKUP(A26,[4]Sheet2!$A$1:$B$142,2,0)</f>
        <v>LOW RISK</v>
      </c>
      <c r="T26" s="6" t="str" cm="1">
        <f t="array" ref="T26">IF(R26&lt;&gt;"Churn","",
 _xlfn.LET(
   _xlpm.rng,Y26:BF26,
   _xlpm.pos,MAX(IF((_xlpm.rng&lt;&gt;0)*(_xlpm.rng&lt;&gt;""),COLUMN(_xlpm.rng)-COLUMN(Y26)+1)),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" s="6" t="str" cm="1">
        <f t="array" ref="U26">IF(R26="Churn",
   MAX(IF((Y26:BF26&lt;&gt;"")*(Y26:BF26&lt;&gt;0), COLUMN(Y26:BF26)-COLUMN(Y26)+1))
   -MATCH(1, --((Y26:BF26&lt;&gt;"")*(Y26:BF26&lt;&gt;0)), 0)
   +1,
"")</f>
        <v/>
      </c>
      <c r="V26" s="6" t="str" cm="1">
        <f t="array" ref="V26">IFERROR(
    IF(
        MATCH(2,1/((Y26:BF26&lt;&gt;0)*(Y26:BF26&lt;&gt;"")))-MATCH(1,INDEX((Y26:BF26&lt;&gt;0)*(Y26:BF26&lt;&gt;""),0),0)+1 &lt;= 12,
        "No",
        "Yes"
    ),
    "No"
)</f>
        <v>Yes</v>
      </c>
      <c r="W26" s="6" t="str" cm="1">
        <f t="array" ref="W26">IFERROR(
    IF(
        MATCH(2,1/((Y26:BF26&lt;&gt;0)*(Y26:BF26&lt;&gt;"")))-MATCH(1,INDEX((Y26:BF26&lt;&gt;0)*(Y26:BF26&lt;&gt;""),0),0)+1 &lt;= 24,
        "No",
        "Yes"
    ),
    "No"
)</f>
        <v>Yes</v>
      </c>
      <c r="Y26" s="8">
        <v>0</v>
      </c>
      <c r="Z26" s="8">
        <v>4000</v>
      </c>
      <c r="AA26" s="8">
        <v>4000</v>
      </c>
      <c r="AB26" s="8">
        <v>4000</v>
      </c>
      <c r="AC26" s="8">
        <v>4117.6000000000004</v>
      </c>
      <c r="AD26" s="8">
        <v>4150.1000000000004</v>
      </c>
      <c r="AE26" s="8">
        <v>4150.1000000000004</v>
      </c>
      <c r="AF26" s="8">
        <v>4698.8999999999996</v>
      </c>
      <c r="AG26" s="8">
        <v>4993.8</v>
      </c>
      <c r="AH26" s="8">
        <v>5002.2</v>
      </c>
      <c r="AI26" s="8">
        <v>5009.7</v>
      </c>
      <c r="AJ26" s="8">
        <v>5893.11</v>
      </c>
      <c r="AK26" s="8">
        <v>6033.5151999999998</v>
      </c>
      <c r="AL26" s="8">
        <v>6179.0551999999998</v>
      </c>
      <c r="AM26" s="8">
        <v>6182.2551999999996</v>
      </c>
      <c r="AN26" s="8">
        <v>6185.4552000000003</v>
      </c>
      <c r="AO26" s="8">
        <v>6188.6552000000001</v>
      </c>
      <c r="AP26" s="8">
        <v>5967.3710000000001</v>
      </c>
      <c r="AQ26" s="8">
        <v>5967.3710000000001</v>
      </c>
      <c r="AR26" s="8">
        <v>5967.3710000000001</v>
      </c>
      <c r="AS26" s="8">
        <v>5967.3710000000001</v>
      </c>
      <c r="AT26" s="8">
        <v>6468.8710000000001</v>
      </c>
      <c r="AU26" s="8">
        <v>6894.4809999999998</v>
      </c>
      <c r="AV26" s="8">
        <v>6894.4809999999998</v>
      </c>
      <c r="AW26" s="8">
        <v>6894.4809999999998</v>
      </c>
      <c r="AX26" s="8">
        <v>6894.4809999999998</v>
      </c>
      <c r="AY26" s="8">
        <v>6629.3214720000005</v>
      </c>
      <c r="AZ26" s="8">
        <v>8303.8482720000011</v>
      </c>
      <c r="BA26" s="8">
        <v>8303.8482720000011</v>
      </c>
      <c r="BB26" s="8">
        <v>8307.2082719999999</v>
      </c>
      <c r="BC26" s="8">
        <v>8303.8482720000011</v>
      </c>
      <c r="BD26" s="8">
        <v>7997</v>
      </c>
      <c r="BE26" s="8">
        <v>8314.9999989999997</v>
      </c>
      <c r="BF26" s="8">
        <v>8377.0069829999993</v>
      </c>
      <c r="BH26" s="8">
        <f t="shared" si="5"/>
        <v>50015.51</v>
      </c>
      <c r="BI26" s="8">
        <f t="shared" si="6"/>
        <v>74896.252999999997</v>
      </c>
      <c r="BJ26" s="8">
        <f t="shared" si="7"/>
        <v>78326.043541999999</v>
      </c>
    </row>
    <row r="27" spans="1:62" x14ac:dyDescent="0.25">
      <c r="A27" s="9" t="s">
        <v>109</v>
      </c>
      <c r="B27" s="9" t="s">
        <v>643</v>
      </c>
      <c r="C27" s="10">
        <v>44927</v>
      </c>
      <c r="D27" s="6" cm="1">
        <f t="array" ref="D27">_xlfn.LET(
  _xlpm.aralık, Y27:BF27,
  _xlpm.ilk, MATCH(TRUE, _xlpm.aralık&lt;&gt;0, 0),
  _xlpm.son, MIN(_xlpm.ilk+2, COLUMNS(_xlpm.aralık)),
  MAX(INDEX(_xlpm.aralık, _xlpm.ilk):INDEX(_xlpm.aralık, _xlpm.son))
)</f>
        <v>4562.6263699485226</v>
      </c>
      <c r="E27" s="6">
        <f t="shared" si="0"/>
        <v>3715.4460186256501</v>
      </c>
      <c r="F27" s="6">
        <f t="shared" si="1"/>
        <v>7485.3921280911682</v>
      </c>
      <c r="G27" s="6">
        <f t="shared" si="8"/>
        <v>7073.1058625698897</v>
      </c>
      <c r="H27" s="7">
        <f t="shared" si="2"/>
        <v>-0.1856782218466928</v>
      </c>
      <c r="I27" s="7">
        <f t="shared" si="3"/>
        <v>0.64058845085218352</v>
      </c>
      <c r="J27" s="7">
        <f t="shared" si="4"/>
        <v>1.0146685190867146</v>
      </c>
      <c r="K27" s="7">
        <f t="shared" si="9"/>
        <v>0.55022684065399186</v>
      </c>
      <c r="L27" s="5" t="s">
        <v>418</v>
      </c>
      <c r="M27" s="7">
        <f>IF(R27="",(VLOOKUP(A27,[1]Export!$B$2:$H$680,7,0)),"CHURN")</f>
        <v>0.15980906440001738</v>
      </c>
      <c r="N27" s="5">
        <f t="shared" si="10"/>
        <v>5942.7594322703171</v>
      </c>
      <c r="O27" s="5">
        <f t="shared" si="11"/>
        <v>3121.6840665603154</v>
      </c>
      <c r="P27" s="5">
        <f t="shared" si="12"/>
        <v>6289.1586154336637</v>
      </c>
      <c r="Q27" s="5" t="str">
        <f>VLOOKUP(A27,[4]Sheet2!$A$1:$B$142,2,0)</f>
        <v>NO RISK</v>
      </c>
      <c r="T27" s="6" t="str" cm="1">
        <f t="array" ref="T27">IF(R27&lt;&gt;"Churn","",
 _xlfn.LET(
   _xlpm.rng,Y27:BF27,
   _xlpm.pos,MAX(IF((_xlpm.rng&lt;&gt;0)*(_xlpm.rng&lt;&gt;""),COLUMN(_xlpm.rng)-COLUMN(Y27)+1)),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" s="6" t="str" cm="1">
        <f t="array" ref="U27">IF(R27="Churn",
   MAX(IF((Y27:BF27&lt;&gt;"")*(Y27:BF27&lt;&gt;0), COLUMN(Y27:BF27)-COLUMN(Y27)+1))
   -MATCH(1, --((Y27:BF27&lt;&gt;"")*(Y27:BF27&lt;&gt;0)), 0)
   +1,
"")</f>
        <v/>
      </c>
      <c r="V27" s="6" t="str" cm="1">
        <f t="array" ref="V27">IFERROR(
    IF(
        MATCH(2,1/((Y27:BF27&lt;&gt;0)*(Y27:BF27&lt;&gt;"")))-MATCH(1,INDEX((Y27:BF27&lt;&gt;0)*(Y27:BF27&lt;&gt;""),0),0)+1 &lt;= 12,
        "No",
        "Yes"
    ),
    "No"
)</f>
        <v>Yes</v>
      </c>
      <c r="W27" s="6" t="str" cm="1">
        <f t="array" ref="W27">IFERROR(
    IF(
        MATCH(2,1/((Y27:BF27&lt;&gt;0)*(Y27:BF27&lt;&gt;"")))-MATCH(1,INDEX((Y27:BF27&lt;&gt;0)*(Y27:BF27&lt;&gt;""),0),0)+1 &lt;= 24,
        "No",
        "Yes"
    ),
    "No"
)</f>
        <v>Yes</v>
      </c>
      <c r="Y27" s="8">
        <v>4351.4406955854211</v>
      </c>
      <c r="Z27" s="8">
        <v>4562.6263699485226</v>
      </c>
      <c r="AA27" s="8">
        <v>4330.5820250908337</v>
      </c>
      <c r="AB27" s="8">
        <v>5353.165584970553</v>
      </c>
      <c r="AC27" s="8">
        <v>5152.1567684153824</v>
      </c>
      <c r="AD27" s="8">
        <v>4332.7716777631531</v>
      </c>
      <c r="AE27" s="8">
        <v>4121.0080628363457</v>
      </c>
      <c r="AF27" s="8">
        <v>4258.1192897456003</v>
      </c>
      <c r="AG27" s="8">
        <v>4199.262044670797</v>
      </c>
      <c r="AH27" s="8">
        <v>4624.7813086976812</v>
      </c>
      <c r="AI27" s="8">
        <v>3747.0676523375864</v>
      </c>
      <c r="AJ27" s="8">
        <v>3729.6136082630451</v>
      </c>
      <c r="AK27" s="8">
        <v>3715.4460186256501</v>
      </c>
      <c r="AL27" s="8">
        <v>3544.8149933868035</v>
      </c>
      <c r="AM27" s="8">
        <v>3712.3631658426852</v>
      </c>
      <c r="AN27" s="8">
        <v>5300.1212805488958</v>
      </c>
      <c r="AO27" s="8">
        <v>5523.6768286997485</v>
      </c>
      <c r="AP27" s="8">
        <v>5007.9841442072156</v>
      </c>
      <c r="AQ27" s="8">
        <v>5330.375284159717</v>
      </c>
      <c r="AR27" s="8">
        <v>5639.9690525847018</v>
      </c>
      <c r="AS27" s="8">
        <v>4518.3113962054695</v>
      </c>
      <c r="AT27" s="8">
        <v>4494.1358188394343</v>
      </c>
      <c r="AU27" s="8">
        <v>4244.1256409842617</v>
      </c>
      <c r="AV27" s="8">
        <v>4349.2911319416589</v>
      </c>
      <c r="AW27" s="8">
        <v>7485.3921280911682</v>
      </c>
      <c r="AX27" s="8">
        <v>6855.1387949139107</v>
      </c>
      <c r="AY27" s="8">
        <v>7252.0457080888236</v>
      </c>
      <c r="AZ27" s="8">
        <v>7067.0381411979242</v>
      </c>
      <c r="BA27" s="8">
        <v>6973.8820131792027</v>
      </c>
      <c r="BB27" s="8">
        <v>7238.6832550569452</v>
      </c>
      <c r="BC27" s="8">
        <v>6988.662450267343</v>
      </c>
      <c r="BD27" s="8">
        <v>6868.9346974188229</v>
      </c>
      <c r="BE27" s="8">
        <v>6785.8032888057132</v>
      </c>
      <c r="BF27" s="8">
        <v>7073.1058625698897</v>
      </c>
      <c r="BH27" s="8">
        <f t="shared" si="5"/>
        <v>52762.595088324924</v>
      </c>
      <c r="BI27" s="8">
        <f t="shared" si="6"/>
        <v>55380.614756026247</v>
      </c>
      <c r="BJ27" s="8">
        <f t="shared" si="7"/>
        <v>70588.686339589753</v>
      </c>
    </row>
    <row r="28" spans="1:62" x14ac:dyDescent="0.25">
      <c r="A28" s="9" t="s">
        <v>316</v>
      </c>
      <c r="B28" s="9" t="s">
        <v>643</v>
      </c>
      <c r="C28" s="10">
        <v>44927</v>
      </c>
      <c r="D28" s="6" cm="1">
        <f t="array" ref="D28">_xlfn.LET(
  _xlpm.aralık, Y28:BF28,
  _xlpm.ilk, MATCH(TRUE, _xlpm.aralık&lt;&gt;0, 0),
  _xlpm.son, MIN(_xlpm.ilk+2, COLUMNS(_xlpm.aralık)),
  MAX(INDEX(_xlpm.aralık, _xlpm.ilk):INDEX(_xlpm.aralık, _xlpm.son))
)</f>
        <v>1023.5668218803887</v>
      </c>
      <c r="E28" s="6">
        <f t="shared" si="0"/>
        <v>3147.9548790966596</v>
      </c>
      <c r="F28" s="6">
        <f t="shared" si="1"/>
        <v>6351.8923764756237</v>
      </c>
      <c r="G28" s="6">
        <f t="shared" si="8"/>
        <v>6852.45707527986</v>
      </c>
      <c r="H28" s="7">
        <f t="shared" si="2"/>
        <v>2.0754756912827337</v>
      </c>
      <c r="I28" s="7">
        <f t="shared" si="3"/>
        <v>5.2056450450461051</v>
      </c>
      <c r="J28" s="7">
        <f t="shared" si="4"/>
        <v>1.0177838058143862</v>
      </c>
      <c r="K28" s="7">
        <f t="shared" si="9"/>
        <v>5.6946846349427886</v>
      </c>
      <c r="L28" s="5" t="s">
        <v>420</v>
      </c>
      <c r="M28" s="7">
        <f>IF(R28="",(VLOOKUP(A28,[1]Export!$B$2:$H$680,7,0)),"CHURN")</f>
        <v>0</v>
      </c>
      <c r="N28" s="5">
        <f t="shared" si="10"/>
        <v>6852.45707527986</v>
      </c>
      <c r="O28" s="5">
        <f t="shared" si="11"/>
        <v>3147.9548790966596</v>
      </c>
      <c r="P28" s="5">
        <f t="shared" si="12"/>
        <v>6351.8923764756237</v>
      </c>
      <c r="Q28" s="5" t="str">
        <f>VLOOKUP(A28,[4]Sheet2!$A$1:$B$142,2,0)</f>
        <v>NO RISK</v>
      </c>
      <c r="T28" s="6" t="str" cm="1">
        <f t="array" ref="T28">IF(R28&lt;&gt;"Churn","",
 _xlfn.LET(
   _xlpm.rng,Y28:BF28,
   _xlpm.pos,MAX(IF((_xlpm.rng&lt;&gt;0)*(_xlpm.rng&lt;&gt;""),COLUMN(_xlpm.rng)-COLUMN(Y28)+1)),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" s="6" t="str" cm="1">
        <f t="array" ref="U28">IF(R28="Churn",
   MAX(IF((Y28:BF28&lt;&gt;"")*(Y28:BF28&lt;&gt;0), COLUMN(Y28:BF28)-COLUMN(Y28)+1))
   -MATCH(1, --((Y28:BF28&lt;&gt;"")*(Y28:BF28&lt;&gt;0)), 0)
   +1,
"")</f>
        <v/>
      </c>
      <c r="V28" s="6" t="str" cm="1">
        <f t="array" ref="V28">IFERROR(
    IF(
        MATCH(2,1/((Y28:BF28&lt;&gt;0)*(Y28:BF28&lt;&gt;"")))-MATCH(1,INDEX((Y28:BF28&lt;&gt;0)*(Y28:BF28&lt;&gt;""),0),0)+1 &lt;= 12,
        "No",
        "Yes"
    ),
    "No"
)</f>
        <v>Yes</v>
      </c>
      <c r="W28" s="6" t="str" cm="1">
        <f t="array" ref="W28">IFERROR(
    IF(
        MATCH(2,1/((Y28:BF28&lt;&gt;0)*(Y28:BF28&lt;&gt;"")))-MATCH(1,INDEX((Y28:BF28&lt;&gt;0)*(Y28:BF28&lt;&gt;""),0),0)+1 &lt;= 24,
        "No",
        "Yes"
    ),
    "No"
)</f>
        <v>Yes</v>
      </c>
      <c r="Y28" s="8">
        <v>645.93628775884099</v>
      </c>
      <c r="Z28" s="8">
        <v>643.69208320716257</v>
      </c>
      <c r="AA28" s="8">
        <v>1023.5668218803887</v>
      </c>
      <c r="AB28" s="8">
        <v>4890.1642486053624</v>
      </c>
      <c r="AC28" s="8">
        <v>4797.4511150605713</v>
      </c>
      <c r="AD28" s="8">
        <v>4034.4774530571608</v>
      </c>
      <c r="AE28" s="8">
        <v>3575.4456519195155</v>
      </c>
      <c r="AF28" s="8">
        <v>3507.8006852676831</v>
      </c>
      <c r="AG28" s="8">
        <v>3504.5454033141177</v>
      </c>
      <c r="AH28" s="8">
        <v>3396.5282086506604</v>
      </c>
      <c r="AI28" s="8">
        <v>3303.0238353526061</v>
      </c>
      <c r="AJ28" s="8">
        <v>3251.5593082730334</v>
      </c>
      <c r="AK28" s="8">
        <v>3147.9548790966596</v>
      </c>
      <c r="AL28" s="8">
        <v>3075.6249953903089</v>
      </c>
      <c r="AM28" s="8">
        <v>3305.5957670493117</v>
      </c>
      <c r="AN28" s="8">
        <v>6064.296582488867</v>
      </c>
      <c r="AO28" s="8">
        <v>6073.1125824907458</v>
      </c>
      <c r="AP28" s="8">
        <v>6021.6918143070698</v>
      </c>
      <c r="AQ28" s="8">
        <v>5951.9383830270226</v>
      </c>
      <c r="AR28" s="8">
        <v>5823.8064500435903</v>
      </c>
      <c r="AS28" s="8">
        <v>5757.12989074699</v>
      </c>
      <c r="AT28" s="8">
        <v>5721.5297553703422</v>
      </c>
      <c r="AU28" s="8">
        <v>6550.9707522727422</v>
      </c>
      <c r="AV28" s="8">
        <v>6449.1103907184142</v>
      </c>
      <c r="AW28" s="8">
        <v>6351.8923764756237</v>
      </c>
      <c r="AX28" s="8">
        <v>6239.9199993670227</v>
      </c>
      <c r="AY28" s="8">
        <v>6349.2015781928994</v>
      </c>
      <c r="AZ28" s="8">
        <v>7516.5655125361855</v>
      </c>
      <c r="BA28" s="8">
        <v>7390.5551215659507</v>
      </c>
      <c r="BB28" s="8">
        <v>7254.7601948846986</v>
      </c>
      <c r="BC28" s="8">
        <v>7115.2135661335624</v>
      </c>
      <c r="BD28" s="8">
        <v>7005.63477665768</v>
      </c>
      <c r="BE28" s="8">
        <v>6920.835609326713</v>
      </c>
      <c r="BF28" s="8">
        <v>6852.45707527986</v>
      </c>
      <c r="BH28" s="8">
        <f t="shared" si="5"/>
        <v>36574.191102347104</v>
      </c>
      <c r="BI28" s="8">
        <f t="shared" si="6"/>
        <v>63942.762243002056</v>
      </c>
      <c r="BJ28" s="8">
        <f t="shared" si="7"/>
        <v>68997.035810420188</v>
      </c>
    </row>
    <row r="29" spans="1:62" x14ac:dyDescent="0.25">
      <c r="A29" s="9" t="s">
        <v>432</v>
      </c>
      <c r="B29" s="9" t="s">
        <v>643</v>
      </c>
      <c r="C29" s="10">
        <f>VLOOKUP(A29,'[2]Revenue_Engine_2025 Oct.25'!$C$14:G$3937,5,0)</f>
        <v>45931</v>
      </c>
      <c r="D29" s="6" cm="1">
        <f t="array" ref="D29">_xlfn.LET(
  _xlpm.aralık, Y29:BF29,
  _xlpm.ilk, MATCH(TRUE, _xlpm.aralık&lt;&gt;0, 0),
  _xlpm.son, MIN(_xlpm.ilk+2, COLUMNS(_xlpm.aralık)),
  MAX(INDEX(_xlpm.aralık, _xlpm.ilk):INDEX(_xlpm.aralık, _xlpm.son))
)</f>
        <v>6500</v>
      </c>
      <c r="E29" s="6">
        <f t="shared" si="0"/>
        <v>0</v>
      </c>
      <c r="F29" s="6">
        <f t="shared" si="1"/>
        <v>0</v>
      </c>
      <c r="G29" s="6">
        <f t="shared" si="8"/>
        <v>6500</v>
      </c>
      <c r="H29" s="7">
        <f t="shared" si="2"/>
        <v>-1</v>
      </c>
      <c r="I29" s="7">
        <f t="shared" si="3"/>
        <v>-1</v>
      </c>
      <c r="J29" s="7" t="e">
        <f t="shared" si="4"/>
        <v>#DIV/0!</v>
      </c>
      <c r="K29" s="7">
        <f t="shared" si="9"/>
        <v>0</v>
      </c>
      <c r="L29" s="5" t="s">
        <v>418</v>
      </c>
      <c r="M29" s="7">
        <f>IF(R29="",(VLOOKUP(A29,[1]Export!$B$2:$H$680,7,0)),"CHURN")</f>
        <v>0</v>
      </c>
      <c r="N29" s="5">
        <f t="shared" si="10"/>
        <v>6500</v>
      </c>
      <c r="O29" s="5">
        <f t="shared" si="11"/>
        <v>0</v>
      </c>
      <c r="P29" s="5">
        <f t="shared" si="12"/>
        <v>0</v>
      </c>
      <c r="Q29" s="5" t="s">
        <v>430</v>
      </c>
      <c r="T29" s="6" t="str" cm="1">
        <f t="array" ref="T29">IF(R29&lt;&gt;"Churn","",
 _xlfn.LET(
   _xlpm.rng,Y29:BF29,
   _xlpm.pos,MAX(IF((_xlpm.rng&lt;&gt;0)*(_xlpm.rng&lt;&gt;""),COLUMN(_xlpm.rng)-COLUMN(Y29)+1)),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" s="6" t="str" cm="1">
        <f t="array" ref="U29">IF(R29="Churn",
   MAX(IF((Y29:BF29&lt;&gt;"")*(Y29:BF29&lt;&gt;0), COLUMN(Y29:BF29)-COLUMN(Y29)+1))
   -MATCH(1, --((Y29:BF29&lt;&gt;"")*(Y29:BF29&lt;&gt;0)), 0)
   +1,
"")</f>
        <v/>
      </c>
      <c r="V29" s="6" t="str" cm="1">
        <f t="array" ref="V29">IFERROR(
    IF(
        MATCH(2,1/((Y29:BF29&lt;&gt;0)*(Y29:BF29&lt;&gt;"")))-MATCH(1,INDEX((Y29:BF29&lt;&gt;0)*(Y29:BF29&lt;&gt;""),0),0)+1 &lt;= 12,
        "No",
        "Yes"
    ),
    "No"
)</f>
        <v>No</v>
      </c>
      <c r="W29" s="6" t="str" cm="1">
        <f t="array" ref="W29">IFERROR(
    IF(
        MATCH(2,1/((Y29:BF29&lt;&gt;0)*(Y29:BF29&lt;&gt;"")))-MATCH(1,INDEX((Y29:BF29&lt;&gt;0)*(Y29:BF29&lt;&gt;""),0),0)+1 &lt;= 24,
        "No",
        "Yes"
    ),
    "No"
)</f>
        <v>No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6500</v>
      </c>
      <c r="BH29" s="8">
        <f t="shared" si="5"/>
        <v>0</v>
      </c>
      <c r="BI29" s="8">
        <f t="shared" si="6"/>
        <v>0</v>
      </c>
      <c r="BJ29" s="8">
        <f t="shared" si="7"/>
        <v>6500</v>
      </c>
    </row>
    <row r="30" spans="1:62" x14ac:dyDescent="0.25">
      <c r="A30" s="9" t="s">
        <v>101</v>
      </c>
      <c r="B30" s="9" t="s">
        <v>644</v>
      </c>
      <c r="C30" s="10">
        <v>44927</v>
      </c>
      <c r="D30" s="6" cm="1">
        <f t="array" ref="D30">_xlfn.LET(
  _xlpm.aralık, Y30:BF30,
  _xlpm.ilk, MATCH(TRUE, _xlpm.aralık&lt;&gt;0, 0),
  _xlpm.son, MIN(_xlpm.ilk+2, COLUMNS(_xlpm.aralık)),
  MAX(INDEX(_xlpm.aralık, _xlpm.ilk):INDEX(_xlpm.aralık, _xlpm.son))
)</f>
        <v>4201.0945180903964</v>
      </c>
      <c r="E30" s="6">
        <f t="shared" si="0"/>
        <v>6106.9230164301507</v>
      </c>
      <c r="F30" s="6">
        <f t="shared" si="1"/>
        <v>6781.5634042775428</v>
      </c>
      <c r="G30" s="6">
        <f t="shared" si="8"/>
        <v>6290.876101505004</v>
      </c>
      <c r="H30" s="7">
        <f t="shared" si="2"/>
        <v>0.45365046897493916</v>
      </c>
      <c r="I30" s="7">
        <f t="shared" si="3"/>
        <v>0.61423728389717258</v>
      </c>
      <c r="J30" s="7">
        <f t="shared" si="4"/>
        <v>0.11047140860173449</v>
      </c>
      <c r="K30" s="7">
        <f t="shared" si="9"/>
        <v>0.49743741170682254</v>
      </c>
      <c r="L30" s="5" t="s">
        <v>418</v>
      </c>
      <c r="M30" s="7">
        <f>IF(R30="",(VLOOKUP(A30,[1]Export!$B$2:$H$680,7,0)),"CHURN")</f>
        <v>0.46213302397395389</v>
      </c>
      <c r="N30" s="5">
        <f t="shared" si="10"/>
        <v>3383.6545052710189</v>
      </c>
      <c r="O30" s="5">
        <f t="shared" si="11"/>
        <v>3284.7122156711453</v>
      </c>
      <c r="P30" s="5">
        <f t="shared" si="12"/>
        <v>3647.5790009876609</v>
      </c>
      <c r="Q30" s="5" t="str">
        <f>VLOOKUP(A30,[4]Sheet2!$A$1:$B$142,2,0)</f>
        <v>LOW RISK</v>
      </c>
      <c r="T30" s="6" t="str" cm="1">
        <f t="array" ref="T30">IF(R30&lt;&gt;"Churn","",
 _xlfn.LET(
   _xlpm.rng,Y30:BF30,
   _xlpm.pos,MAX(IF((_xlpm.rng&lt;&gt;0)*(_xlpm.rng&lt;&gt;""),COLUMN(_xlpm.rng)-COLUMN(Y30)+1)),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" s="6" t="str" cm="1">
        <f t="array" ref="U30">IF(R30="Churn",
   MAX(IF((Y30:BF30&lt;&gt;"")*(Y30:BF30&lt;&gt;0), COLUMN(Y30:BF30)-COLUMN(Y30)+1))
   -MATCH(1, --((Y30:BF30&lt;&gt;"")*(Y30:BF30&lt;&gt;0)), 0)
   +1,
"")</f>
        <v/>
      </c>
      <c r="V30" s="6" t="str" cm="1">
        <f t="array" ref="V30">IFERROR(
    IF(
        MATCH(2,1/((Y30:BF30&lt;&gt;0)*(Y30:BF30&lt;&gt;"")))-MATCH(1,INDEX((Y30:BF30&lt;&gt;0)*(Y30:BF30&lt;&gt;""),0),0)+1 &lt;= 12,
        "No",
        "Yes"
    ),
    "No"
)</f>
        <v>Yes</v>
      </c>
      <c r="W30" s="6" t="str" cm="1">
        <f t="array" ref="W30">IFERROR(
    IF(
        MATCH(2,1/((Y30:BF30&lt;&gt;0)*(Y30:BF30&lt;&gt;"")))-MATCH(1,INDEX((Y30:BF30&lt;&gt;0)*(Y30:BF30&lt;&gt;""),0),0)+1 &lt;= 24,
        "No",
        "Yes"
    ),
    "No"
)</f>
        <v>Yes</v>
      </c>
      <c r="Y30" s="8">
        <v>4070.1808270472275</v>
      </c>
      <c r="Z30" s="8">
        <v>4197.7714536462017</v>
      </c>
      <c r="AA30" s="8">
        <v>4201.0945180903964</v>
      </c>
      <c r="AB30" s="8">
        <v>4488.1827057769306</v>
      </c>
      <c r="AC30" s="8">
        <v>4443.2028295357541</v>
      </c>
      <c r="AD30" s="8">
        <v>4254.2933377918707</v>
      </c>
      <c r="AE30" s="8">
        <v>4648.78675346808</v>
      </c>
      <c r="AF30" s="8">
        <v>4685.0863248161759</v>
      </c>
      <c r="AG30" s="8">
        <v>4682.8119836818332</v>
      </c>
      <c r="AH30" s="8">
        <v>4611.5444965198276</v>
      </c>
      <c r="AI30" s="8">
        <v>4567.0498631898799</v>
      </c>
      <c r="AJ30" s="8">
        <v>6196.0071509243917</v>
      </c>
      <c r="AK30" s="8">
        <v>6106.9230164301507</v>
      </c>
      <c r="AL30" s="8">
        <v>6277.4971135318592</v>
      </c>
      <c r="AM30" s="8">
        <v>6156.2493804797887</v>
      </c>
      <c r="AN30" s="8">
        <v>6100.7145383329762</v>
      </c>
      <c r="AO30" s="8">
        <v>6105.0981388975169</v>
      </c>
      <c r="AP30" s="8">
        <v>6079.5300685264801</v>
      </c>
      <c r="AQ30" s="8">
        <v>6044.8464046570698</v>
      </c>
      <c r="AR30" s="8">
        <v>6006.135060096929</v>
      </c>
      <c r="AS30" s="8">
        <v>6005.9813165724354</v>
      </c>
      <c r="AT30" s="8">
        <v>6005.2797769284307</v>
      </c>
      <c r="AU30" s="8">
        <v>6010.0979336594373</v>
      </c>
      <c r="AV30" s="8">
        <v>5966.1064670538372</v>
      </c>
      <c r="AW30" s="8">
        <v>6781.5634042775428</v>
      </c>
      <c r="AX30" s="8">
        <v>6730.7303630089327</v>
      </c>
      <c r="AY30" s="8">
        <v>6642.6768735563028</v>
      </c>
      <c r="AZ30" s="8">
        <v>6550.7483332450693</v>
      </c>
      <c r="BA30" s="8">
        <v>6514.597822099583</v>
      </c>
      <c r="BB30" s="8">
        <v>6471.1846837816229</v>
      </c>
      <c r="BC30" s="8">
        <v>6408.9139633923869</v>
      </c>
      <c r="BD30" s="8">
        <v>6360.0159697890258</v>
      </c>
      <c r="BE30" s="8">
        <v>6326.1755340481959</v>
      </c>
      <c r="BF30" s="8">
        <v>6290.876101505004</v>
      </c>
      <c r="BH30" s="8">
        <f t="shared" si="5"/>
        <v>55046.012244488571</v>
      </c>
      <c r="BI30" s="8">
        <f t="shared" si="6"/>
        <v>72864.459215166906</v>
      </c>
      <c r="BJ30" s="8">
        <f t="shared" si="7"/>
        <v>65077.483048703667</v>
      </c>
    </row>
    <row r="31" spans="1:62" x14ac:dyDescent="0.25">
      <c r="A31" s="9" t="s">
        <v>332</v>
      </c>
      <c r="B31" s="9" t="s">
        <v>643</v>
      </c>
      <c r="C31" s="10">
        <v>44927</v>
      </c>
      <c r="D31" s="6" cm="1">
        <f t="array" ref="D31">_xlfn.LET(
  _xlpm.aralık, Y31:BF31,
  _xlpm.ilk, MATCH(TRUE, _xlpm.aralık&lt;&gt;0, 0),
  _xlpm.son, MIN(_xlpm.ilk+2, COLUMNS(_xlpm.aralık)),
  MAX(INDEX(_xlpm.aralık, _xlpm.ilk):INDEX(_xlpm.aralık, _xlpm.son))
)</f>
        <v>7273.19</v>
      </c>
      <c r="E31" s="6">
        <f t="shared" si="0"/>
        <v>4668.0826517376936</v>
      </c>
      <c r="F31" s="6">
        <f t="shared" si="1"/>
        <v>5530.9422270508221</v>
      </c>
      <c r="G31" s="6">
        <f t="shared" si="8"/>
        <v>5991.4250632574658</v>
      </c>
      <c r="H31" s="7">
        <f t="shared" si="2"/>
        <v>-0.35817947121721089</v>
      </c>
      <c r="I31" s="7">
        <f t="shared" si="3"/>
        <v>-0.23954382780446787</v>
      </c>
      <c r="J31" s="7">
        <f t="shared" si="4"/>
        <v>0.18484239455184648</v>
      </c>
      <c r="K31" s="7">
        <f t="shared" si="9"/>
        <v>-0.17623146607506937</v>
      </c>
      <c r="L31" s="5" t="s">
        <v>422</v>
      </c>
      <c r="M31" s="7">
        <f>IF(R31="",(VLOOKUP(A31,[1]Export!$B$2:$H$680,7,0)),"CHURN")</f>
        <v>0.60166649367375313</v>
      </c>
      <c r="N31" s="5">
        <f t="shared" si="10"/>
        <v>2386.585353338302</v>
      </c>
      <c r="O31" s="5">
        <f t="shared" si="11"/>
        <v>1859.4537304873998</v>
      </c>
      <c r="P31" s="5">
        <f t="shared" si="12"/>
        <v>2203.1596105890544</v>
      </c>
      <c r="Q31" s="5" t="s">
        <v>430</v>
      </c>
      <c r="T31" s="6" t="str" cm="1">
        <f t="array" ref="T31">IF(R31&lt;&gt;"Churn","",
 _xlfn.LET(
   _xlpm.rng,Y31:BF31,
   _xlpm.pos,MAX(IF((_xlpm.rng&lt;&gt;0)*(_xlpm.rng&lt;&gt;""),COLUMN(_xlpm.rng)-COLUMN(Y31)+1)),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" s="6" t="str" cm="1">
        <f t="array" ref="U31">IF(R31="Churn",
   MAX(IF((Y31:BF31&lt;&gt;"")*(Y31:BF31&lt;&gt;0), COLUMN(Y31:BF31)-COLUMN(Y31)+1))
   -MATCH(1, --((Y31:BF31&lt;&gt;"")*(Y31:BF31&lt;&gt;0)), 0)
   +1,
"")</f>
        <v/>
      </c>
      <c r="V31" s="6" t="str" cm="1">
        <f t="array" ref="V31">IFERROR(
    IF(
        MATCH(2,1/((Y31:BF31&lt;&gt;0)*(Y31:BF31&lt;&gt;"")))-MATCH(1,INDEX((Y31:BF31&lt;&gt;0)*(Y31:BF31&lt;&gt;""),0),0)+1 &lt;= 12,
        "No",
        "Yes"
    ),
    "No"
)</f>
        <v>Yes</v>
      </c>
      <c r="W31" s="6" t="str" cm="1">
        <f t="array" ref="W31">IFERROR(
    IF(
        MATCH(2,1/((Y31:BF31&lt;&gt;0)*(Y31:BF31&lt;&gt;"")))-MATCH(1,INDEX((Y31:BF31&lt;&gt;0)*(Y31:BF31&lt;&gt;""),0),0)+1 &lt;= 24,
        "No",
        "Yes"
    ),
    "No"
)</f>
        <v>Yes</v>
      </c>
      <c r="X31" s="6"/>
      <c r="Y31" s="8">
        <v>7273.19</v>
      </c>
      <c r="Z31" s="8">
        <v>7273.19</v>
      </c>
      <c r="AA31" s="8">
        <v>7273.19</v>
      </c>
      <c r="AB31" s="8">
        <v>7273.19</v>
      </c>
      <c r="AC31" s="8">
        <v>7273.1900000000005</v>
      </c>
      <c r="AD31" s="8">
        <v>7273.1900000000005</v>
      </c>
      <c r="AE31" s="8">
        <v>7273.1900000000005</v>
      </c>
      <c r="AF31" s="8">
        <v>5201.695752815418</v>
      </c>
      <c r="AG31" s="8">
        <v>5196.8685155145085</v>
      </c>
      <c r="AH31" s="8">
        <v>5036.6904914119032</v>
      </c>
      <c r="AI31" s="8">
        <v>4898.033439574011</v>
      </c>
      <c r="AJ31" s="8">
        <v>4821.7170134284816</v>
      </c>
      <c r="AK31" s="8">
        <v>4668.0826517376936</v>
      </c>
      <c r="AL31" s="8">
        <v>4560.8251184185665</v>
      </c>
      <c r="AM31" s="8">
        <v>4386.2122550770409</v>
      </c>
      <c r="AN31" s="8">
        <v>4342.5260474017732</v>
      </c>
      <c r="AO31" s="8">
        <v>4348.8390152985939</v>
      </c>
      <c r="AP31" s="8">
        <v>4312.0175930317801</v>
      </c>
      <c r="AQ31" s="8">
        <v>4262.0685036181912</v>
      </c>
      <c r="AR31" s="8">
        <v>5838.4419611207422</v>
      </c>
      <c r="AS31" s="8">
        <v>5771.5978403623139</v>
      </c>
      <c r="AT31" s="8">
        <v>5735.9082401004371</v>
      </c>
      <c r="AU31" s="8">
        <v>5704.2907238337484</v>
      </c>
      <c r="AV31" s="8">
        <v>5615.595301809597</v>
      </c>
      <c r="AW31" s="8">
        <v>5530.9422270508221</v>
      </c>
      <c r="AX31" s="8">
        <v>5433.4417166349258</v>
      </c>
      <c r="AY31" s="8">
        <v>5297.8843520498212</v>
      </c>
      <c r="AZ31" s="8">
        <v>5156.3613899024767</v>
      </c>
      <c r="BA31" s="8">
        <v>5069.9183044744614</v>
      </c>
      <c r="BB31" s="8">
        <v>4983.8406518660158</v>
      </c>
      <c r="BC31" s="8">
        <v>4887.9755725914247</v>
      </c>
      <c r="BD31" s="8">
        <v>6138.6449706572766</v>
      </c>
      <c r="BE31" s="8">
        <v>6064.3402147504157</v>
      </c>
      <c r="BF31" s="8">
        <v>5991.4250632574658</v>
      </c>
      <c r="BH31" s="8">
        <f t="shared" si="5"/>
        <v>76067.335212744321</v>
      </c>
      <c r="BI31" s="8">
        <f t="shared" si="6"/>
        <v>59546.405251810473</v>
      </c>
      <c r="BJ31" s="8">
        <f t="shared" si="7"/>
        <v>54554.77446323511</v>
      </c>
    </row>
    <row r="32" spans="1:62" x14ac:dyDescent="0.25">
      <c r="A32" s="9" t="s">
        <v>90</v>
      </c>
      <c r="B32" s="9" t="s">
        <v>644</v>
      </c>
      <c r="C32" s="10">
        <v>44927</v>
      </c>
      <c r="D32" s="6" cm="1">
        <f t="array" ref="D32">_xlfn.LET(
  _xlpm.aralık, Y32:BF32,
  _xlpm.ilk, MATCH(TRUE, _xlpm.aralık&lt;&gt;0, 0),
  _xlpm.son, MIN(_xlpm.ilk+2, COLUMNS(_xlpm.aralık)),
  MAX(INDEX(_xlpm.aralık, _xlpm.ilk):INDEX(_xlpm.aralık, _xlpm.son))
)</f>
        <v>3251.8938283319922</v>
      </c>
      <c r="E32" s="6">
        <f t="shared" si="0"/>
        <v>2967.5677205418974</v>
      </c>
      <c r="F32" s="6">
        <f t="shared" si="1"/>
        <v>5431.2021834052939</v>
      </c>
      <c r="G32" s="6">
        <f t="shared" si="8"/>
        <v>5943.5172373299329</v>
      </c>
      <c r="H32" s="7">
        <f t="shared" si="2"/>
        <v>-8.7434007012441528E-2</v>
      </c>
      <c r="I32" s="7">
        <f t="shared" si="3"/>
        <v>0.67016590027822154</v>
      </c>
      <c r="J32" s="7">
        <f t="shared" si="4"/>
        <v>0.83018643376182855</v>
      </c>
      <c r="K32" s="7">
        <f t="shared" si="9"/>
        <v>0.82770949824600104</v>
      </c>
      <c r="L32" s="5" t="s">
        <v>424</v>
      </c>
      <c r="M32" s="7">
        <f>IF(R32="",(VLOOKUP(A32,[1]Export!$B$2:$H$680,7,0)),"CHURN")</f>
        <v>0.39611644097931559</v>
      </c>
      <c r="N32" s="5">
        <f t="shared" si="10"/>
        <v>3589.1923423795852</v>
      </c>
      <c r="O32" s="5">
        <f t="shared" si="11"/>
        <v>1792.0653567157406</v>
      </c>
      <c r="P32" s="5">
        <f t="shared" si="12"/>
        <v>3279.8137042757007</v>
      </c>
      <c r="Q32" s="5" t="str">
        <f>VLOOKUP(A32,[4]Sheet2!$A$1:$B$142,2,0)</f>
        <v>LOW RISK</v>
      </c>
      <c r="T32" s="6" t="str" cm="1">
        <f t="array" ref="T32">IF(R32&lt;&gt;"Churn","",
 _xlfn.LET(
   _xlpm.rng,Y32:BF32,
   _xlpm.pos,MAX(IF((_xlpm.rng&lt;&gt;0)*(_xlpm.rng&lt;&gt;""),COLUMN(_xlpm.rng)-COLUMN(Y32)+1)),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" s="6" t="str" cm="1">
        <f t="array" ref="U32">IF(R32="Churn",
   MAX(IF((Y32:BF32&lt;&gt;"")*(Y32:BF32&lt;&gt;0), COLUMN(Y32:BF32)-COLUMN(Y32)+1))
   -MATCH(1, --((Y32:BF32&lt;&gt;"")*(Y32:BF32&lt;&gt;0)), 0)
   +1,
"")</f>
        <v/>
      </c>
      <c r="V32" s="6" t="str" cm="1">
        <f t="array" ref="V32">IFERROR(
    IF(
        MATCH(2,1/((Y32:BF32&lt;&gt;0)*(Y32:BF32&lt;&gt;"")))-MATCH(1,INDEX((Y32:BF32&lt;&gt;0)*(Y32:BF32&lt;&gt;""),0),0)+1 &lt;= 12,
        "No",
        "Yes"
    ),
    "No"
)</f>
        <v>Yes</v>
      </c>
      <c r="W32" s="6" t="str" cm="1">
        <f t="array" ref="W32">IFERROR(
    IF(
        MATCH(2,1/((Y32:BF32&lt;&gt;0)*(Y32:BF32&lt;&gt;"")))-MATCH(1,INDEX((Y32:BF32&lt;&gt;0)*(Y32:BF32&lt;&gt;""),0),0)+1 &lt;= 24,
        "No",
        "Yes"
    ),
    "No"
)</f>
        <v>Yes</v>
      </c>
      <c r="Y32" s="8">
        <v>3251.8938283319922</v>
      </c>
      <c r="Z32" s="8">
        <v>3240.5956321020844</v>
      </c>
      <c r="AA32" s="8">
        <v>3216.7736287843231</v>
      </c>
      <c r="AB32" s="8">
        <v>3159.6231242975018</v>
      </c>
      <c r="AC32" s="8">
        <v>3099.7186529432092</v>
      </c>
      <c r="AD32" s="8">
        <v>2606.7477742213941</v>
      </c>
      <c r="AE32" s="8">
        <v>2310.1591478540131</v>
      </c>
      <c r="AF32" s="8">
        <v>3306.793293899525</v>
      </c>
      <c r="AG32" s="8">
        <v>3386.3993032484136</v>
      </c>
      <c r="AH32" s="8">
        <v>3282.0236109257326</v>
      </c>
      <c r="AI32" s="8">
        <v>3191.6714801507192</v>
      </c>
      <c r="AJ32" s="8">
        <v>3073.1704769711346</v>
      </c>
      <c r="AK32" s="8">
        <v>2967.5677205418974</v>
      </c>
      <c r="AL32" s="8">
        <v>2899.3825538666019</v>
      </c>
      <c r="AM32" s="8">
        <v>2788.3786288073888</v>
      </c>
      <c r="AN32" s="8">
        <v>2760.6066741523541</v>
      </c>
      <c r="AO32" s="8">
        <v>2764.6199192358463</v>
      </c>
      <c r="AP32" s="8">
        <v>2741.2120080449927</v>
      </c>
      <c r="AQ32" s="8">
        <v>2709.4586488025107</v>
      </c>
      <c r="AR32" s="8">
        <v>5733.2162666142403</v>
      </c>
      <c r="AS32" s="8">
        <v>5667.5768140485416</v>
      </c>
      <c r="AT32" s="8">
        <v>5632.5304322806787</v>
      </c>
      <c r="AU32" s="8">
        <v>5601.4827559388168</v>
      </c>
      <c r="AV32" s="8">
        <v>5514.3858842939071</v>
      </c>
      <c r="AW32" s="8">
        <v>5431.2021834052939</v>
      </c>
      <c r="AX32" s="8">
        <v>5335.4599096089696</v>
      </c>
      <c r="AY32" s="8">
        <v>5202.3470647648364</v>
      </c>
      <c r="AZ32" s="8">
        <v>5063.376200585968</v>
      </c>
      <c r="BA32" s="8">
        <v>4978.4919521082429</v>
      </c>
      <c r="BB32" s="8">
        <v>4893.9665465628887</v>
      </c>
      <c r="BC32" s="8">
        <v>4799.830212011786</v>
      </c>
      <c r="BD32" s="8">
        <v>6089.560668596655</v>
      </c>
      <c r="BE32" s="8">
        <v>6015.8493545116262</v>
      </c>
      <c r="BF32" s="8">
        <v>5943.5172373299329</v>
      </c>
      <c r="BH32" s="8">
        <f t="shared" si="5"/>
        <v>37125.569953730046</v>
      </c>
      <c r="BI32" s="8">
        <f t="shared" si="6"/>
        <v>47780.418306627776</v>
      </c>
      <c r="BJ32" s="8">
        <f t="shared" si="7"/>
        <v>53753.601329486206</v>
      </c>
    </row>
    <row r="33" spans="1:62" x14ac:dyDescent="0.25">
      <c r="A33" s="9" t="s">
        <v>388</v>
      </c>
      <c r="B33" s="9" t="s">
        <v>643</v>
      </c>
      <c r="C33" s="10">
        <v>44927</v>
      </c>
      <c r="D33" s="6" cm="1">
        <f t="array" ref="D33">_xlfn.LET(
  _xlpm.aralık, Y33:BF33,
  _xlpm.ilk, MATCH(TRUE, _xlpm.aralık&lt;&gt;0, 0),
  _xlpm.son, MIN(_xlpm.ilk+2, COLUMNS(_xlpm.aralık)),
  MAX(INDEX(_xlpm.aralık, _xlpm.ilk):INDEX(_xlpm.aralık, _xlpm.son))
)</f>
        <v>3649.58</v>
      </c>
      <c r="E33" s="6">
        <f t="shared" si="0"/>
        <v>4067.9076040000004</v>
      </c>
      <c r="F33" s="6">
        <f t="shared" si="1"/>
        <v>5259.0079999999998</v>
      </c>
      <c r="G33" s="6">
        <f t="shared" si="8"/>
        <v>5872.5421000000042</v>
      </c>
      <c r="H33" s="7">
        <f t="shared" si="2"/>
        <v>0.11462349201825978</v>
      </c>
      <c r="I33" s="7">
        <f t="shared" si="3"/>
        <v>0.44098992212802568</v>
      </c>
      <c r="J33" s="7">
        <f t="shared" si="4"/>
        <v>0.29280419123305124</v>
      </c>
      <c r="K33" s="7">
        <f t="shared" si="9"/>
        <v>0.60910080064007488</v>
      </c>
      <c r="L33" s="5" t="s">
        <v>416</v>
      </c>
      <c r="M33" s="7">
        <f>IF(R33="",(VLOOKUP(A33,[1]Export!$B$2:$H$680,7,0)),"CHURN")</f>
        <v>0.15410702632510714</v>
      </c>
      <c r="N33" s="5">
        <f t="shared" si="10"/>
        <v>4967.5421000000033</v>
      </c>
      <c r="O33" s="5">
        <f t="shared" si="11"/>
        <v>3441.0144597822687</v>
      </c>
      <c r="P33" s="5">
        <f t="shared" si="12"/>
        <v>4448.5579157000502</v>
      </c>
      <c r="Q33" s="5" t="str">
        <f>VLOOKUP(A33,[4]Sheet2!$A$1:$B$142,2,0)</f>
        <v>NO RISK</v>
      </c>
      <c r="T33" s="6" t="str" cm="1">
        <f t="array" ref="T33">IF(R33&lt;&gt;"Churn","",
 _xlfn.LET(
   _xlpm.rng,Y33:BF33,
   _xlpm.pos,MAX(IF((_xlpm.rng&lt;&gt;0)*(_xlpm.rng&lt;&gt;""),COLUMN(_xlpm.rng)-COLUMN(Y33)+1)),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" s="6" t="str" cm="1">
        <f t="array" ref="U33">IF(R33="Churn",
   MAX(IF((Y33:BF33&lt;&gt;"")*(Y33:BF33&lt;&gt;0), COLUMN(Y33:BF33)-COLUMN(Y33)+1))
   -MATCH(1, --((Y33:BF33&lt;&gt;"")*(Y33:BF33&lt;&gt;0)), 0)
   +1,
"")</f>
        <v/>
      </c>
      <c r="V33" s="6" t="str" cm="1">
        <f t="array" ref="V33">IFERROR(
    IF(
        MATCH(2,1/((Y33:BF33&lt;&gt;0)*(Y33:BF33&lt;&gt;"")))-MATCH(1,INDEX((Y33:BF33&lt;&gt;0)*(Y33:BF33&lt;&gt;""),0),0)+1 &lt;= 12,
        "No",
        "Yes"
    ),
    "No"
)</f>
        <v>Yes</v>
      </c>
      <c r="W33" s="6" t="str" cm="1">
        <f t="array" ref="W33">IFERROR(
    IF(
        MATCH(2,1/((Y33:BF33&lt;&gt;0)*(Y33:BF33&lt;&gt;"")))-MATCH(1,INDEX((Y33:BF33&lt;&gt;0)*(Y33:BF33&lt;&gt;""),0),0)+1 &lt;= 24,
        "No",
        "Yes"
    ),
    "No"
)</f>
        <v>Yes</v>
      </c>
      <c r="Y33" s="8">
        <v>3376.75</v>
      </c>
      <c r="Z33" s="8">
        <v>3602.06</v>
      </c>
      <c r="AA33" s="8">
        <v>3649.58</v>
      </c>
      <c r="AB33" s="8">
        <v>3657.99</v>
      </c>
      <c r="AC33" s="8">
        <v>3748.6076040000003</v>
      </c>
      <c r="AD33" s="8">
        <v>3748.6076040000003</v>
      </c>
      <c r="AE33" s="8">
        <v>3757.6076040000003</v>
      </c>
      <c r="AF33" s="8">
        <v>3757.6076040000003</v>
      </c>
      <c r="AG33" s="8">
        <v>3757.6076040000003</v>
      </c>
      <c r="AH33" s="8">
        <v>3757.6076040000003</v>
      </c>
      <c r="AI33" s="8">
        <v>3757.6076040000003</v>
      </c>
      <c r="AJ33" s="8">
        <v>3757.6076040000003</v>
      </c>
      <c r="AK33" s="8">
        <v>4067.9076040000004</v>
      </c>
      <c r="AL33" s="8">
        <v>4067.9076040000004</v>
      </c>
      <c r="AM33" s="8">
        <v>4069.3476040000005</v>
      </c>
      <c r="AN33" s="8">
        <v>4069.3476040000005</v>
      </c>
      <c r="AO33" s="8">
        <v>4120.1476039999998</v>
      </c>
      <c r="AP33" s="8">
        <v>4120.5476040000003</v>
      </c>
      <c r="AQ33" s="8">
        <v>4269.2700000000004</v>
      </c>
      <c r="AR33" s="8">
        <v>4269.2700000000004</v>
      </c>
      <c r="AS33" s="8">
        <v>4269.2700000000004</v>
      </c>
      <c r="AT33" s="8">
        <v>4379.869999999999</v>
      </c>
      <c r="AU33" s="8">
        <v>4527.2220000000016</v>
      </c>
      <c r="AV33" s="8">
        <v>5256.0079999999998</v>
      </c>
      <c r="AW33" s="8">
        <v>5259.0079999999998</v>
      </c>
      <c r="AX33" s="8">
        <v>5260.2079999999996</v>
      </c>
      <c r="AY33" s="8">
        <v>5260.2079999999996</v>
      </c>
      <c r="AZ33" s="8">
        <v>5260.2079999999996</v>
      </c>
      <c r="BA33" s="8">
        <v>5419.3080000000018</v>
      </c>
      <c r="BB33" s="8">
        <v>5542.8480000000018</v>
      </c>
      <c r="BC33" s="8">
        <v>5542.8480000000018</v>
      </c>
      <c r="BD33" s="8">
        <v>5560.608000000002</v>
      </c>
      <c r="BE33" s="8">
        <v>5841.6080000000038</v>
      </c>
      <c r="BF33" s="8">
        <v>5872.5421000000042</v>
      </c>
      <c r="BH33" s="8">
        <f t="shared" si="5"/>
        <v>44329.240831999989</v>
      </c>
      <c r="BI33" s="8">
        <f t="shared" si="6"/>
        <v>51486.115624000005</v>
      </c>
      <c r="BJ33" s="8">
        <f t="shared" si="7"/>
        <v>54819.394100000005</v>
      </c>
    </row>
    <row r="34" spans="1:62" x14ac:dyDescent="0.25">
      <c r="A34" s="9" t="s">
        <v>74</v>
      </c>
      <c r="B34" s="9" t="s">
        <v>644</v>
      </c>
      <c r="C34" s="10">
        <v>44927</v>
      </c>
      <c r="D34" s="6" cm="1">
        <f t="array" ref="D34">_xlfn.LET(
  _xlpm.aralık, Y34:BF34,
  _xlpm.ilk, MATCH(TRUE, _xlpm.aralık&lt;&gt;0, 0),
  _xlpm.son, MIN(_xlpm.ilk+2, COLUMNS(_xlpm.aralık)),
  MAX(INDEX(_xlpm.aralık, _xlpm.ilk):INDEX(_xlpm.aralık, _xlpm.son))
)</f>
        <v>1367.4327204490812</v>
      </c>
      <c r="E34" s="6">
        <f t="shared" si="0"/>
        <v>3661.333041255848</v>
      </c>
      <c r="F34" s="6">
        <f t="shared" si="1"/>
        <v>5618.2668952225076</v>
      </c>
      <c r="G34" s="6">
        <f t="shared" si="8"/>
        <v>5819.1587076496126</v>
      </c>
      <c r="H34" s="7">
        <f t="shared" si="2"/>
        <v>1.6775233519740722</v>
      </c>
      <c r="I34" s="7">
        <f t="shared" si="3"/>
        <v>3.1086240011701651</v>
      </c>
      <c r="J34" s="7">
        <f t="shared" si="4"/>
        <v>0.53448671069142228</v>
      </c>
      <c r="K34" s="7">
        <f t="shared" si="9"/>
        <v>3.2555356622873055</v>
      </c>
      <c r="L34" s="5" t="s">
        <v>414</v>
      </c>
      <c r="M34" s="7">
        <f>IF(R34="",(VLOOKUP(A34,[1]Export!$B$2:$H$680,7,0)),"CHURN")</f>
        <v>0.43106977456440698</v>
      </c>
      <c r="N34" s="5">
        <f t="shared" si="10"/>
        <v>3310.695275388588</v>
      </c>
      <c r="O34" s="5">
        <f t="shared" si="11"/>
        <v>2083.0430325564748</v>
      </c>
      <c r="P34" s="5">
        <f t="shared" si="12"/>
        <v>3196.4018512562707</v>
      </c>
      <c r="Q34" s="5" t="str">
        <f>VLOOKUP(A34,[4]Sheet2!$A$1:$B$142,2,0)</f>
        <v>MEDIUM RISK</v>
      </c>
      <c r="T34" s="6" t="str" cm="1">
        <f t="array" ref="T34">IF(R34&lt;&gt;"Churn","",
 _xlfn.LET(
   _xlpm.rng,Y34:BF34,
   _xlpm.pos,MAX(IF((_xlpm.rng&lt;&gt;0)*(_xlpm.rng&lt;&gt;""),COLUMN(_xlpm.rng)-COLUMN(Y34)+1)),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" s="6" t="str" cm="1">
        <f t="array" ref="U34">IF(R34="Churn",
   MAX(IF((Y34:BF34&lt;&gt;"")*(Y34:BF34&lt;&gt;0), COLUMN(Y34:BF34)-COLUMN(Y34)+1))
   -MATCH(1, --((Y34:BF34&lt;&gt;"")*(Y34:BF34&lt;&gt;0)), 0)
   +1,
"")</f>
        <v/>
      </c>
      <c r="V34" s="6" t="str" cm="1">
        <f t="array" ref="V34">IFERROR(
    IF(
        MATCH(2,1/((Y34:BF34&lt;&gt;0)*(Y34:BF34&lt;&gt;"")))-MATCH(1,INDEX((Y34:BF34&lt;&gt;0)*(Y34:BF34&lt;&gt;""),0),0)+1 &lt;= 12,
        "No",
        "Yes"
    ),
    "No"
)</f>
        <v>Yes</v>
      </c>
      <c r="W34" s="6" t="str" cm="1">
        <f t="array" ref="W34">IFERROR(
    IF(
        MATCH(2,1/((Y34:BF34&lt;&gt;0)*(Y34:BF34&lt;&gt;"")))-MATCH(1,INDEX((Y34:BF34&lt;&gt;0)*(Y34:BF34&lt;&gt;""),0),0)+1 &lt;= 24,
        "No",
        "Yes"
    ),
    "No"
)</f>
        <v>Yes</v>
      </c>
      <c r="Y34" s="8">
        <v>1367.4327204490812</v>
      </c>
      <c r="Z34" s="8">
        <v>1363.3905555230906</v>
      </c>
      <c r="AA34" s="8">
        <v>1354.867737869863</v>
      </c>
      <c r="AB34" s="8">
        <v>3625.1292182263637</v>
      </c>
      <c r="AC34" s="8">
        <v>3596.7202890869548</v>
      </c>
      <c r="AD34" s="8">
        <v>3288.8685648781238</v>
      </c>
      <c r="AE34" s="8">
        <v>3103.6541354889778</v>
      </c>
      <c r="AF34" s="8">
        <v>3176.0201138799821</v>
      </c>
      <c r="AG34" s="8">
        <v>3776.5438393350978</v>
      </c>
      <c r="AH34" s="8">
        <v>3726.140437062415</v>
      </c>
      <c r="AI34" s="8">
        <v>3719.6553123370968</v>
      </c>
      <c r="AJ34" s="8">
        <v>3716.7784321498316</v>
      </c>
      <c r="AK34" s="8">
        <v>3661.333041255848</v>
      </c>
      <c r="AL34" s="8">
        <v>3622.6246703174984</v>
      </c>
      <c r="AM34" s="8">
        <v>3898.5098940103139</v>
      </c>
      <c r="AN34" s="8">
        <v>3879.368473415986</v>
      </c>
      <c r="AO34" s="8">
        <v>4773.930482255184</v>
      </c>
      <c r="AP34" s="8">
        <v>0</v>
      </c>
      <c r="AQ34" s="8">
        <v>493.66215191838745</v>
      </c>
      <c r="AR34" s="8">
        <v>358.44699230874636</v>
      </c>
      <c r="AS34" s="8">
        <v>358.3617319505056</v>
      </c>
      <c r="AT34" s="8">
        <v>4970.3077229322207</v>
      </c>
      <c r="AU34" s="8">
        <v>4955.7409004048304</v>
      </c>
      <c r="AV34" s="8">
        <v>4916.8771443551814</v>
      </c>
      <c r="AW34" s="8">
        <v>5618.2668952225076</v>
      </c>
      <c r="AX34" s="8">
        <v>5560.2947021171021</v>
      </c>
      <c r="AY34" s="8">
        <v>5479.6945320967998</v>
      </c>
      <c r="AZ34" s="8">
        <v>6125.2126526585516</v>
      </c>
      <c r="BA34" s="8">
        <v>6061.5826513086076</v>
      </c>
      <c r="BB34" s="8">
        <v>6988.2063948524046</v>
      </c>
      <c r="BC34" s="8">
        <v>5927.6556787552618</v>
      </c>
      <c r="BD34" s="8">
        <v>5872.2442694766924</v>
      </c>
      <c r="BE34" s="8">
        <v>5861.625620648837</v>
      </c>
      <c r="BF34" s="8">
        <v>5819.1587076496126</v>
      </c>
      <c r="BH34" s="8">
        <f t="shared" si="5"/>
        <v>35815.201356286881</v>
      </c>
      <c r="BI34" s="8">
        <f t="shared" si="6"/>
        <v>35889.1632051247</v>
      </c>
      <c r="BJ34" s="8">
        <f t="shared" si="7"/>
        <v>59313.94210478638</v>
      </c>
    </row>
    <row r="35" spans="1:62" x14ac:dyDescent="0.25">
      <c r="A35" s="9" t="s">
        <v>178</v>
      </c>
      <c r="B35" s="9" t="s">
        <v>643</v>
      </c>
      <c r="C35" s="10">
        <v>44927</v>
      </c>
      <c r="D35" s="6" cm="1">
        <f t="array" ref="D35">_xlfn.LET(
  _xlpm.aralık, Y35:BF35,
  _xlpm.ilk, MATCH(TRUE, _xlpm.aralık&lt;&gt;0, 0),
  _xlpm.son, MIN(_xlpm.ilk+2, COLUMNS(_xlpm.aralık)),
  MAX(INDEX(_xlpm.aralık, _xlpm.ilk):INDEX(_xlpm.aralık, _xlpm.son))
)</f>
        <v>3232.3893956275356</v>
      </c>
      <c r="E35" s="6">
        <f t="shared" si="0"/>
        <v>2975.8339629644124</v>
      </c>
      <c r="F35" s="6">
        <f t="shared" si="1"/>
        <v>5233.0901097440537</v>
      </c>
      <c r="G35" s="6">
        <f t="shared" si="8"/>
        <v>5814.8777509628217</v>
      </c>
      <c r="H35" s="7">
        <f t="shared" si="2"/>
        <v>-7.9370212329667511E-2</v>
      </c>
      <c r="I35" s="7">
        <f t="shared" si="3"/>
        <v>0.61895411388951871</v>
      </c>
      <c r="J35" s="7">
        <f t="shared" si="4"/>
        <v>0.75852892831797936</v>
      </c>
      <c r="K35" s="7">
        <f t="shared" si="9"/>
        <v>0.79894098119138346</v>
      </c>
      <c r="L35" s="5" t="s">
        <v>414</v>
      </c>
      <c r="M35" s="7">
        <f>IF(R35="",(VLOOKUP(A35,[1]Export!$B$2:$H$680,7,0)),"CHURN")</f>
        <v>0.46709938146235791</v>
      </c>
      <c r="N35" s="5">
        <f t="shared" si="10"/>
        <v>3098.7519502088612</v>
      </c>
      <c r="O35" s="5">
        <f t="shared" si="11"/>
        <v>1585.8237595290582</v>
      </c>
      <c r="P35" s="5">
        <f t="shared" si="12"/>
        <v>2788.7169563458237</v>
      </c>
      <c r="Q35" s="5" t="str">
        <f>VLOOKUP(A35,[4]Sheet2!$A$1:$B$142,2,0)</f>
        <v>HIGH RISK</v>
      </c>
      <c r="T35" s="6" t="str" cm="1">
        <f t="array" ref="T35">IF(R35&lt;&gt;"Churn","",
 _xlfn.LET(
   _xlpm.rng,Y35:BF35,
   _xlpm.pos,MAX(IF((_xlpm.rng&lt;&gt;0)*(_xlpm.rng&lt;&gt;""),COLUMN(_xlpm.rng)-COLUMN(Y35)+1)),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" s="6" t="str" cm="1">
        <f t="array" ref="U35">IF(R35="Churn",
   MAX(IF((Y35:BF35&lt;&gt;"")*(Y35:BF35&lt;&gt;0), COLUMN(Y35:BF35)-COLUMN(Y35)+1))
   -MATCH(1, --((Y35:BF35&lt;&gt;"")*(Y35:BF35&lt;&gt;0)), 0)
   +1,
"")</f>
        <v/>
      </c>
      <c r="V35" s="6" t="str" cm="1">
        <f t="array" ref="V35">IFERROR(
    IF(
        MATCH(2,1/((Y35:BF35&lt;&gt;0)*(Y35:BF35&lt;&gt;"")))-MATCH(1,INDEX((Y35:BF35&lt;&gt;0)*(Y35:BF35&lt;&gt;""),0),0)+1 &lt;= 12,
        "No",
        "Yes"
    ),
    "No"
)</f>
        <v>Yes</v>
      </c>
      <c r="W35" s="6" t="str" cm="1">
        <f t="array" ref="W35">IFERROR(
    IF(
        MATCH(2,1/((Y35:BF35&lt;&gt;0)*(Y35:BF35&lt;&gt;"")))-MATCH(1,INDEX((Y35:BF35&lt;&gt;0)*(Y35:BF35&lt;&gt;""),0),0)+1 &lt;= 24,
        "No",
        "Yes"
    ),
    "No"
)</f>
        <v>Yes</v>
      </c>
      <c r="Y35" s="8">
        <v>3232.3893956275356</v>
      </c>
      <c r="Z35" s="8">
        <v>3224.9807423620223</v>
      </c>
      <c r="AA35" s="8">
        <v>3209.3597565798841</v>
      </c>
      <c r="AB35" s="8">
        <v>4044.1913304603204</v>
      </c>
      <c r="AC35" s="8">
        <v>3987.3362476212042</v>
      </c>
      <c r="AD35" s="8">
        <v>3519.4663482912038</v>
      </c>
      <c r="AE35" s="8">
        <v>3237.9793543317996</v>
      </c>
      <c r="AF35" s="8">
        <v>3196.4981796678271</v>
      </c>
      <c r="AG35" s="8">
        <v>3194.5020310915206</v>
      </c>
      <c r="AH35" s="8">
        <v>3128.2638400083388</v>
      </c>
      <c r="AI35" s="8">
        <v>3070.9251860567474</v>
      </c>
      <c r="AJ35" s="8">
        <v>3039.3661626130879</v>
      </c>
      <c r="AK35" s="8">
        <v>2975.8339629644124</v>
      </c>
      <c r="AL35" s="8">
        <v>2931.4799073634258</v>
      </c>
      <c r="AM35" s="8">
        <v>2859.2724976866239</v>
      </c>
      <c r="AN35" s="8">
        <v>2841.2070021986765</v>
      </c>
      <c r="AO35" s="8">
        <v>2843.8175948576527</v>
      </c>
      <c r="AP35" s="8">
        <v>5711.7297418025473</v>
      </c>
      <c r="AQ35" s="8">
        <v>5645.5668161130543</v>
      </c>
      <c r="AR35" s="8">
        <v>5524.0303783369973</v>
      </c>
      <c r="AS35" s="8">
        <v>5460.7859449519128</v>
      </c>
      <c r="AT35" s="8">
        <v>5427.0182998592372</v>
      </c>
      <c r="AU35" s="8">
        <v>5397.1034490295424</v>
      </c>
      <c r="AV35" s="8">
        <v>5313.1844499295185</v>
      </c>
      <c r="AW35" s="8">
        <v>5233.0901097440537</v>
      </c>
      <c r="AX35" s="8">
        <v>5203.2138811406903</v>
      </c>
      <c r="AY35" s="8">
        <v>5073.4000254082212</v>
      </c>
      <c r="AZ35" s="8">
        <v>4937.8737375464671</v>
      </c>
      <c r="BA35" s="8">
        <v>4855.0934572186843</v>
      </c>
      <c r="BB35" s="8">
        <v>6091.8127703288574</v>
      </c>
      <c r="BC35" s="8">
        <v>6050.9480054066998</v>
      </c>
      <c r="BD35" s="8">
        <v>5957.7595787416267</v>
      </c>
      <c r="BE35" s="8">
        <v>5885.6443361488045</v>
      </c>
      <c r="BF35" s="8">
        <v>5814.8777509628217</v>
      </c>
      <c r="BH35" s="8">
        <f t="shared" si="5"/>
        <v>40085.258574711486</v>
      </c>
      <c r="BI35" s="8">
        <f t="shared" si="6"/>
        <v>52931.030045093597</v>
      </c>
      <c r="BJ35" s="8">
        <f t="shared" si="7"/>
        <v>55103.713652646933</v>
      </c>
    </row>
    <row r="36" spans="1:62" x14ac:dyDescent="0.25">
      <c r="A36" s="9" t="s">
        <v>163</v>
      </c>
      <c r="B36" s="9" t="s">
        <v>644</v>
      </c>
      <c r="C36" s="10">
        <v>44927</v>
      </c>
      <c r="D36" s="6" cm="1">
        <f t="array" ref="D36">_xlfn.LET(
  _xlpm.aralık, Y36:BF36,
  _xlpm.ilk, MATCH(TRUE, _xlpm.aralık&lt;&gt;0, 0),
  _xlpm.son, MIN(_xlpm.ilk+2, COLUMNS(_xlpm.aralık)),
  MAX(INDEX(_xlpm.aralık, _xlpm.ilk):INDEX(_xlpm.aralık, _xlpm.son))
)</f>
        <v>2784.4920648459615</v>
      </c>
      <c r="E36" s="6">
        <f t="shared" si="0"/>
        <v>3076.7445712532804</v>
      </c>
      <c r="F36" s="6">
        <f t="shared" si="1"/>
        <v>5437.7300495984982</v>
      </c>
      <c r="G36" s="6">
        <f t="shared" si="8"/>
        <v>5766.1869408108978</v>
      </c>
      <c r="H36" s="7">
        <f t="shared" si="2"/>
        <v>0.10495720569542592</v>
      </c>
      <c r="I36" s="7">
        <f t="shared" si="3"/>
        <v>0.9528624693348926</v>
      </c>
      <c r="J36" s="7">
        <f t="shared" si="4"/>
        <v>0.76736479862658691</v>
      </c>
      <c r="K36" s="7">
        <f t="shared" si="9"/>
        <v>1.0708218254986781</v>
      </c>
      <c r="L36" s="5" t="s">
        <v>416</v>
      </c>
      <c r="M36" s="7">
        <f>IF(R36="",(VLOOKUP(A36,[1]Export!$B$2:$H$680,7,0)),"CHURN")</f>
        <v>0.15556103623053355</v>
      </c>
      <c r="N36" s="5">
        <f t="shared" si="10"/>
        <v>4869.1929251993843</v>
      </c>
      <c r="O36" s="5">
        <f t="shared" si="11"/>
        <v>2598.1229975324513</v>
      </c>
      <c r="P36" s="5">
        <f t="shared" si="12"/>
        <v>4591.8311283410458</v>
      </c>
      <c r="Q36" s="5" t="s">
        <v>430</v>
      </c>
      <c r="T36" s="6" t="str" cm="1">
        <f t="array" ref="T36">IF(R36&lt;&gt;"Churn","",
 _xlfn.LET(
   _xlpm.rng,Y36:BF36,
   _xlpm.pos,MAX(IF((_xlpm.rng&lt;&gt;0)*(_xlpm.rng&lt;&gt;""),COLUMN(_xlpm.rng)-COLUMN(Y36)+1)),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" s="6" t="str" cm="1">
        <f t="array" ref="U36">IF(R36="Churn",
   MAX(IF((Y36:BF36&lt;&gt;"")*(Y36:BF36&lt;&gt;0), COLUMN(Y36:BF36)-COLUMN(Y36)+1))
   -MATCH(1, --((Y36:BF36&lt;&gt;"")*(Y36:BF36&lt;&gt;0)), 0)
   +1,
"")</f>
        <v/>
      </c>
      <c r="V36" s="6" t="str" cm="1">
        <f t="array" ref="V36">IFERROR(
    IF(
        MATCH(2,1/((Y36:BF36&lt;&gt;0)*(Y36:BF36&lt;&gt;"")))-MATCH(1,INDEX((Y36:BF36&lt;&gt;0)*(Y36:BF36&lt;&gt;""),0),0)+1 &lt;= 12,
        "No",
        "Yes"
    ),
    "No"
)</f>
        <v>Yes</v>
      </c>
      <c r="W36" s="6" t="str" cm="1">
        <f t="array" ref="W36">IFERROR(
    IF(
        MATCH(2,1/((Y36:BF36&lt;&gt;0)*(Y36:BF36&lt;&gt;"")))-MATCH(1,INDEX((Y36:BF36&lt;&gt;0)*(Y36:BF36&lt;&gt;""),0),0)+1 &lt;= 24,
        "No",
        "Yes"
    ),
    "No"
)</f>
        <v>Yes</v>
      </c>
      <c r="Y36" s="8">
        <v>2784.4920648459615</v>
      </c>
      <c r="Z36" s="8">
        <v>2780.4635911112055</v>
      </c>
      <c r="AA36" s="8">
        <v>2771.9696410397032</v>
      </c>
      <c r="AB36" s="8">
        <v>2751.5921133734932</v>
      </c>
      <c r="AC36" s="8">
        <v>2730.2326822228542</v>
      </c>
      <c r="AD36" s="8">
        <v>2927.9130697241121</v>
      </c>
      <c r="AE36" s="8">
        <v>2788.6711870812833</v>
      </c>
      <c r="AF36" s="8">
        <v>2766.8256043070041</v>
      </c>
      <c r="AG36" s="8">
        <v>2906.8321879930063</v>
      </c>
      <c r="AH36" s="8">
        <v>2867.6009193399204</v>
      </c>
      <c r="AI36" s="8">
        <v>2833.6406299570726</v>
      </c>
      <c r="AJ36" s="8">
        <v>2880.3865764087163</v>
      </c>
      <c r="AK36" s="8">
        <v>3076.7445712532804</v>
      </c>
      <c r="AL36" s="8">
        <v>3043.5949388523659</v>
      </c>
      <c r="AM36" s="8">
        <v>2989.6280793403139</v>
      </c>
      <c r="AN36" s="8">
        <v>2976.1261678138171</v>
      </c>
      <c r="AO36" s="8">
        <v>2978.0772901141572</v>
      </c>
      <c r="AP36" s="8">
        <v>2966.6970487935596</v>
      </c>
      <c r="AQ36" s="8">
        <v>3752.7984724746484</v>
      </c>
      <c r="AR36" s="8">
        <v>5107.0703305697134</v>
      </c>
      <c r="AS36" s="8">
        <v>5082.7632571175109</v>
      </c>
      <c r="AT36" s="8">
        <v>5069.7851563481054</v>
      </c>
      <c r="AU36" s="8">
        <v>5058.2878207327858</v>
      </c>
      <c r="AV36" s="8">
        <v>5026.0347801728458</v>
      </c>
      <c r="AW36" s="8">
        <v>5437.7300495984982</v>
      </c>
      <c r="AX36" s="8">
        <v>5394.4750494813943</v>
      </c>
      <c r="AY36" s="8">
        <v>5401.4862130121292</v>
      </c>
      <c r="AZ36" s="8">
        <v>5348.9038059752711</v>
      </c>
      <c r="BA36" s="8">
        <v>5309.2575457186713</v>
      </c>
      <c r="BB36" s="8">
        <v>5269.7788875854712</v>
      </c>
      <c r="BC36" s="8">
        <v>5879.1375420862278</v>
      </c>
      <c r="BD36" s="8">
        <v>5834.5504387744713</v>
      </c>
      <c r="BE36" s="8">
        <v>5800.0460492605771</v>
      </c>
      <c r="BF36" s="8">
        <v>5766.1869408108978</v>
      </c>
      <c r="BH36" s="8">
        <f t="shared" si="5"/>
        <v>33790.620267404338</v>
      </c>
      <c r="BI36" s="8">
        <f t="shared" si="6"/>
        <v>47127.60791358311</v>
      </c>
      <c r="BJ36" s="8">
        <f t="shared" si="7"/>
        <v>55441.552522303617</v>
      </c>
    </row>
    <row r="37" spans="1:62" x14ac:dyDescent="0.25">
      <c r="A37" s="9" t="s">
        <v>16</v>
      </c>
      <c r="B37" s="9" t="s">
        <v>644</v>
      </c>
      <c r="C37" s="10">
        <v>44927</v>
      </c>
      <c r="D37" s="6" cm="1">
        <f t="array" ref="D37">_xlfn.LET(
  _xlpm.aralık, Y37:BF37,
  _xlpm.ilk, MATCH(TRUE, _xlpm.aralık&lt;&gt;0, 0),
  _xlpm.son, MIN(_xlpm.ilk+2, COLUMNS(_xlpm.aralık)),
  MAX(INDEX(_xlpm.aralık, _xlpm.ilk):INDEX(_xlpm.aralık, _xlpm.son))
)</f>
        <v>3942</v>
      </c>
      <c r="E37" s="6">
        <f t="shared" si="0"/>
        <v>3983.0000019999998</v>
      </c>
      <c r="F37" s="6">
        <f t="shared" si="1"/>
        <v>5036.9735136666659</v>
      </c>
      <c r="G37" s="6">
        <f t="shared" si="8"/>
        <v>5738.6218469999994</v>
      </c>
      <c r="H37" s="7">
        <f t="shared" si="2"/>
        <v>1.0400812278031397E-2</v>
      </c>
      <c r="I37" s="7">
        <f t="shared" si="3"/>
        <v>0.27777105876881431</v>
      </c>
      <c r="J37" s="7">
        <f t="shared" si="4"/>
        <v>0.26461800430264376</v>
      </c>
      <c r="K37" s="7">
        <f t="shared" si="9"/>
        <v>0.45576404033485524</v>
      </c>
      <c r="L37" s="5" t="s">
        <v>420</v>
      </c>
      <c r="M37" s="7">
        <f>IF(R37="",(VLOOKUP(A37,[1]Export!$B$2:$H$680,7,0)),"CHURN")</f>
        <v>0.43357002226949498</v>
      </c>
      <c r="N37" s="5">
        <f t="shared" si="10"/>
        <v>3250.5274449999997</v>
      </c>
      <c r="O37" s="5">
        <f t="shared" si="11"/>
        <v>2256.0906024334618</v>
      </c>
      <c r="P37" s="5">
        <f t="shared" si="12"/>
        <v>2853.0927951753533</v>
      </c>
      <c r="Q37" s="5" t="str">
        <f>VLOOKUP(A37,[4]Sheet2!$A$1:$B$142,2,0)</f>
        <v>NO RISK</v>
      </c>
      <c r="T37" s="6" t="str" cm="1">
        <f t="array" ref="T37">IF(R37&lt;&gt;"Churn","",
 _xlfn.LET(
   _xlpm.rng,Y37:BF37,
   _xlpm.pos,MAX(IF((_xlpm.rng&lt;&gt;0)*(_xlpm.rng&lt;&gt;""),COLUMN(_xlpm.rng)-COLUMN(Y37)+1)),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" s="6" t="str" cm="1">
        <f t="array" ref="U37">IF(R37="Churn",
   MAX(IF((Y37:BF37&lt;&gt;"")*(Y37:BF37&lt;&gt;0), COLUMN(Y37:BF37)-COLUMN(Y37)+1))
   -MATCH(1, --((Y37:BF37&lt;&gt;"")*(Y37:BF37&lt;&gt;0)), 0)
   +1,
"")</f>
        <v/>
      </c>
      <c r="V37" s="6" t="str" cm="1">
        <f t="array" ref="V37">IFERROR(
    IF(
        MATCH(2,1/((Y37:BF37&lt;&gt;0)*(Y37:BF37&lt;&gt;"")))-MATCH(1,INDEX((Y37:BF37&lt;&gt;0)*(Y37:BF37&lt;&gt;""),0),0)+1 &lt;= 12,
        "No",
        "Yes"
    ),
    "No"
)</f>
        <v>Yes</v>
      </c>
      <c r="W37" s="6" t="str" cm="1">
        <f t="array" ref="W37">IFERROR(
    IF(
        MATCH(2,1/((Y37:BF37&lt;&gt;0)*(Y37:BF37&lt;&gt;"")))-MATCH(1,INDEX((Y37:BF37&lt;&gt;0)*(Y37:BF37&lt;&gt;""),0),0)+1 &lt;= 24,
        "No",
        "Yes"
    ),
    "No"
)</f>
        <v>Yes</v>
      </c>
      <c r="Y37" s="8">
        <v>3790</v>
      </c>
      <c r="Z37" s="8">
        <v>3790</v>
      </c>
      <c r="AA37" s="8">
        <v>3942</v>
      </c>
      <c r="AB37" s="8">
        <v>3960</v>
      </c>
      <c r="AC37" s="8">
        <v>3960.0005019999999</v>
      </c>
      <c r="AD37" s="8">
        <v>3960.0005019999999</v>
      </c>
      <c r="AE37" s="8">
        <v>3960.0005019999999</v>
      </c>
      <c r="AF37" s="8">
        <v>3960.0005019999999</v>
      </c>
      <c r="AG37" s="8">
        <v>3983.0000019999998</v>
      </c>
      <c r="AH37" s="8">
        <v>3983.0000019999998</v>
      </c>
      <c r="AI37" s="8">
        <v>3983.0000019999998</v>
      </c>
      <c r="AJ37" s="8">
        <v>3983.0000019999998</v>
      </c>
      <c r="AK37" s="8">
        <v>3983.0000019999998</v>
      </c>
      <c r="AL37" s="8">
        <v>3983.0000019999998</v>
      </c>
      <c r="AM37" s="8">
        <v>3990.000004</v>
      </c>
      <c r="AN37" s="8">
        <v>3990.000004</v>
      </c>
      <c r="AO37" s="8">
        <v>3991.9916706666668</v>
      </c>
      <c r="AP37" s="8">
        <v>3991.9916706666668</v>
      </c>
      <c r="AQ37" s="8">
        <v>4086.9916706666668</v>
      </c>
      <c r="AR37" s="8">
        <v>4086.9916706666668</v>
      </c>
      <c r="AS37" s="8">
        <v>4086.9916706666668</v>
      </c>
      <c r="AT37" s="8">
        <v>4190.9876706666673</v>
      </c>
      <c r="AU37" s="8">
        <v>4190.9876706666673</v>
      </c>
      <c r="AV37" s="8">
        <v>4190.9876706666673</v>
      </c>
      <c r="AW37" s="8">
        <v>5036.9735136666659</v>
      </c>
      <c r="AX37" s="8">
        <v>5036.9735136666659</v>
      </c>
      <c r="AY37" s="8">
        <v>5738.6135136666662</v>
      </c>
      <c r="AZ37" s="8">
        <v>5740.6135136666662</v>
      </c>
      <c r="BA37" s="8">
        <v>5738.6218469999994</v>
      </c>
      <c r="BB37" s="8">
        <v>5738.6218469999994</v>
      </c>
      <c r="BC37" s="8">
        <v>5738.6218469999994</v>
      </c>
      <c r="BD37" s="8">
        <v>5738.6218469999994</v>
      </c>
      <c r="BE37" s="8">
        <v>5738.6218469999994</v>
      </c>
      <c r="BF37" s="8">
        <v>5738.6218469999994</v>
      </c>
      <c r="BH37" s="8">
        <f t="shared" si="5"/>
        <v>47254.002015999999</v>
      </c>
      <c r="BI37" s="8">
        <f t="shared" si="6"/>
        <v>48763.921377333339</v>
      </c>
      <c r="BJ37" s="8">
        <f t="shared" si="7"/>
        <v>55984.905136666675</v>
      </c>
    </row>
    <row r="38" spans="1:62" x14ac:dyDescent="0.25">
      <c r="A38" s="9" t="s">
        <v>433</v>
      </c>
      <c r="B38" s="9" t="s">
        <v>644</v>
      </c>
      <c r="C38" s="10">
        <f>VLOOKUP(A38,'[2]Revenue_Engine_2025 Oct.25'!$C$14:G$3937,5,0)</f>
        <v>45381</v>
      </c>
      <c r="D38" s="6" cm="1">
        <f t="array" ref="D38">_xlfn.LET(
  _xlpm.aralık, Y38:BF38,
  _xlpm.ilk, MATCH(TRUE, _xlpm.aralık&lt;&gt;0, 0),
  _xlpm.son, MIN(_xlpm.ilk+2, COLUMNS(_xlpm.aralık)),
  MAX(INDEX(_xlpm.aralık, _xlpm.ilk):INDEX(_xlpm.aralık, _xlpm.son))
)</f>
        <v>1550.0050820000004</v>
      </c>
      <c r="E38" s="6">
        <f t="shared" si="0"/>
        <v>7842.4998529999993</v>
      </c>
      <c r="F38" s="6">
        <f t="shared" si="1"/>
        <v>0</v>
      </c>
      <c r="G38" s="6">
        <f t="shared" si="8"/>
        <v>5672.510502000001</v>
      </c>
      <c r="H38" s="7">
        <f t="shared" si="2"/>
        <v>4.05966073535751</v>
      </c>
      <c r="I38" s="7">
        <f t="shared" si="3"/>
        <v>-1</v>
      </c>
      <c r="J38" s="7">
        <f t="shared" si="4"/>
        <v>-1</v>
      </c>
      <c r="K38" s="7">
        <f t="shared" si="9"/>
        <v>2.6596721958360647</v>
      </c>
      <c r="L38" s="5" t="s">
        <v>419</v>
      </c>
      <c r="M38" s="7">
        <f>IF(R38="",(VLOOKUP(A38,[1]Export!$B$2:$H$680,7,0)),"CHURN")</f>
        <v>9.4845894224441063E-2</v>
      </c>
      <c r="N38" s="5">
        <f t="shared" si="10"/>
        <v>5134.4961709402778</v>
      </c>
      <c r="O38" s="5">
        <f t="shared" si="11"/>
        <v>7098.6709414871675</v>
      </c>
      <c r="P38" s="5">
        <f t="shared" si="12"/>
        <v>0</v>
      </c>
      <c r="Q38" s="5" t="str">
        <f>VLOOKUP(A38,[4]Sheet2!$A$1:$B$142,2,0)</f>
        <v>NO RISK</v>
      </c>
      <c r="T38" s="6" t="str" cm="1">
        <f t="array" ref="T38">IF(R38&lt;&gt;"Churn","",
 _xlfn.LET(
   _xlpm.rng,Y38:BF38,
   _xlpm.pos,MAX(IF((_xlpm.rng&lt;&gt;0)*(_xlpm.rng&lt;&gt;""),COLUMN(_xlpm.rng)-COLUMN(Y38)+1)),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" s="6" t="str" cm="1">
        <f t="array" ref="U38">IF(R38="Churn",
   MAX(IF((Y38:BF38&lt;&gt;"")*(Y38:BF38&lt;&gt;0), COLUMN(Y38:BF38)-COLUMN(Y38)+1))
   -MATCH(1, --((Y38:BF38&lt;&gt;"")*(Y38:BF38&lt;&gt;0)), 0)
   +1,
"")</f>
        <v/>
      </c>
      <c r="V38" s="6" t="str" cm="1">
        <f t="array" ref="V38">IFERROR(
    IF(
        MATCH(2,1/((Y38:BF38&lt;&gt;0)*(Y38:BF38&lt;&gt;"")))-MATCH(1,INDEX((Y38:BF38&lt;&gt;0)*(Y38:BF38&lt;&gt;""),0),0)+1 &lt;= 12,
        "No",
        "Yes"
    ),
    "No"
)</f>
        <v>Yes</v>
      </c>
      <c r="W38" s="6" t="str" cm="1">
        <f t="array" ref="W38">IFERROR(
    IF(
        MATCH(2,1/((Y38:BF38&lt;&gt;0)*(Y38:BF38&lt;&gt;"")))-MATCH(1,INDEX((Y38:BF38&lt;&gt;0)*(Y38:BF38&lt;&gt;""),0),0)+1 &lt;= 24,
        "No",
        "Yes"
    ),
    "No"
)</f>
        <v>No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1100.001718</v>
      </c>
      <c r="AN38" s="8">
        <v>1550.0050820000004</v>
      </c>
      <c r="AO38" s="8">
        <v>1550.0050820000004</v>
      </c>
      <c r="AP38" s="8">
        <v>1550.0050820000004</v>
      </c>
      <c r="AQ38" s="8">
        <v>1550.0050820000004</v>
      </c>
      <c r="AR38" s="8">
        <v>3606.2304640000002</v>
      </c>
      <c r="AS38" s="8">
        <v>6098.5733740000005</v>
      </c>
      <c r="AT38" s="8">
        <v>6380.0973460000005</v>
      </c>
      <c r="AU38" s="8">
        <v>6717.3773460000002</v>
      </c>
      <c r="AV38" s="8">
        <v>6902.2719060000009</v>
      </c>
      <c r="AW38" s="8">
        <v>6955.6719060000005</v>
      </c>
      <c r="AX38" s="8">
        <v>7699.9998529999993</v>
      </c>
      <c r="AY38" s="8">
        <v>7842.4998529999993</v>
      </c>
      <c r="AZ38" s="8">
        <v>6742.5067689999996</v>
      </c>
      <c r="BA38" s="8">
        <v>6742.5067689999996</v>
      </c>
      <c r="BB38" s="8">
        <v>5642.5067690000005</v>
      </c>
      <c r="BC38" s="8">
        <v>5672.5067690000005</v>
      </c>
      <c r="BD38" s="8">
        <v>5672.5067690000005</v>
      </c>
      <c r="BE38" s="8">
        <v>5672.491038000001</v>
      </c>
      <c r="BF38" s="8">
        <v>5672.510502000001</v>
      </c>
      <c r="BH38" s="8">
        <f t="shared" si="5"/>
        <v>0</v>
      </c>
      <c r="BI38" s="8">
        <f t="shared" si="6"/>
        <v>37004.572482000003</v>
      </c>
      <c r="BJ38" s="8">
        <f t="shared" si="7"/>
        <v>64315.706997000001</v>
      </c>
    </row>
    <row r="39" spans="1:62" x14ac:dyDescent="0.25">
      <c r="A39" s="9" t="s">
        <v>387</v>
      </c>
      <c r="B39" s="9" t="s">
        <v>643</v>
      </c>
      <c r="C39" s="10">
        <v>44927</v>
      </c>
      <c r="D39" s="6" cm="1">
        <f t="array" ref="D39">_xlfn.LET(
  _xlpm.aralık, Y39:BF39,
  _xlpm.ilk, MATCH(TRUE, _xlpm.aralık&lt;&gt;0, 0),
  _xlpm.son, MIN(_xlpm.ilk+2, COLUMNS(_xlpm.aralık)),
  MAX(INDEX(_xlpm.aralık, _xlpm.ilk):INDEX(_xlpm.aralık, _xlpm.son))
)</f>
        <v>3380.0049543587284</v>
      </c>
      <c r="E39" s="6">
        <f t="shared" si="0"/>
        <v>4655.4968044916686</v>
      </c>
      <c r="F39" s="6">
        <f t="shared" si="1"/>
        <v>5430.0967439817996</v>
      </c>
      <c r="G39" s="6">
        <f t="shared" si="8"/>
        <v>5319.2916106575876</v>
      </c>
      <c r="H39" s="7">
        <f t="shared" si="2"/>
        <v>0.37736389956710376</v>
      </c>
      <c r="I39" s="7">
        <f t="shared" si="3"/>
        <v>0.60653514338177206</v>
      </c>
      <c r="J39" s="7">
        <f t="shared" si="4"/>
        <v>0.16638394827009426</v>
      </c>
      <c r="K39" s="7">
        <f t="shared" si="9"/>
        <v>0.5737526076102426</v>
      </c>
      <c r="L39" s="5" t="s">
        <v>416</v>
      </c>
      <c r="M39" s="7">
        <f>IF(R39="",(VLOOKUP(A39,[1]Export!$B$2:$H$680,7,0)),"CHURN")</f>
        <v>0.16918878695618728</v>
      </c>
      <c r="N39" s="5">
        <f t="shared" si="10"/>
        <v>4419.3271155842067</v>
      </c>
      <c r="O39" s="5">
        <f t="shared" si="11"/>
        <v>3867.8389474613173</v>
      </c>
      <c r="P39" s="5">
        <f t="shared" si="12"/>
        <v>4511.385262812777</v>
      </c>
      <c r="Q39" s="5" t="s">
        <v>430</v>
      </c>
      <c r="T39" s="6" t="str" cm="1">
        <f t="array" ref="T39">IF(R39&lt;&gt;"Churn","",
 _xlfn.LET(
   _xlpm.rng,Y39:BF39,
   _xlpm.pos,MAX(IF((_xlpm.rng&lt;&gt;0)*(_xlpm.rng&lt;&gt;""),COLUMN(_xlpm.rng)-COLUMN(Y39)+1)),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" s="6" t="str" cm="1">
        <f t="array" ref="U39">IF(R39="Churn",
   MAX(IF((Y39:BF39&lt;&gt;"")*(Y39:BF39&lt;&gt;0), COLUMN(Y39:BF39)-COLUMN(Y39)+1))
   -MATCH(1, --((Y39:BF39&lt;&gt;"")*(Y39:BF39&lt;&gt;0)), 0)
   +1,
"")</f>
        <v/>
      </c>
      <c r="V39" s="6" t="str" cm="1">
        <f t="array" ref="V39">IFERROR(
    IF(
        MATCH(2,1/((Y39:BF39&lt;&gt;0)*(Y39:BF39&lt;&gt;"")))-MATCH(1,INDEX((Y39:BF39&lt;&gt;0)*(Y39:BF39&lt;&gt;""),0),0)+1 &lt;= 12,
        "No",
        "Yes"
    ),
    "No"
)</f>
        <v>Yes</v>
      </c>
      <c r="W39" s="6" t="str" cm="1">
        <f t="array" ref="W39">IFERROR(
    IF(
        MATCH(2,1/((Y39:BF39&lt;&gt;0)*(Y39:BF39&lt;&gt;"")))-MATCH(1,INDEX((Y39:BF39&lt;&gt;0)*(Y39:BF39&lt;&gt;""),0),0)+1 &lt;= 24,
        "No",
        "Yes"
    ),
    "No"
)</f>
        <v>Yes</v>
      </c>
      <c r="Y39" s="8">
        <v>2736.4230116801627</v>
      </c>
      <c r="Z39" s="8">
        <v>3361.9538891928792</v>
      </c>
      <c r="AA39" s="8">
        <v>3380.0049543587284</v>
      </c>
      <c r="AB39" s="8">
        <v>3372.9782529873978</v>
      </c>
      <c r="AC39" s="8">
        <v>3365.6130533761534</v>
      </c>
      <c r="AD39" s="8">
        <v>3304.9952131841642</v>
      </c>
      <c r="AE39" s="8">
        <v>3516.2227968278403</v>
      </c>
      <c r="AF39" s="8">
        <v>3508.7360660083455</v>
      </c>
      <c r="AG39" s="8">
        <v>3768.9231529092594</v>
      </c>
      <c r="AH39" s="8">
        <v>3766.1681402261993</v>
      </c>
      <c r="AI39" s="8">
        <v>4560.1685742174523</v>
      </c>
      <c r="AJ39" s="8">
        <v>4554.4726377891739</v>
      </c>
      <c r="AK39" s="8">
        <v>4655.4968044916686</v>
      </c>
      <c r="AL39" s="8">
        <v>4647.4915542186191</v>
      </c>
      <c r="AM39" s="8">
        <v>4634.4591859673037</v>
      </c>
      <c r="AN39" s="8">
        <v>4631.1986315325821</v>
      </c>
      <c r="AO39" s="8">
        <v>4816.6898048517514</v>
      </c>
      <c r="AP39" s="8">
        <v>4696.6416090697494</v>
      </c>
      <c r="AQ39" s="8">
        <v>4895.4720413221303</v>
      </c>
      <c r="AR39" s="8">
        <v>4138.5571179136741</v>
      </c>
      <c r="AS39" s="8">
        <v>4132.8252353400585</v>
      </c>
      <c r="AT39" s="8">
        <v>4248.0948525348213</v>
      </c>
      <c r="AU39" s="8">
        <v>4245.383650884567</v>
      </c>
      <c r="AV39" s="8">
        <v>5441.3778309593044</v>
      </c>
      <c r="AW39" s="8">
        <v>5430.0967439817996</v>
      </c>
      <c r="AX39" s="8">
        <v>5417.1376328903725</v>
      </c>
      <c r="AY39" s="8">
        <v>5399.1202610896917</v>
      </c>
      <c r="AZ39" s="8">
        <v>5380.3099822446657</v>
      </c>
      <c r="BA39" s="8">
        <v>5368.8205496009923</v>
      </c>
      <c r="BB39" s="8">
        <v>5357.3796878261783</v>
      </c>
      <c r="BC39" s="8">
        <v>5344.6379472259641</v>
      </c>
      <c r="BD39" s="8">
        <v>5334.6325137498379</v>
      </c>
      <c r="BE39" s="8">
        <v>5326.8896610351931</v>
      </c>
      <c r="BF39" s="8">
        <v>5319.2916106575876</v>
      </c>
      <c r="BH39" s="8">
        <f t="shared" si="5"/>
        <v>43196.659742757751</v>
      </c>
      <c r="BI39" s="8">
        <f t="shared" si="6"/>
        <v>55183.688319086228</v>
      </c>
      <c r="BJ39" s="8">
        <f t="shared" si="7"/>
        <v>53678.316590302282</v>
      </c>
    </row>
    <row r="40" spans="1:62" x14ac:dyDescent="0.25">
      <c r="A40" s="9" t="s">
        <v>434</v>
      </c>
      <c r="B40" s="9" t="s">
        <v>643</v>
      </c>
      <c r="C40" s="10">
        <f>VLOOKUP(A40,'[2]Revenue_Engine_2025 Oct.25'!$C$14:G$3937,5,0)</f>
        <v>45481</v>
      </c>
      <c r="D40" s="6" cm="1">
        <f t="array" ref="D40">_xlfn.LET(
  _xlpm.aralık, Y40:BF40,
  _xlpm.ilk, MATCH(TRUE, _xlpm.aralık&lt;&gt;0, 0),
  _xlpm.son, MIN(_xlpm.ilk+2, COLUMNS(_xlpm.aralık)),
  MAX(INDEX(_xlpm.aralık, _xlpm.ilk):INDEX(_xlpm.aralık, _xlpm.son))
)</f>
        <v>4870.9354327065048</v>
      </c>
      <c r="E40" s="6">
        <f t="shared" si="0"/>
        <v>5179.2590228039026</v>
      </c>
      <c r="F40" s="6">
        <f t="shared" si="1"/>
        <v>0</v>
      </c>
      <c r="G40" s="6">
        <f t="shared" si="8"/>
        <v>4977.1966361743071</v>
      </c>
      <c r="H40" s="7">
        <f t="shared" si="2"/>
        <v>6.3298640344751952E-2</v>
      </c>
      <c r="I40" s="7">
        <f t="shared" si="3"/>
        <v>-1</v>
      </c>
      <c r="J40" s="7">
        <f t="shared" si="4"/>
        <v>-1</v>
      </c>
      <c r="K40" s="7">
        <f t="shared" si="9"/>
        <v>2.1815358658687636E-2</v>
      </c>
      <c r="L40" s="5" t="s">
        <v>419</v>
      </c>
      <c r="M40" s="7">
        <f>IF(R40="",(VLOOKUP(A40,[1]Export!$B$2:$H$680,7,0)),"CHURN")</f>
        <v>0</v>
      </c>
      <c r="N40" s="5">
        <f t="shared" si="10"/>
        <v>4977.1966361743071</v>
      </c>
      <c r="O40" s="5">
        <f t="shared" si="11"/>
        <v>5179.2590228039026</v>
      </c>
      <c r="P40" s="5">
        <f t="shared" si="12"/>
        <v>0</v>
      </c>
      <c r="Q40" s="5" t="str">
        <f>VLOOKUP(A40,[4]Sheet2!$A$1:$B$142,2,0)</f>
        <v xml:space="preserve">HIGH RISK </v>
      </c>
      <c r="T40" s="6" t="str" cm="1">
        <f t="array" ref="T40">IF(R40&lt;&gt;"Churn","",
 _xlfn.LET(
   _xlpm.rng,Y40:BF40,
   _xlpm.pos,MAX(IF((_xlpm.rng&lt;&gt;0)*(_xlpm.rng&lt;&gt;""),COLUMN(_xlpm.rng)-COLUMN(Y40)+1)),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" s="6" t="str" cm="1">
        <f t="array" ref="U40">IF(R40="Churn",
   MAX(IF((Y40:BF40&lt;&gt;"")*(Y40:BF40&lt;&gt;0), COLUMN(Y40:BF40)-COLUMN(Y40)+1))
   -MATCH(1, --((Y40:BF40&lt;&gt;"")*(Y40:BF40&lt;&gt;0)), 0)
   +1,
"")</f>
        <v/>
      </c>
      <c r="V40" s="6" t="str" cm="1">
        <f t="array" ref="V40">IFERROR(
    IF(
        MATCH(2,1/((Y40:BF40&lt;&gt;0)*(Y40:BF40&lt;&gt;"")))-MATCH(1,INDEX((Y40:BF40&lt;&gt;0)*(Y40:BF40&lt;&gt;""),0),0)+1 &lt;= 12,
        "No",
        "Yes"
    ),
    "No"
)</f>
        <v>Yes</v>
      </c>
      <c r="W40" s="6" t="str" cm="1">
        <f t="array" ref="W40">IFERROR(
    IF(
        MATCH(2,1/((Y40:BF40&lt;&gt;0)*(Y40:BF40&lt;&gt;"")))-MATCH(1,INDEX((Y40:BF40&lt;&gt;0)*(Y40:BF40&lt;&gt;""),0),0)+1 &lt;= 24,
        "No",
        "Yes"
    ),
    "No"
)</f>
        <v>No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4870.9354327065048</v>
      </c>
      <c r="AR40" s="8">
        <v>4766.0750775976603</v>
      </c>
      <c r="AS40" s="8">
        <v>4711.508448323586</v>
      </c>
      <c r="AT40" s="8">
        <v>4682.3740807182767</v>
      </c>
      <c r="AU40" s="8">
        <v>4656.5638633182089</v>
      </c>
      <c r="AV40" s="8">
        <v>4584.159437065221</v>
      </c>
      <c r="AW40" s="8">
        <v>4515.0548861359603</v>
      </c>
      <c r="AX40" s="8">
        <v>4435.462632613403</v>
      </c>
      <c r="AY40" s="8">
        <v>4324.8035593133291</v>
      </c>
      <c r="AZ40" s="8">
        <v>4209.2746104447888</v>
      </c>
      <c r="BA40" s="8">
        <v>4138.7088263139112</v>
      </c>
      <c r="BB40" s="8">
        <v>4068.4413546892597</v>
      </c>
      <c r="BC40" s="8">
        <v>5179.2590228039026</v>
      </c>
      <c r="BD40" s="8">
        <v>5099.49515783684</v>
      </c>
      <c r="BE40" s="8">
        <v>5037.7687109153267</v>
      </c>
      <c r="BF40" s="8">
        <v>4977.1966361743071</v>
      </c>
      <c r="BH40" s="8">
        <f t="shared" si="5"/>
        <v>0</v>
      </c>
      <c r="BI40" s="8">
        <f t="shared" si="6"/>
        <v>28271.616339729455</v>
      </c>
      <c r="BJ40" s="8">
        <f t="shared" si="7"/>
        <v>45985.465397241031</v>
      </c>
    </row>
    <row r="41" spans="1:62" x14ac:dyDescent="0.25">
      <c r="A41" s="9" t="s">
        <v>435</v>
      </c>
      <c r="B41" s="9" t="s">
        <v>643</v>
      </c>
      <c r="C41" s="10">
        <f>VLOOKUP(A41,'[2]Revenue_Engine_2025 Oct.25'!$C$14:G$3937,5,0)</f>
        <v>45657</v>
      </c>
      <c r="D41" s="6" cm="1">
        <f t="array" ref="D41">_xlfn.LET(
  _xlpm.aralık, Y41:BF41,
  _xlpm.ilk, MATCH(TRUE, _xlpm.aralık&lt;&gt;0, 0),
  _xlpm.son, MIN(_xlpm.ilk+2, COLUMNS(_xlpm.aralık)),
  MAX(INDEX(_xlpm.aralık, _xlpm.ilk):INDEX(_xlpm.aralık, _xlpm.son))
)</f>
        <v>5644.6931173632083</v>
      </c>
      <c r="E41" s="6">
        <f t="shared" si="0"/>
        <v>0</v>
      </c>
      <c r="F41" s="6">
        <f t="shared" si="1"/>
        <v>0</v>
      </c>
      <c r="G41" s="6">
        <f t="shared" si="8"/>
        <v>4808.9933686907298</v>
      </c>
      <c r="H41" s="7">
        <f t="shared" si="2"/>
        <v>-1</v>
      </c>
      <c r="I41" s="7">
        <f t="shared" si="3"/>
        <v>-1</v>
      </c>
      <c r="J41" s="7" t="e">
        <f t="shared" si="4"/>
        <v>#DIV/0!</v>
      </c>
      <c r="K41" s="7">
        <f t="shared" si="9"/>
        <v>-0.14805051954053031</v>
      </c>
      <c r="L41" s="5" t="s">
        <v>418</v>
      </c>
      <c r="M41" s="7">
        <f>IF(R41="",(VLOOKUP(A41,[1]Export!$B$2:$H$680,7,0)),"CHURN")</f>
        <v>0.42459564988799542</v>
      </c>
      <c r="N41" s="5">
        <f t="shared" si="10"/>
        <v>2767.1157040044286</v>
      </c>
      <c r="O41" s="5">
        <f t="shared" si="11"/>
        <v>0</v>
      </c>
      <c r="P41" s="5">
        <f t="shared" si="12"/>
        <v>0</v>
      </c>
      <c r="Q41" s="5" t="s">
        <v>430</v>
      </c>
      <c r="T41" s="6" t="str" cm="1">
        <f t="array" ref="T41">IF(R41&lt;&gt;"Churn","",
 _xlfn.LET(
   _xlpm.rng,Y41:BF41,
   _xlpm.pos,MAX(IF((_xlpm.rng&lt;&gt;0)*(_xlpm.rng&lt;&gt;""),COLUMN(_xlpm.rng)-COLUMN(Y41)+1)),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" s="6" t="str" cm="1">
        <f t="array" ref="U41">IF(R41="Churn",
   MAX(IF((Y41:BF41&lt;&gt;"")*(Y41:BF41&lt;&gt;0), COLUMN(Y41:BF41)-COLUMN(Y41)+1))
   -MATCH(1, --((Y41:BF41&lt;&gt;"")*(Y41:BF41&lt;&gt;0)), 0)
   +1,
"")</f>
        <v/>
      </c>
      <c r="V41" s="6" t="str" cm="1">
        <f t="array" ref="V41">IFERROR(
    IF(
        MATCH(2,1/((Y41:BF41&lt;&gt;0)*(Y41:BF41&lt;&gt;"")))-MATCH(1,INDEX((Y41:BF41&lt;&gt;0)*(Y41:BF41&lt;&gt;""),0),0)+1 &lt;= 12,
        "No",
        "Yes"
    ),
    "No"
)</f>
        <v>No</v>
      </c>
      <c r="W41" s="6" t="str" cm="1">
        <f t="array" ref="W41">IFERROR(
    IF(
        MATCH(2,1/((Y41:BF41&lt;&gt;0)*(Y41:BF41&lt;&gt;"")))-MATCH(1,INDEX((Y41:BF41&lt;&gt;0)*(Y41:BF41&lt;&gt;""),0),0)+1 &lt;= 24,
        "No",
        "Yes"
    ),
    "No"
)</f>
        <v>No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4298.7668611114295</v>
      </c>
      <c r="AW41" s="8">
        <v>5644.6931173632083</v>
      </c>
      <c r="AX41" s="8">
        <v>5562.6661565884642</v>
      </c>
      <c r="AY41" s="8">
        <v>5423.8848088571976</v>
      </c>
      <c r="AZ41" s="8">
        <v>5278.9959827735438</v>
      </c>
      <c r="BA41" s="8">
        <v>5342.6592238886278</v>
      </c>
      <c r="BB41" s="8">
        <v>5102.3721555873681</v>
      </c>
      <c r="BC41" s="8">
        <v>5004.2271013307263</v>
      </c>
      <c r="BD41" s="8">
        <v>4927.1588386665881</v>
      </c>
      <c r="BE41" s="8">
        <v>4867.5184234656008</v>
      </c>
      <c r="BF41" s="8">
        <v>4808.9933686907298</v>
      </c>
      <c r="BH41" s="8">
        <f t="shared" si="5"/>
        <v>0</v>
      </c>
      <c r="BI41" s="8">
        <f t="shared" si="6"/>
        <v>4298.7668611114295</v>
      </c>
      <c r="BJ41" s="8">
        <f t="shared" si="7"/>
        <v>51963.169177212054</v>
      </c>
    </row>
    <row r="42" spans="1:62" x14ac:dyDescent="0.25">
      <c r="A42" s="9" t="s">
        <v>436</v>
      </c>
      <c r="B42" s="9" t="s">
        <v>643</v>
      </c>
      <c r="C42" s="10">
        <f>VLOOKUP(A42,'[2]Revenue_Engine_2025 Oct.25'!$C$14:G$3937,5,0)</f>
        <v>45657</v>
      </c>
      <c r="D42" s="6" cm="1">
        <f t="array" ref="D42">_xlfn.LET(
  _xlpm.aralık, Y42:BF42,
  _xlpm.ilk, MATCH(TRUE, _xlpm.aralık&lt;&gt;0, 0),
  _xlpm.son, MIN(_xlpm.ilk+2, COLUMNS(_xlpm.aralık)),
  MAX(INDEX(_xlpm.aralık, _xlpm.ilk):INDEX(_xlpm.aralık, _xlpm.son))
)</f>
        <v>5361.6276772864521</v>
      </c>
      <c r="E42" s="6">
        <f t="shared" si="0"/>
        <v>0</v>
      </c>
      <c r="F42" s="6">
        <f t="shared" si="1"/>
        <v>0</v>
      </c>
      <c r="G42" s="6">
        <f t="shared" si="8"/>
        <v>4553.4830550516099</v>
      </c>
      <c r="H42" s="7">
        <f t="shared" si="2"/>
        <v>-1</v>
      </c>
      <c r="I42" s="7">
        <f t="shared" si="3"/>
        <v>-1</v>
      </c>
      <c r="J42" s="7" t="e">
        <f t="shared" si="4"/>
        <v>#DIV/0!</v>
      </c>
      <c r="K42" s="7">
        <f t="shared" si="9"/>
        <v>-0.15072747883229529</v>
      </c>
      <c r="L42" s="5" t="s">
        <v>417</v>
      </c>
      <c r="M42" s="7">
        <f>IF(R42="",(VLOOKUP(A42,[1]Export!$B$2:$H$680,7,0)),"CHURN")</f>
        <v>0</v>
      </c>
      <c r="N42" s="5">
        <f t="shared" si="10"/>
        <v>4553.4830550516099</v>
      </c>
      <c r="O42" s="5">
        <f t="shared" si="11"/>
        <v>0</v>
      </c>
      <c r="P42" s="5">
        <f t="shared" si="12"/>
        <v>0</v>
      </c>
      <c r="Q42" s="5" t="s">
        <v>430</v>
      </c>
      <c r="T42" s="6" t="str" cm="1">
        <f t="array" ref="T42">IF(R42&lt;&gt;"Churn","",
 _xlfn.LET(
   _xlpm.rng,Y42:BF42,
   _xlpm.pos,MAX(IF((_xlpm.rng&lt;&gt;0)*(_xlpm.rng&lt;&gt;""),COLUMN(_xlpm.rng)-COLUMN(Y42)+1)),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" s="6" t="str" cm="1">
        <f t="array" ref="U42">IF(R42="Churn",
   MAX(IF((Y42:BF42&lt;&gt;"")*(Y42:BF42&lt;&gt;0), COLUMN(Y42:BF42)-COLUMN(Y42)+1))
   -MATCH(1, --((Y42:BF42&lt;&gt;"")*(Y42:BF42&lt;&gt;0)), 0)
   +1,
"")</f>
        <v/>
      </c>
      <c r="V42" s="6" t="str" cm="1">
        <f t="array" ref="V42">IFERROR(
    IF(
        MATCH(2,1/((Y42:BF42&lt;&gt;0)*(Y42:BF42&lt;&gt;"")))-MATCH(1,INDEX((Y42:BF42&lt;&gt;0)*(Y42:BF42&lt;&gt;""),0),0)+1 &lt;= 12,
        "No",
        "Yes"
    ),
    "No"
)</f>
        <v>No</v>
      </c>
      <c r="W42" s="6" t="str" cm="1">
        <f t="array" ref="W42">IFERROR(
    IF(
        MATCH(2,1/((Y42:BF42&lt;&gt;0)*(Y42:BF42&lt;&gt;"")))-MATCH(1,INDEX((Y42:BF42&lt;&gt;0)*(Y42:BF42&lt;&gt;""),0),0)+1 &lt;= 24,
        "No",
        "Yes"
    ),
    "No"
)</f>
        <v>No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1360.922189623755</v>
      </c>
      <c r="AW42" s="8">
        <v>5361.6276772864521</v>
      </c>
      <c r="AX42" s="8">
        <v>5267.1118762284159</v>
      </c>
      <c r="AY42" s="8">
        <v>5135.7042266845783</v>
      </c>
      <c r="AZ42" s="8">
        <v>4998.5135999031872</v>
      </c>
      <c r="BA42" s="8">
        <v>4914.7167312477695</v>
      </c>
      <c r="BB42" s="8">
        <v>4831.2741086934966</v>
      </c>
      <c r="BC42" s="8">
        <v>4738.3436745605813</v>
      </c>
      <c r="BD42" s="8">
        <v>4665.3701848468772</v>
      </c>
      <c r="BE42" s="8">
        <v>4608.8985702711489</v>
      </c>
      <c r="BF42" s="8">
        <v>4553.4830550516099</v>
      </c>
      <c r="BH42" s="8">
        <f t="shared" si="5"/>
        <v>0</v>
      </c>
      <c r="BI42" s="8">
        <f t="shared" si="6"/>
        <v>1360.922189623755</v>
      </c>
      <c r="BJ42" s="8">
        <f t="shared" si="7"/>
        <v>49075.043704774122</v>
      </c>
    </row>
    <row r="43" spans="1:62" x14ac:dyDescent="0.25">
      <c r="A43" s="9" t="s">
        <v>51</v>
      </c>
      <c r="B43" s="9" t="s">
        <v>644</v>
      </c>
      <c r="C43" s="10">
        <v>44927</v>
      </c>
      <c r="D43" s="6" cm="1">
        <f t="array" ref="D43">_xlfn.LET(
  _xlpm.aralık, Y43:BF43,
  _xlpm.ilk, MATCH(TRUE, _xlpm.aralık&lt;&gt;0, 0),
  _xlpm.son, MIN(_xlpm.ilk+2, COLUMNS(_xlpm.aralık)),
  MAX(INDEX(_xlpm.aralık, _xlpm.ilk):INDEX(_xlpm.aralık, _xlpm.son))
)</f>
        <v>451.76878084542358</v>
      </c>
      <c r="E43" s="6">
        <f t="shared" si="0"/>
        <v>2267.2344597185979</v>
      </c>
      <c r="F43" s="6">
        <f t="shared" si="1"/>
        <v>3638.3214349137352</v>
      </c>
      <c r="G43" s="6">
        <f t="shared" si="8"/>
        <v>4335.9515516850579</v>
      </c>
      <c r="H43" s="7">
        <f t="shared" si="2"/>
        <v>4.0185726766594589</v>
      </c>
      <c r="I43" s="7">
        <f t="shared" si="3"/>
        <v>7.0535034494971383</v>
      </c>
      <c r="J43" s="7">
        <f t="shared" si="4"/>
        <v>0.60473982711312191</v>
      </c>
      <c r="K43" s="7">
        <f t="shared" si="9"/>
        <v>8.597722851877716</v>
      </c>
      <c r="L43" s="5" t="s">
        <v>421</v>
      </c>
      <c r="M43" s="7">
        <f>IF(R43="",(VLOOKUP(A43,[1]Export!$B$2:$H$680,7,0)),"CHURN")</f>
        <v>0.17735155485479581</v>
      </c>
      <c r="N43" s="5">
        <f t="shared" si="10"/>
        <v>3566.9638022186482</v>
      </c>
      <c r="O43" s="5">
        <f t="shared" si="11"/>
        <v>1865.1369030671317</v>
      </c>
      <c r="P43" s="5">
        <f t="shared" si="12"/>
        <v>2993.0594713702526</v>
      </c>
      <c r="Q43" s="5" t="str">
        <f>VLOOKUP(A43,[4]Sheet2!$A$1:$B$142,2,0)</f>
        <v xml:space="preserve">NO RISK </v>
      </c>
      <c r="T43" s="6" t="str" cm="1">
        <f t="array" ref="T43">IF(R43&lt;&gt;"Churn","",
 _xlfn.LET(
   _xlpm.rng,Y43:BF43,
   _xlpm.pos,MAX(IF((_xlpm.rng&lt;&gt;0)*(_xlpm.rng&lt;&gt;""),COLUMN(_xlpm.rng)-COLUMN(Y43)+1)),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" s="6" t="str" cm="1">
        <f t="array" ref="U43">IF(R43="Churn",
   MAX(IF((Y43:BF43&lt;&gt;"")*(Y43:BF43&lt;&gt;0), COLUMN(Y43:BF43)-COLUMN(Y43)+1))
   -MATCH(1, --((Y43:BF43&lt;&gt;"")*(Y43:BF43&lt;&gt;0)), 0)
   +1,
"")</f>
        <v/>
      </c>
      <c r="V43" s="6" t="str" cm="1">
        <f t="array" ref="V43">IFERROR(
    IF(
        MATCH(2,1/((Y43:BF43&lt;&gt;0)*(Y43:BF43&lt;&gt;"")))-MATCH(1,INDEX((Y43:BF43&lt;&gt;0)*(Y43:BF43&lt;&gt;""),0),0)+1 &lt;= 12,
        "No",
        "Yes"
    ),
    "No"
)</f>
        <v>Yes</v>
      </c>
      <c r="W43" s="6" t="str" cm="1">
        <f t="array" ref="W43">IFERROR(
    IF(
        MATCH(2,1/((Y43:BF43&lt;&gt;0)*(Y43:BF43&lt;&gt;"")))-MATCH(1,INDEX((Y43:BF43&lt;&gt;0)*(Y43:BF43&lt;&gt;""),0),0)+1 &lt;= 24,
        "No",
        "Yes"
    ),
    "No"
)</f>
        <v>Yes</v>
      </c>
      <c r="Y43" s="8">
        <v>420.26729501074198</v>
      </c>
      <c r="Z43" s="8">
        <v>451.76878084542358</v>
      </c>
      <c r="AA43" s="8">
        <v>448.44777488912672</v>
      </c>
      <c r="AB43" s="8">
        <v>606.70876044359034</v>
      </c>
      <c r="AC43" s="8">
        <v>595.20610593926574</v>
      </c>
      <c r="AD43" s="8">
        <v>500.54613517486581</v>
      </c>
      <c r="AE43" s="8">
        <v>594.41774505682611</v>
      </c>
      <c r="AF43" s="8">
        <v>583.17177114024889</v>
      </c>
      <c r="AG43" s="8">
        <v>201.67153563752586</v>
      </c>
      <c r="AH43" s="8">
        <v>380.05031653800921</v>
      </c>
      <c r="AI43" s="8">
        <v>2069.5877605141536</v>
      </c>
      <c r="AJ43" s="8">
        <v>363.82920100705002</v>
      </c>
      <c r="AK43" s="8">
        <v>2267.2344597185979</v>
      </c>
      <c r="AL43" s="8">
        <v>2559.1411136930633</v>
      </c>
      <c r="AM43" s="8">
        <v>2854.9754607668856</v>
      </c>
      <c r="AN43" s="8">
        <v>2851.6790573402773</v>
      </c>
      <c r="AO43" s="8">
        <v>2852.1554110938882</v>
      </c>
      <c r="AP43" s="8">
        <v>2849.3769995770281</v>
      </c>
      <c r="AQ43" s="8">
        <v>2845.6080217174067</v>
      </c>
      <c r="AR43" s="8">
        <v>2838.6846860525816</v>
      </c>
      <c r="AS43" s="8">
        <v>2835.0819604069329</v>
      </c>
      <c r="AT43" s="8">
        <v>2833.1583830348691</v>
      </c>
      <c r="AU43" s="8">
        <v>2996.1222830507713</v>
      </c>
      <c r="AV43" s="8">
        <v>2989.0145882805505</v>
      </c>
      <c r="AW43" s="8">
        <v>3638.3214349137352</v>
      </c>
      <c r="AX43" s="8">
        <v>3628.7893029056336</v>
      </c>
      <c r="AY43" s="8">
        <v>3619.5365446545866</v>
      </c>
      <c r="AZ43" s="8">
        <v>3605.700560087821</v>
      </c>
      <c r="BA43" s="8">
        <v>4367.2494566220794</v>
      </c>
      <c r="BB43" s="8">
        <v>4358.8340796757311</v>
      </c>
      <c r="BC43" s="8">
        <v>4349.4618355027042</v>
      </c>
      <c r="BD43" s="8">
        <v>4342.1022942486888</v>
      </c>
      <c r="BE43" s="8">
        <v>4341.6028037259412</v>
      </c>
      <c r="BF43" s="8">
        <v>4335.9515516850579</v>
      </c>
      <c r="BH43" s="8">
        <f t="shared" si="5"/>
        <v>7215.6731821968287</v>
      </c>
      <c r="BI43" s="8">
        <f t="shared" si="6"/>
        <v>33572.232424732851</v>
      </c>
      <c r="BJ43" s="8">
        <f t="shared" si="7"/>
        <v>40587.549864021981</v>
      </c>
    </row>
    <row r="44" spans="1:62" x14ac:dyDescent="0.25">
      <c r="A44" s="9" t="s">
        <v>27</v>
      </c>
      <c r="B44" s="9" t="s">
        <v>644</v>
      </c>
      <c r="C44" s="10">
        <f>VLOOKUP(A44,'[2]Revenue_Engine_2025 Oct.25'!$C$14:G$3937,5,0)</f>
        <v>45139</v>
      </c>
      <c r="D44" s="6" cm="1">
        <f t="array" ref="D44">_xlfn.LET(
  _xlpm.aralık, Y44:BF44,
  _xlpm.ilk, MATCH(TRUE, _xlpm.aralık&lt;&gt;0, 0),
  _xlpm.son, MIN(_xlpm.ilk+2, COLUMNS(_xlpm.aralık)),
  MAX(INDEX(_xlpm.aralık, _xlpm.ilk):INDEX(_xlpm.aralık, _xlpm.son))
)</f>
        <v>2536.5645383110409</v>
      </c>
      <c r="E44" s="6">
        <f t="shared" si="0"/>
        <v>3073.9019125585482</v>
      </c>
      <c r="F44" s="6">
        <f t="shared" si="1"/>
        <v>4221.8847213764311</v>
      </c>
      <c r="G44" s="6">
        <f t="shared" si="8"/>
        <v>4218.5061422723556</v>
      </c>
      <c r="H44" s="7">
        <f t="shared" si="2"/>
        <v>0.2118366657468494</v>
      </c>
      <c r="I44" s="7">
        <f t="shared" si="3"/>
        <v>0.66441052755060293</v>
      </c>
      <c r="J44" s="7">
        <f t="shared" si="4"/>
        <v>0.37346110626619333</v>
      </c>
      <c r="K44" s="7">
        <f t="shared" si="9"/>
        <v>0.66307857677503734</v>
      </c>
      <c r="L44" s="5" t="s">
        <v>418</v>
      </c>
      <c r="M44" s="7">
        <f>IF(R44="",(VLOOKUP(A44,[1]Export!$B$2:$H$680,7,0)),"CHURN")</f>
        <v>0.6464180039301729</v>
      </c>
      <c r="N44" s="5">
        <f t="shared" si="10"/>
        <v>1491.5878222174856</v>
      </c>
      <c r="O44" s="5">
        <f t="shared" si="11"/>
        <v>1086.8763739653107</v>
      </c>
      <c r="P44" s="5">
        <f t="shared" si="12"/>
        <v>1492.7824269609844</v>
      </c>
      <c r="Q44" s="5" t="str">
        <f>VLOOKUP(A44,[4]Sheet2!$A$1:$B$142,2,0)</f>
        <v>HIGH RISK</v>
      </c>
      <c r="T44" s="6" t="str" cm="1">
        <f t="array" ref="T44">IF(R44&lt;&gt;"Churn","",
 _xlfn.LET(
   _xlpm.rng,Y44:BF44,
   _xlpm.pos,MAX(IF((_xlpm.rng&lt;&gt;0)*(_xlpm.rng&lt;&gt;""),COLUMN(_xlpm.rng)-COLUMN(Y44)+1)),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4" s="6" t="str" cm="1">
        <f t="array" ref="U44">IF(R44="Churn",
   MAX(IF((Y44:BF44&lt;&gt;"")*(Y44:BF44&lt;&gt;0), COLUMN(Y44:BF44)-COLUMN(Y44)+1))
   -MATCH(1, --((Y44:BF44&lt;&gt;"")*(Y44:BF44&lt;&gt;0)), 0)
   +1,
"")</f>
        <v/>
      </c>
      <c r="V44" s="6" t="str" cm="1">
        <f t="array" ref="V44">IFERROR(
    IF(
        MATCH(2,1/((Y44:BF44&lt;&gt;0)*(Y44:BF44&lt;&gt;"")))-MATCH(1,INDEX((Y44:BF44&lt;&gt;0)*(Y44:BF44&lt;&gt;""),0),0)+1 &lt;= 12,
        "No",
        "Yes"
    ),
    "No"
)</f>
        <v>Yes</v>
      </c>
      <c r="W44" s="6" t="str" cm="1">
        <f t="array" ref="W44">IFERROR(
    IF(
        MATCH(2,1/((Y44:BF44&lt;&gt;0)*(Y44:BF44&lt;&gt;"")))-MATCH(1,INDEX((Y44:BF44&lt;&gt;0)*(Y44:BF44&lt;&gt;""),0),0)+1 &lt;= 24,
        "No",
        "Yes"
    ),
    "No"
)</f>
        <v>Yes</v>
      </c>
      <c r="Y44" s="8">
        <v>2536.5645383110409</v>
      </c>
      <c r="Z44" s="8">
        <v>2536.0905178578068</v>
      </c>
      <c r="AA44" s="8">
        <v>2535.0910559454942</v>
      </c>
      <c r="AB44" s="8">
        <v>2732.5632831074117</v>
      </c>
      <c r="AC44" s="8">
        <v>2792.336261740681</v>
      </c>
      <c r="AD44" s="8">
        <v>2761.7477879488229</v>
      </c>
      <c r="AE44" s="8">
        <v>2752.3435207592474</v>
      </c>
      <c r="AF44" s="8">
        <v>2749.6327228940122</v>
      </c>
      <c r="AG44" s="8">
        <v>2749.5022149725983</v>
      </c>
      <c r="AH44" s="8">
        <v>2745.1682119299439</v>
      </c>
      <c r="AI44" s="8">
        <v>2741.4218326341975</v>
      </c>
      <c r="AJ44" s="8">
        <v>2769.3562453697982</v>
      </c>
      <c r="AK44" s="8">
        <v>2765.2026270676138</v>
      </c>
      <c r="AL44" s="8">
        <v>3012.3130015319812</v>
      </c>
      <c r="AM44" s="8">
        <v>3009.5838806287948</v>
      </c>
      <c r="AN44" s="8">
        <v>3008.4027917776025</v>
      </c>
      <c r="AO44" s="8">
        <v>3008.5734675216795</v>
      </c>
      <c r="AP44" s="8">
        <v>3007.5779732080591</v>
      </c>
      <c r="AQ44" s="8">
        <v>3006.2275627290328</v>
      </c>
      <c r="AR44" s="8">
        <v>3073.9019125585482</v>
      </c>
      <c r="AS44" s="8">
        <v>3071.9452555452099</v>
      </c>
      <c r="AT44" s="8">
        <v>3070.9005517498226</v>
      </c>
      <c r="AU44" s="8">
        <v>3069.9750457480141</v>
      </c>
      <c r="AV44" s="8">
        <v>3073.3787587808811</v>
      </c>
      <c r="AW44" s="8">
        <v>3086.9007991555904</v>
      </c>
      <c r="AX44" s="8">
        <v>4232.046770179747</v>
      </c>
      <c r="AY44" s="8">
        <v>4228.0787432969682</v>
      </c>
      <c r="AZ44" s="8">
        <v>4223.9360918073216</v>
      </c>
      <c r="BA44" s="8">
        <v>4219.4140684325675</v>
      </c>
      <c r="BB44" s="8">
        <v>4226.8944086516167</v>
      </c>
      <c r="BC44" s="8">
        <v>4224.0882519160859</v>
      </c>
      <c r="BD44" s="8">
        <v>4221.8847213764311</v>
      </c>
      <c r="BE44" s="8">
        <v>4220.1794866695618</v>
      </c>
      <c r="BF44" s="8">
        <v>4218.5061422723556</v>
      </c>
      <c r="BH44" s="8">
        <f t="shared" si="5"/>
        <v>32401.818193471059</v>
      </c>
      <c r="BI44" s="8">
        <f t="shared" si="6"/>
        <v>36177.982828847234</v>
      </c>
      <c r="BJ44" s="8">
        <f t="shared" si="7"/>
        <v>41101.929483758242</v>
      </c>
    </row>
    <row r="45" spans="1:62" x14ac:dyDescent="0.25">
      <c r="A45" s="9" t="s">
        <v>225</v>
      </c>
      <c r="B45" s="9" t="s">
        <v>643</v>
      </c>
      <c r="C45" s="10">
        <f>VLOOKUP(A45,'[2]Revenue_Engine_2025 Oct.25'!$C$14:G$3937,5,0)</f>
        <v>45156</v>
      </c>
      <c r="D45" s="6" cm="1">
        <f t="array" ref="D45">_xlfn.LET(
  _xlpm.aralık, Y45:BF45,
  _xlpm.ilk, MATCH(TRUE, _xlpm.aralık&lt;&gt;0, 0),
  _xlpm.son, MIN(_xlpm.ilk+2, COLUMNS(_xlpm.aralık)),
  MAX(INDEX(_xlpm.aralık, _xlpm.ilk):INDEX(_xlpm.aralık, _xlpm.son))
)</f>
        <v>3266.6834290423285</v>
      </c>
      <c r="E45" s="6">
        <f t="shared" si="0"/>
        <v>3606.3385938887004</v>
      </c>
      <c r="F45" s="6">
        <f t="shared" si="1"/>
        <v>4076.4283148928434</v>
      </c>
      <c r="G45" s="6">
        <f t="shared" si="8"/>
        <v>4122.6071547441297</v>
      </c>
      <c r="H45" s="7">
        <f t="shared" si="2"/>
        <v>0.10397553733755778</v>
      </c>
      <c r="I45" s="7">
        <f t="shared" si="3"/>
        <v>0.24787981554977379</v>
      </c>
      <c r="J45" s="7">
        <f t="shared" si="4"/>
        <v>0.13035096643469829</v>
      </c>
      <c r="K45" s="7">
        <f t="shared" si="9"/>
        <v>0.26201612255789553</v>
      </c>
      <c r="L45" s="5" t="s">
        <v>419</v>
      </c>
      <c r="M45" s="7">
        <f>IF(R45="",(VLOOKUP(A45,[1]Export!$B$2:$H$680,7,0)),"CHURN")</f>
        <v>0.16893096968270516</v>
      </c>
      <c r="N45" s="5">
        <f t="shared" si="10"/>
        <v>3426.1711304723458</v>
      </c>
      <c r="O45" s="5">
        <f t="shared" si="11"/>
        <v>2997.1163182189189</v>
      </c>
      <c r="P45" s="5">
        <f t="shared" si="12"/>
        <v>3387.7933268159595</v>
      </c>
      <c r="Q45" s="5" t="s">
        <v>430</v>
      </c>
      <c r="T45" s="6" t="str" cm="1">
        <f t="array" ref="T45">IF(R45&lt;&gt;"Churn","",
 _xlfn.LET(
   _xlpm.rng,Y45:BF45,
   _xlpm.pos,MAX(IF((_xlpm.rng&lt;&gt;0)*(_xlpm.rng&lt;&gt;""),COLUMN(_xlpm.rng)-COLUMN(Y45)+1)),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5" s="6" t="str" cm="1">
        <f t="array" ref="U45">IF(R45="Churn",
   MAX(IF((Y45:BF45&lt;&gt;"")*(Y45:BF45&lt;&gt;0), COLUMN(Y45:BF45)-COLUMN(Y45)+1))
   -MATCH(1, --((Y45:BF45&lt;&gt;"")*(Y45:BF45&lt;&gt;0)), 0)
   +1,
"")</f>
        <v/>
      </c>
      <c r="V45" s="6" t="str" cm="1">
        <f t="array" ref="V45">IFERROR(
    IF(
        MATCH(2,1/((Y45:BF45&lt;&gt;0)*(Y45:BF45&lt;&gt;"")))-MATCH(1,INDEX((Y45:BF45&lt;&gt;0)*(Y45:BF45&lt;&gt;""),0),0)+1 &lt;= 12,
        "No",
        "Yes"
    ),
    "No"
)</f>
        <v>Yes</v>
      </c>
      <c r="W45" s="6" t="str" cm="1">
        <f t="array" ref="W45">IFERROR(
    IF(
        MATCH(2,1/((Y45:BF45&lt;&gt;0)*(Y45:BF45&lt;&gt;"")))-MATCH(1,INDEX((Y45:BF45&lt;&gt;0)*(Y45:BF45&lt;&gt;""),0),0)+1 &lt;= 24,
        "No",
        "Yes"
    ),
    "No"
)</f>
        <v>Yes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3250.0522956198006</v>
      </c>
      <c r="AG45" s="8">
        <v>3266.6834290423285</v>
      </c>
      <c r="AH45" s="8">
        <v>3212.2615179218037</v>
      </c>
      <c r="AI45" s="8">
        <v>3172.9423396506299</v>
      </c>
      <c r="AJ45" s="8">
        <v>3151.3011816650765</v>
      </c>
      <c r="AK45" s="8">
        <v>3107.7348662427603</v>
      </c>
      <c r="AL45" s="8">
        <v>3077.3196942944078</v>
      </c>
      <c r="AM45" s="8">
        <v>3027.8044751897032</v>
      </c>
      <c r="AN45" s="8">
        <v>3015.4163148703601</v>
      </c>
      <c r="AO45" s="8">
        <v>3017.206492195387</v>
      </c>
      <c r="AP45" s="8">
        <v>3006.7649888811547</v>
      </c>
      <c r="AQ45" s="8">
        <v>2992.6008542403015</v>
      </c>
      <c r="AR45" s="8">
        <v>3606.3385938887004</v>
      </c>
      <c r="AS45" s="8">
        <v>3585.4747021443254</v>
      </c>
      <c r="AT45" s="8">
        <v>3574.3349946006374</v>
      </c>
      <c r="AU45" s="8">
        <v>3564.4662966638625</v>
      </c>
      <c r="AV45" s="8">
        <v>3536.7820117583688</v>
      </c>
      <c r="AW45" s="8">
        <v>3867.1594548071221</v>
      </c>
      <c r="AX45" s="8">
        <v>3836.7268592211881</v>
      </c>
      <c r="AY45" s="8">
        <v>3794.4156709256968</v>
      </c>
      <c r="AZ45" s="8">
        <v>3750.2424552698803</v>
      </c>
      <c r="BA45" s="8">
        <v>3723.2611866712878</v>
      </c>
      <c r="BB45" s="8">
        <v>3696.393979723905</v>
      </c>
      <c r="BC45" s="8">
        <v>3666.4718472557506</v>
      </c>
      <c r="BD45" s="8">
        <v>4076.4283148928434</v>
      </c>
      <c r="BE45" s="8">
        <v>4145.5986508298438</v>
      </c>
      <c r="BF45" s="8">
        <v>4122.6071547441297</v>
      </c>
      <c r="BH45" s="8">
        <f t="shared" si="5"/>
        <v>16053.240763899639</v>
      </c>
      <c r="BI45" s="8">
        <f t="shared" si="6"/>
        <v>39112.244284969966</v>
      </c>
      <c r="BJ45" s="8">
        <f t="shared" si="7"/>
        <v>38679.305574341648</v>
      </c>
    </row>
    <row r="46" spans="1:62" x14ac:dyDescent="0.25">
      <c r="A46" s="9" t="s">
        <v>85</v>
      </c>
      <c r="B46" s="9" t="s">
        <v>644</v>
      </c>
      <c r="C46" s="10">
        <v>44927</v>
      </c>
      <c r="D46" s="6" cm="1">
        <f t="array" ref="D46">_xlfn.LET(
  _xlpm.aralık, Y46:BF46,
  _xlpm.ilk, MATCH(TRUE, _xlpm.aralık&lt;&gt;0, 0),
  _xlpm.son, MIN(_xlpm.ilk+2, COLUMNS(_xlpm.aralık)),
  MAX(INDEX(_xlpm.aralık, _xlpm.ilk):INDEX(_xlpm.aralık, _xlpm.son))
)</f>
        <v>1936.3895235708997</v>
      </c>
      <c r="E46" s="6">
        <f t="shared" si="0"/>
        <v>2035.3170169368041</v>
      </c>
      <c r="F46" s="6">
        <f t="shared" si="1"/>
        <v>3516.538608135565</v>
      </c>
      <c r="G46" s="6">
        <f t="shared" si="8"/>
        <v>3803.3503884520478</v>
      </c>
      <c r="H46" s="7">
        <f t="shared" si="2"/>
        <v>5.1088632819843001E-2</v>
      </c>
      <c r="I46" s="7">
        <f t="shared" si="3"/>
        <v>0.81602852387401348</v>
      </c>
      <c r="J46" s="7">
        <f t="shared" si="4"/>
        <v>0.72775964573225616</v>
      </c>
      <c r="K46" s="7">
        <f t="shared" si="9"/>
        <v>0.96414530349156302</v>
      </c>
      <c r="L46" s="5" t="s">
        <v>419</v>
      </c>
      <c r="M46" s="7">
        <f>IF(R46="",(VLOOKUP(A46,[1]Export!$B$2:$H$680,7,0)),"CHURN")</f>
        <v>0.23904744963044974</v>
      </c>
      <c r="N46" s="5">
        <f t="shared" si="10"/>
        <v>2894.1691780416054</v>
      </c>
      <c r="O46" s="5">
        <f t="shared" si="11"/>
        <v>1548.7796748486062</v>
      </c>
      <c r="P46" s="5">
        <f t="shared" si="12"/>
        <v>2675.9190223337464</v>
      </c>
      <c r="Q46" s="5" t="s">
        <v>430</v>
      </c>
      <c r="T46" s="6" t="str" cm="1">
        <f t="array" ref="T46">IF(R46&lt;&gt;"Churn","",
 _xlfn.LET(
   _xlpm.rng,Y46:BF46,
   _xlpm.pos,MAX(IF((_xlpm.rng&lt;&gt;0)*(_xlpm.rng&lt;&gt;""),COLUMN(_xlpm.rng)-COLUMN(Y46)+1)),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6" s="6" t="str" cm="1">
        <f t="array" ref="U46">IF(R46="Churn",
   MAX(IF((Y46:BF46&lt;&gt;"")*(Y46:BF46&lt;&gt;0), COLUMN(Y46:BF46)-COLUMN(Y46)+1))
   -MATCH(1, --((Y46:BF46&lt;&gt;"")*(Y46:BF46&lt;&gt;0)), 0)
   +1,
"")</f>
        <v/>
      </c>
      <c r="V46" s="6" t="str" cm="1">
        <f t="array" ref="V46">IFERROR(
    IF(
        MATCH(2,1/((Y46:BF46&lt;&gt;0)*(Y46:BF46&lt;&gt;"")))-MATCH(1,INDEX((Y46:BF46&lt;&gt;0)*(Y46:BF46&lt;&gt;""),0),0)+1 &lt;= 12,
        "No",
        "Yes"
    ),
    "No"
)</f>
        <v>Yes</v>
      </c>
      <c r="W46" s="6" t="str" cm="1">
        <f t="array" ref="W46">IFERROR(
    IF(
        MATCH(2,1/((Y46:BF46&lt;&gt;0)*(Y46:BF46&lt;&gt;"")))-MATCH(1,INDEX((Y46:BF46&lt;&gt;0)*(Y46:BF46&lt;&gt;""),0),0)+1 &lt;= 24,
        "No",
        "Yes"
    ),
    "No"
)</f>
        <v>Yes</v>
      </c>
      <c r="Y46" s="8">
        <v>1936.3895235708997</v>
      </c>
      <c r="Z46" s="8">
        <v>1930.467888884757</v>
      </c>
      <c r="AA46" s="8">
        <v>1917.9822497376481</v>
      </c>
      <c r="AB46" s="8">
        <v>1888.0284055298582</v>
      </c>
      <c r="AC46" s="8">
        <v>1856.6315907150695</v>
      </c>
      <c r="AD46" s="8">
        <v>1598.2118389114903</v>
      </c>
      <c r="AE46" s="8">
        <v>1442.7686507530741</v>
      </c>
      <c r="AF46" s="8">
        <v>1419.8617426423871</v>
      </c>
      <c r="AG46" s="8">
        <v>1418.7593924118294</v>
      </c>
      <c r="AH46" s="8">
        <v>1418.7765584959434</v>
      </c>
      <c r="AI46" s="8">
        <v>1386.1053155295649</v>
      </c>
      <c r="AJ46" s="8">
        <v>1372.7152722117557</v>
      </c>
      <c r="AK46" s="8">
        <v>2035.3170169368041</v>
      </c>
      <c r="AL46" s="8">
        <v>1994.1583102550153</v>
      </c>
      <c r="AM46" s="8">
        <v>1927.1528570925052</v>
      </c>
      <c r="AN46" s="8">
        <v>1910.3886391531453</v>
      </c>
      <c r="AO46" s="8">
        <v>1912.8111595635626</v>
      </c>
      <c r="AP46" s="8">
        <v>2016.9605683264856</v>
      </c>
      <c r="AQ46" s="8">
        <v>1996.4351162935832</v>
      </c>
      <c r="AR46" s="8">
        <v>1958.7313675880087</v>
      </c>
      <c r="AS46" s="8">
        <v>1939.1113074067855</v>
      </c>
      <c r="AT46" s="8">
        <v>1940.9513431755863</v>
      </c>
      <c r="AU46" s="8">
        <v>1820.8164567162682</v>
      </c>
      <c r="AV46" s="8">
        <v>1852.9681165025918</v>
      </c>
      <c r="AW46" s="8">
        <v>3516.538608135565</v>
      </c>
      <c r="AX46" s="8">
        <v>3462.5651197921434</v>
      </c>
      <c r="AY46" s="8">
        <v>3401.274447634738</v>
      </c>
      <c r="AZ46" s="8">
        <v>3322.9313916322253</v>
      </c>
      <c r="BA46" s="8">
        <v>3275.078976872378</v>
      </c>
      <c r="BB46" s="8">
        <v>3506.1000317168905</v>
      </c>
      <c r="BC46" s="8">
        <v>3930.1417239923121</v>
      </c>
      <c r="BD46" s="8">
        <v>3876.8145945547758</v>
      </c>
      <c r="BE46" s="8">
        <v>3843.8466065245834</v>
      </c>
      <c r="BF46" s="8">
        <v>3803.3503884520478</v>
      </c>
      <c r="BH46" s="8">
        <f t="shared" si="5"/>
        <v>19586.698429394284</v>
      </c>
      <c r="BI46" s="8">
        <f t="shared" si="6"/>
        <v>23305.802259010343</v>
      </c>
      <c r="BJ46" s="8">
        <f t="shared" si="7"/>
        <v>35938.641889307662</v>
      </c>
    </row>
    <row r="47" spans="1:62" x14ac:dyDescent="0.25">
      <c r="A47" s="9" t="s">
        <v>437</v>
      </c>
      <c r="B47" s="9" t="s">
        <v>643</v>
      </c>
      <c r="C47" s="10">
        <f>VLOOKUP(A47,'[2]Revenue_Engine_2025 Oct.25'!$C$14:G$3937,5,0)</f>
        <v>45839</v>
      </c>
      <c r="D47" s="6" cm="1">
        <f t="array" ref="D47">_xlfn.LET(
  _xlpm.aralık, Y47:BF47,
  _xlpm.ilk, MATCH(TRUE, _xlpm.aralık&lt;&gt;0, 0),
  _xlpm.son, MIN(_xlpm.ilk+2, COLUMNS(_xlpm.aralık)),
  MAX(INDEX(_xlpm.aralık, _xlpm.ilk):INDEX(_xlpm.aralık, _xlpm.son))
)</f>
        <v>3865.4908924046845</v>
      </c>
      <c r="E47" s="6">
        <f t="shared" si="0"/>
        <v>0</v>
      </c>
      <c r="F47" s="6">
        <f t="shared" si="1"/>
        <v>0</v>
      </c>
      <c r="G47" s="6">
        <f t="shared" si="8"/>
        <v>3723.4186595844026</v>
      </c>
      <c r="H47" s="7">
        <f t="shared" si="2"/>
        <v>-1</v>
      </c>
      <c r="I47" s="7">
        <f t="shared" si="3"/>
        <v>-1</v>
      </c>
      <c r="J47" s="7" t="e">
        <f t="shared" si="4"/>
        <v>#DIV/0!</v>
      </c>
      <c r="K47" s="7">
        <f t="shared" si="9"/>
        <v>-3.6753994971101885E-2</v>
      </c>
      <c r="L47" s="5" t="s">
        <v>418</v>
      </c>
      <c r="M47" s="7">
        <f>IF(R47="",(VLOOKUP(A47,[1]Export!$B$2:$H$680,7,0)),"CHURN")</f>
        <v>6.5017430997768286E-2</v>
      </c>
      <c r="N47" s="5">
        <f t="shared" si="10"/>
        <v>3481.3315438090708</v>
      </c>
      <c r="O47" s="5">
        <f t="shared" si="11"/>
        <v>0</v>
      </c>
      <c r="P47" s="5">
        <f t="shared" si="12"/>
        <v>0</v>
      </c>
      <c r="Q47" s="5" t="s">
        <v>430</v>
      </c>
      <c r="T47" s="6" t="str" cm="1">
        <f t="array" ref="T47">IF(R47&lt;&gt;"Churn","",
 _xlfn.LET(
   _xlpm.rng,Y47:BF47,
   _xlpm.pos,MAX(IF((_xlpm.rng&lt;&gt;0)*(_xlpm.rng&lt;&gt;""),COLUMN(_xlpm.rng)-COLUMN(Y47)+1)),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7" s="6" t="str" cm="1">
        <f t="array" ref="U47">IF(R47="Churn",
   MAX(IF((Y47:BF47&lt;&gt;"")*(Y47:BF47&lt;&gt;0), COLUMN(Y47:BF47)-COLUMN(Y47)+1))
   -MATCH(1, --((Y47:BF47&lt;&gt;"")*(Y47:BF47&lt;&gt;0)), 0)
   +1,
"")</f>
        <v/>
      </c>
      <c r="V47" s="6" t="str" cm="1">
        <f t="array" ref="V47">IFERROR(
    IF(
        MATCH(2,1/((Y47:BF47&lt;&gt;0)*(Y47:BF47&lt;&gt;"")))-MATCH(1,INDEX((Y47:BF47&lt;&gt;0)*(Y47:BF47&lt;&gt;""),0),0)+1 &lt;= 12,
        "No",
        "Yes"
    ),
    "No"
)</f>
        <v>No</v>
      </c>
      <c r="W47" s="6" t="str" cm="1">
        <f t="array" ref="W47">IFERROR(
    IF(
        MATCH(2,1/((Y47:BF47&lt;&gt;0)*(Y47:BF47&lt;&gt;"")))-MATCH(1,INDEX((Y47:BF47&lt;&gt;0)*(Y47:BF47&lt;&gt;""),0),0)+1 &lt;= 24,
        "No",
        "Yes"
    ),
    "No"
)</f>
        <v>No</v>
      </c>
      <c r="X47" s="6"/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3865.4908924046845</v>
      </c>
      <c r="BD47" s="8">
        <v>3805.9598876382424</v>
      </c>
      <c r="BE47" s="8">
        <v>3762.6198920062293</v>
      </c>
      <c r="BF47" s="8">
        <v>3723.4186595844026</v>
      </c>
      <c r="BH47" s="8">
        <f t="shared" si="5"/>
        <v>0</v>
      </c>
      <c r="BI47" s="8">
        <f t="shared" si="6"/>
        <v>0</v>
      </c>
      <c r="BJ47" s="8">
        <f t="shared" si="7"/>
        <v>15157.489331633558</v>
      </c>
    </row>
    <row r="48" spans="1:62" x14ac:dyDescent="0.25">
      <c r="A48" s="9" t="s">
        <v>195</v>
      </c>
      <c r="B48" s="9" t="s">
        <v>643</v>
      </c>
      <c r="C48" s="10">
        <f>VLOOKUP(A48,'[2]Revenue_Engine_2025 Oct.25'!$C$14:G$3937,5,0)</f>
        <v>44958</v>
      </c>
      <c r="D48" s="6" cm="1">
        <f t="array" ref="D48">_xlfn.LET(
  _xlpm.aralık, Y48:BF48,
  _xlpm.ilk, MATCH(TRUE, _xlpm.aralık&lt;&gt;0, 0),
  _xlpm.son, MIN(_xlpm.ilk+2, COLUMNS(_xlpm.aralık)),
  MAX(INDEX(_xlpm.aralık, _xlpm.ilk):INDEX(_xlpm.aralık, _xlpm.son))
)</f>
        <v>2000.1</v>
      </c>
      <c r="E48" s="6">
        <f t="shared" si="0"/>
        <v>2660.00018</v>
      </c>
      <c r="F48" s="6">
        <f t="shared" si="1"/>
        <v>3699.9989999999998</v>
      </c>
      <c r="G48" s="6">
        <f t="shared" si="8"/>
        <v>3700</v>
      </c>
      <c r="H48" s="7">
        <f t="shared" si="2"/>
        <v>0.32993359332033406</v>
      </c>
      <c r="I48" s="7">
        <f t="shared" si="3"/>
        <v>0.84990700464976754</v>
      </c>
      <c r="J48" s="7">
        <f t="shared" si="4"/>
        <v>0.3909769735429115</v>
      </c>
      <c r="K48" s="7">
        <f t="shared" si="9"/>
        <v>0.84990750462476883</v>
      </c>
      <c r="L48" s="5" t="s">
        <v>423</v>
      </c>
      <c r="M48" s="7">
        <f>IF(R48="",(VLOOKUP(A48,[1]Export!$B$2:$H$680,7,0)),"CHURN")</f>
        <v>0.45397297297297301</v>
      </c>
      <c r="N48" s="5">
        <f t="shared" si="10"/>
        <v>2020.3</v>
      </c>
      <c r="O48" s="5">
        <f t="shared" si="11"/>
        <v>1452.4319901767567</v>
      </c>
      <c r="P48" s="5">
        <f t="shared" si="12"/>
        <v>2020.2994539729727</v>
      </c>
      <c r="Q48" s="5" t="s">
        <v>430</v>
      </c>
      <c r="T48" s="6" t="str" cm="1">
        <f t="array" ref="T48">IF(R48&lt;&gt;"Churn","",
 _xlfn.LET(
   _xlpm.rng,Y48:BF48,
   _xlpm.pos,MAX(IF((_xlpm.rng&lt;&gt;0)*(_xlpm.rng&lt;&gt;""),COLUMN(_xlpm.rng)-COLUMN(Y48)+1)),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8" s="6" t="str" cm="1">
        <f t="array" ref="U48">IF(R48="Churn",
   MAX(IF((Y48:BF48&lt;&gt;"")*(Y48:BF48&lt;&gt;0), COLUMN(Y48:BF48)-COLUMN(Y48)+1))
   -MATCH(1, --((Y48:BF48&lt;&gt;"")*(Y48:BF48&lt;&gt;0)), 0)
   +1,
"")</f>
        <v/>
      </c>
      <c r="V48" s="6" t="str" cm="1">
        <f t="array" ref="V48">IFERROR(
    IF(
        MATCH(2,1/((Y48:BF48&lt;&gt;0)*(Y48:BF48&lt;&gt;"")))-MATCH(1,INDEX((Y48:BF48&lt;&gt;0)*(Y48:BF48&lt;&gt;""),0),0)+1 &lt;= 12,
        "No",
        "Yes"
    ),
    "No"
)</f>
        <v>Yes</v>
      </c>
      <c r="W48" s="6" t="str" cm="1">
        <f t="array" ref="W48">IFERROR(
    IF(
        MATCH(2,1/((Y48:BF48&lt;&gt;0)*(Y48:BF48&lt;&gt;"")))-MATCH(1,INDEX((Y48:BF48&lt;&gt;0)*(Y48:BF48&lt;&gt;""),0),0)+1 &lt;= 24,
        "No",
        "Yes"
    ),
    "No"
)</f>
        <v>Yes</v>
      </c>
      <c r="X48" s="6"/>
      <c r="Y48" s="8">
        <v>0</v>
      </c>
      <c r="Z48" s="8">
        <v>2000.1</v>
      </c>
      <c r="AA48" s="8">
        <v>2000</v>
      </c>
      <c r="AB48" s="8">
        <v>2000</v>
      </c>
      <c r="AC48" s="8">
        <v>2000</v>
      </c>
      <c r="AD48" s="8">
        <v>2000</v>
      </c>
      <c r="AE48" s="8">
        <v>2000</v>
      </c>
      <c r="AF48" s="8">
        <v>2000</v>
      </c>
      <c r="AG48" s="8">
        <v>2000</v>
      </c>
      <c r="AH48" s="8">
        <v>2000</v>
      </c>
      <c r="AI48" s="8">
        <v>2495.00018</v>
      </c>
      <c r="AJ48" s="8">
        <v>2330.00018</v>
      </c>
      <c r="AK48" s="8">
        <v>2660.00018</v>
      </c>
      <c r="AL48" s="8">
        <v>2660.00018</v>
      </c>
      <c r="AM48" s="8">
        <v>2660.00018</v>
      </c>
      <c r="AN48" s="8">
        <v>2660.00018</v>
      </c>
      <c r="AO48" s="8">
        <v>2660.00018</v>
      </c>
      <c r="AP48" s="8">
        <v>2660.00018</v>
      </c>
      <c r="AQ48" s="8">
        <v>2660.00018</v>
      </c>
      <c r="AR48" s="8">
        <v>2660.00018</v>
      </c>
      <c r="AS48" s="8">
        <v>2660.00018</v>
      </c>
      <c r="AT48" s="8">
        <v>2660.00018</v>
      </c>
      <c r="AU48" s="8">
        <v>2660.00018</v>
      </c>
      <c r="AV48" s="8">
        <v>2660.00018</v>
      </c>
      <c r="AW48" s="8">
        <v>3191.9989999999998</v>
      </c>
      <c r="AX48" s="8">
        <v>3699.9989999999998</v>
      </c>
      <c r="AY48" s="8">
        <v>3700</v>
      </c>
      <c r="AZ48" s="8">
        <v>3700</v>
      </c>
      <c r="BA48" s="8">
        <v>3700</v>
      </c>
      <c r="BB48" s="8">
        <v>3700</v>
      </c>
      <c r="BC48" s="8">
        <v>3700</v>
      </c>
      <c r="BD48" s="8">
        <v>3700</v>
      </c>
      <c r="BE48" s="8">
        <v>3700</v>
      </c>
      <c r="BF48" s="8">
        <v>3700</v>
      </c>
      <c r="BH48" s="8">
        <f t="shared" si="5"/>
        <v>22825.100359999997</v>
      </c>
      <c r="BI48" s="8">
        <f t="shared" si="6"/>
        <v>31920.002159999993</v>
      </c>
      <c r="BJ48" s="8">
        <f t="shared" si="7"/>
        <v>36491.998</v>
      </c>
    </row>
    <row r="49" spans="1:62" x14ac:dyDescent="0.25">
      <c r="A49" s="9" t="s">
        <v>380</v>
      </c>
      <c r="B49" s="9" t="s">
        <v>644</v>
      </c>
      <c r="C49" s="10">
        <v>44927</v>
      </c>
      <c r="D49" s="6" cm="1">
        <f t="array" ref="D49">_xlfn.LET(
  _xlpm.aralık, Y49:BF49,
  _xlpm.ilk, MATCH(TRUE, _xlpm.aralık&lt;&gt;0, 0),
  _xlpm.son, MIN(_xlpm.ilk+2, COLUMNS(_xlpm.aralık)),
  MAX(INDEX(_xlpm.aralık, _xlpm.ilk):INDEX(_xlpm.aralık, _xlpm.son))
)</f>
        <v>1331.36</v>
      </c>
      <c r="E49" s="6">
        <f t="shared" si="0"/>
        <v>3262.3450060000005</v>
      </c>
      <c r="F49" s="6">
        <f t="shared" si="1"/>
        <v>3656.4362290000008</v>
      </c>
      <c r="G49" s="6">
        <f t="shared" si="8"/>
        <v>3656.4362290000008</v>
      </c>
      <c r="H49" s="7">
        <f t="shared" si="2"/>
        <v>1.4503853247806759</v>
      </c>
      <c r="I49" s="7">
        <f t="shared" si="3"/>
        <v>1.7463918316608591</v>
      </c>
      <c r="J49" s="7">
        <f t="shared" si="4"/>
        <v>0.12079998353184608</v>
      </c>
      <c r="K49" s="7">
        <f t="shared" si="9"/>
        <v>1.7463918316608591</v>
      </c>
      <c r="L49" s="5" t="s">
        <v>418</v>
      </c>
      <c r="M49" s="7">
        <f>IF(R49="",(VLOOKUP(A49,[1]Export!$B$2:$H$680,7,0)),"CHURN")</f>
        <v>0.10499622472699222</v>
      </c>
      <c r="N49" s="5">
        <f t="shared" si="10"/>
        <v>3272.5242290000006</v>
      </c>
      <c r="O49" s="5">
        <f t="shared" si="11"/>
        <v>2919.8110966130434</v>
      </c>
      <c r="P49" s="5">
        <f t="shared" si="12"/>
        <v>3272.5242290000006</v>
      </c>
      <c r="Q49" s="5" t="str">
        <f>VLOOKUP(A49,[4]Sheet2!$A$1:$B$142,2,0)</f>
        <v xml:space="preserve">HIGH RISK </v>
      </c>
      <c r="T49" s="6" t="str" cm="1">
        <f t="array" ref="T49">IF(R49&lt;&gt;"Churn","",
 _xlfn.LET(
   _xlpm.rng,Y49:BF49,
   _xlpm.pos,MAX(IF((_xlpm.rng&lt;&gt;0)*(_xlpm.rng&lt;&gt;""),COLUMN(_xlpm.rng)-COLUMN(Y49)+1)),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9" s="6" t="str" cm="1">
        <f t="array" ref="U49">IF(R49="Churn",
   MAX(IF((Y49:BF49&lt;&gt;"")*(Y49:BF49&lt;&gt;0), COLUMN(Y49:BF49)-COLUMN(Y49)+1))
   -MATCH(1, --((Y49:BF49&lt;&gt;"")*(Y49:BF49&lt;&gt;0)), 0)
   +1,
"")</f>
        <v/>
      </c>
      <c r="V49" s="6" t="str" cm="1">
        <f t="array" ref="V49">IFERROR(
    IF(
        MATCH(2,1/((Y49:BF49&lt;&gt;0)*(Y49:BF49&lt;&gt;"")))-MATCH(1,INDEX((Y49:BF49&lt;&gt;0)*(Y49:BF49&lt;&gt;""),0),0)+1 &lt;= 12,
        "No",
        "Yes"
    ),
    "No"
)</f>
        <v>Yes</v>
      </c>
      <c r="W49" s="6" t="str" cm="1">
        <f t="array" ref="W49">IFERROR(
    IF(
        MATCH(2,1/((Y49:BF49&lt;&gt;0)*(Y49:BF49&lt;&gt;"")))-MATCH(1,INDEX((Y49:BF49&lt;&gt;0)*(Y49:BF49&lt;&gt;""),0),0)+1 &lt;= 24,
        "No",
        "Yes"
    ),
    "No"
)</f>
        <v>Yes</v>
      </c>
      <c r="Y49" s="8">
        <v>1300</v>
      </c>
      <c r="Z49" s="8">
        <v>1300</v>
      </c>
      <c r="AA49" s="8">
        <v>1331.36</v>
      </c>
      <c r="AB49" s="8">
        <v>1340.36</v>
      </c>
      <c r="AC49" s="8">
        <v>1340.3600000000001</v>
      </c>
      <c r="AD49" s="8">
        <v>1340.3600000000001</v>
      </c>
      <c r="AE49" s="8">
        <v>2420.36</v>
      </c>
      <c r="AF49" s="8">
        <v>3040.36</v>
      </c>
      <c r="AG49" s="8">
        <v>3102.86</v>
      </c>
      <c r="AH49" s="8">
        <v>3262.3450060000005</v>
      </c>
      <c r="AI49" s="8">
        <v>3262.3450060000005</v>
      </c>
      <c r="AJ49" s="8">
        <v>3262.3450060000005</v>
      </c>
      <c r="AK49" s="8">
        <v>3262.3450060000005</v>
      </c>
      <c r="AL49" s="8">
        <v>3342.3450060000005</v>
      </c>
      <c r="AM49" s="8">
        <v>3342.3450060000005</v>
      </c>
      <c r="AN49" s="8">
        <v>3342.3450060000005</v>
      </c>
      <c r="AO49" s="8">
        <v>3342.3450060000005</v>
      </c>
      <c r="AP49" s="8">
        <v>3342.3450060000005</v>
      </c>
      <c r="AQ49" s="8">
        <v>3342.3450060000005</v>
      </c>
      <c r="AR49" s="8">
        <v>3342.3450060000005</v>
      </c>
      <c r="AS49" s="8">
        <v>3279.8450060000005</v>
      </c>
      <c r="AT49" s="8">
        <v>3399.8450060000005</v>
      </c>
      <c r="AU49" s="8">
        <v>3399.8450060000005</v>
      </c>
      <c r="AV49" s="8">
        <v>3399.8450060000005</v>
      </c>
      <c r="AW49" s="8">
        <v>3656.4362290000008</v>
      </c>
      <c r="AX49" s="8">
        <v>3656.4362290000008</v>
      </c>
      <c r="AY49" s="8">
        <v>3656.4362290000008</v>
      </c>
      <c r="AZ49" s="8">
        <v>3656.4362290000013</v>
      </c>
      <c r="BA49" s="8">
        <v>3656.4362290000008</v>
      </c>
      <c r="BB49" s="8">
        <v>3656.4362290000008</v>
      </c>
      <c r="BC49" s="8">
        <v>3656.4362290000008</v>
      </c>
      <c r="BD49" s="8">
        <v>3656.4362290000008</v>
      </c>
      <c r="BE49" s="8">
        <v>3656.4362290000008</v>
      </c>
      <c r="BF49" s="8">
        <v>3656.4362290000008</v>
      </c>
      <c r="BH49" s="8">
        <f t="shared" si="5"/>
        <v>26303.055017999999</v>
      </c>
      <c r="BI49" s="8">
        <f t="shared" si="6"/>
        <v>40138.140072000009</v>
      </c>
      <c r="BJ49" s="8">
        <f t="shared" si="7"/>
        <v>36564.362289999997</v>
      </c>
    </row>
    <row r="50" spans="1:62" x14ac:dyDescent="0.25">
      <c r="A50" s="9" t="s">
        <v>120</v>
      </c>
      <c r="B50" s="9" t="s">
        <v>643</v>
      </c>
      <c r="C50" s="10">
        <v>44927</v>
      </c>
      <c r="D50" s="6" cm="1">
        <f t="array" ref="D50">_xlfn.LET(
  _xlpm.aralık, Y50:BF50,
  _xlpm.ilk, MATCH(TRUE, _xlpm.aralık&lt;&gt;0, 0),
  _xlpm.son, MIN(_xlpm.ilk+2, COLUMNS(_xlpm.aralık)),
  MAX(INDEX(_xlpm.aralık, _xlpm.ilk):INDEX(_xlpm.aralık, _xlpm.son))
)</f>
        <v>3500</v>
      </c>
      <c r="E50" s="6">
        <f t="shared" si="0"/>
        <v>3499.9942870000004</v>
      </c>
      <c r="F50" s="6">
        <f t="shared" si="1"/>
        <v>3499.9942870000004</v>
      </c>
      <c r="G50" s="6">
        <f t="shared" si="8"/>
        <v>3508.6314750000006</v>
      </c>
      <c r="H50" s="7">
        <f t="shared" si="2"/>
        <v>-1.6322857141598693E-6</v>
      </c>
      <c r="I50" s="7">
        <f t="shared" si="3"/>
        <v>-1.6322857141598693E-6</v>
      </c>
      <c r="J50" s="7">
        <f t="shared" si="4"/>
        <v>0</v>
      </c>
      <c r="K50" s="7">
        <f t="shared" si="9"/>
        <v>2.4661357142858834E-3</v>
      </c>
      <c r="L50" s="5" t="s">
        <v>421</v>
      </c>
      <c r="M50" s="7">
        <f>IF(R50="",(VLOOKUP(A50,[1]Export!$B$2:$H$680,7,0)),"CHURN")</f>
        <v>0.26211326312063016</v>
      </c>
      <c r="N50" s="5">
        <f t="shared" si="10"/>
        <v>2588.9726300000007</v>
      </c>
      <c r="O50" s="5">
        <f t="shared" si="11"/>
        <v>2582.5993635308669</v>
      </c>
      <c r="P50" s="5">
        <f t="shared" si="12"/>
        <v>2582.5993635308669</v>
      </c>
      <c r="Q50" s="5" t="str">
        <f>VLOOKUP(A50,[4]Sheet2!$A$1:$B$142,2,0)</f>
        <v>BOOKED CHURN</v>
      </c>
      <c r="T50" s="6" t="str" cm="1">
        <f t="array" ref="T50">IF(R50&lt;&gt;"Churn","",
 _xlfn.LET(
   _xlpm.rng,Y50:BF50,
   _xlpm.pos,MAX(IF((_xlpm.rng&lt;&gt;0)*(_xlpm.rng&lt;&gt;""),COLUMN(_xlpm.rng)-COLUMN(Y50)+1)),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0" s="6" t="str" cm="1">
        <f t="array" ref="U50">IF(R50="Churn",
   MAX(IF((Y50:BF50&lt;&gt;"")*(Y50:BF50&lt;&gt;0), COLUMN(Y50:BF50)-COLUMN(Y50)+1))
   -MATCH(1, --((Y50:BF50&lt;&gt;"")*(Y50:BF50&lt;&gt;0)), 0)
   +1,
"")</f>
        <v/>
      </c>
      <c r="V50" s="6" t="str" cm="1">
        <f t="array" ref="V50">IFERROR(
    IF(
        MATCH(2,1/((Y50:BF50&lt;&gt;0)*(Y50:BF50&lt;&gt;"")))-MATCH(1,INDEX((Y50:BF50&lt;&gt;0)*(Y50:BF50&lt;&gt;""),0),0)+1 &lt;= 12,
        "No",
        "Yes"
    ),
    "No"
)</f>
        <v>Yes</v>
      </c>
      <c r="W50" s="6" t="str" cm="1">
        <f t="array" ref="W50">IFERROR(
    IF(
        MATCH(2,1/((Y50:BF50&lt;&gt;0)*(Y50:BF50&lt;&gt;"")))-MATCH(1,INDEX((Y50:BF50&lt;&gt;0)*(Y50:BF50&lt;&gt;""),0),0)+1 &lt;= 24,
        "No",
        "Yes"
    ),
    "No"
)</f>
        <v>Yes</v>
      </c>
      <c r="Y50" s="8">
        <v>3500</v>
      </c>
      <c r="Z50" s="8">
        <v>3500</v>
      </c>
      <c r="AA50" s="8">
        <v>3500</v>
      </c>
      <c r="AB50" s="8">
        <v>3500</v>
      </c>
      <c r="AC50" s="8">
        <v>3499.9942870000009</v>
      </c>
      <c r="AD50" s="8">
        <v>3499.9942870000004</v>
      </c>
      <c r="AE50" s="8">
        <v>3499.9942870000004</v>
      </c>
      <c r="AF50" s="8">
        <v>3499.9942870000004</v>
      </c>
      <c r="AG50" s="8">
        <v>3499.9942870000004</v>
      </c>
      <c r="AH50" s="8">
        <v>3499.9942870000004</v>
      </c>
      <c r="AI50" s="8">
        <v>3499.9942870000004</v>
      </c>
      <c r="AJ50" s="8">
        <v>3499.9942870000004</v>
      </c>
      <c r="AK50" s="8">
        <v>3499.9942870000004</v>
      </c>
      <c r="AL50" s="8">
        <v>3499.9942870000004</v>
      </c>
      <c r="AM50" s="8">
        <v>3499.9942870000004</v>
      </c>
      <c r="AN50" s="8">
        <v>3499.9942870000004</v>
      </c>
      <c r="AO50" s="8">
        <v>3499.9942870000004</v>
      </c>
      <c r="AP50" s="8">
        <v>3499.9942870000004</v>
      </c>
      <c r="AQ50" s="8">
        <v>3499.9942870000004</v>
      </c>
      <c r="AR50" s="8">
        <v>3499.9942870000004</v>
      </c>
      <c r="AS50" s="8">
        <v>3499.9942870000004</v>
      </c>
      <c r="AT50" s="8">
        <v>3499.9942870000004</v>
      </c>
      <c r="AU50" s="8">
        <v>3499.9942870000004</v>
      </c>
      <c r="AV50" s="8">
        <v>3499.9942870000004</v>
      </c>
      <c r="AW50" s="8">
        <v>3499.9942870000004</v>
      </c>
      <c r="AX50" s="8">
        <v>3499.9942870000004</v>
      </c>
      <c r="AY50" s="8">
        <v>3499.9942870000004</v>
      </c>
      <c r="AZ50" s="8">
        <v>3508.6314750000006</v>
      </c>
      <c r="BA50" s="8">
        <v>3508.6314750000006</v>
      </c>
      <c r="BB50" s="8">
        <v>3508.6314750000006</v>
      </c>
      <c r="BC50" s="8">
        <v>3508.6314750000006</v>
      </c>
      <c r="BD50" s="8">
        <v>3508.6314750000006</v>
      </c>
      <c r="BE50" s="8">
        <v>3508.6314750000006</v>
      </c>
      <c r="BF50" s="8">
        <v>3508.6314750000006</v>
      </c>
      <c r="BH50" s="8">
        <f t="shared" si="5"/>
        <v>41999.954296000011</v>
      </c>
      <c r="BI50" s="8">
        <f t="shared" si="6"/>
        <v>41999.931444000009</v>
      </c>
      <c r="BJ50" s="8">
        <f t="shared" si="7"/>
        <v>35060.40318600001</v>
      </c>
    </row>
    <row r="51" spans="1:62" x14ac:dyDescent="0.25">
      <c r="A51" s="9" t="s">
        <v>347</v>
      </c>
      <c r="B51" s="9" t="s">
        <v>644</v>
      </c>
      <c r="C51" s="10">
        <v>44927</v>
      </c>
      <c r="D51" s="6" cm="1">
        <f t="array" ref="D51">_xlfn.LET(
  _xlpm.aralık, Y51:BF51,
  _xlpm.ilk, MATCH(TRUE, _xlpm.aralık&lt;&gt;0, 0),
  _xlpm.son, MIN(_xlpm.ilk+2, COLUMNS(_xlpm.aralık)),
  MAX(INDEX(_xlpm.aralık, _xlpm.ilk):INDEX(_xlpm.aralık, _xlpm.son))
)</f>
        <v>3667.9557930929013</v>
      </c>
      <c r="E51" s="6">
        <f t="shared" si="0"/>
        <v>3743.8630713084776</v>
      </c>
      <c r="F51" s="6">
        <f t="shared" si="1"/>
        <v>4645.1913933014084</v>
      </c>
      <c r="G51" s="6">
        <f t="shared" si="8"/>
        <v>3472.0790900143716</v>
      </c>
      <c r="H51" s="7">
        <f t="shared" si="2"/>
        <v>2.0694709123407838E-2</v>
      </c>
      <c r="I51" s="7">
        <f t="shared" si="3"/>
        <v>0.26642513032701531</v>
      </c>
      <c r="J51" s="7">
        <f t="shared" si="4"/>
        <v>0.24074820708598116</v>
      </c>
      <c r="K51" s="7">
        <f t="shared" si="9"/>
        <v>-5.3402143899166844E-2</v>
      </c>
      <c r="L51" s="5" t="s">
        <v>418</v>
      </c>
      <c r="M51" s="7">
        <f>IF(R51="",(VLOOKUP(A51,[1]Export!$B$2:$H$680,7,0)),"CHURN")</f>
        <v>0.3578910285393665</v>
      </c>
      <c r="N51" s="5">
        <f t="shared" si="10"/>
        <v>2229.4531333191003</v>
      </c>
      <c r="O51" s="5">
        <f t="shared" si="11"/>
        <v>2403.968066007335</v>
      </c>
      <c r="P51" s="5">
        <f t="shared" si="12"/>
        <v>2982.7190677905546</v>
      </c>
      <c r="Q51" s="5" t="str">
        <f>VLOOKUP(A51,[4]Sheet2!$A$1:$B$142,2,0)</f>
        <v>HIGH RISK</v>
      </c>
      <c r="T51" s="6" t="str" cm="1">
        <f t="array" ref="T51">IF(R51&lt;&gt;"Churn","",
 _xlfn.LET(
   _xlpm.rng,Y51:BF51,
   _xlpm.pos,MAX(IF((_xlpm.rng&lt;&gt;0)*(_xlpm.rng&lt;&gt;""),COLUMN(_xlpm.rng)-COLUMN(Y51)+1)),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1" s="6" t="str" cm="1">
        <f t="array" ref="U51">IF(R51="Churn",
   MAX(IF((Y51:BF51&lt;&gt;"")*(Y51:BF51&lt;&gt;0), COLUMN(Y51:BF51)-COLUMN(Y51)+1))
   -MATCH(1, --((Y51:BF51&lt;&gt;"")*(Y51:BF51&lt;&gt;0)), 0)
   +1,
"")</f>
        <v/>
      </c>
      <c r="V51" s="6" t="str" cm="1">
        <f t="array" ref="V51">IFERROR(
    IF(
        MATCH(2,1/((Y51:BF51&lt;&gt;0)*(Y51:BF51&lt;&gt;"")))-MATCH(1,INDEX((Y51:BF51&lt;&gt;0)*(Y51:BF51&lt;&gt;""),0),0)+1 &lt;= 12,
        "No",
        "Yes"
    ),
    "No"
)</f>
        <v>Yes</v>
      </c>
      <c r="W51" s="6" t="str" cm="1">
        <f t="array" ref="W51">IFERROR(
    IF(
        MATCH(2,1/((Y51:BF51&lt;&gt;0)*(Y51:BF51&lt;&gt;"")))-MATCH(1,INDEX((Y51:BF51&lt;&gt;0)*(Y51:BF51&lt;&gt;""),0),0)+1 &lt;= 24,
        "No",
        "Yes"
    ),
    "No"
)</f>
        <v>Yes</v>
      </c>
      <c r="Y51" s="8">
        <v>1933.9809862834054</v>
      </c>
      <c r="Z51" s="8">
        <v>3531.2336310077189</v>
      </c>
      <c r="AA51" s="8">
        <v>3667.9557930929013</v>
      </c>
      <c r="AB51" s="8">
        <v>3636.1014135428695</v>
      </c>
      <c r="AC51" s="8">
        <v>3656.7128943125331</v>
      </c>
      <c r="AD51" s="8">
        <v>3401.9421686747805</v>
      </c>
      <c r="AE51" s="8">
        <v>3236.6304320177014</v>
      </c>
      <c r="AF51" s="8">
        <v>3225.2693596788995</v>
      </c>
      <c r="AG51" s="8">
        <v>3905.6292079362051</v>
      </c>
      <c r="AH51" s="8">
        <v>3845.7226276266142</v>
      </c>
      <c r="AI51" s="8">
        <v>3793.8648908493333</v>
      </c>
      <c r="AJ51" s="8">
        <v>3765.3225478066979</v>
      </c>
      <c r="AK51" s="8">
        <v>3743.8630713084776</v>
      </c>
      <c r="AL51" s="8">
        <v>3980.7900154304834</v>
      </c>
      <c r="AM51" s="8">
        <v>4035.4521390446789</v>
      </c>
      <c r="AN51" s="8">
        <v>4015.6870447917854</v>
      </c>
      <c r="AO51" s="8">
        <v>4018.5432415672904</v>
      </c>
      <c r="AP51" s="8">
        <v>4001.8840046969494</v>
      </c>
      <c r="AQ51" s="8">
        <v>3979.2853743135502</v>
      </c>
      <c r="AR51" s="8">
        <v>3937.7733491605836</v>
      </c>
      <c r="AS51" s="8">
        <v>4772.6765440844965</v>
      </c>
      <c r="AT51" s="8">
        <v>4757.8465204196636</v>
      </c>
      <c r="AU51" s="8">
        <v>4742.9367555837716</v>
      </c>
      <c r="AV51" s="8">
        <v>4701.110956452495</v>
      </c>
      <c r="AW51" s="8">
        <v>4645.1913933014084</v>
      </c>
      <c r="AX51" s="8">
        <v>4599.2134085217458</v>
      </c>
      <c r="AY51" s="8">
        <v>3755.3053428533071</v>
      </c>
      <c r="AZ51" s="8">
        <v>3688.5678399230405</v>
      </c>
      <c r="BA51" s="8">
        <v>3645.8041675159643</v>
      </c>
      <c r="BB51" s="8">
        <v>3605.2128210233313</v>
      </c>
      <c r="BC51" s="8">
        <v>3560.0060509563141</v>
      </c>
      <c r="BD51" s="8">
        <v>3524.5074997953784</v>
      </c>
      <c r="BE51" s="8">
        <v>3501.0364208183141</v>
      </c>
      <c r="BF51" s="8">
        <v>3472.0790900143716</v>
      </c>
      <c r="BH51" s="8">
        <f t="shared" si="5"/>
        <v>41600.365952829656</v>
      </c>
      <c r="BI51" s="8">
        <f t="shared" si="6"/>
        <v>50687.849016854227</v>
      </c>
      <c r="BJ51" s="8">
        <f t="shared" si="7"/>
        <v>37996.924034723175</v>
      </c>
    </row>
    <row r="52" spans="1:62" x14ac:dyDescent="0.25">
      <c r="A52" s="9" t="s">
        <v>227</v>
      </c>
      <c r="B52" s="9" t="s">
        <v>644</v>
      </c>
      <c r="C52" s="10">
        <f>VLOOKUP(A52,'[2]Revenue_Engine_2025 Oct.25'!$C$14:G$3937,5,0)</f>
        <v>45176</v>
      </c>
      <c r="D52" s="6" cm="1">
        <f t="array" ref="D52">_xlfn.LET(
  _xlpm.aralık, Y52:BF52,
  _xlpm.ilk, MATCH(TRUE, _xlpm.aralık&lt;&gt;0, 0),
  _xlpm.son, MIN(_xlpm.ilk+2, COLUMNS(_xlpm.aralık)),
  MAX(INDEX(_xlpm.aralık, _xlpm.ilk):INDEX(_xlpm.aralık, _xlpm.son))
)</f>
        <v>1450</v>
      </c>
      <c r="E52" s="6">
        <f t="shared" si="0"/>
        <v>1600</v>
      </c>
      <c r="F52" s="6">
        <f t="shared" si="1"/>
        <v>3405.6916259999998</v>
      </c>
      <c r="G52" s="6">
        <f t="shared" si="8"/>
        <v>3405.6916259999998</v>
      </c>
      <c r="H52" s="7">
        <f t="shared" si="2"/>
        <v>0.10344827586206896</v>
      </c>
      <c r="I52" s="7">
        <f t="shared" si="3"/>
        <v>1.3487528455172413</v>
      </c>
      <c r="J52" s="7">
        <f t="shared" si="4"/>
        <v>1.1285572662499999</v>
      </c>
      <c r="K52" s="7">
        <f t="shared" si="9"/>
        <v>1.3487528455172413</v>
      </c>
      <c r="L52" s="5" t="s">
        <v>421</v>
      </c>
      <c r="M52" s="7">
        <f>IF(R52="",(VLOOKUP(A52,[1]Export!$B$2:$H$680,7,0)),"CHURN")</f>
        <v>0.30892485566454519</v>
      </c>
      <c r="N52" s="5">
        <f t="shared" si="10"/>
        <v>2353.5888319999995</v>
      </c>
      <c r="O52" s="5">
        <f t="shared" si="11"/>
        <v>1105.7202309367276</v>
      </c>
      <c r="P52" s="5">
        <f t="shared" si="12"/>
        <v>2353.5888319999995</v>
      </c>
      <c r="Q52" s="5" t="str">
        <f>VLOOKUP(A52,[4]Sheet2!$A$1:$B$142,2,0)</f>
        <v>NO RISK</v>
      </c>
      <c r="T52" s="6" t="str" cm="1">
        <f t="array" ref="T52">IF(R52&lt;&gt;"Churn","",
 _xlfn.LET(
   _xlpm.rng,Y52:BF52,
   _xlpm.pos,MAX(IF((_xlpm.rng&lt;&gt;0)*(_xlpm.rng&lt;&gt;""),COLUMN(_xlpm.rng)-COLUMN(Y52)+1)),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2" s="6" t="str" cm="1">
        <f t="array" ref="U52">IF(R52="Churn",
   MAX(IF((Y52:BF52&lt;&gt;"")*(Y52:BF52&lt;&gt;0), COLUMN(Y52:BF52)-COLUMN(Y52)+1))
   -MATCH(1, --((Y52:BF52&lt;&gt;"")*(Y52:BF52&lt;&gt;0)), 0)
   +1,
"")</f>
        <v/>
      </c>
      <c r="V52" s="6" t="str" cm="1">
        <f t="array" ref="V52">IFERROR(
    IF(
        MATCH(2,1/((Y52:BF52&lt;&gt;0)*(Y52:BF52&lt;&gt;"")))-MATCH(1,INDEX((Y52:BF52&lt;&gt;0)*(Y52:BF52&lt;&gt;""),0),0)+1 &lt;= 12,
        "No",
        "Yes"
    ),
    "No"
)</f>
        <v>Yes</v>
      </c>
      <c r="W52" s="6" t="str" cm="1">
        <f t="array" ref="W52">IFERROR(
    IF(
        MATCH(2,1/((Y52:BF52&lt;&gt;0)*(Y52:BF52&lt;&gt;"")))-MATCH(1,INDEX((Y52:BF52&lt;&gt;0)*(Y52:BF52&lt;&gt;""),0),0)+1 &lt;= 24,
        "No",
        "Yes"
    ),
    "No"
)</f>
        <v>Yes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1450</v>
      </c>
      <c r="AH52" s="8">
        <v>1450</v>
      </c>
      <c r="AI52" s="8">
        <v>1450</v>
      </c>
      <c r="AJ52" s="8">
        <v>1450</v>
      </c>
      <c r="AK52" s="8">
        <v>1450</v>
      </c>
      <c r="AL52" s="8">
        <v>1450</v>
      </c>
      <c r="AM52" s="8">
        <v>1450</v>
      </c>
      <c r="AN52" s="8">
        <v>1450</v>
      </c>
      <c r="AO52" s="8">
        <v>1450</v>
      </c>
      <c r="AP52" s="8">
        <v>1450</v>
      </c>
      <c r="AQ52" s="8">
        <v>1450</v>
      </c>
      <c r="AR52" s="8">
        <v>1600</v>
      </c>
      <c r="AS52" s="8">
        <v>1600</v>
      </c>
      <c r="AT52" s="8">
        <v>2581.3896370000002</v>
      </c>
      <c r="AU52" s="8">
        <v>2582.3896370000002</v>
      </c>
      <c r="AV52" s="8">
        <v>2583.3896370000002</v>
      </c>
      <c r="AW52" s="8">
        <v>3033.3896370000002</v>
      </c>
      <c r="AX52" s="8">
        <v>3033.3896370000002</v>
      </c>
      <c r="AY52" s="8">
        <v>3035.669637</v>
      </c>
      <c r="AZ52" s="8">
        <v>3035.669637</v>
      </c>
      <c r="BA52" s="8">
        <v>3035.669637</v>
      </c>
      <c r="BB52" s="8">
        <v>3035.669637</v>
      </c>
      <c r="BC52" s="8">
        <v>3035.669637</v>
      </c>
      <c r="BD52" s="8">
        <v>3035.669637</v>
      </c>
      <c r="BE52" s="8">
        <v>3405.6916259999998</v>
      </c>
      <c r="BF52" s="8">
        <v>3405.6916259999998</v>
      </c>
      <c r="BH52" s="8">
        <f t="shared" si="5"/>
        <v>5800</v>
      </c>
      <c r="BI52" s="8">
        <f t="shared" si="6"/>
        <v>21097.168911000001</v>
      </c>
      <c r="BJ52" s="8">
        <f t="shared" si="7"/>
        <v>31092.180347999994</v>
      </c>
    </row>
    <row r="53" spans="1:62" x14ac:dyDescent="0.25">
      <c r="A53" s="9" t="s">
        <v>83</v>
      </c>
      <c r="B53" s="9" t="s">
        <v>644</v>
      </c>
      <c r="C53" s="10">
        <v>44927</v>
      </c>
      <c r="D53" s="6" cm="1">
        <f t="array" ref="D53">_xlfn.LET(
  _xlpm.aralık, Y53:BF53,
  _xlpm.ilk, MATCH(TRUE, _xlpm.aralık&lt;&gt;0, 0),
  _xlpm.son, MIN(_xlpm.ilk+2, COLUMNS(_xlpm.aralık)),
  MAX(INDEX(_xlpm.aralık, _xlpm.ilk):INDEX(_xlpm.aralık, _xlpm.son))
)</f>
        <v>2038.2065538988077</v>
      </c>
      <c r="E53" s="6">
        <f t="shared" si="0"/>
        <v>2751.7942343066293</v>
      </c>
      <c r="F53" s="6">
        <f t="shared" si="1"/>
        <v>3539.3908984018594</v>
      </c>
      <c r="G53" s="6">
        <f t="shared" si="8"/>
        <v>3292.2339078976838</v>
      </c>
      <c r="H53" s="7">
        <f t="shared" si="2"/>
        <v>0.35010567454158509</v>
      </c>
      <c r="I53" s="7">
        <f t="shared" si="3"/>
        <v>0.73652218497261401</v>
      </c>
      <c r="J53" s="7">
        <f t="shared" si="4"/>
        <v>0.28621204822521229</v>
      </c>
      <c r="K53" s="7">
        <f t="shared" si="9"/>
        <v>0.61526019117154496</v>
      </c>
      <c r="L53" s="5" t="s">
        <v>413</v>
      </c>
      <c r="M53" s="7">
        <f>IF(R53="",(VLOOKUP(A53,[1]Export!$B$2:$H$680,7,0)),"CHURN")</f>
        <v>0.17282575366773767</v>
      </c>
      <c r="N53" s="5">
        <f t="shared" si="10"/>
        <v>2723.2511015147852</v>
      </c>
      <c r="O53" s="5">
        <f t="shared" si="11"/>
        <v>2276.213321824051</v>
      </c>
      <c r="P53" s="5">
        <f t="shared" si="12"/>
        <v>2927.6929988608272</v>
      </c>
      <c r="Q53" s="5" t="str">
        <f>VLOOKUP(A53,[4]Sheet2!$A$1:$B$142,2,0)</f>
        <v>HIGH RISK</v>
      </c>
      <c r="T53" s="6" t="str" cm="1">
        <f t="array" ref="T53">IF(R53&lt;&gt;"Churn","",
 _xlfn.LET(
   _xlpm.rng,Y53:BF53,
   _xlpm.pos,MAX(IF((_xlpm.rng&lt;&gt;0)*(_xlpm.rng&lt;&gt;""),COLUMN(_xlpm.rng)-COLUMN(Y53)+1)),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3" s="6" t="str" cm="1">
        <f t="array" ref="U53">IF(R53="Churn",
   MAX(IF((Y53:BF53&lt;&gt;"")*(Y53:BF53&lt;&gt;0), COLUMN(Y53:BF53)-COLUMN(Y53)+1))
   -MATCH(1, --((Y53:BF53&lt;&gt;"")*(Y53:BF53&lt;&gt;0)), 0)
   +1,
"")</f>
        <v/>
      </c>
      <c r="V53" s="6" t="str" cm="1">
        <f t="array" ref="V53">IFERROR(
    IF(
        MATCH(2,1/((Y53:BF53&lt;&gt;0)*(Y53:BF53&lt;&gt;"")))-MATCH(1,INDEX((Y53:BF53&lt;&gt;0)*(Y53:BF53&lt;&gt;""),0),0)+1 &lt;= 12,
        "No",
        "Yes"
    ),
    "No"
)</f>
        <v>Yes</v>
      </c>
      <c r="W53" s="6" t="str" cm="1">
        <f t="array" ref="W53">IFERROR(
    IF(
        MATCH(2,1/((Y53:BF53&lt;&gt;0)*(Y53:BF53&lt;&gt;"")))-MATCH(1,INDEX((Y53:BF53&lt;&gt;0)*(Y53:BF53&lt;&gt;""),0),0)+1 &lt;= 24,
        "No",
        "Yes"
    ),
    "No"
)</f>
        <v>Yes</v>
      </c>
      <c r="Y53" s="8">
        <v>2038.2065538988077</v>
      </c>
      <c r="Z53" s="8">
        <v>2032.5148615840671</v>
      </c>
      <c r="AA53" s="8">
        <v>2020.5140509726784</v>
      </c>
      <c r="AB53" s="8">
        <v>1991.7233413273525</v>
      </c>
      <c r="AC53" s="8">
        <v>2208.4386052278546</v>
      </c>
      <c r="AD53" s="8">
        <v>1920.8294160883388</v>
      </c>
      <c r="AE53" s="8">
        <v>1748.3143407902262</v>
      </c>
      <c r="AF53" s="8">
        <v>1722.8051630545842</v>
      </c>
      <c r="AG53" s="8">
        <v>1721.5775836788632</v>
      </c>
      <c r="AH53" s="8">
        <v>1700.6308814604101</v>
      </c>
      <c r="AI53" s="8">
        <v>1664.8252976429965</v>
      </c>
      <c r="AJ53" s="8">
        <v>2829.1956925420673</v>
      </c>
      <c r="AK53" s="8">
        <v>2751.7942343066293</v>
      </c>
      <c r="AL53" s="8">
        <v>3044.6358309389007</v>
      </c>
      <c r="AM53" s="8">
        <v>3392.9649777138648</v>
      </c>
      <c r="AN53" s="8">
        <v>3054.6021481752609</v>
      </c>
      <c r="AO53" s="8">
        <v>3058.2798600812821</v>
      </c>
      <c r="AP53" s="8">
        <v>3036.8290012648595</v>
      </c>
      <c r="AQ53" s="8">
        <v>3176.9954339749779</v>
      </c>
      <c r="AR53" s="8">
        <v>3119.8995155185398</v>
      </c>
      <c r="AS53" s="8">
        <v>3170.1883106199371</v>
      </c>
      <c r="AT53" s="8">
        <v>3227.9381533204382</v>
      </c>
      <c r="AU53" s="8">
        <v>3214.4236360099849</v>
      </c>
      <c r="AV53" s="8">
        <v>3584.1069380011545</v>
      </c>
      <c r="AW53" s="8">
        <v>3539.3908984018594</v>
      </c>
      <c r="AX53" s="8">
        <v>3487.8883537688034</v>
      </c>
      <c r="AY53" s="8">
        <v>3431.9877931518536</v>
      </c>
      <c r="AZ53" s="8">
        <v>3495.6596878939804</v>
      </c>
      <c r="BA53" s="8">
        <v>3447.4142194251449</v>
      </c>
      <c r="BB53" s="8">
        <v>3399.3727057027963</v>
      </c>
      <c r="BC53" s="8">
        <v>3347.8686499821551</v>
      </c>
      <c r="BD53" s="8">
        <v>3323.0428731423094</v>
      </c>
      <c r="BE53" s="8">
        <v>3298.8117540120325</v>
      </c>
      <c r="BF53" s="8">
        <v>3292.2339078976838</v>
      </c>
      <c r="BH53" s="8">
        <f t="shared" si="5"/>
        <v>23599.575788268245</v>
      </c>
      <c r="BI53" s="8">
        <f t="shared" si="6"/>
        <v>37832.658039925831</v>
      </c>
      <c r="BJ53" s="8">
        <f t="shared" si="7"/>
        <v>34063.670843378619</v>
      </c>
    </row>
    <row r="54" spans="1:62" x14ac:dyDescent="0.25">
      <c r="A54" s="9" t="s">
        <v>269</v>
      </c>
      <c r="B54" s="9" t="s">
        <v>643</v>
      </c>
      <c r="C54" s="10">
        <f>VLOOKUP(A54,'[2]Revenue_Engine_2025 Oct.25'!$C$14:G$3937,5,0)</f>
        <v>45323</v>
      </c>
      <c r="D54" s="6" cm="1">
        <f t="array" ref="D54">_xlfn.LET(
  _xlpm.aralık, Y54:BF54,
  _xlpm.ilk, MATCH(TRUE, _xlpm.aralık&lt;&gt;0, 0),
  _xlpm.son, MIN(_xlpm.ilk+2, COLUMNS(_xlpm.aralık)),
  MAX(INDEX(_xlpm.aralık, _xlpm.ilk):INDEX(_xlpm.aralık, _xlpm.son))
)</f>
        <v>3252.91</v>
      </c>
      <c r="E54" s="6">
        <f t="shared" si="0"/>
        <v>3252.91</v>
      </c>
      <c r="F54" s="6">
        <f t="shared" si="1"/>
        <v>0</v>
      </c>
      <c r="G54" s="6">
        <f t="shared" si="8"/>
        <v>3252.91</v>
      </c>
      <c r="H54" s="7">
        <f t="shared" si="2"/>
        <v>0</v>
      </c>
      <c r="I54" s="7">
        <f t="shared" si="3"/>
        <v>-1</v>
      </c>
      <c r="J54" s="7">
        <f t="shared" si="4"/>
        <v>-1</v>
      </c>
      <c r="K54" s="7">
        <f t="shared" si="9"/>
        <v>0</v>
      </c>
      <c r="L54" s="5" t="s">
        <v>420</v>
      </c>
      <c r="M54" s="7">
        <f>IF(R54="",(VLOOKUP(A54,[1]Export!$B$2:$H$680,7,0)),"CHURN")</f>
        <v>3.1258165765422348E-2</v>
      </c>
      <c r="N54" s="5">
        <f t="shared" si="10"/>
        <v>3151.2299999999996</v>
      </c>
      <c r="O54" s="5">
        <f t="shared" si="11"/>
        <v>3151.2299999999996</v>
      </c>
      <c r="P54" s="5">
        <f t="shared" si="12"/>
        <v>0</v>
      </c>
      <c r="Q54" s="5" t="str">
        <f>VLOOKUP(A54,[4]Sheet2!$A$1:$B$142,2,0)</f>
        <v>HIGH RISK</v>
      </c>
      <c r="T54" s="6" t="str" cm="1">
        <f t="array" ref="T54">IF(R54&lt;&gt;"Churn","",
 _xlfn.LET(
   _xlpm.rng,Y54:BF54,
   _xlpm.pos,MAX(IF((_xlpm.rng&lt;&gt;0)*(_xlpm.rng&lt;&gt;""),COLUMN(_xlpm.rng)-COLUMN(Y54)+1)),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4" s="6" t="str" cm="1">
        <f t="array" ref="U54">IF(R54="Churn",
   MAX(IF((Y54:BF54&lt;&gt;"")*(Y54:BF54&lt;&gt;0), COLUMN(Y54:BF54)-COLUMN(Y54)+1))
   -MATCH(1, --((Y54:BF54&lt;&gt;"")*(Y54:BF54&lt;&gt;0)), 0)
   +1,
"")</f>
        <v/>
      </c>
      <c r="V54" s="6" t="str" cm="1">
        <f t="array" ref="V54">IFERROR(
    IF(
        MATCH(2,1/((Y54:BF54&lt;&gt;0)*(Y54:BF54&lt;&gt;"")))-MATCH(1,INDEX((Y54:BF54&lt;&gt;0)*(Y54:BF54&lt;&gt;""),0),0)+1 &lt;= 12,
        "No",
        "Yes"
    ),
    "No"
)</f>
        <v>Yes</v>
      </c>
      <c r="W54" s="6" t="str" cm="1">
        <f t="array" ref="W54">IFERROR(
    IF(
        MATCH(2,1/((Y54:BF54&lt;&gt;0)*(Y54:BF54&lt;&gt;"")))-MATCH(1,INDEX((Y54:BF54&lt;&gt;0)*(Y54:BF54&lt;&gt;""),0),0)+1 &lt;= 24,
        "No",
        "Yes"
    ),
    "No"
)</f>
        <v>No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3252.91</v>
      </c>
      <c r="AN54" s="8">
        <v>3252.91</v>
      </c>
      <c r="AO54" s="8">
        <v>3252.91</v>
      </c>
      <c r="AP54" s="8">
        <v>3252.91</v>
      </c>
      <c r="AQ54" s="8">
        <v>3252.91</v>
      </c>
      <c r="AR54" s="8">
        <v>3252.91</v>
      </c>
      <c r="AS54" s="8">
        <v>3252.91</v>
      </c>
      <c r="AT54" s="8">
        <v>3252.91</v>
      </c>
      <c r="AU54" s="8">
        <v>3252.91</v>
      </c>
      <c r="AV54" s="8">
        <v>3252.91</v>
      </c>
      <c r="AW54" s="8">
        <v>3252.91</v>
      </c>
      <c r="AX54" s="8">
        <v>3252.91</v>
      </c>
      <c r="AY54" s="8">
        <v>3252.91</v>
      </c>
      <c r="AZ54" s="8">
        <v>3252.91</v>
      </c>
      <c r="BA54" s="8">
        <v>3252.91</v>
      </c>
      <c r="BB54" s="8">
        <v>3252.91</v>
      </c>
      <c r="BC54" s="8">
        <v>3252.91</v>
      </c>
      <c r="BD54" s="8">
        <v>3252.91</v>
      </c>
      <c r="BE54" s="8">
        <v>3252.91</v>
      </c>
      <c r="BF54" s="8">
        <v>3252.91</v>
      </c>
      <c r="BH54" s="8">
        <f t="shared" si="5"/>
        <v>0</v>
      </c>
      <c r="BI54" s="8">
        <f t="shared" si="6"/>
        <v>32529.1</v>
      </c>
      <c r="BJ54" s="8">
        <f t="shared" si="7"/>
        <v>32529.1</v>
      </c>
    </row>
    <row r="55" spans="1:62" x14ac:dyDescent="0.25">
      <c r="A55" s="9" t="s">
        <v>124</v>
      </c>
      <c r="B55" s="9" t="s">
        <v>643</v>
      </c>
      <c r="C55" s="10">
        <v>44927</v>
      </c>
      <c r="D55" s="6" cm="1">
        <f t="array" ref="D55">_xlfn.LET(
  _xlpm.aralık, Y55:BF55,
  _xlpm.ilk, MATCH(TRUE, _xlpm.aralık&lt;&gt;0, 0),
  _xlpm.son, MIN(_xlpm.ilk+2, COLUMNS(_xlpm.aralık)),
  MAX(INDEX(_xlpm.aralık, _xlpm.ilk):INDEX(_xlpm.aralık, _xlpm.son))
)</f>
        <v>4752.3842778929866</v>
      </c>
      <c r="E55" s="6">
        <f t="shared" si="0"/>
        <v>3958.1543074732667</v>
      </c>
      <c r="F55" s="6">
        <f t="shared" si="1"/>
        <v>4198.242797076502</v>
      </c>
      <c r="G55" s="6">
        <f t="shared" si="8"/>
        <v>3243.7272442080894</v>
      </c>
      <c r="H55" s="7">
        <f t="shared" si="2"/>
        <v>-0.16712242192078142</v>
      </c>
      <c r="I55" s="7">
        <f t="shared" si="3"/>
        <v>-0.11660283521141693</v>
      </c>
      <c r="J55" s="7">
        <f t="shared" si="4"/>
        <v>6.0656677570637349E-2</v>
      </c>
      <c r="K55" s="7">
        <f t="shared" si="9"/>
        <v>-0.31745266069977285</v>
      </c>
      <c r="L55" s="5" t="s">
        <v>416</v>
      </c>
      <c r="M55" s="7">
        <f>IF(R55="",(VLOOKUP(A55,[1]Export!$B$2:$H$680,7,0)),"CHURN")</f>
        <v>0.14184014237412301</v>
      </c>
      <c r="N55" s="5">
        <f t="shared" si="10"/>
        <v>2783.6365100667922</v>
      </c>
      <c r="O55" s="5">
        <f t="shared" si="11"/>
        <v>3396.7291369625104</v>
      </c>
      <c r="P55" s="5">
        <f t="shared" si="12"/>
        <v>3602.7634410180344</v>
      </c>
      <c r="Q55" s="5" t="str">
        <f>VLOOKUP(A55,[4]Sheet2!$A$1:$B$142,2,0)</f>
        <v>HIGH RISK</v>
      </c>
      <c r="T55" s="6" t="str" cm="1">
        <f t="array" ref="T55">IF(R55&lt;&gt;"Churn","",
 _xlfn.LET(
   _xlpm.rng,Y55:BF55,
   _xlpm.pos,MAX(IF((_xlpm.rng&lt;&gt;0)*(_xlpm.rng&lt;&gt;""),COLUMN(_xlpm.rng)-COLUMN(Y55)+1)),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5" s="6" t="str" cm="1">
        <f t="array" ref="U55">IF(R55="Churn",
   MAX(IF((Y55:BF55&lt;&gt;"")*(Y55:BF55&lt;&gt;0), COLUMN(Y55:BF55)-COLUMN(Y55)+1))
   -MATCH(1, --((Y55:BF55&lt;&gt;"")*(Y55:BF55&lt;&gt;0)), 0)
   +1,
"")</f>
        <v/>
      </c>
      <c r="V55" s="6" t="str" cm="1">
        <f t="array" ref="V55">IFERROR(
    IF(
        MATCH(2,1/((Y55:BF55&lt;&gt;0)*(Y55:BF55&lt;&gt;"")))-MATCH(1,INDEX((Y55:BF55&lt;&gt;0)*(Y55:BF55&lt;&gt;""),0),0)+1 &lt;= 12,
        "No",
        "Yes"
    ),
    "No"
)</f>
        <v>Yes</v>
      </c>
      <c r="W55" s="6" t="str" cm="1">
        <f t="array" ref="W55">IFERROR(
    IF(
        MATCH(2,1/((Y55:BF55&lt;&gt;0)*(Y55:BF55&lt;&gt;"")))-MATCH(1,INDEX((Y55:BF55&lt;&gt;0)*(Y55:BF55&lt;&gt;""),0),0)+1 &lt;= 24,
        "No",
        "Yes"
    ),
    "No"
)</f>
        <v>Yes</v>
      </c>
      <c r="Y55" s="8">
        <v>4752.3842778929866</v>
      </c>
      <c r="Z55" s="8">
        <v>4021.4043997726276</v>
      </c>
      <c r="AA55" s="8">
        <v>4363.493310692872</v>
      </c>
      <c r="AB55" s="8">
        <v>4139.0401997296194</v>
      </c>
      <c r="AC55" s="8">
        <v>4023.6678320256924</v>
      </c>
      <c r="AD55" s="8">
        <v>3383.7545724932488</v>
      </c>
      <c r="AE55" s="8">
        <v>2975.2964389455065</v>
      </c>
      <c r="AF55" s="8">
        <v>2897.1918273928727</v>
      </c>
      <c r="AG55" s="8">
        <v>2894.5031979301616</v>
      </c>
      <c r="AH55" s="8">
        <v>2890.2824612003956</v>
      </c>
      <c r="AI55" s="8">
        <v>2810.7147280366944</v>
      </c>
      <c r="AJ55" s="8">
        <v>2936.1802702227974</v>
      </c>
      <c r="AK55" s="8">
        <v>3958.1543074732667</v>
      </c>
      <c r="AL55" s="8">
        <v>3864.3529166476628</v>
      </c>
      <c r="AM55" s="8">
        <v>3905.8508938473969</v>
      </c>
      <c r="AN55" s="8">
        <v>3866.9490342532245</v>
      </c>
      <c r="AO55" s="8">
        <v>3872.5706298050777</v>
      </c>
      <c r="AP55" s="8">
        <v>3881.2818396299072</v>
      </c>
      <c r="AQ55" s="8">
        <v>3904.0571847819797</v>
      </c>
      <c r="AR55" s="8">
        <v>3272.2894437394625</v>
      </c>
      <c r="AS55" s="8">
        <v>3234.8251146957837</v>
      </c>
      <c r="AT55" s="8">
        <v>3448.8160909785288</v>
      </c>
      <c r="AU55" s="8">
        <v>3081.0570982040213</v>
      </c>
      <c r="AV55" s="8">
        <v>2820.4098238536735</v>
      </c>
      <c r="AW55" s="8">
        <v>4198.242797076502</v>
      </c>
      <c r="AX55" s="8">
        <v>4128.6045757341381</v>
      </c>
      <c r="AY55" s="8">
        <v>3854.7000432480345</v>
      </c>
      <c r="AZ55" s="8">
        <v>3663.6542291371252</v>
      </c>
      <c r="BA55" s="8">
        <v>3602.2354201048133</v>
      </c>
      <c r="BB55" s="8">
        <v>3541.0763425220771</v>
      </c>
      <c r="BC55" s="8">
        <v>3472.96309653253</v>
      </c>
      <c r="BD55" s="8">
        <v>3419.4772681065469</v>
      </c>
      <c r="BE55" s="8">
        <v>3283.203138659926</v>
      </c>
      <c r="BF55" s="8">
        <v>3243.7272442080894</v>
      </c>
      <c r="BH55" s="8">
        <f t="shared" si="5"/>
        <v>42087.913516335466</v>
      </c>
      <c r="BI55" s="8">
        <f t="shared" si="6"/>
        <v>43110.614377909995</v>
      </c>
      <c r="BJ55" s="8">
        <f t="shared" si="7"/>
        <v>36407.884155329783</v>
      </c>
    </row>
    <row r="56" spans="1:62" x14ac:dyDescent="0.25">
      <c r="A56" s="9" t="s">
        <v>164</v>
      </c>
      <c r="B56" s="9" t="s">
        <v>644</v>
      </c>
      <c r="C56" s="10">
        <v>44927</v>
      </c>
      <c r="D56" s="6" cm="1">
        <f t="array" ref="D56">_xlfn.LET(
  _xlpm.aralık, Y56:BF56,
  _xlpm.ilk, MATCH(TRUE, _xlpm.aralık&lt;&gt;0, 0),
  _xlpm.son, MIN(_xlpm.ilk+2, COLUMNS(_xlpm.aralık)),
  MAX(INDEX(_xlpm.aralık, _xlpm.ilk):INDEX(_xlpm.aralık, _xlpm.son))
)</f>
        <v>2064.0186088157175</v>
      </c>
      <c r="E56" s="6">
        <f t="shared" si="0"/>
        <v>1621.9904130975283</v>
      </c>
      <c r="F56" s="6">
        <f t="shared" si="1"/>
        <v>2215.0438203948797</v>
      </c>
      <c r="G56" s="6">
        <f t="shared" si="8"/>
        <v>3241.4062181929594</v>
      </c>
      <c r="H56" s="7">
        <f t="shared" si="2"/>
        <v>-0.21415901670179902</v>
      </c>
      <c r="I56" s="7">
        <f t="shared" si="3"/>
        <v>7.3170469943493757E-2</v>
      </c>
      <c r="J56" s="7">
        <f t="shared" si="4"/>
        <v>0.36563311503475077</v>
      </c>
      <c r="K56" s="7">
        <f t="shared" si="9"/>
        <v>0.570434590244706</v>
      </c>
      <c r="L56" s="5" t="s">
        <v>419</v>
      </c>
      <c r="M56" s="7">
        <v>0.408231611511784</v>
      </c>
      <c r="N56" s="5">
        <f t="shared" si="10"/>
        <v>1918.1617341757303</v>
      </c>
      <c r="O56" s="5">
        <f t="shared" si="11"/>
        <v>959.84265290206008</v>
      </c>
      <c r="P56" s="5">
        <f t="shared" si="12"/>
        <v>1310.7929120258593</v>
      </c>
      <c r="Q56" s="5" t="s">
        <v>430</v>
      </c>
      <c r="T56" s="6" t="str" cm="1">
        <f t="array" ref="T56">IF(R56&lt;&gt;"Churn","",
 _xlfn.LET(
   _xlpm.rng,Y56:BF56,
   _xlpm.pos,MAX(IF((_xlpm.rng&lt;&gt;0)*(_xlpm.rng&lt;&gt;""),COLUMN(_xlpm.rng)-COLUMN(Y56)+1)),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6" s="6" t="str" cm="1">
        <f t="array" ref="U56">IF(R56="Churn",
   MAX(IF((Y56:BF56&lt;&gt;"")*(Y56:BF56&lt;&gt;0), COLUMN(Y56:BF56)-COLUMN(Y56)+1))
   -MATCH(1, --((Y56:BF56&lt;&gt;"")*(Y56:BF56&lt;&gt;0)), 0)
   +1,
"")</f>
        <v/>
      </c>
      <c r="V56" s="6" t="str" cm="1">
        <f t="array" ref="V56">IFERROR(
    IF(
        MATCH(2,1/((Y56:BF56&lt;&gt;0)*(Y56:BF56&lt;&gt;"")))-MATCH(1,INDEX((Y56:BF56&lt;&gt;0)*(Y56:BF56&lt;&gt;""),0),0)+1 &lt;= 12,
        "No",
        "Yes"
    ),
    "No"
)</f>
        <v>Yes</v>
      </c>
      <c r="W56" s="6" t="str" cm="1">
        <f t="array" ref="W56">IFERROR(
    IF(
        MATCH(2,1/((Y56:BF56&lt;&gt;0)*(Y56:BF56&lt;&gt;"")))-MATCH(1,INDEX((Y56:BF56&lt;&gt;0)*(Y56:BF56&lt;&gt;""),0),0)+1 &lt;= 24,
        "No",
        "Yes"
    ),
    "No"
)</f>
        <v>Yes</v>
      </c>
      <c r="Y56" s="8">
        <v>1658.9474291824599</v>
      </c>
      <c r="Z56" s="8">
        <v>1653.891023328747</v>
      </c>
      <c r="AA56" s="8">
        <v>2064.0186088157175</v>
      </c>
      <c r="AB56" s="8">
        <v>2047.3823915325554</v>
      </c>
      <c r="AC56" s="8">
        <v>2020.5124762354837</v>
      </c>
      <c r="AD56" s="8">
        <v>1833.9237768651785</v>
      </c>
      <c r="AE56" s="8">
        <v>1696.9512620099906</v>
      </c>
      <c r="AF56" s="8">
        <v>1685.0663833662154</v>
      </c>
      <c r="AG56" s="8">
        <v>1684.0950254894028</v>
      </c>
      <c r="AH56" s="8">
        <v>1660.1633004455434</v>
      </c>
      <c r="AI56" s="8">
        <v>1668.2621198980278</v>
      </c>
      <c r="AJ56" s="8">
        <v>1652.9053936702335</v>
      </c>
      <c r="AK56" s="8">
        <v>1621.9904130975283</v>
      </c>
      <c r="AL56" s="8">
        <v>1600.4075814813125</v>
      </c>
      <c r="AM56" s="8">
        <v>1652.021214730154</v>
      </c>
      <c r="AN56" s="8">
        <v>2176.4043962441283</v>
      </c>
      <c r="AO56" s="8">
        <v>2105.802434319588</v>
      </c>
      <c r="AP56" s="8">
        <v>2137.9475731554321</v>
      </c>
      <c r="AQ56" s="8">
        <v>2123.368788644023</v>
      </c>
      <c r="AR56" s="8">
        <v>2062.5517050633589</v>
      </c>
      <c r="AS56" s="8">
        <v>2126.1623465078887</v>
      </c>
      <c r="AT56" s="8">
        <v>2118.0475043190027</v>
      </c>
      <c r="AU56" s="8">
        <v>2119.1585430242249</v>
      </c>
      <c r="AV56" s="8">
        <v>2109.2916219233612</v>
      </c>
      <c r="AW56" s="8">
        <v>2215.0438203948797</v>
      </c>
      <c r="AX56" s="8">
        <v>2612.997370727056</v>
      </c>
      <c r="AY56" s="8">
        <v>2752.9197963304759</v>
      </c>
      <c r="AZ56" s="8">
        <v>3073.8907525786271</v>
      </c>
      <c r="BA56" s="8">
        <v>3251.7040090287569</v>
      </c>
      <c r="BB56" s="8">
        <v>3228.7233181421366</v>
      </c>
      <c r="BC56" s="8">
        <v>3240.2922073240552</v>
      </c>
      <c r="BD56" s="8">
        <v>3231.575720077441</v>
      </c>
      <c r="BE56" s="8">
        <v>3227.7994927274185</v>
      </c>
      <c r="BF56" s="8">
        <v>3241.4062181929594</v>
      </c>
      <c r="BH56" s="8">
        <f t="shared" si="5"/>
        <v>21326.119190839556</v>
      </c>
      <c r="BI56" s="8">
        <f t="shared" si="6"/>
        <v>23953.154122510001</v>
      </c>
      <c r="BJ56" s="8">
        <f t="shared" si="7"/>
        <v>30076.352705523808</v>
      </c>
    </row>
    <row r="57" spans="1:62" x14ac:dyDescent="0.25">
      <c r="A57" s="9" t="s">
        <v>248</v>
      </c>
      <c r="B57" s="9" t="s">
        <v>644</v>
      </c>
      <c r="C57" s="10">
        <f>VLOOKUP(A57,'[2]Revenue_Engine_2025 Oct.25'!$C$14:G$3937,5,0)</f>
        <v>45245</v>
      </c>
      <c r="D57" s="6" cm="1">
        <f t="array" ref="D57">_xlfn.LET(
  _xlpm.aralık, Y57:BF57,
  _xlpm.ilk, MATCH(TRUE, _xlpm.aralık&lt;&gt;0, 0),
  _xlpm.son, MIN(_xlpm.ilk+2, COLUMNS(_xlpm.aralık)),
  MAX(INDEX(_xlpm.aralık, _xlpm.ilk):INDEX(_xlpm.aralık, _xlpm.son))
)</f>
        <v>2850</v>
      </c>
      <c r="E57" s="6">
        <f t="shared" si="0"/>
        <v>3749.9946520000003</v>
      </c>
      <c r="F57" s="6">
        <f t="shared" si="1"/>
        <v>0</v>
      </c>
      <c r="G57" s="6">
        <f t="shared" si="8"/>
        <v>3211.3268779999999</v>
      </c>
      <c r="H57" s="7">
        <f t="shared" si="2"/>
        <v>0.31578759719298255</v>
      </c>
      <c r="I57" s="7">
        <f t="shared" si="3"/>
        <v>-1</v>
      </c>
      <c r="J57" s="7">
        <f t="shared" si="4"/>
        <v>-1</v>
      </c>
      <c r="K57" s="7">
        <f t="shared" si="9"/>
        <v>0.12678136070175433</v>
      </c>
      <c r="L57" s="5" t="s">
        <v>418</v>
      </c>
      <c r="M57" s="7">
        <f>IF(R57="",(VLOOKUP(A57,[1]Export!$B$2:$H$680,7,0)),"CHURN")</f>
        <v>0.24962298839514147</v>
      </c>
      <c r="N57" s="5">
        <f t="shared" si="10"/>
        <v>2409.7058659999998</v>
      </c>
      <c r="O57" s="5">
        <f t="shared" si="11"/>
        <v>2813.9097805019614</v>
      </c>
      <c r="P57" s="5">
        <f t="shared" si="12"/>
        <v>0</v>
      </c>
      <c r="Q57" s="5" t="s">
        <v>430</v>
      </c>
      <c r="T57" s="6" t="str" cm="1">
        <f t="array" ref="T57">IF(R57&lt;&gt;"Churn","",
 _xlfn.LET(
   _xlpm.rng,Y57:BF57,
   _xlpm.pos,MAX(IF((_xlpm.rng&lt;&gt;0)*(_xlpm.rng&lt;&gt;""),COLUMN(_xlpm.rng)-COLUMN(Y57)+1)),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7" s="6" t="str" cm="1">
        <f t="array" ref="U57">IF(R57="Churn",
   MAX(IF((Y57:BF57&lt;&gt;"")*(Y57:BF57&lt;&gt;0), COLUMN(Y57:BF57)-COLUMN(Y57)+1))
   -MATCH(1, --((Y57:BF57&lt;&gt;"")*(Y57:BF57&lt;&gt;0)), 0)
   +1,
"")</f>
        <v/>
      </c>
      <c r="V57" s="6" t="str" cm="1">
        <f t="array" ref="V57">IFERROR(
    IF(
        MATCH(2,1/((Y57:BF57&lt;&gt;0)*(Y57:BF57&lt;&gt;"")))-MATCH(1,INDEX((Y57:BF57&lt;&gt;0)*(Y57:BF57&lt;&gt;""),0),0)+1 &lt;= 12,
        "No",
        "Yes"
    ),
    "No"
)</f>
        <v>Yes</v>
      </c>
      <c r="W57" s="6" t="str" cm="1">
        <f t="array" ref="W57">IFERROR(
    IF(
        MATCH(2,1/((Y57:BF57&lt;&gt;0)*(Y57:BF57&lt;&gt;"")))-MATCH(1,INDEX((Y57:BF57&lt;&gt;0)*(Y57:BF57&lt;&gt;""),0),0)+1 &lt;= 24,
        "No",
        "Yes"
    ),
    "No"
)</f>
        <v>No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2850</v>
      </c>
      <c r="AJ57" s="8">
        <v>2849.9946520000003</v>
      </c>
      <c r="AK57" s="8">
        <v>2849.9946520000003</v>
      </c>
      <c r="AL57" s="8">
        <v>2849.9946520000003</v>
      </c>
      <c r="AM57" s="8">
        <v>3599.9946520000003</v>
      </c>
      <c r="AN57" s="8">
        <v>3599.9946520000003</v>
      </c>
      <c r="AO57" s="8">
        <v>3599.9946520000003</v>
      </c>
      <c r="AP57" s="8">
        <v>3712.4946520000003</v>
      </c>
      <c r="AQ57" s="8">
        <v>3749.9946520000003</v>
      </c>
      <c r="AR57" s="8">
        <v>3749.9946520000003</v>
      </c>
      <c r="AS57" s="8">
        <v>3749.9946520000003</v>
      </c>
      <c r="AT57" s="8">
        <v>3749.9946520000003</v>
      </c>
      <c r="AU57" s="8">
        <v>3749.9946520000003</v>
      </c>
      <c r="AV57" s="8">
        <v>4099.9643070000002</v>
      </c>
      <c r="AW57" s="8">
        <v>4099.9643070000002</v>
      </c>
      <c r="AX57" s="8">
        <v>4099.9643070000002</v>
      </c>
      <c r="AY57" s="8">
        <v>4099.9573780000001</v>
      </c>
      <c r="AZ57" s="8">
        <v>4099.9573780000001</v>
      </c>
      <c r="BA57" s="8">
        <v>4099.9573780000001</v>
      </c>
      <c r="BB57" s="8">
        <v>3201.3268779999999</v>
      </c>
      <c r="BC57" s="8">
        <v>3201.3268779999999</v>
      </c>
      <c r="BD57" s="8">
        <v>3201.3268779999999</v>
      </c>
      <c r="BE57" s="8">
        <v>3201.3268779999999</v>
      </c>
      <c r="BF57" s="8">
        <v>3211.3268779999999</v>
      </c>
      <c r="BH57" s="8">
        <f t="shared" si="5"/>
        <v>5699.9946520000003</v>
      </c>
      <c r="BI57" s="8">
        <f t="shared" si="6"/>
        <v>43062.405479000008</v>
      </c>
      <c r="BJ57" s="8">
        <f t="shared" si="7"/>
        <v>36516.435137999993</v>
      </c>
    </row>
    <row r="58" spans="1:62" x14ac:dyDescent="0.25">
      <c r="A58" s="9" t="s">
        <v>157</v>
      </c>
      <c r="B58" s="9" t="s">
        <v>643</v>
      </c>
      <c r="C58" s="10">
        <v>44927</v>
      </c>
      <c r="D58" s="6" cm="1">
        <f t="array" ref="D58">_xlfn.LET(
  _xlpm.aralık, Y58:BF58,
  _xlpm.ilk, MATCH(TRUE, _xlpm.aralık&lt;&gt;0, 0),
  _xlpm.son, MIN(_xlpm.ilk+2, COLUMNS(_xlpm.aralık)),
  MAX(INDEX(_xlpm.aralık, _xlpm.ilk):INDEX(_xlpm.aralık, _xlpm.son))
)</f>
        <v>3190</v>
      </c>
      <c r="E58" s="6">
        <f t="shared" si="0"/>
        <v>3190</v>
      </c>
      <c r="F58" s="6">
        <f t="shared" si="1"/>
        <v>3190</v>
      </c>
      <c r="G58" s="6">
        <f t="shared" si="8"/>
        <v>3190</v>
      </c>
      <c r="H58" s="7">
        <f t="shared" si="2"/>
        <v>0</v>
      </c>
      <c r="I58" s="7">
        <f t="shared" si="3"/>
        <v>0</v>
      </c>
      <c r="J58" s="7">
        <f t="shared" si="4"/>
        <v>0</v>
      </c>
      <c r="K58" s="7">
        <f t="shared" si="9"/>
        <v>0</v>
      </c>
      <c r="L58" s="5" t="s">
        <v>418</v>
      </c>
      <c r="M58" s="7">
        <f>IF(R58="",(VLOOKUP(A58,[1]Export!$B$2:$H$680,7,0)),"CHURN")</f>
        <v>0</v>
      </c>
      <c r="N58" s="5">
        <f t="shared" si="10"/>
        <v>3190</v>
      </c>
      <c r="O58" s="5">
        <f t="shared" si="11"/>
        <v>3190</v>
      </c>
      <c r="P58" s="5">
        <f t="shared" si="12"/>
        <v>3190</v>
      </c>
      <c r="Q58" s="5" t="str">
        <f>VLOOKUP(A58,[4]Sheet2!$A$1:$B$142,2,0)</f>
        <v>NO RISK</v>
      </c>
      <c r="T58" s="6" t="str" cm="1">
        <f t="array" ref="T58">IF(R58&lt;&gt;"Churn","",
 _xlfn.LET(
   _xlpm.rng,Y58:BF58,
   _xlpm.pos,MAX(IF((_xlpm.rng&lt;&gt;0)*(_xlpm.rng&lt;&gt;""),COLUMN(_xlpm.rng)-COLUMN(Y58)+1)),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8" s="6" t="str" cm="1">
        <f t="array" ref="U58">IF(R58="Churn",
   MAX(IF((Y58:BF58&lt;&gt;"")*(Y58:BF58&lt;&gt;0), COLUMN(Y58:BF58)-COLUMN(Y58)+1))
   -MATCH(1, --((Y58:BF58&lt;&gt;"")*(Y58:BF58&lt;&gt;0)), 0)
   +1,
"")</f>
        <v/>
      </c>
      <c r="V58" s="6" t="str" cm="1">
        <f t="array" ref="V58">IFERROR(
    IF(
        MATCH(2,1/((Y58:BF58&lt;&gt;0)*(Y58:BF58&lt;&gt;"")))-MATCH(1,INDEX((Y58:BF58&lt;&gt;0)*(Y58:BF58&lt;&gt;""),0),0)+1 &lt;= 12,
        "No",
        "Yes"
    ),
    "No"
)</f>
        <v>Yes</v>
      </c>
      <c r="W58" s="6" t="str" cm="1">
        <f t="array" ref="W58">IFERROR(
    IF(
        MATCH(2,1/((Y58:BF58&lt;&gt;0)*(Y58:BF58&lt;&gt;"")))-MATCH(1,INDEX((Y58:BF58&lt;&gt;0)*(Y58:BF58&lt;&gt;""),0),0)+1 &lt;= 24,
        "No",
        "Yes"
    ),
    "No"
)</f>
        <v>Yes</v>
      </c>
      <c r="Y58" s="8">
        <v>3190</v>
      </c>
      <c r="Z58" s="8">
        <v>3190</v>
      </c>
      <c r="AA58" s="8">
        <v>3190</v>
      </c>
      <c r="AB58" s="8">
        <v>3190</v>
      </c>
      <c r="AC58" s="8">
        <v>3190</v>
      </c>
      <c r="AD58" s="8">
        <v>3190</v>
      </c>
      <c r="AE58" s="8">
        <v>3190</v>
      </c>
      <c r="AF58" s="8">
        <v>3190</v>
      </c>
      <c r="AG58" s="8">
        <v>3190</v>
      </c>
      <c r="AH58" s="8">
        <v>3190</v>
      </c>
      <c r="AI58" s="8">
        <v>3190</v>
      </c>
      <c r="AJ58" s="8">
        <v>3190</v>
      </c>
      <c r="AK58" s="8">
        <v>3190</v>
      </c>
      <c r="AL58" s="8">
        <v>3190</v>
      </c>
      <c r="AM58" s="8">
        <v>3190</v>
      </c>
      <c r="AN58" s="8">
        <v>3190</v>
      </c>
      <c r="AO58" s="8">
        <v>3190</v>
      </c>
      <c r="AP58" s="8">
        <v>3190</v>
      </c>
      <c r="AQ58" s="8">
        <v>3190</v>
      </c>
      <c r="AR58" s="8">
        <v>3190</v>
      </c>
      <c r="AS58" s="8">
        <v>3190</v>
      </c>
      <c r="AT58" s="8">
        <v>3190</v>
      </c>
      <c r="AU58" s="8">
        <v>3190</v>
      </c>
      <c r="AV58" s="8">
        <v>3190</v>
      </c>
      <c r="AW58" s="8">
        <v>3190</v>
      </c>
      <c r="AX58" s="8">
        <v>3190</v>
      </c>
      <c r="AY58" s="8">
        <v>3190</v>
      </c>
      <c r="AZ58" s="8">
        <v>3190</v>
      </c>
      <c r="BA58" s="8">
        <v>3190</v>
      </c>
      <c r="BB58" s="8">
        <v>3190</v>
      </c>
      <c r="BC58" s="8">
        <v>3190</v>
      </c>
      <c r="BD58" s="8">
        <v>3190</v>
      </c>
      <c r="BE58" s="8">
        <v>3190</v>
      </c>
      <c r="BF58" s="8">
        <v>3190</v>
      </c>
      <c r="BH58" s="8">
        <f t="shared" si="5"/>
        <v>38280</v>
      </c>
      <c r="BI58" s="8">
        <f t="shared" si="6"/>
        <v>38280</v>
      </c>
      <c r="BJ58" s="8">
        <f t="shared" si="7"/>
        <v>31900</v>
      </c>
    </row>
    <row r="59" spans="1:62" x14ac:dyDescent="0.25">
      <c r="A59" s="9" t="s">
        <v>262</v>
      </c>
      <c r="B59" s="9" t="s">
        <v>643</v>
      </c>
      <c r="C59" s="10">
        <f>VLOOKUP(A59,'[2]Revenue_Engine_2025 Oct.25'!$C$14:G$3937,5,0)</f>
        <v>45293</v>
      </c>
      <c r="D59" s="6" cm="1">
        <f t="array" ref="D59">_xlfn.LET(
  _xlpm.aralık, Y59:BF59,
  _xlpm.ilk, MATCH(TRUE, _xlpm.aralık&lt;&gt;0, 0),
  _xlpm.son, MIN(_xlpm.ilk+2, COLUMNS(_xlpm.aralık)),
  MAX(INDEX(_xlpm.aralık, _xlpm.ilk):INDEX(_xlpm.aralık, _xlpm.son))
)</f>
        <v>3334.3447512412099</v>
      </c>
      <c r="E59" s="6">
        <f t="shared" si="0"/>
        <v>2849.9850000000001</v>
      </c>
      <c r="F59" s="6">
        <f t="shared" si="1"/>
        <v>0</v>
      </c>
      <c r="G59" s="6">
        <f t="shared" si="8"/>
        <v>2849.9850000000001</v>
      </c>
      <c r="H59" s="7">
        <f t="shared" si="2"/>
        <v>-0.14526384863499997</v>
      </c>
      <c r="I59" s="7">
        <f t="shared" si="3"/>
        <v>-1</v>
      </c>
      <c r="J59" s="7">
        <f t="shared" si="4"/>
        <v>-1</v>
      </c>
      <c r="K59" s="7">
        <f t="shared" si="9"/>
        <v>-0.14526384863499997</v>
      </c>
      <c r="L59" s="5" t="s">
        <v>416</v>
      </c>
      <c r="M59" s="7">
        <f>IF(R59="",(VLOOKUP(A59,[1]Export!$B$2:$H$680,7,0)),"CHURN")</f>
        <v>0.39269206680035151</v>
      </c>
      <c r="N59" s="5">
        <f t="shared" si="10"/>
        <v>1730.8185000000003</v>
      </c>
      <c r="O59" s="5">
        <f t="shared" si="11"/>
        <v>1730.8185000000003</v>
      </c>
      <c r="P59" s="5">
        <f t="shared" si="12"/>
        <v>0</v>
      </c>
      <c r="Q59" s="5" t="s">
        <v>430</v>
      </c>
      <c r="T59" s="6" t="str" cm="1">
        <f t="array" ref="T59">IF(R59&lt;&gt;"Churn","",
 _xlfn.LET(
   _xlpm.rng,Y59:BF59,
   _xlpm.pos,MAX(IF((_xlpm.rng&lt;&gt;0)*(_xlpm.rng&lt;&gt;""),COLUMN(_xlpm.rng)-COLUMN(Y59)+1)),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59" s="6" t="str" cm="1">
        <f t="array" ref="U59">IF(R59="Churn",
   MAX(IF((Y59:BF59&lt;&gt;"")*(Y59:BF59&lt;&gt;0), COLUMN(Y59:BF59)-COLUMN(Y59)+1))
   -MATCH(1, --((Y59:BF59&lt;&gt;"")*(Y59:BF59&lt;&gt;0)), 0)
   +1,
"")</f>
        <v/>
      </c>
      <c r="V59" s="6" t="str" cm="1">
        <f t="array" ref="V59">IFERROR(
    IF(
        MATCH(2,1/((Y59:BF59&lt;&gt;0)*(Y59:BF59&lt;&gt;"")))-MATCH(1,INDEX((Y59:BF59&lt;&gt;0)*(Y59:BF59&lt;&gt;""),0),0)+1 &lt;= 12,
        "No",
        "Yes"
    ),
    "No"
)</f>
        <v>Yes</v>
      </c>
      <c r="W59" s="6" t="str" cm="1">
        <f t="array" ref="W59">IFERROR(
    IF(
        MATCH(2,1/((Y59:BF59&lt;&gt;0)*(Y59:BF59&lt;&gt;"")))-MATCH(1,INDEX((Y59:BF59&lt;&gt;0)*(Y59:BF59&lt;&gt;""),0),0)+1 &lt;= 24,
        "No",
        "Yes"
    ),
    "No"
)</f>
        <v>No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3334.3447512412099</v>
      </c>
      <c r="AL59" s="8">
        <v>3257.7322274418329</v>
      </c>
      <c r="AM59" s="8">
        <v>3133.0087536264577</v>
      </c>
      <c r="AN59" s="8">
        <v>3101.8043195726955</v>
      </c>
      <c r="AO59" s="8">
        <v>3106.3135823561388</v>
      </c>
      <c r="AP59" s="8">
        <v>3080.0125664512711</v>
      </c>
      <c r="AQ59" s="8">
        <v>3044.334645441565</v>
      </c>
      <c r="AR59" s="8">
        <v>2849.9850000000006</v>
      </c>
      <c r="AS59" s="8">
        <v>2849.9850000000006</v>
      </c>
      <c r="AT59" s="8">
        <v>2849.9850000000001</v>
      </c>
      <c r="AU59" s="8">
        <v>2849.9850000000001</v>
      </c>
      <c r="AV59" s="8">
        <v>2849.9850000000001</v>
      </c>
      <c r="AW59" s="8">
        <v>2849.9850000000001</v>
      </c>
      <c r="AX59" s="8">
        <v>2849.9850000000001</v>
      </c>
      <c r="AY59" s="8">
        <v>2849.9850000000001</v>
      </c>
      <c r="AZ59" s="8">
        <v>2849.9850000000006</v>
      </c>
      <c r="BA59" s="8">
        <v>2849.9850000000001</v>
      </c>
      <c r="BB59" s="8">
        <v>2849.9850000000001</v>
      </c>
      <c r="BC59" s="8">
        <v>2849.9850000000001</v>
      </c>
      <c r="BD59" s="8">
        <v>2849.9850000000001</v>
      </c>
      <c r="BE59" s="8">
        <v>2849.9850000000001</v>
      </c>
      <c r="BF59" s="8">
        <v>2849.9850000000001</v>
      </c>
      <c r="BH59" s="8">
        <f t="shared" si="5"/>
        <v>0</v>
      </c>
      <c r="BI59" s="8">
        <f t="shared" si="6"/>
        <v>36307.475846131172</v>
      </c>
      <c r="BJ59" s="8">
        <f t="shared" si="7"/>
        <v>28499.850000000002</v>
      </c>
    </row>
    <row r="60" spans="1:62" x14ac:dyDescent="0.25">
      <c r="A60" s="9" t="s">
        <v>219</v>
      </c>
      <c r="B60" s="9" t="s">
        <v>643</v>
      </c>
      <c r="C60" s="10">
        <f>VLOOKUP(A60,'[2]Revenue_Engine_2025 Oct.25'!$C$14:G$3937,5,0)</f>
        <v>45138</v>
      </c>
      <c r="D60" s="6" cm="1">
        <f t="array" ref="D60">_xlfn.LET(
  _xlpm.aralık, Y60:BF60,
  _xlpm.ilk, MATCH(TRUE, _xlpm.aralık&lt;&gt;0, 0),
  _xlpm.son, MIN(_xlpm.ilk+2, COLUMNS(_xlpm.aralık)),
  MAX(INDEX(_xlpm.aralık, _xlpm.ilk):INDEX(_xlpm.aralık, _xlpm.son))
)</f>
        <v>2774.0849684341274</v>
      </c>
      <c r="E60" s="6">
        <f t="shared" si="0"/>
        <v>3590.2598190447488</v>
      </c>
      <c r="F60" s="6">
        <f t="shared" si="1"/>
        <v>3816.0624862837421</v>
      </c>
      <c r="G60" s="6">
        <f t="shared" si="8"/>
        <v>2826.3348418143951</v>
      </c>
      <c r="H60" s="7">
        <f t="shared" si="2"/>
        <v>0.29421407775816011</v>
      </c>
      <c r="I60" s="7">
        <f t="shared" si="3"/>
        <v>0.37561124828767378</v>
      </c>
      <c r="J60" s="7">
        <f t="shared" si="4"/>
        <v>6.2893127132807911E-2</v>
      </c>
      <c r="K60" s="7">
        <f t="shared" si="9"/>
        <v>1.8834993871785E-2</v>
      </c>
      <c r="L60" s="5" t="s">
        <v>418</v>
      </c>
      <c r="M60" s="7">
        <f>IF(R60="",(VLOOKUP(A60,[1]Export!$B$2:$H$680,7,0)),"CHURN")</f>
        <v>0</v>
      </c>
      <c r="N60" s="5">
        <f t="shared" si="10"/>
        <v>2826.3348418143951</v>
      </c>
      <c r="O60" s="5">
        <f t="shared" si="11"/>
        <v>3590.2598190447488</v>
      </c>
      <c r="P60" s="5">
        <f t="shared" si="12"/>
        <v>3816.0624862837421</v>
      </c>
      <c r="Q60" s="5" t="s">
        <v>430</v>
      </c>
      <c r="T60" s="6" t="str" cm="1">
        <f t="array" ref="T60">IF(R60&lt;&gt;"Churn","",
 _xlfn.LET(
   _xlpm.rng,Y60:BF60,
   _xlpm.pos,MAX(IF((_xlpm.rng&lt;&gt;0)*(_xlpm.rng&lt;&gt;""),COLUMN(_xlpm.rng)-COLUMN(Y60)+1)),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0" s="6" t="str" cm="1">
        <f t="array" ref="U60">IF(R60="Churn",
   MAX(IF((Y60:BF60&lt;&gt;"")*(Y60:BF60&lt;&gt;0), COLUMN(Y60:BF60)-COLUMN(Y60)+1))
   -MATCH(1, --((Y60:BF60&lt;&gt;"")*(Y60:BF60&lt;&gt;0)), 0)
   +1,
"")</f>
        <v/>
      </c>
      <c r="V60" s="6" t="str" cm="1">
        <f t="array" ref="V60">IFERROR(
    IF(
        MATCH(2,1/((Y60:BF60&lt;&gt;0)*(Y60:BF60&lt;&gt;"")))-MATCH(1,INDEX((Y60:BF60&lt;&gt;0)*(Y60:BF60&lt;&gt;""),0),0)+1 &lt;= 12,
        "No",
        "Yes"
    ),
    "No"
)</f>
        <v>Yes</v>
      </c>
      <c r="W60" s="6" t="str" cm="1">
        <f t="array" ref="W60">IFERROR(
    IF(
        MATCH(2,1/((Y60:BF60&lt;&gt;0)*(Y60:BF60&lt;&gt;"")))-MATCH(1,INDEX((Y60:BF60&lt;&gt;0)*(Y60:BF60&lt;&gt;""),0),0)+1 &lt;= 24,
        "No",
        "Yes"
    ),
    "No"
)</f>
        <v>Yes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2774.0849684341274</v>
      </c>
      <c r="AF60" s="8">
        <v>2721.6011934176249</v>
      </c>
      <c r="AG60" s="8">
        <v>2719.0755142115786</v>
      </c>
      <c r="AH60" s="8">
        <v>2635.2680940407672</v>
      </c>
      <c r="AI60" s="8">
        <v>2562.7207526178236</v>
      </c>
      <c r="AJ60" s="8">
        <v>2522.7909131298793</v>
      </c>
      <c r="AK60" s="8">
        <v>2442.4072301931578</v>
      </c>
      <c r="AL60" s="8">
        <v>2386.2885634052418</v>
      </c>
      <c r="AM60" s="8">
        <v>2294.9286300605918</v>
      </c>
      <c r="AN60" s="8">
        <v>2272.0713849246099</v>
      </c>
      <c r="AO60" s="8">
        <v>2275.3744195076483</v>
      </c>
      <c r="AP60" s="8">
        <v>2256.1089277244246</v>
      </c>
      <c r="AQ60" s="8">
        <v>3590.2598190447488</v>
      </c>
      <c r="AR60" s="8">
        <v>3512.9695480569312</v>
      </c>
      <c r="AS60" s="8">
        <v>3472.7496807953025</v>
      </c>
      <c r="AT60" s="8">
        <v>3451.2753765653038</v>
      </c>
      <c r="AU60" s="8">
        <v>3432.2512306425183</v>
      </c>
      <c r="AV60" s="8">
        <v>3378.883513930115</v>
      </c>
      <c r="AW60" s="8">
        <v>3327.9480630414541</v>
      </c>
      <c r="AX60" s="8">
        <v>3269.2823562840808</v>
      </c>
      <c r="AY60" s="8">
        <v>3187.7179771271954</v>
      </c>
      <c r="AZ60" s="8">
        <v>3102.5641193539814</v>
      </c>
      <c r="BA60" s="8">
        <v>3050.5516254778918</v>
      </c>
      <c r="BB60" s="8">
        <v>2998.7590112161843</v>
      </c>
      <c r="BC60" s="8">
        <v>3816.0624862837421</v>
      </c>
      <c r="BD60" s="8">
        <v>3757.2927102363133</v>
      </c>
      <c r="BE60" s="8">
        <v>3711.8128496092136</v>
      </c>
      <c r="BF60" s="8">
        <v>2826.3348418143951</v>
      </c>
      <c r="BH60" s="8">
        <f t="shared" si="5"/>
        <v>15935.541435851803</v>
      </c>
      <c r="BI60" s="8">
        <f t="shared" si="6"/>
        <v>34765.568324850596</v>
      </c>
      <c r="BJ60" s="8">
        <f t="shared" si="7"/>
        <v>33048.326040444452</v>
      </c>
    </row>
    <row r="61" spans="1:62" x14ac:dyDescent="0.25">
      <c r="A61" s="9" t="s">
        <v>116</v>
      </c>
      <c r="B61" s="9" t="s">
        <v>644</v>
      </c>
      <c r="C61" s="10">
        <v>44927</v>
      </c>
      <c r="D61" s="6" cm="1">
        <f t="array" ref="D61">_xlfn.LET(
  _xlpm.aralık, Y61:BF61,
  _xlpm.ilk, MATCH(TRUE, _xlpm.aralık&lt;&gt;0, 0),
  _xlpm.son, MIN(_xlpm.ilk+2, COLUMNS(_xlpm.aralık)),
  MAX(INDEX(_xlpm.aralık, _xlpm.ilk):INDEX(_xlpm.aralık, _xlpm.son))
)</f>
        <v>2456.24133406291</v>
      </c>
      <c r="E61" s="6">
        <f t="shared" si="0"/>
        <v>2346.4739539993798</v>
      </c>
      <c r="F61" s="6">
        <f t="shared" si="1"/>
        <v>2608.0860685320708</v>
      </c>
      <c r="G61" s="6">
        <f t="shared" si="8"/>
        <v>2809.1852718945338</v>
      </c>
      <c r="H61" s="7">
        <f t="shared" si="2"/>
        <v>-4.4689167363681725E-2</v>
      </c>
      <c r="I61" s="7">
        <f t="shared" si="3"/>
        <v>6.1819957332120902E-2</v>
      </c>
      <c r="J61" s="7">
        <f t="shared" si="4"/>
        <v>0.11149159106871562</v>
      </c>
      <c r="K61" s="7">
        <f t="shared" si="9"/>
        <v>0.14369269539480198</v>
      </c>
      <c r="L61" s="5" t="s">
        <v>418</v>
      </c>
      <c r="M61" s="7">
        <f>IF(R61="",(VLOOKUP(A61,[1]Export!$B$2:$H$680,7,0)),"CHURN")</f>
        <v>0.45480516213064659</v>
      </c>
      <c r="N61" s="5">
        <f t="shared" si="10"/>
        <v>1531.5533088555158</v>
      </c>
      <c r="O61" s="5">
        <f t="shared" si="11"/>
        <v>1279.2854869153525</v>
      </c>
      <c r="P61" s="5">
        <f t="shared" si="12"/>
        <v>1421.9150612826618</v>
      </c>
      <c r="Q61" s="5" t="str">
        <f>VLOOKUP(A61,[4]Sheet2!$A$1:$B$142,2,0)</f>
        <v>MEDIUM RISK</v>
      </c>
      <c r="T61" s="6" t="str" cm="1">
        <f t="array" ref="T61">IF(R61&lt;&gt;"Churn","",
 _xlfn.LET(
   _xlpm.rng,Y61:BF61,
   _xlpm.pos,MAX(IF((_xlpm.rng&lt;&gt;0)*(_xlpm.rng&lt;&gt;""),COLUMN(_xlpm.rng)-COLUMN(Y61)+1)),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1" s="6" t="str" cm="1">
        <f t="array" ref="U61">IF(R61="Churn",
   MAX(IF((Y61:BF61&lt;&gt;"")*(Y61:BF61&lt;&gt;0), COLUMN(Y61:BF61)-COLUMN(Y61)+1))
   -MATCH(1, --((Y61:BF61&lt;&gt;"")*(Y61:BF61&lt;&gt;0)), 0)
   +1,
"")</f>
        <v/>
      </c>
      <c r="V61" s="6" t="str" cm="1">
        <f t="array" ref="V61">IFERROR(
    IF(
        MATCH(2,1/((Y61:BF61&lt;&gt;0)*(Y61:BF61&lt;&gt;"")))-MATCH(1,INDEX((Y61:BF61&lt;&gt;0)*(Y61:BF61&lt;&gt;""),0),0)+1 &lt;= 12,
        "No",
        "Yes"
    ),
    "No"
)</f>
        <v>Yes</v>
      </c>
      <c r="W61" s="6" t="str" cm="1">
        <f t="array" ref="W61">IFERROR(
    IF(
        MATCH(2,1/((Y61:BF61&lt;&gt;0)*(Y61:BF61&lt;&gt;"")))-MATCH(1,INDEX((Y61:BF61&lt;&gt;0)*(Y61:BF61&lt;&gt;""),0),0)+1 &lt;= 24,
        "No",
        "Yes"
    ),
    "No"
)</f>
        <v>Yes</v>
      </c>
      <c r="Y61" s="8">
        <v>1888.1485376073524</v>
      </c>
      <c r="Z61" s="8">
        <v>2456.24133406291</v>
      </c>
      <c r="AA61" s="8">
        <v>2449.2118904609479</v>
      </c>
      <c r="AB61" s="8">
        <v>2432.3478071697546</v>
      </c>
      <c r="AC61" s="8">
        <v>2425.6713281027683</v>
      </c>
      <c r="AD61" s="8">
        <v>2291.204471641995</v>
      </c>
      <c r="AE61" s="8">
        <v>2444.6898997920853</v>
      </c>
      <c r="AF61" s="8">
        <v>2427.4078682707705</v>
      </c>
      <c r="AG61" s="8">
        <v>2426.5762042443566</v>
      </c>
      <c r="AH61" s="8">
        <v>2398.9798189489647</v>
      </c>
      <c r="AI61" s="8">
        <v>2375.0911897323222</v>
      </c>
      <c r="AJ61" s="8">
        <v>2361.9429597421067</v>
      </c>
      <c r="AK61" s="8">
        <v>2346.4739539993798</v>
      </c>
      <c r="AL61" s="8">
        <v>2421.8176362220729</v>
      </c>
      <c r="AM61" s="8">
        <v>2388.9123007876383</v>
      </c>
      <c r="AN61" s="8">
        <v>2400.4871042175232</v>
      </c>
      <c r="AO61" s="8">
        <v>2401.7046050788226</v>
      </c>
      <c r="AP61" s="8">
        <v>2394.6033313107914</v>
      </c>
      <c r="AQ61" s="8">
        <v>2384.9702933520862</v>
      </c>
      <c r="AR61" s="8">
        <v>2389.2751097388787</v>
      </c>
      <c r="AS61" s="8">
        <v>2599.3799375633903</v>
      </c>
      <c r="AT61" s="8">
        <v>2597.1118330937934</v>
      </c>
      <c r="AU61" s="8">
        <v>2595.1025130275611</v>
      </c>
      <c r="AV61" s="8">
        <v>2591.4658434753774</v>
      </c>
      <c r="AW61" s="8">
        <v>2608.0860685320708</v>
      </c>
      <c r="AX61" s="8">
        <v>2769.4401573414029</v>
      </c>
      <c r="AY61" s="8">
        <v>2756.645206795069</v>
      </c>
      <c r="AZ61" s="8">
        <v>2743.2871770975444</v>
      </c>
      <c r="BA61" s="8">
        <v>2844.3580113708485</v>
      </c>
      <c r="BB61" s="8">
        <v>2836.2333380147352</v>
      </c>
      <c r="BC61" s="8">
        <v>2827.1848517728185</v>
      </c>
      <c r="BD61" s="8">
        <v>2820.0795409684524</v>
      </c>
      <c r="BE61" s="8">
        <v>2814.5809910874041</v>
      </c>
      <c r="BF61" s="8">
        <v>2809.1852718945338</v>
      </c>
      <c r="BH61" s="8">
        <f t="shared" si="5"/>
        <v>28377.513309776336</v>
      </c>
      <c r="BI61" s="8">
        <f t="shared" si="6"/>
        <v>29511.304461867312</v>
      </c>
      <c r="BJ61" s="8">
        <f t="shared" si="7"/>
        <v>27829.080614874882</v>
      </c>
    </row>
    <row r="62" spans="1:62" x14ac:dyDescent="0.25">
      <c r="A62" s="9" t="s">
        <v>73</v>
      </c>
      <c r="B62" s="9" t="s">
        <v>644</v>
      </c>
      <c r="C62" s="10">
        <v>44927</v>
      </c>
      <c r="D62" s="6" cm="1">
        <f t="array" ref="D62">_xlfn.LET(
  _xlpm.aralık, Y62:BF62,
  _xlpm.ilk, MATCH(TRUE, _xlpm.aralık&lt;&gt;0, 0),
  _xlpm.son, MIN(_xlpm.ilk+2, COLUMNS(_xlpm.aralık)),
  MAX(INDEX(_xlpm.aralık, _xlpm.ilk):INDEX(_xlpm.aralık, _xlpm.son))
)</f>
        <v>1138.0001160147865</v>
      </c>
      <c r="E62" s="6">
        <f t="shared" si="0"/>
        <v>2467.5270802143314</v>
      </c>
      <c r="F62" s="6">
        <f t="shared" si="1"/>
        <v>2.165</v>
      </c>
      <c r="G62" s="6">
        <f t="shared" si="8"/>
        <v>2713.8793102990999</v>
      </c>
      <c r="H62" s="7">
        <f t="shared" si="2"/>
        <v>1.1683012554124115</v>
      </c>
      <c r="I62" s="7">
        <f t="shared" si="3"/>
        <v>-0.99809753973700666</v>
      </c>
      <c r="J62" s="7">
        <f t="shared" si="4"/>
        <v>-0.99912260334755398</v>
      </c>
      <c r="K62" s="7">
        <f t="shared" si="9"/>
        <v>1.3847794671611768</v>
      </c>
      <c r="L62" s="5" t="s">
        <v>422</v>
      </c>
      <c r="M62" s="7">
        <f>IF(R62="",(VLOOKUP(A62,[1]Export!$B$2:$H$680,7,0)),"CHURN")</f>
        <v>0.35589991976070623</v>
      </c>
      <c r="N62" s="5">
        <f t="shared" si="10"/>
        <v>1748.0098815234094</v>
      </c>
      <c r="O62" s="5">
        <f t="shared" si="11"/>
        <v>1589.334390358681</v>
      </c>
      <c r="P62" s="5">
        <f t="shared" si="12"/>
        <v>1.3944766737180709</v>
      </c>
      <c r="Q62" s="5" t="str">
        <f>VLOOKUP(A62,[4]Sheet2!$A$1:$B$142,2,0)</f>
        <v xml:space="preserve">NO RISK </v>
      </c>
      <c r="T62" s="6" t="str" cm="1">
        <f t="array" ref="T62">IF(R62&lt;&gt;"Churn","",
 _xlfn.LET(
   _xlpm.rng,Y62:BF62,
   _xlpm.pos,MAX(IF((_xlpm.rng&lt;&gt;0)*(_xlpm.rng&lt;&gt;""),COLUMN(_xlpm.rng)-COLUMN(Y62)+1)),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2" s="6" t="str" cm="1">
        <f t="array" ref="U62">IF(R62="Churn",
   MAX(IF((Y62:BF62&lt;&gt;"")*(Y62:BF62&lt;&gt;0), COLUMN(Y62:BF62)-COLUMN(Y62)+1))
   -MATCH(1, --((Y62:BF62&lt;&gt;"")*(Y62:BF62&lt;&gt;0)), 0)
   +1,
"")</f>
        <v/>
      </c>
      <c r="V62" s="6" t="str" cm="1">
        <f t="array" ref="V62">IFERROR(
    IF(
        MATCH(2,1/((Y62:BF62&lt;&gt;0)*(Y62:BF62&lt;&gt;"")))-MATCH(1,INDEX((Y62:BF62&lt;&gt;0)*(Y62:BF62&lt;&gt;""),0),0)+1 &lt;= 12,
        "No",
        "Yes"
    ),
    "No"
)</f>
        <v>Yes</v>
      </c>
      <c r="W62" s="6" t="str" cm="1">
        <f t="array" ref="W62">IFERROR(
    IF(
        MATCH(2,1/((Y62:BF62&lt;&gt;0)*(Y62:BF62&lt;&gt;"")))-MATCH(1,INDEX((Y62:BF62&lt;&gt;0)*(Y62:BF62&lt;&gt;""),0),0)+1 &lt;= 24,
        "No",
        "Yes"
    ),
    "No"
)</f>
        <v>Yes</v>
      </c>
      <c r="X62" s="6"/>
      <c r="Y62" s="8">
        <v>1093.8613840273374</v>
      </c>
      <c r="Z62" s="8">
        <v>1090.0609338227873</v>
      </c>
      <c r="AA62" s="8">
        <v>1138.0001160147865</v>
      </c>
      <c r="AB62" s="8">
        <v>1117.7819445667431</v>
      </c>
      <c r="AC62" s="8">
        <v>1148.9694703036707</v>
      </c>
      <c r="AD62" s="8">
        <v>1137.1747974428224</v>
      </c>
      <c r="AE62" s="8">
        <v>1385.8637157215842</v>
      </c>
      <c r="AF62" s="8">
        <v>1359.6467305484443</v>
      </c>
      <c r="AG62" s="8">
        <v>1389.2692089252505</v>
      </c>
      <c r="AH62" s="8">
        <v>1346.4491152153744</v>
      </c>
      <c r="AI62" s="8">
        <v>1309.3821830535041</v>
      </c>
      <c r="AJ62" s="8">
        <v>2548.7379155717349</v>
      </c>
      <c r="AK62" s="8">
        <v>2467.5270802143314</v>
      </c>
      <c r="AL62" s="8">
        <v>2410.8312400231948</v>
      </c>
      <c r="AM62" s="8">
        <v>2414.6869439066113</v>
      </c>
      <c r="AN62" s="8">
        <v>2390.6584818684023</v>
      </c>
      <c r="AO62" s="8">
        <v>2394.1307656286399</v>
      </c>
      <c r="AP62" s="8">
        <v>2373.8781002174487</v>
      </c>
      <c r="AQ62" s="8">
        <v>2346.404903007498</v>
      </c>
      <c r="AR62" s="8">
        <v>2295.9386564136475</v>
      </c>
      <c r="AS62" s="8">
        <v>2390.7173208890613</v>
      </c>
      <c r="AT62" s="8">
        <v>2376.6957950378537</v>
      </c>
      <c r="AU62" s="8">
        <v>2364.2740862366518</v>
      </c>
      <c r="AV62" s="8">
        <v>3173.970482597384</v>
      </c>
      <c r="AW62" s="8">
        <v>2.165</v>
      </c>
      <c r="AX62" s="8">
        <v>2.165</v>
      </c>
      <c r="AY62" s="8">
        <v>109.49671333400009</v>
      </c>
      <c r="AZ62" s="8">
        <v>2907.9085621863323</v>
      </c>
      <c r="BA62" s="8">
        <v>2857.0306384820592</v>
      </c>
      <c r="BB62" s="8">
        <v>2848.5236456624907</v>
      </c>
      <c r="BC62" s="8">
        <v>2794.5011837213788</v>
      </c>
      <c r="BD62" s="8">
        <v>2752.080123198512</v>
      </c>
      <c r="BE62" s="8">
        <v>2719.25195794097</v>
      </c>
      <c r="BF62" s="8">
        <v>2713.8793102990999</v>
      </c>
      <c r="BH62" s="8">
        <f t="shared" si="5"/>
        <v>16065.19751521404</v>
      </c>
      <c r="BI62" s="8">
        <f t="shared" si="6"/>
        <v>29399.713856040726</v>
      </c>
      <c r="BJ62" s="8">
        <f t="shared" si="7"/>
        <v>19707.002134824841</v>
      </c>
    </row>
    <row r="63" spans="1:62" x14ac:dyDescent="0.25">
      <c r="A63" s="9" t="s">
        <v>107</v>
      </c>
      <c r="B63" s="9" t="s">
        <v>644</v>
      </c>
      <c r="C63" s="10">
        <v>44927</v>
      </c>
      <c r="D63" s="6" cm="1">
        <f t="array" ref="D63">_xlfn.LET(
  _xlpm.aralık, Y63:BF63,
  _xlpm.ilk, MATCH(TRUE, _xlpm.aralık&lt;&gt;0, 0),
  _xlpm.son, MIN(_xlpm.ilk+2, COLUMNS(_xlpm.aralık)),
  MAX(INDEX(_xlpm.aralık, _xlpm.ilk):INDEX(_xlpm.aralık, _xlpm.son))
)</f>
        <v>1123.9071723505124</v>
      </c>
      <c r="E63" s="6">
        <f t="shared" si="0"/>
        <v>1462.8439838417653</v>
      </c>
      <c r="F63" s="6">
        <f t="shared" si="1"/>
        <v>2333.5484682017855</v>
      </c>
      <c r="G63" s="6">
        <f t="shared" si="8"/>
        <v>2665.6177664646361</v>
      </c>
      <c r="H63" s="7">
        <f t="shared" si="2"/>
        <v>0.30157011168672287</v>
      </c>
      <c r="I63" s="7">
        <f t="shared" si="3"/>
        <v>1.0762822104973833</v>
      </c>
      <c r="J63" s="7">
        <f t="shared" si="4"/>
        <v>0.59521349780128263</v>
      </c>
      <c r="K63" s="7">
        <f t="shared" si="9"/>
        <v>1.3717419303320464</v>
      </c>
      <c r="L63" s="5" t="s">
        <v>417</v>
      </c>
      <c r="M63" s="7">
        <f>IF(R63="",(VLOOKUP(A63,[1]Export!$B$2:$H$680,7,0)),"CHURN")</f>
        <v>0.5827660190984274</v>
      </c>
      <c r="N63" s="5">
        <f t="shared" si="10"/>
        <v>1112.1863122639986</v>
      </c>
      <c r="O63" s="5">
        <f t="shared" si="11"/>
        <v>610.34821881621542</v>
      </c>
      <c r="P63" s="5">
        <f t="shared" si="12"/>
        <v>973.63571701459773</v>
      </c>
      <c r="Q63" s="5" t="s">
        <v>430</v>
      </c>
      <c r="T63" s="6" t="str" cm="1">
        <f t="array" ref="T63">IF(R63&lt;&gt;"Churn","",
 _xlfn.LET(
   _xlpm.rng,Y63:BF63,
   _xlpm.pos,MAX(IF((_xlpm.rng&lt;&gt;0)*(_xlpm.rng&lt;&gt;""),COLUMN(_xlpm.rng)-COLUMN(Y63)+1)),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3" s="6" t="str" cm="1">
        <f t="array" ref="U63">IF(R63="Churn",
   MAX(IF((Y63:BF63&lt;&gt;"")*(Y63:BF63&lt;&gt;0), COLUMN(Y63:BF63)-COLUMN(Y63)+1))
   -MATCH(1, --((Y63:BF63&lt;&gt;"")*(Y63:BF63&lt;&gt;0)), 0)
   +1,
"")</f>
        <v/>
      </c>
      <c r="V63" s="6" t="str" cm="1">
        <f t="array" ref="V63">IFERROR(
    IF(
        MATCH(2,1/((Y63:BF63&lt;&gt;0)*(Y63:BF63&lt;&gt;"")))-MATCH(1,INDEX((Y63:BF63&lt;&gt;0)*(Y63:BF63&lt;&gt;""),0),0)+1 &lt;= 12,
        "No",
        "Yes"
    ),
    "No"
)</f>
        <v>Yes</v>
      </c>
      <c r="W63" s="6" t="str" cm="1">
        <f t="array" ref="W63">IFERROR(
    IF(
        MATCH(2,1/((Y63:BF63&lt;&gt;0)*(Y63:BF63&lt;&gt;"")))-MATCH(1,INDEX((Y63:BF63&lt;&gt;0)*(Y63:BF63&lt;&gt;""),0),0)+1 &lt;= 24,
        "No",
        "Yes"
    ),
    "No"
)</f>
        <v>Yes</v>
      </c>
      <c r="Y63" s="8">
        <v>1040.9152241940901</v>
      </c>
      <c r="Z63" s="8">
        <v>1089.4649803173659</v>
      </c>
      <c r="AA63" s="8">
        <v>1123.9071723505124</v>
      </c>
      <c r="AB63" s="8">
        <v>1141.5712961188433</v>
      </c>
      <c r="AC63" s="8">
        <v>1179.8819870726452</v>
      </c>
      <c r="AD63" s="8">
        <v>1190.1039109774024</v>
      </c>
      <c r="AE63" s="8">
        <v>1275.165601910237</v>
      </c>
      <c r="AF63" s="8">
        <v>1298.1068125494626</v>
      </c>
      <c r="AG63" s="8">
        <v>1404.2290124465001</v>
      </c>
      <c r="AH63" s="8">
        <v>1391.6927996552026</v>
      </c>
      <c r="AI63" s="8">
        <v>1434.8409095997956</v>
      </c>
      <c r="AJ63" s="8">
        <v>1451.8680618075239</v>
      </c>
      <c r="AK63" s="8">
        <v>1462.8439838417653</v>
      </c>
      <c r="AL63" s="8">
        <v>1500.4495535277981</v>
      </c>
      <c r="AM63" s="8">
        <v>1682.3087819175269</v>
      </c>
      <c r="AN63" s="8">
        <v>1677.2274720966855</v>
      </c>
      <c r="AO63" s="8">
        <v>1686.4617575263392</v>
      </c>
      <c r="AP63" s="8">
        <v>1682.1789171394489</v>
      </c>
      <c r="AQ63" s="8">
        <v>1956.9371494524764</v>
      </c>
      <c r="AR63" s="8">
        <v>1940.2250271666283</v>
      </c>
      <c r="AS63" s="8">
        <v>1967.0284689658829</v>
      </c>
      <c r="AT63" s="8">
        <v>2060.3851782423735</v>
      </c>
      <c r="AU63" s="8">
        <v>2097.7716740589622</v>
      </c>
      <c r="AV63" s="8">
        <v>2138.2322164219877</v>
      </c>
      <c r="AW63" s="8">
        <v>2333.5484682017855</v>
      </c>
      <c r="AX63" s="8">
        <v>2372.7069973442667</v>
      </c>
      <c r="AY63" s="8">
        <v>2519.409962261584</v>
      </c>
      <c r="AZ63" s="8">
        <v>2497.9312303753532</v>
      </c>
      <c r="BA63" s="8">
        <v>2482.2465048690187</v>
      </c>
      <c r="BB63" s="8">
        <v>2466.6280855737309</v>
      </c>
      <c r="BC63" s="8">
        <v>2697.5229884151654</v>
      </c>
      <c r="BD63" s="8">
        <v>2695.8011719900992</v>
      </c>
      <c r="BE63" s="8">
        <v>2679.0811775412417</v>
      </c>
      <c r="BF63" s="8">
        <v>2665.6177664646361</v>
      </c>
      <c r="BH63" s="8">
        <f t="shared" si="5"/>
        <v>15021.747768999581</v>
      </c>
      <c r="BI63" s="8">
        <f t="shared" si="6"/>
        <v>21852.050180357874</v>
      </c>
      <c r="BJ63" s="8">
        <f t="shared" si="7"/>
        <v>25410.49435303688</v>
      </c>
    </row>
    <row r="64" spans="1:62" x14ac:dyDescent="0.25">
      <c r="A64" s="9" t="s">
        <v>135</v>
      </c>
      <c r="B64" s="9" t="s">
        <v>644</v>
      </c>
      <c r="C64" s="10">
        <v>44927</v>
      </c>
      <c r="D64" s="6" cm="1">
        <f t="array" ref="D64">_xlfn.LET(
  _xlpm.aralık, Y64:BF64,
  _xlpm.ilk, MATCH(TRUE, _xlpm.aralık&lt;&gt;0, 0),
  _xlpm.son, MIN(_xlpm.ilk+2, COLUMNS(_xlpm.aralık)),
  MAX(INDEX(_xlpm.aralık, _xlpm.ilk):INDEX(_xlpm.aralık, _xlpm.son))
)</f>
        <v>1024.012938285407</v>
      </c>
      <c r="E64" s="6">
        <f t="shared" si="0"/>
        <v>1089.8865635322716</v>
      </c>
      <c r="F64" s="6">
        <f t="shared" si="1"/>
        <v>1483.0936000000002</v>
      </c>
      <c r="G64" s="6">
        <f t="shared" si="8"/>
        <v>2627.3274438153053</v>
      </c>
      <c r="H64" s="7">
        <f t="shared" si="2"/>
        <v>6.4328899356645264E-2</v>
      </c>
      <c r="I64" s="7">
        <f t="shared" si="3"/>
        <v>0.44831529422203531</v>
      </c>
      <c r="J64" s="7">
        <f t="shared" si="4"/>
        <v>0.36077794664553248</v>
      </c>
      <c r="K64" s="7">
        <f t="shared" si="9"/>
        <v>1.5657170389023265</v>
      </c>
      <c r="L64" s="5" t="s">
        <v>421</v>
      </c>
      <c r="M64" s="7">
        <f>IF(R64="",(VLOOKUP(A64,[1]Export!$B$2:$H$680,7,0)),"CHURN")</f>
        <v>0.31749132425399312</v>
      </c>
      <c r="N64" s="5">
        <f t="shared" si="10"/>
        <v>1793.1737744295251</v>
      </c>
      <c r="O64" s="5">
        <f t="shared" si="11"/>
        <v>743.85703518977675</v>
      </c>
      <c r="P64" s="5">
        <f t="shared" si="12"/>
        <v>1012.224248943378</v>
      </c>
      <c r="Q64" s="5" t="s">
        <v>430</v>
      </c>
      <c r="T64" s="6" t="str" cm="1">
        <f t="array" ref="T64">IF(R64&lt;&gt;"Churn","",
 _xlfn.LET(
   _xlpm.rng,Y64:BF64,
   _xlpm.pos,MAX(IF((_xlpm.rng&lt;&gt;0)*(_xlpm.rng&lt;&gt;""),COLUMN(_xlpm.rng)-COLUMN(Y64)+1)),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4" s="6" t="str" cm="1">
        <f t="array" ref="U64">IF(R64="Churn",
   MAX(IF((Y64:BF64&lt;&gt;"")*(Y64:BF64&lt;&gt;0), COLUMN(Y64:BF64)-COLUMN(Y64)+1))
   -MATCH(1, --((Y64:BF64&lt;&gt;"")*(Y64:BF64&lt;&gt;0)), 0)
   +1,
"")</f>
        <v/>
      </c>
      <c r="V64" s="6" t="str" cm="1">
        <f t="array" ref="V64">IFERROR(
    IF(
        MATCH(2,1/((Y64:BF64&lt;&gt;0)*(Y64:BF64&lt;&gt;"")))-MATCH(1,INDEX((Y64:BF64&lt;&gt;0)*(Y64:BF64&lt;&gt;""),0),0)+1 &lt;= 12,
        "No",
        "Yes"
    ),
    "No"
)</f>
        <v>Yes</v>
      </c>
      <c r="W64" s="6" t="str" cm="1">
        <f t="array" ref="W64">IFERROR(
    IF(
        MATCH(2,1/((Y64:BF64&lt;&gt;0)*(Y64:BF64&lt;&gt;"")))-MATCH(1,INDEX((Y64:BF64&lt;&gt;0)*(Y64:BF64&lt;&gt;""),0),0)+1 &lt;= 24,
        "No",
        "Yes"
    ),
    "No"
)</f>
        <v>Yes</v>
      </c>
      <c r="Y64" s="8">
        <v>1022.6212396645751</v>
      </c>
      <c r="Z64" s="8">
        <v>1022.2646982261723</v>
      </c>
      <c r="AA64" s="8">
        <v>1024.012938285407</v>
      </c>
      <c r="AB64" s="8">
        <v>1024.2030182667654</v>
      </c>
      <c r="AC64" s="8">
        <v>1079.3126170332127</v>
      </c>
      <c r="AD64" s="8">
        <v>1093.6009125705104</v>
      </c>
      <c r="AE64" s="8">
        <v>1080.9594266774222</v>
      </c>
      <c r="AF64" s="8">
        <v>1079.0965211237149</v>
      </c>
      <c r="AG64" s="8">
        <v>1079.0068724309838</v>
      </c>
      <c r="AH64" s="8">
        <v>1077.2321376976497</v>
      </c>
      <c r="AI64" s="8">
        <v>1074.6570781635173</v>
      </c>
      <c r="AJ64" s="8">
        <v>1091.2397731065289</v>
      </c>
      <c r="AK64" s="8">
        <v>1089.8865635322716</v>
      </c>
      <c r="AL64" s="8">
        <v>1100.3946379134877</v>
      </c>
      <c r="AM64" s="8">
        <v>1098.0518275942879</v>
      </c>
      <c r="AN64" s="8">
        <v>1108.2405123088902</v>
      </c>
      <c r="AO64" s="8">
        <v>1151.8461432942456</v>
      </c>
      <c r="AP64" s="8">
        <v>1170.7941026580511</v>
      </c>
      <c r="AQ64" s="8">
        <v>1172.3669858176627</v>
      </c>
      <c r="AR64" s="8">
        <v>1169.7454769399417</v>
      </c>
      <c r="AS64" s="8">
        <v>1168.3813112080898</v>
      </c>
      <c r="AT64" s="8">
        <v>1167.652952017957</v>
      </c>
      <c r="AU64" s="8">
        <v>1167.0076965829553</v>
      </c>
      <c r="AV64" s="8">
        <v>1165.1975859266306</v>
      </c>
      <c r="AW64" s="8">
        <v>1483.0936000000002</v>
      </c>
      <c r="AX64" s="8">
        <v>2102.446657119518</v>
      </c>
      <c r="AY64" s="8">
        <v>2096.016050708502</v>
      </c>
      <c r="AZ64" s="8">
        <v>2113.2024466894495</v>
      </c>
      <c r="BA64" s="8">
        <v>2109.1017365506623</v>
      </c>
      <c r="BB64" s="8">
        <v>2108.0183619114218</v>
      </c>
      <c r="BC64" s="8">
        <v>2503.4706887159255</v>
      </c>
      <c r="BD64" s="8">
        <v>2632.7996348814181</v>
      </c>
      <c r="BE64" s="8">
        <v>2630.0392750418555</v>
      </c>
      <c r="BF64" s="8">
        <v>2627.3274438153053</v>
      </c>
      <c r="BH64" s="8">
        <f t="shared" si="5"/>
        <v>12748.20723324646</v>
      </c>
      <c r="BI64" s="8">
        <f t="shared" si="6"/>
        <v>13729.565795794473</v>
      </c>
      <c r="BJ64" s="8">
        <f t="shared" si="7"/>
        <v>22405.515895434059</v>
      </c>
    </row>
    <row r="65" spans="1:62" x14ac:dyDescent="0.25">
      <c r="A65" s="9" t="s">
        <v>69</v>
      </c>
      <c r="B65" s="9" t="s">
        <v>644</v>
      </c>
      <c r="C65" s="10">
        <v>44927</v>
      </c>
      <c r="D65" s="6" cm="1">
        <f t="array" ref="D65">_xlfn.LET(
  _xlpm.aralık, Y65:BF65,
  _xlpm.ilk, MATCH(TRUE, _xlpm.aralık&lt;&gt;0, 0),
  _xlpm.son, MIN(_xlpm.ilk+2, COLUMNS(_xlpm.aralık)),
  MAX(INDEX(_xlpm.aralık, _xlpm.ilk):INDEX(_xlpm.aralık, _xlpm.son))
)</f>
        <v>568.08804362155979</v>
      </c>
      <c r="E65" s="6">
        <f t="shared" si="0"/>
        <v>894.72602966233103</v>
      </c>
      <c r="F65" s="6">
        <f t="shared" si="1"/>
        <v>1676.6959130005364</v>
      </c>
      <c r="G65" s="6">
        <f t="shared" si="8"/>
        <v>2531.4396038821246</v>
      </c>
      <c r="H65" s="7">
        <f t="shared" si="2"/>
        <v>0.57497775161479359</v>
      </c>
      <c r="I65" s="7">
        <f t="shared" si="3"/>
        <v>1.9514719273294405</v>
      </c>
      <c r="J65" s="7">
        <f t="shared" si="4"/>
        <v>0.87397690177105969</v>
      </c>
      <c r="K65" s="7">
        <f t="shared" si="9"/>
        <v>3.4560691468600604</v>
      </c>
      <c r="L65" s="5" t="s">
        <v>418</v>
      </c>
      <c r="M65" s="7">
        <f>IF(R65="",(VLOOKUP(A65,[1]Export!$B$2:$H$680,7,0)),"CHURN")</f>
        <v>0.58498256513071778</v>
      </c>
      <c r="N65" s="5">
        <f t="shared" si="10"/>
        <v>1050.5915709296712</v>
      </c>
      <c r="O65" s="5">
        <f t="shared" si="11"/>
        <v>371.32690174123792</v>
      </c>
      <c r="P65" s="5">
        <f t="shared" si="12"/>
        <v>695.85803686929182</v>
      </c>
      <c r="Q65" s="5" t="str">
        <f>VLOOKUP(A65,[4]Sheet2!$A$1:$B$142,2,0)</f>
        <v>NO RISK</v>
      </c>
      <c r="T65" s="6" t="str" cm="1">
        <f t="array" ref="T65">IF(R65&lt;&gt;"Churn","",
 _xlfn.LET(
   _xlpm.rng,Y65:BF65,
   _xlpm.pos,MAX(IF((_xlpm.rng&lt;&gt;0)*(_xlpm.rng&lt;&gt;""),COLUMN(_xlpm.rng)-COLUMN(Y65)+1)),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5" s="6" t="str" cm="1">
        <f t="array" ref="U65">IF(R65="Churn",
   MAX(IF((Y65:BF65&lt;&gt;"")*(Y65:BF65&lt;&gt;0), COLUMN(Y65:BF65)-COLUMN(Y65)+1))
   -MATCH(1, --((Y65:BF65&lt;&gt;"")*(Y65:BF65&lt;&gt;0)), 0)
   +1,
"")</f>
        <v/>
      </c>
      <c r="V65" s="6" t="str" cm="1">
        <f t="array" ref="V65">IFERROR(
    IF(
        MATCH(2,1/((Y65:BF65&lt;&gt;0)*(Y65:BF65&lt;&gt;"")))-MATCH(1,INDEX((Y65:BF65&lt;&gt;0)*(Y65:BF65&lt;&gt;""),0),0)+1 &lt;= 12,
        "No",
        "Yes"
    ),
    "No"
)</f>
        <v>Yes</v>
      </c>
      <c r="W65" s="6" t="str" cm="1">
        <f t="array" ref="W65">IFERROR(
    IF(
        MATCH(2,1/((Y65:BF65&lt;&gt;0)*(Y65:BF65&lt;&gt;"")))-MATCH(1,INDEX((Y65:BF65&lt;&gt;0)*(Y65:BF65&lt;&gt;""),0),0)+1 &lt;= 24,
        "No",
        "Yes"
    ),
    "No"
)</f>
        <v>Yes</v>
      </c>
      <c r="Y65" s="8">
        <v>567.54222610790953</v>
      </c>
      <c r="Z65" s="8">
        <v>566.02135924393178</v>
      </c>
      <c r="AA65" s="8">
        <v>568.08804362155979</v>
      </c>
      <c r="AB65" s="8">
        <v>569.30124054055455</v>
      </c>
      <c r="AC65" s="8">
        <v>998.57622363713961</v>
      </c>
      <c r="AD65" s="8">
        <v>901.60242457522827</v>
      </c>
      <c r="AE65" s="8">
        <v>843.25716838792505</v>
      </c>
      <c r="AF65" s="8">
        <v>834.6596359556072</v>
      </c>
      <c r="AG65" s="8">
        <v>1076.1492549175368</v>
      </c>
      <c r="AH65" s="8">
        <v>653.1117222495443</v>
      </c>
      <c r="AI65" s="8">
        <v>778.37519506418175</v>
      </c>
      <c r="AJ65" s="8">
        <v>909.72473103429274</v>
      </c>
      <c r="AK65" s="8">
        <v>894.72602966233103</v>
      </c>
      <c r="AL65" s="8">
        <v>888.25491047751848</v>
      </c>
      <c r="AM65" s="8">
        <v>1121.8488631251137</v>
      </c>
      <c r="AN65" s="8">
        <v>1115.0876006302867</v>
      </c>
      <c r="AO65" s="8">
        <v>1116.0646511765162</v>
      </c>
      <c r="AP65" s="8">
        <v>1447.2325684840796</v>
      </c>
      <c r="AQ65" s="8">
        <v>1435.5998463828737</v>
      </c>
      <c r="AR65" s="8">
        <v>1415.2313897874928</v>
      </c>
      <c r="AS65" s="8">
        <v>1408.911795084719</v>
      </c>
      <c r="AT65" s="8">
        <v>1402.9747899223605</v>
      </c>
      <c r="AU65" s="8">
        <v>1403.7151805146086</v>
      </c>
      <c r="AV65" s="8">
        <v>1388.9605972586728</v>
      </c>
      <c r="AW65" s="8">
        <v>1676.6959130005364</v>
      </c>
      <c r="AX65" s="8">
        <v>1755.8894597508934</v>
      </c>
      <c r="AY65" s="8">
        <v>1629.3783085803564</v>
      </c>
      <c r="AZ65" s="8">
        <v>1600.6564488890413</v>
      </c>
      <c r="BA65" s="8">
        <v>1605.3329624238349</v>
      </c>
      <c r="BB65" s="8">
        <v>1677.8332886318085</v>
      </c>
      <c r="BC65" s="8">
        <v>1667.0740772086003</v>
      </c>
      <c r="BD65" s="8">
        <v>1650.6054166095037</v>
      </c>
      <c r="BE65" s="8">
        <v>1926.2757799695651</v>
      </c>
      <c r="BF65" s="8">
        <v>2531.4396038821246</v>
      </c>
      <c r="BH65" s="8">
        <f t="shared" si="5"/>
        <v>9266.4092253354138</v>
      </c>
      <c r="BI65" s="8">
        <f t="shared" si="6"/>
        <v>15038.608222506573</v>
      </c>
      <c r="BJ65" s="8">
        <f t="shared" si="7"/>
        <v>17721.181258946264</v>
      </c>
    </row>
    <row r="66" spans="1:62" x14ac:dyDescent="0.25">
      <c r="A66" s="9" t="s">
        <v>438</v>
      </c>
      <c r="B66" s="9" t="s">
        <v>643</v>
      </c>
      <c r="C66" s="10">
        <f>VLOOKUP(A66,'[2]Revenue_Engine_2025 Oct.25'!$C$14:G$3937,5,0)</f>
        <v>45505</v>
      </c>
      <c r="D66" s="6" cm="1">
        <f t="array" ref="D66">_xlfn.LET(
  _xlpm.aralık, Y66:BF66,
  _xlpm.ilk, MATCH(TRUE, _xlpm.aralık&lt;&gt;0, 0),
  _xlpm.son, MIN(_xlpm.ilk+2, COLUMNS(_xlpm.aralık)),
  MAX(INDEX(_xlpm.aralık, _xlpm.ilk):INDEX(_xlpm.aralık, _xlpm.son))
)</f>
        <v>2500</v>
      </c>
      <c r="E66" s="6">
        <f t="shared" ref="E66:E129" si="13">IFERROR(INDEX($Y66:$BF66,MATCH(TEXT(EDATE($C66,12),"mmm.yy"),$Y$1:$BF$1,0)),0)</f>
        <v>2500</v>
      </c>
      <c r="F66" s="6">
        <f t="shared" ref="F66:F129" si="14">IFERROR(INDEX($Y66:$BF66,MATCH(TEXT(EDATE($C66,24),"mmm.yy"),$Y$1:$BF$1,0)),0)</f>
        <v>0</v>
      </c>
      <c r="G66" s="6">
        <f t="shared" si="8"/>
        <v>2500</v>
      </c>
      <c r="H66" s="7">
        <f t="shared" ref="H66:H129" si="15">(E66-D66)/D66</f>
        <v>0</v>
      </c>
      <c r="I66" s="7">
        <f t="shared" ref="I66:I129" si="16">(F66-D66)/D66</f>
        <v>-1</v>
      </c>
      <c r="J66" s="7">
        <f t="shared" ref="J66:J129" si="17">(F66-E66)/E66</f>
        <v>-1</v>
      </c>
      <c r="K66" s="7">
        <f t="shared" si="9"/>
        <v>0</v>
      </c>
      <c r="L66" s="5" t="s">
        <v>422</v>
      </c>
      <c r="M66" s="7">
        <f>IF(R66="",(VLOOKUP(A66,[1]Export!$B$2:$H$680,7,0)),"CHURN")</f>
        <v>0.30404799999999998</v>
      </c>
      <c r="N66" s="5">
        <f t="shared" si="10"/>
        <v>1739.88</v>
      </c>
      <c r="O66" s="5">
        <f t="shared" si="11"/>
        <v>1739.88</v>
      </c>
      <c r="P66" s="5">
        <f t="shared" si="12"/>
        <v>0</v>
      </c>
      <c r="Q66" s="5" t="s">
        <v>430</v>
      </c>
      <c r="T66" s="6" t="str" cm="1">
        <f t="array" ref="T66">IF(R66&lt;&gt;"Churn","",
 _xlfn.LET(
   _xlpm.rng,Y66:BF66,
   _xlpm.pos,MAX(IF((_xlpm.rng&lt;&gt;0)*(_xlpm.rng&lt;&gt;""),COLUMN(_xlpm.rng)-COLUMN(Y66)+1)),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6" s="6" t="str" cm="1">
        <f t="array" ref="U66">IF(R66="Churn",
   MAX(IF((Y66:BF66&lt;&gt;"")*(Y66:BF66&lt;&gt;0), COLUMN(Y66:BF66)-COLUMN(Y66)+1))
   -MATCH(1, --((Y66:BF66&lt;&gt;"")*(Y66:BF66&lt;&gt;0)), 0)
   +1,
"")</f>
        <v/>
      </c>
      <c r="V66" s="6" t="str" cm="1">
        <f t="array" ref="V66">IFERROR(
    IF(
        MATCH(2,1/((Y66:BF66&lt;&gt;0)*(Y66:BF66&lt;&gt;"")))-MATCH(1,INDEX((Y66:BF66&lt;&gt;0)*(Y66:BF66&lt;&gt;""),0),0)+1 &lt;= 12,
        "No",
        "Yes"
    ),
    "No"
)</f>
        <v>Yes</v>
      </c>
      <c r="W66" s="6" t="str" cm="1">
        <f t="array" ref="W66">IFERROR(
    IF(
        MATCH(2,1/((Y66:BF66&lt;&gt;0)*(Y66:BF66&lt;&gt;"")))-MATCH(1,INDEX((Y66:BF66&lt;&gt;0)*(Y66:BF66&lt;&gt;""),0),0)+1 &lt;= 24,
        "No",
        "Yes"
    ),
    "No"
)</f>
        <v>No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2500</v>
      </c>
      <c r="AT66" s="8">
        <v>2500</v>
      </c>
      <c r="AU66" s="8">
        <v>2500</v>
      </c>
      <c r="AV66" s="8">
        <v>2500</v>
      </c>
      <c r="AW66" s="8">
        <v>2500</v>
      </c>
      <c r="AX66" s="8">
        <v>2500</v>
      </c>
      <c r="AY66" s="8">
        <v>2500</v>
      </c>
      <c r="AZ66" s="8">
        <v>2500</v>
      </c>
      <c r="BA66" s="8">
        <v>2500</v>
      </c>
      <c r="BB66" s="8">
        <v>2500</v>
      </c>
      <c r="BC66" s="8">
        <v>2500</v>
      </c>
      <c r="BD66" s="8">
        <v>2500</v>
      </c>
      <c r="BE66" s="8">
        <v>2500</v>
      </c>
      <c r="BF66" s="8">
        <v>2500</v>
      </c>
      <c r="BH66" s="8">
        <f t="shared" ref="BH66:BH129" si="18">SUM(Y66:AJ66)</f>
        <v>0</v>
      </c>
      <c r="BI66" s="8">
        <f t="shared" ref="BI66:BI129" si="19">SUM(AK66:AV66)</f>
        <v>10000</v>
      </c>
      <c r="BJ66" s="8">
        <f t="shared" ref="BJ66:BJ129" si="20">SUM(AW66:BF66)</f>
        <v>25000</v>
      </c>
    </row>
    <row r="67" spans="1:62" x14ac:dyDescent="0.25">
      <c r="A67" s="9" t="s">
        <v>214</v>
      </c>
      <c r="B67" s="9" t="s">
        <v>644</v>
      </c>
      <c r="C67" s="10">
        <f>VLOOKUP(A67,'[2]Revenue_Engine_2025 Oct.25'!$C$14:G$3937,5,0)</f>
        <v>45099</v>
      </c>
      <c r="D67" s="6" cm="1">
        <f t="array" ref="D67">_xlfn.LET(
  _xlpm.aralık, Y67:BF67,
  _xlpm.ilk, MATCH(TRUE, _xlpm.aralık&lt;&gt;0, 0),
  _xlpm.son, MIN(_xlpm.ilk+2, COLUMNS(_xlpm.aralık)),
  MAX(INDEX(_xlpm.aralık, _xlpm.ilk):INDEX(_xlpm.aralık, _xlpm.son))
)</f>
        <v>1427.0017439999999</v>
      </c>
      <c r="E67" s="6">
        <f t="shared" si="13"/>
        <v>1525.0017439999999</v>
      </c>
      <c r="F67" s="6">
        <f t="shared" si="14"/>
        <v>2440.0061739999996</v>
      </c>
      <c r="G67" s="6">
        <f t="shared" ref="G67:G130" si="21">BF67</f>
        <v>2440.0061739999996</v>
      </c>
      <c r="H67" s="7">
        <f t="shared" si="15"/>
        <v>6.8675459166082142E-2</v>
      </c>
      <c r="I67" s="7">
        <f t="shared" si="16"/>
        <v>0.7098831057910745</v>
      </c>
      <c r="J67" s="7">
        <f t="shared" si="17"/>
        <v>0.60000221875156079</v>
      </c>
      <c r="K67" s="7">
        <f t="shared" ref="K67:K130" si="22">IF(R67="",((BF67-D67)/D67),((T67-D67)/D67))</f>
        <v>0.7098831057910745</v>
      </c>
      <c r="L67" s="5" t="s">
        <v>416</v>
      </c>
      <c r="M67" s="11">
        <v>0.05</v>
      </c>
      <c r="N67" s="5">
        <f t="shared" ref="N67:N130" si="23">(1-M67)*G67</f>
        <v>2318.0058652999996</v>
      </c>
      <c r="O67" s="5">
        <f t="shared" ref="O67:O130" si="24">(1-M67)*E67</f>
        <v>1448.7516567999999</v>
      </c>
      <c r="P67" s="5">
        <f t="shared" ref="P67:P130" si="25">(1-M67)*F67</f>
        <v>2318.0058652999996</v>
      </c>
      <c r="Q67" s="5" t="s">
        <v>430</v>
      </c>
      <c r="T67" s="6" t="str" cm="1">
        <f t="array" ref="T67">IF(R67&lt;&gt;"Churn","",
 _xlfn.LET(
   _xlpm.rng,Y67:BF67,
   _xlpm.pos,MAX(IF((_xlpm.rng&lt;&gt;0)*(_xlpm.rng&lt;&gt;""),COLUMN(_xlpm.rng)-COLUMN(Y67)+1)),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7" s="6" t="str" cm="1">
        <f t="array" ref="U67">IF(R67="Churn",
   MAX(IF((Y67:BF67&lt;&gt;"")*(Y67:BF67&lt;&gt;0), COLUMN(Y67:BF67)-COLUMN(Y67)+1))
   -MATCH(1, --((Y67:BF67&lt;&gt;"")*(Y67:BF67&lt;&gt;0)), 0)
   +1,
"")</f>
        <v/>
      </c>
      <c r="V67" s="6" t="str" cm="1">
        <f t="array" ref="V67">IFERROR(
    IF(
        MATCH(2,1/((Y67:BF67&lt;&gt;0)*(Y67:BF67&lt;&gt;"")))-MATCH(1,INDEX((Y67:BF67&lt;&gt;0)*(Y67:BF67&lt;&gt;""),0),0)+1 &lt;= 12,
        "No",
        "Yes"
    ),
    "No"
)</f>
        <v>Yes</v>
      </c>
      <c r="W67" s="6" t="str" cm="1">
        <f t="array" ref="W67">IFERROR(
    IF(
        MATCH(2,1/((Y67:BF67&lt;&gt;0)*(Y67:BF67&lt;&gt;"")))-MATCH(1,INDEX((Y67:BF67&lt;&gt;0)*(Y67:BF67&lt;&gt;""),0),0)+1 &lt;= 24,
        "No",
        "Yes"
    ),
    "No"
)</f>
        <v>Yes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1427</v>
      </c>
      <c r="AE67" s="8">
        <v>1427.0017439999999</v>
      </c>
      <c r="AF67" s="8">
        <v>1427.0017439999999</v>
      </c>
      <c r="AG67" s="8">
        <v>1427.0017439999999</v>
      </c>
      <c r="AH67" s="8">
        <v>1427.0017439999999</v>
      </c>
      <c r="AI67" s="8">
        <v>1505.0017439999999</v>
      </c>
      <c r="AJ67" s="8">
        <v>1505.0017439999999</v>
      </c>
      <c r="AK67" s="8">
        <v>1505.0017439999999</v>
      </c>
      <c r="AL67" s="8">
        <v>1525.0017439999999</v>
      </c>
      <c r="AM67" s="8">
        <v>1525.0017439999999</v>
      </c>
      <c r="AN67" s="8">
        <v>1525.0017439999999</v>
      </c>
      <c r="AO67" s="8">
        <v>1525.0017439999999</v>
      </c>
      <c r="AP67" s="8">
        <v>1525.0017439999999</v>
      </c>
      <c r="AQ67" s="8">
        <v>1525.0017439999999</v>
      </c>
      <c r="AR67" s="8">
        <v>1525.0017439999999</v>
      </c>
      <c r="AS67" s="8">
        <v>1825.0017439999999</v>
      </c>
      <c r="AT67" s="8">
        <v>1825.0017439999999</v>
      </c>
      <c r="AU67" s="8">
        <v>1825.0017439999999</v>
      </c>
      <c r="AV67" s="8">
        <v>1825.0017439999999</v>
      </c>
      <c r="AW67" s="8">
        <v>1825.0017439999999</v>
      </c>
      <c r="AX67" s="8">
        <v>2440.0061739999996</v>
      </c>
      <c r="AY67" s="8">
        <v>2440.0061739999996</v>
      </c>
      <c r="AZ67" s="8">
        <v>2440.0061739999996</v>
      </c>
      <c r="BA67" s="8">
        <v>2440.0061739999996</v>
      </c>
      <c r="BB67" s="8">
        <v>2440.0061739999996</v>
      </c>
      <c r="BC67" s="8">
        <v>2440.0061739999996</v>
      </c>
      <c r="BD67" s="8">
        <v>2440.0061739999996</v>
      </c>
      <c r="BE67" s="8">
        <v>2440.0061739999996</v>
      </c>
      <c r="BF67" s="8">
        <v>2440.0061739999996</v>
      </c>
      <c r="BH67" s="8">
        <f t="shared" si="18"/>
        <v>10145.010463999999</v>
      </c>
      <c r="BI67" s="8">
        <f t="shared" si="19"/>
        <v>19480.020927999998</v>
      </c>
      <c r="BJ67" s="8">
        <f t="shared" si="20"/>
        <v>23785.057309999993</v>
      </c>
    </row>
    <row r="68" spans="1:62" x14ac:dyDescent="0.25">
      <c r="A68" s="9" t="s">
        <v>439</v>
      </c>
      <c r="B68" s="9" t="s">
        <v>643</v>
      </c>
      <c r="C68" s="10">
        <f>VLOOKUP(A68,'[2]Revenue_Engine_2025 Oct.25'!$C$14:G$3937,5,0)</f>
        <v>45901</v>
      </c>
      <c r="D68" s="6" cm="1">
        <f t="array" ref="D68">_xlfn.LET(
  _xlpm.aralık, Y68:BF68,
  _xlpm.ilk, MATCH(TRUE, _xlpm.aralık&lt;&gt;0, 0),
  _xlpm.son, MIN(_xlpm.ilk+2, COLUMNS(_xlpm.aralık)),
  MAX(INDEX(_xlpm.aralık, _xlpm.ilk):INDEX(_xlpm.aralık, _xlpm.son))
)</f>
        <v>2396.5700289745314</v>
      </c>
      <c r="E68" s="6">
        <f t="shared" si="13"/>
        <v>0</v>
      </c>
      <c r="F68" s="6">
        <f t="shared" si="14"/>
        <v>0</v>
      </c>
      <c r="G68" s="6">
        <f t="shared" si="21"/>
        <v>2396.5700289745314</v>
      </c>
      <c r="H68" s="7">
        <f t="shared" si="15"/>
        <v>-1</v>
      </c>
      <c r="I68" s="7">
        <f t="shared" si="16"/>
        <v>-1</v>
      </c>
      <c r="J68" s="7" t="e">
        <f t="shared" si="17"/>
        <v>#DIV/0!</v>
      </c>
      <c r="K68" s="7">
        <f t="shared" si="22"/>
        <v>0</v>
      </c>
      <c r="L68" s="5" t="s">
        <v>424</v>
      </c>
      <c r="M68" s="7">
        <f>IF(R68="",(VLOOKUP(A68,[1]Export!$B$2:$H$680,7,0)),"CHURN")</f>
        <v>0</v>
      </c>
      <c r="N68" s="5">
        <f t="shared" si="23"/>
        <v>2396.5700289745314</v>
      </c>
      <c r="O68" s="5">
        <f t="shared" si="24"/>
        <v>0</v>
      </c>
      <c r="P68" s="5">
        <f t="shared" si="25"/>
        <v>0</v>
      </c>
      <c r="Q68" s="5" t="s">
        <v>430</v>
      </c>
      <c r="T68" s="6" t="str" cm="1">
        <f t="array" ref="T68">IF(R68&lt;&gt;"Churn","",
 _xlfn.LET(
   _xlpm.rng,Y68:BF68,
   _xlpm.pos,MAX(IF((_xlpm.rng&lt;&gt;0)*(_xlpm.rng&lt;&gt;""),COLUMN(_xlpm.rng)-COLUMN(Y68)+1)),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8" s="6" t="str" cm="1">
        <f t="array" ref="U68">IF(R68="Churn",
   MAX(IF((Y68:BF68&lt;&gt;"")*(Y68:BF68&lt;&gt;0), COLUMN(Y68:BF68)-COLUMN(Y68)+1))
   -MATCH(1, --((Y68:BF68&lt;&gt;"")*(Y68:BF68&lt;&gt;0)), 0)
   +1,
"")</f>
        <v/>
      </c>
      <c r="V68" s="6" t="str" cm="1">
        <f t="array" ref="V68">IFERROR(
    IF(
        MATCH(2,1/((Y68:BF68&lt;&gt;0)*(Y68:BF68&lt;&gt;"")))-MATCH(1,INDEX((Y68:BF68&lt;&gt;0)*(Y68:BF68&lt;&gt;""),0),0)+1 &lt;= 12,
        "No",
        "Yes"
    ),
    "No"
)</f>
        <v>No</v>
      </c>
      <c r="W68" s="6" t="str" cm="1">
        <f t="array" ref="W68">IFERROR(
    IF(
        MATCH(2,1/((Y68:BF68&lt;&gt;0)*(Y68:BF68&lt;&gt;"")))-MATCH(1,INDEX((Y68:BF68&lt;&gt;0)*(Y68:BF68&lt;&gt;""),0),0)+1 &lt;= 24,
        "No",
        "Yes"
    ),
    "No"
)</f>
        <v>No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2396.5700289745314</v>
      </c>
      <c r="BH68" s="8">
        <f t="shared" si="18"/>
        <v>0</v>
      </c>
      <c r="BI68" s="8">
        <f t="shared" si="19"/>
        <v>0</v>
      </c>
      <c r="BJ68" s="8">
        <f t="shared" si="20"/>
        <v>2396.5700289745314</v>
      </c>
    </row>
    <row r="69" spans="1:62" x14ac:dyDescent="0.25">
      <c r="A69" s="9" t="s">
        <v>59</v>
      </c>
      <c r="B69" s="9" t="s">
        <v>643</v>
      </c>
      <c r="C69" s="10">
        <f>VLOOKUP(A69,'[2]Revenue_Engine_2025 Oct.25'!$C$14:G$3937,5,0)</f>
        <v>45017</v>
      </c>
      <c r="D69" s="6" cm="1">
        <f t="array" ref="D69">_xlfn.LET(
  _xlpm.aralık, Y69:BF69,
  _xlpm.ilk, MATCH(TRUE, _xlpm.aralık&lt;&gt;0, 0),
  _xlpm.son, MIN(_xlpm.ilk+2, COLUMNS(_xlpm.aralık)),
  MAX(INDEX(_xlpm.aralık, _xlpm.ilk):INDEX(_xlpm.aralık, _xlpm.son))
)</f>
        <v>1433.4614543961873</v>
      </c>
      <c r="E69" s="6">
        <f t="shared" si="13"/>
        <v>1957.6911573762459</v>
      </c>
      <c r="F69" s="6">
        <f t="shared" si="14"/>
        <v>2630.796108315159</v>
      </c>
      <c r="G69" s="6">
        <f t="shared" si="21"/>
        <v>2396.5695523446843</v>
      </c>
      <c r="H69" s="7">
        <f t="shared" si="15"/>
        <v>0.36570896369228034</v>
      </c>
      <c r="I69" s="7">
        <f t="shared" si="16"/>
        <v>0.83527509599016148</v>
      </c>
      <c r="J69" s="7">
        <f t="shared" si="17"/>
        <v>0.34382591370593296</v>
      </c>
      <c r="K69" s="7">
        <f t="shared" si="22"/>
        <v>0.67187582546765046</v>
      </c>
      <c r="L69" s="5" t="s">
        <v>422</v>
      </c>
      <c r="M69" s="7">
        <f>IF(R69="",(VLOOKUP(A69,[1]Export!$B$2:$H$680,7,0)),"CHURN")</f>
        <v>0</v>
      </c>
      <c r="N69" s="5">
        <f t="shared" si="23"/>
        <v>2396.5695523446843</v>
      </c>
      <c r="O69" s="5">
        <f t="shared" si="24"/>
        <v>1957.6911573762459</v>
      </c>
      <c r="P69" s="5">
        <f t="shared" si="25"/>
        <v>2630.796108315159</v>
      </c>
      <c r="Q69" s="5" t="s">
        <v>430</v>
      </c>
      <c r="T69" s="6" t="str" cm="1">
        <f t="array" ref="T69">IF(R69&lt;&gt;"Churn","",
 _xlfn.LET(
   _xlpm.rng,Y69:BF69,
   _xlpm.pos,MAX(IF((_xlpm.rng&lt;&gt;0)*(_xlpm.rng&lt;&gt;""),COLUMN(_xlpm.rng)-COLUMN(Y69)+1)),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69" s="6" t="str" cm="1">
        <f t="array" ref="U69">IF(R69="Churn",
   MAX(IF((Y69:BF69&lt;&gt;"")*(Y69:BF69&lt;&gt;0), COLUMN(Y69:BF69)-COLUMN(Y69)+1))
   -MATCH(1, --((Y69:BF69&lt;&gt;"")*(Y69:BF69&lt;&gt;0)), 0)
   +1,
"")</f>
        <v/>
      </c>
      <c r="V69" s="6" t="str" cm="1">
        <f t="array" ref="V69">IFERROR(
    IF(
        MATCH(2,1/((Y69:BF69&lt;&gt;0)*(Y69:BF69&lt;&gt;"")))-MATCH(1,INDEX((Y69:BF69&lt;&gt;0)*(Y69:BF69&lt;&gt;""),0),0)+1 &lt;= 12,
        "No",
        "Yes"
    ),
    "No"
)</f>
        <v>Yes</v>
      </c>
      <c r="W69" s="6" t="str" cm="1">
        <f t="array" ref="W69">IFERROR(
    IF(
        MATCH(2,1/((Y69:BF69&lt;&gt;0)*(Y69:BF69&lt;&gt;"")))-MATCH(1,INDEX((Y69:BF69&lt;&gt;0)*(Y69:BF69&lt;&gt;""),0),0)+1 &lt;= 24,
        "No",
        "Yes"
    ),
    "No"
)</f>
        <v>Yes</v>
      </c>
      <c r="Y69" s="8">
        <v>1433.4614543961873</v>
      </c>
      <c r="Z69" s="8">
        <v>1428.4811168898782</v>
      </c>
      <c r="AA69" s="8">
        <v>1417.9801825650868</v>
      </c>
      <c r="AB69" s="8">
        <v>2179.4344792578509</v>
      </c>
      <c r="AC69" s="8">
        <v>2138.115117840156</v>
      </c>
      <c r="AD69" s="8">
        <v>1798.0750669635229</v>
      </c>
      <c r="AE69" s="8">
        <v>1593.4950076689731</v>
      </c>
      <c r="AF69" s="8">
        <v>1563.3471807552121</v>
      </c>
      <c r="AG69" s="8">
        <v>1561.896375444054</v>
      </c>
      <c r="AH69" s="8">
        <v>1513.7555624670144</v>
      </c>
      <c r="AI69" s="8">
        <v>1472.0827847069404</v>
      </c>
      <c r="AJ69" s="8">
        <v>1449.1462126101678</v>
      </c>
      <c r="AK69" s="8">
        <v>1402.9720688608879</v>
      </c>
      <c r="AL69" s="8">
        <v>1370.7362807122706</v>
      </c>
      <c r="AM69" s="8">
        <v>1318.257139187047</v>
      </c>
      <c r="AN69" s="8">
        <v>1957.6911573762459</v>
      </c>
      <c r="AO69" s="8">
        <v>1960.5371602081229</v>
      </c>
      <c r="AP69" s="8">
        <v>1943.9373811885155</v>
      </c>
      <c r="AQ69" s="8">
        <v>1921.4194067200642</v>
      </c>
      <c r="AR69" s="8">
        <v>1880.0555405622779</v>
      </c>
      <c r="AS69" s="8">
        <v>1858.5308494849733</v>
      </c>
      <c r="AT69" s="8">
        <v>1847.0383261097961</v>
      </c>
      <c r="AU69" s="8">
        <v>1836.857067645321</v>
      </c>
      <c r="AV69" s="8">
        <v>1808.2959685182852</v>
      </c>
      <c r="AW69" s="8">
        <v>2821.9087426136525</v>
      </c>
      <c r="AX69" s="8">
        <v>2772.1635940553715</v>
      </c>
      <c r="AY69" s="8">
        <v>2703.0016869977485</v>
      </c>
      <c r="AZ69" s="8">
        <v>2630.796108315159</v>
      </c>
      <c r="BA69" s="8">
        <v>2586.6925020046874</v>
      </c>
      <c r="BB69" s="8">
        <v>2542.7753409735274</v>
      </c>
      <c r="BC69" s="8">
        <v>2493.8645958941006</v>
      </c>
      <c r="BD69" s="8">
        <v>2455.457503683187</v>
      </c>
      <c r="BE69" s="8">
        <v>2425.7356071860004</v>
      </c>
      <c r="BF69" s="8">
        <v>2396.5695523446843</v>
      </c>
      <c r="BH69" s="8">
        <f t="shared" si="18"/>
        <v>19549.270541565045</v>
      </c>
      <c r="BI69" s="8">
        <f t="shared" si="19"/>
        <v>21106.32834657381</v>
      </c>
      <c r="BJ69" s="8">
        <f t="shared" si="20"/>
        <v>25828.96523406812</v>
      </c>
    </row>
    <row r="70" spans="1:62" x14ac:dyDescent="0.25">
      <c r="A70" s="9" t="s">
        <v>67</v>
      </c>
      <c r="B70" s="9" t="s">
        <v>644</v>
      </c>
      <c r="C70" s="10">
        <f>VLOOKUP(A70,'[2]Revenue_Engine_2025 Oct.25'!$C$14:G$3937,5,0)</f>
        <v>45015</v>
      </c>
      <c r="D70" s="6" cm="1">
        <f t="array" ref="D70">_xlfn.LET(
  _xlpm.aralık, Y70:BF70,
  _xlpm.ilk, MATCH(TRUE, _xlpm.aralık&lt;&gt;0, 0),
  _xlpm.son, MIN(_xlpm.ilk+2, COLUMNS(_xlpm.aralık)),
  MAX(INDEX(_xlpm.aralık, _xlpm.ilk):INDEX(_xlpm.aralık, _xlpm.son))
)</f>
        <v>2003.3602248577499</v>
      </c>
      <c r="E70" s="6">
        <f t="shared" si="13"/>
        <v>2167.9882558289628</v>
      </c>
      <c r="F70" s="6">
        <f t="shared" si="14"/>
        <v>2329.4530413000721</v>
      </c>
      <c r="G70" s="6">
        <f t="shared" si="21"/>
        <v>2322.8380809445116</v>
      </c>
      <c r="H70" s="7">
        <f t="shared" si="15"/>
        <v>8.2175950649565482E-2</v>
      </c>
      <c r="I70" s="7">
        <f t="shared" si="16"/>
        <v>0.16277293139603818</v>
      </c>
      <c r="J70" s="7">
        <f t="shared" si="17"/>
        <v>7.4476780506991636E-2</v>
      </c>
      <c r="K70" s="7">
        <f t="shared" si="22"/>
        <v>0.15947099883619104</v>
      </c>
      <c r="L70" s="5" t="s">
        <v>424</v>
      </c>
      <c r="M70" s="7">
        <f>IF(R70="",(VLOOKUP(A70,[1]Export!$B$2:$H$680,7,0)),"CHURN")</f>
        <v>0.18682761767110079</v>
      </c>
      <c r="N70" s="5">
        <f t="shared" si="23"/>
        <v>1888.867776045937</v>
      </c>
      <c r="O70" s="5">
        <f t="shared" si="24"/>
        <v>1762.9481748535127</v>
      </c>
      <c r="P70" s="5">
        <f t="shared" si="25"/>
        <v>1894.2468791172791</v>
      </c>
      <c r="Q70" s="5" t="str">
        <f>VLOOKUP(A70,[4]Sheet2!$A$1:$B$142,2,0)</f>
        <v>NO RISK</v>
      </c>
      <c r="T70" s="6" t="str" cm="1">
        <f t="array" ref="T70">IF(R70&lt;&gt;"Churn","",
 _xlfn.LET(
   _xlpm.rng,Y70:BF70,
   _xlpm.pos,MAX(IF((_xlpm.rng&lt;&gt;0)*(_xlpm.rng&lt;&gt;""),COLUMN(_xlpm.rng)-COLUMN(Y70)+1)),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0" s="6" t="str" cm="1">
        <f t="array" ref="U70">IF(R70="Churn",
   MAX(IF((Y70:BF70&lt;&gt;"")*(Y70:BF70&lt;&gt;0), COLUMN(Y70:BF70)-COLUMN(Y70)+1))
   -MATCH(1, --((Y70:BF70&lt;&gt;"")*(Y70:BF70&lt;&gt;0)), 0)
   +1,
"")</f>
        <v/>
      </c>
      <c r="V70" s="6" t="str" cm="1">
        <f t="array" ref="V70">IFERROR(
    IF(
        MATCH(2,1/((Y70:BF70&lt;&gt;0)*(Y70:BF70&lt;&gt;"")))-MATCH(1,INDEX((Y70:BF70&lt;&gt;0)*(Y70:BF70&lt;&gt;""),0),0)+1 &lt;= 12,
        "No",
        "Yes"
    ),
    "No"
)</f>
        <v>Yes</v>
      </c>
      <c r="W70" s="6" t="str" cm="1">
        <f t="array" ref="W70">IFERROR(
    IF(
        MATCH(2,1/((Y70:BF70&lt;&gt;0)*(Y70:BF70&lt;&gt;"")))-MATCH(1,INDEX((Y70:BF70&lt;&gt;0)*(Y70:BF70&lt;&gt;""),0),0)+1 &lt;= 24,
        "No",
        "Yes"
    ),
    "No"
)</f>
        <v>Yes</v>
      </c>
      <c r="Y70" s="8">
        <v>1985.977302847273</v>
      </c>
      <c r="Z70" s="8">
        <v>1985.882879561404</v>
      </c>
      <c r="AA70" s="8">
        <v>2003.3602248577499</v>
      </c>
      <c r="AB70" s="8">
        <v>2022.9685498365802</v>
      </c>
      <c r="AC70" s="8">
        <v>2022.1349154538802</v>
      </c>
      <c r="AD70" s="8">
        <v>2015.3060263666198</v>
      </c>
      <c r="AE70" s="8">
        <v>2022.0780002575259</v>
      </c>
      <c r="AF70" s="8">
        <v>2024.4667468892001</v>
      </c>
      <c r="AG70" s="8">
        <v>2031.8277047213548</v>
      </c>
      <c r="AH70" s="8">
        <v>2055.3322023641504</v>
      </c>
      <c r="AI70" s="8">
        <v>2054.2107592791494</v>
      </c>
      <c r="AJ70" s="8">
        <v>2053.5935203631443</v>
      </c>
      <c r="AK70" s="8">
        <v>2052.3509423325077</v>
      </c>
      <c r="AL70" s="8">
        <v>2051.4834551247386</v>
      </c>
      <c r="AM70" s="8">
        <v>2167.9882558289628</v>
      </c>
      <c r="AN70" s="8">
        <v>2206.4604105175981</v>
      </c>
      <c r="AO70" s="8">
        <v>2216.6728507934045</v>
      </c>
      <c r="AP70" s="8">
        <v>2215.3851524524089</v>
      </c>
      <c r="AQ70" s="8">
        <v>2213.6383606227491</v>
      </c>
      <c r="AR70" s="8">
        <v>2210.4296322556047</v>
      </c>
      <c r="AS70" s="8">
        <v>2301.4164105902933</v>
      </c>
      <c r="AT70" s="8">
        <v>2297.8743805531249</v>
      </c>
      <c r="AU70" s="8">
        <v>2297.0845875312743</v>
      </c>
      <c r="AV70" s="8">
        <v>2294.8690110516445</v>
      </c>
      <c r="AW70" s="8">
        <v>2292.7544108041502</v>
      </c>
      <c r="AX70" s="8">
        <v>2290.3188867071958</v>
      </c>
      <c r="AY70" s="8">
        <v>2329.4530413000721</v>
      </c>
      <c r="AZ70" s="8">
        <v>2324.7820037664242</v>
      </c>
      <c r="BA70" s="8">
        <v>2321.9372389845676</v>
      </c>
      <c r="BB70" s="8">
        <v>2322.2962021659359</v>
      </c>
      <c r="BC70" s="8">
        <v>2319.1321263392051</v>
      </c>
      <c r="BD70" s="8">
        <v>2316.6475403480854</v>
      </c>
      <c r="BE70" s="8">
        <v>2314.7248067221994</v>
      </c>
      <c r="BF70" s="8">
        <v>2322.8380809445116</v>
      </c>
      <c r="BH70" s="8">
        <f t="shared" si="18"/>
        <v>24277.138832798038</v>
      </c>
      <c r="BI70" s="8">
        <f t="shared" si="19"/>
        <v>26525.653449654306</v>
      </c>
      <c r="BJ70" s="8">
        <f t="shared" si="20"/>
        <v>23154.884338082345</v>
      </c>
    </row>
    <row r="71" spans="1:62" x14ac:dyDescent="0.25">
      <c r="A71" s="9" t="s">
        <v>168</v>
      </c>
      <c r="B71" s="9" t="s">
        <v>644</v>
      </c>
      <c r="C71" s="10">
        <v>44927</v>
      </c>
      <c r="D71" s="6" cm="1">
        <f t="array" ref="D71">_xlfn.LET(
  _xlpm.aralık, Y71:BF71,
  _xlpm.ilk, MATCH(TRUE, _xlpm.aralık&lt;&gt;0, 0),
  _xlpm.son, MIN(_xlpm.ilk+2, COLUMNS(_xlpm.aralık)),
  MAX(INDEX(_xlpm.aralık, _xlpm.ilk):INDEX(_xlpm.aralık, _xlpm.son))
)</f>
        <v>2490.7462294872958</v>
      </c>
      <c r="E71" s="6">
        <f t="shared" si="13"/>
        <v>2218.0605059868158</v>
      </c>
      <c r="F71" s="6">
        <f t="shared" si="14"/>
        <v>2098.2680578679528</v>
      </c>
      <c r="G71" s="6">
        <f t="shared" si="21"/>
        <v>2281.2616371928493</v>
      </c>
      <c r="H71" s="7">
        <f t="shared" si="15"/>
        <v>-0.10947952877423832</v>
      </c>
      <c r="I71" s="7">
        <f t="shared" si="16"/>
        <v>-0.15757453207111027</v>
      </c>
      <c r="J71" s="7">
        <f t="shared" si="17"/>
        <v>-5.4007745864248745E-2</v>
      </c>
      <c r="K71" s="7">
        <f t="shared" si="22"/>
        <v>-8.4105152831072436E-2</v>
      </c>
      <c r="L71" s="5" t="s">
        <v>424</v>
      </c>
      <c r="M71" s="7">
        <f>IF(R71="",(VLOOKUP(A71,[1]Export!$B$2:$H$680,7,0)),"CHURN")</f>
        <v>0.42239994705214884</v>
      </c>
      <c r="N71" s="5">
        <f t="shared" si="23"/>
        <v>1317.6568424304912</v>
      </c>
      <c r="O71" s="5">
        <f t="shared" si="24"/>
        <v>1281.1518656995222</v>
      </c>
      <c r="P71" s="5">
        <f t="shared" si="25"/>
        <v>1211.9597413233143</v>
      </c>
      <c r="Q71" s="5" t="str">
        <f>VLOOKUP(A71,[4]Sheet2!$A$1:$B$142,2,0)</f>
        <v>BOOKED CHURN</v>
      </c>
      <c r="T71" s="6" t="str" cm="1">
        <f t="array" ref="T71">IF(R71&lt;&gt;"Churn","",
 _xlfn.LET(
   _xlpm.rng,Y71:BF71,
   _xlpm.pos,MAX(IF((_xlpm.rng&lt;&gt;0)*(_xlpm.rng&lt;&gt;""),COLUMN(_xlpm.rng)-COLUMN(Y71)+1)),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1" s="6" t="str" cm="1">
        <f t="array" ref="U71">IF(R71="Churn",
   MAX(IF((Y71:BF71&lt;&gt;"")*(Y71:BF71&lt;&gt;0), COLUMN(Y71:BF71)-COLUMN(Y71)+1))
   -MATCH(1, --((Y71:BF71&lt;&gt;"")*(Y71:BF71&lt;&gt;0)), 0)
   +1,
"")</f>
        <v/>
      </c>
      <c r="V71" s="6" t="str" cm="1">
        <f t="array" ref="V71">IFERROR(
    IF(
        MATCH(2,1/((Y71:BF71&lt;&gt;0)*(Y71:BF71&lt;&gt;"")))-MATCH(1,INDEX((Y71:BF71&lt;&gt;0)*(Y71:BF71&lt;&gt;""),0),0)+1 &lt;= 12,
        "No",
        "Yes"
    ),
    "No"
)</f>
        <v>Yes</v>
      </c>
      <c r="W71" s="6" t="str" cm="1">
        <f t="array" ref="W71">IFERROR(
    IF(
        MATCH(2,1/((Y71:BF71&lt;&gt;0)*(Y71:BF71&lt;&gt;"")))-MATCH(1,INDEX((Y71:BF71&lt;&gt;0)*(Y71:BF71&lt;&gt;""),0),0)+1 &lt;= 24,
        "No",
        "Yes"
    ),
    "No"
)</f>
        <v>Yes</v>
      </c>
      <c r="Y71" s="8">
        <v>1878.3876044204433</v>
      </c>
      <c r="Z71" s="8">
        <v>2490.7462294872958</v>
      </c>
      <c r="AA71" s="8">
        <v>2478.9020466063039</v>
      </c>
      <c r="AB71" s="8">
        <v>2448.2567375078343</v>
      </c>
      <c r="AC71" s="8">
        <v>2416.1346396194963</v>
      </c>
      <c r="AD71" s="8">
        <v>2151.7932378380224</v>
      </c>
      <c r="AE71" s="8">
        <v>1992.7561493802332</v>
      </c>
      <c r="AF71" s="8">
        <v>1969.3197370914345</v>
      </c>
      <c r="AG71" s="8">
        <v>2255.5601741693363</v>
      </c>
      <c r="AH71" s="8">
        <v>2209.2794050085572</v>
      </c>
      <c r="AI71" s="8">
        <v>2169.2164405990998</v>
      </c>
      <c r="AJ71" s="8">
        <v>2238.389002352309</v>
      </c>
      <c r="AK71" s="8">
        <v>2218.0605059868158</v>
      </c>
      <c r="AL71" s="8">
        <v>2210.7696401834755</v>
      </c>
      <c r="AM71" s="8">
        <v>2129.6569051199631</v>
      </c>
      <c r="AN71" s="8">
        <v>2115.9555086183632</v>
      </c>
      <c r="AO71" s="8">
        <v>2117.9354579172168</v>
      </c>
      <c r="AP71" s="8">
        <v>1985.974226454844</v>
      </c>
      <c r="AQ71" s="8">
        <v>1971.7034148301716</v>
      </c>
      <c r="AR71" s="8">
        <v>1968.8258297438831</v>
      </c>
      <c r="AS71" s="8">
        <v>2122.3129766721436</v>
      </c>
      <c r="AT71" s="8">
        <v>2136.3418801292723</v>
      </c>
      <c r="AU71" s="8">
        <v>2134.3768290352273</v>
      </c>
      <c r="AV71" s="8">
        <v>2115.9013870902427</v>
      </c>
      <c r="AW71" s="8">
        <v>2098.2680578679528</v>
      </c>
      <c r="AX71" s="8">
        <v>2106.7383700783685</v>
      </c>
      <c r="AY71" s="8">
        <v>2269.4502692640708</v>
      </c>
      <c r="AZ71" s="8">
        <v>2239.221262712229</v>
      </c>
      <c r="BA71" s="8">
        <v>2556.9015806418788</v>
      </c>
      <c r="BB71" s="8">
        <v>2532.8084776994315</v>
      </c>
      <c r="BC71" s="8">
        <v>2505.9758776742542</v>
      </c>
      <c r="BD71" s="8">
        <v>2484.9056171057018</v>
      </c>
      <c r="BE71" s="8">
        <v>2297.2667509205662</v>
      </c>
      <c r="BF71" s="8">
        <v>2281.2616371928493</v>
      </c>
      <c r="BH71" s="8">
        <f t="shared" si="18"/>
        <v>26698.741404080367</v>
      </c>
      <c r="BI71" s="8">
        <f t="shared" si="19"/>
        <v>25227.814561781619</v>
      </c>
      <c r="BJ71" s="8">
        <f t="shared" si="20"/>
        <v>23372.797901157304</v>
      </c>
    </row>
    <row r="72" spans="1:62" x14ac:dyDescent="0.25">
      <c r="A72" s="9" t="s">
        <v>341</v>
      </c>
      <c r="B72" s="9" t="s">
        <v>644</v>
      </c>
      <c r="C72" s="10">
        <f>VLOOKUP(A72,'[2]Revenue_Engine_2025 Oct.25'!$C$14:G$3937,5,0)</f>
        <v>45036</v>
      </c>
      <c r="D72" s="6" cm="1">
        <f t="array" ref="D72">_xlfn.LET(
  _xlpm.aralık, Y72:BF72,
  _xlpm.ilk, MATCH(TRUE, _xlpm.aralık&lt;&gt;0, 0),
  _xlpm.son, MIN(_xlpm.ilk+2, COLUMNS(_xlpm.aralık)),
  MAX(INDEX(_xlpm.aralık, _xlpm.ilk):INDEX(_xlpm.aralık, _xlpm.son))
)</f>
        <v>858.5</v>
      </c>
      <c r="E72" s="6">
        <f t="shared" si="13"/>
        <v>1906.0296289999999</v>
      </c>
      <c r="F72" s="6">
        <f t="shared" si="14"/>
        <v>2305.1187690000002</v>
      </c>
      <c r="G72" s="6">
        <f t="shared" si="21"/>
        <v>2279.1187689999997</v>
      </c>
      <c r="H72" s="7">
        <f t="shared" si="15"/>
        <v>1.2201859394292369</v>
      </c>
      <c r="I72" s="7">
        <f t="shared" si="16"/>
        <v>1.6850538951659875</v>
      </c>
      <c r="J72" s="7">
        <f t="shared" si="17"/>
        <v>0.20938244292109076</v>
      </c>
      <c r="K72" s="7">
        <f t="shared" si="22"/>
        <v>1.6547685136866623</v>
      </c>
      <c r="L72" s="5" t="s">
        <v>419</v>
      </c>
      <c r="M72" s="7">
        <f>IF(R72="",(VLOOKUP(A72,[1]Export!$B$2:$H$680,7,0)),"CHURN")</f>
        <v>0.20414132509282429</v>
      </c>
      <c r="N72" s="5">
        <f t="shared" si="23"/>
        <v>1813.856443452413</v>
      </c>
      <c r="O72" s="5">
        <f t="shared" si="24"/>
        <v>1516.9302148697554</v>
      </c>
      <c r="P72" s="5">
        <f t="shared" si="25"/>
        <v>1834.548769</v>
      </c>
      <c r="Q72" s="5" t="s">
        <v>430</v>
      </c>
      <c r="T72" s="6" t="str" cm="1">
        <f t="array" ref="T72">IF(R72&lt;&gt;"Churn","",
 _xlfn.LET(
   _xlpm.rng,Y72:BF72,
   _xlpm.pos,MAX(IF((_xlpm.rng&lt;&gt;0)*(_xlpm.rng&lt;&gt;""),COLUMN(_xlpm.rng)-COLUMN(Y72)+1)),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2" s="6" t="str" cm="1">
        <f t="array" ref="U72">IF(R72="Churn",
   MAX(IF((Y72:BF72&lt;&gt;"")*(Y72:BF72&lt;&gt;0), COLUMN(Y72:BF72)-COLUMN(Y72)+1))
   -MATCH(1, --((Y72:BF72&lt;&gt;"")*(Y72:BF72&lt;&gt;0)), 0)
   +1,
"")</f>
        <v/>
      </c>
      <c r="V72" s="6" t="str" cm="1">
        <f t="array" ref="V72">IFERROR(
    IF(
        MATCH(2,1/((Y72:BF72&lt;&gt;0)*(Y72:BF72&lt;&gt;"")))-MATCH(1,INDEX((Y72:BF72&lt;&gt;0)*(Y72:BF72&lt;&gt;""),0),0)+1 &lt;= 12,
        "No",
        "Yes"
    ),
    "No"
)</f>
        <v>Yes</v>
      </c>
      <c r="W72" s="6" t="str" cm="1">
        <f t="array" ref="W72">IFERROR(
    IF(
        MATCH(2,1/((Y72:BF72&lt;&gt;0)*(Y72:BF72&lt;&gt;"")))-MATCH(1,INDEX((Y72:BF72&lt;&gt;0)*(Y72:BF72&lt;&gt;""),0),0)+1 &lt;= 24,
        "No",
        "Yes"
    ),
    "No"
)</f>
        <v>Yes</v>
      </c>
      <c r="X72" s="6"/>
      <c r="Y72" s="8">
        <v>795</v>
      </c>
      <c r="Z72" s="8">
        <v>858.5</v>
      </c>
      <c r="AA72" s="8">
        <v>858.5</v>
      </c>
      <c r="AB72" s="8">
        <v>1084.5</v>
      </c>
      <c r="AC72" s="8">
        <v>1084.5</v>
      </c>
      <c r="AD72" s="8">
        <v>1084.4929549999999</v>
      </c>
      <c r="AE72" s="8">
        <v>1086.2929549999999</v>
      </c>
      <c r="AF72" s="8">
        <v>1096.7929549999999</v>
      </c>
      <c r="AG72" s="8">
        <v>1100.5429549999999</v>
      </c>
      <c r="AH72" s="8">
        <v>1506.0171759999998</v>
      </c>
      <c r="AI72" s="8">
        <v>1506.0171759999998</v>
      </c>
      <c r="AJ72" s="8">
        <v>1506.0171759999998</v>
      </c>
      <c r="AK72" s="8">
        <v>1506.0171759999998</v>
      </c>
      <c r="AL72" s="8">
        <v>1906.0296289999999</v>
      </c>
      <c r="AM72" s="8">
        <v>1906.0296289999999</v>
      </c>
      <c r="AN72" s="8">
        <v>1906.0296289999999</v>
      </c>
      <c r="AO72" s="8">
        <v>1906.0296289999999</v>
      </c>
      <c r="AP72" s="8">
        <v>1906.0296289999999</v>
      </c>
      <c r="AQ72" s="8">
        <v>1906.0296289999999</v>
      </c>
      <c r="AR72" s="8">
        <v>1906.0296289999999</v>
      </c>
      <c r="AS72" s="8">
        <v>1906.0296289999999</v>
      </c>
      <c r="AT72" s="8">
        <v>2156.0416289999998</v>
      </c>
      <c r="AU72" s="8">
        <v>2156.0416289999998</v>
      </c>
      <c r="AV72" s="8">
        <v>2156.0416289999998</v>
      </c>
      <c r="AW72" s="8">
        <v>2286.1187689999997</v>
      </c>
      <c r="AX72" s="8">
        <v>2290.1187689999997</v>
      </c>
      <c r="AY72" s="8">
        <v>2305.1187689999997</v>
      </c>
      <c r="AZ72" s="8">
        <v>2305.1187690000002</v>
      </c>
      <c r="BA72" s="8">
        <v>2279.1187689999997</v>
      </c>
      <c r="BB72" s="8">
        <v>2279.1187689999997</v>
      </c>
      <c r="BC72" s="8">
        <v>2279.1187689999997</v>
      </c>
      <c r="BD72" s="8">
        <v>2279.1187689999997</v>
      </c>
      <c r="BE72" s="8">
        <v>2279.1187689999997</v>
      </c>
      <c r="BF72" s="8">
        <v>2279.1187689999997</v>
      </c>
      <c r="BH72" s="8">
        <f t="shared" si="18"/>
        <v>13567.173347999998</v>
      </c>
      <c r="BI72" s="8">
        <f t="shared" si="19"/>
        <v>23222.379095</v>
      </c>
      <c r="BJ72" s="8">
        <f t="shared" si="20"/>
        <v>22861.187690000002</v>
      </c>
    </row>
    <row r="73" spans="1:62" x14ac:dyDescent="0.25">
      <c r="A73" s="9" t="s">
        <v>87</v>
      </c>
      <c r="B73" s="9" t="s">
        <v>644</v>
      </c>
      <c r="C73" s="10">
        <v>44927</v>
      </c>
      <c r="D73" s="6" cm="1">
        <f t="array" ref="D73">_xlfn.LET(
  _xlpm.aralık, Y73:BF73,
  _xlpm.ilk, MATCH(TRUE, _xlpm.aralık&lt;&gt;0, 0),
  _xlpm.son, MIN(_xlpm.ilk+2, COLUMNS(_xlpm.aralık)),
  MAX(INDEX(_xlpm.aralık, _xlpm.ilk):INDEX(_xlpm.aralık, _xlpm.son))
)</f>
        <v>1158.3800000000001</v>
      </c>
      <c r="E73" s="6">
        <f t="shared" si="13"/>
        <v>1854.430895</v>
      </c>
      <c r="F73" s="6">
        <f t="shared" si="14"/>
        <v>2266.4336920000001</v>
      </c>
      <c r="G73" s="6">
        <f t="shared" si="21"/>
        <v>2268.6920253333333</v>
      </c>
      <c r="H73" s="7">
        <f t="shared" si="15"/>
        <v>0.60088303924446196</v>
      </c>
      <c r="I73" s="7">
        <f t="shared" si="16"/>
        <v>0.95655457794506105</v>
      </c>
      <c r="J73" s="7">
        <f t="shared" si="17"/>
        <v>0.22217209501354868</v>
      </c>
      <c r="K73" s="7">
        <f t="shared" si="22"/>
        <v>0.95850413968933601</v>
      </c>
      <c r="L73" s="5" t="s">
        <v>418</v>
      </c>
      <c r="M73" s="7">
        <f>IF(R73="",(VLOOKUP(A73,[1]Export!$B$2:$H$680,7,0)),"CHURN")</f>
        <v>0.2726080473114042</v>
      </c>
      <c r="N73" s="5">
        <f t="shared" si="23"/>
        <v>1650.2283223562586</v>
      </c>
      <c r="O73" s="5">
        <f t="shared" si="24"/>
        <v>1348.8981098401102</v>
      </c>
      <c r="P73" s="5">
        <f t="shared" si="25"/>
        <v>1648.5856288631035</v>
      </c>
      <c r="Q73" s="5" t="str">
        <f>VLOOKUP(A73,[4]Sheet2!$A$1:$B$142,2,0)</f>
        <v>LOW RISK</v>
      </c>
      <c r="T73" s="6" t="str" cm="1">
        <f t="array" ref="T73">IF(R73&lt;&gt;"Churn","",
 _xlfn.LET(
   _xlpm.rng,Y73:BF73,
   _xlpm.pos,MAX(IF((_xlpm.rng&lt;&gt;0)*(_xlpm.rng&lt;&gt;""),COLUMN(_xlpm.rng)-COLUMN(Y73)+1)),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3" s="6" t="str" cm="1">
        <f t="array" ref="U73">IF(R73="Churn",
   MAX(IF((Y73:BF73&lt;&gt;"")*(Y73:BF73&lt;&gt;0), COLUMN(Y73:BF73)-COLUMN(Y73)+1))
   -MATCH(1, --((Y73:BF73&lt;&gt;"")*(Y73:BF73&lt;&gt;0)), 0)
   +1,
"")</f>
        <v/>
      </c>
      <c r="V73" s="6" t="str" cm="1">
        <f t="array" ref="V73">IFERROR(
    IF(
        MATCH(2,1/((Y73:BF73&lt;&gt;0)*(Y73:BF73&lt;&gt;"")))-MATCH(1,INDEX((Y73:BF73&lt;&gt;0)*(Y73:BF73&lt;&gt;""),0),0)+1 &lt;= 12,
        "No",
        "Yes"
    ),
    "No"
)</f>
        <v>Yes</v>
      </c>
      <c r="W73" s="6" t="str" cm="1">
        <f t="array" ref="W73">IFERROR(
    IF(
        MATCH(2,1/((Y73:BF73&lt;&gt;0)*(Y73:BF73&lt;&gt;"")))-MATCH(1,INDEX((Y73:BF73&lt;&gt;0)*(Y73:BF73&lt;&gt;""),0),0)+1 &lt;= 24,
        "No",
        "Yes"
    ),
    "No"
)</f>
        <v>Yes</v>
      </c>
      <c r="X73" s="6"/>
      <c r="Y73" s="8">
        <v>1158.3800000000001</v>
      </c>
      <c r="Z73" s="8">
        <v>1158.3800000000001</v>
      </c>
      <c r="AA73" s="8">
        <v>1158.3800000000001</v>
      </c>
      <c r="AB73" s="8">
        <v>1238.3800000000001</v>
      </c>
      <c r="AC73" s="8">
        <v>1247.3751999999999</v>
      </c>
      <c r="AD73" s="8">
        <v>1247.3751999999999</v>
      </c>
      <c r="AE73" s="8">
        <v>1247.3751999999999</v>
      </c>
      <c r="AF73" s="8">
        <v>1257.43</v>
      </c>
      <c r="AG73" s="8">
        <v>1854.4356950000001</v>
      </c>
      <c r="AH73" s="8">
        <v>1854.4356950000001</v>
      </c>
      <c r="AI73" s="8">
        <v>1854.4356950000001</v>
      </c>
      <c r="AJ73" s="8">
        <v>1854.4356950000001</v>
      </c>
      <c r="AK73" s="8">
        <v>1854.430895</v>
      </c>
      <c r="AL73" s="8">
        <v>1854.430895</v>
      </c>
      <c r="AM73" s="8">
        <v>1904.430895</v>
      </c>
      <c r="AN73" s="8">
        <v>1904.430895</v>
      </c>
      <c r="AO73" s="8">
        <v>1907.5017283333332</v>
      </c>
      <c r="AP73" s="8">
        <v>1907.5017283333332</v>
      </c>
      <c r="AQ73" s="8">
        <v>1907.5017283333332</v>
      </c>
      <c r="AR73" s="8">
        <v>1907.5017283333332</v>
      </c>
      <c r="AS73" s="8">
        <v>1907.5017283333332</v>
      </c>
      <c r="AT73" s="8">
        <v>1967.9183949999999</v>
      </c>
      <c r="AU73" s="8">
        <v>1967.9183949999999</v>
      </c>
      <c r="AV73" s="8">
        <v>1967.9183949999999</v>
      </c>
      <c r="AW73" s="8">
        <v>2266.4336920000001</v>
      </c>
      <c r="AX73" s="8">
        <v>2266.4336920000001</v>
      </c>
      <c r="AY73" s="8">
        <v>2266.4336920000001</v>
      </c>
      <c r="AZ73" s="8">
        <v>2266.4336920000005</v>
      </c>
      <c r="BA73" s="8">
        <v>2266.4420253333333</v>
      </c>
      <c r="BB73" s="8">
        <v>2266.4420253333333</v>
      </c>
      <c r="BC73" s="8">
        <v>2266.4420253333333</v>
      </c>
      <c r="BD73" s="8">
        <v>2268.6920253333333</v>
      </c>
      <c r="BE73" s="8">
        <v>2268.6920253333333</v>
      </c>
      <c r="BF73" s="8">
        <v>2268.6920253333333</v>
      </c>
      <c r="BH73" s="8">
        <f t="shared" si="18"/>
        <v>17130.818380000004</v>
      </c>
      <c r="BI73" s="8">
        <f t="shared" si="19"/>
        <v>22958.987406666667</v>
      </c>
      <c r="BJ73" s="8">
        <f t="shared" si="20"/>
        <v>22671.136920000001</v>
      </c>
    </row>
    <row r="74" spans="1:62" x14ac:dyDescent="0.25">
      <c r="A74" s="9" t="s">
        <v>217</v>
      </c>
      <c r="B74" s="9" t="s">
        <v>644</v>
      </c>
      <c r="C74" s="10">
        <f>VLOOKUP(A74,'[2]Revenue_Engine_2025 Oct.25'!$C$14:G$3937,5,0)</f>
        <v>45124</v>
      </c>
      <c r="D74" s="6" cm="1">
        <f t="array" ref="D74">_xlfn.LET(
  _xlpm.aralık, Y74:BF74,
  _xlpm.ilk, MATCH(TRUE, _xlpm.aralık&lt;&gt;0, 0),
  _xlpm.son, MIN(_xlpm.ilk+2, COLUMNS(_xlpm.aralık)),
  MAX(INDEX(_xlpm.aralık, _xlpm.ilk):INDEX(_xlpm.aralık, _xlpm.son))
)</f>
        <v>984.6582667742216</v>
      </c>
      <c r="E74" s="6">
        <f t="shared" si="13"/>
        <v>1273.1716823906552</v>
      </c>
      <c r="F74" s="6">
        <f t="shared" si="14"/>
        <v>2268.0000049999999</v>
      </c>
      <c r="G74" s="6">
        <f t="shared" si="21"/>
        <v>2268.0000049999999</v>
      </c>
      <c r="H74" s="7">
        <f t="shared" si="15"/>
        <v>0.29300867656513424</v>
      </c>
      <c r="I74" s="7">
        <f t="shared" si="16"/>
        <v>1.3033371896932884</v>
      </c>
      <c r="J74" s="7">
        <f t="shared" si="17"/>
        <v>0.78137798410764159</v>
      </c>
      <c r="K74" s="7">
        <f t="shared" si="22"/>
        <v>1.3033371896932884</v>
      </c>
      <c r="L74" s="5" t="s">
        <v>418</v>
      </c>
      <c r="M74" s="7">
        <f>IF(R74="",(VLOOKUP(A74,[1]Export!$B$2:$H$680,7,0)),"CHURN")</f>
        <v>8.2451501140979933E-2</v>
      </c>
      <c r="N74" s="5">
        <f t="shared" si="23"/>
        <v>2081</v>
      </c>
      <c r="O74" s="5">
        <f t="shared" si="24"/>
        <v>1168.1967659673587</v>
      </c>
      <c r="P74" s="5">
        <f t="shared" si="25"/>
        <v>2081</v>
      </c>
      <c r="Q74" s="5" t="s">
        <v>430</v>
      </c>
      <c r="T74" s="6" t="str" cm="1">
        <f t="array" ref="T74">IF(R74&lt;&gt;"Churn","",
 _xlfn.LET(
   _xlpm.rng,Y74:BF74,
   _xlpm.pos,MAX(IF((_xlpm.rng&lt;&gt;0)*(_xlpm.rng&lt;&gt;""),COLUMN(_xlpm.rng)-COLUMN(Y74)+1)),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4" s="6" t="str" cm="1">
        <f t="array" ref="U74">IF(R74="Churn",
   MAX(IF((Y74:BF74&lt;&gt;"")*(Y74:BF74&lt;&gt;0), COLUMN(Y74:BF74)-COLUMN(Y74)+1))
   -MATCH(1, --((Y74:BF74&lt;&gt;"")*(Y74:BF74&lt;&gt;0)), 0)
   +1,
"")</f>
        <v/>
      </c>
      <c r="V74" s="6" t="str" cm="1">
        <f t="array" ref="V74">IFERROR(
    IF(
        MATCH(2,1/((Y74:BF74&lt;&gt;0)*(Y74:BF74&lt;&gt;"")))-MATCH(1,INDEX((Y74:BF74&lt;&gt;0)*(Y74:BF74&lt;&gt;""),0),0)+1 &lt;= 12,
        "No",
        "Yes"
    ),
    "No"
)</f>
        <v>Yes</v>
      </c>
      <c r="W74" s="6" t="str" cm="1">
        <f t="array" ref="W74">IFERROR(
    IF(
        MATCH(2,1/((Y74:BF74&lt;&gt;0)*(Y74:BF74&lt;&gt;"")))-MATCH(1,INDEX((Y74:BF74&lt;&gt;0)*(Y74:BF74&lt;&gt;""),0),0)+1 &lt;= 24,
        "No",
        "Yes"
    ),
    "No"
)</f>
        <v>Yes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984.6582667742216</v>
      </c>
      <c r="AF74" s="8">
        <v>966.02921123714896</v>
      </c>
      <c r="AG74" s="8">
        <v>965.13272430983727</v>
      </c>
      <c r="AH74" s="8">
        <v>935.38537697649633</v>
      </c>
      <c r="AI74" s="8">
        <v>909.63478163517357</v>
      </c>
      <c r="AJ74" s="8">
        <v>895.46173106528954</v>
      </c>
      <c r="AK74" s="8">
        <v>866.9296353227146</v>
      </c>
      <c r="AL74" s="8">
        <v>847.01037913487664</v>
      </c>
      <c r="AM74" s="8">
        <v>814.58227594287905</v>
      </c>
      <c r="AN74" s="8">
        <v>806.4691230889008</v>
      </c>
      <c r="AO74" s="8">
        <v>807.64153141259601</v>
      </c>
      <c r="AP74" s="8">
        <v>800.80326727733052</v>
      </c>
      <c r="AQ74" s="8">
        <v>1273.1716823906552</v>
      </c>
      <c r="AR74" s="8">
        <v>1245.7631411413558</v>
      </c>
      <c r="AS74" s="8">
        <v>1231.5004418805986</v>
      </c>
      <c r="AT74" s="8">
        <v>2250.0000049999999</v>
      </c>
      <c r="AU74" s="8">
        <v>2250.0000049999999</v>
      </c>
      <c r="AV74" s="8">
        <v>2250.0000049999999</v>
      </c>
      <c r="AW74" s="8">
        <v>2250.0000049999999</v>
      </c>
      <c r="AX74" s="8">
        <v>2268.0000049999999</v>
      </c>
      <c r="AY74" s="8">
        <v>2268.0000049999999</v>
      </c>
      <c r="AZ74" s="8">
        <v>2268.0000049999999</v>
      </c>
      <c r="BA74" s="8">
        <v>2268.0000049999999</v>
      </c>
      <c r="BB74" s="8">
        <v>2268.0000049999999</v>
      </c>
      <c r="BC74" s="8">
        <v>2268.0000049999999</v>
      </c>
      <c r="BD74" s="8">
        <v>2268.0000049999999</v>
      </c>
      <c r="BE74" s="8">
        <v>2268.0000049999999</v>
      </c>
      <c r="BF74" s="8">
        <v>2268.0000049999999</v>
      </c>
      <c r="BH74" s="8">
        <f t="shared" si="18"/>
        <v>5656.3020919981673</v>
      </c>
      <c r="BI74" s="8">
        <f t="shared" si="19"/>
        <v>15443.871492591907</v>
      </c>
      <c r="BJ74" s="8">
        <f t="shared" si="20"/>
        <v>22662.000050000002</v>
      </c>
    </row>
    <row r="75" spans="1:62" x14ac:dyDescent="0.25">
      <c r="A75" s="9" t="s">
        <v>440</v>
      </c>
      <c r="B75" s="9" t="s">
        <v>644</v>
      </c>
      <c r="C75" s="10">
        <f>VLOOKUP(A75,'[2]Revenue_Engine_2025 Oct.25'!$C$14:G$3937,5,0)</f>
        <v>45856</v>
      </c>
      <c r="D75" s="6" cm="1">
        <f t="array" ref="D75">_xlfn.LET(
  _xlpm.aralık, Y75:BF75,
  _xlpm.ilk, MATCH(TRUE, _xlpm.aralık&lt;&gt;0, 0),
  _xlpm.son, MIN(_xlpm.ilk+2, COLUMNS(_xlpm.aralık)),
  MAX(INDEX(_xlpm.aralık, _xlpm.ilk):INDEX(_xlpm.aralık, _xlpm.son))
)</f>
        <v>2250.0102189999998</v>
      </c>
      <c r="E75" s="6">
        <f t="shared" si="13"/>
        <v>0</v>
      </c>
      <c r="F75" s="6">
        <f t="shared" si="14"/>
        <v>0</v>
      </c>
      <c r="G75" s="6">
        <f t="shared" si="21"/>
        <v>2250.0102189999998</v>
      </c>
      <c r="H75" s="7">
        <f t="shared" si="15"/>
        <v>-1</v>
      </c>
      <c r="I75" s="7">
        <f t="shared" si="16"/>
        <v>-1</v>
      </c>
      <c r="J75" s="7" t="e">
        <f t="shared" si="17"/>
        <v>#DIV/0!</v>
      </c>
      <c r="K75" s="7">
        <f t="shared" si="22"/>
        <v>0</v>
      </c>
      <c r="L75" s="5" t="s">
        <v>415</v>
      </c>
      <c r="M75" s="7">
        <f>IF(R75="",(VLOOKUP(A75,[1]Export!$B$2:$H$680,7,0)),"CHURN")</f>
        <v>7.8444088168827988E-2</v>
      </c>
      <c r="N75" s="5">
        <f t="shared" si="23"/>
        <v>2073.5102189999998</v>
      </c>
      <c r="O75" s="5">
        <f t="shared" si="24"/>
        <v>0</v>
      </c>
      <c r="P75" s="5">
        <f t="shared" si="25"/>
        <v>0</v>
      </c>
      <c r="Q75" s="5" t="s">
        <v>430</v>
      </c>
      <c r="T75" s="6" t="str" cm="1">
        <f t="array" ref="T75">IF(R75&lt;&gt;"Churn","",
 _xlfn.LET(
   _xlpm.rng,Y75:BF75,
   _xlpm.pos,MAX(IF((_xlpm.rng&lt;&gt;0)*(_xlpm.rng&lt;&gt;""),COLUMN(_xlpm.rng)-COLUMN(Y75)+1)),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5" s="6" t="str" cm="1">
        <f t="array" ref="U75">IF(R75="Churn",
   MAX(IF((Y75:BF75&lt;&gt;"")*(Y75:BF75&lt;&gt;0), COLUMN(Y75:BF75)-COLUMN(Y75)+1))
   -MATCH(1, --((Y75:BF75&lt;&gt;"")*(Y75:BF75&lt;&gt;0)), 0)
   +1,
"")</f>
        <v/>
      </c>
      <c r="V75" s="6" t="str" cm="1">
        <f t="array" ref="V75">IFERROR(
    IF(
        MATCH(2,1/((Y75:BF75&lt;&gt;0)*(Y75:BF75&lt;&gt;"")))-MATCH(1,INDEX((Y75:BF75&lt;&gt;0)*(Y75:BF75&lt;&gt;""),0),0)+1 &lt;= 12,
        "No",
        "Yes"
    ),
    "No"
)</f>
        <v>No</v>
      </c>
      <c r="W75" s="6" t="str" cm="1">
        <f t="array" ref="W75">IFERROR(
    IF(
        MATCH(2,1/((Y75:BF75&lt;&gt;0)*(Y75:BF75&lt;&gt;"")))-MATCH(1,INDEX((Y75:BF75&lt;&gt;0)*(Y75:BF75&lt;&gt;""),0),0)+1 &lt;= 24,
        "No",
        "Yes"
    ),
    "No"
)</f>
        <v>No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1249.999</v>
      </c>
      <c r="BD75" s="8">
        <v>1249.999</v>
      </c>
      <c r="BE75" s="8">
        <v>2250.0102189999998</v>
      </c>
      <c r="BF75" s="8">
        <v>2250.0102189999998</v>
      </c>
      <c r="BH75" s="8">
        <f t="shared" si="18"/>
        <v>0</v>
      </c>
      <c r="BI75" s="8">
        <f t="shared" si="19"/>
        <v>0</v>
      </c>
      <c r="BJ75" s="8">
        <f t="shared" si="20"/>
        <v>7000.0184379999992</v>
      </c>
    </row>
    <row r="76" spans="1:62" x14ac:dyDescent="0.25">
      <c r="A76" s="9" t="s">
        <v>271</v>
      </c>
      <c r="B76" s="9" t="s">
        <v>643</v>
      </c>
      <c r="C76" s="10">
        <f>VLOOKUP(A76,'[2]Revenue_Engine_2025 Oct.25'!$C$14:G$3937,5,0)</f>
        <v>45330</v>
      </c>
      <c r="D76" s="6" cm="1">
        <f t="array" ref="D76">_xlfn.LET(
  _xlpm.aralık, Y76:BF76,
  _xlpm.ilk, MATCH(TRUE, _xlpm.aralık&lt;&gt;0, 0),
  _xlpm.son, MIN(_xlpm.ilk+2, COLUMNS(_xlpm.aralık)),
  MAX(INDEX(_xlpm.aralık, _xlpm.ilk):INDEX(_xlpm.aralık, _xlpm.son))
)</f>
        <v>2280.4125592092832</v>
      </c>
      <c r="E76" s="6">
        <f t="shared" si="13"/>
        <v>2564.2518344796235</v>
      </c>
      <c r="F76" s="6">
        <f t="shared" si="14"/>
        <v>0</v>
      </c>
      <c r="G76" s="6">
        <f t="shared" si="21"/>
        <v>2226.3275200532998</v>
      </c>
      <c r="H76" s="7">
        <f t="shared" si="15"/>
        <v>0.12446838802219171</v>
      </c>
      <c r="I76" s="7">
        <f t="shared" si="16"/>
        <v>-1</v>
      </c>
      <c r="J76" s="7">
        <f t="shared" si="17"/>
        <v>-1</v>
      </c>
      <c r="K76" s="7">
        <f t="shared" si="22"/>
        <v>-2.3717216841998536E-2</v>
      </c>
      <c r="L76" s="5" t="s">
        <v>418</v>
      </c>
      <c r="M76" s="7">
        <f>IF(R76="",(VLOOKUP(A76,[1]Export!$B$2:$H$680,7,0)),"CHURN")</f>
        <v>0</v>
      </c>
      <c r="N76" s="5">
        <f t="shared" si="23"/>
        <v>2226.3275200532998</v>
      </c>
      <c r="O76" s="5">
        <f t="shared" si="24"/>
        <v>2564.2518344796235</v>
      </c>
      <c r="P76" s="5">
        <f t="shared" si="25"/>
        <v>0</v>
      </c>
      <c r="Q76" s="5" t="str">
        <f>VLOOKUP(A76,[4]Sheet2!$A$1:$B$142,2,0)</f>
        <v>MEDIUM RISK</v>
      </c>
      <c r="T76" s="6" t="str" cm="1">
        <f t="array" ref="T76">IF(R76&lt;&gt;"Churn","",
 _xlfn.LET(
   _xlpm.rng,Y76:BF76,
   _xlpm.pos,MAX(IF((_xlpm.rng&lt;&gt;0)*(_xlpm.rng&lt;&gt;""),COLUMN(_xlpm.rng)-COLUMN(Y76)+1)),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6" s="6" t="str" cm="1">
        <f t="array" ref="U76">IF(R76="Churn",
   MAX(IF((Y76:BF76&lt;&gt;"")*(Y76:BF76&lt;&gt;0), COLUMN(Y76:BF76)-COLUMN(Y76)+1))
   -MATCH(1, --((Y76:BF76&lt;&gt;"")*(Y76:BF76&lt;&gt;0)), 0)
   +1,
"")</f>
        <v/>
      </c>
      <c r="V76" s="6" t="str" cm="1">
        <f t="array" ref="V76">IFERROR(
    IF(
        MATCH(2,1/((Y76:BF76&lt;&gt;0)*(Y76:BF76&lt;&gt;"")))-MATCH(1,INDEX((Y76:BF76&lt;&gt;0)*(Y76:BF76&lt;&gt;""),0),0)+1 &lt;= 12,
        "No",
        "Yes"
    ),
    "No"
)</f>
        <v>Yes</v>
      </c>
      <c r="W76" s="6" t="str" cm="1">
        <f t="array" ref="W76">IFERROR(
    IF(
        MATCH(2,1/((Y76:BF76&lt;&gt;0)*(Y76:BF76&lt;&gt;"")))-MATCH(1,INDEX((Y76:BF76&lt;&gt;0)*(Y76:BF76&lt;&gt;""),0),0)+1 &lt;= 24,
        "No",
        "Yes"
    ),
    "No"
)</f>
        <v>No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2280.4125592092832</v>
      </c>
      <c r="AM76" s="8">
        <v>2193.1061275385205</v>
      </c>
      <c r="AN76" s="8">
        <v>2171.2630237008866</v>
      </c>
      <c r="AO76" s="8">
        <v>2174.419507649297</v>
      </c>
      <c r="AP76" s="8">
        <v>2156.00879651589</v>
      </c>
      <c r="AQ76" s="8">
        <v>2131.0342518090956</v>
      </c>
      <c r="AR76" s="8">
        <v>2085.1578464489762</v>
      </c>
      <c r="AS76" s="8">
        <v>2061.284946141569</v>
      </c>
      <c r="AT76" s="8">
        <v>2048.538660314246</v>
      </c>
      <c r="AU76" s="8">
        <v>2037.2466902017163</v>
      </c>
      <c r="AV76" s="8">
        <v>2005.5697537160343</v>
      </c>
      <c r="AW76" s="8">
        <v>1975.3365126844824</v>
      </c>
      <c r="AX76" s="8">
        <v>2564.2518344796235</v>
      </c>
      <c r="AY76" s="8">
        <v>2500.2770577280185</v>
      </c>
      <c r="AZ76" s="8">
        <v>2443.9150989311079</v>
      </c>
      <c r="BA76" s="8">
        <v>2402.9449499992247</v>
      </c>
      <c r="BB76" s="8">
        <v>2362.1474759135563</v>
      </c>
      <c r="BC76" s="8">
        <v>2316.7111405941391</v>
      </c>
      <c r="BD76" s="8">
        <v>2281.0323236490076</v>
      </c>
      <c r="BE76" s="8">
        <v>2253.4217433280132</v>
      </c>
      <c r="BF76" s="8">
        <v>2226.3275200532998</v>
      </c>
      <c r="BH76" s="8">
        <f t="shared" si="18"/>
        <v>0</v>
      </c>
      <c r="BI76" s="8">
        <f t="shared" si="19"/>
        <v>23344.042163245511</v>
      </c>
      <c r="BJ76" s="8">
        <f t="shared" si="20"/>
        <v>23326.365657360471</v>
      </c>
    </row>
    <row r="77" spans="1:62" x14ac:dyDescent="0.25">
      <c r="A77" s="9" t="s">
        <v>196</v>
      </c>
      <c r="B77" s="9" t="s">
        <v>643</v>
      </c>
      <c r="C77" s="10">
        <f>VLOOKUP(A77,'[2]Revenue_Engine_2025 Oct.25'!$C$14:G$3937,5,0)</f>
        <v>44978</v>
      </c>
      <c r="D77" s="6" cm="1">
        <f t="array" ref="D77">_xlfn.LET(
  _xlpm.aralık, Y77:BF77,
  _xlpm.ilk, MATCH(TRUE, _xlpm.aralık&lt;&gt;0, 0),
  _xlpm.son, MIN(_xlpm.ilk+2, COLUMNS(_xlpm.aralık)),
  MAX(INDEX(_xlpm.aralık, _xlpm.ilk):INDEX(_xlpm.aralık, _xlpm.son))
)</f>
        <v>1500</v>
      </c>
      <c r="E77" s="6">
        <f t="shared" si="13"/>
        <v>1846.4449999999997</v>
      </c>
      <c r="F77" s="6">
        <f t="shared" si="14"/>
        <v>2215.2200000000003</v>
      </c>
      <c r="G77" s="6">
        <f t="shared" si="21"/>
        <v>2215.2200000000003</v>
      </c>
      <c r="H77" s="7">
        <f t="shared" si="15"/>
        <v>0.23096333333333313</v>
      </c>
      <c r="I77" s="7">
        <f t="shared" si="16"/>
        <v>0.47681333333333348</v>
      </c>
      <c r="J77" s="7">
        <f t="shared" si="17"/>
        <v>0.19972162723503847</v>
      </c>
      <c r="K77" s="7">
        <f t="shared" si="22"/>
        <v>0.47681333333333348</v>
      </c>
      <c r="L77" s="5" t="s">
        <v>414</v>
      </c>
      <c r="M77" s="7">
        <f>IF(R77="",(VLOOKUP(A77,[1]Export!$B$2:$H$680,7,0)),"CHURN")</f>
        <v>0.468939428138063</v>
      </c>
      <c r="N77" s="5">
        <f t="shared" si="23"/>
        <v>1176.4160000000002</v>
      </c>
      <c r="O77" s="5">
        <f t="shared" si="24"/>
        <v>980.57413761161411</v>
      </c>
      <c r="P77" s="5">
        <f t="shared" si="25"/>
        <v>1176.4160000000002</v>
      </c>
      <c r="Q77" s="5" t="str">
        <f>VLOOKUP(A77,[4]Sheet2!$A$1:$B$142,2,0)</f>
        <v>NO RISK</v>
      </c>
      <c r="T77" s="6" t="str" cm="1">
        <f t="array" ref="T77">IF(R77&lt;&gt;"Churn","",
 _xlfn.LET(
   _xlpm.rng,Y77:BF77,
   _xlpm.pos,MAX(IF((_xlpm.rng&lt;&gt;0)*(_xlpm.rng&lt;&gt;""),COLUMN(_xlpm.rng)-COLUMN(Y77)+1)),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7" s="6" t="str" cm="1">
        <f t="array" ref="U77">IF(R77="Churn",
   MAX(IF((Y77:BF77&lt;&gt;"")*(Y77:BF77&lt;&gt;0), COLUMN(Y77:BF77)-COLUMN(Y77)+1))
   -MATCH(1, --((Y77:BF77&lt;&gt;"")*(Y77:BF77&lt;&gt;0)), 0)
   +1,
"")</f>
        <v/>
      </c>
      <c r="V77" s="6" t="str" cm="1">
        <f t="array" ref="V77">IFERROR(
    IF(
        MATCH(2,1/((Y77:BF77&lt;&gt;0)*(Y77:BF77&lt;&gt;"")))-MATCH(1,INDEX((Y77:BF77&lt;&gt;0)*(Y77:BF77&lt;&gt;""),0),0)+1 &lt;= 12,
        "No",
        "Yes"
    ),
    "No"
)</f>
        <v>Yes</v>
      </c>
      <c r="W77" s="6" t="str" cm="1">
        <f t="array" ref="W77">IFERROR(
    IF(
        MATCH(2,1/((Y77:BF77&lt;&gt;0)*(Y77:BF77&lt;&gt;"")))-MATCH(1,INDEX((Y77:BF77&lt;&gt;0)*(Y77:BF77&lt;&gt;""),0),0)+1 &lt;= 24,
        "No",
        "Yes"
    ),
    "No"
)</f>
        <v>Yes</v>
      </c>
      <c r="Y77" s="8">
        <v>0</v>
      </c>
      <c r="Z77" s="8">
        <v>0</v>
      </c>
      <c r="AA77" s="8">
        <v>1500</v>
      </c>
      <c r="AB77" s="8">
        <v>1500</v>
      </c>
      <c r="AC77" s="8">
        <v>1500</v>
      </c>
      <c r="AD77" s="8">
        <v>1500</v>
      </c>
      <c r="AE77" s="8">
        <v>1500</v>
      </c>
      <c r="AF77" s="8">
        <v>1500</v>
      </c>
      <c r="AG77" s="8">
        <v>1500</v>
      </c>
      <c r="AH77" s="8">
        <v>1665</v>
      </c>
      <c r="AI77" s="8">
        <v>1846.4449999999997</v>
      </c>
      <c r="AJ77" s="8">
        <v>1846.4449999999997</v>
      </c>
      <c r="AK77" s="8">
        <v>1846.4449999999997</v>
      </c>
      <c r="AL77" s="8">
        <v>1846.4449999999997</v>
      </c>
      <c r="AM77" s="8">
        <v>1846.4449999999997</v>
      </c>
      <c r="AN77" s="8">
        <v>1846.4449999999997</v>
      </c>
      <c r="AO77" s="8">
        <v>1846.4449999999997</v>
      </c>
      <c r="AP77" s="8">
        <v>1846.4449999999997</v>
      </c>
      <c r="AQ77" s="8">
        <v>1846.4449999999997</v>
      </c>
      <c r="AR77" s="8">
        <v>1846.4449999999997</v>
      </c>
      <c r="AS77" s="8">
        <v>1846.4449999999997</v>
      </c>
      <c r="AT77" s="8">
        <v>1846.4449999999997</v>
      </c>
      <c r="AU77" s="8">
        <v>1846.4449999999997</v>
      </c>
      <c r="AV77" s="8">
        <v>2215.2200000000003</v>
      </c>
      <c r="AW77" s="8">
        <v>2215.2200000000003</v>
      </c>
      <c r="AX77" s="8">
        <v>2215.2200000000003</v>
      </c>
      <c r="AY77" s="8">
        <v>2215.2200000000003</v>
      </c>
      <c r="AZ77" s="8">
        <v>2215.2200000000003</v>
      </c>
      <c r="BA77" s="8">
        <v>2215.2200000000003</v>
      </c>
      <c r="BB77" s="8">
        <v>2215.2200000000003</v>
      </c>
      <c r="BC77" s="8">
        <v>2215.2200000000003</v>
      </c>
      <c r="BD77" s="8">
        <v>2215.2200000000003</v>
      </c>
      <c r="BE77" s="8">
        <v>2215.2200000000003</v>
      </c>
      <c r="BF77" s="8">
        <v>2215.2200000000003</v>
      </c>
      <c r="BH77" s="8">
        <f t="shared" si="18"/>
        <v>15857.89</v>
      </c>
      <c r="BI77" s="8">
        <f t="shared" si="19"/>
        <v>22526.114999999998</v>
      </c>
      <c r="BJ77" s="8">
        <f t="shared" si="20"/>
        <v>22152.200000000008</v>
      </c>
    </row>
    <row r="78" spans="1:62" x14ac:dyDescent="0.25">
      <c r="A78" s="9" t="s">
        <v>26</v>
      </c>
      <c r="B78" s="9" t="s">
        <v>644</v>
      </c>
      <c r="C78" s="10">
        <v>44927</v>
      </c>
      <c r="D78" s="6" cm="1">
        <f t="array" ref="D78">_xlfn.LET(
  _xlpm.aralık, Y78:BF78,
  _xlpm.ilk, MATCH(TRUE, _xlpm.aralık&lt;&gt;0, 0),
  _xlpm.son, MIN(_xlpm.ilk+2, COLUMNS(_xlpm.aralık)),
  MAX(INDEX(_xlpm.aralık, _xlpm.ilk):INDEX(_xlpm.aralık, _xlpm.son))
)</f>
        <v>1616.6239254238008</v>
      </c>
      <c r="E78" s="6">
        <f t="shared" si="13"/>
        <v>1480.2509234511936</v>
      </c>
      <c r="F78" s="6">
        <f t="shared" si="14"/>
        <v>2152.2805960586957</v>
      </c>
      <c r="G78" s="6">
        <f t="shared" si="21"/>
        <v>2130.3388684682513</v>
      </c>
      <c r="H78" s="7">
        <f t="shared" si="15"/>
        <v>-8.4356664421415622E-2</v>
      </c>
      <c r="I78" s="7">
        <f t="shared" si="16"/>
        <v>0.33134278307459269</v>
      </c>
      <c r="J78" s="7">
        <f t="shared" si="17"/>
        <v>0.45399713113549028</v>
      </c>
      <c r="K78" s="7">
        <f t="shared" si="22"/>
        <v>0.31777022161154722</v>
      </c>
      <c r="L78" s="5" t="s">
        <v>418</v>
      </c>
      <c r="M78" s="7">
        <f>IF(R78="",(VLOOKUP(A78,[1]Export!$B$2:$H$680,7,0)),"CHURN")</f>
        <v>0.3295220796425215</v>
      </c>
      <c r="N78" s="5">
        <f t="shared" si="23"/>
        <v>1428.3451741872971</v>
      </c>
      <c r="O78" s="5">
        <f t="shared" si="24"/>
        <v>992.47556076279329</v>
      </c>
      <c r="P78" s="5">
        <f t="shared" si="25"/>
        <v>1443.0566180711883</v>
      </c>
      <c r="Q78" s="5" t="s">
        <v>430</v>
      </c>
      <c r="T78" s="6" t="str" cm="1">
        <f t="array" ref="T78">IF(R78&lt;&gt;"Churn","",
 _xlfn.LET(
   _xlpm.rng,Y78:BF78,
   _xlpm.pos,MAX(IF((_xlpm.rng&lt;&gt;0)*(_xlpm.rng&lt;&gt;""),COLUMN(_xlpm.rng)-COLUMN(Y78)+1)),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8" s="6" t="str" cm="1">
        <f t="array" ref="U78">IF(R78="Churn",
   MAX(IF((Y78:BF78&lt;&gt;"")*(Y78:BF78&lt;&gt;0), COLUMN(Y78:BF78)-COLUMN(Y78)+1))
   -MATCH(1, --((Y78:BF78&lt;&gt;"")*(Y78:BF78&lt;&gt;0)), 0)
   +1,
"")</f>
        <v/>
      </c>
      <c r="V78" s="6" t="str" cm="1">
        <f t="array" ref="V78">IFERROR(
    IF(
        MATCH(2,1/((Y78:BF78&lt;&gt;0)*(Y78:BF78&lt;&gt;"")))-MATCH(1,INDEX((Y78:BF78&lt;&gt;0)*(Y78:BF78&lt;&gt;""),0),0)+1 &lt;= 12,
        "No",
        "Yes"
    ),
    "No"
)</f>
        <v>Yes</v>
      </c>
      <c r="W78" s="6" t="str" cm="1">
        <f t="array" ref="W78">IFERROR(
    IF(
        MATCH(2,1/((Y78:BF78&lt;&gt;0)*(Y78:BF78&lt;&gt;"")))-MATCH(1,INDEX((Y78:BF78&lt;&gt;0)*(Y78:BF78&lt;&gt;""),0),0)+1 &lt;= 24,
        "No",
        "Yes"
    ),
    "No"
)</f>
        <v>Yes</v>
      </c>
      <c r="Y78" s="8">
        <v>1593.8373282760165</v>
      </c>
      <c r="Z78" s="8">
        <v>1616.6239254238008</v>
      </c>
      <c r="AA78" s="8">
        <v>1615.7522744171574</v>
      </c>
      <c r="AB78" s="8">
        <v>1627.6611280890495</v>
      </c>
      <c r="AC78" s="8">
        <v>1625.4691837066546</v>
      </c>
      <c r="AD78" s="8">
        <v>1291.7107142033092</v>
      </c>
      <c r="AE78" s="8">
        <v>1448.8584906096207</v>
      </c>
      <c r="AF78" s="8">
        <v>1447.2592587017793</v>
      </c>
      <c r="AG78" s="8">
        <v>1493.2325135112937</v>
      </c>
      <c r="AH78" s="8">
        <v>1489.3002505227932</v>
      </c>
      <c r="AI78" s="8">
        <v>1485.8962181669599</v>
      </c>
      <c r="AJ78" s="8">
        <v>1484.0226489511319</v>
      </c>
      <c r="AK78" s="8">
        <v>1480.2509234511936</v>
      </c>
      <c r="AL78" s="8">
        <v>1827.6177496674898</v>
      </c>
      <c r="AM78" s="8">
        <v>1823.3310016897944</v>
      </c>
      <c r="AN78" s="8">
        <v>1822.258504745289</v>
      </c>
      <c r="AO78" s="8">
        <v>1935.2034881860682</v>
      </c>
      <c r="AP78" s="8">
        <v>1934.2995218091501</v>
      </c>
      <c r="AQ78" s="8">
        <v>1940.3982710396829</v>
      </c>
      <c r="AR78" s="8">
        <v>1938.1457383895909</v>
      </c>
      <c r="AS78" s="8">
        <v>1981.3639227106014</v>
      </c>
      <c r="AT78" s="8">
        <v>1983.1385849492458</v>
      </c>
      <c r="AU78" s="8">
        <v>1987.3409732190416</v>
      </c>
      <c r="AV78" s="8">
        <v>1985.1034632127164</v>
      </c>
      <c r="AW78" s="8">
        <v>2152.2805960586957</v>
      </c>
      <c r="AX78" s="8">
        <v>2149.4805136233681</v>
      </c>
      <c r="AY78" s="8">
        <v>2145.587489946518</v>
      </c>
      <c r="AZ78" s="8">
        <v>2141.5231423978344</v>
      </c>
      <c r="BA78" s="8">
        <v>2139.0406142128022</v>
      </c>
      <c r="BB78" s="8">
        <v>2136.5685807627715</v>
      </c>
      <c r="BC78" s="8">
        <v>2135.8154656919578</v>
      </c>
      <c r="BD78" s="8">
        <v>2133.6535860432159</v>
      </c>
      <c r="BE78" s="8">
        <v>2131.9805834944573</v>
      </c>
      <c r="BF78" s="8">
        <v>2130.3388684682513</v>
      </c>
      <c r="BH78" s="8">
        <f t="shared" si="18"/>
        <v>18219.623934579566</v>
      </c>
      <c r="BI78" s="8">
        <f t="shared" si="19"/>
        <v>22638.452143069862</v>
      </c>
      <c r="BJ78" s="8">
        <f t="shared" si="20"/>
        <v>21396.269440699871</v>
      </c>
    </row>
    <row r="79" spans="1:62" x14ac:dyDescent="0.25">
      <c r="A79" s="9" t="s">
        <v>1</v>
      </c>
      <c r="B79" s="9" t="s">
        <v>644</v>
      </c>
      <c r="C79" s="10">
        <v>44927</v>
      </c>
      <c r="D79" s="6" cm="1">
        <f t="array" ref="D79">_xlfn.LET(
  _xlpm.aralık, Y79:BF79,
  _xlpm.ilk, MATCH(TRUE, _xlpm.aralık&lt;&gt;0, 0),
  _xlpm.son, MIN(_xlpm.ilk+2, COLUMNS(_xlpm.aralık)),
  MAX(INDEX(_xlpm.aralık, _xlpm.ilk):INDEX(_xlpm.aralık, _xlpm.son))
)</f>
        <v>1713.4871629638615</v>
      </c>
      <c r="E79" s="6">
        <f t="shared" si="13"/>
        <v>1863.9900479145342</v>
      </c>
      <c r="F79" s="6">
        <f t="shared" si="14"/>
        <v>2334.1407031633607</v>
      </c>
      <c r="G79" s="6">
        <f t="shared" si="21"/>
        <v>2108.0230000000001</v>
      </c>
      <c r="H79" s="7">
        <f t="shared" si="15"/>
        <v>8.783426465264213E-2</v>
      </c>
      <c r="I79" s="7">
        <f t="shared" si="16"/>
        <v>0.36221662677994004</v>
      </c>
      <c r="J79" s="7">
        <f t="shared" si="17"/>
        <v>0.25222809304955229</v>
      </c>
      <c r="K79" s="7">
        <f t="shared" si="22"/>
        <v>0.23025316183501499</v>
      </c>
      <c r="L79" s="5" t="s">
        <v>413</v>
      </c>
      <c r="M79" s="7">
        <f>IF(R79="",(VLOOKUP(A79,[1]Export!$B$2:$H$680,7,0)),"CHURN")</f>
        <v>0.12783684048988081</v>
      </c>
      <c r="N79" s="5">
        <f t="shared" si="23"/>
        <v>1838.54</v>
      </c>
      <c r="O79" s="5">
        <f t="shared" si="24"/>
        <v>1625.7034494845584</v>
      </c>
      <c r="P79" s="5">
        <f t="shared" si="25"/>
        <v>2035.7515304121277</v>
      </c>
      <c r="Q79" s="5" t="s">
        <v>430</v>
      </c>
      <c r="T79" s="6" t="str" cm="1">
        <f t="array" ref="T79">IF(R79&lt;&gt;"Churn","",
 _xlfn.LET(
   _xlpm.rng,Y79:BF79,
   _xlpm.pos,MAX(IF((_xlpm.rng&lt;&gt;0)*(_xlpm.rng&lt;&gt;""),COLUMN(_xlpm.rng)-COLUMN(Y79)+1)),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79" s="6" t="str" cm="1">
        <f t="array" ref="U79">IF(R79="Churn",
   MAX(IF((Y79:BF79&lt;&gt;"")*(Y79:BF79&lt;&gt;0), COLUMN(Y79:BF79)-COLUMN(Y79)+1))
   -MATCH(1, --((Y79:BF79&lt;&gt;"")*(Y79:BF79&lt;&gt;0)), 0)
   +1,
"")</f>
        <v/>
      </c>
      <c r="V79" s="6" t="str" cm="1">
        <f t="array" ref="V79">IFERROR(
    IF(
        MATCH(2,1/((Y79:BF79&lt;&gt;0)*(Y79:BF79&lt;&gt;"")))-MATCH(1,INDEX((Y79:BF79&lt;&gt;0)*(Y79:BF79&lt;&gt;""),0),0)+1 &lt;= 12,
        "No",
        "Yes"
    ),
    "No"
)</f>
        <v>Yes</v>
      </c>
      <c r="W79" s="6" t="str" cm="1">
        <f t="array" ref="W79">IFERROR(
    IF(
        MATCH(2,1/((Y79:BF79&lt;&gt;0)*(Y79:BF79&lt;&gt;"")))-MATCH(1,INDEX((Y79:BF79&lt;&gt;0)*(Y79:BF79&lt;&gt;""),0),0)+1 &lt;= 24,
        "No",
        "Yes"
    ),
    "No"
)</f>
        <v>Yes</v>
      </c>
      <c r="Y79" s="8">
        <v>666.37168613360495</v>
      </c>
      <c r="Z79" s="8">
        <v>664.05648198813208</v>
      </c>
      <c r="AA79" s="8">
        <v>1713.4871629638615</v>
      </c>
      <c r="AB79" s="8">
        <v>1710.1344093317657</v>
      </c>
      <c r="AC79" s="8">
        <v>1697.1861460323589</v>
      </c>
      <c r="AD79" s="8">
        <v>1590.6333597569314</v>
      </c>
      <c r="AE79" s="8">
        <v>1696.2987683061228</v>
      </c>
      <c r="AF79" s="8">
        <v>1683.6398809183224</v>
      </c>
      <c r="AG79" s="8">
        <v>1947.451329767292</v>
      </c>
      <c r="AH79" s="8">
        <v>1922.1695207553023</v>
      </c>
      <c r="AI79" s="8">
        <v>1900.2844892575633</v>
      </c>
      <c r="AJ79" s="8">
        <v>1888.2390334523839</v>
      </c>
      <c r="AK79" s="8">
        <v>1863.9900479145342</v>
      </c>
      <c r="AL79" s="8">
        <v>1847.0609810986377</v>
      </c>
      <c r="AM79" s="8">
        <v>1819.5008392703851</v>
      </c>
      <c r="AN79" s="8">
        <v>1930.4865678845385</v>
      </c>
      <c r="AO79" s="8">
        <v>1876.6043495534677</v>
      </c>
      <c r="AP79" s="8">
        <v>1869.7930711421304</v>
      </c>
      <c r="AQ79" s="8">
        <v>1860.5534184224869</v>
      </c>
      <c r="AR79" s="8">
        <v>1843.5808546168378</v>
      </c>
      <c r="AS79" s="8">
        <v>1834.7487693539933</v>
      </c>
      <c r="AT79" s="8">
        <v>1830.0331176417226</v>
      </c>
      <c r="AU79" s="8">
        <v>2130.4278585335896</v>
      </c>
      <c r="AV79" s="8">
        <v>2113.9728063937564</v>
      </c>
      <c r="AW79" s="8">
        <v>2334.1407031633607</v>
      </c>
      <c r="AX79" s="8">
        <v>2316.0521034821159</v>
      </c>
      <c r="AY79" s="8">
        <v>2290.9030771707139</v>
      </c>
      <c r="AZ79" s="8">
        <v>2264.6472945387295</v>
      </c>
      <c r="BA79" s="8">
        <v>2108.0230000000001</v>
      </c>
      <c r="BB79" s="8">
        <v>2108.0230000000001</v>
      </c>
      <c r="BC79" s="8">
        <v>2108.0230000000001</v>
      </c>
      <c r="BD79" s="8">
        <v>2108.0230000000001</v>
      </c>
      <c r="BE79" s="8">
        <v>2108.0230000000001</v>
      </c>
      <c r="BF79" s="8">
        <v>2108.0230000000001</v>
      </c>
      <c r="BH79" s="8">
        <f t="shared" si="18"/>
        <v>19079.952268663641</v>
      </c>
      <c r="BI79" s="8">
        <f t="shared" si="19"/>
        <v>22820.752681826081</v>
      </c>
      <c r="BJ79" s="8">
        <f t="shared" si="20"/>
        <v>21853.881178354924</v>
      </c>
    </row>
    <row r="80" spans="1:62" x14ac:dyDescent="0.25">
      <c r="A80" s="9" t="s">
        <v>441</v>
      </c>
      <c r="B80" s="9" t="s">
        <v>643</v>
      </c>
      <c r="C80" s="10">
        <f>VLOOKUP(A80,'[2]Revenue_Engine_2025 Oct.25'!$C$14:G$3937,5,0)</f>
        <v>45839</v>
      </c>
      <c r="D80" s="6" cm="1">
        <f t="array" ref="D80">_xlfn.LET(
  _xlpm.aralık, Y80:BF80,
  _xlpm.ilk, MATCH(TRUE, _xlpm.aralık&lt;&gt;0, 0),
  _xlpm.son, MIN(_xlpm.ilk+2, COLUMNS(_xlpm.aralık)),
  MAX(INDEX(_xlpm.aralık, _xlpm.ilk):INDEX(_xlpm.aralık, _xlpm.son))
)</f>
        <v>2165.9218322925603</v>
      </c>
      <c r="E80" s="6">
        <f t="shared" si="13"/>
        <v>0</v>
      </c>
      <c r="F80" s="6">
        <f t="shared" si="14"/>
        <v>0</v>
      </c>
      <c r="G80" s="6">
        <f t="shared" si="21"/>
        <v>2081.4210701643806</v>
      </c>
      <c r="H80" s="7">
        <f t="shared" si="15"/>
        <v>-1</v>
      </c>
      <c r="I80" s="7">
        <f t="shared" si="16"/>
        <v>-1</v>
      </c>
      <c r="J80" s="7" t="e">
        <f t="shared" si="17"/>
        <v>#DIV/0!</v>
      </c>
      <c r="K80" s="7">
        <f t="shared" si="22"/>
        <v>-3.9013763501676492E-2</v>
      </c>
      <c r="L80" s="5" t="s">
        <v>413</v>
      </c>
      <c r="M80" s="7">
        <f>IF(R80="",(VLOOKUP(A80,[1]Export!$B$2:$H$680,7,0)),"CHURN")</f>
        <v>0</v>
      </c>
      <c r="N80" s="5">
        <f t="shared" si="23"/>
        <v>2081.4210701643806</v>
      </c>
      <c r="O80" s="5">
        <f t="shared" si="24"/>
        <v>0</v>
      </c>
      <c r="P80" s="5">
        <f t="shared" si="25"/>
        <v>0</v>
      </c>
      <c r="Q80" s="5" t="s">
        <v>430</v>
      </c>
      <c r="T80" s="6" t="str" cm="1">
        <f t="array" ref="T80">IF(R80&lt;&gt;"Churn","",
 _xlfn.LET(
   _xlpm.rng,Y80:BF80,
   _xlpm.pos,MAX(IF((_xlpm.rng&lt;&gt;0)*(_xlpm.rng&lt;&gt;""),COLUMN(_xlpm.rng)-COLUMN(Y80)+1)),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0" s="6" t="str" cm="1">
        <f t="array" ref="U80">IF(R80="Churn",
   MAX(IF((Y80:BF80&lt;&gt;"")*(Y80:BF80&lt;&gt;0), COLUMN(Y80:BF80)-COLUMN(Y80)+1))
   -MATCH(1, --((Y80:BF80&lt;&gt;"")*(Y80:BF80&lt;&gt;0)), 0)
   +1,
"")</f>
        <v/>
      </c>
      <c r="V80" s="6" t="str" cm="1">
        <f t="array" ref="V80">IFERROR(
    IF(
        MATCH(2,1/((Y80:BF80&lt;&gt;0)*(Y80:BF80&lt;&gt;"")))-MATCH(1,INDEX((Y80:BF80&lt;&gt;0)*(Y80:BF80&lt;&gt;""),0),0)+1 &lt;= 12,
        "No",
        "Yes"
    ),
    "No"
)</f>
        <v>No</v>
      </c>
      <c r="W80" s="6" t="str" cm="1">
        <f t="array" ref="W80">IFERROR(
    IF(
        MATCH(2,1/((Y80:BF80&lt;&gt;0)*(Y80:BF80&lt;&gt;"")))-MATCH(1,INDEX((Y80:BF80&lt;&gt;0)*(Y80:BF80&lt;&gt;""),0),0)+1 &lt;= 24,
        "No",
        "Yes"
    ),
    "No"
)</f>
        <v>No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2165.9218322925603</v>
      </c>
      <c r="BD80" s="8">
        <v>2132.5652660734281</v>
      </c>
      <c r="BE80" s="8">
        <v>2106.7517938318383</v>
      </c>
      <c r="BF80" s="8">
        <v>2081.4210701643806</v>
      </c>
      <c r="BH80" s="8">
        <f t="shared" si="18"/>
        <v>0</v>
      </c>
      <c r="BI80" s="8">
        <f t="shared" si="19"/>
        <v>0</v>
      </c>
      <c r="BJ80" s="8">
        <f t="shared" si="20"/>
        <v>8486.6599623622078</v>
      </c>
    </row>
    <row r="81" spans="1:62" x14ac:dyDescent="0.25">
      <c r="A81" s="9" t="s">
        <v>7</v>
      </c>
      <c r="B81" s="9" t="s">
        <v>644</v>
      </c>
      <c r="C81" s="10">
        <v>44927</v>
      </c>
      <c r="D81" s="6" cm="1">
        <f t="array" ref="D81">_xlfn.LET(
  _xlpm.aralık, Y81:BF81,
  _xlpm.ilk, MATCH(TRUE, _xlpm.aralık&lt;&gt;0, 0),
  _xlpm.son, MIN(_xlpm.ilk+2, COLUMNS(_xlpm.aralık)),
  MAX(INDEX(_xlpm.aralık, _xlpm.ilk):INDEX(_xlpm.aralık, _xlpm.son))
)</f>
        <v>1619.57</v>
      </c>
      <c r="E81" s="6">
        <f t="shared" si="13"/>
        <v>1634.31</v>
      </c>
      <c r="F81" s="6">
        <f t="shared" si="14"/>
        <v>2037.2984133333334</v>
      </c>
      <c r="G81" s="6">
        <f t="shared" si="21"/>
        <v>2058.548413333333</v>
      </c>
      <c r="H81" s="7">
        <f t="shared" si="15"/>
        <v>9.1011811777200174E-3</v>
      </c>
      <c r="I81" s="7">
        <f t="shared" si="16"/>
        <v>0.25792550697613165</v>
      </c>
      <c r="J81" s="7">
        <f t="shared" si="17"/>
        <v>0.24658015513172746</v>
      </c>
      <c r="K81" s="7">
        <f t="shared" si="22"/>
        <v>0.27104627359937083</v>
      </c>
      <c r="L81" s="5" t="s">
        <v>418</v>
      </c>
      <c r="M81" s="7">
        <f>IF(R81="",(VLOOKUP(A81,[1]Export!$B$2:$H$680,7,0)),"CHURN")</f>
        <v>0.29783479653717138</v>
      </c>
      <c r="N81" s="5">
        <f t="shared" si="23"/>
        <v>1445.4410654862827</v>
      </c>
      <c r="O81" s="5">
        <f t="shared" si="24"/>
        <v>1147.5556136713353</v>
      </c>
      <c r="P81" s="5">
        <f t="shared" si="25"/>
        <v>1430.520054912698</v>
      </c>
      <c r="Q81" s="5" t="str">
        <f>VLOOKUP(A81,[4]Sheet2!$A$1:$B$142,2,0)</f>
        <v>HIGH RISK</v>
      </c>
      <c r="T81" s="6" t="str" cm="1">
        <f t="array" ref="T81">IF(R81&lt;&gt;"Churn","",
 _xlfn.LET(
   _xlpm.rng,Y81:BF81,
   _xlpm.pos,MAX(IF((_xlpm.rng&lt;&gt;0)*(_xlpm.rng&lt;&gt;""),COLUMN(_xlpm.rng)-COLUMN(Y81)+1)),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1" s="6" t="str" cm="1">
        <f t="array" ref="U81">IF(R81="Churn",
   MAX(IF((Y81:BF81&lt;&gt;"")*(Y81:BF81&lt;&gt;0), COLUMN(Y81:BF81)-COLUMN(Y81)+1))
   -MATCH(1, --((Y81:BF81&lt;&gt;"")*(Y81:BF81&lt;&gt;0)), 0)
   +1,
"")</f>
        <v/>
      </c>
      <c r="V81" s="6" t="str" cm="1">
        <f t="array" ref="V81">IFERROR(
    IF(
        MATCH(2,1/((Y81:BF81&lt;&gt;0)*(Y81:BF81&lt;&gt;"")))-MATCH(1,INDEX((Y81:BF81&lt;&gt;0)*(Y81:BF81&lt;&gt;""),0),0)+1 &lt;= 12,
        "No",
        "Yes"
    ),
    "No"
)</f>
        <v>Yes</v>
      </c>
      <c r="W81" s="6" t="str" cm="1">
        <f t="array" ref="W81">IFERROR(
    IF(
        MATCH(2,1/((Y81:BF81&lt;&gt;0)*(Y81:BF81&lt;&gt;"")))-MATCH(1,INDEX((Y81:BF81&lt;&gt;0)*(Y81:BF81&lt;&gt;""),0),0)+1 &lt;= 24,
        "No",
        "Yes"
    ),
    "No"
)</f>
        <v>Yes</v>
      </c>
      <c r="Y81" s="8">
        <v>978.90496473561041</v>
      </c>
      <c r="Z81" s="8">
        <v>1021.247788691915</v>
      </c>
      <c r="AA81" s="8">
        <v>1619.57</v>
      </c>
      <c r="AB81" s="8">
        <v>1619.57</v>
      </c>
      <c r="AC81" s="8">
        <v>1619.5700000000002</v>
      </c>
      <c r="AD81" s="8">
        <v>1619.57</v>
      </c>
      <c r="AE81" s="8">
        <v>1634.31</v>
      </c>
      <c r="AF81" s="8">
        <v>1634.31</v>
      </c>
      <c r="AG81" s="8">
        <v>1634.31</v>
      </c>
      <c r="AH81" s="8">
        <v>1634.31</v>
      </c>
      <c r="AI81" s="8">
        <v>1634.31</v>
      </c>
      <c r="AJ81" s="8">
        <v>1634.31</v>
      </c>
      <c r="AK81" s="8">
        <v>1634.31</v>
      </c>
      <c r="AL81" s="8">
        <v>1634.31</v>
      </c>
      <c r="AM81" s="8">
        <v>1622.2933333333333</v>
      </c>
      <c r="AN81" s="8">
        <v>1623.3758333333333</v>
      </c>
      <c r="AO81" s="8">
        <v>1577.8058333333333</v>
      </c>
      <c r="AP81" s="8">
        <v>1577.8058333333333</v>
      </c>
      <c r="AQ81" s="8">
        <v>1577.8058333333333</v>
      </c>
      <c r="AR81" s="8">
        <v>1577.8058333333333</v>
      </c>
      <c r="AS81" s="8">
        <v>1577.8058333333333</v>
      </c>
      <c r="AT81" s="8">
        <v>1620.3058333333333</v>
      </c>
      <c r="AU81" s="8">
        <v>1622.3058333333333</v>
      </c>
      <c r="AV81" s="8">
        <v>1622.3058333333333</v>
      </c>
      <c r="AW81" s="8">
        <v>2037.2984133333334</v>
      </c>
      <c r="AX81" s="8">
        <v>2062.298413333333</v>
      </c>
      <c r="AY81" s="8">
        <v>2062.298413333333</v>
      </c>
      <c r="AZ81" s="8">
        <v>2062.2984133333325</v>
      </c>
      <c r="BA81" s="8">
        <v>2055.548413333333</v>
      </c>
      <c r="BB81" s="8">
        <v>2056.548413333333</v>
      </c>
      <c r="BC81" s="8">
        <v>2056.548413333333</v>
      </c>
      <c r="BD81" s="8">
        <v>2058.548413333333</v>
      </c>
      <c r="BE81" s="8">
        <v>2058.548413333333</v>
      </c>
      <c r="BF81" s="8">
        <v>2058.548413333333</v>
      </c>
      <c r="BH81" s="8">
        <f t="shared" si="18"/>
        <v>18284.292753427526</v>
      </c>
      <c r="BI81" s="8">
        <f t="shared" si="19"/>
        <v>19268.235833333332</v>
      </c>
      <c r="BJ81" s="8">
        <f t="shared" si="20"/>
        <v>20568.484133333335</v>
      </c>
    </row>
    <row r="82" spans="1:62" x14ac:dyDescent="0.25">
      <c r="A82" s="9" t="s">
        <v>325</v>
      </c>
      <c r="B82" s="9" t="s">
        <v>643</v>
      </c>
      <c r="C82" s="10">
        <v>44927</v>
      </c>
      <c r="D82" s="6" cm="1">
        <f t="array" ref="D82">_xlfn.LET(
  _xlpm.aralık, Y82:BF82,
  _xlpm.ilk, MATCH(TRUE, _xlpm.aralık&lt;&gt;0, 0),
  _xlpm.son, MIN(_xlpm.ilk+2, COLUMNS(_xlpm.aralık)),
  MAX(INDEX(_xlpm.aralık, _xlpm.ilk):INDEX(_xlpm.aralık, _xlpm.son))
)</f>
        <v>2162.0937504943813</v>
      </c>
      <c r="E82" s="6">
        <f t="shared" si="13"/>
        <v>1367.0814870844156</v>
      </c>
      <c r="F82" s="6">
        <f t="shared" si="14"/>
        <v>1818.5508472782687</v>
      </c>
      <c r="G82" s="6">
        <f t="shared" si="21"/>
        <v>2040.6795225073874</v>
      </c>
      <c r="H82" s="7">
        <f t="shared" si="15"/>
        <v>-0.36770480615291512</v>
      </c>
      <c r="I82" s="7">
        <f t="shared" si="16"/>
        <v>-0.15889362019457229</v>
      </c>
      <c r="J82" s="7">
        <f t="shared" si="17"/>
        <v>0.33024319651691364</v>
      </c>
      <c r="K82" s="7">
        <f t="shared" si="22"/>
        <v>-5.6155857237564957E-2</v>
      </c>
      <c r="L82" s="5" t="s">
        <v>416</v>
      </c>
      <c r="M82" s="7">
        <f>IF(R82="",(VLOOKUP(A82,[1]Export!$B$2:$H$680,7,0)),"CHURN")</f>
        <v>0</v>
      </c>
      <c r="N82" s="5">
        <f t="shared" si="23"/>
        <v>2040.6795225073874</v>
      </c>
      <c r="O82" s="5">
        <f t="shared" si="24"/>
        <v>1367.0814870844156</v>
      </c>
      <c r="P82" s="5">
        <f t="shared" si="25"/>
        <v>1818.5508472782687</v>
      </c>
      <c r="Q82" s="5" t="s">
        <v>430</v>
      </c>
      <c r="T82" s="6" t="str" cm="1">
        <f t="array" ref="T82">IF(R82&lt;&gt;"Churn","",
 _xlfn.LET(
   _xlpm.rng,Y82:BF82,
   _xlpm.pos,MAX(IF((_xlpm.rng&lt;&gt;0)*(_xlpm.rng&lt;&gt;""),COLUMN(_xlpm.rng)-COLUMN(Y82)+1)),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2" s="6" t="str" cm="1">
        <f t="array" ref="U82">IF(R82="Churn",
   MAX(IF((Y82:BF82&lt;&gt;"")*(Y82:BF82&lt;&gt;0), COLUMN(Y82:BF82)-COLUMN(Y82)+1))
   -MATCH(1, --((Y82:BF82&lt;&gt;"")*(Y82:BF82&lt;&gt;0)), 0)
   +1,
"")</f>
        <v/>
      </c>
      <c r="V82" s="6" t="str" cm="1">
        <f t="array" ref="V82">IFERROR(
    IF(
        MATCH(2,1/((Y82:BF82&lt;&gt;0)*(Y82:BF82&lt;&gt;"")))-MATCH(1,INDEX((Y82:BF82&lt;&gt;0)*(Y82:BF82&lt;&gt;""),0),0)+1 &lt;= 12,
        "No",
        "Yes"
    ),
    "No"
)</f>
        <v>Yes</v>
      </c>
      <c r="W82" s="6" t="str" cm="1">
        <f t="array" ref="W82">IFERROR(
    IF(
        MATCH(2,1/((Y82:BF82&lt;&gt;0)*(Y82:BF82&lt;&gt;"")))-MATCH(1,INDEX((Y82:BF82&lt;&gt;0)*(Y82:BF82&lt;&gt;""),0),0)+1 &lt;= 24,
        "No",
        "Yes"
    ),
    "No"
)</f>
        <v>Yes</v>
      </c>
      <c r="X82" s="6"/>
      <c r="Y82" s="8">
        <v>1380.7221336688294</v>
      </c>
      <c r="Z82" s="8">
        <v>1375.9250306794095</v>
      </c>
      <c r="AA82" s="8">
        <v>2162.0937504943813</v>
      </c>
      <c r="AB82" s="8">
        <v>2123.6811163311077</v>
      </c>
      <c r="AC82" s="8">
        <v>2083.4182370726453</v>
      </c>
      <c r="AD82" s="8">
        <v>1752.0770303152028</v>
      </c>
      <c r="AE82" s="8">
        <v>1552.7305017212584</v>
      </c>
      <c r="AF82" s="8">
        <v>1523.3539111550365</v>
      </c>
      <c r="AG82" s="8">
        <v>1521.9402200873817</v>
      </c>
      <c r="AH82" s="8">
        <v>1475.0309368280291</v>
      </c>
      <c r="AI82" s="8">
        <v>1434.4242246587996</v>
      </c>
      <c r="AJ82" s="8">
        <v>1412.0744118710672</v>
      </c>
      <c r="AK82" s="8">
        <v>1367.0814870844156</v>
      </c>
      <c r="AL82" s="8">
        <v>1335.6703491311628</v>
      </c>
      <c r="AM82" s="8">
        <v>2019.0361611870344</v>
      </c>
      <c r="AN82" s="8">
        <v>1998.9267757054279</v>
      </c>
      <c r="AO82" s="8">
        <v>2001.8327250135899</v>
      </c>
      <c r="AP82" s="8">
        <v>1984.8832983238574</v>
      </c>
      <c r="AQ82" s="8">
        <v>1961.890604117767</v>
      </c>
      <c r="AR82" s="8">
        <v>1919.6554835183169</v>
      </c>
      <c r="AS82" s="8">
        <v>1897.6774140591413</v>
      </c>
      <c r="AT82" s="8">
        <v>1885.9428216278864</v>
      </c>
      <c r="AU82" s="8">
        <v>1875.5471135124753</v>
      </c>
      <c r="AV82" s="8">
        <v>1846.3844268941177</v>
      </c>
      <c r="AW82" s="8">
        <v>1818.5508472782687</v>
      </c>
      <c r="AX82" s="8">
        <v>1786.4930841434987</v>
      </c>
      <c r="AY82" s="8">
        <v>2301.6063942220626</v>
      </c>
      <c r="AZ82" s="8">
        <v>2240.123331746086</v>
      </c>
      <c r="BA82" s="8">
        <v>2202.5691035039345</v>
      </c>
      <c r="BB82" s="8">
        <v>2165.1736334486905</v>
      </c>
      <c r="BC82" s="8">
        <v>2123.5261257307025</v>
      </c>
      <c r="BD82" s="8">
        <v>2090.8226265543053</v>
      </c>
      <c r="BE82" s="8">
        <v>2065.5144248822307</v>
      </c>
      <c r="BF82" s="8">
        <v>2040.6795225073874</v>
      </c>
      <c r="BH82" s="8">
        <f t="shared" si="18"/>
        <v>19797.471504883149</v>
      </c>
      <c r="BI82" s="8">
        <f t="shared" si="19"/>
        <v>22094.52866017519</v>
      </c>
      <c r="BJ82" s="8">
        <f t="shared" si="20"/>
        <v>20835.059094017168</v>
      </c>
    </row>
    <row r="83" spans="1:62" x14ac:dyDescent="0.25">
      <c r="A83" s="9" t="s">
        <v>442</v>
      </c>
      <c r="B83" s="9" t="s">
        <v>643</v>
      </c>
      <c r="C83" s="10">
        <f>VLOOKUP(A83,'[2]Revenue_Engine_2025 Oct.25'!$C$14:G$3937,5,0)</f>
        <v>45700</v>
      </c>
      <c r="D83" s="6" cm="1">
        <f t="array" ref="D83">_xlfn.LET(
  _xlpm.aralık, Y83:BF83,
  _xlpm.ilk, MATCH(TRUE, _xlpm.aralık&lt;&gt;0, 0),
  _xlpm.son, MIN(_xlpm.ilk+2, COLUMNS(_xlpm.aralık)),
  MAX(INDEX(_xlpm.aralık, _xlpm.ilk):INDEX(_xlpm.aralık, _xlpm.son))
)</f>
        <v>3062.5</v>
      </c>
      <c r="E83" s="6">
        <f t="shared" si="13"/>
        <v>0</v>
      </c>
      <c r="F83" s="6">
        <f t="shared" si="14"/>
        <v>0</v>
      </c>
      <c r="G83" s="6">
        <f t="shared" si="21"/>
        <v>2000</v>
      </c>
      <c r="H83" s="7">
        <f t="shared" si="15"/>
        <v>-1</v>
      </c>
      <c r="I83" s="7">
        <f t="shared" si="16"/>
        <v>-1</v>
      </c>
      <c r="J83" s="7" t="e">
        <f t="shared" si="17"/>
        <v>#DIV/0!</v>
      </c>
      <c r="K83" s="7">
        <f t="shared" si="22"/>
        <v>-0.34693877551020408</v>
      </c>
      <c r="L83" s="5" t="s">
        <v>419</v>
      </c>
      <c r="M83" s="7">
        <f>IF(R83="",(VLOOKUP(A83,[1]Export!$B$2:$H$680,7,0)),"CHURN")</f>
        <v>0</v>
      </c>
      <c r="N83" s="5">
        <f t="shared" si="23"/>
        <v>2000</v>
      </c>
      <c r="O83" s="5">
        <f t="shared" si="24"/>
        <v>0</v>
      </c>
      <c r="P83" s="5">
        <f t="shared" si="25"/>
        <v>0</v>
      </c>
      <c r="Q83" s="5" t="s">
        <v>430</v>
      </c>
      <c r="T83" s="6" t="str" cm="1">
        <f t="array" ref="T83">IF(R83&lt;&gt;"Churn","",
 _xlfn.LET(
   _xlpm.rng,Y83:BF83,
   _xlpm.pos,MAX(IF((_xlpm.rng&lt;&gt;0)*(_xlpm.rng&lt;&gt;""),COLUMN(_xlpm.rng)-COLUMN(Y83)+1)),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3" s="6" t="str" cm="1">
        <f t="array" ref="U83">IF(R83="Churn",
   MAX(IF((Y83:BF83&lt;&gt;"")*(Y83:BF83&lt;&gt;0), COLUMN(Y83:BF83)-COLUMN(Y83)+1))
   -MATCH(1, --((Y83:BF83&lt;&gt;"")*(Y83:BF83&lt;&gt;0)), 0)
   +1,
"")</f>
        <v/>
      </c>
      <c r="V83" s="6" t="str" cm="1">
        <f t="array" ref="V83">IFERROR(
    IF(
        MATCH(2,1/((Y83:BF83&lt;&gt;0)*(Y83:BF83&lt;&gt;"")))-MATCH(1,INDEX((Y83:BF83&lt;&gt;0)*(Y83:BF83&lt;&gt;""),0),0)+1 &lt;= 12,
        "No",
        "Yes"
    ),
    "No"
)</f>
        <v>No</v>
      </c>
      <c r="W83" s="6" t="str" cm="1">
        <f t="array" ref="W83">IFERROR(
    IF(
        MATCH(2,1/((Y83:BF83&lt;&gt;0)*(Y83:BF83&lt;&gt;"")))-MATCH(1,INDEX((Y83:BF83&lt;&gt;0)*(Y83:BF83&lt;&gt;""),0),0)+1 &lt;= 24,
        "No",
        "Yes"
    ),
    "No"
)</f>
        <v>No</v>
      </c>
      <c r="X83" s="6"/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2000</v>
      </c>
      <c r="AY83" s="8">
        <v>2000</v>
      </c>
      <c r="AZ83" s="8">
        <v>3062.5</v>
      </c>
      <c r="BA83" s="8">
        <v>3062.5</v>
      </c>
      <c r="BB83" s="8">
        <v>2000</v>
      </c>
      <c r="BC83" s="8">
        <v>2000</v>
      </c>
      <c r="BD83" s="8">
        <v>2000</v>
      </c>
      <c r="BE83" s="8">
        <v>2000</v>
      </c>
      <c r="BF83" s="8">
        <v>2000</v>
      </c>
      <c r="BH83" s="8">
        <f t="shared" si="18"/>
        <v>0</v>
      </c>
      <c r="BI83" s="8">
        <f t="shared" si="19"/>
        <v>0</v>
      </c>
      <c r="BJ83" s="8">
        <f t="shared" si="20"/>
        <v>20125</v>
      </c>
    </row>
    <row r="84" spans="1:62" x14ac:dyDescent="0.25">
      <c r="A84" s="9" t="s">
        <v>128</v>
      </c>
      <c r="B84" s="9" t="s">
        <v>644</v>
      </c>
      <c r="C84" s="10">
        <v>44927</v>
      </c>
      <c r="D84" s="6" cm="1">
        <f t="array" ref="D84">_xlfn.LET(
  _xlpm.aralık, Y84:BF84,
  _xlpm.ilk, MATCH(TRUE, _xlpm.aralık&lt;&gt;0, 0),
  _xlpm.son, MIN(_xlpm.ilk+2, COLUMNS(_xlpm.aralık)),
  MAX(INDEX(_xlpm.aralık, _xlpm.ilk):INDEX(_xlpm.aralık, _xlpm.son))
)</f>
        <v>357.72743549966322</v>
      </c>
      <c r="E84" s="6">
        <f t="shared" si="13"/>
        <v>627.40544743016494</v>
      </c>
      <c r="F84" s="6">
        <f t="shared" si="14"/>
        <v>1535.2572442521378</v>
      </c>
      <c r="G84" s="6">
        <f t="shared" si="21"/>
        <v>1943.4615527626772</v>
      </c>
      <c r="H84" s="7">
        <f t="shared" si="15"/>
        <v>0.75386449337838279</v>
      </c>
      <c r="I84" s="7">
        <f t="shared" si="16"/>
        <v>3.2916955533693839</v>
      </c>
      <c r="J84" s="7">
        <f t="shared" si="17"/>
        <v>1.4469938068604731</v>
      </c>
      <c r="K84" s="7">
        <f t="shared" si="22"/>
        <v>4.4327998355734364</v>
      </c>
      <c r="L84" s="5" t="s">
        <v>424</v>
      </c>
      <c r="M84" s="7">
        <f>IF(R84="",(VLOOKUP(A84,[1]Export!$B$2:$H$680,7,0)),"CHURN")</f>
        <v>0.2274449232896856</v>
      </c>
      <c r="N84" s="5">
        <f t="shared" si="23"/>
        <v>1501.4310889781168</v>
      </c>
      <c r="O84" s="5">
        <f t="shared" si="24"/>
        <v>484.70526356788019</v>
      </c>
      <c r="P84" s="5">
        <f t="shared" si="25"/>
        <v>1186.0707781032763</v>
      </c>
      <c r="Q84" s="5" t="s">
        <v>430</v>
      </c>
      <c r="T84" s="6" t="str" cm="1">
        <f t="array" ref="T84">IF(R84&lt;&gt;"Churn","",
 _xlfn.LET(
   _xlpm.rng,Y84:BF84,
   _xlpm.pos,MAX(IF((_xlpm.rng&lt;&gt;0)*(_xlpm.rng&lt;&gt;""),COLUMN(_xlpm.rng)-COLUMN(Y84)+1)),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4" s="6" t="str" cm="1">
        <f t="array" ref="U84">IF(R84="Churn",
   MAX(IF((Y84:BF84&lt;&gt;"")*(Y84:BF84&lt;&gt;0), COLUMN(Y84:BF84)-COLUMN(Y84)+1))
   -MATCH(1, --((Y84:BF84&lt;&gt;"")*(Y84:BF84&lt;&gt;0)), 0)
   +1,
"")</f>
        <v/>
      </c>
      <c r="V84" s="6" t="str" cm="1">
        <f t="array" ref="V84">IFERROR(
    IF(
        MATCH(2,1/((Y84:BF84&lt;&gt;0)*(Y84:BF84&lt;&gt;"")))-MATCH(1,INDEX((Y84:BF84&lt;&gt;0)*(Y84:BF84&lt;&gt;""),0),0)+1 &lt;= 12,
        "No",
        "Yes"
    ),
    "No"
)</f>
        <v>Yes</v>
      </c>
      <c r="W84" s="6" t="str" cm="1">
        <f t="array" ref="W84">IFERROR(
    IF(
        MATCH(2,1/((Y84:BF84&lt;&gt;0)*(Y84:BF84&lt;&gt;"")))-MATCH(1,INDEX((Y84:BF84&lt;&gt;0)*(Y84:BF84&lt;&gt;""),0),0)+1 &lt;= 24,
        "No",
        "Yes"
    ),
    "No"
)</f>
        <v>Yes</v>
      </c>
      <c r="X84" s="6"/>
      <c r="Y84" s="8">
        <v>357.72743549966322</v>
      </c>
      <c r="Z84" s="8">
        <v>356.80907118862564</v>
      </c>
      <c r="AA84" s="8">
        <v>354.87271982604807</v>
      </c>
      <c r="AB84" s="8">
        <v>354.52728947500179</v>
      </c>
      <c r="AC84" s="8">
        <v>474.07540821442598</v>
      </c>
      <c r="AD84" s="8">
        <v>413.70940993470305</v>
      </c>
      <c r="AE84" s="8">
        <v>378.66494237855562</v>
      </c>
      <c r="AF84" s="8">
        <v>369.50063386378241</v>
      </c>
      <c r="AG84" s="8">
        <v>365.25211159903932</v>
      </c>
      <c r="AH84" s="8">
        <v>360.12905311777735</v>
      </c>
      <c r="AI84" s="8">
        <v>538.82663702190234</v>
      </c>
      <c r="AJ84" s="8">
        <v>644.71518921221173</v>
      </c>
      <c r="AK84" s="8">
        <v>627.40544743016494</v>
      </c>
      <c r="AL84" s="8">
        <v>618.11351024991154</v>
      </c>
      <c r="AM84" s="8">
        <v>817.96097315429233</v>
      </c>
      <c r="AN84" s="8">
        <v>816.03522512378777</v>
      </c>
      <c r="AO84" s="8">
        <v>812.89153788408248</v>
      </c>
      <c r="AP84" s="8">
        <v>807.89695304623501</v>
      </c>
      <c r="AQ84" s="8">
        <v>1577.1216851148911</v>
      </c>
      <c r="AR84" s="8">
        <v>1568.6760171031419</v>
      </c>
      <c r="AS84" s="8">
        <v>1562.1996118710558</v>
      </c>
      <c r="AT84" s="8">
        <v>1554.981667505474</v>
      </c>
      <c r="AU84" s="8">
        <v>1551.9390300272671</v>
      </c>
      <c r="AV84" s="8">
        <v>1543.4036342384336</v>
      </c>
      <c r="AW84" s="8">
        <v>1535.2572442521378</v>
      </c>
      <c r="AX84" s="8">
        <v>1835.3645634456311</v>
      </c>
      <c r="AY84" s="8">
        <v>1858.8878410253815</v>
      </c>
      <c r="AZ84" s="8">
        <v>2002.6254324260494</v>
      </c>
      <c r="BA84" s="8">
        <v>1991.391043358909</v>
      </c>
      <c r="BB84" s="8">
        <v>1980.2041469796172</v>
      </c>
      <c r="BC84" s="8">
        <v>1968.2452488133792</v>
      </c>
      <c r="BD84" s="8">
        <v>1958.4619169516375</v>
      </c>
      <c r="BE84" s="8">
        <v>1950.8909408570271</v>
      </c>
      <c r="BF84" s="8">
        <v>1943.4615527626772</v>
      </c>
      <c r="BH84" s="8">
        <f t="shared" si="18"/>
        <v>4968.8099013317369</v>
      </c>
      <c r="BI84" s="8">
        <f t="shared" si="19"/>
        <v>13858.625292748739</v>
      </c>
      <c r="BJ84" s="8">
        <f t="shared" si="20"/>
        <v>19024.789930872448</v>
      </c>
    </row>
    <row r="85" spans="1:62" x14ac:dyDescent="0.25">
      <c r="A85" s="9" t="s">
        <v>208</v>
      </c>
      <c r="B85" s="9" t="s">
        <v>643</v>
      </c>
      <c r="C85" s="10">
        <f>VLOOKUP(A85,'[2]Revenue_Engine_2025 Oct.25'!$C$14:G$3937,5,0)</f>
        <v>45100</v>
      </c>
      <c r="D85" s="6" cm="1">
        <f t="array" ref="D85">_xlfn.LET(
  _xlpm.aralık, Y85:BF85,
  _xlpm.ilk, MATCH(TRUE, _xlpm.aralık&lt;&gt;0, 0),
  _xlpm.son, MIN(_xlpm.ilk+2, COLUMNS(_xlpm.aralık)),
  MAX(INDEX(_xlpm.aralık, _xlpm.ilk):INDEX(_xlpm.aralık, _xlpm.son))
)</f>
        <v>1888.8888444444444</v>
      </c>
      <c r="E85" s="6">
        <f t="shared" si="13"/>
        <v>1888.8888444444444</v>
      </c>
      <c r="F85" s="6">
        <f t="shared" si="14"/>
        <v>1888.8888444444444</v>
      </c>
      <c r="G85" s="6">
        <f t="shared" si="21"/>
        <v>1888.8888444444444</v>
      </c>
      <c r="H85" s="7">
        <f t="shared" si="15"/>
        <v>0</v>
      </c>
      <c r="I85" s="7">
        <f t="shared" si="16"/>
        <v>0</v>
      </c>
      <c r="J85" s="7">
        <f t="shared" si="17"/>
        <v>0</v>
      </c>
      <c r="K85" s="7">
        <f t="shared" si="22"/>
        <v>0</v>
      </c>
      <c r="L85" s="5" t="s">
        <v>418</v>
      </c>
      <c r="M85" s="7">
        <f>IF(R85="",(VLOOKUP(A85,[1]Export!$B$2:$H$680,7,0)),"CHURN")</f>
        <v>0</v>
      </c>
      <c r="N85" s="5">
        <f t="shared" si="23"/>
        <v>1888.8888444444444</v>
      </c>
      <c r="O85" s="5">
        <f t="shared" si="24"/>
        <v>1888.8888444444444</v>
      </c>
      <c r="P85" s="5">
        <f t="shared" si="25"/>
        <v>1888.8888444444444</v>
      </c>
      <c r="Q85" s="5" t="s">
        <v>430</v>
      </c>
      <c r="T85" s="6" t="str" cm="1">
        <f t="array" ref="T85">IF(R85&lt;&gt;"Churn","",
 _xlfn.LET(
   _xlpm.rng,Y85:BF85,
   _xlpm.pos,MAX(IF((_xlpm.rng&lt;&gt;0)*(_xlpm.rng&lt;&gt;""),COLUMN(_xlpm.rng)-COLUMN(Y85)+1)),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5" s="6" t="str" cm="1">
        <f t="array" ref="U85">IF(R85="Churn",
   MAX(IF((Y85:BF85&lt;&gt;"")*(Y85:BF85&lt;&gt;0), COLUMN(Y85:BF85)-COLUMN(Y85)+1))
   -MATCH(1, --((Y85:BF85&lt;&gt;"")*(Y85:BF85&lt;&gt;0)), 0)
   +1,
"")</f>
        <v/>
      </c>
      <c r="V85" s="6" t="str" cm="1">
        <f t="array" ref="V85">IFERROR(
    IF(
        MATCH(2,1/((Y85:BF85&lt;&gt;0)*(Y85:BF85&lt;&gt;"")))-MATCH(1,INDEX((Y85:BF85&lt;&gt;0)*(Y85:BF85&lt;&gt;""),0),0)+1 &lt;= 12,
        "No",
        "Yes"
    ),
    "No"
)</f>
        <v>Yes</v>
      </c>
      <c r="W85" s="6" t="str" cm="1">
        <f t="array" ref="W85">IFERROR(
    IF(
        MATCH(2,1/((Y85:BF85&lt;&gt;0)*(Y85:BF85&lt;&gt;"")))-MATCH(1,INDEX((Y85:BF85&lt;&gt;0)*(Y85:BF85&lt;&gt;""),0),0)+1 &lt;= 24,
        "No",
        "Yes"
    ),
    "No"
)</f>
        <v>Yes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1888.8888444444444</v>
      </c>
      <c r="AE85" s="8">
        <v>1888.8888444444444</v>
      </c>
      <c r="AF85" s="8">
        <v>1888.8888444444444</v>
      </c>
      <c r="AG85" s="8">
        <v>1888.8888444444444</v>
      </c>
      <c r="AH85" s="8">
        <v>1888.8888444444444</v>
      </c>
      <c r="AI85" s="8">
        <v>1888.8888444444444</v>
      </c>
      <c r="AJ85" s="8">
        <v>1888.8888444444444</v>
      </c>
      <c r="AK85" s="8">
        <v>1888.8888444444444</v>
      </c>
      <c r="AL85" s="8">
        <v>1888.8888444444444</v>
      </c>
      <c r="AM85" s="8">
        <v>1888.8888444444444</v>
      </c>
      <c r="AN85" s="8">
        <v>1888.8888444444444</v>
      </c>
      <c r="AO85" s="8">
        <v>1888.8888444444444</v>
      </c>
      <c r="AP85" s="8">
        <v>1888.8888444444444</v>
      </c>
      <c r="AQ85" s="8">
        <v>1888.8888444444444</v>
      </c>
      <c r="AR85" s="8">
        <v>1888.8888444444444</v>
      </c>
      <c r="AS85" s="8">
        <v>1888.8888444444444</v>
      </c>
      <c r="AT85" s="8">
        <v>1888.8888444444444</v>
      </c>
      <c r="AU85" s="8">
        <v>1888.8888444444444</v>
      </c>
      <c r="AV85" s="8">
        <v>1888.8888444444444</v>
      </c>
      <c r="AW85" s="8">
        <v>1888.8888444444444</v>
      </c>
      <c r="AX85" s="8">
        <v>1888.8888444444444</v>
      </c>
      <c r="AY85" s="8">
        <v>1888.8888444444444</v>
      </c>
      <c r="AZ85" s="8">
        <v>1888.8888444444444</v>
      </c>
      <c r="BA85" s="8">
        <v>1888.8888444444444</v>
      </c>
      <c r="BB85" s="8">
        <v>1888.8888444444444</v>
      </c>
      <c r="BC85" s="8">
        <v>1888.8888444444444</v>
      </c>
      <c r="BD85" s="8">
        <v>1888.8888444444444</v>
      </c>
      <c r="BE85" s="8">
        <v>1888.8888444444444</v>
      </c>
      <c r="BF85" s="8">
        <v>1888.8888444444444</v>
      </c>
      <c r="BH85" s="8">
        <f t="shared" si="18"/>
        <v>13222.22191111111</v>
      </c>
      <c r="BI85" s="8">
        <f t="shared" si="19"/>
        <v>22666.666133333336</v>
      </c>
      <c r="BJ85" s="8">
        <f t="shared" si="20"/>
        <v>18888.888444444445</v>
      </c>
    </row>
    <row r="86" spans="1:62" x14ac:dyDescent="0.25">
      <c r="A86" s="9" t="s">
        <v>56</v>
      </c>
      <c r="B86" s="9" t="s">
        <v>643</v>
      </c>
      <c r="C86" s="10">
        <v>44927</v>
      </c>
      <c r="D86" s="6" cm="1">
        <f t="array" ref="D86">_xlfn.LET(
  _xlpm.aralık, Y86:BF86,
  _xlpm.ilk, MATCH(TRUE, _xlpm.aralık&lt;&gt;0, 0),
  _xlpm.son, MIN(_xlpm.ilk+2, COLUMNS(_xlpm.aralık)),
  MAX(INDEX(_xlpm.aralık, _xlpm.ilk):INDEX(_xlpm.aralık, _xlpm.son))
)</f>
        <v>1833</v>
      </c>
      <c r="E86" s="6">
        <f t="shared" si="13"/>
        <v>1833.0071989999999</v>
      </c>
      <c r="F86" s="6">
        <f t="shared" si="14"/>
        <v>1833.0071989999999</v>
      </c>
      <c r="G86" s="6">
        <f t="shared" si="21"/>
        <v>1833.0071989999999</v>
      </c>
      <c r="H86" s="7">
        <f t="shared" si="15"/>
        <v>3.9274413529189739E-6</v>
      </c>
      <c r="I86" s="7">
        <f t="shared" si="16"/>
        <v>3.9274413529189739E-6</v>
      </c>
      <c r="J86" s="7">
        <f t="shared" si="17"/>
        <v>0</v>
      </c>
      <c r="K86" s="7">
        <f t="shared" si="22"/>
        <v>3.9274413529189739E-6</v>
      </c>
      <c r="L86" s="5" t="s">
        <v>418</v>
      </c>
      <c r="M86" s="7">
        <f>IF(R86="",(VLOOKUP(A86,[1]Export!$B$2:$H$680,7,0)),"CHURN")</f>
        <v>0.15209522644106105</v>
      </c>
      <c r="N86" s="5">
        <f t="shared" si="23"/>
        <v>1554.2155539999997</v>
      </c>
      <c r="O86" s="5">
        <f t="shared" si="24"/>
        <v>1554.2155539999997</v>
      </c>
      <c r="P86" s="5">
        <f t="shared" si="25"/>
        <v>1554.2155539999997</v>
      </c>
      <c r="Q86" s="5" t="s">
        <v>430</v>
      </c>
      <c r="T86" s="6" t="str" cm="1">
        <f t="array" ref="T86">IF(R86&lt;&gt;"Churn","",
 _xlfn.LET(
   _xlpm.rng,Y86:BF86,
   _xlpm.pos,MAX(IF((_xlpm.rng&lt;&gt;0)*(_xlpm.rng&lt;&gt;""),COLUMN(_xlpm.rng)-COLUMN(Y86)+1)),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6" s="6" t="str" cm="1">
        <f t="array" ref="U86">IF(R86="Churn",
   MAX(IF((Y86:BF86&lt;&gt;"")*(Y86:BF86&lt;&gt;0), COLUMN(Y86:BF86)-COLUMN(Y86)+1))
   -MATCH(1, --((Y86:BF86&lt;&gt;"")*(Y86:BF86&lt;&gt;0)), 0)
   +1,
"")</f>
        <v/>
      </c>
      <c r="V86" s="6" t="str" cm="1">
        <f t="array" ref="V86">IFERROR(
    IF(
        MATCH(2,1/((Y86:BF86&lt;&gt;0)*(Y86:BF86&lt;&gt;"")))-MATCH(1,INDEX((Y86:BF86&lt;&gt;0)*(Y86:BF86&lt;&gt;""),0),0)+1 &lt;= 12,
        "No",
        "Yes"
    ),
    "No"
)</f>
        <v>Yes</v>
      </c>
      <c r="W86" s="6" t="str" cm="1">
        <f t="array" ref="W86">IFERROR(
    IF(
        MATCH(2,1/((Y86:BF86&lt;&gt;0)*(Y86:BF86&lt;&gt;"")))-MATCH(1,INDEX((Y86:BF86&lt;&gt;0)*(Y86:BF86&lt;&gt;""),0),0)+1 &lt;= 24,
        "No",
        "Yes"
    ),
    "No"
)</f>
        <v>Yes</v>
      </c>
      <c r="Y86" s="8">
        <v>1833</v>
      </c>
      <c r="Z86" s="8">
        <v>1833</v>
      </c>
      <c r="AA86" s="8">
        <v>1833</v>
      </c>
      <c r="AB86" s="8">
        <v>1833</v>
      </c>
      <c r="AC86" s="8">
        <v>1833.0071989999999</v>
      </c>
      <c r="AD86" s="8">
        <v>1833.0071989999999</v>
      </c>
      <c r="AE86" s="8">
        <v>1833.0071989999999</v>
      </c>
      <c r="AF86" s="8">
        <v>1833.0071989999999</v>
      </c>
      <c r="AG86" s="8">
        <v>1833.0071989999999</v>
      </c>
      <c r="AH86" s="8">
        <v>1833.0071989999999</v>
      </c>
      <c r="AI86" s="8">
        <v>1833.0071989999999</v>
      </c>
      <c r="AJ86" s="8">
        <v>1833.0071989999999</v>
      </c>
      <c r="AK86" s="8">
        <v>1833.0071989999999</v>
      </c>
      <c r="AL86" s="8">
        <v>1833.0071989999999</v>
      </c>
      <c r="AM86" s="8">
        <v>1833.0071989999999</v>
      </c>
      <c r="AN86" s="8">
        <v>1833.0071989999999</v>
      </c>
      <c r="AO86" s="8">
        <v>1833.0071989999999</v>
      </c>
      <c r="AP86" s="8">
        <v>1833.0071989999999</v>
      </c>
      <c r="AQ86" s="8">
        <v>1833.0071989999999</v>
      </c>
      <c r="AR86" s="8">
        <v>1833.0071989999999</v>
      </c>
      <c r="AS86" s="8">
        <v>1833.0071989999999</v>
      </c>
      <c r="AT86" s="8">
        <v>1833.0071989999999</v>
      </c>
      <c r="AU86" s="8">
        <v>1833.0071989999999</v>
      </c>
      <c r="AV86" s="8">
        <v>1833.0071989999999</v>
      </c>
      <c r="AW86" s="8">
        <v>1833.0071989999999</v>
      </c>
      <c r="AX86" s="8">
        <v>1833.0071989999999</v>
      </c>
      <c r="AY86" s="8">
        <v>1833.0071989999999</v>
      </c>
      <c r="AZ86" s="8">
        <v>1833.0071989999999</v>
      </c>
      <c r="BA86" s="8">
        <v>1833.0071989999999</v>
      </c>
      <c r="BB86" s="8">
        <v>1833.0071989999999</v>
      </c>
      <c r="BC86" s="8">
        <v>1833.0071989999999</v>
      </c>
      <c r="BD86" s="8">
        <v>1833.0071989999999</v>
      </c>
      <c r="BE86" s="8">
        <v>1833.0071989999999</v>
      </c>
      <c r="BF86" s="8">
        <v>1833.0071989999999</v>
      </c>
      <c r="BH86" s="8">
        <f t="shared" si="18"/>
        <v>21996.057591999997</v>
      </c>
      <c r="BI86" s="8">
        <f t="shared" si="19"/>
        <v>21996.086388</v>
      </c>
      <c r="BJ86" s="8">
        <f t="shared" si="20"/>
        <v>18330.07199</v>
      </c>
    </row>
    <row r="87" spans="1:62" x14ac:dyDescent="0.25">
      <c r="A87" s="9" t="s">
        <v>290</v>
      </c>
      <c r="B87" s="9" t="s">
        <v>643</v>
      </c>
      <c r="C87" s="10">
        <f>VLOOKUP(A87,'[2]Revenue_Engine_2025 Oct.25'!$C$14:G$3937,5,0)</f>
        <v>45292</v>
      </c>
      <c r="D87" s="6" cm="1">
        <f t="array" ref="D87">_xlfn.LET(
  _xlpm.aralık, Y87:BF87,
  _xlpm.ilk, MATCH(TRUE, _xlpm.aralık&lt;&gt;0, 0),
  _xlpm.son, MIN(_xlpm.ilk+2, COLUMNS(_xlpm.aralık)),
  MAX(INDEX(_xlpm.aralık, _xlpm.ilk):INDEX(_xlpm.aralık, _xlpm.son))
)</f>
        <v>1810</v>
      </c>
      <c r="E87" s="6">
        <f t="shared" si="13"/>
        <v>1810</v>
      </c>
      <c r="F87" s="6">
        <f t="shared" si="14"/>
        <v>0</v>
      </c>
      <c r="G87" s="6">
        <f t="shared" si="21"/>
        <v>1810</v>
      </c>
      <c r="H87" s="7">
        <f t="shared" si="15"/>
        <v>0</v>
      </c>
      <c r="I87" s="7">
        <f t="shared" si="16"/>
        <v>-1</v>
      </c>
      <c r="J87" s="7">
        <f t="shared" si="17"/>
        <v>-1</v>
      </c>
      <c r="K87" s="7">
        <f t="shared" si="22"/>
        <v>0</v>
      </c>
      <c r="L87" s="5" t="s">
        <v>414</v>
      </c>
      <c r="M87" s="7">
        <f>IF(R87="",(VLOOKUP(A87,[1]Export!$B$2:$H$680,7,0)),"CHURN")</f>
        <v>0.21933701657458562</v>
      </c>
      <c r="N87" s="5">
        <f t="shared" si="23"/>
        <v>1413</v>
      </c>
      <c r="O87" s="5">
        <f t="shared" si="24"/>
        <v>1413</v>
      </c>
      <c r="P87" s="5">
        <f t="shared" si="25"/>
        <v>0</v>
      </c>
      <c r="Q87" s="5" t="s">
        <v>430</v>
      </c>
      <c r="T87" s="6" t="str" cm="1">
        <f t="array" ref="T87">IF(R87&lt;&gt;"Churn","",
 _xlfn.LET(
   _xlpm.rng,Y87:BF87,
   _xlpm.pos,MAX(IF((_xlpm.rng&lt;&gt;0)*(_xlpm.rng&lt;&gt;""),COLUMN(_xlpm.rng)-COLUMN(Y87)+1)),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7" s="6" t="str" cm="1">
        <f t="array" ref="U87">IF(R87="Churn",
   MAX(IF((Y87:BF87&lt;&gt;"")*(Y87:BF87&lt;&gt;0), COLUMN(Y87:BF87)-COLUMN(Y87)+1))
   -MATCH(1, --((Y87:BF87&lt;&gt;"")*(Y87:BF87&lt;&gt;0)), 0)
   +1,
"")</f>
        <v/>
      </c>
      <c r="V87" s="6" t="str" cm="1">
        <f t="array" ref="V87">IFERROR(
    IF(
        MATCH(2,1/((Y87:BF87&lt;&gt;0)*(Y87:BF87&lt;&gt;"")))-MATCH(1,INDEX((Y87:BF87&lt;&gt;0)*(Y87:BF87&lt;&gt;""),0),0)+1 &lt;= 12,
        "No",
        "Yes"
    ),
    "No"
)</f>
        <v>Yes</v>
      </c>
      <c r="W87" s="6" t="str" cm="1">
        <f t="array" ref="W87">IFERROR(
    IF(
        MATCH(2,1/((Y87:BF87&lt;&gt;0)*(Y87:BF87&lt;&gt;"")))-MATCH(1,INDEX((Y87:BF87&lt;&gt;0)*(Y87:BF87&lt;&gt;""),0),0)+1 &lt;= 24,
        "No",
        "Yes"
    ),
    "No"
)</f>
        <v>No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1810</v>
      </c>
      <c r="AO87" s="8">
        <v>1810</v>
      </c>
      <c r="AP87" s="8">
        <v>1810</v>
      </c>
      <c r="AQ87" s="8">
        <v>1810</v>
      </c>
      <c r="AR87" s="8">
        <v>1810</v>
      </c>
      <c r="AS87" s="8">
        <v>1810</v>
      </c>
      <c r="AT87" s="8">
        <v>1810</v>
      </c>
      <c r="AU87" s="8">
        <v>1810</v>
      </c>
      <c r="AV87" s="8">
        <v>1810</v>
      </c>
      <c r="AW87" s="8">
        <v>1810</v>
      </c>
      <c r="AX87" s="8">
        <v>1810</v>
      </c>
      <c r="AY87" s="8">
        <v>1810</v>
      </c>
      <c r="AZ87" s="8">
        <v>1810</v>
      </c>
      <c r="BA87" s="8">
        <v>1810</v>
      </c>
      <c r="BB87" s="8">
        <v>1810</v>
      </c>
      <c r="BC87" s="8">
        <v>1810</v>
      </c>
      <c r="BD87" s="8">
        <v>1810</v>
      </c>
      <c r="BE87" s="8">
        <v>1810</v>
      </c>
      <c r="BF87" s="8">
        <v>1810</v>
      </c>
      <c r="BH87" s="8">
        <f t="shared" si="18"/>
        <v>0</v>
      </c>
      <c r="BI87" s="8">
        <f t="shared" si="19"/>
        <v>16290</v>
      </c>
      <c r="BJ87" s="8">
        <f t="shared" si="20"/>
        <v>18100</v>
      </c>
    </row>
    <row r="88" spans="1:62" x14ac:dyDescent="0.25">
      <c r="A88" s="9" t="s">
        <v>244</v>
      </c>
      <c r="B88" s="9" t="s">
        <v>644</v>
      </c>
      <c r="C88" s="10">
        <f>VLOOKUP(A88,'[2]Revenue_Engine_2025 Oct.25'!$C$14:G$3937,5,0)</f>
        <v>45240</v>
      </c>
      <c r="D88" s="6" cm="1">
        <f t="array" ref="D88">_xlfn.LET(
  _xlpm.aralık, Y88:BF88,
  _xlpm.ilk, MATCH(TRUE, _xlpm.aralık&lt;&gt;0, 0),
  _xlpm.son, MIN(_xlpm.ilk+2, COLUMNS(_xlpm.aralık)),
  MAX(INDEX(_xlpm.aralık, _xlpm.ilk):INDEX(_xlpm.aralık, _xlpm.son))
)</f>
        <v>1100.0064729999999</v>
      </c>
      <c r="E88" s="6">
        <f t="shared" si="13"/>
        <v>1706.0064709999997</v>
      </c>
      <c r="F88" s="6">
        <f t="shared" si="14"/>
        <v>0</v>
      </c>
      <c r="G88" s="6">
        <f t="shared" si="21"/>
        <v>1783.8072709999997</v>
      </c>
      <c r="H88" s="7">
        <f t="shared" si="15"/>
        <v>0.55090584726040959</v>
      </c>
      <c r="I88" s="7">
        <f t="shared" si="16"/>
        <v>-1</v>
      </c>
      <c r="J88" s="7">
        <f t="shared" si="17"/>
        <v>-1</v>
      </c>
      <c r="K88" s="7">
        <f t="shared" si="22"/>
        <v>0.62163343106072777</v>
      </c>
      <c r="L88" s="5" t="s">
        <v>418</v>
      </c>
      <c r="M88" s="7">
        <f>IF(R88="",(VLOOKUP(A88,[1]Export!$B$2:$H$680,7,0)),"CHURN")</f>
        <v>0.48088008942755339</v>
      </c>
      <c r="N88" s="5">
        <f t="shared" si="23"/>
        <v>926.00987099999998</v>
      </c>
      <c r="O88" s="5">
        <f t="shared" si="24"/>
        <v>885.62192666153521</v>
      </c>
      <c r="P88" s="5">
        <f t="shared" si="25"/>
        <v>0</v>
      </c>
      <c r="Q88" s="5" t="s">
        <v>430</v>
      </c>
      <c r="T88" s="6" t="str" cm="1">
        <f t="array" ref="T88">IF(R88&lt;&gt;"Churn","",
 _xlfn.LET(
   _xlpm.rng,Y88:BF88,
   _xlpm.pos,MAX(IF((_xlpm.rng&lt;&gt;0)*(_xlpm.rng&lt;&gt;""),COLUMN(_xlpm.rng)-COLUMN(Y88)+1)),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8" s="6" t="str" cm="1">
        <f t="array" ref="U88">IF(R88="Churn",
   MAX(IF((Y88:BF88&lt;&gt;"")*(Y88:BF88&lt;&gt;0), COLUMN(Y88:BF88)-COLUMN(Y88)+1))
   -MATCH(1, --((Y88:BF88&lt;&gt;"")*(Y88:BF88&lt;&gt;0)), 0)
   +1,
"")</f>
        <v/>
      </c>
      <c r="V88" s="6" t="str" cm="1">
        <f t="array" ref="V88">IFERROR(
    IF(
        MATCH(2,1/((Y88:BF88&lt;&gt;0)*(Y88:BF88&lt;&gt;"")))-MATCH(1,INDEX((Y88:BF88&lt;&gt;0)*(Y88:BF88&lt;&gt;""),0),0)+1 &lt;= 12,
        "No",
        "Yes"
    ),
    "No"
)</f>
        <v>Yes</v>
      </c>
      <c r="W88" s="6" t="str" cm="1">
        <f t="array" ref="W88">IFERROR(
    IF(
        MATCH(2,1/((Y88:BF88&lt;&gt;0)*(Y88:BF88&lt;&gt;"")))-MATCH(1,INDEX((Y88:BF88&lt;&gt;0)*(Y88:BF88&lt;&gt;""),0),0)+1 &lt;= 24,
        "No",
        "Yes"
    ),
    "No"
)</f>
        <v>No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1100</v>
      </c>
      <c r="AJ88" s="8">
        <v>1100</v>
      </c>
      <c r="AK88" s="8">
        <v>1100.0064729999999</v>
      </c>
      <c r="AL88" s="8">
        <v>1132.0064729999999</v>
      </c>
      <c r="AM88" s="8">
        <v>1306.0064729999999</v>
      </c>
      <c r="AN88" s="8">
        <v>1306.0064729999999</v>
      </c>
      <c r="AO88" s="8">
        <v>1306.0064729999999</v>
      </c>
      <c r="AP88" s="8">
        <v>1506.006472</v>
      </c>
      <c r="AQ88" s="8">
        <v>1706.0064709999997</v>
      </c>
      <c r="AR88" s="8">
        <v>1706.0064709999997</v>
      </c>
      <c r="AS88" s="8">
        <v>1706.0064709999997</v>
      </c>
      <c r="AT88" s="8">
        <v>1706.0064709999997</v>
      </c>
      <c r="AU88" s="8">
        <v>1706.0064709999997</v>
      </c>
      <c r="AV88" s="8">
        <v>1706.0064709999997</v>
      </c>
      <c r="AW88" s="8">
        <v>1706.0064709999997</v>
      </c>
      <c r="AX88" s="8">
        <v>1706.0064709999997</v>
      </c>
      <c r="AY88" s="8">
        <v>1783.8072709999997</v>
      </c>
      <c r="AZ88" s="8">
        <v>1783.8072710000001</v>
      </c>
      <c r="BA88" s="8">
        <v>1783.8072709999997</v>
      </c>
      <c r="BB88" s="8">
        <v>1783.8072710000001</v>
      </c>
      <c r="BC88" s="8">
        <v>1783.8072709999997</v>
      </c>
      <c r="BD88" s="8">
        <v>1783.8072709999997</v>
      </c>
      <c r="BE88" s="8">
        <v>1783.8072709999997</v>
      </c>
      <c r="BF88" s="8">
        <v>1783.8072709999997</v>
      </c>
      <c r="BH88" s="8">
        <f t="shared" si="18"/>
        <v>2200</v>
      </c>
      <c r="BI88" s="8">
        <f t="shared" si="19"/>
        <v>17892.077663</v>
      </c>
      <c r="BJ88" s="8">
        <f t="shared" si="20"/>
        <v>17682.471109999999</v>
      </c>
    </row>
    <row r="89" spans="1:62" x14ac:dyDescent="0.25">
      <c r="A89" s="9" t="s">
        <v>172</v>
      </c>
      <c r="B89" s="9" t="s">
        <v>644</v>
      </c>
      <c r="C89" s="10">
        <v>44927</v>
      </c>
      <c r="D89" s="6" cm="1">
        <f t="array" ref="D89">_xlfn.LET(
  _xlpm.aralık, Y89:BF89,
  _xlpm.ilk, MATCH(TRUE, _xlpm.aralık&lt;&gt;0, 0),
  _xlpm.son, MIN(_xlpm.ilk+2, COLUMNS(_xlpm.aralık)),
  MAX(INDEX(_xlpm.aralık, _xlpm.ilk):INDEX(_xlpm.aralık, _xlpm.son))
)</f>
        <v>1739.2322331981045</v>
      </c>
      <c r="E89" s="6">
        <f t="shared" si="13"/>
        <v>1667.172375620605</v>
      </c>
      <c r="F89" s="6">
        <f t="shared" si="14"/>
        <v>1975.3365126844824</v>
      </c>
      <c r="G89" s="6">
        <f t="shared" si="21"/>
        <v>1694.8540661165737</v>
      </c>
      <c r="H89" s="7">
        <f t="shared" si="15"/>
        <v>-4.1431992923104753E-2</v>
      </c>
      <c r="I89" s="7">
        <f t="shared" si="16"/>
        <v>0.13575201458417591</v>
      </c>
      <c r="J89" s="7">
        <f t="shared" si="17"/>
        <v>0.18484239636538083</v>
      </c>
      <c r="K89" s="7">
        <f t="shared" si="22"/>
        <v>-2.5515952518846856E-2</v>
      </c>
      <c r="L89" s="5" t="s">
        <v>416</v>
      </c>
      <c r="M89" s="7">
        <f>IF(R89="",(VLOOKUP(A89,[1]Export!$B$2:$H$680,7,0)),"CHURN")</f>
        <v>0</v>
      </c>
      <c r="N89" s="5">
        <f t="shared" si="23"/>
        <v>1694.8540661165737</v>
      </c>
      <c r="O89" s="5">
        <f t="shared" si="24"/>
        <v>1667.172375620605</v>
      </c>
      <c r="P89" s="5">
        <f t="shared" si="25"/>
        <v>1975.3365126844824</v>
      </c>
      <c r="Q89" s="5" t="str">
        <f>VLOOKUP(A89,[4]Sheet2!$A$1:$B$142,2,0)</f>
        <v>MEDIUM RISK</v>
      </c>
      <c r="T89" s="6" t="str" cm="1">
        <f t="array" ref="T89">IF(R89&lt;&gt;"Churn","",
 _xlfn.LET(
   _xlpm.rng,Y89:BF89,
   _xlpm.pos,MAX(IF((_xlpm.rng&lt;&gt;0)*(_xlpm.rng&lt;&gt;""),COLUMN(_xlpm.rng)-COLUMN(Y89)+1)),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89" s="6" t="str" cm="1">
        <f t="array" ref="U89">IF(R89="Churn",
   MAX(IF((Y89:BF89&lt;&gt;"")*(Y89:BF89&lt;&gt;0), COLUMN(Y89:BF89)-COLUMN(Y89)+1))
   -MATCH(1, --((Y89:BF89&lt;&gt;"")*(Y89:BF89&lt;&gt;0)), 0)
   +1,
"")</f>
        <v/>
      </c>
      <c r="V89" s="6" t="str" cm="1">
        <f t="array" ref="V89">IFERROR(
    IF(
        MATCH(2,1/((Y89:BF89&lt;&gt;0)*(Y89:BF89&lt;&gt;"")))-MATCH(1,INDEX((Y89:BF89&lt;&gt;0)*(Y89:BF89&lt;&gt;""),0),0)+1 &lt;= 12,
        "No",
        "Yes"
    ),
    "No"
)</f>
        <v>Yes</v>
      </c>
      <c r="W89" s="6" t="str" cm="1">
        <f t="array" ref="W89">IFERROR(
    IF(
        MATCH(2,1/((Y89:BF89&lt;&gt;0)*(Y89:BF89&lt;&gt;"")))-MATCH(1,INDEX((Y89:BF89&lt;&gt;0)*(Y89:BF89&lt;&gt;""),0),0)+1 &lt;= 24,
        "No",
        "Yes"
    ),
    "No"
)</f>
        <v>Yes</v>
      </c>
      <c r="Y89" s="8">
        <v>1739.2322331981045</v>
      </c>
      <c r="Z89" s="8">
        <v>1733.189542969767</v>
      </c>
      <c r="AA89" s="8">
        <v>1720.4486608202246</v>
      </c>
      <c r="AB89" s="8">
        <v>1720.165647127074</v>
      </c>
      <c r="AC89" s="8">
        <v>1682.6014675393305</v>
      </c>
      <c r="AD89" s="8">
        <v>1415.9304246008683</v>
      </c>
      <c r="AE89" s="8">
        <v>1512.568405345937</v>
      </c>
      <c r="AF89" s="8">
        <v>1486.2198182007335</v>
      </c>
      <c r="AG89" s="8">
        <v>1707.5792566622001</v>
      </c>
      <c r="AH89" s="8">
        <v>1680.2865472515323</v>
      </c>
      <c r="AI89" s="8">
        <v>1634.0292719073295</v>
      </c>
      <c r="AJ89" s="8">
        <v>1666.4988919005489</v>
      </c>
      <c r="AK89" s="8">
        <v>1667.172375620605</v>
      </c>
      <c r="AL89" s="8">
        <v>1628.8656105641742</v>
      </c>
      <c r="AM89" s="8">
        <v>1566.5038929200271</v>
      </c>
      <c r="AN89" s="8">
        <v>1550.9016807126707</v>
      </c>
      <c r="AO89" s="8">
        <v>1553.1563114079363</v>
      </c>
      <c r="AP89" s="8">
        <v>1540.0058075176948</v>
      </c>
      <c r="AQ89" s="8">
        <v>1522.1668525232967</v>
      </c>
      <c r="AR89" s="8">
        <v>1489.3980016740841</v>
      </c>
      <c r="AS89" s="8">
        <v>1472.3459352933207</v>
      </c>
      <c r="AT89" s="8">
        <v>1463.2414482290385</v>
      </c>
      <c r="AU89" s="8">
        <v>1455.1757577830099</v>
      </c>
      <c r="AV89" s="8">
        <v>1432.549381568241</v>
      </c>
      <c r="AW89" s="8">
        <v>1975.3365126844824</v>
      </c>
      <c r="AX89" s="8">
        <v>1940.514602901347</v>
      </c>
      <c r="AY89" s="8">
        <v>1892.1012657889116</v>
      </c>
      <c r="AZ89" s="8">
        <v>1860.4990941904118</v>
      </c>
      <c r="BA89" s="8">
        <v>1829.3090223593745</v>
      </c>
      <c r="BB89" s="8">
        <v>1798.2508046359887</v>
      </c>
      <c r="BC89" s="8">
        <v>1763.66112410969</v>
      </c>
      <c r="BD89" s="8">
        <v>1736.4996272369222</v>
      </c>
      <c r="BE89" s="8">
        <v>1715.4803010581059</v>
      </c>
      <c r="BF89" s="8">
        <v>1694.8540661165737</v>
      </c>
      <c r="BH89" s="8">
        <f t="shared" si="18"/>
        <v>19698.750167523653</v>
      </c>
      <c r="BI89" s="8">
        <f t="shared" si="19"/>
        <v>18341.4830558141</v>
      </c>
      <c r="BJ89" s="8">
        <f t="shared" si="20"/>
        <v>18206.506421081809</v>
      </c>
    </row>
    <row r="90" spans="1:62" x14ac:dyDescent="0.25">
      <c r="A90" s="9" t="s">
        <v>443</v>
      </c>
      <c r="B90" s="9" t="s">
        <v>644</v>
      </c>
      <c r="C90" s="10">
        <f>VLOOKUP(A90,'[2]Revenue_Engine_2025 Oct.25'!$C$14:G$3937,5,0)</f>
        <v>45689</v>
      </c>
      <c r="D90" s="6" cm="1">
        <f t="array" ref="D90">_xlfn.LET(
  _xlpm.aralık, Y90:BF90,
  _xlpm.ilk, MATCH(TRUE, _xlpm.aralık&lt;&gt;0, 0),
  _xlpm.son, MIN(_xlpm.ilk+2, COLUMNS(_xlpm.aralık)),
  MAX(INDEX(_xlpm.aralık, _xlpm.ilk):INDEX(_xlpm.aralık, _xlpm.son))
)</f>
        <v>1670.0111699999995</v>
      </c>
      <c r="E90" s="6">
        <f t="shared" si="13"/>
        <v>0</v>
      </c>
      <c r="F90" s="6">
        <f t="shared" si="14"/>
        <v>0</v>
      </c>
      <c r="G90" s="6">
        <f t="shared" si="21"/>
        <v>1670.01117</v>
      </c>
      <c r="H90" s="7">
        <f t="shared" si="15"/>
        <v>-1</v>
      </c>
      <c r="I90" s="7">
        <f t="shared" si="16"/>
        <v>-1</v>
      </c>
      <c r="J90" s="7" t="e">
        <f t="shared" si="17"/>
        <v>#DIV/0!</v>
      </c>
      <c r="K90" s="7">
        <f t="shared" si="22"/>
        <v>2.7230198160079628E-16</v>
      </c>
      <c r="L90" s="5" t="s">
        <v>418</v>
      </c>
      <c r="M90" s="7">
        <f>IF(R90="",(VLOOKUP(A90,[1]Export!$B$2:$H$680,7,0)),"CHURN")</f>
        <v>0.31333512278244219</v>
      </c>
      <c r="N90" s="5">
        <f t="shared" si="23"/>
        <v>1146.7380150000001</v>
      </c>
      <c r="O90" s="5">
        <f t="shared" si="24"/>
        <v>0</v>
      </c>
      <c r="P90" s="5">
        <f t="shared" si="25"/>
        <v>0</v>
      </c>
      <c r="Q90" s="5" t="s">
        <v>430</v>
      </c>
      <c r="T90" s="6" t="str" cm="1">
        <f t="array" ref="T90">IF(R90&lt;&gt;"Churn","",
 _xlfn.LET(
   _xlpm.rng,Y90:BF90,
   _xlpm.pos,MAX(IF((_xlpm.rng&lt;&gt;0)*(_xlpm.rng&lt;&gt;""),COLUMN(_xlpm.rng)-COLUMN(Y90)+1)),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0" s="6" t="str" cm="1">
        <f t="array" ref="U90">IF(R90="Churn",
   MAX(IF((Y90:BF90&lt;&gt;"")*(Y90:BF90&lt;&gt;0), COLUMN(Y90:BF90)-COLUMN(Y90)+1))
   -MATCH(1, --((Y90:BF90&lt;&gt;"")*(Y90:BF90&lt;&gt;0)), 0)
   +1,
"")</f>
        <v/>
      </c>
      <c r="V90" s="6" t="str" cm="1">
        <f t="array" ref="V90">IFERROR(
    IF(
        MATCH(2,1/((Y90:BF90&lt;&gt;0)*(Y90:BF90&lt;&gt;"")))-MATCH(1,INDEX((Y90:BF90&lt;&gt;0)*(Y90:BF90&lt;&gt;""),0),0)+1 &lt;= 12,
        "No",
        "Yes"
    ),
    "No"
)</f>
        <v>No</v>
      </c>
      <c r="W90" s="6" t="str" cm="1">
        <f t="array" ref="W90">IFERROR(
    IF(
        MATCH(2,1/((Y90:BF90&lt;&gt;0)*(Y90:BF90&lt;&gt;"")))-MATCH(1,INDEX((Y90:BF90&lt;&gt;0)*(Y90:BF90&lt;&gt;""),0),0)+1 &lt;= 24,
        "No",
        "Yes"
    ),
    "No"
)</f>
        <v>No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1650.01117</v>
      </c>
      <c r="AY90" s="8">
        <v>1650.01117</v>
      </c>
      <c r="AZ90" s="8">
        <v>1670.0111699999995</v>
      </c>
      <c r="BA90" s="8">
        <v>1670.01117</v>
      </c>
      <c r="BB90" s="8">
        <v>1670.01117</v>
      </c>
      <c r="BC90" s="8">
        <v>1670.01117</v>
      </c>
      <c r="BD90" s="8">
        <v>1670.01117</v>
      </c>
      <c r="BE90" s="8">
        <v>1670.01117</v>
      </c>
      <c r="BF90" s="8">
        <v>1670.01117</v>
      </c>
      <c r="BH90" s="8">
        <f t="shared" si="18"/>
        <v>0</v>
      </c>
      <c r="BI90" s="8">
        <f t="shared" si="19"/>
        <v>0</v>
      </c>
      <c r="BJ90" s="8">
        <f t="shared" si="20"/>
        <v>14990.100529999998</v>
      </c>
    </row>
    <row r="91" spans="1:62" x14ac:dyDescent="0.25">
      <c r="A91" s="9" t="s">
        <v>326</v>
      </c>
      <c r="B91" s="9" t="s">
        <v>643</v>
      </c>
      <c r="C91" s="10">
        <v>44927</v>
      </c>
      <c r="D91" s="6" cm="1">
        <f t="array" ref="D91">_xlfn.LET(
  _xlpm.aralık, Y91:BF91,
  _xlpm.ilk, MATCH(TRUE, _xlpm.aralık&lt;&gt;0, 0),
  _xlpm.son, MIN(_xlpm.ilk+2, COLUMNS(_xlpm.aralık)),
  MAX(INDEX(_xlpm.aralık, _xlpm.ilk):INDEX(_xlpm.aralık, _xlpm.son))
)</f>
        <v>1570.9001704134528</v>
      </c>
      <c r="E91" s="6">
        <f t="shared" si="13"/>
        <v>1494.5493466351459</v>
      </c>
      <c r="F91" s="6">
        <f t="shared" si="14"/>
        <v>1725.9029921644985</v>
      </c>
      <c r="G91" s="6">
        <f t="shared" si="21"/>
        <v>1545.3343027618869</v>
      </c>
      <c r="H91" s="7">
        <f t="shared" si="15"/>
        <v>-4.8603230947649435E-2</v>
      </c>
      <c r="I91" s="7">
        <f t="shared" si="16"/>
        <v>9.8671338045784165E-2</v>
      </c>
      <c r="J91" s="7">
        <f t="shared" si="17"/>
        <v>0.15479826480820205</v>
      </c>
      <c r="K91" s="7">
        <f t="shared" si="22"/>
        <v>-1.6274660944773527E-2</v>
      </c>
      <c r="L91" s="5" t="s">
        <v>419</v>
      </c>
      <c r="M91" s="7">
        <f>IF(R91="",(VLOOKUP(A91,[1]Export!$B$2:$H$680,7,0)),"CHURN")</f>
        <v>0</v>
      </c>
      <c r="N91" s="5">
        <f t="shared" si="23"/>
        <v>1545.3343027618869</v>
      </c>
      <c r="O91" s="5">
        <f t="shared" si="24"/>
        <v>1494.5493466351459</v>
      </c>
      <c r="P91" s="5">
        <f t="shared" si="25"/>
        <v>1725.9029921644985</v>
      </c>
      <c r="Q91" s="5" t="str">
        <f>VLOOKUP(A91,[4]Sheet2!$A$1:$B$142,2,0)</f>
        <v xml:space="preserve">NO RISK </v>
      </c>
      <c r="T91" s="6" t="str" cm="1">
        <f t="array" ref="T91">IF(R91&lt;&gt;"Churn","",
 _xlfn.LET(
   _xlpm.rng,Y91:BF91,
   _xlpm.pos,MAX(IF((_xlpm.rng&lt;&gt;0)*(_xlpm.rng&lt;&gt;""),COLUMN(_xlpm.rng)-COLUMN(Y91)+1)),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1" s="6" t="str" cm="1">
        <f t="array" ref="U91">IF(R91="Churn",
   MAX(IF((Y91:BF91&lt;&gt;"")*(Y91:BF91&lt;&gt;0), COLUMN(Y91:BF91)-COLUMN(Y91)+1))
   -MATCH(1, --((Y91:BF91&lt;&gt;"")*(Y91:BF91&lt;&gt;0)), 0)
   +1,
"")</f>
        <v/>
      </c>
      <c r="V91" s="6" t="str" cm="1">
        <f t="array" ref="V91">IFERROR(
    IF(
        MATCH(2,1/((Y91:BF91&lt;&gt;0)*(Y91:BF91&lt;&gt;"")))-MATCH(1,INDEX((Y91:BF91&lt;&gt;0)*(Y91:BF91&lt;&gt;""),0),0)+1 &lt;= 12,
        "No",
        "Yes"
    ),
    "No"
)</f>
        <v>Yes</v>
      </c>
      <c r="W91" s="6" t="str" cm="1">
        <f t="array" ref="W91">IFERROR(
    IF(
        MATCH(2,1/((Y91:BF91&lt;&gt;0)*(Y91:BF91&lt;&gt;"")))-MATCH(1,INDEX((Y91:BF91&lt;&gt;0)*(Y91:BF91&lt;&gt;""),0),0)+1 &lt;= 24,
        "No",
        "Yes"
    ),
    "No"
)</f>
        <v>Yes</v>
      </c>
      <c r="Y91" s="8">
        <v>1570.9001704134528</v>
      </c>
      <c r="Z91" s="8">
        <v>1565.4423235956092</v>
      </c>
      <c r="AA91" s="8">
        <v>1553.9345711759504</v>
      </c>
      <c r="AB91" s="8">
        <v>1526.3267395624525</v>
      </c>
      <c r="AC91" s="8">
        <v>1497.3889668406234</v>
      </c>
      <c r="AD91" s="8">
        <v>1259.2482716937027</v>
      </c>
      <c r="AE91" s="8">
        <v>1115.9744502482474</v>
      </c>
      <c r="AF91" s="8">
        <v>1094.860983055476</v>
      </c>
      <c r="AG91" s="8">
        <v>1093.8449386676714</v>
      </c>
      <c r="AH91" s="8">
        <v>1060.1304199286733</v>
      </c>
      <c r="AI91" s="8">
        <v>1030.9456687827337</v>
      </c>
      <c r="AJ91" s="8">
        <v>1014.8824691410111</v>
      </c>
      <c r="AK91" s="8">
        <v>1494.5493466351459</v>
      </c>
      <c r="AL91" s="8">
        <v>1460.2094070275798</v>
      </c>
      <c r="AM91" s="8">
        <v>1404.3047540274827</v>
      </c>
      <c r="AN91" s="8">
        <v>1390.3180279968858</v>
      </c>
      <c r="AO91" s="8">
        <v>1392.3393241852398</v>
      </c>
      <c r="AP91" s="8">
        <v>1380.5504504159044</v>
      </c>
      <c r="AQ91" s="8">
        <v>1364.5585773773462</v>
      </c>
      <c r="AR91" s="8">
        <v>1335.182680495235</v>
      </c>
      <c r="AS91" s="8">
        <v>1319.8962200107578</v>
      </c>
      <c r="AT91" s="8">
        <v>1311.7344301940943</v>
      </c>
      <c r="AU91" s="8">
        <v>1304.5038778651206</v>
      </c>
      <c r="AV91" s="8">
        <v>1284.2202830097681</v>
      </c>
      <c r="AW91" s="8">
        <v>1725.9029921644985</v>
      </c>
      <c r="AX91" s="8">
        <v>1695.4784431895782</v>
      </c>
      <c r="AY91" s="8">
        <v>1747.4300981099709</v>
      </c>
      <c r="AZ91" s="8">
        <v>1700.7508074353329</v>
      </c>
      <c r="BA91" s="8">
        <v>1667.927663578155</v>
      </c>
      <c r="BB91" s="8">
        <v>1639.6093970146114</v>
      </c>
      <c r="BC91" s="8">
        <v>1608.0712127499683</v>
      </c>
      <c r="BD91" s="8">
        <v>1583.3058989268009</v>
      </c>
      <c r="BE91" s="8">
        <v>1564.1408944497539</v>
      </c>
      <c r="BF91" s="8">
        <v>1545.3343027618869</v>
      </c>
      <c r="BH91" s="8">
        <f t="shared" si="18"/>
        <v>15383.879973105604</v>
      </c>
      <c r="BI91" s="8">
        <f t="shared" si="19"/>
        <v>16442.367379240557</v>
      </c>
      <c r="BJ91" s="8">
        <f t="shared" si="20"/>
        <v>16477.951710380559</v>
      </c>
    </row>
    <row r="92" spans="1:62" x14ac:dyDescent="0.25">
      <c r="A92" s="9" t="s">
        <v>44</v>
      </c>
      <c r="B92" s="9" t="s">
        <v>644</v>
      </c>
      <c r="C92" s="10">
        <v>44927</v>
      </c>
      <c r="D92" s="6" cm="1">
        <f t="array" ref="D92">_xlfn.LET(
  _xlpm.aralık, Y92:BF92,
  _xlpm.ilk, MATCH(TRUE, _xlpm.aralık&lt;&gt;0, 0),
  _xlpm.son, MIN(_xlpm.ilk+2, COLUMNS(_xlpm.aralık)),
  MAX(INDEX(_xlpm.aralık, _xlpm.ilk):INDEX(_xlpm.aralık, _xlpm.son))
)</f>
        <v>778.65036900998496</v>
      </c>
      <c r="E92" s="6">
        <f t="shared" si="13"/>
        <v>823.42039946208024</v>
      </c>
      <c r="F92" s="6">
        <f t="shared" si="14"/>
        <v>1489.6550512156975</v>
      </c>
      <c r="G92" s="6">
        <f t="shared" si="21"/>
        <v>1538.727297154639</v>
      </c>
      <c r="H92" s="7">
        <f t="shared" si="15"/>
        <v>5.7496961709551542E-2</v>
      </c>
      <c r="I92" s="7">
        <f t="shared" si="16"/>
        <v>0.91312444006122995</v>
      </c>
      <c r="J92" s="7">
        <f t="shared" si="17"/>
        <v>0.80910632307488561</v>
      </c>
      <c r="K92" s="7">
        <f t="shared" si="22"/>
        <v>0.97614662292018672</v>
      </c>
      <c r="L92" s="5" t="s">
        <v>421</v>
      </c>
      <c r="M92" s="7">
        <f>IF(R92="",(VLOOKUP(A92,[1]Export!$B$2:$H$680,7,0)),"CHURN")</f>
        <v>0.55131481940720306</v>
      </c>
      <c r="N92" s="5">
        <f t="shared" si="23"/>
        <v>690.40413520689549</v>
      </c>
      <c r="O92" s="5">
        <f t="shared" si="24"/>
        <v>369.45653063643647</v>
      </c>
      <c r="P92" s="5">
        <f t="shared" si="25"/>
        <v>668.38614567568743</v>
      </c>
      <c r="Q92" s="5" t="s">
        <v>430</v>
      </c>
      <c r="T92" s="6" t="str" cm="1">
        <f t="array" ref="T92">IF(R92&lt;&gt;"Churn","",
 _xlfn.LET(
   _xlpm.rng,Y92:BF92,
   _xlpm.pos,MAX(IF((_xlpm.rng&lt;&gt;0)*(_xlpm.rng&lt;&gt;""),COLUMN(_xlpm.rng)-COLUMN(Y92)+1)),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2" s="6" t="str" cm="1">
        <f t="array" ref="U92">IF(R92="Churn",
   MAX(IF((Y92:BF92&lt;&gt;"")*(Y92:BF92&lt;&gt;0), COLUMN(Y92:BF92)-COLUMN(Y92)+1))
   -MATCH(1, --((Y92:BF92&lt;&gt;"")*(Y92:BF92&lt;&gt;0)), 0)
   +1,
"")</f>
        <v/>
      </c>
      <c r="V92" s="6" t="str" cm="1">
        <f t="array" ref="V92">IFERROR(
    IF(
        MATCH(2,1/((Y92:BF92&lt;&gt;0)*(Y92:BF92&lt;&gt;"")))-MATCH(1,INDEX((Y92:BF92&lt;&gt;0)*(Y92:BF92&lt;&gt;""),0),0)+1 &lt;= 12,
        "No",
        "Yes"
    ),
    "No"
)</f>
        <v>Yes</v>
      </c>
      <c r="W92" s="6" t="str" cm="1">
        <f t="array" ref="W92">IFERROR(
    IF(
        MATCH(2,1/((Y92:BF92&lt;&gt;0)*(Y92:BF92&lt;&gt;"")))-MATCH(1,INDEX((Y92:BF92&lt;&gt;0)*(Y92:BF92&lt;&gt;""),0),0)+1 &lt;= 24,
        "No",
        "Yes"
    ),
    "No"
)</f>
        <v>Yes</v>
      </c>
      <c r="Y92" s="8">
        <v>778.65036900998496</v>
      </c>
      <c r="Z92" s="8">
        <v>778.22420475251943</v>
      </c>
      <c r="AA92" s="8">
        <v>777.32564659786635</v>
      </c>
      <c r="AB92" s="8">
        <v>775.16994830649378</v>
      </c>
      <c r="AC92" s="8">
        <v>832.67803861823654</v>
      </c>
      <c r="AD92" s="8">
        <v>806.00935108303986</v>
      </c>
      <c r="AE92" s="8">
        <v>829.86391729445074</v>
      </c>
      <c r="AF92" s="8">
        <v>827.49948118242355</v>
      </c>
      <c r="AG92" s="8">
        <v>833.88454731073568</v>
      </c>
      <c r="AH92" s="8">
        <v>830.1089558894746</v>
      </c>
      <c r="AI92" s="8">
        <v>826.8406400368508</v>
      </c>
      <c r="AJ92" s="8">
        <v>825.04176877800819</v>
      </c>
      <c r="AK92" s="8">
        <v>823.42039946208024</v>
      </c>
      <c r="AL92" s="8">
        <v>1226.8922085636464</v>
      </c>
      <c r="AM92" s="8">
        <v>1222.7763703731853</v>
      </c>
      <c r="AN92" s="8">
        <v>1251.7466331676587</v>
      </c>
      <c r="AO92" s="8">
        <v>1328.7223319667366</v>
      </c>
      <c r="AP92" s="8">
        <v>1327.3097038454307</v>
      </c>
      <c r="AQ92" s="8">
        <v>1325.3934419523409</v>
      </c>
      <c r="AR92" s="8">
        <v>1321.8734095186919</v>
      </c>
      <c r="AS92" s="8">
        <v>1320.0416752599222</v>
      </c>
      <c r="AT92" s="8">
        <v>1319.0636705717052</v>
      </c>
      <c r="AU92" s="8">
        <v>1318.197253494694</v>
      </c>
      <c r="AV92" s="8">
        <v>1315.7667264524603</v>
      </c>
      <c r="AW92" s="8">
        <v>1489.6550512156975</v>
      </c>
      <c r="AX92" s="8">
        <v>1516.3954414396628</v>
      </c>
      <c r="AY92" s="8">
        <v>1511.8635255662964</v>
      </c>
      <c r="AZ92" s="8">
        <v>1507.132169504865</v>
      </c>
      <c r="BA92" s="8">
        <v>1554.9485880881962</v>
      </c>
      <c r="BB92" s="8">
        <v>1551.2015757083846</v>
      </c>
      <c r="BC92" s="8">
        <v>1547.028510714762</v>
      </c>
      <c r="BD92" s="8">
        <v>1543.7516174318662</v>
      </c>
      <c r="BE92" s="8">
        <v>1541.2157450869436</v>
      </c>
      <c r="BF92" s="8">
        <v>1538.727297154639</v>
      </c>
      <c r="BH92" s="8">
        <f t="shared" si="18"/>
        <v>9721.2968688600849</v>
      </c>
      <c r="BI92" s="8">
        <f t="shared" si="19"/>
        <v>15101.203824628552</v>
      </c>
      <c r="BJ92" s="8">
        <f t="shared" si="20"/>
        <v>15301.919521911313</v>
      </c>
    </row>
    <row r="93" spans="1:62" x14ac:dyDescent="0.25">
      <c r="A93" s="9" t="s">
        <v>143</v>
      </c>
      <c r="B93" s="9" t="s">
        <v>644</v>
      </c>
      <c r="C93" s="10">
        <v>44927</v>
      </c>
      <c r="D93" s="6" cm="1">
        <f t="array" ref="D93">_xlfn.LET(
  _xlpm.aralık, Y93:BF93,
  _xlpm.ilk, MATCH(TRUE, _xlpm.aralık&lt;&gt;0, 0),
  _xlpm.son, MIN(_xlpm.ilk+2, COLUMNS(_xlpm.aralık)),
  MAX(INDEX(_xlpm.aralık, _xlpm.ilk):INDEX(_xlpm.aralık, _xlpm.son))
)</f>
        <v>1553.0810361280076</v>
      </c>
      <c r="E93" s="6">
        <f t="shared" si="13"/>
        <v>1523.3821217769391</v>
      </c>
      <c r="F93" s="6">
        <f t="shared" si="14"/>
        <v>1782.7921005446292</v>
      </c>
      <c r="G93" s="6">
        <f t="shared" si="21"/>
        <v>1514.0763419474054</v>
      </c>
      <c r="H93" s="7">
        <f t="shared" si="15"/>
        <v>-1.9122578706588875E-2</v>
      </c>
      <c r="I93" s="7">
        <f t="shared" si="16"/>
        <v>0.1479066829566828</v>
      </c>
      <c r="J93" s="7">
        <f t="shared" si="17"/>
        <v>0.17028556070035991</v>
      </c>
      <c r="K93" s="7">
        <f t="shared" si="22"/>
        <v>-2.5114397300120897E-2</v>
      </c>
      <c r="L93" s="5" t="s">
        <v>412</v>
      </c>
      <c r="M93" s="7">
        <f>IF(R93="",(VLOOKUP(A93,[1]Export!$B$2:$H$680,7,0)),"CHURN")</f>
        <v>5.3071850843751552E-2</v>
      </c>
      <c r="N93" s="5">
        <f t="shared" si="23"/>
        <v>1433.7215081615198</v>
      </c>
      <c r="O93" s="5">
        <f t="shared" si="24"/>
        <v>1442.5334130319557</v>
      </c>
      <c r="P93" s="5">
        <f t="shared" si="25"/>
        <v>1688.1760240991061</v>
      </c>
      <c r="Q93" s="5" t="s">
        <v>430</v>
      </c>
      <c r="T93" s="6" t="str" cm="1">
        <f t="array" ref="T93">IF(R93&lt;&gt;"Churn","",
 _xlfn.LET(
   _xlpm.rng,Y93:BF93,
   _xlpm.pos,MAX(IF((_xlpm.rng&lt;&gt;0)*(_xlpm.rng&lt;&gt;""),COLUMN(_xlpm.rng)-COLUMN(Y93)+1)),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3" s="6" t="str" cm="1">
        <f t="array" ref="U93">IF(R93="Churn",
   MAX(IF((Y93:BF93&lt;&gt;"")*(Y93:BF93&lt;&gt;0), COLUMN(Y93:BF93)-COLUMN(Y93)+1))
   -MATCH(1, --((Y93:BF93&lt;&gt;"")*(Y93:BF93&lt;&gt;0)), 0)
   +1,
"")</f>
        <v/>
      </c>
      <c r="V93" s="6" t="str" cm="1">
        <f t="array" ref="V93">IFERROR(
    IF(
        MATCH(2,1/((Y93:BF93&lt;&gt;0)*(Y93:BF93&lt;&gt;"")))-MATCH(1,INDEX((Y93:BF93&lt;&gt;0)*(Y93:BF93&lt;&gt;""),0),0)+1 &lt;= 12,
        "No",
        "Yes"
    ),
    "No"
)</f>
        <v>Yes</v>
      </c>
      <c r="W93" s="6" t="str" cm="1">
        <f t="array" ref="W93">IFERROR(
    IF(
        MATCH(2,1/((Y93:BF93&lt;&gt;0)*(Y93:BF93&lt;&gt;"")))-MATCH(1,INDEX((Y93:BF93&lt;&gt;0)*(Y93:BF93&lt;&gt;""),0),0)+1 &lt;= 24,
        "No",
        "Yes"
    ),
    "No"
)</f>
        <v>Yes</v>
      </c>
      <c r="Y93" s="8">
        <v>1553.0810361280076</v>
      </c>
      <c r="Z93" s="8">
        <v>1547.6850991037895</v>
      </c>
      <c r="AA93" s="8">
        <v>1536.3078821500703</v>
      </c>
      <c r="AB93" s="8">
        <v>1518.0132134403116</v>
      </c>
      <c r="AC93" s="8">
        <v>1168.7976773446076</v>
      </c>
      <c r="AD93" s="8">
        <v>982.91525298280408</v>
      </c>
      <c r="AE93" s="8">
        <v>871.08184600702145</v>
      </c>
      <c r="AF93" s="8">
        <v>854.60157804587163</v>
      </c>
      <c r="AG93" s="8">
        <v>954.03381869610575</v>
      </c>
      <c r="AH93" s="8">
        <v>924.62856213639157</v>
      </c>
      <c r="AI93" s="8">
        <v>899.17409542068856</v>
      </c>
      <c r="AJ93" s="8">
        <v>1573.5191603324231</v>
      </c>
      <c r="AK93" s="8">
        <v>1523.3821217769391</v>
      </c>
      <c r="AL93" s="8">
        <v>1488.3796976824494</v>
      </c>
      <c r="AM93" s="8">
        <v>1431.3965347669982</v>
      </c>
      <c r="AN93" s="8">
        <v>1417.1399774809008</v>
      </c>
      <c r="AO93" s="8">
        <v>1419.2001514638503</v>
      </c>
      <c r="AP93" s="8">
        <v>1407.1838482909013</v>
      </c>
      <c r="AQ93" s="8">
        <v>1390.8834621391322</v>
      </c>
      <c r="AR93" s="8">
        <v>1360.9408493145791</v>
      </c>
      <c r="AS93" s="8">
        <v>1345.359484443188</v>
      </c>
      <c r="AT93" s="8">
        <v>1337.0402384499002</v>
      </c>
      <c r="AU93" s="8">
        <v>1329.6701952555436</v>
      </c>
      <c r="AV93" s="8">
        <v>1810.0783795855928</v>
      </c>
      <c r="AW93" s="8">
        <v>1782.7921005446292</v>
      </c>
      <c r="AX93" s="8">
        <v>1751.3646994558248</v>
      </c>
      <c r="AY93" s="8">
        <v>1707.6704085317569</v>
      </c>
      <c r="AZ93" s="8">
        <v>1662.0532227784895</v>
      </c>
      <c r="BA93" s="8">
        <v>1634.1899684682128</v>
      </c>
      <c r="BB93" s="8">
        <v>1606.4445043494186</v>
      </c>
      <c r="BC93" s="8">
        <v>1575.5442528130804</v>
      </c>
      <c r="BD93" s="8">
        <v>1551.2798747470883</v>
      </c>
      <c r="BE93" s="8">
        <v>1532.502526816513</v>
      </c>
      <c r="BF93" s="8">
        <v>1514.0763419474054</v>
      </c>
      <c r="BH93" s="8">
        <f t="shared" si="18"/>
        <v>14383.839221788094</v>
      </c>
      <c r="BI93" s="8">
        <f t="shared" si="19"/>
        <v>17260.654940649973</v>
      </c>
      <c r="BJ93" s="8">
        <f t="shared" si="20"/>
        <v>16317.917900452419</v>
      </c>
    </row>
    <row r="94" spans="1:62" x14ac:dyDescent="0.25">
      <c r="A94" s="9" t="s">
        <v>118</v>
      </c>
      <c r="B94" s="9" t="s">
        <v>644</v>
      </c>
      <c r="C94" s="10">
        <v>44927</v>
      </c>
      <c r="D94" s="6" cm="1">
        <f t="array" ref="D94">_xlfn.LET(
  _xlpm.aralık, Y94:BF94,
  _xlpm.ilk, MATCH(TRUE, _xlpm.aralık&lt;&gt;0, 0),
  _xlpm.son, MIN(_xlpm.ilk+2, COLUMNS(_xlpm.aralık)),
  MAX(INDEX(_xlpm.aralık, _xlpm.ilk):INDEX(_xlpm.aralık, _xlpm.son))
)</f>
        <v>1042.876454689391</v>
      </c>
      <c r="E94" s="6">
        <f t="shared" si="13"/>
        <v>1475.9894899999999</v>
      </c>
      <c r="F94" s="6">
        <f t="shared" si="14"/>
        <v>1546.0522583333332</v>
      </c>
      <c r="G94" s="6">
        <f t="shared" si="21"/>
        <v>1512.128925</v>
      </c>
      <c r="H94" s="7">
        <f t="shared" si="15"/>
        <v>0.41530617875499615</v>
      </c>
      <c r="I94" s="7">
        <f t="shared" si="16"/>
        <v>0.48248841114531382</v>
      </c>
      <c r="J94" s="7">
        <f t="shared" si="17"/>
        <v>4.7468338228704617E-2</v>
      </c>
      <c r="K94" s="7">
        <f t="shared" si="22"/>
        <v>0.44995978977238532</v>
      </c>
      <c r="L94" s="5" t="s">
        <v>421</v>
      </c>
      <c r="M94" s="7">
        <f>IF(R94="",(VLOOKUP(A94,[1]Export!$B$2:$H$680,7,0)),"CHURN")</f>
        <v>0.31443991300548879</v>
      </c>
      <c r="N94" s="5">
        <f t="shared" si="23"/>
        <v>1036.6552373699167</v>
      </c>
      <c r="O94" s="5">
        <f t="shared" si="24"/>
        <v>1011.8794831673841</v>
      </c>
      <c r="P94" s="5">
        <f t="shared" si="25"/>
        <v>1059.9117207210604</v>
      </c>
      <c r="Q94" s="5" t="str">
        <f>VLOOKUP(A94,[4]Sheet2!$A$1:$B$142,2,0)</f>
        <v>LOW RISK</v>
      </c>
      <c r="T94" s="6" t="str" cm="1">
        <f t="array" ref="T94">IF(R94&lt;&gt;"Churn","",
 _xlfn.LET(
   _xlpm.rng,Y94:BF94,
   _xlpm.pos,MAX(IF((_xlpm.rng&lt;&gt;0)*(_xlpm.rng&lt;&gt;""),COLUMN(_xlpm.rng)-COLUMN(Y94)+1)),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4" s="6" t="str" cm="1">
        <f t="array" ref="U94">IF(R94="Churn",
   MAX(IF((Y94:BF94&lt;&gt;"")*(Y94:BF94&lt;&gt;0), COLUMN(Y94:BF94)-COLUMN(Y94)+1))
   -MATCH(1, --((Y94:BF94&lt;&gt;"")*(Y94:BF94&lt;&gt;0)), 0)
   +1,
"")</f>
        <v/>
      </c>
      <c r="V94" s="6" t="str" cm="1">
        <f t="array" ref="V94">IFERROR(
    IF(
        MATCH(2,1/((Y94:BF94&lt;&gt;0)*(Y94:BF94&lt;&gt;"")))-MATCH(1,INDEX((Y94:BF94&lt;&gt;0)*(Y94:BF94&lt;&gt;""),0),0)+1 &lt;= 12,
        "No",
        "Yes"
    ),
    "No"
)</f>
        <v>Yes</v>
      </c>
      <c r="W94" s="6" t="str" cm="1">
        <f t="array" ref="W94">IFERROR(
    IF(
        MATCH(2,1/((Y94:BF94&lt;&gt;0)*(Y94:BF94&lt;&gt;"")))-MATCH(1,INDEX((Y94:BF94&lt;&gt;0)*(Y94:BF94&lt;&gt;""),0),0)+1 &lt;= 24,
        "No",
        "Yes"
    ),
    "No"
)</f>
        <v>Yes</v>
      </c>
      <c r="Y94" s="8">
        <v>1042.876454689391</v>
      </c>
      <c r="Z94" s="8">
        <v>1039.3156818266336</v>
      </c>
      <c r="AA94" s="8">
        <v>1031.807868966572</v>
      </c>
      <c r="AB94" s="8">
        <v>1409.21</v>
      </c>
      <c r="AC94" s="8">
        <v>1409.203</v>
      </c>
      <c r="AD94" s="8">
        <v>1433.5430000000001</v>
      </c>
      <c r="AE94" s="8">
        <v>1433.5430000000001</v>
      </c>
      <c r="AF94" s="8">
        <v>1475.9894899999999</v>
      </c>
      <c r="AG94" s="8">
        <v>1475.9894899999999</v>
      </c>
      <c r="AH94" s="8">
        <v>1475.9894899999999</v>
      </c>
      <c r="AI94" s="8">
        <v>1475.9894899999999</v>
      </c>
      <c r="AJ94" s="8">
        <v>1475.9894899999999</v>
      </c>
      <c r="AK94" s="8">
        <v>1475.9894899999999</v>
      </c>
      <c r="AL94" s="8">
        <v>1475.9894899999999</v>
      </c>
      <c r="AM94" s="8">
        <v>1475.9894899999999</v>
      </c>
      <c r="AN94" s="8">
        <v>1475.9894899999999</v>
      </c>
      <c r="AO94" s="8">
        <v>1461.4328233333331</v>
      </c>
      <c r="AP94" s="8">
        <v>1461.4328233333331</v>
      </c>
      <c r="AQ94" s="8">
        <v>1461.4328233333331</v>
      </c>
      <c r="AR94" s="8">
        <v>1461.4328233333331</v>
      </c>
      <c r="AS94" s="8">
        <v>1461.4328233333331</v>
      </c>
      <c r="AT94" s="8">
        <v>1505.3022583333332</v>
      </c>
      <c r="AU94" s="8">
        <v>1517.8022583333332</v>
      </c>
      <c r="AV94" s="8">
        <v>1519.8022583333332</v>
      </c>
      <c r="AW94" s="8">
        <v>1546.0522583333332</v>
      </c>
      <c r="AX94" s="8">
        <v>1496.6122583333331</v>
      </c>
      <c r="AY94" s="8">
        <v>1496.6122583333331</v>
      </c>
      <c r="AZ94" s="8">
        <v>1478.6122583333331</v>
      </c>
      <c r="BA94" s="8">
        <v>1512.128925</v>
      </c>
      <c r="BB94" s="8">
        <v>1512.128925</v>
      </c>
      <c r="BC94" s="8">
        <v>1512.128925</v>
      </c>
      <c r="BD94" s="8">
        <v>1512.128925</v>
      </c>
      <c r="BE94" s="8">
        <v>1512.128925</v>
      </c>
      <c r="BF94" s="8">
        <v>1512.128925</v>
      </c>
      <c r="BH94" s="8">
        <f t="shared" si="18"/>
        <v>16179.446455482595</v>
      </c>
      <c r="BI94" s="8">
        <f t="shared" si="19"/>
        <v>17754.028851666662</v>
      </c>
      <c r="BJ94" s="8">
        <f t="shared" si="20"/>
        <v>15090.662583333335</v>
      </c>
    </row>
    <row r="95" spans="1:62" x14ac:dyDescent="0.25">
      <c r="A95" s="9" t="s">
        <v>246</v>
      </c>
      <c r="B95" s="9" t="s">
        <v>644</v>
      </c>
      <c r="C95" s="10">
        <f>VLOOKUP(A95,'[2]Revenue_Engine_2025 Oct.25'!$C$14:G$3937,5,0)</f>
        <v>45253</v>
      </c>
      <c r="D95" s="6" cm="1">
        <f t="array" ref="D95">_xlfn.LET(
  _xlpm.aralık, Y95:BF95,
  _xlpm.ilk, MATCH(TRUE, _xlpm.aralık&lt;&gt;0, 0),
  _xlpm.son, MIN(_xlpm.ilk+2, COLUMNS(_xlpm.aralık)),
  MAX(INDEX(_xlpm.aralık, _xlpm.ilk):INDEX(_xlpm.aralık, _xlpm.son))
)</f>
        <v>1200</v>
      </c>
      <c r="E95" s="6">
        <f t="shared" si="13"/>
        <v>1424.9976495833332</v>
      </c>
      <c r="F95" s="6">
        <f t="shared" si="14"/>
        <v>0</v>
      </c>
      <c r="G95" s="6">
        <f t="shared" si="21"/>
        <v>1508.9976495833332</v>
      </c>
      <c r="H95" s="7">
        <f t="shared" si="15"/>
        <v>0.18749804131944434</v>
      </c>
      <c r="I95" s="7">
        <f t="shared" si="16"/>
        <v>-1</v>
      </c>
      <c r="J95" s="7">
        <f t="shared" si="17"/>
        <v>-1</v>
      </c>
      <c r="K95" s="7">
        <f t="shared" si="22"/>
        <v>0.25749804131944437</v>
      </c>
      <c r="L95" s="5" t="s">
        <v>417</v>
      </c>
      <c r="M95" s="7">
        <f>IF(R95="",(VLOOKUP(A95,[1]Export!$B$2:$H$680,7,0)),"CHURN")</f>
        <v>0.41219414766600043</v>
      </c>
      <c r="N95" s="5">
        <f t="shared" si="23"/>
        <v>886.9976495833331</v>
      </c>
      <c r="O95" s="5">
        <f t="shared" si="24"/>
        <v>837.62195798727714</v>
      </c>
      <c r="P95" s="5">
        <f t="shared" si="25"/>
        <v>0</v>
      </c>
      <c r="Q95" s="5" t="s">
        <v>430</v>
      </c>
      <c r="T95" s="6" t="str" cm="1">
        <f t="array" ref="T95">IF(R95&lt;&gt;"Churn","",
 _xlfn.LET(
   _xlpm.rng,Y95:BF95,
   _xlpm.pos,MAX(IF((_xlpm.rng&lt;&gt;0)*(_xlpm.rng&lt;&gt;""),COLUMN(_xlpm.rng)-COLUMN(Y95)+1)),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5" s="6" t="str" cm="1">
        <f t="array" ref="U95">IF(R95="Churn",
   MAX(IF((Y95:BF95&lt;&gt;"")*(Y95:BF95&lt;&gt;0), COLUMN(Y95:BF95)-COLUMN(Y95)+1))
   -MATCH(1, --((Y95:BF95&lt;&gt;"")*(Y95:BF95&lt;&gt;0)), 0)
   +1,
"")</f>
        <v/>
      </c>
      <c r="V95" s="6" t="str" cm="1">
        <f t="array" ref="V95">IFERROR(
    IF(
        MATCH(2,1/((Y95:BF95&lt;&gt;0)*(Y95:BF95&lt;&gt;"")))-MATCH(1,INDEX((Y95:BF95&lt;&gt;0)*(Y95:BF95&lt;&gt;""),0),0)+1 &lt;= 12,
        "No",
        "Yes"
    ),
    "No"
)</f>
        <v>Yes</v>
      </c>
      <c r="W95" s="6" t="str" cm="1">
        <f t="array" ref="W95">IFERROR(
    IF(
        MATCH(2,1/((Y95:BF95&lt;&gt;0)*(Y95:BF95&lt;&gt;"")))-MATCH(1,INDEX((Y95:BF95&lt;&gt;0)*(Y95:BF95&lt;&gt;""),0),0)+1 &lt;= 24,
        "No",
        "Yes"
    ),
    "No"
)</f>
        <v>No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1200</v>
      </c>
      <c r="AJ95" s="8">
        <v>1200</v>
      </c>
      <c r="AK95" s="8">
        <v>1200</v>
      </c>
      <c r="AL95" s="8">
        <v>1199.9986495833332</v>
      </c>
      <c r="AM95" s="8">
        <v>1199.9986495833332</v>
      </c>
      <c r="AN95" s="8">
        <v>1199.9986495833332</v>
      </c>
      <c r="AO95" s="8">
        <v>1199.9986495833332</v>
      </c>
      <c r="AP95" s="8">
        <v>1424.9976495833332</v>
      </c>
      <c r="AQ95" s="8">
        <v>1424.9976495833332</v>
      </c>
      <c r="AR95" s="8">
        <v>1424.9976495833332</v>
      </c>
      <c r="AS95" s="8">
        <v>1424.9976495833332</v>
      </c>
      <c r="AT95" s="8">
        <v>1424.9976495833332</v>
      </c>
      <c r="AU95" s="8">
        <v>1424.9976495833332</v>
      </c>
      <c r="AV95" s="8">
        <v>1424.9976495833332</v>
      </c>
      <c r="AW95" s="8">
        <v>1424.9976495833332</v>
      </c>
      <c r="AX95" s="8">
        <v>1424.9976495833332</v>
      </c>
      <c r="AY95" s="8">
        <v>1424.9976495833332</v>
      </c>
      <c r="AZ95" s="8">
        <v>1456.9976495833332</v>
      </c>
      <c r="BA95" s="8">
        <v>1492.9976495833332</v>
      </c>
      <c r="BB95" s="8">
        <v>1508.9976495833332</v>
      </c>
      <c r="BC95" s="8">
        <v>1508.9976495833332</v>
      </c>
      <c r="BD95" s="8">
        <v>1508.9976495833332</v>
      </c>
      <c r="BE95" s="8">
        <v>1508.9976495833332</v>
      </c>
      <c r="BF95" s="8">
        <v>1508.9976495833332</v>
      </c>
      <c r="BH95" s="8">
        <f t="shared" si="18"/>
        <v>2400</v>
      </c>
      <c r="BI95" s="8">
        <f t="shared" si="19"/>
        <v>15974.978145416662</v>
      </c>
      <c r="BJ95" s="8">
        <f t="shared" si="20"/>
        <v>14769.976495833329</v>
      </c>
    </row>
    <row r="96" spans="1:62" x14ac:dyDescent="0.25">
      <c r="A96" s="9" t="s">
        <v>444</v>
      </c>
      <c r="B96" s="9" t="s">
        <v>644</v>
      </c>
      <c r="C96" s="10">
        <f>VLOOKUP(A96,'[2]Revenue_Engine_2025 Oct.25'!$C$14:G$3937,5,0)</f>
        <v>45903</v>
      </c>
      <c r="D96" s="6" cm="1">
        <f t="array" ref="D96">_xlfn.LET(
  _xlpm.aralık, Y96:BF96,
  _xlpm.ilk, MATCH(TRUE, _xlpm.aralık&lt;&gt;0, 0),
  _xlpm.son, MIN(_xlpm.ilk+2, COLUMNS(_xlpm.aralık)),
  MAX(INDEX(_xlpm.aralık, _xlpm.ilk):INDEX(_xlpm.aralık, _xlpm.son))
)</f>
        <v>1511.2335838310132</v>
      </c>
      <c r="E96" s="6">
        <f t="shared" si="13"/>
        <v>0</v>
      </c>
      <c r="F96" s="6">
        <f t="shared" si="14"/>
        <v>0</v>
      </c>
      <c r="G96" s="6">
        <f t="shared" si="21"/>
        <v>1493.0631280511329</v>
      </c>
      <c r="H96" s="7">
        <f t="shared" si="15"/>
        <v>-1</v>
      </c>
      <c r="I96" s="7">
        <f t="shared" si="16"/>
        <v>-1</v>
      </c>
      <c r="J96" s="7" t="e">
        <f t="shared" si="17"/>
        <v>#DIV/0!</v>
      </c>
      <c r="K96" s="7">
        <f t="shared" si="22"/>
        <v>-1.2023591835365216E-2</v>
      </c>
      <c r="L96" s="5" t="s">
        <v>413</v>
      </c>
      <c r="M96" s="7">
        <f>IF(R96="",(VLOOKUP(A96,[1]Export!$B$2:$H$680,7,0)),"CHURN")</f>
        <v>0.23675361155698232</v>
      </c>
      <c r="N96" s="5">
        <f t="shared" si="23"/>
        <v>1139.5750402024619</v>
      </c>
      <c r="O96" s="5">
        <f t="shared" si="24"/>
        <v>0</v>
      </c>
      <c r="P96" s="5">
        <f t="shared" si="25"/>
        <v>0</v>
      </c>
      <c r="Q96" s="5" t="s">
        <v>430</v>
      </c>
      <c r="T96" s="6" t="str" cm="1">
        <f t="array" ref="T96">IF(R96&lt;&gt;"Churn","",
 _xlfn.LET(
   _xlpm.rng,Y96:BF96,
   _xlpm.pos,MAX(IF((_xlpm.rng&lt;&gt;0)*(_xlpm.rng&lt;&gt;""),COLUMN(_xlpm.rng)-COLUMN(Y96)+1)),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6" s="6" t="str" cm="1">
        <f t="array" ref="U96">IF(R96="Churn",
   MAX(IF((Y96:BF96&lt;&gt;"")*(Y96:BF96&lt;&gt;0), COLUMN(Y96:BF96)-COLUMN(Y96)+1))
   -MATCH(1, --((Y96:BF96&lt;&gt;"")*(Y96:BF96&lt;&gt;0)), 0)
   +1,
"")</f>
        <v/>
      </c>
      <c r="V96" s="6" t="str" cm="1">
        <f t="array" ref="V96">IFERROR(
    IF(
        MATCH(2,1/((Y96:BF96&lt;&gt;0)*(Y96:BF96&lt;&gt;"")))-MATCH(1,INDEX((Y96:BF96&lt;&gt;0)*(Y96:BF96&lt;&gt;""),0),0)+1 &lt;= 12,
        "No",
        "Yes"
    ),
    "No"
)</f>
        <v>No</v>
      </c>
      <c r="W96" s="6" t="str" cm="1">
        <f t="array" ref="W96">IFERROR(
    IF(
        MATCH(2,1/((Y96:BF96&lt;&gt;0)*(Y96:BF96&lt;&gt;"")))-MATCH(1,INDEX((Y96:BF96&lt;&gt;0)*(Y96:BF96&lt;&gt;""),0),0)+1 &lt;= 24,
        "No",
        "Yes"
    ),
    "No"
)</f>
        <v>No</v>
      </c>
      <c r="X96" s="6"/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1511.2335838310132</v>
      </c>
      <c r="BF96" s="8">
        <v>1493.0631280511329</v>
      </c>
      <c r="BH96" s="8">
        <f t="shared" si="18"/>
        <v>0</v>
      </c>
      <c r="BI96" s="8">
        <f t="shared" si="19"/>
        <v>0</v>
      </c>
      <c r="BJ96" s="8">
        <f t="shared" si="20"/>
        <v>3004.2967118821462</v>
      </c>
    </row>
    <row r="97" spans="1:62" x14ac:dyDescent="0.25">
      <c r="A97" s="9" t="s">
        <v>445</v>
      </c>
      <c r="B97" s="9" t="s">
        <v>643</v>
      </c>
      <c r="C97" s="10">
        <f>VLOOKUP(A97,'[2]Revenue_Engine_2025 Oct.25'!$C$14:G$3937,5,0)</f>
        <v>45536</v>
      </c>
      <c r="D97" s="6" cm="1">
        <f t="array" ref="D97">_xlfn.LET(
  _xlpm.aralık, Y97:BF97,
  _xlpm.ilk, MATCH(TRUE, _xlpm.aralık&lt;&gt;0, 0),
  _xlpm.son, MIN(_xlpm.ilk+2, COLUMNS(_xlpm.aralık)),
  MAX(INDEX(_xlpm.aralık, _xlpm.ilk):INDEX(_xlpm.aralık, _xlpm.son))
)</f>
        <v>1457.6229262001095</v>
      </c>
      <c r="E97" s="6">
        <f t="shared" si="13"/>
        <v>1500.9242054501437</v>
      </c>
      <c r="F97" s="6">
        <f t="shared" si="14"/>
        <v>0</v>
      </c>
      <c r="G97" s="6">
        <f t="shared" si="21"/>
        <v>1482.8777054279915</v>
      </c>
      <c r="H97" s="7">
        <f t="shared" si="15"/>
        <v>2.9706777021487107E-2</v>
      </c>
      <c r="I97" s="7">
        <f t="shared" si="16"/>
        <v>-1</v>
      </c>
      <c r="J97" s="7">
        <f t="shared" si="17"/>
        <v>-1</v>
      </c>
      <c r="K97" s="7">
        <f t="shared" si="22"/>
        <v>1.7326003024471404E-2</v>
      </c>
      <c r="L97" s="5" t="s">
        <v>423</v>
      </c>
      <c r="M97" s="7">
        <f>IF(R97="",(VLOOKUP(A97,[1]Export!$B$2:$H$680,7,0)),"CHURN")</f>
        <v>0</v>
      </c>
      <c r="N97" s="5">
        <f t="shared" si="23"/>
        <v>1482.8777054279915</v>
      </c>
      <c r="O97" s="5">
        <f t="shared" si="24"/>
        <v>1500.9242054501437</v>
      </c>
      <c r="P97" s="5">
        <f t="shared" si="25"/>
        <v>0</v>
      </c>
      <c r="Q97" s="5" t="str">
        <f>VLOOKUP(A97,[4]Sheet2!$A$1:$B$142,2,0)</f>
        <v>NO RISK</v>
      </c>
      <c r="T97" s="6" t="str" cm="1">
        <f t="array" ref="T97">IF(R97&lt;&gt;"Churn","",
 _xlfn.LET(
   _xlpm.rng,Y97:BF97,
   _xlpm.pos,MAX(IF((_xlpm.rng&lt;&gt;0)*(_xlpm.rng&lt;&gt;""),COLUMN(_xlpm.rng)-COLUMN(Y97)+1)),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7" s="6" t="str" cm="1">
        <f t="array" ref="U97">IF(R97="Churn",
   MAX(IF((Y97:BF97&lt;&gt;"")*(Y97:BF97&lt;&gt;0), COLUMN(Y97:BF97)-COLUMN(Y97)+1))
   -MATCH(1, --((Y97:BF97&lt;&gt;"")*(Y97:BF97&lt;&gt;0)), 0)
   +1,
"")</f>
        <v/>
      </c>
      <c r="V97" s="6" t="str" cm="1">
        <f t="array" ref="V97">IFERROR(
    IF(
        MATCH(2,1/((Y97:BF97&lt;&gt;0)*(Y97:BF97&lt;&gt;"")))-MATCH(1,INDEX((Y97:BF97&lt;&gt;0)*(Y97:BF97&lt;&gt;""),0),0)+1 &lt;= 12,
        "No",
        "Yes"
    ),
    "No"
)</f>
        <v>Yes</v>
      </c>
      <c r="W97" s="6" t="str" cm="1">
        <f t="array" ref="W97">IFERROR(
    IF(
        MATCH(2,1/((Y97:BF97&lt;&gt;0)*(Y97:BF97&lt;&gt;"")))-MATCH(1,INDEX((Y97:BF97&lt;&gt;0)*(Y97:BF97&lt;&gt;""),0),0)+1 &lt;= 24,
        "No",
        "Yes"
    ),
    "No"
)</f>
        <v>No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1457.6229262001095</v>
      </c>
      <c r="AT97" s="8">
        <v>1448.6094812222168</v>
      </c>
      <c r="AU97" s="8">
        <v>1440.6244452140709</v>
      </c>
      <c r="AV97" s="8">
        <v>1418.2243258420528</v>
      </c>
      <c r="AW97" s="8">
        <v>1396.8451053983126</v>
      </c>
      <c r="AX97" s="8">
        <v>1372.2212519647715</v>
      </c>
      <c r="AY97" s="8">
        <v>1337.9861011625612</v>
      </c>
      <c r="AZ97" s="8">
        <v>1302.2443326063567</v>
      </c>
      <c r="BA97" s="8">
        <v>1280.4130431408662</v>
      </c>
      <c r="BB97" s="8">
        <v>1258.6740441069899</v>
      </c>
      <c r="BC97" s="8">
        <v>1234.4632204776251</v>
      </c>
      <c r="BD97" s="8">
        <v>1215.4517060522128</v>
      </c>
      <c r="BE97" s="8">
        <v>1500.9242054501437</v>
      </c>
      <c r="BF97" s="8">
        <v>1482.8777054279915</v>
      </c>
      <c r="BH97" s="8">
        <f t="shared" si="18"/>
        <v>0</v>
      </c>
      <c r="BI97" s="8">
        <f t="shared" si="19"/>
        <v>5765.0811784784501</v>
      </c>
      <c r="BJ97" s="8">
        <f t="shared" si="20"/>
        <v>13382.100715787828</v>
      </c>
    </row>
    <row r="98" spans="1:62" x14ac:dyDescent="0.25">
      <c r="A98" s="9" t="s">
        <v>29</v>
      </c>
      <c r="B98" s="9" t="s">
        <v>644</v>
      </c>
      <c r="C98" s="10">
        <v>44927</v>
      </c>
      <c r="D98" s="6" cm="1">
        <f t="array" ref="D98">_xlfn.LET(
  _xlpm.aralık, Y98:BF98,
  _xlpm.ilk, MATCH(TRUE, _xlpm.aralık&lt;&gt;0, 0),
  _xlpm.son, MIN(_xlpm.ilk+2, COLUMNS(_xlpm.aralık)),
  MAX(INDEX(_xlpm.aralık, _xlpm.ilk):INDEX(_xlpm.aralık, _xlpm.son))
)</f>
        <v>754.54598764280354</v>
      </c>
      <c r="E98" s="6">
        <f t="shared" si="13"/>
        <v>848.86360349305971</v>
      </c>
      <c r="F98" s="6">
        <f t="shared" si="14"/>
        <v>1281.4748673702629</v>
      </c>
      <c r="G98" s="6">
        <f t="shared" si="21"/>
        <v>1466.6845835600088</v>
      </c>
      <c r="H98" s="7">
        <f t="shared" si="15"/>
        <v>0.12499916160829873</v>
      </c>
      <c r="I98" s="7">
        <f t="shared" si="16"/>
        <v>0.69833898577021336</v>
      </c>
      <c r="J98" s="7">
        <f t="shared" si="17"/>
        <v>0.50963577905450885</v>
      </c>
      <c r="K98" s="7">
        <f t="shared" si="22"/>
        <v>0.94379747236072564</v>
      </c>
      <c r="L98" s="5" t="s">
        <v>416</v>
      </c>
      <c r="M98" s="7">
        <f>IF(R98="",(VLOOKUP(A98,[1]Export!$B$2:$H$680,7,0)),"CHURN")</f>
        <v>0.15447514393865552</v>
      </c>
      <c r="N98" s="5">
        <f t="shared" si="23"/>
        <v>1240.1182714019694</v>
      </c>
      <c r="O98" s="5">
        <f t="shared" si="24"/>
        <v>717.73527615918351</v>
      </c>
      <c r="P98" s="5">
        <f t="shared" si="25"/>
        <v>1083.5188527794719</v>
      </c>
      <c r="Q98" s="5" t="str">
        <f>VLOOKUP(A98,[4]Sheet2!$A$1:$B$142,2,0)</f>
        <v>LOW RISK</v>
      </c>
      <c r="T98" s="6" t="str" cm="1">
        <f t="array" ref="T98">IF(R98&lt;&gt;"Churn","",
 _xlfn.LET(
   _xlpm.rng,Y98:BF98,
   _xlpm.pos,MAX(IF((_xlpm.rng&lt;&gt;0)*(_xlpm.rng&lt;&gt;""),COLUMN(_xlpm.rng)-COLUMN(Y98)+1)),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8" s="6" t="str" cm="1">
        <f t="array" ref="U98">IF(R98="Churn",
   MAX(IF((Y98:BF98&lt;&gt;"")*(Y98:BF98&lt;&gt;0), COLUMN(Y98:BF98)-COLUMN(Y98)+1))
   -MATCH(1, --((Y98:BF98&lt;&gt;"")*(Y98:BF98&lt;&gt;0)), 0)
   +1,
"")</f>
        <v/>
      </c>
      <c r="V98" s="6" t="str" cm="1">
        <f t="array" ref="V98">IFERROR(
    IF(
        MATCH(2,1/((Y98:BF98&lt;&gt;0)*(Y98:BF98&lt;&gt;"")))-MATCH(1,INDEX((Y98:BF98&lt;&gt;0)*(Y98:BF98&lt;&gt;""),0),0)+1 &lt;= 12,
        "No",
        "Yes"
    ),
    "No"
)</f>
        <v>Yes</v>
      </c>
      <c r="W98" s="6" t="str" cm="1">
        <f t="array" ref="W98">IFERROR(
    IF(
        MATCH(2,1/((Y98:BF98&lt;&gt;0)*(Y98:BF98&lt;&gt;"")))-MATCH(1,INDEX((Y98:BF98&lt;&gt;0)*(Y98:BF98&lt;&gt;""),0),0)+1 &lt;= 24,
        "No",
        "Yes"
    ),
    "No"
)</f>
        <v>Yes</v>
      </c>
      <c r="Y98" s="8">
        <v>754.54598764280354</v>
      </c>
      <c r="Z98" s="8">
        <v>751.92443568480167</v>
      </c>
      <c r="AA98" s="8">
        <v>748.79634658890154</v>
      </c>
      <c r="AB98" s="8">
        <v>737.17633286888599</v>
      </c>
      <c r="AC98" s="8">
        <v>1063.1021586243342</v>
      </c>
      <c r="AD98" s="8">
        <v>894.02966761820119</v>
      </c>
      <c r="AE98" s="8">
        <v>804.61188732479729</v>
      </c>
      <c r="AF98" s="8">
        <v>791.51913466075666</v>
      </c>
      <c r="AG98" s="8">
        <v>945.02022866221478</v>
      </c>
      <c r="AH98" s="8">
        <v>915.89278922205813</v>
      </c>
      <c r="AI98" s="8">
        <v>890.67881306655386</v>
      </c>
      <c r="AJ98" s="8">
        <v>876.80111608972538</v>
      </c>
      <c r="AK98" s="8">
        <v>848.86360349305971</v>
      </c>
      <c r="AL98" s="8">
        <v>829.35944664160388</v>
      </c>
      <c r="AM98" s="8">
        <v>797.60711587746187</v>
      </c>
      <c r="AN98" s="8">
        <v>789.66303381276896</v>
      </c>
      <c r="AO98" s="8">
        <v>790.81101020424012</v>
      </c>
      <c r="AP98" s="8">
        <v>784.11524932701741</v>
      </c>
      <c r="AQ98" s="8">
        <v>1172.1692813848067</v>
      </c>
      <c r="AR98" s="8">
        <v>1146.9350961257767</v>
      </c>
      <c r="AS98" s="8">
        <v>1215.6662169531851</v>
      </c>
      <c r="AT98" s="8">
        <v>1208.148950065407</v>
      </c>
      <c r="AU98" s="8">
        <v>1201.489382394114</v>
      </c>
      <c r="AV98" s="8">
        <v>1182.8075491937609</v>
      </c>
      <c r="AW98" s="8">
        <v>1281.4748673702629</v>
      </c>
      <c r="AX98" s="8">
        <v>1258.8847826207486</v>
      </c>
      <c r="AY98" s="8">
        <v>1227.4772305850108</v>
      </c>
      <c r="AZ98" s="8">
        <v>1194.6874975336279</v>
      </c>
      <c r="BA98" s="8">
        <v>1174.6593292963678</v>
      </c>
      <c r="BB98" s="8">
        <v>1154.7158289067843</v>
      </c>
      <c r="BC98" s="8">
        <v>1469.991843539892</v>
      </c>
      <c r="BD98" s="8">
        <v>1447.353039341348</v>
      </c>
      <c r="BE98" s="8">
        <v>1429.8336657966361</v>
      </c>
      <c r="BF98" s="8">
        <v>1466.6845835600088</v>
      </c>
      <c r="BH98" s="8">
        <f t="shared" si="18"/>
        <v>10174.098898054035</v>
      </c>
      <c r="BI98" s="8">
        <f t="shared" si="19"/>
        <v>11967.635935473205</v>
      </c>
      <c r="BJ98" s="8">
        <f t="shared" si="20"/>
        <v>13105.762668550688</v>
      </c>
    </row>
    <row r="99" spans="1:62" x14ac:dyDescent="0.25">
      <c r="A99" s="9" t="s">
        <v>319</v>
      </c>
      <c r="B99" s="9" t="s">
        <v>643</v>
      </c>
      <c r="C99" s="10">
        <v>44927</v>
      </c>
      <c r="D99" s="6" cm="1">
        <f t="array" ref="D99">_xlfn.LET(
  _xlpm.aralık, Y99:BF99,
  _xlpm.ilk, MATCH(TRUE, _xlpm.aralık&lt;&gt;0, 0),
  _xlpm.son, MIN(_xlpm.ilk+2, COLUMNS(_xlpm.aralık)),
  MAX(INDEX(_xlpm.aralık, _xlpm.ilk):INDEX(_xlpm.aralık, _xlpm.son))
)</f>
        <v>266.54867445344195</v>
      </c>
      <c r="E99" s="6">
        <f t="shared" si="13"/>
        <v>958.62411598184781</v>
      </c>
      <c r="F99" s="6">
        <f t="shared" si="14"/>
        <v>510.62448852893874</v>
      </c>
      <c r="G99" s="6">
        <f t="shared" si="21"/>
        <v>1449.9248675295917</v>
      </c>
      <c r="H99" s="7">
        <f t="shared" si="15"/>
        <v>2.5964317509644594</v>
      </c>
      <c r="I99" s="7">
        <f t="shared" si="16"/>
        <v>0.91568946863447831</v>
      </c>
      <c r="J99" s="7">
        <f t="shared" si="17"/>
        <v>-0.46733607050356352</v>
      </c>
      <c r="K99" s="7">
        <f t="shared" si="22"/>
        <v>4.4396251285160684</v>
      </c>
      <c r="L99" s="5" t="s">
        <v>423</v>
      </c>
      <c r="M99" s="7">
        <f>IF(R99="",(VLOOKUP(A99,[1]Export!$B$2:$H$680,7,0)),"CHURN")</f>
        <v>0</v>
      </c>
      <c r="N99" s="5">
        <f t="shared" si="23"/>
        <v>1449.9248675295917</v>
      </c>
      <c r="O99" s="5">
        <f t="shared" si="24"/>
        <v>958.62411598184781</v>
      </c>
      <c r="P99" s="5">
        <f t="shared" si="25"/>
        <v>510.62448852893874</v>
      </c>
      <c r="Q99" s="5" t="s">
        <v>430</v>
      </c>
      <c r="T99" s="6" t="str" cm="1">
        <f t="array" ref="T99">IF(R99&lt;&gt;"Churn","",
 _xlfn.LET(
   _xlpm.rng,Y99:BF99,
   _xlpm.pos,MAX(IF((_xlpm.rng&lt;&gt;0)*(_xlpm.rng&lt;&gt;""),COLUMN(_xlpm.rng)-COLUMN(Y99)+1)),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99" s="6" t="str" cm="1">
        <f t="array" ref="U99">IF(R99="Churn",
   MAX(IF((Y99:BF99&lt;&gt;"")*(Y99:BF99&lt;&gt;0), COLUMN(Y99:BF99)-COLUMN(Y99)+1))
   -MATCH(1, --((Y99:BF99&lt;&gt;"")*(Y99:BF99&lt;&gt;0)), 0)
   +1,
"")</f>
        <v/>
      </c>
      <c r="V99" s="6" t="str" cm="1">
        <f t="array" ref="V99">IFERROR(
    IF(
        MATCH(2,1/((Y99:BF99&lt;&gt;0)*(Y99:BF99&lt;&gt;"")))-MATCH(1,INDEX((Y99:BF99&lt;&gt;0)*(Y99:BF99&lt;&gt;""),0),0)+1 &lt;= 12,
        "No",
        "Yes"
    ),
    "No"
)</f>
        <v>Yes</v>
      </c>
      <c r="W99" s="6" t="str" cm="1">
        <f t="array" ref="W99">IFERROR(
    IF(
        MATCH(2,1/((Y99:BF99&lt;&gt;0)*(Y99:BF99&lt;&gt;"")))-MATCH(1,INDEX((Y99:BF99&lt;&gt;0)*(Y99:BF99&lt;&gt;""),0),0)+1 &lt;= 24,
        "No",
        "Yes"
    ),
    "No"
)</f>
        <v>Yes</v>
      </c>
      <c r="X99" s="6"/>
      <c r="Y99" s="8">
        <v>266.54867445344195</v>
      </c>
      <c r="Z99" s="8">
        <v>265.62259279525279</v>
      </c>
      <c r="AA99" s="8">
        <v>263.66996957248551</v>
      </c>
      <c r="AB99" s="8">
        <v>258.98550199159848</v>
      </c>
      <c r="AC99" s="8">
        <v>254.07536891743564</v>
      </c>
      <c r="AD99" s="8">
        <v>961.50558955249392</v>
      </c>
      <c r="AE99" s="8">
        <v>926.90427228073361</v>
      </c>
      <c r="AF99" s="8">
        <v>909.36788250112386</v>
      </c>
      <c r="AG99" s="8">
        <v>908.52397798012566</v>
      </c>
      <c r="AH99" s="8">
        <v>880.52142698075954</v>
      </c>
      <c r="AI99" s="8">
        <v>1604.1059514604888</v>
      </c>
      <c r="AJ99" s="8">
        <v>990.17402954334898</v>
      </c>
      <c r="AK99" s="8">
        <v>958.62411598184781</v>
      </c>
      <c r="AL99" s="8">
        <v>936.59801538952706</v>
      </c>
      <c r="AM99" s="8">
        <v>900.7400166676066</v>
      </c>
      <c r="AN99" s="8">
        <v>891.76874187714998</v>
      </c>
      <c r="AO99" s="8">
        <v>893.06515492738981</v>
      </c>
      <c r="AP99" s="8">
        <v>346.50141372576803</v>
      </c>
      <c r="AQ99" s="8">
        <v>550.87235409265122</v>
      </c>
      <c r="AR99" s="8">
        <v>539.01330330706037</v>
      </c>
      <c r="AS99" s="8">
        <v>532.84215857759557</v>
      </c>
      <c r="AT99" s="8">
        <v>529.54724369123255</v>
      </c>
      <c r="AU99" s="8">
        <v>526.62826941714366</v>
      </c>
      <c r="AV99" s="8">
        <v>518.43978133559483</v>
      </c>
      <c r="AW99" s="8">
        <v>510.62448852893874</v>
      </c>
      <c r="AX99" s="8">
        <v>501.62310210712201</v>
      </c>
      <c r="AY99" s="8">
        <v>489.10825253609187</v>
      </c>
      <c r="AZ99" s="8">
        <v>473.54339367503877</v>
      </c>
      <c r="BA99" s="8">
        <v>465.60474296031498</v>
      </c>
      <c r="BB99" s="8">
        <v>457.69965240254174</v>
      </c>
      <c r="BC99" s="8">
        <v>448.89571653731821</v>
      </c>
      <c r="BD99" s="8">
        <v>441.98243856444105</v>
      </c>
      <c r="BE99" s="8">
        <v>1467.5703342179183</v>
      </c>
      <c r="BF99" s="8">
        <v>1449.9248675295917</v>
      </c>
      <c r="BH99" s="8">
        <f t="shared" si="18"/>
        <v>8490.0052380292891</v>
      </c>
      <c r="BI99" s="8">
        <f t="shared" si="19"/>
        <v>8124.6405689905669</v>
      </c>
      <c r="BJ99" s="8">
        <f t="shared" si="20"/>
        <v>6706.5769890593165</v>
      </c>
    </row>
    <row r="100" spans="1:62" x14ac:dyDescent="0.25">
      <c r="A100" s="9" t="s">
        <v>36</v>
      </c>
      <c r="B100" s="9" t="s">
        <v>644</v>
      </c>
      <c r="C100" s="10">
        <v>44927</v>
      </c>
      <c r="D100" s="6" cm="1">
        <f t="array" ref="D100">_xlfn.LET(
  _xlpm.aralık, Y100:BF100,
  _xlpm.ilk, MATCH(TRUE, _xlpm.aralık&lt;&gt;0, 0),
  _xlpm.son, MIN(_xlpm.ilk+2, COLUMNS(_xlpm.aralık)),
  MAX(INDEX(_xlpm.aralık, _xlpm.ilk):INDEX(_xlpm.aralık, _xlpm.son))
)</f>
        <v>1023.7</v>
      </c>
      <c r="E100" s="6">
        <f t="shared" si="13"/>
        <v>845.00054600000021</v>
      </c>
      <c r="F100" s="6">
        <f t="shared" si="14"/>
        <v>1426.9989976666664</v>
      </c>
      <c r="G100" s="6">
        <f t="shared" si="21"/>
        <v>1427.0505849999997</v>
      </c>
      <c r="H100" s="7">
        <f t="shared" si="15"/>
        <v>-0.1745623268535702</v>
      </c>
      <c r="I100" s="7">
        <f t="shared" si="16"/>
        <v>0.39396209599166387</v>
      </c>
      <c r="J100" s="7">
        <f t="shared" si="17"/>
        <v>0.68875511906079412</v>
      </c>
      <c r="K100" s="7">
        <f t="shared" si="22"/>
        <v>0.39401248901045194</v>
      </c>
      <c r="L100" s="5" t="s">
        <v>418</v>
      </c>
      <c r="M100" s="7">
        <f>IF(R100="",(VLOOKUP(A100,[1]Export!$B$2:$H$680,7,0)),"CHURN")</f>
        <v>0</v>
      </c>
      <c r="N100" s="5">
        <f t="shared" si="23"/>
        <v>1427.0505849999997</v>
      </c>
      <c r="O100" s="5">
        <f t="shared" si="24"/>
        <v>845.00054600000021</v>
      </c>
      <c r="P100" s="5">
        <f t="shared" si="25"/>
        <v>1426.9989976666664</v>
      </c>
      <c r="Q100" s="5" t="s">
        <v>430</v>
      </c>
      <c r="T100" s="6" t="str" cm="1">
        <f t="array" ref="T100">IF(R100&lt;&gt;"Churn","",
 _xlfn.LET(
   _xlpm.rng,Y100:BF100,
   _xlpm.pos,MAX(IF((_xlpm.rng&lt;&gt;0)*(_xlpm.rng&lt;&gt;""),COLUMN(_xlpm.rng)-COLUMN(Y100)+1)),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0" s="6" t="str" cm="1">
        <f t="array" ref="U100">IF(R100="Churn",
   MAX(IF((Y100:BF100&lt;&gt;"")*(Y100:BF100&lt;&gt;0), COLUMN(Y100:BF100)-COLUMN(Y100)+1))
   -MATCH(1, --((Y100:BF100&lt;&gt;"")*(Y100:BF100&lt;&gt;0)), 0)
   +1,
"")</f>
        <v/>
      </c>
      <c r="V100" s="6" t="str" cm="1">
        <f t="array" ref="V100">IFERROR(
    IF(
        MATCH(2,1/((Y100:BF100&lt;&gt;0)*(Y100:BF100&lt;&gt;"")))-MATCH(1,INDEX((Y100:BF100&lt;&gt;0)*(Y100:BF100&lt;&gt;""),0),0)+1 &lt;= 12,
        "No",
        "Yes"
    ),
    "No"
)</f>
        <v>Yes</v>
      </c>
      <c r="W100" s="6" t="str" cm="1">
        <f t="array" ref="W100">IFERROR(
    IF(
        MATCH(2,1/((Y100:BF100&lt;&gt;0)*(Y100:BF100&lt;&gt;"")))-MATCH(1,INDEX((Y100:BF100&lt;&gt;0)*(Y100:BF100&lt;&gt;""),0),0)+1 &lt;= 24,
        "No",
        "Yes"
    ),
    "No"
)</f>
        <v>Yes</v>
      </c>
      <c r="Y100" s="8">
        <v>673.73162813261331</v>
      </c>
      <c r="Z100" s="8">
        <v>671.3908530203945</v>
      </c>
      <c r="AA100" s="8">
        <v>1023.7</v>
      </c>
      <c r="AB100" s="8">
        <v>1023.7</v>
      </c>
      <c r="AC100" s="8">
        <v>1023.7</v>
      </c>
      <c r="AD100" s="8">
        <v>729</v>
      </c>
      <c r="AE100" s="8">
        <v>729.00054600000021</v>
      </c>
      <c r="AF100" s="8">
        <v>729.00054600000021</v>
      </c>
      <c r="AG100" s="8">
        <v>729.00054600000021</v>
      </c>
      <c r="AH100" s="8">
        <v>767.00054600000021</v>
      </c>
      <c r="AI100" s="8">
        <v>845.00054600000021</v>
      </c>
      <c r="AJ100" s="8">
        <v>845.00054600000021</v>
      </c>
      <c r="AK100" s="8">
        <v>845.00054600000021</v>
      </c>
      <c r="AL100" s="8">
        <v>865.00054600000021</v>
      </c>
      <c r="AM100" s="8">
        <v>865.00054600000021</v>
      </c>
      <c r="AN100" s="8">
        <v>865.00054600000021</v>
      </c>
      <c r="AO100" s="8">
        <v>865.00054600000021</v>
      </c>
      <c r="AP100" s="8">
        <v>865.00054600000021</v>
      </c>
      <c r="AQ100" s="8">
        <v>865.00054600000021</v>
      </c>
      <c r="AR100" s="8">
        <v>1420</v>
      </c>
      <c r="AS100" s="8">
        <v>1556.7115119999999</v>
      </c>
      <c r="AT100" s="8">
        <v>1556.7115119999999</v>
      </c>
      <c r="AU100" s="8">
        <v>1427</v>
      </c>
      <c r="AV100" s="8">
        <v>1427</v>
      </c>
      <c r="AW100" s="8">
        <v>1426.9989976666664</v>
      </c>
      <c r="AX100" s="8">
        <v>1426.9989976666664</v>
      </c>
      <c r="AY100" s="8">
        <v>1426.9989976666664</v>
      </c>
      <c r="AZ100" s="8">
        <v>1426.9989976666664</v>
      </c>
      <c r="BA100" s="8">
        <v>1426.9989976666664</v>
      </c>
      <c r="BB100" s="8">
        <v>1426.9989976666664</v>
      </c>
      <c r="BC100" s="8">
        <v>1426.9989976666664</v>
      </c>
      <c r="BD100" s="8">
        <v>1426.9989976666664</v>
      </c>
      <c r="BE100" s="8">
        <v>1426.9989976666664</v>
      </c>
      <c r="BF100" s="8">
        <v>1427.0505849999997</v>
      </c>
      <c r="BH100" s="8">
        <f t="shared" si="18"/>
        <v>9789.2257571530099</v>
      </c>
      <c r="BI100" s="8">
        <f t="shared" si="19"/>
        <v>13422.426846</v>
      </c>
      <c r="BJ100" s="8">
        <f t="shared" si="20"/>
        <v>14270.041563999994</v>
      </c>
    </row>
    <row r="101" spans="1:62" x14ac:dyDescent="0.25">
      <c r="A101" s="9" t="s">
        <v>220</v>
      </c>
      <c r="B101" s="9" t="s">
        <v>644</v>
      </c>
      <c r="C101" s="10">
        <f>VLOOKUP(A101,'[2]Revenue_Engine_2025 Oct.25'!$C$14:G$3937,5,0)</f>
        <v>45161</v>
      </c>
      <c r="D101" s="6" cm="1">
        <f t="array" ref="D101">_xlfn.LET(
  _xlpm.aralık, Y101:BF101,
  _xlpm.ilk, MATCH(TRUE, _xlpm.aralık&lt;&gt;0, 0),
  _xlpm.son, MIN(_xlpm.ilk+2, COLUMNS(_xlpm.aralık)),
  MAX(INDEX(_xlpm.aralık, _xlpm.ilk):INDEX(_xlpm.aralık, _xlpm.son))
)</f>
        <v>720.00685999999996</v>
      </c>
      <c r="E101" s="6">
        <f t="shared" si="13"/>
        <v>774.80685999999992</v>
      </c>
      <c r="F101" s="6">
        <f t="shared" si="14"/>
        <v>1386.2714530000003</v>
      </c>
      <c r="G101" s="6">
        <f t="shared" si="21"/>
        <v>1386.2714530000003</v>
      </c>
      <c r="H101" s="7">
        <f t="shared" si="15"/>
        <v>7.6110385948267162E-2</v>
      </c>
      <c r="I101" s="7">
        <f t="shared" si="16"/>
        <v>0.92535867366597091</v>
      </c>
      <c r="J101" s="7">
        <f t="shared" si="17"/>
        <v>0.78918324626088165</v>
      </c>
      <c r="K101" s="7">
        <f t="shared" si="22"/>
        <v>0.92535867366597091</v>
      </c>
      <c r="L101" s="5" t="s">
        <v>416</v>
      </c>
      <c r="M101" s="7">
        <f>IF(R101="",(VLOOKUP(A101,[1]Export!$B$2:$H$680,7,0)),"CHURN")</f>
        <v>2.164078322111997E-2</v>
      </c>
      <c r="N101" s="5">
        <f t="shared" si="23"/>
        <v>1356.2714530000003</v>
      </c>
      <c r="O101" s="5">
        <f t="shared" si="24"/>
        <v>758.03943270450327</v>
      </c>
      <c r="P101" s="5">
        <f t="shared" si="25"/>
        <v>1356.2714530000003</v>
      </c>
      <c r="Q101" s="5" t="s">
        <v>430</v>
      </c>
      <c r="T101" s="6" t="str" cm="1">
        <f t="array" ref="T101">IF(R101&lt;&gt;"Churn","",
 _xlfn.LET(
   _xlpm.rng,Y101:BF101,
   _xlpm.pos,MAX(IF((_xlpm.rng&lt;&gt;0)*(_xlpm.rng&lt;&gt;""),COLUMN(_xlpm.rng)-COLUMN(Y101)+1)),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1" s="6" t="str" cm="1">
        <f t="array" ref="U101">IF(R101="Churn",
   MAX(IF((Y101:BF101&lt;&gt;"")*(Y101:BF101&lt;&gt;0), COLUMN(Y101:BF101)-COLUMN(Y101)+1))
   -MATCH(1, --((Y101:BF101&lt;&gt;"")*(Y101:BF101&lt;&gt;0)), 0)
   +1,
"")</f>
        <v/>
      </c>
      <c r="V101" s="6" t="str" cm="1">
        <f t="array" ref="V101">IFERROR(
    IF(
        MATCH(2,1/((Y101:BF101&lt;&gt;0)*(Y101:BF101&lt;&gt;"")))-MATCH(1,INDEX((Y101:BF101&lt;&gt;0)*(Y101:BF101&lt;&gt;""),0),0)+1 &lt;= 12,
        "No",
        "Yes"
    ),
    "No"
)</f>
        <v>Yes</v>
      </c>
      <c r="W101" s="6" t="str" cm="1">
        <f t="array" ref="W101">IFERROR(
    IF(
        MATCH(2,1/((Y101:BF101&lt;&gt;0)*(Y101:BF101&lt;&gt;"")))-MATCH(1,INDEX((Y101:BF101&lt;&gt;0)*(Y101:BF101&lt;&gt;""),0),0)+1 &lt;= 24,
        "No",
        "Yes"
    ),
    "No"
)</f>
        <v>Yes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719.999999</v>
      </c>
      <c r="AG101" s="8">
        <v>720.00685999999996</v>
      </c>
      <c r="AH101" s="8">
        <v>720.00685999999996</v>
      </c>
      <c r="AI101" s="8">
        <v>720.00685999999996</v>
      </c>
      <c r="AJ101" s="8">
        <v>720.00685999999996</v>
      </c>
      <c r="AK101" s="8">
        <v>720.00685999999996</v>
      </c>
      <c r="AL101" s="8">
        <v>724.80685999999992</v>
      </c>
      <c r="AM101" s="8">
        <v>759.80685999999992</v>
      </c>
      <c r="AN101" s="8">
        <v>759.80685999999992</v>
      </c>
      <c r="AO101" s="8">
        <v>759.80685999999992</v>
      </c>
      <c r="AP101" s="8">
        <v>759.80685999999992</v>
      </c>
      <c r="AQ101" s="8">
        <v>774.80685999999992</v>
      </c>
      <c r="AR101" s="8">
        <v>774.80685999999992</v>
      </c>
      <c r="AS101" s="8">
        <v>924.80685999999992</v>
      </c>
      <c r="AT101" s="8">
        <v>974.80685999999992</v>
      </c>
      <c r="AU101" s="8">
        <v>974.80685999999992</v>
      </c>
      <c r="AV101" s="8">
        <v>1024.8068599999999</v>
      </c>
      <c r="AW101" s="8">
        <v>1209.2714530000003</v>
      </c>
      <c r="AX101" s="8">
        <v>1209.2714530000003</v>
      </c>
      <c r="AY101" s="8">
        <v>1234.2714530000003</v>
      </c>
      <c r="AZ101" s="8">
        <v>1234.2714530000003</v>
      </c>
      <c r="BA101" s="8">
        <v>1234.2714530000003</v>
      </c>
      <c r="BB101" s="8">
        <v>1234.2714530000003</v>
      </c>
      <c r="BC101" s="8">
        <v>1386.2714530000003</v>
      </c>
      <c r="BD101" s="8">
        <v>1386.2714530000003</v>
      </c>
      <c r="BE101" s="8">
        <v>1386.2714530000003</v>
      </c>
      <c r="BF101" s="8">
        <v>1386.2714530000003</v>
      </c>
      <c r="BH101" s="8">
        <f t="shared" si="18"/>
        <v>3600.027439</v>
      </c>
      <c r="BI101" s="8">
        <f t="shared" si="19"/>
        <v>9932.8823199999988</v>
      </c>
      <c r="BJ101" s="8">
        <f t="shared" si="20"/>
        <v>12900.714530000005</v>
      </c>
    </row>
    <row r="102" spans="1:62" x14ac:dyDescent="0.25">
      <c r="A102" s="9" t="s">
        <v>266</v>
      </c>
      <c r="B102" s="9" t="s">
        <v>644</v>
      </c>
      <c r="C102" s="10">
        <f>VLOOKUP(A102,'[2]Revenue_Engine_2025 Oct.25'!$C$14:G$3937,5,0)</f>
        <v>45308</v>
      </c>
      <c r="D102" s="6" cm="1">
        <f t="array" ref="D102">_xlfn.LET(
  _xlpm.aralık, Y102:BF102,
  _xlpm.ilk, MATCH(TRUE, _xlpm.aralık&lt;&gt;0, 0),
  _xlpm.son, MIN(_xlpm.ilk+2, COLUMNS(_xlpm.aralık)),
  MAX(INDEX(_xlpm.aralık, _xlpm.ilk):INDEX(_xlpm.aralık, _xlpm.son))
)</f>
        <v>1150.0056199999999</v>
      </c>
      <c r="E102" s="6">
        <f t="shared" si="13"/>
        <v>1334.871036</v>
      </c>
      <c r="F102" s="6">
        <f t="shared" si="14"/>
        <v>0</v>
      </c>
      <c r="G102" s="6">
        <f t="shared" si="21"/>
        <v>1373.0010360000001</v>
      </c>
      <c r="H102" s="7">
        <f t="shared" si="15"/>
        <v>0.16075175006536063</v>
      </c>
      <c r="I102" s="7">
        <f t="shared" si="16"/>
        <v>-1</v>
      </c>
      <c r="J102" s="7">
        <f t="shared" si="17"/>
        <v>-1</v>
      </c>
      <c r="K102" s="7">
        <f t="shared" si="22"/>
        <v>0.19390810977080289</v>
      </c>
      <c r="L102" s="5" t="s">
        <v>418</v>
      </c>
      <c r="M102" s="7">
        <f>IF(R102="",(VLOOKUP(A102,[1]Export!$B$2:$H$680,7,0)),"CHURN")</f>
        <v>0.52267258449468479</v>
      </c>
      <c r="N102" s="5">
        <f t="shared" si="23"/>
        <v>655.37103600000034</v>
      </c>
      <c r="O102" s="5">
        <f t="shared" si="24"/>
        <v>637.17054164678257</v>
      </c>
      <c r="P102" s="5">
        <f t="shared" si="25"/>
        <v>0</v>
      </c>
      <c r="Q102" s="5" t="s">
        <v>430</v>
      </c>
      <c r="T102" s="6" t="str" cm="1">
        <f t="array" ref="T102">IF(R102&lt;&gt;"Churn","",
 _xlfn.LET(
   _xlpm.rng,Y102:BF102,
   _xlpm.pos,MAX(IF((_xlpm.rng&lt;&gt;0)*(_xlpm.rng&lt;&gt;""),COLUMN(_xlpm.rng)-COLUMN(Y102)+1)),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2" s="6" t="str" cm="1">
        <f t="array" ref="U102">IF(R102="Churn",
   MAX(IF((Y102:BF102&lt;&gt;"")*(Y102:BF102&lt;&gt;0), COLUMN(Y102:BF102)-COLUMN(Y102)+1))
   -MATCH(1, --((Y102:BF102&lt;&gt;"")*(Y102:BF102&lt;&gt;0)), 0)
   +1,
"")</f>
        <v/>
      </c>
      <c r="V102" s="6" t="str" cm="1">
        <f t="array" ref="V102">IFERROR(
    IF(
        MATCH(2,1/((Y102:BF102&lt;&gt;0)*(Y102:BF102&lt;&gt;"")))-MATCH(1,INDEX((Y102:BF102&lt;&gt;0)*(Y102:BF102&lt;&gt;""),0),0)+1 &lt;= 12,
        "No",
        "Yes"
    ),
    "No"
)</f>
        <v>Yes</v>
      </c>
      <c r="W102" s="6" t="str" cm="1">
        <f t="array" ref="W102">IFERROR(
    IF(
        MATCH(2,1/((Y102:BF102&lt;&gt;0)*(Y102:BF102&lt;&gt;"")))-MATCH(1,INDEX((Y102:BF102&lt;&gt;0)*(Y102:BF102&lt;&gt;""),0),0)+1 &lt;= 24,
        "No",
        "Yes"
    ),
    "No"
)</f>
        <v>No</v>
      </c>
      <c r="X102" s="6"/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1100.0056199999999</v>
      </c>
      <c r="AL102" s="8">
        <v>1125.0056199999999</v>
      </c>
      <c r="AM102" s="8">
        <v>1150.0056199999999</v>
      </c>
      <c r="AN102" s="8">
        <v>1150.0056199999999</v>
      </c>
      <c r="AO102" s="8">
        <v>1150.0056199999999</v>
      </c>
      <c r="AP102" s="8">
        <v>1162.5056199999999</v>
      </c>
      <c r="AQ102" s="8">
        <v>1162.5056199999999</v>
      </c>
      <c r="AR102" s="8">
        <v>1162.5056199999999</v>
      </c>
      <c r="AS102" s="8">
        <v>1197.5056199999999</v>
      </c>
      <c r="AT102" s="8">
        <v>1197.5056199999999</v>
      </c>
      <c r="AU102" s="8">
        <v>1205.5056199999999</v>
      </c>
      <c r="AV102" s="8">
        <v>1205.5056199999999</v>
      </c>
      <c r="AW102" s="8">
        <v>1334.871036</v>
      </c>
      <c r="AX102" s="8">
        <v>1334.871036</v>
      </c>
      <c r="AY102" s="8">
        <v>1334.871036</v>
      </c>
      <c r="AZ102" s="8">
        <v>1334.8710360000002</v>
      </c>
      <c r="BA102" s="8">
        <v>1334.871036</v>
      </c>
      <c r="BB102" s="8">
        <v>1359.871036</v>
      </c>
      <c r="BC102" s="8">
        <v>1359.871036</v>
      </c>
      <c r="BD102" s="8">
        <v>1359.871036</v>
      </c>
      <c r="BE102" s="8">
        <v>1373.0010360000001</v>
      </c>
      <c r="BF102" s="8">
        <v>1373.0010360000001</v>
      </c>
      <c r="BH102" s="8">
        <f t="shared" si="18"/>
        <v>0</v>
      </c>
      <c r="BI102" s="8">
        <f t="shared" si="19"/>
        <v>13968.567439999999</v>
      </c>
      <c r="BJ102" s="8">
        <f t="shared" si="20"/>
        <v>13499.970360000001</v>
      </c>
    </row>
    <row r="103" spans="1:62" x14ac:dyDescent="0.25">
      <c r="A103" s="9" t="s">
        <v>446</v>
      </c>
      <c r="B103" s="9" t="s">
        <v>644</v>
      </c>
      <c r="C103" s="10">
        <f>VLOOKUP(A103,'[2]Revenue_Engine_2025 Oct.25'!$C$14:G$3937,5,0)</f>
        <v>45630</v>
      </c>
      <c r="D103" s="6" cm="1">
        <f t="array" ref="D103">_xlfn.LET(
  _xlpm.aralık, Y103:BF103,
  _xlpm.ilk, MATCH(TRUE, _xlpm.aralık&lt;&gt;0, 0),
  _xlpm.son, MIN(_xlpm.ilk+2, COLUMNS(_xlpm.aralık)),
  MAX(INDEX(_xlpm.aralık, _xlpm.ilk):INDEX(_xlpm.aralık, _xlpm.son))
)</f>
        <v>1353.138616</v>
      </c>
      <c r="E103" s="6">
        <f t="shared" si="13"/>
        <v>0</v>
      </c>
      <c r="F103" s="6">
        <f t="shared" si="14"/>
        <v>0</v>
      </c>
      <c r="G103" s="6">
        <f t="shared" si="21"/>
        <v>1353.138616</v>
      </c>
      <c r="H103" s="7">
        <f t="shared" si="15"/>
        <v>-1</v>
      </c>
      <c r="I103" s="7">
        <f t="shared" si="16"/>
        <v>-1</v>
      </c>
      <c r="J103" s="7" t="e">
        <f t="shared" si="17"/>
        <v>#DIV/0!</v>
      </c>
      <c r="K103" s="7">
        <f t="shared" si="22"/>
        <v>0</v>
      </c>
      <c r="L103" s="5" t="s">
        <v>412</v>
      </c>
      <c r="M103" s="7">
        <f>IF(R103="",(VLOOKUP(A103,[1]Export!$B$2:$H$680,7,0)),"CHURN")</f>
        <v>0.37974345120603675</v>
      </c>
      <c r="N103" s="5">
        <f t="shared" si="23"/>
        <v>839.2930879999999</v>
      </c>
      <c r="O103" s="5">
        <f t="shared" si="24"/>
        <v>0</v>
      </c>
      <c r="P103" s="5">
        <f t="shared" si="25"/>
        <v>0</v>
      </c>
      <c r="Q103" s="5" t="s">
        <v>430</v>
      </c>
      <c r="T103" s="6" t="str" cm="1">
        <f t="array" ref="T103">IF(R103&lt;&gt;"Churn","",
 _xlfn.LET(
   _xlpm.rng,Y103:BF103,
   _xlpm.pos,MAX(IF((_xlpm.rng&lt;&gt;0)*(_xlpm.rng&lt;&gt;""),COLUMN(_xlpm.rng)-COLUMN(Y103)+1)),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3" s="6" t="str" cm="1">
        <f t="array" ref="U103">IF(R103="Churn",
   MAX(IF((Y103:BF103&lt;&gt;"")*(Y103:BF103&lt;&gt;0), COLUMN(Y103:BF103)-COLUMN(Y103)+1))
   -MATCH(1, --((Y103:BF103&lt;&gt;"")*(Y103:BF103&lt;&gt;0)), 0)
   +1,
"")</f>
        <v/>
      </c>
      <c r="V103" s="6" t="str" cm="1">
        <f t="array" ref="V103">IFERROR(
    IF(
        MATCH(2,1/((Y103:BF103&lt;&gt;0)*(Y103:BF103&lt;&gt;"")))-MATCH(1,INDEX((Y103:BF103&lt;&gt;0)*(Y103:BF103&lt;&gt;""),0),0)+1 &lt;= 12,
        "No",
        "Yes"
    ),
    "No"
)</f>
        <v>No</v>
      </c>
      <c r="W103" s="6" t="str" cm="1">
        <f t="array" ref="W103">IFERROR(
    IF(
        MATCH(2,1/((Y103:BF103&lt;&gt;0)*(Y103:BF103&lt;&gt;"")))-MATCH(1,INDEX((Y103:BF103&lt;&gt;0)*(Y103:BF103&lt;&gt;""),0),0)+1 &lt;= 24,
        "No",
        "Yes"
    ),
    "No"
)</f>
        <v>No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1349.970016</v>
      </c>
      <c r="AX103" s="8">
        <v>1353.138616</v>
      </c>
      <c r="AY103" s="8">
        <v>1353.138616</v>
      </c>
      <c r="AZ103" s="8">
        <v>1353.138616</v>
      </c>
      <c r="BA103" s="8">
        <v>1353.138616</v>
      </c>
      <c r="BB103" s="8">
        <v>1353.138616</v>
      </c>
      <c r="BC103" s="8">
        <v>1353.138616</v>
      </c>
      <c r="BD103" s="8">
        <v>1353.138616</v>
      </c>
      <c r="BE103" s="8">
        <v>1353.138616</v>
      </c>
      <c r="BF103" s="8">
        <v>1353.138616</v>
      </c>
      <c r="BH103" s="8">
        <f t="shared" si="18"/>
        <v>0</v>
      </c>
      <c r="BI103" s="8">
        <f t="shared" si="19"/>
        <v>0</v>
      </c>
      <c r="BJ103" s="8">
        <f t="shared" si="20"/>
        <v>13528.217560000001</v>
      </c>
    </row>
    <row r="104" spans="1:62" x14ac:dyDescent="0.25">
      <c r="A104" s="9" t="s">
        <v>447</v>
      </c>
      <c r="B104" s="9" t="s">
        <v>644</v>
      </c>
      <c r="C104" s="10">
        <f>VLOOKUP(A104,'[2]Revenue_Engine_2025 Oct.25'!$C$14:G$3937,5,0)</f>
        <v>45713</v>
      </c>
      <c r="D104" s="6" cm="1">
        <f t="array" ref="D104">_xlfn.LET(
  _xlpm.aralık, Y104:BF104,
  _xlpm.ilk, MATCH(TRUE, _xlpm.aralık&lt;&gt;0, 0),
  _xlpm.son, MIN(_xlpm.ilk+2, COLUMNS(_xlpm.aralık)),
  MAX(INDEX(_xlpm.aralık, _xlpm.ilk):INDEX(_xlpm.aralık, _xlpm.son))
)</f>
        <v>1350.0199480000003</v>
      </c>
      <c r="E104" s="6">
        <f t="shared" si="13"/>
        <v>0</v>
      </c>
      <c r="F104" s="6">
        <f t="shared" si="14"/>
        <v>0</v>
      </c>
      <c r="G104" s="6">
        <f t="shared" si="21"/>
        <v>1350.0199479999999</v>
      </c>
      <c r="H104" s="7">
        <f t="shared" si="15"/>
        <v>-1</v>
      </c>
      <c r="I104" s="7">
        <f t="shared" si="16"/>
        <v>-1</v>
      </c>
      <c r="J104" s="7" t="e">
        <f t="shared" si="17"/>
        <v>#DIV/0!</v>
      </c>
      <c r="K104" s="7">
        <f t="shared" si="22"/>
        <v>-3.3684491222529997E-16</v>
      </c>
      <c r="L104" s="5" t="s">
        <v>417</v>
      </c>
      <c r="M104" s="7">
        <f>IF(R104="",(VLOOKUP(A104,[1]Export!$B$2:$H$680,7,0)),"CHURN")</f>
        <v>8.1183985586559634E-2</v>
      </c>
      <c r="N104" s="5">
        <f t="shared" si="23"/>
        <v>1240.419948</v>
      </c>
      <c r="O104" s="5">
        <f t="shared" si="24"/>
        <v>0</v>
      </c>
      <c r="P104" s="5">
        <f t="shared" si="25"/>
        <v>0</v>
      </c>
      <c r="Q104" s="5" t="str">
        <f>VLOOKUP(A104,[4]Sheet2!$A$1:$B$142,2,0)</f>
        <v>LOW RISK</v>
      </c>
      <c r="T104" s="6" t="str" cm="1">
        <f t="array" ref="T104">IF(R104&lt;&gt;"Churn","",
 _xlfn.LET(
   _xlpm.rng,Y104:BF104,
   _xlpm.pos,MAX(IF((_xlpm.rng&lt;&gt;0)*(_xlpm.rng&lt;&gt;""),COLUMN(_xlpm.rng)-COLUMN(Y104)+1)),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4" s="6" t="str" cm="1">
        <f t="array" ref="U104">IF(R104="Churn",
   MAX(IF((Y104:BF104&lt;&gt;"")*(Y104:BF104&lt;&gt;0), COLUMN(Y104:BF104)-COLUMN(Y104)+1))
   -MATCH(1, --((Y104:BF104&lt;&gt;"")*(Y104:BF104&lt;&gt;0)), 0)
   +1,
"")</f>
        <v/>
      </c>
      <c r="V104" s="6" t="str" cm="1">
        <f t="array" ref="V104">IFERROR(
    IF(
        MATCH(2,1/((Y104:BF104&lt;&gt;0)*(Y104:BF104&lt;&gt;"")))-MATCH(1,INDEX((Y104:BF104&lt;&gt;0)*(Y104:BF104&lt;&gt;""),0),0)+1 &lt;= 12,
        "No",
        "Yes"
    ),
    "No"
)</f>
        <v>No</v>
      </c>
      <c r="W104" s="6" t="str" cm="1">
        <f t="array" ref="W104">IFERROR(
    IF(
        MATCH(2,1/((Y104:BF104&lt;&gt;0)*(Y104:BF104&lt;&gt;"")))-MATCH(1,INDEX((Y104:BF104&lt;&gt;0)*(Y104:BF104&lt;&gt;""),0),0)+1 &lt;= 24,
        "No",
        "Yes"
    ),
    "No"
)</f>
        <v>No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1350.0199479999999</v>
      </c>
      <c r="AZ104" s="8">
        <v>1350.0199480000003</v>
      </c>
      <c r="BA104" s="8">
        <v>1350.0199479999999</v>
      </c>
      <c r="BB104" s="8">
        <v>1350.0199479999999</v>
      </c>
      <c r="BC104" s="8">
        <v>1350.0199479999999</v>
      </c>
      <c r="BD104" s="8">
        <v>1350.0199479999999</v>
      </c>
      <c r="BE104" s="8">
        <v>1350.0199479999999</v>
      </c>
      <c r="BF104" s="8">
        <v>1350.0199479999999</v>
      </c>
      <c r="BH104" s="8">
        <f t="shared" si="18"/>
        <v>0</v>
      </c>
      <c r="BI104" s="8">
        <f t="shared" si="19"/>
        <v>0</v>
      </c>
      <c r="BJ104" s="8">
        <f t="shared" si="20"/>
        <v>10800.159583999999</v>
      </c>
    </row>
    <row r="105" spans="1:62" x14ac:dyDescent="0.25">
      <c r="A105" s="9" t="s">
        <v>349</v>
      </c>
      <c r="B105" s="9" t="s">
        <v>644</v>
      </c>
      <c r="C105" s="10">
        <f>VLOOKUP(A105,'[2]Revenue_Engine_2025 Oct.25'!$C$14:G$3937,5,0)</f>
        <v>45068</v>
      </c>
      <c r="D105" s="6" cm="1">
        <f t="array" ref="D105">_xlfn.LET(
  _xlpm.aralık, Y105:BF105,
  _xlpm.ilk, MATCH(TRUE, _xlpm.aralık&lt;&gt;0, 0),
  _xlpm.son, MIN(_xlpm.ilk+2, COLUMNS(_xlpm.aralık)),
  MAX(INDEX(_xlpm.aralık, _xlpm.ilk):INDEX(_xlpm.aralık, _xlpm.son))
)</f>
        <v>325.21680957559249</v>
      </c>
      <c r="E105" s="6">
        <f t="shared" si="13"/>
        <v>350.81028189795757</v>
      </c>
      <c r="F105" s="6">
        <f t="shared" si="14"/>
        <v>1378.5288159864406</v>
      </c>
      <c r="G105" s="6">
        <f t="shared" si="21"/>
        <v>1343.3560717608534</v>
      </c>
      <c r="H105" s="7">
        <f t="shared" si="15"/>
        <v>7.8696646571757845E-2</v>
      </c>
      <c r="I105" s="7">
        <f t="shared" si="16"/>
        <v>3.2387993959642452</v>
      </c>
      <c r="J105" s="7">
        <f t="shared" si="17"/>
        <v>2.9295564785852601</v>
      </c>
      <c r="K105" s="7">
        <f t="shared" si="22"/>
        <v>3.1306477162540625</v>
      </c>
      <c r="L105" s="5" t="s">
        <v>412</v>
      </c>
      <c r="M105" s="7">
        <f>IF(R105="",(VLOOKUP(A105,[1]Export!$B$2:$H$680,7,0)),"CHURN")</f>
        <v>0.13144958418613137</v>
      </c>
      <c r="N105" s="5">
        <f t="shared" si="23"/>
        <v>1166.7724747139744</v>
      </c>
      <c r="O105" s="5">
        <f t="shared" si="24"/>
        <v>304.69641621425149</v>
      </c>
      <c r="P105" s="5">
        <f t="shared" si="25"/>
        <v>1197.321776336423</v>
      </c>
      <c r="Q105" s="5" t="s">
        <v>430</v>
      </c>
      <c r="T105" s="6" t="str" cm="1">
        <f t="array" ref="T105">IF(R105&lt;&gt;"Churn","",
 _xlfn.LET(
   _xlpm.rng,Y105:BF105,
   _xlpm.pos,MAX(IF((_xlpm.rng&lt;&gt;0)*(_xlpm.rng&lt;&gt;""),COLUMN(_xlpm.rng)-COLUMN(Y105)+1)),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5" s="6" t="str" cm="1">
        <f t="array" ref="U105">IF(R105="Churn",
   MAX(IF((Y105:BF105&lt;&gt;"")*(Y105:BF105&lt;&gt;0), COLUMN(Y105:BF105)-COLUMN(Y105)+1))
   -MATCH(1, --((Y105:BF105&lt;&gt;"")*(Y105:BF105&lt;&gt;0)), 0)
   +1,
"")</f>
        <v/>
      </c>
      <c r="V105" s="6" t="str" cm="1">
        <f t="array" ref="V105">IFERROR(
    IF(
        MATCH(2,1/((Y105:BF105&lt;&gt;0)*(Y105:BF105&lt;&gt;"")))-MATCH(1,INDEX((Y105:BF105&lt;&gt;0)*(Y105:BF105&lt;&gt;""),0),0)+1 &lt;= 12,
        "No",
        "Yes"
    ),
    "No"
)</f>
        <v>Yes</v>
      </c>
      <c r="W105" s="6" t="str" cm="1">
        <f t="array" ref="W105">IFERROR(
    IF(
        MATCH(2,1/((Y105:BF105&lt;&gt;0)*(Y105:BF105&lt;&gt;"")))-MATCH(1,INDEX((Y105:BF105&lt;&gt;0)*(Y105:BF105&lt;&gt;""),0),0)+1 &lt;= 24,
        "No",
        "Yes"
    ),
    "No"
)</f>
        <v>Yes</v>
      </c>
      <c r="Y105" s="8">
        <v>0</v>
      </c>
      <c r="Z105" s="8">
        <v>0</v>
      </c>
      <c r="AA105" s="8">
        <v>0</v>
      </c>
      <c r="AB105" s="8">
        <v>0</v>
      </c>
      <c r="AC105" s="8">
        <v>325.21680957559249</v>
      </c>
      <c r="AD105" s="8">
        <v>273.49520695873645</v>
      </c>
      <c r="AE105" s="8">
        <v>262.82826571382043</v>
      </c>
      <c r="AF105" s="8">
        <v>257.85573613283645</v>
      </c>
      <c r="AG105" s="8">
        <v>257.61644285486261</v>
      </c>
      <c r="AH105" s="8">
        <v>249.67618177847703</v>
      </c>
      <c r="AI105" s="8">
        <v>242.80274706205461</v>
      </c>
      <c r="AJ105" s="8">
        <v>239.01962917552083</v>
      </c>
      <c r="AK105" s="8">
        <v>231.403747103288</v>
      </c>
      <c r="AL105" s="8">
        <v>226.08683286530581</v>
      </c>
      <c r="AM105" s="8">
        <v>217.43101550212734</v>
      </c>
      <c r="AN105" s="8">
        <v>215.26542570713386</v>
      </c>
      <c r="AO105" s="8">
        <v>350.81028189795757</v>
      </c>
      <c r="AP105" s="8">
        <v>347.83933431688399</v>
      </c>
      <c r="AQ105" s="8">
        <v>343.81007014147019</v>
      </c>
      <c r="AR105" s="8">
        <v>336.40860762095406</v>
      </c>
      <c r="AS105" s="8">
        <v>332.55707706849938</v>
      </c>
      <c r="AT105" s="8">
        <v>1230.4913800834076</v>
      </c>
      <c r="AU105" s="8">
        <v>1228.6695918915341</v>
      </c>
      <c r="AV105" s="8">
        <v>1223.5589984105688</v>
      </c>
      <c r="AW105" s="8">
        <v>1218.6813233047662</v>
      </c>
      <c r="AX105" s="8">
        <v>1215.0033842775797</v>
      </c>
      <c r="AY105" s="8">
        <v>1207.1926250756355</v>
      </c>
      <c r="AZ105" s="8">
        <v>1197.0981306129993</v>
      </c>
      <c r="BA105" s="8">
        <v>1378.5288159864406</v>
      </c>
      <c r="BB105" s="8">
        <v>1370.4041415332761</v>
      </c>
      <c r="BC105" s="8">
        <v>1361.355654069569</v>
      </c>
      <c r="BD105" s="8">
        <v>1354.2503423057929</v>
      </c>
      <c r="BE105" s="8">
        <v>1348.7517916822917</v>
      </c>
      <c r="BF105" s="8">
        <v>1343.3560717608534</v>
      </c>
      <c r="BH105" s="8">
        <f t="shared" si="18"/>
        <v>2108.511019251901</v>
      </c>
      <c r="BI105" s="8">
        <f t="shared" si="19"/>
        <v>6284.3323626091305</v>
      </c>
      <c r="BJ105" s="8">
        <f t="shared" si="20"/>
        <v>12994.622280609205</v>
      </c>
    </row>
    <row r="106" spans="1:62" x14ac:dyDescent="0.25">
      <c r="A106" s="9" t="s">
        <v>15</v>
      </c>
      <c r="B106" s="9" t="s">
        <v>644</v>
      </c>
      <c r="C106" s="10">
        <v>44927</v>
      </c>
      <c r="D106" s="6" cm="1">
        <f t="array" ref="D106">_xlfn.LET(
  _xlpm.aralık, Y106:BF106,
  _xlpm.ilk, MATCH(TRUE, _xlpm.aralık&lt;&gt;0, 0),
  _xlpm.son, MIN(_xlpm.ilk+2, COLUMNS(_xlpm.aralık)),
  MAX(INDEX(_xlpm.aralık, _xlpm.ilk):INDEX(_xlpm.aralık, _xlpm.son))
)</f>
        <v>1512.7885564474573</v>
      </c>
      <c r="E106" s="6">
        <f t="shared" si="13"/>
        <v>1816.6412488454832</v>
      </c>
      <c r="F106" s="6">
        <f t="shared" si="14"/>
        <v>3210.5949264892624</v>
      </c>
      <c r="G106" s="6">
        <f t="shared" si="21"/>
        <v>1342.2685681585847</v>
      </c>
      <c r="H106" s="7">
        <f t="shared" si="15"/>
        <v>0.20085602254394069</v>
      </c>
      <c r="I106" s="7">
        <f t="shared" si="16"/>
        <v>1.122302494162722</v>
      </c>
      <c r="J106" s="7">
        <f t="shared" si="17"/>
        <v>0.76732468699016299</v>
      </c>
      <c r="K106" s="7">
        <f t="shared" si="22"/>
        <v>-0.11271898347070498</v>
      </c>
      <c r="L106" s="5" t="s">
        <v>417</v>
      </c>
      <c r="M106" s="7">
        <f>IF(R106="",(VLOOKUP(A106,[1]Export!$B$2:$H$680,7,0)),"CHURN")</f>
        <v>0.12905418278426833</v>
      </c>
      <c r="N106" s="5">
        <f t="shared" si="23"/>
        <v>1169.0431950178686</v>
      </c>
      <c r="O106" s="5">
        <f t="shared" si="24"/>
        <v>1582.1960970635366</v>
      </c>
      <c r="P106" s="5">
        <f t="shared" si="25"/>
        <v>2796.2542219998722</v>
      </c>
      <c r="Q106" s="5" t="str">
        <f>VLOOKUP(A106,[4]Sheet2!$A$1:$B$142,2,0)</f>
        <v>BOOKED CHURN</v>
      </c>
      <c r="T106" s="6" t="str" cm="1">
        <f t="array" ref="T106">IF(R106&lt;&gt;"Churn","",
 _xlfn.LET(
   _xlpm.rng,Y106:BF106,
   _xlpm.pos,MAX(IF((_xlpm.rng&lt;&gt;0)*(_xlpm.rng&lt;&gt;""),COLUMN(_xlpm.rng)-COLUMN(Y106)+1)),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6" s="6" t="str" cm="1">
        <f t="array" ref="U106">IF(R106="Churn",
   MAX(IF((Y106:BF106&lt;&gt;"")*(Y106:BF106&lt;&gt;0), COLUMN(Y106:BF106)-COLUMN(Y106)+1))
   -MATCH(1, --((Y106:BF106&lt;&gt;"")*(Y106:BF106&lt;&gt;0)), 0)
   +1,
"")</f>
        <v/>
      </c>
      <c r="V106" s="6" t="str" cm="1">
        <f t="array" ref="V106">IFERROR(
    IF(
        MATCH(2,1/((Y106:BF106&lt;&gt;0)*(Y106:BF106&lt;&gt;"")))-MATCH(1,INDEX((Y106:BF106&lt;&gt;0)*(Y106:BF106&lt;&gt;""),0),0)+1 &lt;= 12,
        "No",
        "Yes"
    ),
    "No"
)</f>
        <v>Yes</v>
      </c>
      <c r="W106" s="6" t="str" cm="1">
        <f t="array" ref="W106">IFERROR(
    IF(
        MATCH(2,1/((Y106:BF106&lt;&gt;0)*(Y106:BF106&lt;&gt;"")))-MATCH(1,INDEX((Y106:BF106&lt;&gt;0)*(Y106:BF106&lt;&gt;""),0),0)+1 &lt;= 24,
        "No",
        "Yes"
    ),
    "No"
)</f>
        <v>Yes</v>
      </c>
      <c r="Y106" s="8">
        <v>857.84421029624218</v>
      </c>
      <c r="Z106" s="8">
        <v>1512.7885564474573</v>
      </c>
      <c r="AA106" s="8">
        <v>1503.531376726379</v>
      </c>
      <c r="AB106" s="8">
        <v>1481.3228124789573</v>
      </c>
      <c r="AC106" s="8">
        <v>1592.1030060673199</v>
      </c>
      <c r="AD106" s="8">
        <v>1400.5341508409972</v>
      </c>
      <c r="AE106" s="8">
        <v>1232.2795869737288</v>
      </c>
      <c r="AF106" s="8">
        <v>1215.2951621257105</v>
      </c>
      <c r="AG106" s="8">
        <v>1214.477819839417</v>
      </c>
      <c r="AH106" s="8">
        <v>1187.356660411577</v>
      </c>
      <c r="AI106" s="8">
        <v>1163.879407337954</v>
      </c>
      <c r="AJ106" s="8">
        <v>1150.9572697716228</v>
      </c>
      <c r="AK106" s="8">
        <v>1816.6412488454832</v>
      </c>
      <c r="AL106" s="8">
        <v>1784.8496207999688</v>
      </c>
      <c r="AM106" s="8">
        <v>1733.0935619803124</v>
      </c>
      <c r="AN106" s="8">
        <v>1720.1447683417446</v>
      </c>
      <c r="AO106" s="8">
        <v>1722.0159611710801</v>
      </c>
      <c r="AP106" s="8">
        <v>1711.1019216198404</v>
      </c>
      <c r="AQ106" s="8">
        <v>1696.2967809205459</v>
      </c>
      <c r="AR106" s="8">
        <v>1669.1008242331088</v>
      </c>
      <c r="AS106" s="8">
        <v>1654.9487485055683</v>
      </c>
      <c r="AT106" s="8">
        <v>1735.1871470002079</v>
      </c>
      <c r="AU106" s="8">
        <v>1736.0092212770044</v>
      </c>
      <c r="AV106" s="8">
        <v>3251.1938529287045</v>
      </c>
      <c r="AW106" s="8">
        <v>3210.5949264892624</v>
      </c>
      <c r="AX106" s="8">
        <v>3724.9455854672069</v>
      </c>
      <c r="AY106" s="8">
        <v>3659.9333754701347</v>
      </c>
      <c r="AZ106" s="8">
        <v>3592.0601133814894</v>
      </c>
      <c r="BA106" s="8">
        <v>3550.6027123775561</v>
      </c>
      <c r="BB106" s="8">
        <v>3509.3205699829828</v>
      </c>
      <c r="BC106" s="8">
        <v>3463.3444573294141</v>
      </c>
      <c r="BD106" s="8">
        <v>3427.2417810091606</v>
      </c>
      <c r="BE106" s="8">
        <v>3399.3031908402045</v>
      </c>
      <c r="BF106" s="8">
        <v>1342.2685681585847</v>
      </c>
      <c r="BH106" s="8">
        <f t="shared" si="18"/>
        <v>15512.370019317363</v>
      </c>
      <c r="BI106" s="8">
        <f t="shared" si="19"/>
        <v>22230.583657623567</v>
      </c>
      <c r="BJ106" s="8">
        <f t="shared" si="20"/>
        <v>32879.615280505997</v>
      </c>
    </row>
    <row r="107" spans="1:62" x14ac:dyDescent="0.25">
      <c r="A107" s="9" t="s">
        <v>448</v>
      </c>
      <c r="B107" s="9" t="s">
        <v>644</v>
      </c>
      <c r="C107" s="10">
        <f>VLOOKUP(A107,'[2]Revenue_Engine_2025 Oct.25'!$C$14:G$3937,5,0)</f>
        <v>45474</v>
      </c>
      <c r="D107" s="6" cm="1">
        <f t="array" ref="D107">_xlfn.LET(
  _xlpm.aralık, Y107:BF107,
  _xlpm.ilk, MATCH(TRUE, _xlpm.aralık&lt;&gt;0, 0),
  _xlpm.son, MIN(_xlpm.ilk+2, COLUMNS(_xlpm.aralık)),
  MAX(INDEX(_xlpm.aralık, _xlpm.ilk):INDEX(_xlpm.aralık, _xlpm.son))
)</f>
        <v>977.31966823254993</v>
      </c>
      <c r="E107" s="6">
        <f t="shared" si="13"/>
        <v>1364.8119275621971</v>
      </c>
      <c r="F107" s="6">
        <f t="shared" si="14"/>
        <v>0</v>
      </c>
      <c r="G107" s="6">
        <f t="shared" si="21"/>
        <v>1335.6234086923596</v>
      </c>
      <c r="H107" s="7">
        <f t="shared" si="15"/>
        <v>0.39648466302782381</v>
      </c>
      <c r="I107" s="7">
        <f t="shared" si="16"/>
        <v>-1</v>
      </c>
      <c r="J107" s="7">
        <f t="shared" si="17"/>
        <v>-1</v>
      </c>
      <c r="K107" s="7">
        <f t="shared" si="22"/>
        <v>0.3666187759300803</v>
      </c>
      <c r="L107" s="5" t="s">
        <v>422</v>
      </c>
      <c r="M107" s="7">
        <f>IF(R107="",(VLOOKUP(A107,[1]Export!$B$2:$H$680,7,0)),"CHURN")</f>
        <v>0.45869137205957394</v>
      </c>
      <c r="N107" s="5">
        <f t="shared" si="23"/>
        <v>722.98447480437596</v>
      </c>
      <c r="O107" s="5">
        <f t="shared" si="24"/>
        <v>738.78447190542101</v>
      </c>
      <c r="P107" s="5">
        <f t="shared" si="25"/>
        <v>0</v>
      </c>
      <c r="Q107" s="5" t="s">
        <v>430</v>
      </c>
      <c r="T107" s="6" t="str" cm="1">
        <f t="array" ref="T107">IF(R107&lt;&gt;"Churn","",
 _xlfn.LET(
   _xlpm.rng,Y107:BF107,
   _xlpm.pos,MAX(IF((_xlpm.rng&lt;&gt;0)*(_xlpm.rng&lt;&gt;""),COLUMN(_xlpm.rng)-COLUMN(Y107)+1)),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7" s="6" t="str" cm="1">
        <f t="array" ref="U107">IF(R107="Churn",
   MAX(IF((Y107:BF107&lt;&gt;"")*(Y107:BF107&lt;&gt;0), COLUMN(Y107:BF107)-COLUMN(Y107)+1))
   -MATCH(1, --((Y107:BF107&lt;&gt;"")*(Y107:BF107&lt;&gt;0)), 0)
   +1,
"")</f>
        <v/>
      </c>
      <c r="V107" s="6" t="str" cm="1">
        <f t="array" ref="V107">IFERROR(
    IF(
        MATCH(2,1/((Y107:BF107&lt;&gt;0)*(Y107:BF107&lt;&gt;"")))-MATCH(1,INDEX((Y107:BF107&lt;&gt;0)*(Y107:BF107&lt;&gt;""),0),0)+1 &lt;= 12,
        "No",
        "Yes"
    ),
    "No"
)</f>
        <v>Yes</v>
      </c>
      <c r="W107" s="6" t="str" cm="1">
        <f t="array" ref="W107">IFERROR(
    IF(
        MATCH(2,1/((Y107:BF107&lt;&gt;0)*(Y107:BF107&lt;&gt;"")))-MATCH(1,INDEX((Y107:BF107&lt;&gt;0)*(Y107:BF107&lt;&gt;""),0),0)+1 &lt;= 24,
        "No",
        "Yes"
    ),
    "No"
)</f>
        <v>No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977.31966823254993</v>
      </c>
      <c r="AM107" s="8">
        <v>939.90262608793728</v>
      </c>
      <c r="AN107" s="8">
        <v>930.54129587180864</v>
      </c>
      <c r="AO107" s="8">
        <v>931.89407470684159</v>
      </c>
      <c r="AP107" s="8">
        <v>924.00376993538134</v>
      </c>
      <c r="AQ107" s="8">
        <v>1529.9670602991362</v>
      </c>
      <c r="AR107" s="8">
        <v>1510.3057437162279</v>
      </c>
      <c r="AS107" s="8">
        <v>1500.074500727339</v>
      </c>
      <c r="AT107" s="8">
        <v>1494.6118068013434</v>
      </c>
      <c r="AU107" s="8">
        <v>1489.7723910388308</v>
      </c>
      <c r="AV107" s="8">
        <v>1476.1965611163955</v>
      </c>
      <c r="AW107" s="8">
        <v>1463.2394578171591</v>
      </c>
      <c r="AX107" s="8">
        <v>1448.3159102816796</v>
      </c>
      <c r="AY107" s="8">
        <v>1427.5673340379158</v>
      </c>
      <c r="AZ107" s="8">
        <v>1405.9056561250645</v>
      </c>
      <c r="BA107" s="8">
        <v>1392.6745716005248</v>
      </c>
      <c r="BB107" s="8">
        <v>1379.499420670903</v>
      </c>
      <c r="BC107" s="8">
        <v>1364.8119275621971</v>
      </c>
      <c r="BD107" s="8">
        <v>1353.2897976074019</v>
      </c>
      <c r="BE107" s="8">
        <v>1344.3732268849183</v>
      </c>
      <c r="BF107" s="8">
        <v>1335.6234086923596</v>
      </c>
      <c r="BH107" s="8">
        <f t="shared" si="18"/>
        <v>0</v>
      </c>
      <c r="BI107" s="8">
        <f t="shared" si="19"/>
        <v>13704.589498533793</v>
      </c>
      <c r="BJ107" s="8">
        <f t="shared" si="20"/>
        <v>13915.300711280124</v>
      </c>
    </row>
    <row r="108" spans="1:62" x14ac:dyDescent="0.25">
      <c r="A108" s="9" t="s">
        <v>160</v>
      </c>
      <c r="B108" s="9" t="s">
        <v>644</v>
      </c>
      <c r="C108" s="10">
        <v>44927</v>
      </c>
      <c r="D108" s="6" cm="1">
        <f t="array" ref="D108">_xlfn.LET(
  _xlpm.aralık, Y108:BF108,
  _xlpm.ilk, MATCH(TRUE, _xlpm.aralık&lt;&gt;0, 0),
  _xlpm.son, MIN(_xlpm.ilk+2, COLUMNS(_xlpm.aralık)),
  MAX(INDEX(_xlpm.aralık, _xlpm.ilk):INDEX(_xlpm.aralık, _xlpm.son))
)</f>
        <v>1049</v>
      </c>
      <c r="E108" s="6">
        <f t="shared" si="13"/>
        <v>1058</v>
      </c>
      <c r="F108" s="6">
        <f t="shared" si="14"/>
        <v>1322.2990933333333</v>
      </c>
      <c r="G108" s="6">
        <f t="shared" si="21"/>
        <v>1322.2990933333333</v>
      </c>
      <c r="H108" s="7">
        <f t="shared" si="15"/>
        <v>8.5795996186844616E-3</v>
      </c>
      <c r="I108" s="7">
        <f t="shared" si="16"/>
        <v>0.26053297743883058</v>
      </c>
      <c r="J108" s="7">
        <f t="shared" si="17"/>
        <v>0.24981010712035284</v>
      </c>
      <c r="K108" s="7">
        <f t="shared" si="22"/>
        <v>0.26053297743883058</v>
      </c>
      <c r="L108" s="5" t="s">
        <v>418</v>
      </c>
      <c r="M108" s="7">
        <f>IF(R108="",(VLOOKUP(A108,[1]Export!$B$2:$H$680,7,0)),"CHURN")</f>
        <v>0.10748702824994751</v>
      </c>
      <c r="N108" s="5">
        <f t="shared" si="23"/>
        <v>1180.1690933333334</v>
      </c>
      <c r="O108" s="5">
        <f t="shared" si="24"/>
        <v>944.27872411155556</v>
      </c>
      <c r="P108" s="5">
        <f t="shared" si="25"/>
        <v>1180.1690933333334</v>
      </c>
      <c r="Q108" s="5" t="s">
        <v>430</v>
      </c>
      <c r="T108" s="6" t="str" cm="1">
        <f t="array" ref="T108">IF(R108&lt;&gt;"Churn","",
 _xlfn.LET(
   _xlpm.rng,Y108:BF108,
   _xlpm.pos,MAX(IF((_xlpm.rng&lt;&gt;0)*(_xlpm.rng&lt;&gt;""),COLUMN(_xlpm.rng)-COLUMN(Y108)+1)),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8" s="6" t="str" cm="1">
        <f t="array" ref="U108">IF(R108="Churn",
   MAX(IF((Y108:BF108&lt;&gt;"")*(Y108:BF108&lt;&gt;0), COLUMN(Y108:BF108)-COLUMN(Y108)+1))
   -MATCH(1, --((Y108:BF108&lt;&gt;"")*(Y108:BF108&lt;&gt;0)), 0)
   +1,
"")</f>
        <v/>
      </c>
      <c r="V108" s="6" t="str" cm="1">
        <f t="array" ref="V108">IFERROR(
    IF(
        MATCH(2,1/((Y108:BF108&lt;&gt;0)*(Y108:BF108&lt;&gt;"")))-MATCH(1,INDEX((Y108:BF108&lt;&gt;0)*(Y108:BF108&lt;&gt;""),0),0)+1 &lt;= 12,
        "No",
        "Yes"
    ),
    "No"
)</f>
        <v>Yes</v>
      </c>
      <c r="W108" s="6" t="str" cm="1">
        <f t="array" ref="W108">IFERROR(
    IF(
        MATCH(2,1/((Y108:BF108&lt;&gt;0)*(Y108:BF108&lt;&gt;"")))-MATCH(1,INDEX((Y108:BF108&lt;&gt;0)*(Y108:BF108&lt;&gt;""),0),0)+1 &lt;= 24,
        "No",
        "Yes"
    ),
    "No"
)</f>
        <v>Yes</v>
      </c>
      <c r="Y108" s="8">
        <v>1000</v>
      </c>
      <c r="Z108" s="8">
        <v>1000</v>
      </c>
      <c r="AA108" s="8">
        <v>1049</v>
      </c>
      <c r="AB108" s="8">
        <v>1076</v>
      </c>
      <c r="AC108" s="8">
        <v>1058</v>
      </c>
      <c r="AD108" s="8">
        <v>1058</v>
      </c>
      <c r="AE108" s="8">
        <v>1058</v>
      </c>
      <c r="AF108" s="8">
        <v>1058</v>
      </c>
      <c r="AG108" s="8">
        <v>1058</v>
      </c>
      <c r="AH108" s="8">
        <v>1058</v>
      </c>
      <c r="AI108" s="8">
        <v>1058</v>
      </c>
      <c r="AJ108" s="8">
        <v>1058</v>
      </c>
      <c r="AK108" s="8">
        <v>1058</v>
      </c>
      <c r="AL108" s="8">
        <v>1058</v>
      </c>
      <c r="AM108" s="8">
        <v>1058</v>
      </c>
      <c r="AN108" s="8">
        <v>1083</v>
      </c>
      <c r="AO108" s="8">
        <v>1083</v>
      </c>
      <c r="AP108" s="8">
        <v>1083</v>
      </c>
      <c r="AQ108" s="8">
        <v>1083</v>
      </c>
      <c r="AR108" s="8">
        <v>1083</v>
      </c>
      <c r="AS108" s="8">
        <v>1083</v>
      </c>
      <c r="AT108" s="8">
        <v>1085.474666666667</v>
      </c>
      <c r="AU108" s="8">
        <v>1085.474666666667</v>
      </c>
      <c r="AV108" s="8">
        <v>1085.474666666667</v>
      </c>
      <c r="AW108" s="8">
        <v>1322.2990933333333</v>
      </c>
      <c r="AX108" s="8">
        <v>1322.2990933333333</v>
      </c>
      <c r="AY108" s="8">
        <v>1322.2990933333333</v>
      </c>
      <c r="AZ108" s="8">
        <v>1322.2990933333333</v>
      </c>
      <c r="BA108" s="8">
        <v>1322.2990933333333</v>
      </c>
      <c r="BB108" s="8">
        <v>1322.2990933333333</v>
      </c>
      <c r="BC108" s="8">
        <v>1322.2990933333333</v>
      </c>
      <c r="BD108" s="8">
        <v>1322.2990933333333</v>
      </c>
      <c r="BE108" s="8">
        <v>1322.2990933333333</v>
      </c>
      <c r="BF108" s="8">
        <v>1322.2990933333333</v>
      </c>
      <c r="BH108" s="8">
        <f t="shared" si="18"/>
        <v>12589</v>
      </c>
      <c r="BI108" s="8">
        <f t="shared" si="19"/>
        <v>12928.424000000001</v>
      </c>
      <c r="BJ108" s="8">
        <f t="shared" si="20"/>
        <v>13222.990933333333</v>
      </c>
    </row>
    <row r="109" spans="1:62" x14ac:dyDescent="0.25">
      <c r="A109" s="9" t="s">
        <v>78</v>
      </c>
      <c r="B109" s="9" t="s">
        <v>644</v>
      </c>
      <c r="C109" s="10">
        <v>44927</v>
      </c>
      <c r="D109" s="6" cm="1">
        <f t="array" ref="D109">_xlfn.LET(
  _xlpm.aralık, Y109:BF109,
  _xlpm.ilk, MATCH(TRUE, _xlpm.aralık&lt;&gt;0, 0),
  _xlpm.son, MIN(_xlpm.ilk+2, COLUMNS(_xlpm.aralık)),
  MAX(INDEX(_xlpm.aralık, _xlpm.ilk):INDEX(_xlpm.aralık, _xlpm.son))
)</f>
        <v>435.05544979460109</v>
      </c>
      <c r="E109" s="6">
        <f t="shared" si="13"/>
        <v>1225.0886969007331</v>
      </c>
      <c r="F109" s="6">
        <f t="shared" si="14"/>
        <v>1311.0323825319863</v>
      </c>
      <c r="G109" s="6">
        <f t="shared" si="21"/>
        <v>1321.6156622030085</v>
      </c>
      <c r="H109" s="7">
        <f t="shared" si="15"/>
        <v>1.8159369052361565</v>
      </c>
      <c r="I109" s="7">
        <f t="shared" si="16"/>
        <v>2.0134834149324008</v>
      </c>
      <c r="J109" s="7">
        <f t="shared" si="17"/>
        <v>7.0153031244738553E-2</v>
      </c>
      <c r="K109" s="7">
        <f t="shared" si="22"/>
        <v>2.0378096925965901</v>
      </c>
      <c r="L109" s="5" t="s">
        <v>412</v>
      </c>
      <c r="M109" s="7">
        <f>IF(R109="",(VLOOKUP(A109,[1]Export!$B$2:$H$680,7,0)),"CHURN")</f>
        <v>1.7168981764550624E-2</v>
      </c>
      <c r="N109" s="5">
        <f t="shared" si="23"/>
        <v>1298.9248669989006</v>
      </c>
      <c r="O109" s="5">
        <f t="shared" si="24"/>
        <v>1204.0551714036874</v>
      </c>
      <c r="P109" s="5">
        <f t="shared" si="25"/>
        <v>1288.5232914635592</v>
      </c>
      <c r="Q109" s="5" t="str">
        <f>VLOOKUP(A109,[4]Sheet2!$A$1:$B$142,2,0)</f>
        <v>NO RISK</v>
      </c>
      <c r="T109" s="6" t="str" cm="1">
        <f t="array" ref="T109">IF(R109&lt;&gt;"Churn","",
 _xlfn.LET(
   _xlpm.rng,Y109:BF109,
   _xlpm.pos,MAX(IF((_xlpm.rng&lt;&gt;0)*(_xlpm.rng&lt;&gt;""),COLUMN(_xlpm.rng)-COLUMN(Y109)+1)),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09" s="6" t="str" cm="1">
        <f t="array" ref="U109">IF(R109="Churn",
   MAX(IF((Y109:BF109&lt;&gt;"")*(Y109:BF109&lt;&gt;0), COLUMN(Y109:BF109)-COLUMN(Y109)+1))
   -MATCH(1, --((Y109:BF109&lt;&gt;"")*(Y109:BF109&lt;&gt;0)), 0)
   +1,
"")</f>
        <v/>
      </c>
      <c r="V109" s="6" t="str" cm="1">
        <f t="array" ref="V109">IFERROR(
    IF(
        MATCH(2,1/((Y109:BF109&lt;&gt;0)*(Y109:BF109&lt;&gt;"")))-MATCH(1,INDEX((Y109:BF109&lt;&gt;0)*(Y109:BF109&lt;&gt;""),0),0)+1 &lt;= 12,
        "No",
        "Yes"
    ),
    "No"
)</f>
        <v>Yes</v>
      </c>
      <c r="W109" s="6" t="str" cm="1">
        <f t="array" ref="W109">IFERROR(
    IF(
        MATCH(2,1/((Y109:BF109&lt;&gt;0)*(Y109:BF109&lt;&gt;"")))-MATCH(1,INDEX((Y109:BF109&lt;&gt;0)*(Y109:BF109&lt;&gt;""),0),0)+1 &lt;= 24,
        "No",
        "Yes"
    ),
    "No"
)</f>
        <v>Yes</v>
      </c>
      <c r="Y109" s="8">
        <v>293.20354189878617</v>
      </c>
      <c r="Z109" s="8">
        <v>292.18485207477806</v>
      </c>
      <c r="AA109" s="8">
        <v>435.05544979460109</v>
      </c>
      <c r="AB109" s="8">
        <v>427.32607828613754</v>
      </c>
      <c r="AC109" s="8">
        <v>419.22447594414399</v>
      </c>
      <c r="AD109" s="8">
        <v>352.5521480889542</v>
      </c>
      <c r="AE109" s="8">
        <v>312.43972971130569</v>
      </c>
      <c r="AF109" s="8">
        <v>306.52858543599496</v>
      </c>
      <c r="AG109" s="8">
        <v>1256.2493011583597</v>
      </c>
      <c r="AH109" s="8">
        <v>1246.8102363842368</v>
      </c>
      <c r="AI109" s="8">
        <v>1238.6393721160623</v>
      </c>
      <c r="AJ109" s="8">
        <v>1234.1421528891865</v>
      </c>
      <c r="AK109" s="8">
        <v>1225.0886969007331</v>
      </c>
      <c r="AL109" s="8">
        <v>1218.7681619198336</v>
      </c>
      <c r="AM109" s="8">
        <v>1208.4784724526946</v>
      </c>
      <c r="AN109" s="8">
        <v>1205.9041059233728</v>
      </c>
      <c r="AO109" s="8">
        <v>1206.2761202070355</v>
      </c>
      <c r="AP109" s="8">
        <v>1204.1062857881197</v>
      </c>
      <c r="AQ109" s="8">
        <v>1201.1628564817292</v>
      </c>
      <c r="AR109" s="8">
        <v>1195.7559929094741</v>
      </c>
      <c r="AS109" s="8">
        <v>1192.9424003007473</v>
      </c>
      <c r="AT109" s="8">
        <v>1191.4401590510172</v>
      </c>
      <c r="AU109" s="8">
        <v>1190.1093193441752</v>
      </c>
      <c r="AV109" s="8">
        <v>1186.3759650715242</v>
      </c>
      <c r="AW109" s="8">
        <v>1311.0323825319863</v>
      </c>
      <c r="AX109" s="8">
        <v>1304.6681257253006</v>
      </c>
      <c r="AY109" s="8">
        <v>1295.8197425057965</v>
      </c>
      <c r="AZ109" s="8">
        <v>1286.5819603515638</v>
      </c>
      <c r="BA109" s="8">
        <v>1280.9394668663558</v>
      </c>
      <c r="BB109" s="8">
        <v>1340.3208266748322</v>
      </c>
      <c r="BC109" s="8">
        <v>1334.0633211428685</v>
      </c>
      <c r="BD109" s="8">
        <v>1329.1496239259041</v>
      </c>
      <c r="BE109" s="8">
        <v>1325.3470866419273</v>
      </c>
      <c r="BF109" s="8">
        <v>1321.6156622030085</v>
      </c>
      <c r="BH109" s="8">
        <f t="shared" si="18"/>
        <v>7814.3559237825466</v>
      </c>
      <c r="BI109" s="8">
        <f t="shared" si="19"/>
        <v>14426.40853635046</v>
      </c>
      <c r="BJ109" s="8">
        <f t="shared" si="20"/>
        <v>13129.53819856954</v>
      </c>
    </row>
    <row r="110" spans="1:62" x14ac:dyDescent="0.25">
      <c r="A110" s="9" t="s">
        <v>343</v>
      </c>
      <c r="B110" s="9" t="s">
        <v>644</v>
      </c>
      <c r="C110" s="10">
        <f>VLOOKUP(A110,'[2]Revenue_Engine_2025 Oct.25'!$C$14:G$3937,5,0)</f>
        <v>44989</v>
      </c>
      <c r="D110" s="6" cm="1">
        <f t="array" ref="D110">_xlfn.LET(
  _xlpm.aralık, Y110:BF110,
  _xlpm.ilk, MATCH(TRUE, _xlpm.aralık&lt;&gt;0, 0),
  _xlpm.son, MIN(_xlpm.ilk+2, COLUMNS(_xlpm.aralık)),
  MAX(INDEX(_xlpm.aralık, _xlpm.ilk):INDEX(_xlpm.aralık, _xlpm.son))
)</f>
        <v>342.77096044423115</v>
      </c>
      <c r="E110" s="6">
        <f t="shared" si="13"/>
        <v>405.95387665971145</v>
      </c>
      <c r="F110" s="6">
        <f t="shared" si="14"/>
        <v>1229.6315501717756</v>
      </c>
      <c r="G110" s="6">
        <f t="shared" si="21"/>
        <v>1317.9063532352498</v>
      </c>
      <c r="H110" s="7">
        <f t="shared" si="15"/>
        <v>0.18432983976704226</v>
      </c>
      <c r="I110" s="7">
        <f t="shared" si="16"/>
        <v>2.5873270844711382</v>
      </c>
      <c r="J110" s="7">
        <f t="shared" si="17"/>
        <v>2.0289932449703083</v>
      </c>
      <c r="K110" s="7">
        <f t="shared" si="22"/>
        <v>2.8448599949285178</v>
      </c>
      <c r="L110" s="5" t="s">
        <v>420</v>
      </c>
      <c r="M110" s="7">
        <f>IF(R110="",(VLOOKUP(A110,[1]Export!$B$2:$H$680,7,0)),"CHURN")</f>
        <v>0.18036019668232775</v>
      </c>
      <c r="N110" s="5">
        <f t="shared" si="23"/>
        <v>1080.2085041568507</v>
      </c>
      <c r="O110" s="5">
        <f t="shared" si="24"/>
        <v>332.73595562141247</v>
      </c>
      <c r="P110" s="5">
        <f t="shared" si="25"/>
        <v>1007.8549619359986</v>
      </c>
      <c r="Q110" s="5" t="s">
        <v>430</v>
      </c>
      <c r="T110" s="6" t="str" cm="1">
        <f t="array" ref="T110">IF(R110&lt;&gt;"Churn","",
 _xlfn.LET(
   _xlpm.rng,Y110:BF110,
   _xlpm.pos,MAX(IF((_xlpm.rng&lt;&gt;0)*(_xlpm.rng&lt;&gt;""),COLUMN(_xlpm.rng)-COLUMN(Y110)+1)),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0" s="6" t="str" cm="1">
        <f t="array" ref="U110">IF(R110="Churn",
   MAX(IF((Y110:BF110&lt;&gt;"")*(Y110:BF110&lt;&gt;0), COLUMN(Y110:BF110)-COLUMN(Y110)+1))
   -MATCH(1, --((Y110:BF110&lt;&gt;"")*(Y110:BF110&lt;&gt;0)), 0)
   +1,
"")</f>
        <v/>
      </c>
      <c r="V110" s="6" t="str" cm="1">
        <f t="array" ref="V110">IFERROR(
    IF(
        MATCH(2,1/((Y110:BF110&lt;&gt;0)*(Y110:BF110&lt;&gt;"")))-MATCH(1,INDEX((Y110:BF110&lt;&gt;0)*(Y110:BF110&lt;&gt;""),0),0)+1 &lt;= 12,
        "No",
        "Yes"
    ),
    "No"
)</f>
        <v>Yes</v>
      </c>
      <c r="W110" s="6" t="str" cm="1">
        <f t="array" ref="W110">IFERROR(
    IF(
        MATCH(2,1/((Y110:BF110&lt;&gt;0)*(Y110:BF110&lt;&gt;"")))-MATCH(1,INDEX((Y110:BF110&lt;&gt;0)*(Y110:BF110&lt;&gt;""),0),0)+1 &lt;= 24,
        "No",
        "Yes"
    ),
    "No"
)</f>
        <v>Yes</v>
      </c>
      <c r="Y110" s="8">
        <v>0</v>
      </c>
      <c r="Z110" s="8">
        <v>0</v>
      </c>
      <c r="AA110" s="8">
        <v>342.77096044423115</v>
      </c>
      <c r="AB110" s="8">
        <v>336.68115258907807</v>
      </c>
      <c r="AC110" s="8">
        <v>330.29747144192851</v>
      </c>
      <c r="AD110" s="8">
        <v>277.76785409045846</v>
      </c>
      <c r="AE110" s="8">
        <v>246.16418797883742</v>
      </c>
      <c r="AF110" s="8">
        <v>297.23931144410216</v>
      </c>
      <c r="AG110" s="8">
        <v>306.03304465966085</v>
      </c>
      <c r="AH110" s="8">
        <v>296.60048575282156</v>
      </c>
      <c r="AI110" s="8">
        <v>288.43525324582185</v>
      </c>
      <c r="AJ110" s="8">
        <v>283.94113372343321</v>
      </c>
      <c r="AK110" s="8">
        <v>274.89391782173931</v>
      </c>
      <c r="AL110" s="8">
        <v>268.57773926414347</v>
      </c>
      <c r="AM110" s="8">
        <v>405.95387665971145</v>
      </c>
      <c r="AN110" s="8">
        <v>403.02726876824255</v>
      </c>
      <c r="AO110" s="8">
        <v>403.61317157723079</v>
      </c>
      <c r="AP110" s="8">
        <v>400.1957971996527</v>
      </c>
      <c r="AQ110" s="8">
        <v>1065.31367381172</v>
      </c>
      <c r="AR110" s="8">
        <v>1042.3798510005781</v>
      </c>
      <c r="AS110" s="8">
        <v>1030.4456800179039</v>
      </c>
      <c r="AT110" s="8">
        <v>1024.073754005625</v>
      </c>
      <c r="AU110" s="8">
        <v>1018.4288470056839</v>
      </c>
      <c r="AV110" s="8">
        <v>1002.5934029934563</v>
      </c>
      <c r="AW110" s="8">
        <v>987.47966887716245</v>
      </c>
      <c r="AX110" s="8">
        <v>970.07218787510863</v>
      </c>
      <c r="AY110" s="8">
        <v>1229.6315501717756</v>
      </c>
      <c r="AZ110" s="8">
        <v>1196.7842685464584</v>
      </c>
      <c r="BA110" s="8">
        <v>1176.7209492904701</v>
      </c>
      <c r="BB110" s="8">
        <v>1156.7424464809253</v>
      </c>
      <c r="BC110" s="8">
        <v>1134.4922956277558</v>
      </c>
      <c r="BD110" s="8">
        <v>1117.0203966792385</v>
      </c>
      <c r="BE110" s="8">
        <v>1333.9451654352013</v>
      </c>
      <c r="BF110" s="8">
        <v>1317.9063532352498</v>
      </c>
      <c r="BH110" s="8">
        <f t="shared" si="18"/>
        <v>3005.9308553703736</v>
      </c>
      <c r="BI110" s="8">
        <f t="shared" si="19"/>
        <v>8339.4969801256884</v>
      </c>
      <c r="BJ110" s="8">
        <f t="shared" si="20"/>
        <v>11620.795282219347</v>
      </c>
    </row>
    <row r="111" spans="1:62" x14ac:dyDescent="0.25">
      <c r="A111" s="9" t="s">
        <v>152</v>
      </c>
      <c r="B111" s="9" t="s">
        <v>643</v>
      </c>
      <c r="C111" s="10">
        <v>44927</v>
      </c>
      <c r="D111" s="6" cm="1">
        <f t="array" ref="D111">_xlfn.LET(
  _xlpm.aralık, Y111:BF111,
  _xlpm.ilk, MATCH(TRUE, _xlpm.aralık&lt;&gt;0, 0),
  _xlpm.son, MIN(_xlpm.ilk+2, COLUMNS(_xlpm.aralık)),
  MAX(INDEX(_xlpm.aralık, _xlpm.ilk):INDEX(_xlpm.aralık, _xlpm.son))
)</f>
        <v>1143</v>
      </c>
      <c r="E111" s="6">
        <f t="shared" si="13"/>
        <v>1182.991336</v>
      </c>
      <c r="F111" s="6">
        <f t="shared" si="14"/>
        <v>1301.2904699999997</v>
      </c>
      <c r="G111" s="6">
        <f t="shared" si="21"/>
        <v>1301.2904699999997</v>
      </c>
      <c r="H111" s="7">
        <f t="shared" si="15"/>
        <v>3.4988045494313252E-2</v>
      </c>
      <c r="I111" s="7">
        <f t="shared" si="16"/>
        <v>0.13848685039370051</v>
      </c>
      <c r="J111" s="7">
        <f t="shared" si="17"/>
        <v>0.10000000033812559</v>
      </c>
      <c r="K111" s="7">
        <f t="shared" si="22"/>
        <v>0.13848685039370051</v>
      </c>
      <c r="L111" s="5" t="s">
        <v>419</v>
      </c>
      <c r="M111" s="7">
        <f>IF(R111="",(VLOOKUP(A111,[1]Export!$B$2:$H$680,7,0)),"CHURN")</f>
        <v>0.17834732163987951</v>
      </c>
      <c r="N111" s="5">
        <f t="shared" si="23"/>
        <v>1069.2087999999997</v>
      </c>
      <c r="O111" s="5">
        <f t="shared" si="24"/>
        <v>972.00799970121727</v>
      </c>
      <c r="P111" s="5">
        <f t="shared" si="25"/>
        <v>1069.2087999999997</v>
      </c>
      <c r="Q111" s="5" t="str">
        <f>VLOOKUP(A111,[4]Sheet2!$A$1:$B$142,2,0)</f>
        <v>NO RISK</v>
      </c>
      <c r="T111" s="6" t="str" cm="1">
        <f t="array" ref="T111">IF(R111&lt;&gt;"Churn","",
 _xlfn.LET(
   _xlpm.rng,Y111:BF111,
   _xlpm.pos,MAX(IF((_xlpm.rng&lt;&gt;0)*(_xlpm.rng&lt;&gt;""),COLUMN(_xlpm.rng)-COLUMN(Y111)+1)),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1" s="6" t="str" cm="1">
        <f t="array" ref="U111">IF(R111="Churn",
   MAX(IF((Y111:BF111&lt;&gt;"")*(Y111:BF111&lt;&gt;0), COLUMN(Y111:BF111)-COLUMN(Y111)+1))
   -MATCH(1, --((Y111:BF111&lt;&gt;"")*(Y111:BF111&lt;&gt;0)), 0)
   +1,
"")</f>
        <v/>
      </c>
      <c r="V111" s="6" t="str" cm="1">
        <f t="array" ref="V111">IFERROR(
    IF(
        MATCH(2,1/((Y111:BF111&lt;&gt;0)*(Y111:BF111&lt;&gt;"")))-MATCH(1,INDEX((Y111:BF111&lt;&gt;0)*(Y111:BF111&lt;&gt;""),0),0)+1 &lt;= 12,
        "No",
        "Yes"
    ),
    "No"
)</f>
        <v>Yes</v>
      </c>
      <c r="W111" s="6" t="str" cm="1">
        <f t="array" ref="W111">IFERROR(
    IF(
        MATCH(2,1/((Y111:BF111&lt;&gt;0)*(Y111:BF111&lt;&gt;"")))-MATCH(1,INDEX((Y111:BF111&lt;&gt;0)*(Y111:BF111&lt;&gt;""),0),0)+1 &lt;= 24,
        "No",
        "Yes"
    ),
    "No"
)</f>
        <v>Yes</v>
      </c>
      <c r="Y111" s="8">
        <v>1143</v>
      </c>
      <c r="Z111" s="8">
        <v>1143</v>
      </c>
      <c r="AA111" s="8">
        <v>1143</v>
      </c>
      <c r="AB111" s="8">
        <v>1143</v>
      </c>
      <c r="AC111" s="8">
        <v>1142.991336</v>
      </c>
      <c r="AD111" s="8">
        <v>1142.991336</v>
      </c>
      <c r="AE111" s="8">
        <v>1242.991336</v>
      </c>
      <c r="AF111" s="8">
        <v>1182.991336</v>
      </c>
      <c r="AG111" s="8">
        <v>1182.991336</v>
      </c>
      <c r="AH111" s="8">
        <v>1182.991336</v>
      </c>
      <c r="AI111" s="8">
        <v>1182.991336</v>
      </c>
      <c r="AJ111" s="8">
        <v>1182.991336</v>
      </c>
      <c r="AK111" s="8">
        <v>1182.991336</v>
      </c>
      <c r="AL111" s="8">
        <v>1182.991336</v>
      </c>
      <c r="AM111" s="8">
        <v>1182.991336</v>
      </c>
      <c r="AN111" s="8">
        <v>1182.991336</v>
      </c>
      <c r="AO111" s="8">
        <v>1182.991336</v>
      </c>
      <c r="AP111" s="8">
        <v>1182.991336</v>
      </c>
      <c r="AQ111" s="8">
        <v>1182.991336</v>
      </c>
      <c r="AR111" s="8">
        <v>1182.991336</v>
      </c>
      <c r="AS111" s="8">
        <v>1182.991336</v>
      </c>
      <c r="AT111" s="8">
        <v>1182.991336</v>
      </c>
      <c r="AU111" s="8">
        <v>1182.991336</v>
      </c>
      <c r="AV111" s="8">
        <v>1182.991336</v>
      </c>
      <c r="AW111" s="8">
        <v>1301.2904699999997</v>
      </c>
      <c r="AX111" s="8">
        <v>1301.2904699999997</v>
      </c>
      <c r="AY111" s="8">
        <v>1301.2904699999997</v>
      </c>
      <c r="AZ111" s="8">
        <v>1301.2904699999997</v>
      </c>
      <c r="BA111" s="8">
        <v>1301.2904699999997</v>
      </c>
      <c r="BB111" s="8">
        <v>1301.2904699999997</v>
      </c>
      <c r="BC111" s="8">
        <v>1301.2904699999997</v>
      </c>
      <c r="BD111" s="8">
        <v>1301.2904699999997</v>
      </c>
      <c r="BE111" s="8">
        <v>1301.2904699999997</v>
      </c>
      <c r="BF111" s="8">
        <v>1301.2904699999997</v>
      </c>
      <c r="BH111" s="8">
        <f t="shared" si="18"/>
        <v>14015.930687999997</v>
      </c>
      <c r="BI111" s="8">
        <f t="shared" si="19"/>
        <v>14195.896031999997</v>
      </c>
      <c r="BJ111" s="8">
        <f t="shared" si="20"/>
        <v>13012.904699999997</v>
      </c>
    </row>
    <row r="112" spans="1:62" x14ac:dyDescent="0.25">
      <c r="A112" s="9" t="s">
        <v>279</v>
      </c>
      <c r="B112" s="9" t="s">
        <v>644</v>
      </c>
      <c r="C112" s="10">
        <f>VLOOKUP(A112,'[2]Revenue_Engine_2025 Oct.25'!$C$14:G$3937,5,0)</f>
        <v>45380</v>
      </c>
      <c r="D112" s="6" cm="1">
        <f t="array" ref="D112">_xlfn.LET(
  _xlpm.aralık, Y112:BF112,
  _xlpm.ilk, MATCH(TRUE, _xlpm.aralık&lt;&gt;0, 0),
  _xlpm.son, MIN(_xlpm.ilk+2, COLUMNS(_xlpm.aralık)),
  MAX(INDEX(_xlpm.aralık, _xlpm.ilk):INDEX(_xlpm.aralık, _xlpm.son))
)</f>
        <v>551.40954063825654</v>
      </c>
      <c r="E112" s="6">
        <f t="shared" si="13"/>
        <v>1365.2049587741453</v>
      </c>
      <c r="F112" s="6">
        <f t="shared" si="14"/>
        <v>0</v>
      </c>
      <c r="G112" s="6">
        <f t="shared" si="21"/>
        <v>1266.7494360000001</v>
      </c>
      <c r="H112" s="7">
        <f t="shared" si="15"/>
        <v>1.4758457338150526</v>
      </c>
      <c r="I112" s="7">
        <f t="shared" si="16"/>
        <v>-1</v>
      </c>
      <c r="J112" s="7">
        <f t="shared" si="17"/>
        <v>-1</v>
      </c>
      <c r="K112" s="7">
        <f t="shared" si="22"/>
        <v>1.2972932868258638</v>
      </c>
      <c r="L112" s="5" t="s">
        <v>413</v>
      </c>
      <c r="M112" s="7">
        <f>IF(R112="",(VLOOKUP(A112,[1]Export!$B$2:$H$680,7,0)),"CHURN")</f>
        <v>0.16656911112384407</v>
      </c>
      <c r="N112" s="5">
        <f t="shared" si="23"/>
        <v>1055.7481084288493</v>
      </c>
      <c r="O112" s="5">
        <f t="shared" si="24"/>
        <v>1137.8039822892717</v>
      </c>
      <c r="P112" s="5">
        <f t="shared" si="25"/>
        <v>0</v>
      </c>
      <c r="Q112" s="5" t="str">
        <f>VLOOKUP(A112,[4]Sheet2!$A$1:$B$142,2,0)</f>
        <v>HIGH RISK</v>
      </c>
      <c r="T112" s="6" t="str" cm="1">
        <f t="array" ref="T112">IF(R112&lt;&gt;"Churn","",
 _xlfn.LET(
   _xlpm.rng,Y112:BF112,
   _xlpm.pos,MAX(IF((_xlpm.rng&lt;&gt;0)*(_xlpm.rng&lt;&gt;""),COLUMN(_xlpm.rng)-COLUMN(Y112)+1)),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2" s="6" t="str" cm="1">
        <f t="array" ref="U112">IF(R112="Churn",
   MAX(IF((Y112:BF112&lt;&gt;"")*(Y112:BF112&lt;&gt;0), COLUMN(Y112:BF112)-COLUMN(Y112)+1))
   -MATCH(1, --((Y112:BF112&lt;&gt;"")*(Y112:BF112&lt;&gt;0)), 0)
   +1,
"")</f>
        <v/>
      </c>
      <c r="V112" s="6" t="str" cm="1">
        <f t="array" ref="V112">IFERROR(
    IF(
        MATCH(2,1/((Y112:BF112&lt;&gt;0)*(Y112:BF112&lt;&gt;"")))-MATCH(1,INDEX((Y112:BF112&lt;&gt;0)*(Y112:BF112&lt;&gt;""),0),0)+1 &lt;= 12,
        "No",
        "Yes"
    ),
    "No"
)</f>
        <v>Yes</v>
      </c>
      <c r="W112" s="6" t="str" cm="1">
        <f t="array" ref="W112">IFERROR(
    IF(
        MATCH(2,1/((Y112:BF112&lt;&gt;0)*(Y112:BF112&lt;&gt;"")))-MATCH(1,INDEX((Y112:BF112&lt;&gt;0)*(Y112:BF112&lt;&gt;""),0),0)+1 &lt;= 24,
        "No",
        "Yes"
    ),
    "No"
)</f>
        <v>No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551.40954063825654</v>
      </c>
      <c r="AN112" s="8">
        <v>545.91756024479434</v>
      </c>
      <c r="AO112" s="8">
        <v>546.71119049468041</v>
      </c>
      <c r="AP112" s="8">
        <v>542.08221169542378</v>
      </c>
      <c r="AQ112" s="8">
        <v>598.30289759771551</v>
      </c>
      <c r="AR112" s="8">
        <v>586.76825853574258</v>
      </c>
      <c r="AS112" s="8">
        <v>1248.2653653155944</v>
      </c>
      <c r="AT112" s="8">
        <v>1245.0605848790105</v>
      </c>
      <c r="AU112" s="8">
        <v>1242.221460965003</v>
      </c>
      <c r="AV112" s="8">
        <v>1234.2569740771742</v>
      </c>
      <c r="AW112" s="8">
        <v>1226.6554734749557</v>
      </c>
      <c r="AX112" s="8">
        <v>1217.9003255874743</v>
      </c>
      <c r="AY112" s="8">
        <v>1365.2049587741453</v>
      </c>
      <c r="AZ112" s="8">
        <v>1348.2366444090783</v>
      </c>
      <c r="BA112" s="8">
        <v>1337.8722948648556</v>
      </c>
      <c r="BB112" s="8">
        <v>729.99943599999995</v>
      </c>
      <c r="BC112" s="8">
        <v>729.99943599999995</v>
      </c>
      <c r="BD112" s="8">
        <v>729.99943599999995</v>
      </c>
      <c r="BE112" s="8">
        <v>1266.7494360000001</v>
      </c>
      <c r="BF112" s="8">
        <v>1266.7494360000001</v>
      </c>
      <c r="BH112" s="8">
        <f t="shared" si="18"/>
        <v>0</v>
      </c>
      <c r="BI112" s="8">
        <f t="shared" si="19"/>
        <v>8340.9960444433964</v>
      </c>
      <c r="BJ112" s="8">
        <f t="shared" si="20"/>
        <v>11219.366877110509</v>
      </c>
    </row>
    <row r="113" spans="1:62" x14ac:dyDescent="0.25">
      <c r="A113" s="9" t="s">
        <v>131</v>
      </c>
      <c r="B113" s="9" t="s">
        <v>644</v>
      </c>
      <c r="C113" s="10">
        <v>44927</v>
      </c>
      <c r="D113" s="6" cm="1">
        <f t="array" ref="D113">_xlfn.LET(
  _xlpm.aralık, Y113:BF113,
  _xlpm.ilk, MATCH(TRUE, _xlpm.aralık&lt;&gt;0, 0),
  _xlpm.son, MIN(_xlpm.ilk+2, COLUMNS(_xlpm.aralık)),
  MAX(INDEX(_xlpm.aralık, _xlpm.ilk):INDEX(_xlpm.aralık, _xlpm.son))
)</f>
        <v>1000</v>
      </c>
      <c r="E113" s="6">
        <f t="shared" si="13"/>
        <v>1034.0000249999998</v>
      </c>
      <c r="F113" s="6">
        <f t="shared" si="14"/>
        <v>1251.9990250000001</v>
      </c>
      <c r="G113" s="6">
        <f t="shared" si="21"/>
        <v>1251.9990250000001</v>
      </c>
      <c r="H113" s="7">
        <f t="shared" si="15"/>
        <v>3.4000024999999823E-2</v>
      </c>
      <c r="I113" s="7">
        <f t="shared" si="16"/>
        <v>0.2519990250000001</v>
      </c>
      <c r="J113" s="7">
        <f t="shared" si="17"/>
        <v>0.21083074925457598</v>
      </c>
      <c r="K113" s="7">
        <f t="shared" si="22"/>
        <v>0.2519990250000001</v>
      </c>
      <c r="L113" s="5" t="s">
        <v>424</v>
      </c>
      <c r="M113" s="7">
        <f>IF(R113="",(VLOOKUP(A113,[1]Export!$B$2:$H$680,7,0)),"CHURN")</f>
        <v>0.32736447218878623</v>
      </c>
      <c r="N113" s="5">
        <f t="shared" si="23"/>
        <v>842.13902500000006</v>
      </c>
      <c r="O113" s="5">
        <f t="shared" si="24"/>
        <v>695.50515257268307</v>
      </c>
      <c r="P113" s="5">
        <f t="shared" si="25"/>
        <v>842.13902500000006</v>
      </c>
      <c r="Q113" s="5" t="s">
        <v>430</v>
      </c>
      <c r="T113" s="6" t="str" cm="1">
        <f t="array" ref="T113">IF(R113&lt;&gt;"Churn","",
 _xlfn.LET(
   _xlpm.rng,Y113:BF113,
   _xlpm.pos,MAX(IF((_xlpm.rng&lt;&gt;0)*(_xlpm.rng&lt;&gt;""),COLUMN(_xlpm.rng)-COLUMN(Y113)+1)),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3" s="6" t="str" cm="1">
        <f t="array" ref="U113">IF(R113="Churn",
   MAX(IF((Y113:BF113&lt;&gt;"")*(Y113:BF113&lt;&gt;0), COLUMN(Y113:BF113)-COLUMN(Y113)+1))
   -MATCH(1, --((Y113:BF113&lt;&gt;"")*(Y113:BF113&lt;&gt;0)), 0)
   +1,
"")</f>
        <v/>
      </c>
      <c r="V113" s="6" t="str" cm="1">
        <f t="array" ref="V113">IFERROR(
    IF(
        MATCH(2,1/((Y113:BF113&lt;&gt;0)*(Y113:BF113&lt;&gt;"")))-MATCH(1,INDEX((Y113:BF113&lt;&gt;0)*(Y113:BF113&lt;&gt;""),0),0)+1 &lt;= 12,
        "No",
        "Yes"
    ),
    "No"
)</f>
        <v>Yes</v>
      </c>
      <c r="W113" s="6" t="str" cm="1">
        <f t="array" ref="W113">IFERROR(
    IF(
        MATCH(2,1/((Y113:BF113&lt;&gt;0)*(Y113:BF113&lt;&gt;"")))-MATCH(1,INDEX((Y113:BF113&lt;&gt;0)*(Y113:BF113&lt;&gt;""),0),0)+1 &lt;= 24,
        "No",
        "Yes"
    ),
    "No"
)</f>
        <v>Yes</v>
      </c>
      <c r="Y113" s="8">
        <v>1000</v>
      </c>
      <c r="Z113" s="8">
        <v>1000</v>
      </c>
      <c r="AA113" s="8">
        <v>1000</v>
      </c>
      <c r="AB113" s="8">
        <v>1000</v>
      </c>
      <c r="AC113" s="8">
        <v>1000.0000249999998</v>
      </c>
      <c r="AD113" s="8">
        <v>1025.0000249999998</v>
      </c>
      <c r="AE113" s="8">
        <v>1034.0000249999998</v>
      </c>
      <c r="AF113" s="8">
        <v>1034.0000249999998</v>
      </c>
      <c r="AG113" s="8">
        <v>1034.0000249999998</v>
      </c>
      <c r="AH113" s="8">
        <v>1034.0000249999998</v>
      </c>
      <c r="AI113" s="8">
        <v>1034.0000249999998</v>
      </c>
      <c r="AJ113" s="8">
        <v>1034.0000249999998</v>
      </c>
      <c r="AK113" s="8">
        <v>1034.0000249999998</v>
      </c>
      <c r="AL113" s="8">
        <v>1034.0000249999998</v>
      </c>
      <c r="AM113" s="8">
        <v>1059.0000249999998</v>
      </c>
      <c r="AN113" s="8">
        <v>1059.0000249999998</v>
      </c>
      <c r="AO113" s="8">
        <v>1059.0000249999998</v>
      </c>
      <c r="AP113" s="8">
        <v>1059.0000249999998</v>
      </c>
      <c r="AQ113" s="8">
        <v>1059.0000249999998</v>
      </c>
      <c r="AR113" s="8">
        <v>1059.0000249999998</v>
      </c>
      <c r="AS113" s="8">
        <v>1059.0000249999998</v>
      </c>
      <c r="AT113" s="8">
        <v>1059.0000249999998</v>
      </c>
      <c r="AU113" s="8">
        <v>1059.0000249999998</v>
      </c>
      <c r="AV113" s="8">
        <v>1059.0000249999998</v>
      </c>
      <c r="AW113" s="8">
        <v>1251.9990250000001</v>
      </c>
      <c r="AX113" s="8">
        <v>1251.9990250000001</v>
      </c>
      <c r="AY113" s="8">
        <v>1251.9990250000001</v>
      </c>
      <c r="AZ113" s="8">
        <v>1251.9990250000003</v>
      </c>
      <c r="BA113" s="8">
        <v>1251.9990250000001</v>
      </c>
      <c r="BB113" s="8">
        <v>1251.9990250000001</v>
      </c>
      <c r="BC113" s="8">
        <v>1251.9990250000001</v>
      </c>
      <c r="BD113" s="8">
        <v>1251.9990250000001</v>
      </c>
      <c r="BE113" s="8">
        <v>1251.9990250000001</v>
      </c>
      <c r="BF113" s="8">
        <v>1251.9990250000001</v>
      </c>
      <c r="BH113" s="8">
        <f t="shared" si="18"/>
        <v>12229.000199999995</v>
      </c>
      <c r="BI113" s="8">
        <f t="shared" si="19"/>
        <v>12658.000299999994</v>
      </c>
      <c r="BJ113" s="8">
        <f t="shared" si="20"/>
        <v>12519.990250000003</v>
      </c>
    </row>
    <row r="114" spans="1:62" x14ac:dyDescent="0.25">
      <c r="A114" s="9" t="s">
        <v>70</v>
      </c>
      <c r="B114" s="9" t="s">
        <v>644</v>
      </c>
      <c r="C114" s="10">
        <v>44927</v>
      </c>
      <c r="D114" s="6" cm="1">
        <f t="array" ref="D114">_xlfn.LET(
  _xlpm.aralık, Y114:BF114,
  _xlpm.ilk, MATCH(TRUE, _xlpm.aralık&lt;&gt;0, 0),
  _xlpm.son, MIN(_xlpm.ilk+2, COLUMNS(_xlpm.aralık)),
  MAX(INDEX(_xlpm.aralık, _xlpm.ilk):INDEX(_xlpm.aralık, _xlpm.son))
)</f>
        <v>900</v>
      </c>
      <c r="E114" s="6">
        <f t="shared" si="13"/>
        <v>971.99679999999989</v>
      </c>
      <c r="F114" s="6">
        <f t="shared" si="14"/>
        <v>1250.1624666666667</v>
      </c>
      <c r="G114" s="6">
        <f t="shared" si="21"/>
        <v>1248.1708000000001</v>
      </c>
      <c r="H114" s="7">
        <f t="shared" si="15"/>
        <v>7.9996444444444328E-2</v>
      </c>
      <c r="I114" s="7">
        <f t="shared" si="16"/>
        <v>0.38906940740740742</v>
      </c>
      <c r="J114" s="7">
        <f t="shared" si="17"/>
        <v>0.28617961156525085</v>
      </c>
      <c r="K114" s="7">
        <f t="shared" si="22"/>
        <v>0.38685644444444456</v>
      </c>
      <c r="L114" s="5" t="s">
        <v>412</v>
      </c>
      <c r="M114" s="7">
        <f>IF(R114="",(VLOOKUP(A114,[1]Export!$B$2:$H$680,7,0)),"CHURN")</f>
        <v>0.39491266740096781</v>
      </c>
      <c r="N114" s="5">
        <f t="shared" si="23"/>
        <v>755.25234000000023</v>
      </c>
      <c r="O114" s="5">
        <f t="shared" si="24"/>
        <v>588.14295100679499</v>
      </c>
      <c r="P114" s="5">
        <f t="shared" si="25"/>
        <v>756.45747227075992</v>
      </c>
      <c r="Q114" s="5" t="str">
        <f>VLOOKUP(A114,[4]Sheet2!$A$1:$B$142,2,0)</f>
        <v>BOOKED CHURN</v>
      </c>
      <c r="T114" s="6" t="str" cm="1">
        <f t="array" ref="T114">IF(R114&lt;&gt;"Churn","",
 _xlfn.LET(
   _xlpm.rng,Y114:BF114,
   _xlpm.pos,MAX(IF((_xlpm.rng&lt;&gt;0)*(_xlpm.rng&lt;&gt;""),COLUMN(_xlpm.rng)-COLUMN(Y114)+1)),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4" s="6" t="str" cm="1">
        <f t="array" ref="U114">IF(R114="Churn",
   MAX(IF((Y114:BF114&lt;&gt;"")*(Y114:BF114&lt;&gt;0), COLUMN(Y114:BF114)-COLUMN(Y114)+1))
   -MATCH(1, --((Y114:BF114&lt;&gt;"")*(Y114:BF114&lt;&gt;0)), 0)
   +1,
"")</f>
        <v/>
      </c>
      <c r="V114" s="6" t="str" cm="1">
        <f t="array" ref="V114">IFERROR(
    IF(
        MATCH(2,1/((Y114:BF114&lt;&gt;0)*(Y114:BF114&lt;&gt;"")))-MATCH(1,INDEX((Y114:BF114&lt;&gt;0)*(Y114:BF114&lt;&gt;""),0),0)+1 &lt;= 12,
        "No",
        "Yes"
    ),
    "No"
)</f>
        <v>Yes</v>
      </c>
      <c r="W114" s="6" t="str" cm="1">
        <f t="array" ref="W114">IFERROR(
    IF(
        MATCH(2,1/((Y114:BF114&lt;&gt;0)*(Y114:BF114&lt;&gt;"")))-MATCH(1,INDEX((Y114:BF114&lt;&gt;0)*(Y114:BF114&lt;&gt;""),0),0)+1 &lt;= 24,
        "No",
        "Yes"
    ),
    "No"
)</f>
        <v>Yes</v>
      </c>
      <c r="Y114" s="8">
        <v>455.2</v>
      </c>
      <c r="Z114" s="8">
        <v>700</v>
      </c>
      <c r="AA114" s="8">
        <v>900</v>
      </c>
      <c r="AB114" s="8">
        <v>902</v>
      </c>
      <c r="AC114" s="8">
        <v>910.99679999999989</v>
      </c>
      <c r="AD114" s="8">
        <v>961.99679999999989</v>
      </c>
      <c r="AE114" s="8">
        <v>961.99679999999989</v>
      </c>
      <c r="AF114" s="8">
        <v>971.99679999999989</v>
      </c>
      <c r="AG114" s="8">
        <v>971.99679999999989</v>
      </c>
      <c r="AH114" s="8">
        <v>971.99679999999989</v>
      </c>
      <c r="AI114" s="8">
        <v>971.99679999999989</v>
      </c>
      <c r="AJ114" s="8">
        <v>971.99679999999989</v>
      </c>
      <c r="AK114" s="8">
        <v>971.99679999999989</v>
      </c>
      <c r="AL114" s="8">
        <v>971.99679999999989</v>
      </c>
      <c r="AM114" s="8">
        <v>971.99679999999989</v>
      </c>
      <c r="AN114" s="8">
        <v>971.99679999999989</v>
      </c>
      <c r="AO114" s="8">
        <v>973.98846666666657</v>
      </c>
      <c r="AP114" s="8">
        <v>1034.9884666666665</v>
      </c>
      <c r="AQ114" s="8">
        <v>1026.9884666666665</v>
      </c>
      <c r="AR114" s="8">
        <v>1026.9884666666665</v>
      </c>
      <c r="AS114" s="8">
        <v>1026.9884666666665</v>
      </c>
      <c r="AT114" s="8">
        <v>1026.9884666666665</v>
      </c>
      <c r="AU114" s="8">
        <v>1080.9884666666665</v>
      </c>
      <c r="AV114" s="8">
        <v>1113.9884666666665</v>
      </c>
      <c r="AW114" s="8">
        <v>1250.1624666666667</v>
      </c>
      <c r="AX114" s="8">
        <v>1250.1624666666667</v>
      </c>
      <c r="AY114" s="8">
        <v>1250.1624666666667</v>
      </c>
      <c r="AZ114" s="8">
        <v>1252.1624666666667</v>
      </c>
      <c r="BA114" s="8">
        <v>1248.1708000000001</v>
      </c>
      <c r="BB114" s="8">
        <v>1248.1708000000001</v>
      </c>
      <c r="BC114" s="8">
        <v>1248.1708000000001</v>
      </c>
      <c r="BD114" s="8">
        <v>1248.1708000000001</v>
      </c>
      <c r="BE114" s="8">
        <v>1248.1708000000001</v>
      </c>
      <c r="BF114" s="8">
        <v>1248.1708000000001</v>
      </c>
      <c r="BH114" s="8">
        <f t="shared" si="18"/>
        <v>10652.1744</v>
      </c>
      <c r="BI114" s="8">
        <f t="shared" si="19"/>
        <v>12199.894933333329</v>
      </c>
      <c r="BJ114" s="8">
        <f t="shared" si="20"/>
        <v>12491.674666666666</v>
      </c>
    </row>
    <row r="115" spans="1:62" x14ac:dyDescent="0.25">
      <c r="A115" s="9" t="s">
        <v>311</v>
      </c>
      <c r="B115" s="9" t="s">
        <v>644</v>
      </c>
      <c r="C115" s="10">
        <v>44927</v>
      </c>
      <c r="D115" s="6" cm="1">
        <f t="array" ref="D115">_xlfn.LET(
  _xlpm.aralık, Y115:BF115,
  _xlpm.ilk, MATCH(TRUE, _xlpm.aralık&lt;&gt;0, 0),
  _xlpm.son, MIN(_xlpm.ilk+2, COLUMNS(_xlpm.aralık)),
  MAX(INDEX(_xlpm.aralık, _xlpm.ilk):INDEX(_xlpm.aralık, _xlpm.son))
)</f>
        <v>1226.3904511602864</v>
      </c>
      <c r="E115" s="6">
        <f t="shared" si="13"/>
        <v>1008.7059741454908</v>
      </c>
      <c r="F115" s="6">
        <f t="shared" si="14"/>
        <v>1463.3038914129299</v>
      </c>
      <c r="G115" s="6">
        <f t="shared" si="21"/>
        <v>1242.7437850947722</v>
      </c>
      <c r="H115" s="7">
        <f t="shared" si="15"/>
        <v>-0.17750014019502888</v>
      </c>
      <c r="I115" s="7">
        <f t="shared" si="16"/>
        <v>0.19317945604395409</v>
      </c>
      <c r="J115" s="7">
        <f t="shared" si="17"/>
        <v>0.45067435795901228</v>
      </c>
      <c r="K115" s="7">
        <f t="shared" si="22"/>
        <v>1.333452483995937E-2</v>
      </c>
      <c r="L115" s="5" t="s">
        <v>415</v>
      </c>
      <c r="M115" s="7">
        <v>0</v>
      </c>
      <c r="N115" s="5">
        <f t="shared" si="23"/>
        <v>1242.7437850947722</v>
      </c>
      <c r="O115" s="5">
        <f t="shared" si="24"/>
        <v>1008.7059741454908</v>
      </c>
      <c r="P115" s="5">
        <f t="shared" si="25"/>
        <v>1463.3038914129299</v>
      </c>
      <c r="Q115" s="5" t="str">
        <f>VLOOKUP(A115,[4]Sheet2!$A$1:$B$142,2,0)</f>
        <v>MEDIUM RISK</v>
      </c>
      <c r="T115" s="6" t="str" cm="1">
        <f t="array" ref="T115">IF(R115&lt;&gt;"Churn","",
 _xlfn.LET(
   _xlpm.rng,Y115:BF115,
   _xlpm.pos,MAX(IF((_xlpm.rng&lt;&gt;0)*(_xlpm.rng&lt;&gt;""),COLUMN(_xlpm.rng)-COLUMN(Y115)+1)),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5" s="6" t="str" cm="1">
        <f t="array" ref="U115">IF(R115="Churn",
   MAX(IF((Y115:BF115&lt;&gt;"")*(Y115:BF115&lt;&gt;0), COLUMN(Y115:BF115)-COLUMN(Y115)+1))
   -MATCH(1, --((Y115:BF115&lt;&gt;"")*(Y115:BF115&lt;&gt;0)), 0)
   +1,
"")</f>
        <v/>
      </c>
      <c r="V115" s="6" t="str" cm="1">
        <f t="array" ref="V115">IFERROR(
    IF(
        MATCH(2,1/((Y115:BF115&lt;&gt;0)*(Y115:BF115&lt;&gt;"")))-MATCH(1,INDEX((Y115:BF115&lt;&gt;0)*(Y115:BF115&lt;&gt;""),0),0)+1 &lt;= 12,
        "No",
        "Yes"
    ),
    "No"
)</f>
        <v>Yes</v>
      </c>
      <c r="W115" s="6" t="str" cm="1">
        <f t="array" ref="W115">IFERROR(
    IF(
        MATCH(2,1/((Y115:BF115&lt;&gt;0)*(Y115:BF115&lt;&gt;"")))-MATCH(1,INDEX((Y115:BF115&lt;&gt;0)*(Y115:BF115&lt;&gt;""),0),0)+1 &lt;= 24,
        "No",
        "Yes"
    ),
    "No"
)</f>
        <v>Yes</v>
      </c>
      <c r="Y115" s="8">
        <v>1226.3904511602864</v>
      </c>
      <c r="Z115" s="8">
        <v>1222.1295494509582</v>
      </c>
      <c r="AA115" s="8">
        <v>1213.1455300030059</v>
      </c>
      <c r="AB115" s="8">
        <v>1191.5922946633448</v>
      </c>
      <c r="AC115" s="8">
        <v>1169.0007723891215</v>
      </c>
      <c r="AD115" s="8">
        <v>983.08604834022765</v>
      </c>
      <c r="AE115" s="8">
        <v>871.23320873619105</v>
      </c>
      <c r="AF115" s="8">
        <v>854.75007709656199</v>
      </c>
      <c r="AG115" s="8">
        <v>853.95685856722332</v>
      </c>
      <c r="AH115" s="8">
        <v>827.63617682093457</v>
      </c>
      <c r="AI115" s="8">
        <v>804.85185198142949</v>
      </c>
      <c r="AJ115" s="8">
        <v>1041.9041649302746</v>
      </c>
      <c r="AK115" s="8">
        <v>1008.7059741454908</v>
      </c>
      <c r="AL115" s="8">
        <v>1221.6495852906874</v>
      </c>
      <c r="AM115" s="8">
        <v>1174.8782826099216</v>
      </c>
      <c r="AN115" s="8">
        <v>1163.1766198397609</v>
      </c>
      <c r="AO115" s="8">
        <v>1164.867593383552</v>
      </c>
      <c r="AP115" s="8">
        <v>1155.0047124192267</v>
      </c>
      <c r="AQ115" s="8">
        <v>1141.625492040587</v>
      </c>
      <c r="AR115" s="8">
        <v>1117.0488463119516</v>
      </c>
      <c r="AS115" s="8">
        <v>1104.2597925758405</v>
      </c>
      <c r="AT115" s="8">
        <v>1097.4314251683461</v>
      </c>
      <c r="AU115" s="8">
        <v>1091.3821554652052</v>
      </c>
      <c r="AV115" s="8">
        <v>1074.4123680621612</v>
      </c>
      <c r="AW115" s="8">
        <v>1463.3038914129299</v>
      </c>
      <c r="AX115" s="8">
        <v>1437.5084897526954</v>
      </c>
      <c r="AY115" s="8">
        <v>1401.644506553429</v>
      </c>
      <c r="AZ115" s="8">
        <v>1364.2022240754723</v>
      </c>
      <c r="BA115" s="8">
        <v>1341.3322503711904</v>
      </c>
      <c r="BB115" s="8">
        <v>1318.5589580721689</v>
      </c>
      <c r="BC115" s="8">
        <v>1293.1962372563494</v>
      </c>
      <c r="BD115" s="8">
        <v>1273.2801972223858</v>
      </c>
      <c r="BE115" s="8">
        <v>1257.8678750066706</v>
      </c>
      <c r="BF115" s="8">
        <v>1242.7437850947722</v>
      </c>
      <c r="BH115" s="8">
        <f t="shared" si="18"/>
        <v>12259.67698413956</v>
      </c>
      <c r="BI115" s="8">
        <f t="shared" si="19"/>
        <v>13514.442847312732</v>
      </c>
      <c r="BJ115" s="8">
        <f t="shared" si="20"/>
        <v>13393.638414818064</v>
      </c>
    </row>
    <row r="116" spans="1:62" x14ac:dyDescent="0.25">
      <c r="A116" s="9" t="s">
        <v>379</v>
      </c>
      <c r="B116" s="9" t="s">
        <v>644</v>
      </c>
      <c r="C116" s="10">
        <f>VLOOKUP(A116,'[2]Revenue_Engine_2025 Oct.25'!$C$14:G$3937,5,0)</f>
        <v>44959</v>
      </c>
      <c r="D116" s="6" cm="1">
        <f t="array" ref="D116">_xlfn.LET(
  _xlpm.aralık, Y116:BF116,
  _xlpm.ilk, MATCH(TRUE, _xlpm.aralık&lt;&gt;0, 0),
  _xlpm.son, MIN(_xlpm.ilk+2, COLUMNS(_xlpm.aralık)),
  MAX(INDEX(_xlpm.aralık, _xlpm.ilk):INDEX(_xlpm.aralık, _xlpm.son))
)</f>
        <v>1116</v>
      </c>
      <c r="E116" s="6">
        <f t="shared" si="13"/>
        <v>1116</v>
      </c>
      <c r="F116" s="6">
        <f t="shared" si="14"/>
        <v>1141.0039999999999</v>
      </c>
      <c r="G116" s="6">
        <f t="shared" si="21"/>
        <v>1232.6706666666666</v>
      </c>
      <c r="H116" s="7">
        <f t="shared" si="15"/>
        <v>0</v>
      </c>
      <c r="I116" s="7">
        <f t="shared" si="16"/>
        <v>2.240501792114687E-2</v>
      </c>
      <c r="J116" s="7">
        <f t="shared" si="17"/>
        <v>2.240501792114687E-2</v>
      </c>
      <c r="K116" s="7">
        <f t="shared" si="22"/>
        <v>0.10454360812425327</v>
      </c>
      <c r="L116" s="5" t="s">
        <v>413</v>
      </c>
      <c r="M116" s="7">
        <f>IF(R116="",(VLOOKUP(A116,[1]Export!$B$2:$H$680,7,0)),"CHURN")</f>
        <v>0.151432715740241</v>
      </c>
      <c r="N116" s="5">
        <f t="shared" si="23"/>
        <v>1046.0039999999999</v>
      </c>
      <c r="O116" s="5">
        <f t="shared" si="24"/>
        <v>947.00108923389109</v>
      </c>
      <c r="P116" s="5">
        <f t="shared" si="25"/>
        <v>968.21866560952196</v>
      </c>
      <c r="Q116" s="5" t="s">
        <v>430</v>
      </c>
      <c r="T116" s="6" t="str" cm="1">
        <f t="array" ref="T116">IF(R116&lt;&gt;"Churn","",
 _xlfn.LET(
   _xlpm.rng,Y116:BF116,
   _xlpm.pos,MAX(IF((_xlpm.rng&lt;&gt;0)*(_xlpm.rng&lt;&gt;""),COLUMN(_xlpm.rng)-COLUMN(Y116)+1)),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6" s="6" t="str" cm="1">
        <f t="array" ref="U116">IF(R116="Churn",
   MAX(IF((Y116:BF116&lt;&gt;"")*(Y116:BF116&lt;&gt;0), COLUMN(Y116:BF116)-COLUMN(Y116)+1))
   -MATCH(1, --((Y116:BF116&lt;&gt;"")*(Y116:BF116&lt;&gt;0)), 0)
   +1,
"")</f>
        <v/>
      </c>
      <c r="V116" s="6" t="str" cm="1">
        <f t="array" ref="V116">IFERROR(
    IF(
        MATCH(2,1/((Y116:BF116&lt;&gt;0)*(Y116:BF116&lt;&gt;"")))-MATCH(1,INDEX((Y116:BF116&lt;&gt;0)*(Y116:BF116&lt;&gt;""),0),0)+1 &lt;= 12,
        "No",
        "Yes"
    ),
    "No"
)</f>
        <v>Yes</v>
      </c>
      <c r="W116" s="6" t="str" cm="1">
        <f t="array" ref="W116">IFERROR(
    IF(
        MATCH(2,1/((Y116:BF116&lt;&gt;0)*(Y116:BF116&lt;&gt;"")))-MATCH(1,INDEX((Y116:BF116&lt;&gt;0)*(Y116:BF116&lt;&gt;""),0),0)+1 &lt;= 24,
        "No",
        "Yes"
    ),
    "No"
)</f>
        <v>Yes</v>
      </c>
      <c r="X116" s="6"/>
      <c r="Y116" s="8">
        <v>616</v>
      </c>
      <c r="Z116" s="8">
        <v>1116</v>
      </c>
      <c r="AA116" s="8">
        <v>1116</v>
      </c>
      <c r="AB116" s="8">
        <v>1116</v>
      </c>
      <c r="AC116" s="8">
        <v>1116</v>
      </c>
      <c r="AD116" s="8">
        <v>1116</v>
      </c>
      <c r="AE116" s="8">
        <v>1116</v>
      </c>
      <c r="AF116" s="8">
        <v>1116</v>
      </c>
      <c r="AG116" s="8">
        <v>1116</v>
      </c>
      <c r="AH116" s="8">
        <v>1116</v>
      </c>
      <c r="AI116" s="8">
        <v>1116</v>
      </c>
      <c r="AJ116" s="8">
        <v>1116</v>
      </c>
      <c r="AK116" s="8">
        <v>1116</v>
      </c>
      <c r="AL116" s="8">
        <v>1116</v>
      </c>
      <c r="AM116" s="8">
        <v>1116</v>
      </c>
      <c r="AN116" s="8">
        <v>1116</v>
      </c>
      <c r="AO116" s="8">
        <v>1116</v>
      </c>
      <c r="AP116" s="8">
        <v>1116</v>
      </c>
      <c r="AQ116" s="8">
        <v>1116</v>
      </c>
      <c r="AR116" s="8">
        <v>1116</v>
      </c>
      <c r="AS116" s="8">
        <v>1116</v>
      </c>
      <c r="AT116" s="8">
        <v>1116</v>
      </c>
      <c r="AU116" s="8">
        <v>1141.0039999999999</v>
      </c>
      <c r="AV116" s="8">
        <v>1141.0039999999999</v>
      </c>
      <c r="AW116" s="8">
        <v>1141.0039999999999</v>
      </c>
      <c r="AX116" s="8">
        <v>1141.0039999999999</v>
      </c>
      <c r="AY116" s="8">
        <v>1141.0039999999999</v>
      </c>
      <c r="AZ116" s="8">
        <v>1232.6706666666666</v>
      </c>
      <c r="BA116" s="8">
        <v>1232.6706666666666</v>
      </c>
      <c r="BB116" s="8">
        <v>1232.6706666666666</v>
      </c>
      <c r="BC116" s="8">
        <v>1232.6706666666666</v>
      </c>
      <c r="BD116" s="8">
        <v>1232.6706666666666</v>
      </c>
      <c r="BE116" s="8">
        <v>1232.6706666666666</v>
      </c>
      <c r="BF116" s="8">
        <v>1232.6706666666666</v>
      </c>
      <c r="BH116" s="8">
        <f t="shared" si="18"/>
        <v>12892</v>
      </c>
      <c r="BI116" s="8">
        <f t="shared" si="19"/>
        <v>13442.008000000002</v>
      </c>
      <c r="BJ116" s="8">
        <f t="shared" si="20"/>
        <v>12051.706666666667</v>
      </c>
    </row>
    <row r="117" spans="1:62" x14ac:dyDescent="0.25">
      <c r="A117" s="9" t="s">
        <v>103</v>
      </c>
      <c r="B117" s="9" t="s">
        <v>644</v>
      </c>
      <c r="C117" s="10">
        <v>44927</v>
      </c>
      <c r="D117" s="6" cm="1">
        <f t="array" ref="D117">_xlfn.LET(
  _xlpm.aralık, Y117:BF117,
  _xlpm.ilk, MATCH(TRUE, _xlpm.aralık&lt;&gt;0, 0),
  _xlpm.son, MIN(_xlpm.ilk+2, COLUMNS(_xlpm.aralık)),
  MAX(INDEX(_xlpm.aralık, _xlpm.ilk):INDEX(_xlpm.aralık, _xlpm.son))
)</f>
        <v>583.88790598583569</v>
      </c>
      <c r="E117" s="6">
        <f t="shared" si="13"/>
        <v>695.0663491246878</v>
      </c>
      <c r="F117" s="6">
        <f t="shared" si="14"/>
        <v>1089.8995701526371</v>
      </c>
      <c r="G117" s="6">
        <f t="shared" si="21"/>
        <v>1203.3154343333333</v>
      </c>
      <c r="H117" s="7">
        <f t="shared" si="15"/>
        <v>0.19041059422379808</v>
      </c>
      <c r="I117" s="7">
        <f t="shared" si="16"/>
        <v>0.86662467055633208</v>
      </c>
      <c r="J117" s="7">
        <f t="shared" si="17"/>
        <v>0.56805112422025805</v>
      </c>
      <c r="K117" s="7">
        <f t="shared" si="22"/>
        <v>1.0608672007029447</v>
      </c>
      <c r="L117" s="5" t="s">
        <v>416</v>
      </c>
      <c r="M117" s="7">
        <f>IF(R117="",(VLOOKUP(A117,[1]Export!$B$2:$H$680,7,0)),"CHURN")</f>
        <v>0.23476803527401383</v>
      </c>
      <c r="N117" s="5">
        <f t="shared" si="23"/>
        <v>920.8154340000001</v>
      </c>
      <c r="O117" s="5">
        <f t="shared" si="24"/>
        <v>531.8869879556031</v>
      </c>
      <c r="P117" s="5">
        <f t="shared" si="25"/>
        <v>834.02598942191037</v>
      </c>
      <c r="Q117" s="5" t="s">
        <v>430</v>
      </c>
      <c r="T117" s="6" t="str" cm="1">
        <f t="array" ref="T117">IF(R117&lt;&gt;"Churn","",
 _xlfn.LET(
   _xlpm.rng,Y117:BF117,
   _xlpm.pos,MAX(IF((_xlpm.rng&lt;&gt;0)*(_xlpm.rng&lt;&gt;""),COLUMN(_xlpm.rng)-COLUMN(Y117)+1)),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7" s="6" t="str" cm="1">
        <f t="array" ref="U117">IF(R117="Churn",
   MAX(IF((Y117:BF117&lt;&gt;"")*(Y117:BF117&lt;&gt;0), COLUMN(Y117:BF117)-COLUMN(Y117)+1))
   -MATCH(1, --((Y117:BF117&lt;&gt;"")*(Y117:BF117&lt;&gt;0)), 0)
   +1,
"")</f>
        <v/>
      </c>
      <c r="V117" s="6" t="str" cm="1">
        <f t="array" ref="V117">IFERROR(
    IF(
        MATCH(2,1/((Y117:BF117&lt;&gt;0)*(Y117:BF117&lt;&gt;"")))-MATCH(1,INDEX((Y117:BF117&lt;&gt;0)*(Y117:BF117&lt;&gt;""),0),0)+1 &lt;= 12,
        "No",
        "Yes"
    ),
    "No"
)</f>
        <v>Yes</v>
      </c>
      <c r="W117" s="6" t="str" cm="1">
        <f t="array" ref="W117">IFERROR(
    IF(
        MATCH(2,1/((Y117:BF117&lt;&gt;0)*(Y117:BF117&lt;&gt;"")))-MATCH(1,INDEX((Y117:BF117&lt;&gt;0)*(Y117:BF117&lt;&gt;""),0),0)+1 &lt;= 24,
        "No",
        "Yes"
    ),
    "No"
)</f>
        <v>Yes</v>
      </c>
      <c r="X117" s="6"/>
      <c r="Y117" s="8">
        <v>537.61474920435228</v>
      </c>
      <c r="Z117" s="8">
        <v>535.79032018147336</v>
      </c>
      <c r="AA117" s="8">
        <v>583.88790598583569</v>
      </c>
      <c r="AB117" s="8">
        <v>573.73639678650784</v>
      </c>
      <c r="AC117" s="8">
        <v>563.09585755518515</v>
      </c>
      <c r="AD117" s="8">
        <v>598.8730299818809</v>
      </c>
      <c r="AE117" s="8">
        <v>532.15711169433177</v>
      </c>
      <c r="AF117" s="8">
        <v>445.72694627019837</v>
      </c>
      <c r="AG117" s="8">
        <v>699.97327510365903</v>
      </c>
      <c r="AH117" s="8">
        <v>741.85925062622687</v>
      </c>
      <c r="AI117" s="8">
        <v>736.75807613403822</v>
      </c>
      <c r="AJ117" s="8">
        <v>714.56869280293984</v>
      </c>
      <c r="AK117" s="8">
        <v>695.0663491246878</v>
      </c>
      <c r="AL117" s="8">
        <v>616.45295937740821</v>
      </c>
      <c r="AM117" s="8">
        <v>909.28412099930438</v>
      </c>
      <c r="AN117" s="8">
        <v>883.73132142109466</v>
      </c>
      <c r="AO117" s="8">
        <v>884.53268947573179</v>
      </c>
      <c r="AP117" s="8">
        <v>1110.3729407578001</v>
      </c>
      <c r="AQ117" s="8">
        <v>1101.3621963834307</v>
      </c>
      <c r="AR117" s="8">
        <v>1084.8101204049435</v>
      </c>
      <c r="AS117" s="8">
        <v>1106.9367885841268</v>
      </c>
      <c r="AT117" s="8">
        <v>1112.0754287555976</v>
      </c>
      <c r="AU117" s="8">
        <v>1108.6546393297078</v>
      </c>
      <c r="AV117" s="8">
        <v>1099.0584281907354</v>
      </c>
      <c r="AW117" s="8">
        <v>1089.8995701526371</v>
      </c>
      <c r="AX117" s="8">
        <v>1079.3507113417081</v>
      </c>
      <c r="AY117" s="8">
        <v>1217.9393977210962</v>
      </c>
      <c r="AZ117" s="8">
        <v>1200.861825575271</v>
      </c>
      <c r="BA117" s="8">
        <v>1200.834110892135</v>
      </c>
      <c r="BB117" s="8">
        <v>1201.4821010000001</v>
      </c>
      <c r="BC117" s="8">
        <v>1201.4821010000001</v>
      </c>
      <c r="BD117" s="8">
        <v>1201.4821010000001</v>
      </c>
      <c r="BE117" s="8">
        <v>1201.4821010000001</v>
      </c>
      <c r="BF117" s="8">
        <v>1203.3154343333333</v>
      </c>
      <c r="BH117" s="8">
        <f t="shared" si="18"/>
        <v>7264.0416123266286</v>
      </c>
      <c r="BI117" s="8">
        <f t="shared" si="19"/>
        <v>11712.337982804571</v>
      </c>
      <c r="BJ117" s="8">
        <f t="shared" si="20"/>
        <v>11798.12945401618</v>
      </c>
    </row>
    <row r="118" spans="1:62" x14ac:dyDescent="0.25">
      <c r="A118" s="9" t="s">
        <v>449</v>
      </c>
      <c r="B118" s="9" t="s">
        <v>643</v>
      </c>
      <c r="C118" s="10">
        <f>VLOOKUP(A118,'[2]Revenue_Engine_2025 Oct.25'!$C$14:G$3937,5,0)</f>
        <v>45809</v>
      </c>
      <c r="D118" s="6" cm="1">
        <f t="array" ref="D118">_xlfn.LET(
  _xlpm.aralık, Y118:BF118,
  _xlpm.ilk, MATCH(TRUE, _xlpm.aralık&lt;&gt;0, 0),
  _xlpm.son, MIN(_xlpm.ilk+2, COLUMNS(_xlpm.aralık)),
  MAX(INDEX(_xlpm.aralık, _xlpm.ilk):INDEX(_xlpm.aralık, _xlpm.son))
)</f>
        <v>220.50000100105535</v>
      </c>
      <c r="E118" s="6">
        <f t="shared" si="13"/>
        <v>0</v>
      </c>
      <c r="F118" s="6">
        <f t="shared" si="14"/>
        <v>0</v>
      </c>
      <c r="G118" s="6">
        <f t="shared" si="21"/>
        <v>1198.2850144872657</v>
      </c>
      <c r="H118" s="7">
        <f t="shared" si="15"/>
        <v>-1</v>
      </c>
      <c r="I118" s="7">
        <f t="shared" si="16"/>
        <v>-1</v>
      </c>
      <c r="J118" s="7" t="e">
        <f t="shared" si="17"/>
        <v>#DIV/0!</v>
      </c>
      <c r="K118" s="7">
        <f t="shared" si="22"/>
        <v>4.4343991340005955</v>
      </c>
      <c r="L118" s="5" t="s">
        <v>414</v>
      </c>
      <c r="M118" s="7">
        <f>IF(R118="",(VLOOKUP(A118,[1]Export!$B$2:$H$680,7,0)),"CHURN")</f>
        <v>0</v>
      </c>
      <c r="N118" s="5">
        <f t="shared" si="23"/>
        <v>1198.2850144872657</v>
      </c>
      <c r="O118" s="5">
        <f t="shared" si="24"/>
        <v>0</v>
      </c>
      <c r="P118" s="5">
        <f t="shared" si="25"/>
        <v>0</v>
      </c>
      <c r="Q118" s="5" t="s">
        <v>430</v>
      </c>
      <c r="T118" s="6" t="str" cm="1">
        <f t="array" ref="T118">IF(R118&lt;&gt;"Churn","",
 _xlfn.LET(
   _xlpm.rng,Y118:BF118,
   _xlpm.pos,MAX(IF((_xlpm.rng&lt;&gt;0)*(_xlpm.rng&lt;&gt;""),COLUMN(_xlpm.rng)-COLUMN(Y118)+1)),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8" s="6" t="str" cm="1">
        <f t="array" ref="U118">IF(R118="Churn",
   MAX(IF((Y118:BF118&lt;&gt;"")*(Y118:BF118&lt;&gt;0), COLUMN(Y118:BF118)-COLUMN(Y118)+1))
   -MATCH(1, --((Y118:BF118&lt;&gt;"")*(Y118:BF118&lt;&gt;0)), 0)
   +1,
"")</f>
        <v/>
      </c>
      <c r="V118" s="14" t="s">
        <v>705</v>
      </c>
      <c r="W118" s="6" t="str" cm="1">
        <f t="array" ref="W118">IFERROR(
    IF(
        MATCH(2,1/((Y118:BF118&lt;&gt;0)*(Y118:BF118&lt;&gt;"")))-MATCH(1,INDEX((Y118:BF118&lt;&gt;0)*(Y118:BF118&lt;&gt;""),0),0)+1 &lt;= 24,
        "No",
        "Yes"
    ),
    "No"
)</f>
        <v>No</v>
      </c>
      <c r="X118" s="6"/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-217.33813804143574</v>
      </c>
      <c r="AL118" s="8">
        <v>-1.280568540096283E-9</v>
      </c>
      <c r="AM118" s="8">
        <v>220.50000100105535</v>
      </c>
      <c r="AN118" s="8">
        <v>50.499999999301508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1271.3879233403936</v>
      </c>
      <c r="BC118" s="8">
        <v>1246.932545936995</v>
      </c>
      <c r="BD118" s="8">
        <v>1227.7289960123362</v>
      </c>
      <c r="BE118" s="8">
        <v>1212.8680448081971</v>
      </c>
      <c r="BF118" s="8">
        <v>1198.2850144872657</v>
      </c>
      <c r="BH118" s="8">
        <f t="shared" si="18"/>
        <v>0</v>
      </c>
      <c r="BI118" s="8">
        <f t="shared" si="19"/>
        <v>53.661862957640551</v>
      </c>
      <c r="BJ118" s="8">
        <f t="shared" si="20"/>
        <v>6157.2025245851873</v>
      </c>
    </row>
    <row r="119" spans="1:62" x14ac:dyDescent="0.25">
      <c r="A119" s="9" t="s">
        <v>335</v>
      </c>
      <c r="B119" s="9" t="s">
        <v>643</v>
      </c>
      <c r="C119" s="10">
        <f>VLOOKUP(A119,'[2]Revenue_Engine_2025 Oct.25'!$C$14:G$3937,5,0)</f>
        <v>45042</v>
      </c>
      <c r="D119" s="6" cm="1">
        <f t="array" ref="D119">_xlfn.LET(
  _xlpm.aralık, Y119:BF119,
  _xlpm.ilk, MATCH(TRUE, _xlpm.aralık&lt;&gt;0, 0),
  _xlpm.son, MIN(_xlpm.ilk+2, COLUMNS(_xlpm.aralık)),
  MAX(INDEX(_xlpm.aralık, _xlpm.ilk):INDEX(_xlpm.aralık, _xlpm.son))
)</f>
        <v>978.71471799008532</v>
      </c>
      <c r="E119" s="6">
        <f t="shared" si="13"/>
        <v>910.18043195726955</v>
      </c>
      <c r="F119" s="6">
        <f t="shared" si="14"/>
        <v>1227.7914678924426</v>
      </c>
      <c r="G119" s="6">
        <f t="shared" si="21"/>
        <v>1182.5810399795812</v>
      </c>
      <c r="H119" s="7">
        <f t="shared" si="15"/>
        <v>-7.0024783292888054E-2</v>
      </c>
      <c r="I119" s="7">
        <f t="shared" si="16"/>
        <v>0.25449372051323388</v>
      </c>
      <c r="J119" s="7">
        <f t="shared" si="17"/>
        <v>0.34895392691773891</v>
      </c>
      <c r="K119" s="7">
        <f t="shared" si="22"/>
        <v>0.20830004723762732</v>
      </c>
      <c r="L119" s="5" t="s">
        <v>419</v>
      </c>
      <c r="M119" s="7">
        <f>IF(R119="",(VLOOKUP(A119,[1]Export!$B$2:$H$680,7,0)),"CHURN")</f>
        <v>9.4556460303732867E-2</v>
      </c>
      <c r="N119" s="5">
        <f t="shared" si="23"/>
        <v>1070.7603628168047</v>
      </c>
      <c r="O119" s="5">
        <f t="shared" si="24"/>
        <v>824.11699207366757</v>
      </c>
      <c r="P119" s="5">
        <f t="shared" si="25"/>
        <v>1111.695852697409</v>
      </c>
      <c r="Q119" s="5" t="s">
        <v>430</v>
      </c>
      <c r="T119" s="6" t="str" cm="1">
        <f t="array" ref="T119">IF(R119&lt;&gt;"Churn","",
 _xlfn.LET(
   _xlpm.rng,Y119:BF119,
   _xlpm.pos,MAX(IF((_xlpm.rng&lt;&gt;0)*(_xlpm.rng&lt;&gt;""),COLUMN(_xlpm.rng)-COLUMN(Y119)+1)),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19" s="6" t="str" cm="1">
        <f t="array" ref="U119">IF(R119="Churn",
   MAX(IF((Y119:BF119&lt;&gt;"")*(Y119:BF119&lt;&gt;0), COLUMN(Y119:BF119)-COLUMN(Y119)+1))
   -MATCH(1, --((Y119:BF119&lt;&gt;"")*(Y119:BF119&lt;&gt;0)), 0)
   +1,
"")</f>
        <v/>
      </c>
      <c r="V119" s="6" t="str" cm="1">
        <f t="array" ref="V119">IFERROR(
    IF(
        MATCH(2,1/((Y119:BF119&lt;&gt;0)*(Y119:BF119&lt;&gt;"")))-MATCH(1,INDEX((Y119:BF119&lt;&gt;0)*(Y119:BF119&lt;&gt;""),0),0)+1 &lt;= 12,
        "No",
        "Yes"
    ),
    "No"
)</f>
        <v>Yes</v>
      </c>
      <c r="W119" s="6" t="str" cm="1">
        <f t="array" ref="W119">IFERROR(
    IF(
        MATCH(2,1/((Y119:BF119&lt;&gt;0)*(Y119:BF119&lt;&gt;"")))-MATCH(1,INDEX((Y119:BF119&lt;&gt;0)*(Y119:BF119&lt;&gt;""),0),0)+1 &lt;= 24,
        "No",
        "Yes"
    ),
    "No"
)</f>
        <v>Yes</v>
      </c>
      <c r="Y119" s="8">
        <v>0</v>
      </c>
      <c r="Z119" s="8">
        <v>0</v>
      </c>
      <c r="AA119" s="8">
        <v>0</v>
      </c>
      <c r="AB119" s="8">
        <v>0</v>
      </c>
      <c r="AC119" s="8">
        <v>600</v>
      </c>
      <c r="AD119" s="8">
        <v>600</v>
      </c>
      <c r="AE119" s="8">
        <v>978.71471799008532</v>
      </c>
      <c r="AF119" s="8">
        <v>971.54969662967267</v>
      </c>
      <c r="AG119" s="8">
        <v>971.20489396532207</v>
      </c>
      <c r="AH119" s="8">
        <v>959.76360652942162</v>
      </c>
      <c r="AI119" s="8">
        <v>949.85953139814364</v>
      </c>
      <c r="AJ119" s="8">
        <v>944.40835810203441</v>
      </c>
      <c r="AK119" s="8">
        <v>933.43447512412104</v>
      </c>
      <c r="AL119" s="8">
        <v>925.77322274418339</v>
      </c>
      <c r="AM119" s="8">
        <v>913.3008753626458</v>
      </c>
      <c r="AN119" s="8">
        <v>910.18043195726955</v>
      </c>
      <c r="AO119" s="8">
        <v>910.63135823561379</v>
      </c>
      <c r="AP119" s="8">
        <v>908.00125664512711</v>
      </c>
      <c r="AQ119" s="8">
        <v>1089.6812277192757</v>
      </c>
      <c r="AR119" s="8">
        <v>1079.1394851447399</v>
      </c>
      <c r="AS119" s="8">
        <v>1073.6538336955305</v>
      </c>
      <c r="AT119" s="8">
        <v>1070.7249193022092</v>
      </c>
      <c r="AU119" s="8">
        <v>1068.1301858842087</v>
      </c>
      <c r="AV119" s="8">
        <v>1273.0166452548219</v>
      </c>
      <c r="AW119" s="8">
        <v>1264.680043316308</v>
      </c>
      <c r="AX119" s="8">
        <v>1255.0782309018682</v>
      </c>
      <c r="AY119" s="8">
        <v>1241.7285942631481</v>
      </c>
      <c r="AZ119" s="8">
        <v>1227.7914678924426</v>
      </c>
      <c r="BA119" s="8">
        <v>1219.2785863981335</v>
      </c>
      <c r="BB119" s="8">
        <v>1210.8016925860284</v>
      </c>
      <c r="BC119" s="8">
        <v>1201.3609367954832</v>
      </c>
      <c r="BD119" s="8">
        <v>1193.9475968923723</v>
      </c>
      <c r="BE119" s="8">
        <v>1188.2106741363166</v>
      </c>
      <c r="BF119" s="8">
        <v>1182.5810399795812</v>
      </c>
      <c r="BH119" s="8">
        <f t="shared" si="18"/>
        <v>6975.5008046146804</v>
      </c>
      <c r="BI119" s="8">
        <f t="shared" si="19"/>
        <v>12155.667917069748</v>
      </c>
      <c r="BJ119" s="8">
        <f t="shared" si="20"/>
        <v>12185.458863161683</v>
      </c>
    </row>
    <row r="120" spans="1:62" x14ac:dyDescent="0.25">
      <c r="A120" s="9" t="s">
        <v>137</v>
      </c>
      <c r="B120" s="9" t="s">
        <v>644</v>
      </c>
      <c r="C120" s="10">
        <f>VLOOKUP(A120,'[2]Revenue_Engine_2025 Oct.25'!$C$14:G$3937,5,0)</f>
        <v>45057</v>
      </c>
      <c r="D120" s="6" cm="1">
        <f t="array" ref="D120">_xlfn.LET(
  _xlpm.aralık, Y120:BF120,
  _xlpm.ilk, MATCH(TRUE, _xlpm.aralık&lt;&gt;0, 0),
  _xlpm.son, MIN(_xlpm.ilk+2, COLUMNS(_xlpm.aralık)),
  MAX(INDEX(_xlpm.aralık, _xlpm.ilk):INDEX(_xlpm.aralık, _xlpm.son))
)</f>
        <v>848.8597174838103</v>
      </c>
      <c r="E120" s="6">
        <f t="shared" si="13"/>
        <v>1018.9835746666666</v>
      </c>
      <c r="F120" s="6">
        <f t="shared" si="14"/>
        <v>1156.3402550000001</v>
      </c>
      <c r="G120" s="6">
        <f t="shared" si="21"/>
        <v>1156.3402550000001</v>
      </c>
      <c r="H120" s="7">
        <f t="shared" si="15"/>
        <v>0.20041457225363152</v>
      </c>
      <c r="I120" s="7">
        <f t="shared" si="16"/>
        <v>0.36222774055956325</v>
      </c>
      <c r="J120" s="7">
        <f t="shared" si="17"/>
        <v>0.13479773742012083</v>
      </c>
      <c r="K120" s="7">
        <f t="shared" si="22"/>
        <v>0.36222774055956325</v>
      </c>
      <c r="L120" s="5" t="s">
        <v>416</v>
      </c>
      <c r="M120" s="7">
        <f>IF(R120="",(VLOOKUP(A120,[1]Export!$B$2:$H$680,7,0)),"CHURN")</f>
        <v>5.7923730243223281E-2</v>
      </c>
      <c r="N120" s="5">
        <f t="shared" si="23"/>
        <v>1089.3607140000001</v>
      </c>
      <c r="O120" s="5">
        <f t="shared" si="24"/>
        <v>959.96024496539928</v>
      </c>
      <c r="P120" s="5">
        <f t="shared" si="25"/>
        <v>1089.3607140000001</v>
      </c>
      <c r="Q120" s="5" t="str">
        <f>VLOOKUP(A120,[4]Sheet2!$A$1:$B$142,2,0)</f>
        <v>BOOKED CHURN</v>
      </c>
      <c r="T120" s="6" t="str" cm="1">
        <f t="array" ref="T120">IF(R120&lt;&gt;"Churn","",
 _xlfn.LET(
   _xlpm.rng,Y120:BF120,
   _xlpm.pos,MAX(IF((_xlpm.rng&lt;&gt;0)*(_xlpm.rng&lt;&gt;""),COLUMN(_xlpm.rng)-COLUMN(Y120)+1)),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0" s="6" t="str" cm="1">
        <f t="array" ref="U120">IF(R120="Churn",
   MAX(IF((Y120:BF120&lt;&gt;"")*(Y120:BF120&lt;&gt;0), COLUMN(Y120:BF120)-COLUMN(Y120)+1))
   -MATCH(1, --((Y120:BF120&lt;&gt;"")*(Y120:BF120&lt;&gt;0)), 0)
   +1,
"")</f>
        <v/>
      </c>
      <c r="V120" s="6" t="str" cm="1">
        <f t="array" ref="V120">IFERROR(
    IF(
        MATCH(2,1/((Y120:BF120&lt;&gt;0)*(Y120:BF120&lt;&gt;"")))-MATCH(1,INDEX((Y120:BF120&lt;&gt;0)*(Y120:BF120&lt;&gt;""),0),0)+1 &lt;= 12,
        "No",
        "Yes"
    ),
    "No"
)</f>
        <v>Yes</v>
      </c>
      <c r="W120" s="6" t="str" cm="1">
        <f t="array" ref="W120">IFERROR(
    IF(
        MATCH(2,1/((Y120:BF120&lt;&gt;0)*(Y120:BF120&lt;&gt;"")))-MATCH(1,INDEX((Y120:BF120&lt;&gt;0)*(Y120:BF120&lt;&gt;""),0),0)+1 &lt;= 24,
        "No",
        "Yes"
    ),
    "No"
)</f>
        <v>Yes</v>
      </c>
      <c r="Y120" s="8">
        <v>826.01911559149823</v>
      </c>
      <c r="Z120" s="8">
        <v>848.8597174838103</v>
      </c>
      <c r="AA120" s="8">
        <v>848.12357852882701</v>
      </c>
      <c r="AB120" s="8">
        <v>855.35753425083271</v>
      </c>
      <c r="AC120" s="8">
        <v>1000.0002413333333</v>
      </c>
      <c r="AD120" s="8">
        <v>1000.0002413333333</v>
      </c>
      <c r="AE120" s="8">
        <v>1000.0002413333333</v>
      </c>
      <c r="AF120" s="8">
        <v>1000.0002413333333</v>
      </c>
      <c r="AG120" s="8">
        <v>1000.0002413333333</v>
      </c>
      <c r="AH120" s="8">
        <v>1000.0002413333333</v>
      </c>
      <c r="AI120" s="8">
        <v>1000.0002413333333</v>
      </c>
      <c r="AJ120" s="8">
        <v>1000.0002413333333</v>
      </c>
      <c r="AK120" s="8">
        <v>1000.0002413333333</v>
      </c>
      <c r="AL120" s="8">
        <v>1000.0002413333333</v>
      </c>
      <c r="AM120" s="8">
        <v>1018.9835746666666</v>
      </c>
      <c r="AN120" s="8">
        <v>1018.9835746666666</v>
      </c>
      <c r="AO120" s="8">
        <v>1018.9835746666666</v>
      </c>
      <c r="AP120" s="8">
        <v>1018.9835746666666</v>
      </c>
      <c r="AQ120" s="8">
        <v>1018.9848173333335</v>
      </c>
      <c r="AR120" s="8">
        <v>1018.9848173333335</v>
      </c>
      <c r="AS120" s="8">
        <v>1018.9848173333335</v>
      </c>
      <c r="AT120" s="8">
        <v>1018.9848173333335</v>
      </c>
      <c r="AU120" s="8">
        <v>1018.9848173333335</v>
      </c>
      <c r="AV120" s="8">
        <v>1018.9848173333335</v>
      </c>
      <c r="AW120" s="8">
        <v>1110.3235883333332</v>
      </c>
      <c r="AX120" s="8">
        <v>1160.3235883333332</v>
      </c>
      <c r="AY120" s="8">
        <v>1160.3235883333332</v>
      </c>
      <c r="AZ120" s="8">
        <v>1160.323588333333</v>
      </c>
      <c r="BA120" s="8">
        <v>1156.3402550000001</v>
      </c>
      <c r="BB120" s="8">
        <v>1156.3402550000001</v>
      </c>
      <c r="BC120" s="8">
        <v>1156.3402550000001</v>
      </c>
      <c r="BD120" s="8">
        <v>1156.3402550000001</v>
      </c>
      <c r="BE120" s="8">
        <v>1156.3402550000001</v>
      </c>
      <c r="BF120" s="8">
        <v>1156.3402550000001</v>
      </c>
      <c r="BH120" s="8">
        <f t="shared" si="18"/>
        <v>11378.361876521634</v>
      </c>
      <c r="BI120" s="8">
        <f t="shared" si="19"/>
        <v>12189.843685333337</v>
      </c>
      <c r="BJ120" s="8">
        <f t="shared" si="20"/>
        <v>11529.335883333333</v>
      </c>
    </row>
    <row r="121" spans="1:62" x14ac:dyDescent="0.25">
      <c r="A121" s="9" t="s">
        <v>8</v>
      </c>
      <c r="B121" s="9" t="s">
        <v>644</v>
      </c>
      <c r="C121" s="10">
        <v>44927</v>
      </c>
      <c r="D121" s="6" cm="1">
        <f t="array" ref="D121">_xlfn.LET(
  _xlpm.aralık, Y121:BF121,
  _xlpm.ilk, MATCH(TRUE, _xlpm.aralık&lt;&gt;0, 0),
  _xlpm.son, MIN(_xlpm.ilk+2, COLUMNS(_xlpm.aralık)),
  MAX(INDEX(_xlpm.aralık, _xlpm.ilk):INDEX(_xlpm.aralık, _xlpm.son))
)</f>
        <v>800.02345628335195</v>
      </c>
      <c r="E121" s="6">
        <f t="shared" si="13"/>
        <v>805.84477424818863</v>
      </c>
      <c r="F121" s="6">
        <f t="shared" si="14"/>
        <v>963.18670702937607</v>
      </c>
      <c r="G121" s="6">
        <f t="shared" si="21"/>
        <v>1132.3616512127842</v>
      </c>
      <c r="H121" s="7">
        <f t="shared" si="15"/>
        <v>7.2764341084205521E-3</v>
      </c>
      <c r="I121" s="7">
        <f t="shared" si="16"/>
        <v>0.20394808360248257</v>
      </c>
      <c r="J121" s="7">
        <f t="shared" si="17"/>
        <v>0.19525091904700789</v>
      </c>
      <c r="K121" s="7">
        <f t="shared" si="22"/>
        <v>0.41541056367692902</v>
      </c>
      <c r="L121" s="5" t="s">
        <v>419</v>
      </c>
      <c r="M121" s="7">
        <f>IF(R121="",(VLOOKUP(A121,[1]Export!$B$2:$H$680,7,0)),"CHURN")</f>
        <v>9.1671888907496002E-2</v>
      </c>
      <c r="N121" s="5">
        <f t="shared" si="23"/>
        <v>1028.5559197196972</v>
      </c>
      <c r="O121" s="5">
        <f t="shared" si="24"/>
        <v>731.9714616266225</v>
      </c>
      <c r="P121" s="5">
        <f t="shared" si="25"/>
        <v>874.88956222540219</v>
      </c>
      <c r="Q121" s="5" t="s">
        <v>430</v>
      </c>
      <c r="T121" s="6" t="str" cm="1">
        <f t="array" ref="T121">IF(R121&lt;&gt;"Churn","",
 _xlfn.LET(
   _xlpm.rng,Y121:BF121,
   _xlpm.pos,MAX(IF((_xlpm.rng&lt;&gt;0)*(_xlpm.rng&lt;&gt;""),COLUMN(_xlpm.rng)-COLUMN(Y121)+1)),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1" s="6" t="str" cm="1">
        <f t="array" ref="U121">IF(R121="Churn",
   MAX(IF((Y121:BF121&lt;&gt;"")*(Y121:BF121&lt;&gt;0), COLUMN(Y121:BF121)-COLUMN(Y121)+1))
   -MATCH(1, --((Y121:BF121&lt;&gt;"")*(Y121:BF121&lt;&gt;0)), 0)
   +1,
"")</f>
        <v/>
      </c>
      <c r="V121" s="6" t="str" cm="1">
        <f t="array" ref="V121">IFERROR(
    IF(
        MATCH(2,1/((Y121:BF121&lt;&gt;0)*(Y121:BF121&lt;&gt;"")))-MATCH(1,INDEX((Y121:BF121&lt;&gt;0)*(Y121:BF121&lt;&gt;""),0),0)+1 &lt;= 12,
        "No",
        "Yes"
    ),
    "No"
)</f>
        <v>Yes</v>
      </c>
      <c r="W121" s="6" t="str" cm="1">
        <f t="array" ref="W121">IFERROR(
    IF(
        MATCH(2,1/((Y121:BF121&lt;&gt;0)*(Y121:BF121&lt;&gt;"")))-MATCH(1,INDEX((Y121:BF121&lt;&gt;0)*(Y121:BF121&lt;&gt;""),0),0)+1 &lt;= 24,
        "No",
        "Yes"
    ),
    "No"
)</f>
        <v>Yes</v>
      </c>
      <c r="Y121" s="8">
        <v>800.02345628335195</v>
      </c>
      <c r="Z121" s="8">
        <v>797.2438999771565</v>
      </c>
      <c r="AA121" s="8">
        <v>791.38326539437116</v>
      </c>
      <c r="AB121" s="8">
        <v>777.32322944561565</v>
      </c>
      <c r="AC121" s="8">
        <v>762.58636966949871</v>
      </c>
      <c r="AD121" s="8">
        <v>641.306694044648</v>
      </c>
      <c r="AE121" s="8">
        <v>761.57633317048601</v>
      </c>
      <c r="AF121" s="8">
        <v>747.16783401388852</v>
      </c>
      <c r="AG121" s="8">
        <v>897.12836042510389</v>
      </c>
      <c r="AH121" s="8">
        <v>869.47704546296734</v>
      </c>
      <c r="AI121" s="8">
        <v>845.54086674200312</v>
      </c>
      <c r="AJ121" s="8">
        <v>832.36646564698833</v>
      </c>
      <c r="AK121" s="8">
        <v>805.84477424818863</v>
      </c>
      <c r="AL121" s="8">
        <v>787.32905180445789</v>
      </c>
      <c r="AM121" s="8">
        <v>757.18587013052115</v>
      </c>
      <c r="AN121" s="8">
        <v>749.6443793754828</v>
      </c>
      <c r="AO121" s="8">
        <v>750.7341784577153</v>
      </c>
      <c r="AP121" s="8">
        <v>744.37774629320495</v>
      </c>
      <c r="AQ121" s="8">
        <v>735.7551027615159</v>
      </c>
      <c r="AR121" s="8">
        <v>719.9159395423377</v>
      </c>
      <c r="AS121" s="8">
        <v>711.67364676643285</v>
      </c>
      <c r="AT121" s="8">
        <v>998.88054201406476</v>
      </c>
      <c r="AU121" s="8">
        <v>993.37450522553763</v>
      </c>
      <c r="AV121" s="8">
        <v>977.92862856275133</v>
      </c>
      <c r="AW121" s="8">
        <v>963.18670702937607</v>
      </c>
      <c r="AX121" s="8">
        <v>1022.4419671553992</v>
      </c>
      <c r="AY121" s="8">
        <v>996.93335848026391</v>
      </c>
      <c r="AZ121" s="8">
        <v>970.30216901289873</v>
      </c>
      <c r="BA121" s="8">
        <v>954.03567662715921</v>
      </c>
      <c r="BB121" s="8">
        <v>937.8379498361179</v>
      </c>
      <c r="BC121" s="8">
        <v>919.79846669692552</v>
      </c>
      <c r="BD121" s="8">
        <v>905.63298851336742</v>
      </c>
      <c r="BE121" s="8">
        <v>894.67082365868907</v>
      </c>
      <c r="BF121" s="8">
        <v>1132.3616512127842</v>
      </c>
      <c r="BH121" s="8">
        <f t="shared" si="18"/>
        <v>9523.1238202760778</v>
      </c>
      <c r="BI121" s="8">
        <f t="shared" si="19"/>
        <v>9732.6443651822119</v>
      </c>
      <c r="BJ121" s="8">
        <f t="shared" si="20"/>
        <v>9697.2017582229819</v>
      </c>
    </row>
    <row r="122" spans="1:62" x14ac:dyDescent="0.25">
      <c r="A122" s="9" t="s">
        <v>277</v>
      </c>
      <c r="B122" s="9" t="s">
        <v>644</v>
      </c>
      <c r="C122" s="10">
        <f>VLOOKUP(A122,'[2]Revenue_Engine_2025 Oct.25'!$C$14:G$3937,5,0)</f>
        <v>45356</v>
      </c>
      <c r="D122" s="6" cm="1">
        <f t="array" ref="D122">_xlfn.LET(
  _xlpm.aralık, Y122:BF122,
  _xlpm.ilk, MATCH(TRUE, _xlpm.aralık&lt;&gt;0, 0),
  _xlpm.son, MIN(_xlpm.ilk+2, COLUMNS(_xlpm.aralık)),
  MAX(INDEX(_xlpm.aralık, _xlpm.ilk):INDEX(_xlpm.aralık, _xlpm.son))
)</f>
        <v>1303.0928909767333</v>
      </c>
      <c r="E122" s="6">
        <f t="shared" si="13"/>
        <v>1250.0166161926047</v>
      </c>
      <c r="F122" s="6">
        <f t="shared" si="14"/>
        <v>0</v>
      </c>
      <c r="G122" s="6">
        <f t="shared" si="21"/>
        <v>1108.3055466456403</v>
      </c>
      <c r="H122" s="7">
        <f t="shared" si="15"/>
        <v>-4.0730998650714209E-2</v>
      </c>
      <c r="I122" s="7">
        <f t="shared" si="16"/>
        <v>-1</v>
      </c>
      <c r="J122" s="7">
        <f t="shared" si="17"/>
        <v>-1</v>
      </c>
      <c r="K122" s="7">
        <f t="shared" si="22"/>
        <v>-0.14948078197640241</v>
      </c>
      <c r="L122" s="5" t="s">
        <v>416</v>
      </c>
      <c r="M122" s="7">
        <f>IF(R122="",(VLOOKUP(A122,[1]Export!$B$2:$H$680,7,0)),"CHURN")</f>
        <v>6.0000013323245227E-2</v>
      </c>
      <c r="N122" s="5">
        <f t="shared" si="23"/>
        <v>1041.8071990806752</v>
      </c>
      <c r="O122" s="5">
        <f t="shared" si="24"/>
        <v>1175.0156025667704</v>
      </c>
      <c r="P122" s="5">
        <f t="shared" si="25"/>
        <v>0</v>
      </c>
      <c r="Q122" s="5" t="s">
        <v>430</v>
      </c>
      <c r="T122" s="6" t="str" cm="1">
        <f t="array" ref="T122">IF(R122&lt;&gt;"Churn","",
 _xlfn.LET(
   _xlpm.rng,Y122:BF122,
   _xlpm.pos,MAX(IF((_xlpm.rng&lt;&gt;0)*(_xlpm.rng&lt;&gt;""),COLUMN(_xlpm.rng)-COLUMN(Y122)+1)),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2" s="6" t="str" cm="1">
        <f t="array" ref="U122">IF(R122="Churn",
   MAX(IF((Y122:BF122&lt;&gt;"")*(Y122:BF122&lt;&gt;0), COLUMN(Y122:BF122)-COLUMN(Y122)+1))
   -MATCH(1, --((Y122:BF122&lt;&gt;"")*(Y122:BF122&lt;&gt;0)), 0)
   +1,
"")</f>
        <v/>
      </c>
      <c r="V122" s="6" t="str" cm="1">
        <f t="array" ref="V122">IFERROR(
    IF(
        MATCH(2,1/((Y122:BF122&lt;&gt;0)*(Y122:BF122&lt;&gt;"")))-MATCH(1,INDEX((Y122:BF122&lt;&gt;0)*(Y122:BF122&lt;&gt;""),0),0)+1 &lt;= 12,
        "No",
        "Yes"
    ),
    "No"
)</f>
        <v>Yes</v>
      </c>
      <c r="W122" s="6" t="str" cm="1">
        <f t="array" ref="W122">IFERROR(
    IF(
        MATCH(2,1/((Y122:BF122&lt;&gt;0)*(Y122:BF122&lt;&gt;"")))-MATCH(1,INDEX((Y122:BF122&lt;&gt;0)*(Y122:BF122&lt;&gt;""),0),0)+1 &lt;= 24,
        "No",
        "Yes"
    ),
    "No"
)</f>
        <v>No</v>
      </c>
      <c r="X122" s="6"/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1303.0928909767333</v>
      </c>
      <c r="AM122" s="8">
        <v>939.90287071326065</v>
      </c>
      <c r="AN122" s="8">
        <v>1085.6317540393245</v>
      </c>
      <c r="AO122" s="8">
        <v>1087.2099963656128</v>
      </c>
      <c r="AP122" s="8">
        <v>1078.004638745326</v>
      </c>
      <c r="AQ122" s="8">
        <v>1065.5173636061968</v>
      </c>
      <c r="AR122" s="8">
        <v>1042.5791558089518</v>
      </c>
      <c r="AS122" s="8">
        <v>1030.6427029923966</v>
      </c>
      <c r="AT122" s="8">
        <v>1024.269558656978</v>
      </c>
      <c r="AU122" s="8">
        <v>1018.6235723411745</v>
      </c>
      <c r="AV122" s="8">
        <v>1002.7851005649975</v>
      </c>
      <c r="AW122" s="8">
        <v>987.66847667691957</v>
      </c>
      <c r="AX122" s="8">
        <v>970.25766733475814</v>
      </c>
      <c r="AY122" s="8">
        <v>1250.0166161926047</v>
      </c>
      <c r="AZ122" s="8">
        <v>1216.6247860767719</v>
      </c>
      <c r="BA122" s="8">
        <v>1196.2288532931186</v>
      </c>
      <c r="BB122" s="8">
        <v>1175.9191430591115</v>
      </c>
      <c r="BC122" s="8">
        <v>1153.3001249675794</v>
      </c>
      <c r="BD122" s="8">
        <v>1135.5385735507884</v>
      </c>
      <c r="BE122" s="8">
        <v>1121.7935342247101</v>
      </c>
      <c r="BF122" s="8">
        <v>1108.3055466456403</v>
      </c>
      <c r="BH122" s="8">
        <f t="shared" si="18"/>
        <v>0</v>
      </c>
      <c r="BI122" s="8">
        <f t="shared" si="19"/>
        <v>11678.259604810952</v>
      </c>
      <c r="BJ122" s="8">
        <f t="shared" si="20"/>
        <v>11315.653322022003</v>
      </c>
    </row>
    <row r="123" spans="1:62" x14ac:dyDescent="0.25">
      <c r="A123" s="9" t="s">
        <v>77</v>
      </c>
      <c r="B123" s="9" t="s">
        <v>644</v>
      </c>
      <c r="C123" s="10">
        <v>44927</v>
      </c>
      <c r="D123" s="6" cm="1">
        <f t="array" ref="D123">_xlfn.LET(
  _xlpm.aralık, Y123:BF123,
  _xlpm.ilk, MATCH(TRUE, _xlpm.aralık&lt;&gt;0, 0),
  _xlpm.son, MIN(_xlpm.ilk+2, COLUMNS(_xlpm.aralık)),
  MAX(INDEX(_xlpm.aralık, _xlpm.ilk):INDEX(_xlpm.aralık, _xlpm.son))
)</f>
        <v>661.40185523463981</v>
      </c>
      <c r="E123" s="6">
        <f t="shared" si="13"/>
        <v>709.9458044606863</v>
      </c>
      <c r="F123" s="6">
        <f t="shared" si="14"/>
        <v>993.26980142224238</v>
      </c>
      <c r="G123" s="6">
        <f t="shared" si="21"/>
        <v>1044.4400769778294</v>
      </c>
      <c r="H123" s="7">
        <f t="shared" si="15"/>
        <v>7.3395544390822701E-2</v>
      </c>
      <c r="I123" s="7">
        <f t="shared" si="16"/>
        <v>0.50176446219653958</v>
      </c>
      <c r="J123" s="7">
        <f t="shared" si="17"/>
        <v>0.39907834539114501</v>
      </c>
      <c r="K123" s="7">
        <f t="shared" si="22"/>
        <v>0.57913085473173109</v>
      </c>
      <c r="L123" s="5" t="s">
        <v>421</v>
      </c>
      <c r="M123" s="7">
        <f>IF(R123="",(VLOOKUP(A123,[1]Export!$B$2:$H$680,7,0)),"CHURN")</f>
        <v>0.61822785597794505</v>
      </c>
      <c r="N123" s="5">
        <f t="shared" si="23"/>
        <v>398.73812749038603</v>
      </c>
      <c r="O123" s="5">
        <f t="shared" si="24"/>
        <v>271.03753190841877</v>
      </c>
      <c r="P123" s="5">
        <f t="shared" si="25"/>
        <v>379.20274168133022</v>
      </c>
      <c r="Q123" s="5" t="str">
        <f>VLOOKUP(A123,[4]Sheet2!$A$1:$B$142,2,0)</f>
        <v>LOW RISK</v>
      </c>
      <c r="T123" s="6" t="str" cm="1">
        <f t="array" ref="T123">IF(R123&lt;&gt;"Churn","",
 _xlfn.LET(
   _xlpm.rng,Y123:BF123,
   _xlpm.pos,MAX(IF((_xlpm.rng&lt;&gt;0)*(_xlpm.rng&lt;&gt;""),COLUMN(_xlpm.rng)-COLUMN(Y123)+1)),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3" s="6" t="str" cm="1">
        <f t="array" ref="U123">IF(R123="Churn",
   MAX(IF((Y123:BF123&lt;&gt;"")*(Y123:BF123&lt;&gt;0), COLUMN(Y123:BF123)-COLUMN(Y123)+1))
   -MATCH(1, --((Y123:BF123&lt;&gt;"")*(Y123:BF123&lt;&gt;0)), 0)
   +1,
"")</f>
        <v/>
      </c>
      <c r="V123" s="6" t="str" cm="1">
        <f t="array" ref="V123">IFERROR(
    IF(
        MATCH(2,1/((Y123:BF123&lt;&gt;0)*(Y123:BF123&lt;&gt;"")))-MATCH(1,INDEX((Y123:BF123&lt;&gt;0)*(Y123:BF123&lt;&gt;""),0),0)+1 &lt;= 12,
        "No",
        "Yes"
    ),
    "No"
)</f>
        <v>Yes</v>
      </c>
      <c r="W123" s="6" t="str" cm="1">
        <f t="array" ref="W123">IFERROR(
    IF(
        MATCH(2,1/((Y123:BF123&lt;&gt;0)*(Y123:BF123&lt;&gt;"")))-MATCH(1,INDEX((Y123:BF123&lt;&gt;0)*(Y123:BF123&lt;&gt;""),0),0)+1 &lt;= 24,
        "No",
        "Yes"
    ),
    "No"
)</f>
        <v>Yes</v>
      </c>
      <c r="Y123" s="8">
        <v>556.72382907832809</v>
      </c>
      <c r="Z123" s="8">
        <v>555.48239809389236</v>
      </c>
      <c r="AA123" s="8">
        <v>661.40185523463981</v>
      </c>
      <c r="AB123" s="8">
        <v>653.23833663971482</v>
      </c>
      <c r="AC123" s="8">
        <v>663.93893395056705</v>
      </c>
      <c r="AD123" s="8">
        <v>618.32177211890189</v>
      </c>
      <c r="AE123" s="8">
        <v>598.83600281763745</v>
      </c>
      <c r="AF123" s="8">
        <v>716.89634398814007</v>
      </c>
      <c r="AG123" s="8">
        <v>681.46774493026919</v>
      </c>
      <c r="AH123" s="8">
        <v>691.71762497378222</v>
      </c>
      <c r="AI123" s="8">
        <v>678.94928075877533</v>
      </c>
      <c r="AJ123" s="8">
        <v>689.14204024067249</v>
      </c>
      <c r="AK123" s="8">
        <v>709.9458044606863</v>
      </c>
      <c r="AL123" s="8">
        <v>699.68584710811103</v>
      </c>
      <c r="AM123" s="8">
        <v>682.98286620172814</v>
      </c>
      <c r="AN123" s="8">
        <v>678.80396506747968</v>
      </c>
      <c r="AO123" s="8">
        <v>699.40784602003555</v>
      </c>
      <c r="AP123" s="8">
        <v>720.88561116689357</v>
      </c>
      <c r="AQ123" s="8">
        <v>693.10762018272089</v>
      </c>
      <c r="AR123" s="8">
        <v>890.09367240978713</v>
      </c>
      <c r="AS123" s="8">
        <v>892.17066988816043</v>
      </c>
      <c r="AT123" s="8">
        <v>875.97432098259617</v>
      </c>
      <c r="AU123" s="8">
        <v>885.19971519291255</v>
      </c>
      <c r="AV123" s="8">
        <v>876.01358747722236</v>
      </c>
      <c r="AW123" s="8">
        <v>993.26980142224238</v>
      </c>
      <c r="AX123" s="8">
        <v>980.95016680111667</v>
      </c>
      <c r="AY123" s="8">
        <v>963.82187491046307</v>
      </c>
      <c r="AZ123" s="8">
        <v>945.93980253240488</v>
      </c>
      <c r="BA123" s="8">
        <v>935.01732404020765</v>
      </c>
      <c r="BB123" s="8">
        <v>924.14101965311454</v>
      </c>
      <c r="BC123" s="8">
        <v>912.02802922311116</v>
      </c>
      <c r="BD123" s="8">
        <v>1071.4624955065119</v>
      </c>
      <c r="BE123" s="8">
        <v>1053.3715807066656</v>
      </c>
      <c r="BF123" s="8">
        <v>1044.4400769778294</v>
      </c>
      <c r="BH123" s="8">
        <f t="shared" si="18"/>
        <v>7766.1161628253212</v>
      </c>
      <c r="BI123" s="8">
        <f t="shared" si="19"/>
        <v>9304.2715261583344</v>
      </c>
      <c r="BJ123" s="8">
        <f t="shared" si="20"/>
        <v>9824.4421717736659</v>
      </c>
    </row>
    <row r="124" spans="1:62" x14ac:dyDescent="0.25">
      <c r="A124" s="9" t="s">
        <v>48</v>
      </c>
      <c r="B124" s="9" t="s">
        <v>644</v>
      </c>
      <c r="C124" s="10">
        <v>44927</v>
      </c>
      <c r="D124" s="6" cm="1">
        <f t="array" ref="D124">_xlfn.LET(
  _xlpm.aralık, Y124:BF124,
  _xlpm.ilk, MATCH(TRUE, _xlpm.aralık&lt;&gt;0, 0),
  _xlpm.son, MIN(_xlpm.ilk+2, COLUMNS(_xlpm.aralık)),
  MAX(INDEX(_xlpm.aralık, _xlpm.ilk):INDEX(_xlpm.aralık, _xlpm.son))
)</f>
        <v>568.14002334966392</v>
      </c>
      <c r="E124" s="6">
        <f t="shared" si="13"/>
        <v>672.53024711940407</v>
      </c>
      <c r="F124" s="6">
        <f t="shared" si="14"/>
        <v>1050.1545597134634</v>
      </c>
      <c r="G124" s="6">
        <f t="shared" si="21"/>
        <v>1026.1386228007293</v>
      </c>
      <c r="H124" s="7">
        <f t="shared" si="15"/>
        <v>0.18374030957064397</v>
      </c>
      <c r="I124" s="7">
        <f t="shared" si="16"/>
        <v>0.84840799196282257</v>
      </c>
      <c r="J124" s="7">
        <f t="shared" si="17"/>
        <v>0.5614978868407895</v>
      </c>
      <c r="K124" s="7">
        <f t="shared" si="22"/>
        <v>0.80613683357630384</v>
      </c>
      <c r="L124" s="5" t="s">
        <v>418</v>
      </c>
      <c r="M124" s="7">
        <f>IF(R124="",(VLOOKUP(A124,[1]Export!$B$2:$H$680,7,0)),"CHURN")</f>
        <v>0.28815841998421576</v>
      </c>
      <c r="N124" s="5">
        <f t="shared" si="23"/>
        <v>730.44813856969199</v>
      </c>
      <c r="O124" s="5">
        <f t="shared" si="24"/>
        <v>478.73499371788239</v>
      </c>
      <c r="P124" s="5">
        <f t="shared" si="25"/>
        <v>747.54368104721198</v>
      </c>
      <c r="Q124" s="5" t="str">
        <f>VLOOKUP(A124,[4]Sheet2!$A$1:$B$142,2,0)</f>
        <v>NO RISK</v>
      </c>
      <c r="T124" s="6" t="str" cm="1">
        <f t="array" ref="T124">IF(R124&lt;&gt;"Churn","",
 _xlfn.LET(
   _xlpm.rng,Y124:BF124,
   _xlpm.pos,MAX(IF((_xlpm.rng&lt;&gt;0)*(_xlpm.rng&lt;&gt;""),COLUMN(_xlpm.rng)-COLUMN(Y124)+1)),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4" s="6" t="str" cm="1">
        <f t="array" ref="U124">IF(R124="Churn",
   MAX(IF((Y124:BF124&lt;&gt;"")*(Y124:BF124&lt;&gt;0), COLUMN(Y124:BF124)-COLUMN(Y124)+1))
   -MATCH(1, --((Y124:BF124&lt;&gt;"")*(Y124:BF124&lt;&gt;0)), 0)
   +1,
"")</f>
        <v/>
      </c>
      <c r="V124" s="6" t="str" cm="1">
        <f t="array" ref="V124">IFERROR(
    IF(
        MATCH(2,1/((Y124:BF124&lt;&gt;0)*(Y124:BF124&lt;&gt;"")))-MATCH(1,INDEX((Y124:BF124&lt;&gt;0)*(Y124:BF124&lt;&gt;""),0),0)+1 &lt;= 12,
        "No",
        "Yes"
    ),
    "No"
)</f>
        <v>Yes</v>
      </c>
      <c r="W124" s="6" t="str" cm="1">
        <f t="array" ref="W124">IFERROR(
    IF(
        MATCH(2,1/((Y124:BF124&lt;&gt;0)*(Y124:BF124&lt;&gt;"")))-MATCH(1,INDEX((Y124:BF124&lt;&gt;0)*(Y124:BF124&lt;&gt;""),0),0)+1 &lt;= 24,
        "No",
        "Yes"
    ),
    "No"
)</f>
        <v>Yes</v>
      </c>
      <c r="Y124" s="8">
        <v>568.14002334966392</v>
      </c>
      <c r="Z124" s="8">
        <v>566.40931379059384</v>
      </c>
      <c r="AA124" s="8">
        <v>567.68198940749846</v>
      </c>
      <c r="AB124" s="8">
        <v>558.83996940517932</v>
      </c>
      <c r="AC124" s="8">
        <v>549.57200157187958</v>
      </c>
      <c r="AD124" s="8">
        <v>473.30216630770451</v>
      </c>
      <c r="AE124" s="8">
        <v>546.25427411118812</v>
      </c>
      <c r="AF124" s="8">
        <v>537.24387159737876</v>
      </c>
      <c r="AG124" s="8">
        <v>629.4552097988194</v>
      </c>
      <c r="AH124" s="8">
        <v>612.21176147576955</v>
      </c>
      <c r="AI124" s="8">
        <v>597.28499866470281</v>
      </c>
      <c r="AJ124" s="8">
        <v>589.06935310926133</v>
      </c>
      <c r="AK124" s="8">
        <v>672.53024711940407</v>
      </c>
      <c r="AL124" s="8">
        <v>660.98371747425858</v>
      </c>
      <c r="AM124" s="8">
        <v>647.91008901922214</v>
      </c>
      <c r="AN124" s="8">
        <v>643.16999213692611</v>
      </c>
      <c r="AO124" s="8">
        <v>643.8549698687583</v>
      </c>
      <c r="AP124" s="8">
        <v>639.85972472901028</v>
      </c>
      <c r="AQ124" s="8">
        <v>634.4400846274292</v>
      </c>
      <c r="AR124" s="8">
        <v>625.29632575328822</v>
      </c>
      <c r="AS124" s="8">
        <v>620.10645633707702</v>
      </c>
      <c r="AT124" s="8">
        <v>616.53799988001424</v>
      </c>
      <c r="AU124" s="8">
        <v>1168.8873724804835</v>
      </c>
      <c r="AV124" s="8">
        <v>959.30132543711863</v>
      </c>
      <c r="AW124" s="8">
        <v>1050.1545597134634</v>
      </c>
      <c r="AX124" s="8">
        <v>1041.6102783817084</v>
      </c>
      <c r="AY124" s="8">
        <v>1100.2236261391902</v>
      </c>
      <c r="AZ124" s="8">
        <v>1082.9611385044288</v>
      </c>
      <c r="BA124" s="8">
        <v>1070.4254394724835</v>
      </c>
      <c r="BB124" s="8">
        <v>1061.0926480212831</v>
      </c>
      <c r="BC124" s="8">
        <v>1049.3993530218463</v>
      </c>
      <c r="BD124" s="8">
        <v>1040.2172099454431</v>
      </c>
      <c r="BE124" s="8">
        <v>1033.1114726862797</v>
      </c>
      <c r="BF124" s="8">
        <v>1026.1386228007293</v>
      </c>
      <c r="BH124" s="8">
        <f t="shared" si="18"/>
        <v>6795.4649325896389</v>
      </c>
      <c r="BI124" s="8">
        <f t="shared" si="19"/>
        <v>8532.8783048629903</v>
      </c>
      <c r="BJ124" s="8">
        <f t="shared" si="20"/>
        <v>10555.334348686856</v>
      </c>
    </row>
    <row r="125" spans="1:62" x14ac:dyDescent="0.25">
      <c r="A125" s="9" t="s">
        <v>450</v>
      </c>
      <c r="B125" s="9" t="s">
        <v>644</v>
      </c>
      <c r="C125" s="10">
        <f>VLOOKUP(A125,'[2]Revenue_Engine_2025 Oct.25'!$C$14:G$3937,5,0)</f>
        <v>45870</v>
      </c>
      <c r="D125" s="6" cm="1">
        <f t="array" ref="D125">_xlfn.LET(
  _xlpm.aralık, Y125:BF125,
  _xlpm.ilk, MATCH(TRUE, _xlpm.aralık&lt;&gt;0, 0),
  _xlpm.son, MIN(_xlpm.ilk+2, COLUMNS(_xlpm.aralık)),
  MAX(INDEX(_xlpm.aralık, _xlpm.ilk):INDEX(_xlpm.aralık, _xlpm.son))
)</f>
        <v>1000</v>
      </c>
      <c r="E125" s="6">
        <f t="shared" si="13"/>
        <v>0</v>
      </c>
      <c r="F125" s="6">
        <f t="shared" si="14"/>
        <v>0</v>
      </c>
      <c r="G125" s="6">
        <f t="shared" si="21"/>
        <v>1000</v>
      </c>
      <c r="H125" s="7">
        <f t="shared" si="15"/>
        <v>-1</v>
      </c>
      <c r="I125" s="7">
        <f t="shared" si="16"/>
        <v>-1</v>
      </c>
      <c r="J125" s="7" t="e">
        <f t="shared" si="17"/>
        <v>#DIV/0!</v>
      </c>
      <c r="K125" s="7">
        <f t="shared" si="22"/>
        <v>0</v>
      </c>
      <c r="L125" s="5" t="s">
        <v>418</v>
      </c>
      <c r="M125" s="7">
        <f>IF(R125="",(VLOOKUP(A125,[1]Export!$B$2:$H$680,7,0)),"CHURN")</f>
        <v>0</v>
      </c>
      <c r="N125" s="5">
        <f t="shared" si="23"/>
        <v>1000</v>
      </c>
      <c r="O125" s="5">
        <f t="shared" si="24"/>
        <v>0</v>
      </c>
      <c r="P125" s="5">
        <f t="shared" si="25"/>
        <v>0</v>
      </c>
      <c r="Q125" s="5" t="s">
        <v>430</v>
      </c>
      <c r="T125" s="6" t="str" cm="1">
        <f t="array" ref="T125">IF(R125&lt;&gt;"Churn","",
 _xlfn.LET(
   _xlpm.rng,Y125:BF125,
   _xlpm.pos,MAX(IF((_xlpm.rng&lt;&gt;0)*(_xlpm.rng&lt;&gt;""),COLUMN(_xlpm.rng)-COLUMN(Y125)+1)),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5" s="6" t="str" cm="1">
        <f t="array" ref="U125">IF(R125="Churn",
   MAX(IF((Y125:BF125&lt;&gt;"")*(Y125:BF125&lt;&gt;0), COLUMN(Y125:BF125)-COLUMN(Y125)+1))
   -MATCH(1, --((Y125:BF125&lt;&gt;"")*(Y125:BF125&lt;&gt;0)), 0)
   +1,
"")</f>
        <v/>
      </c>
      <c r="V125" s="6" t="str" cm="1">
        <f t="array" ref="V125">IFERROR(
    IF(
        MATCH(2,1/((Y125:BF125&lt;&gt;0)*(Y125:BF125&lt;&gt;"")))-MATCH(1,INDEX((Y125:BF125&lt;&gt;0)*(Y125:BF125&lt;&gt;""),0),0)+1 &lt;= 12,
        "No",
        "Yes"
    ),
    "No"
)</f>
        <v>No</v>
      </c>
      <c r="W125" s="6" t="str" cm="1">
        <f t="array" ref="W125">IFERROR(
    IF(
        MATCH(2,1/((Y125:BF125&lt;&gt;0)*(Y125:BF125&lt;&gt;"")))-MATCH(1,INDEX((Y125:BF125&lt;&gt;0)*(Y125:BF125&lt;&gt;""),0),0)+1 &lt;= 24,
        "No",
        "Yes"
    ),
    "No"
)</f>
        <v>No</v>
      </c>
      <c r="X125" s="6"/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1000</v>
      </c>
      <c r="BE125" s="8">
        <v>1000</v>
      </c>
      <c r="BF125" s="8">
        <v>1000</v>
      </c>
      <c r="BH125" s="8">
        <f t="shared" si="18"/>
        <v>0</v>
      </c>
      <c r="BI125" s="8">
        <f t="shared" si="19"/>
        <v>0</v>
      </c>
      <c r="BJ125" s="8">
        <f t="shared" si="20"/>
        <v>3000</v>
      </c>
    </row>
    <row r="126" spans="1:62" x14ac:dyDescent="0.25">
      <c r="A126" s="9" t="s">
        <v>170</v>
      </c>
      <c r="B126" s="9" t="s">
        <v>644</v>
      </c>
      <c r="C126" s="10">
        <v>44927</v>
      </c>
      <c r="D126" s="6" cm="1">
        <f t="array" ref="D126">_xlfn.LET(
  _xlpm.aralık, Y126:BF126,
  _xlpm.ilk, MATCH(TRUE, _xlpm.aralık&lt;&gt;0, 0),
  _xlpm.son, MIN(_xlpm.ilk+2, COLUMNS(_xlpm.aralık)),
  MAX(INDEX(_xlpm.aralık, _xlpm.ilk):INDEX(_xlpm.aralık, _xlpm.son))
)</f>
        <v>494.28786190646281</v>
      </c>
      <c r="E126" s="6">
        <f t="shared" si="13"/>
        <v>960.17988048041229</v>
      </c>
      <c r="F126" s="6">
        <f t="shared" si="14"/>
        <v>1120.9779195671192</v>
      </c>
      <c r="G126" s="6">
        <f t="shared" si="21"/>
        <v>986.29480514279953</v>
      </c>
      <c r="H126" s="7">
        <f t="shared" si="15"/>
        <v>0.94255201164966729</v>
      </c>
      <c r="I126" s="7">
        <f t="shared" si="16"/>
        <v>1.2678645501095653</v>
      </c>
      <c r="J126" s="7">
        <f t="shared" si="17"/>
        <v>0.16746657824808192</v>
      </c>
      <c r="K126" s="7">
        <f t="shared" si="22"/>
        <v>0.99538544470558388</v>
      </c>
      <c r="L126" s="5" t="s">
        <v>424</v>
      </c>
      <c r="M126" s="7">
        <f>IF(R126="",(VLOOKUP(A126,[1]Export!$B$2:$H$680,7,0)),"CHURN")</f>
        <v>6.3822337678991467E-2</v>
      </c>
      <c r="N126" s="5">
        <f t="shared" si="23"/>
        <v>923.34716503794073</v>
      </c>
      <c r="O126" s="5">
        <f t="shared" si="24"/>
        <v>898.89895591581774</v>
      </c>
      <c r="P126" s="5">
        <f t="shared" si="25"/>
        <v>1049.4344882538132</v>
      </c>
      <c r="Q126" s="5" t="s">
        <v>430</v>
      </c>
      <c r="T126" s="6" t="str" cm="1">
        <f t="array" ref="T126">IF(R126&lt;&gt;"Churn","",
 _xlfn.LET(
   _xlpm.rng,Y126:BF126,
   _xlpm.pos,MAX(IF((_xlpm.rng&lt;&gt;0)*(_xlpm.rng&lt;&gt;""),COLUMN(_xlpm.rng)-COLUMN(Y126)+1)),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6" s="6" t="str" cm="1">
        <f t="array" ref="U126">IF(R126="Churn",
   MAX(IF((Y126:BF126&lt;&gt;"")*(Y126:BF126&lt;&gt;0), COLUMN(Y126:BF126)-COLUMN(Y126)+1))
   -MATCH(1, --((Y126:BF126&lt;&gt;"")*(Y126:BF126&lt;&gt;0)), 0)
   +1,
"")</f>
        <v/>
      </c>
      <c r="V126" s="6" t="str" cm="1">
        <f t="array" ref="V126">IFERROR(
    IF(
        MATCH(2,1/((Y126:BF126&lt;&gt;0)*(Y126:BF126&lt;&gt;"")))-MATCH(1,INDEX((Y126:BF126&lt;&gt;0)*(Y126:BF126&lt;&gt;""),0),0)+1 &lt;= 12,
        "No",
        "Yes"
    ),
    "No"
)</f>
        <v>Yes</v>
      </c>
      <c r="W126" s="6" t="str" cm="1">
        <f t="array" ref="W126">IFERROR(
    IF(
        MATCH(2,1/((Y126:BF126&lt;&gt;0)*(Y126:BF126&lt;&gt;"")))-MATCH(1,INDEX((Y126:BF126&lt;&gt;0)*(Y126:BF126&lt;&gt;""),0),0)+1 &lt;= 24,
        "No",
        "Yes"
    ),
    "No"
)</f>
        <v>Yes</v>
      </c>
      <c r="X126" s="6"/>
      <c r="Y126" s="8">
        <v>494.28786190646281</v>
      </c>
      <c r="Z126" s="8">
        <v>492.57053607951678</v>
      </c>
      <c r="AA126" s="8">
        <v>488.94959157521714</v>
      </c>
      <c r="AB126" s="8">
        <v>657.67271489322025</v>
      </c>
      <c r="AC126" s="8">
        <v>657.56195759990248</v>
      </c>
      <c r="AD126" s="8">
        <v>582.63042819048928</v>
      </c>
      <c r="AE126" s="8">
        <v>656.93804096557108</v>
      </c>
      <c r="AF126" s="8">
        <v>648.03577917686891</v>
      </c>
      <c r="AG126" s="8">
        <v>647.60738016578023</v>
      </c>
      <c r="AH126" s="8">
        <v>633.39218773868083</v>
      </c>
      <c r="AI126" s="8">
        <v>761.39456648905457</v>
      </c>
      <c r="AJ126" s="8">
        <v>752.43563443463643</v>
      </c>
      <c r="AK126" s="8">
        <v>960.17988048041229</v>
      </c>
      <c r="AL126" s="8">
        <v>942.40102110358919</v>
      </c>
      <c r="AM126" s="8">
        <v>913.4574360082961</v>
      </c>
      <c r="AN126" s="8">
        <v>906.21607105303144</v>
      </c>
      <c r="AO126" s="8">
        <v>907.26249982138677</v>
      </c>
      <c r="AP126" s="8">
        <v>901.15903213685101</v>
      </c>
      <c r="AQ126" s="8">
        <v>892.87954062512347</v>
      </c>
      <c r="AR126" s="8">
        <v>877.67072247740577</v>
      </c>
      <c r="AS126" s="8">
        <v>869.75644504908792</v>
      </c>
      <c r="AT126" s="8">
        <v>865.53083186765264</v>
      </c>
      <c r="AU126" s="8">
        <v>861.78734938198647</v>
      </c>
      <c r="AV126" s="8">
        <v>851.28589961263845</v>
      </c>
      <c r="AW126" s="8">
        <v>1120.9779195671192</v>
      </c>
      <c r="AX126" s="8">
        <v>1105.2261814517269</v>
      </c>
      <c r="AY126" s="8">
        <v>1083.3261514165083</v>
      </c>
      <c r="AZ126" s="8">
        <v>1060.462346626661</v>
      </c>
      <c r="BA126" s="8">
        <v>1046.4969956993643</v>
      </c>
      <c r="BB126" s="8">
        <v>1032.5906824329788</v>
      </c>
      <c r="BC126" s="8">
        <v>1017.103157119486</v>
      </c>
      <c r="BD126" s="8">
        <v>1004.9416001473276</v>
      </c>
      <c r="BE126" s="8">
        <v>995.53019936785313</v>
      </c>
      <c r="BF126" s="8">
        <v>986.29480514279953</v>
      </c>
      <c r="BH126" s="8">
        <f t="shared" si="18"/>
        <v>7473.4766792154005</v>
      </c>
      <c r="BI126" s="8">
        <f t="shared" si="19"/>
        <v>10749.586729617462</v>
      </c>
      <c r="BJ126" s="8">
        <f t="shared" si="20"/>
        <v>10452.950038971825</v>
      </c>
    </row>
    <row r="127" spans="1:62" x14ac:dyDescent="0.25">
      <c r="A127" s="9" t="s">
        <v>79</v>
      </c>
      <c r="B127" s="9" t="s">
        <v>644</v>
      </c>
      <c r="C127" s="10">
        <v>44927</v>
      </c>
      <c r="D127" s="6" cm="1">
        <f t="array" ref="D127">_xlfn.LET(
  _xlpm.aralık, Y127:BF127,
  _xlpm.ilk, MATCH(TRUE, _xlpm.aralık&lt;&gt;0, 0),
  _xlpm.son, MIN(_xlpm.ilk+2, COLUMNS(_xlpm.aralık)),
  MAX(INDEX(_xlpm.aralık, _xlpm.ilk):INDEX(_xlpm.aralık, _xlpm.son))
)</f>
        <v>329.67736287843229</v>
      </c>
      <c r="E127" s="6">
        <f t="shared" si="13"/>
        <v>574.13846686828344</v>
      </c>
      <c r="F127" s="6">
        <f t="shared" si="14"/>
        <v>959.79531910150399</v>
      </c>
      <c r="G127" s="6">
        <f t="shared" si="21"/>
        <v>962.98591693967592</v>
      </c>
      <c r="H127" s="7">
        <f t="shared" si="15"/>
        <v>0.74151619588147333</v>
      </c>
      <c r="I127" s="7">
        <f t="shared" si="16"/>
        <v>1.9113170243824904</v>
      </c>
      <c r="J127" s="7">
        <f t="shared" si="17"/>
        <v>0.67171401062332303</v>
      </c>
      <c r="K127" s="7">
        <f t="shared" si="22"/>
        <v>1.9209949646884752</v>
      </c>
      <c r="L127" s="5" t="s">
        <v>413</v>
      </c>
      <c r="M127" s="7">
        <f>IF(R127="",(VLOOKUP(A127,[1]Export!$B$2:$H$680,7,0)),"CHURN")</f>
        <v>0.45448729886535749</v>
      </c>
      <c r="N127" s="5">
        <f t="shared" si="23"/>
        <v>525.3210487043832</v>
      </c>
      <c r="O127" s="5">
        <f t="shared" si="24"/>
        <v>313.19982588661981</v>
      </c>
      <c r="P127" s="5">
        <f t="shared" si="25"/>
        <v>523.58053705944769</v>
      </c>
      <c r="Q127" s="5" t="s">
        <v>430</v>
      </c>
      <c r="T127" s="6" t="str" cm="1">
        <f t="array" ref="T127">IF(R127&lt;&gt;"Churn","",
 _xlfn.LET(
   _xlpm.rng,Y127:BF127,
   _xlpm.pos,MAX(IF((_xlpm.rng&lt;&gt;0)*(_xlpm.rng&lt;&gt;""),COLUMN(_xlpm.rng)-COLUMN(Y127)+1)),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7" s="6" t="str" cm="1">
        <f t="array" ref="U127">IF(R127="Churn",
   MAX(IF((Y127:BF127&lt;&gt;"")*(Y127:BF127&lt;&gt;0), COLUMN(Y127:BF127)-COLUMN(Y127)+1))
   -MATCH(1, --((Y127:BF127&lt;&gt;"")*(Y127:BF127&lt;&gt;0)), 0)
   +1,
"")</f>
        <v/>
      </c>
      <c r="V127" s="6" t="str" cm="1">
        <f t="array" ref="V127">IFERROR(
    IF(
        MATCH(2,1/((Y127:BF127&lt;&gt;0)*(Y127:BF127&lt;&gt;"")))-MATCH(1,INDEX((Y127:BF127&lt;&gt;0)*(Y127:BF127&lt;&gt;""),0),0)+1 &lt;= 12,
        "No",
        "Yes"
    ),
    "No"
)</f>
        <v>Yes</v>
      </c>
      <c r="W127" s="6" t="str" cm="1">
        <f t="array" ref="W127">IFERROR(
    IF(
        MATCH(2,1/((Y127:BF127&lt;&gt;0)*(Y127:BF127&lt;&gt;"")))-MATCH(1,INDEX((Y127:BF127&lt;&gt;0)*(Y127:BF127&lt;&gt;""),0),0)+1 &lt;= 24,
        "No",
        "Yes"
    ),
    "No"
)</f>
        <v>Yes</v>
      </c>
      <c r="Y127" s="8">
        <v>305.89799715326018</v>
      </c>
      <c r="Z127" s="8">
        <v>304.8629971790881</v>
      </c>
      <c r="AA127" s="8">
        <v>329.67736287843229</v>
      </c>
      <c r="AB127" s="8">
        <v>475.33623051781558</v>
      </c>
      <c r="AC127" s="8">
        <v>483.05906642546444</v>
      </c>
      <c r="AD127" s="8">
        <v>552.55321100133324</v>
      </c>
      <c r="AE127" s="8">
        <v>551.03251871797488</v>
      </c>
      <c r="AF127" s="8">
        <v>550.1010734070735</v>
      </c>
      <c r="AG127" s="8">
        <v>550.05624941999235</v>
      </c>
      <c r="AH127" s="8">
        <v>548.56889397514681</v>
      </c>
      <c r="AI127" s="8">
        <v>547.28137452812689</v>
      </c>
      <c r="AJ127" s="8">
        <v>569.90861144882263</v>
      </c>
      <c r="AK127" s="8">
        <v>574.13846686828344</v>
      </c>
      <c r="AL127" s="8">
        <v>690.13681843355198</v>
      </c>
      <c r="AM127" s="8">
        <v>786.04270309729247</v>
      </c>
      <c r="AN127" s="8">
        <v>648.10276724370567</v>
      </c>
      <c r="AO127" s="8">
        <v>722.41432638036804</v>
      </c>
      <c r="AP127" s="8">
        <v>797.34292385592926</v>
      </c>
      <c r="AQ127" s="8">
        <v>796.59991189695529</v>
      </c>
      <c r="AR127" s="8">
        <v>795.23505346940476</v>
      </c>
      <c r="AS127" s="8">
        <v>807.02481628061742</v>
      </c>
      <c r="AT127" s="8">
        <v>819.14560445059658</v>
      </c>
      <c r="AU127" s="8">
        <v>818.80965963428503</v>
      </c>
      <c r="AV127" s="8">
        <v>853.18573853673638</v>
      </c>
      <c r="AW127" s="8">
        <v>959.79531910150399</v>
      </c>
      <c r="AX127" s="8">
        <v>958.04809524601569</v>
      </c>
      <c r="AY127" s="8">
        <v>955.61888682259382</v>
      </c>
      <c r="AZ127" s="8">
        <v>953.08277399089229</v>
      </c>
      <c r="BA127" s="8">
        <v>951.53370085929942</v>
      </c>
      <c r="BB127" s="8">
        <v>949.9911763389623</v>
      </c>
      <c r="BC127" s="8">
        <v>948.27325965624573</v>
      </c>
      <c r="BD127" s="8">
        <v>946.92426805252717</v>
      </c>
      <c r="BE127" s="8">
        <v>945.88033094317461</v>
      </c>
      <c r="BF127" s="8">
        <v>962.98591693967592</v>
      </c>
      <c r="BH127" s="8">
        <f t="shared" si="18"/>
        <v>5768.3355866525317</v>
      </c>
      <c r="BI127" s="8">
        <f t="shared" si="19"/>
        <v>9108.1787901477273</v>
      </c>
      <c r="BJ127" s="8">
        <f t="shared" si="20"/>
        <v>9532.1337279508916</v>
      </c>
    </row>
    <row r="128" spans="1:62" x14ac:dyDescent="0.25">
      <c r="A128" s="9" t="s">
        <v>183</v>
      </c>
      <c r="B128" s="9" t="s">
        <v>644</v>
      </c>
      <c r="C128" s="10">
        <v>44927</v>
      </c>
      <c r="D128" s="6" cm="1">
        <f t="array" ref="D128">_xlfn.LET(
  _xlpm.aralık, Y128:BF128,
  _xlpm.ilk, MATCH(TRUE, _xlpm.aralık&lt;&gt;0, 0),
  _xlpm.son, MIN(_xlpm.ilk+2, COLUMNS(_xlpm.aralık)),
  MAX(INDEX(_xlpm.aralık, _xlpm.ilk):INDEX(_xlpm.aralık, _xlpm.son))
)</f>
        <v>453.13274657085134</v>
      </c>
      <c r="E128" s="6">
        <f t="shared" si="13"/>
        <v>589.09419790669835</v>
      </c>
      <c r="F128" s="6">
        <f t="shared" si="14"/>
        <v>916.86049030674155</v>
      </c>
      <c r="G128" s="6">
        <f t="shared" si="21"/>
        <v>962.37628205711974</v>
      </c>
      <c r="H128" s="7">
        <f t="shared" si="15"/>
        <v>0.3000477285403787</v>
      </c>
      <c r="I128" s="7">
        <f t="shared" si="16"/>
        <v>1.0233816629789352</v>
      </c>
      <c r="J128" s="7">
        <f t="shared" si="17"/>
        <v>0.5563902913400538</v>
      </c>
      <c r="K128" s="7">
        <f t="shared" si="22"/>
        <v>1.1238285896131845</v>
      </c>
      <c r="L128" s="5" t="s">
        <v>424</v>
      </c>
      <c r="M128" s="7">
        <f>IF(R128="",(VLOOKUP(A128,[1]Export!$B$2:$H$680,7,0)),"CHURN")</f>
        <v>5.1439004182085926E-2</v>
      </c>
      <c r="N128" s="5">
        <f t="shared" si="23"/>
        <v>912.8726044596433</v>
      </c>
      <c r="O128" s="5">
        <f t="shared" si="24"/>
        <v>558.7917789969332</v>
      </c>
      <c r="P128" s="5">
        <f t="shared" si="25"/>
        <v>869.69809971146378</v>
      </c>
      <c r="Q128" s="5" t="s">
        <v>430</v>
      </c>
      <c r="T128" s="6" t="str" cm="1">
        <f t="array" ref="T128">IF(R128&lt;&gt;"Churn","",
 _xlfn.LET(
   _xlpm.rng,Y128:BF128,
   _xlpm.pos,MAX(IF((_xlpm.rng&lt;&gt;0)*(_xlpm.rng&lt;&gt;""),COLUMN(_xlpm.rng)-COLUMN(Y128)+1)),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8" s="6" t="str" cm="1">
        <f t="array" ref="U128">IF(R128="Churn",
   MAX(IF((Y128:BF128&lt;&gt;"")*(Y128:BF128&lt;&gt;0), COLUMN(Y128:BF128)-COLUMN(Y128)+1))
   -MATCH(1, --((Y128:BF128&lt;&gt;"")*(Y128:BF128&lt;&gt;0)), 0)
   +1,
"")</f>
        <v/>
      </c>
      <c r="V128" s="6" t="str" cm="1">
        <f t="array" ref="V128">IFERROR(
    IF(
        MATCH(2,1/((Y128:BF128&lt;&gt;0)*(Y128:BF128&lt;&gt;"")))-MATCH(1,INDEX((Y128:BF128&lt;&gt;0)*(Y128:BF128&lt;&gt;""),0),0)+1 &lt;= 12,
        "No",
        "Yes"
    ),
    "No"
)</f>
        <v>Yes</v>
      </c>
      <c r="W128" s="6" t="str" cm="1">
        <f t="array" ref="W128">IFERROR(
    IF(
        MATCH(2,1/((Y128:BF128&lt;&gt;0)*(Y128:BF128&lt;&gt;"")))-MATCH(1,INDEX((Y128:BF128&lt;&gt;0)*(Y128:BF128&lt;&gt;""),0),0)+1 &lt;= 24,
        "No",
        "Yes"
    ),
    "No"
)</f>
        <v>Yes</v>
      </c>
      <c r="Y128" s="8">
        <v>453.13274657085134</v>
      </c>
      <c r="Z128" s="8">
        <v>451.55840775192979</v>
      </c>
      <c r="AA128" s="8">
        <v>448.23894827322533</v>
      </c>
      <c r="AB128" s="8">
        <v>440.27535338571744</v>
      </c>
      <c r="AC128" s="8">
        <v>431.92802552949303</v>
      </c>
      <c r="AD128" s="8">
        <v>363.23535947488972</v>
      </c>
      <c r="AE128" s="8">
        <v>321.90743454862883</v>
      </c>
      <c r="AF128" s="8">
        <v>461.06148330069885</v>
      </c>
      <c r="AG128" s="8">
        <v>460.63361260314855</v>
      </c>
      <c r="AH128" s="8">
        <v>446.43595074548415</v>
      </c>
      <c r="AI128" s="8">
        <v>617.66976688859427</v>
      </c>
      <c r="AJ128" s="8">
        <v>608.18606248256435</v>
      </c>
      <c r="AK128" s="8">
        <v>589.09419790669835</v>
      </c>
      <c r="AL128" s="8">
        <v>575.76549800952557</v>
      </c>
      <c r="AM128" s="8">
        <v>554.06667293268424</v>
      </c>
      <c r="AN128" s="8">
        <v>548.63786682713339</v>
      </c>
      <c r="AO128" s="8">
        <v>549.42236794284383</v>
      </c>
      <c r="AP128" s="8">
        <v>544.84663631827618</v>
      </c>
      <c r="AQ128" s="8">
        <v>538.63955321344736</v>
      </c>
      <c r="AR128" s="8">
        <v>794.52044148749201</v>
      </c>
      <c r="AS128" s="8">
        <v>785.52704503024188</v>
      </c>
      <c r="AT128" s="8">
        <v>780.72526559303731</v>
      </c>
      <c r="AU128" s="8">
        <v>776.47135581677571</v>
      </c>
      <c r="AV128" s="8">
        <v>764.53802368291372</v>
      </c>
      <c r="AW128" s="8">
        <v>916.86049030674155</v>
      </c>
      <c r="AX128" s="8">
        <v>900.85655145552482</v>
      </c>
      <c r="AY128" s="8">
        <v>878.60588051648972</v>
      </c>
      <c r="AZ128" s="8">
        <v>855.37600384622465</v>
      </c>
      <c r="BA128" s="8">
        <v>841.18705398945667</v>
      </c>
      <c r="BB128" s="8">
        <v>827.05808704430274</v>
      </c>
      <c r="BC128" s="8">
        <v>811.32259130040109</v>
      </c>
      <c r="BD128" s="8">
        <v>985.80242299683732</v>
      </c>
      <c r="BE128" s="8">
        <v>973.97879319629521</v>
      </c>
      <c r="BF128" s="8">
        <v>962.37628205711974</v>
      </c>
      <c r="BH128" s="8">
        <f t="shared" si="18"/>
        <v>5504.2631515552248</v>
      </c>
      <c r="BI128" s="8">
        <f t="shared" si="19"/>
        <v>7802.2549247610696</v>
      </c>
      <c r="BJ128" s="8">
        <f t="shared" si="20"/>
        <v>8953.4241567093941</v>
      </c>
    </row>
    <row r="129" spans="1:62" x14ac:dyDescent="0.25">
      <c r="A129" s="9" t="s">
        <v>451</v>
      </c>
      <c r="B129" s="9" t="s">
        <v>644</v>
      </c>
      <c r="C129" s="10">
        <f>VLOOKUP(A129,'[2]Revenue_Engine_2025 Oct.25'!$C$14:G$3937,5,0)</f>
        <v>45870</v>
      </c>
      <c r="D129" s="6" cm="1">
        <f t="array" ref="D129">_xlfn.LET(
  _xlpm.aralık, Y129:BF129,
  _xlpm.ilk, MATCH(TRUE, _xlpm.aralık&lt;&gt;0, 0),
  _xlpm.son, MIN(_xlpm.ilk+2, COLUMNS(_xlpm.aralık)),
  MAX(INDEX(_xlpm.aralık, _xlpm.ilk):INDEX(_xlpm.aralık, _xlpm.son))
)</f>
        <v>953.33333333333337</v>
      </c>
      <c r="E129" s="6">
        <f t="shared" si="13"/>
        <v>0</v>
      </c>
      <c r="F129" s="6">
        <f t="shared" si="14"/>
        <v>0</v>
      </c>
      <c r="G129" s="6">
        <f t="shared" si="21"/>
        <v>953.33333333333337</v>
      </c>
      <c r="H129" s="7">
        <f t="shared" si="15"/>
        <v>-1</v>
      </c>
      <c r="I129" s="7">
        <f t="shared" si="16"/>
        <v>-1</v>
      </c>
      <c r="J129" s="7" t="e">
        <f t="shared" si="17"/>
        <v>#DIV/0!</v>
      </c>
      <c r="K129" s="7">
        <f t="shared" si="22"/>
        <v>0</v>
      </c>
      <c r="L129" s="5" t="s">
        <v>421</v>
      </c>
      <c r="M129" s="7">
        <f>IF(R129="",(VLOOKUP(A129,[1]Export!$B$2:$H$680,7,0)),"CHURN")</f>
        <v>0.3283216783216783</v>
      </c>
      <c r="N129" s="5">
        <f t="shared" si="23"/>
        <v>640.33333333333348</v>
      </c>
      <c r="O129" s="5">
        <f t="shared" si="24"/>
        <v>0</v>
      </c>
      <c r="P129" s="5">
        <f t="shared" si="25"/>
        <v>0</v>
      </c>
      <c r="Q129" s="5" t="s">
        <v>430</v>
      </c>
      <c r="T129" s="6" t="str" cm="1">
        <f t="array" ref="T129">IF(R129&lt;&gt;"Churn","",
 _xlfn.LET(
   _xlpm.rng,Y129:BF129,
   _xlpm.pos,MAX(IF((_xlpm.rng&lt;&gt;0)*(_xlpm.rng&lt;&gt;""),COLUMN(_xlpm.rng)-COLUMN(Y129)+1)),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29" s="6" t="str" cm="1">
        <f t="array" ref="U129">IF(R129="Churn",
   MAX(IF((Y129:BF129&lt;&gt;"")*(Y129:BF129&lt;&gt;0), COLUMN(Y129:BF129)-COLUMN(Y129)+1))
   -MATCH(1, --((Y129:BF129&lt;&gt;"")*(Y129:BF129&lt;&gt;0)), 0)
   +1,
"")</f>
        <v/>
      </c>
      <c r="V129" s="6" t="str" cm="1">
        <f t="array" ref="V129">IFERROR(
    IF(
        MATCH(2,1/((Y129:BF129&lt;&gt;0)*(Y129:BF129&lt;&gt;"")))-MATCH(1,INDEX((Y129:BF129&lt;&gt;0)*(Y129:BF129&lt;&gt;""),0),0)+1 &lt;= 12,
        "No",
        "Yes"
    ),
    "No"
)</f>
        <v>No</v>
      </c>
      <c r="W129" s="6" t="str" cm="1">
        <f t="array" ref="W129">IFERROR(
    IF(
        MATCH(2,1/((Y129:BF129&lt;&gt;0)*(Y129:BF129&lt;&gt;"")))-MATCH(1,INDEX((Y129:BF129&lt;&gt;0)*(Y129:BF129&lt;&gt;""),0),0)+1 &lt;= 24,
        "No",
        "Yes"
    ),
    "No"
)</f>
        <v>No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953.33333333333337</v>
      </c>
      <c r="BE129" s="8">
        <v>953.33333333333337</v>
      </c>
      <c r="BF129" s="8">
        <v>953.33333333333337</v>
      </c>
      <c r="BH129" s="8">
        <f t="shared" si="18"/>
        <v>0</v>
      </c>
      <c r="BI129" s="8">
        <f t="shared" si="19"/>
        <v>0</v>
      </c>
      <c r="BJ129" s="8">
        <f t="shared" si="20"/>
        <v>2860</v>
      </c>
    </row>
    <row r="130" spans="1:62" x14ac:dyDescent="0.25">
      <c r="A130" s="9" t="s">
        <v>452</v>
      </c>
      <c r="B130" s="9" t="s">
        <v>643</v>
      </c>
      <c r="C130" s="10">
        <f>VLOOKUP(A130,'[2]Revenue_Engine_2025 Oct.25'!$C$14:G$3937,5,0)</f>
        <v>45901</v>
      </c>
      <c r="D130" s="6" cm="1">
        <f t="array" ref="D130">_xlfn.LET(
  _xlpm.aralık, Y130:BF130,
  _xlpm.ilk, MATCH(TRUE, _xlpm.aralık&lt;&gt;0, 0),
  _xlpm.son, MIN(_xlpm.ilk+2, COLUMNS(_xlpm.aralık)),
  MAX(INDEX(_xlpm.aralık, _xlpm.ilk):INDEX(_xlpm.aralık, _xlpm.son))
)</f>
        <v>924.9</v>
      </c>
      <c r="E130" s="6">
        <f t="shared" ref="E130:E193" si="26">IFERROR(INDEX($Y130:$BF130,MATCH(TEXT(EDATE($C130,12),"mmm.yy"),$Y$1:$BF$1,0)),0)</f>
        <v>0</v>
      </c>
      <c r="F130" s="6">
        <f t="shared" ref="F130:F193" si="27">IFERROR(INDEX($Y130:$BF130,MATCH(TEXT(EDATE($C130,24),"mmm.yy"),$Y$1:$BF$1,0)),0)</f>
        <v>0</v>
      </c>
      <c r="G130" s="6">
        <f t="shared" si="21"/>
        <v>924.9</v>
      </c>
      <c r="H130" s="7">
        <f t="shared" ref="H130:H193" si="28">(E130-D130)/D130</f>
        <v>-1</v>
      </c>
      <c r="I130" s="7">
        <f t="shared" ref="I130:I193" si="29">(F130-D130)/D130</f>
        <v>-1</v>
      </c>
      <c r="J130" s="7" t="e">
        <f t="shared" ref="J130:J193" si="30">(F130-E130)/E130</f>
        <v>#DIV/0!</v>
      </c>
      <c r="K130" s="7">
        <f t="shared" si="22"/>
        <v>0</v>
      </c>
      <c r="L130" s="5" t="s">
        <v>422</v>
      </c>
      <c r="M130" s="7">
        <f>IF(R130="",(VLOOKUP(A130,[1]Export!$B$2:$H$680,7,0)),"CHURN")</f>
        <v>0</v>
      </c>
      <c r="N130" s="5">
        <f t="shared" si="23"/>
        <v>924.9</v>
      </c>
      <c r="O130" s="5">
        <f t="shared" si="24"/>
        <v>0</v>
      </c>
      <c r="P130" s="5">
        <f t="shared" si="25"/>
        <v>0</v>
      </c>
      <c r="Q130" s="5" t="s">
        <v>430</v>
      </c>
      <c r="T130" s="6" t="str" cm="1">
        <f t="array" ref="T130">IF(R130&lt;&gt;"Churn","",
 _xlfn.LET(
   _xlpm.rng,Y130:BF130,
   _xlpm.pos,MAX(IF((_xlpm.rng&lt;&gt;0)*(_xlpm.rng&lt;&gt;""),COLUMN(_xlpm.rng)-COLUMN(Y130)+1)),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0" s="6" t="str" cm="1">
        <f t="array" ref="U130">IF(R130="Churn",
   MAX(IF((Y130:BF130&lt;&gt;"")*(Y130:BF130&lt;&gt;0), COLUMN(Y130:BF130)-COLUMN(Y130)+1))
   -MATCH(1, --((Y130:BF130&lt;&gt;"")*(Y130:BF130&lt;&gt;0)), 0)
   +1,
"")</f>
        <v/>
      </c>
      <c r="V130" s="6" t="str" cm="1">
        <f t="array" ref="V130">IFERROR(
    IF(
        MATCH(2,1/((Y130:BF130&lt;&gt;0)*(Y130:BF130&lt;&gt;"")))-MATCH(1,INDEX((Y130:BF130&lt;&gt;0)*(Y130:BF130&lt;&gt;""),0),0)+1 &lt;= 12,
        "No",
        "Yes"
    ),
    "No"
)</f>
        <v>No</v>
      </c>
      <c r="W130" s="6" t="str" cm="1">
        <f t="array" ref="W130">IFERROR(
    IF(
        MATCH(2,1/((Y130:BF130&lt;&gt;0)*(Y130:BF130&lt;&gt;"")))-MATCH(1,INDEX((Y130:BF130&lt;&gt;0)*(Y130:BF130&lt;&gt;""),0),0)+1 &lt;= 24,
        "No",
        "Yes"
    ),
    "No"
)</f>
        <v>No</v>
      </c>
      <c r="X130" s="6"/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924.9</v>
      </c>
      <c r="BF130" s="8">
        <v>924.9</v>
      </c>
      <c r="BH130" s="8">
        <f t="shared" ref="BH130:BH193" si="31">SUM(Y130:AJ130)</f>
        <v>0</v>
      </c>
      <c r="BI130" s="8">
        <f t="shared" ref="BI130:BI193" si="32">SUM(AK130:AV130)</f>
        <v>0</v>
      </c>
      <c r="BJ130" s="8">
        <f t="shared" ref="BJ130:BJ193" si="33">SUM(AW130:BF130)</f>
        <v>1849.8</v>
      </c>
    </row>
    <row r="131" spans="1:62" x14ac:dyDescent="0.25">
      <c r="A131" s="9" t="s">
        <v>2</v>
      </c>
      <c r="B131" s="9" t="s">
        <v>644</v>
      </c>
      <c r="C131" s="10">
        <v>44927</v>
      </c>
      <c r="D131" s="6" cm="1">
        <f t="array" ref="D131">_xlfn.LET(
  _xlpm.aralık, Y131:BF131,
  _xlpm.ilk, MATCH(TRUE, _xlpm.aralık&lt;&gt;0, 0),
  _xlpm.son, MIN(_xlpm.ilk+2, COLUMNS(_xlpm.aralık)),
  MAX(INDEX(_xlpm.aralık, _xlpm.ilk):INDEX(_xlpm.aralık, _xlpm.son))
)</f>
        <v>625</v>
      </c>
      <c r="E131" s="6">
        <f t="shared" si="26"/>
        <v>875</v>
      </c>
      <c r="F131" s="6">
        <f t="shared" si="27"/>
        <v>1067.500002</v>
      </c>
      <c r="G131" s="6">
        <f t="shared" ref="G131:G194" si="34">BF131</f>
        <v>915.85400200000015</v>
      </c>
      <c r="H131" s="7">
        <f t="shared" si="28"/>
        <v>0.4</v>
      </c>
      <c r="I131" s="7">
        <f t="shared" si="29"/>
        <v>0.70800000320000001</v>
      </c>
      <c r="J131" s="7">
        <f t="shared" si="30"/>
        <v>0.22000000228571429</v>
      </c>
      <c r="K131" s="7">
        <f t="shared" ref="K131:K194" si="35">IF(R131="",((BF131-D131)/D131),((T131-D131)/D131))</f>
        <v>0.46536640320000022</v>
      </c>
      <c r="L131" s="5" t="s">
        <v>414</v>
      </c>
      <c r="M131" s="7">
        <v>0</v>
      </c>
      <c r="N131" s="5">
        <f t="shared" ref="N131:N194" si="36">(1-M131)*G131</f>
        <v>915.85400200000015</v>
      </c>
      <c r="O131" s="5">
        <f t="shared" ref="O131:O194" si="37">(1-M131)*E131</f>
        <v>875</v>
      </c>
      <c r="P131" s="5">
        <f t="shared" ref="P131:P194" si="38">(1-M131)*F131</f>
        <v>1067.500002</v>
      </c>
      <c r="Q131" s="5" t="s">
        <v>430</v>
      </c>
      <c r="T131" s="6" t="str" cm="1">
        <f t="array" ref="T131">IF(R131&lt;&gt;"Churn","",
 _xlfn.LET(
   _xlpm.rng,Y131:BF131,
   _xlpm.pos,MAX(IF((_xlpm.rng&lt;&gt;0)*(_xlpm.rng&lt;&gt;""),COLUMN(_xlpm.rng)-COLUMN(Y131)+1)),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1" s="6" t="str" cm="1">
        <f t="array" ref="U131">IF(R131="Churn",
   MAX(IF((Y131:BF131&lt;&gt;"")*(Y131:BF131&lt;&gt;0), COLUMN(Y131:BF131)-COLUMN(Y131)+1))
   -MATCH(1, --((Y131:BF131&lt;&gt;"")*(Y131:BF131&lt;&gt;0)), 0)
   +1,
"")</f>
        <v/>
      </c>
      <c r="V131" s="6" t="str" cm="1">
        <f t="array" ref="V131">IFERROR(
    IF(
        MATCH(2,1/((Y131:BF131&lt;&gt;0)*(Y131:BF131&lt;&gt;"")))-MATCH(1,INDEX((Y131:BF131&lt;&gt;0)*(Y131:BF131&lt;&gt;""),0),0)+1 &lt;= 12,
        "No",
        "Yes"
    ),
    "No"
)</f>
        <v>Yes</v>
      </c>
      <c r="W131" s="6" t="str" cm="1">
        <f t="array" ref="W131">IFERROR(
    IF(
        MATCH(2,1/((Y131:BF131&lt;&gt;0)*(Y131:BF131&lt;&gt;"")))-MATCH(1,INDEX((Y131:BF131&lt;&gt;0)*(Y131:BF131&lt;&gt;""),0),0)+1 &lt;= 24,
        "No",
        "Yes"
    ),
    "No"
)</f>
        <v>Yes</v>
      </c>
      <c r="Y131" s="8">
        <v>625</v>
      </c>
      <c r="Z131" s="8">
        <v>625</v>
      </c>
      <c r="AA131" s="8">
        <v>625</v>
      </c>
      <c r="AB131" s="8">
        <v>625</v>
      </c>
      <c r="AC131" s="8">
        <v>625</v>
      </c>
      <c r="AD131" s="8">
        <v>625</v>
      </c>
      <c r="AE131" s="8">
        <v>625</v>
      </c>
      <c r="AF131" s="8">
        <v>625</v>
      </c>
      <c r="AG131" s="8">
        <v>625</v>
      </c>
      <c r="AH131" s="8">
        <v>875</v>
      </c>
      <c r="AI131" s="8">
        <v>875</v>
      </c>
      <c r="AJ131" s="8">
        <v>875</v>
      </c>
      <c r="AK131" s="8">
        <v>875</v>
      </c>
      <c r="AL131" s="8">
        <v>875</v>
      </c>
      <c r="AM131" s="8">
        <v>875</v>
      </c>
      <c r="AN131" s="8">
        <v>875</v>
      </c>
      <c r="AO131" s="8">
        <v>875</v>
      </c>
      <c r="AP131" s="8">
        <v>875</v>
      </c>
      <c r="AQ131" s="8">
        <v>875</v>
      </c>
      <c r="AR131" s="8">
        <v>875</v>
      </c>
      <c r="AS131" s="8">
        <v>875</v>
      </c>
      <c r="AT131" s="8">
        <v>875</v>
      </c>
      <c r="AU131" s="8">
        <v>875</v>
      </c>
      <c r="AV131" s="8">
        <v>875</v>
      </c>
      <c r="AW131" s="8">
        <v>1067.500002</v>
      </c>
      <c r="AX131" s="8">
        <v>1067.500002</v>
      </c>
      <c r="AY131" s="8">
        <v>1067.500002</v>
      </c>
      <c r="AZ131" s="8">
        <v>1067.500002</v>
      </c>
      <c r="BA131" s="8">
        <v>1067.500002</v>
      </c>
      <c r="BB131" s="8">
        <v>1067.500002</v>
      </c>
      <c r="BC131" s="8">
        <v>915.85400200000015</v>
      </c>
      <c r="BD131" s="8">
        <v>915.85400200000015</v>
      </c>
      <c r="BE131" s="8">
        <v>915.85400200000015</v>
      </c>
      <c r="BF131" s="8">
        <v>915.85400200000015</v>
      </c>
      <c r="BH131" s="8">
        <f t="shared" si="31"/>
        <v>8250</v>
      </c>
      <c r="BI131" s="8">
        <f t="shared" si="32"/>
        <v>10500</v>
      </c>
      <c r="BJ131" s="8">
        <f t="shared" si="33"/>
        <v>10068.416020000001</v>
      </c>
    </row>
    <row r="132" spans="1:62" x14ac:dyDescent="0.25">
      <c r="A132" s="9" t="s">
        <v>35</v>
      </c>
      <c r="B132" s="9" t="s">
        <v>644</v>
      </c>
      <c r="C132" s="10">
        <v>44927</v>
      </c>
      <c r="D132" s="6" cm="1">
        <f t="array" ref="D132">_xlfn.LET(
  _xlpm.aralık, Y132:BF132,
  _xlpm.ilk, MATCH(TRUE, _xlpm.aralık&lt;&gt;0, 0),
  _xlpm.son, MIN(_xlpm.ilk+2, COLUMNS(_xlpm.aralık)),
  MAX(INDEX(_xlpm.aralık, _xlpm.ilk):INDEX(_xlpm.aralık, _xlpm.son))
)</f>
        <v>1153.27</v>
      </c>
      <c r="E132" s="6">
        <f t="shared" si="26"/>
        <v>895.54999900000018</v>
      </c>
      <c r="F132" s="6">
        <f t="shared" si="27"/>
        <v>915.54999900000018</v>
      </c>
      <c r="G132" s="6">
        <f t="shared" si="34"/>
        <v>915.54999900000018</v>
      </c>
      <c r="H132" s="7">
        <f t="shared" si="28"/>
        <v>-0.22346891968056032</v>
      </c>
      <c r="I132" s="7">
        <f t="shared" si="29"/>
        <v>-0.2061269269121713</v>
      </c>
      <c r="J132" s="7">
        <f t="shared" si="30"/>
        <v>2.2332644768391089E-2</v>
      </c>
      <c r="K132" s="7">
        <f t="shared" si="35"/>
        <v>-0.2061269269121713</v>
      </c>
      <c r="L132" s="5" t="s">
        <v>418</v>
      </c>
      <c r="M132" s="7">
        <f>IF(R132="",(VLOOKUP(A132,[1]Export!$B$2:$H$680,7,0)),"CHURN")</f>
        <v>0</v>
      </c>
      <c r="N132" s="5">
        <f t="shared" si="36"/>
        <v>915.54999900000018</v>
      </c>
      <c r="O132" s="5">
        <f t="shared" si="37"/>
        <v>895.54999900000018</v>
      </c>
      <c r="P132" s="5">
        <f t="shared" si="38"/>
        <v>915.54999900000018</v>
      </c>
      <c r="Q132" s="5" t="s">
        <v>430</v>
      </c>
      <c r="T132" s="6" t="str" cm="1">
        <f t="array" ref="T132">IF(R132&lt;&gt;"Churn","",
 _xlfn.LET(
   _xlpm.rng,Y132:BF132,
   _xlpm.pos,MAX(IF((_xlpm.rng&lt;&gt;0)*(_xlpm.rng&lt;&gt;""),COLUMN(_xlpm.rng)-COLUMN(Y132)+1)),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2" s="6" t="str" cm="1">
        <f t="array" ref="U132">IF(R132="Churn",
   MAX(IF((Y132:BF132&lt;&gt;"")*(Y132:BF132&lt;&gt;0), COLUMN(Y132:BF132)-COLUMN(Y132)+1))
   -MATCH(1, --((Y132:BF132&lt;&gt;"")*(Y132:BF132&lt;&gt;0)), 0)
   +1,
"")</f>
        <v/>
      </c>
      <c r="V132" s="6" t="str" cm="1">
        <f t="array" ref="V132">IFERROR(
    IF(
        MATCH(2,1/((Y132:BF132&lt;&gt;0)*(Y132:BF132&lt;&gt;"")))-MATCH(1,INDEX((Y132:BF132&lt;&gt;0)*(Y132:BF132&lt;&gt;""),0),0)+1 &lt;= 12,
        "No",
        "Yes"
    ),
    "No"
)</f>
        <v>Yes</v>
      </c>
      <c r="W132" s="6" t="str" cm="1">
        <f t="array" ref="W132">IFERROR(
    IF(
        MATCH(2,1/((Y132:BF132&lt;&gt;0)*(Y132:BF132&lt;&gt;"")))-MATCH(1,INDEX((Y132:BF132&lt;&gt;0)*(Y132:BF132&lt;&gt;""),0),0)+1 &lt;= 24,
        "No",
        "Yes"
    ),
    "No"
)</f>
        <v>Yes</v>
      </c>
      <c r="Y132" s="8">
        <v>759.75914661776403</v>
      </c>
      <c r="Z132" s="8">
        <v>757.11948235469129</v>
      </c>
      <c r="AA132" s="8">
        <v>1153.27</v>
      </c>
      <c r="AB132" s="8">
        <v>1153.27</v>
      </c>
      <c r="AC132" s="8">
        <v>1153.27</v>
      </c>
      <c r="AD132" s="8">
        <v>779.55</v>
      </c>
      <c r="AE132" s="8">
        <v>779.54999900000018</v>
      </c>
      <c r="AF132" s="8">
        <v>779.54999900000018</v>
      </c>
      <c r="AG132" s="8">
        <v>779.54999900000018</v>
      </c>
      <c r="AH132" s="8">
        <v>817.54999900000018</v>
      </c>
      <c r="AI132" s="8">
        <v>895.54999900000018</v>
      </c>
      <c r="AJ132" s="8">
        <v>895.54999900000018</v>
      </c>
      <c r="AK132" s="8">
        <v>895.54999900000018</v>
      </c>
      <c r="AL132" s="8">
        <v>915.54999900000018</v>
      </c>
      <c r="AM132" s="8">
        <v>915.54999900000018</v>
      </c>
      <c r="AN132" s="8">
        <v>915.54999900000018</v>
      </c>
      <c r="AO132" s="8">
        <v>915.54999900000018</v>
      </c>
      <c r="AP132" s="8">
        <v>915.54999900000018</v>
      </c>
      <c r="AQ132" s="8">
        <v>915.54999900000018</v>
      </c>
      <c r="AR132" s="8">
        <v>915.54999900000018</v>
      </c>
      <c r="AS132" s="8">
        <v>915.54999900000018</v>
      </c>
      <c r="AT132" s="8">
        <v>915.54999900000018</v>
      </c>
      <c r="AU132" s="8">
        <v>915.54999900000018</v>
      </c>
      <c r="AV132" s="8">
        <v>915.54999900000018</v>
      </c>
      <c r="AW132" s="8">
        <v>915.54999900000018</v>
      </c>
      <c r="AX132" s="8">
        <v>915.54999900000018</v>
      </c>
      <c r="AY132" s="8">
        <v>915.54999900000018</v>
      </c>
      <c r="AZ132" s="8">
        <v>915.54999900000007</v>
      </c>
      <c r="BA132" s="8">
        <v>915.54999900000018</v>
      </c>
      <c r="BB132" s="8">
        <v>915.54999900000018</v>
      </c>
      <c r="BC132" s="8">
        <v>915.54999900000018</v>
      </c>
      <c r="BD132" s="8">
        <v>915.54999900000018</v>
      </c>
      <c r="BE132" s="8">
        <v>915.54999900000018</v>
      </c>
      <c r="BF132" s="8">
        <v>915.54999900000018</v>
      </c>
      <c r="BH132" s="8">
        <f t="shared" si="31"/>
        <v>10703.538622972457</v>
      </c>
      <c r="BI132" s="8">
        <f t="shared" si="32"/>
        <v>10966.599988000004</v>
      </c>
      <c r="BJ132" s="8">
        <f t="shared" si="33"/>
        <v>9155.4999900000003</v>
      </c>
    </row>
    <row r="133" spans="1:62" x14ac:dyDescent="0.25">
      <c r="A133" s="9" t="s">
        <v>334</v>
      </c>
      <c r="B133" s="9" t="s">
        <v>644</v>
      </c>
      <c r="C133" s="10">
        <v>44927</v>
      </c>
      <c r="D133" s="6" cm="1">
        <f t="array" ref="D133">_xlfn.LET(
  _xlpm.aralık, Y133:BF133,
  _xlpm.ilk, MATCH(TRUE, _xlpm.aralık&lt;&gt;0, 0),
  _xlpm.son, MIN(_xlpm.ilk+2, COLUMNS(_xlpm.aralık)),
  MAX(INDEX(_xlpm.aralık, _xlpm.ilk):INDEX(_xlpm.aralık, _xlpm.son))
)</f>
        <v>1006.5416519450933</v>
      </c>
      <c r="E133" s="6">
        <f t="shared" si="26"/>
        <v>636.43052802683485</v>
      </c>
      <c r="F133" s="6">
        <f t="shared" si="27"/>
        <v>763.93487033326755</v>
      </c>
      <c r="G133" s="6">
        <f t="shared" si="34"/>
        <v>910.69664973889371</v>
      </c>
      <c r="H133" s="7">
        <f t="shared" si="28"/>
        <v>-0.36770572107278077</v>
      </c>
      <c r="I133" s="7">
        <f t="shared" si="29"/>
        <v>-0.24103004693645796</v>
      </c>
      <c r="J133" s="7">
        <f t="shared" si="30"/>
        <v>0.20034290734252228</v>
      </c>
      <c r="K133" s="7">
        <f t="shared" si="35"/>
        <v>-9.5222092420103807E-2</v>
      </c>
      <c r="L133" s="5" t="s">
        <v>417</v>
      </c>
      <c r="M133" s="7">
        <f>IF(R133="",(VLOOKUP(A133,[1]Export!$B$2:$H$680,7,0)),"CHURN")</f>
        <v>0</v>
      </c>
      <c r="N133" s="5">
        <f t="shared" si="36"/>
        <v>910.69664973889371</v>
      </c>
      <c r="O133" s="5">
        <f t="shared" si="37"/>
        <v>636.43052802683485</v>
      </c>
      <c r="P133" s="5">
        <f t="shared" si="38"/>
        <v>763.93487033326755</v>
      </c>
      <c r="Q133" s="5" t="s">
        <v>430</v>
      </c>
      <c r="T133" s="6" t="str" cm="1">
        <f t="array" ref="T133">IF(R133&lt;&gt;"Churn","",
 _xlfn.LET(
   _xlpm.rng,Y133:BF133,
   _xlpm.pos,MAX(IF((_xlpm.rng&lt;&gt;0)*(_xlpm.rng&lt;&gt;""),COLUMN(_xlpm.rng)-COLUMN(Y133)+1)),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3" s="6" t="str" cm="1">
        <f t="array" ref="U133">IF(R133="Churn",
   MAX(IF((Y133:BF133&lt;&gt;"")*(Y133:BF133&lt;&gt;0), COLUMN(Y133:BF133)-COLUMN(Y133)+1))
   -MATCH(1, --((Y133:BF133&lt;&gt;"")*(Y133:BF133&lt;&gt;0)), 0)
   +1,
"")</f>
        <v/>
      </c>
      <c r="V133" s="6" t="str" cm="1">
        <f t="array" ref="V133">IFERROR(
    IF(
        MATCH(2,1/((Y133:BF133&lt;&gt;0)*(Y133:BF133&lt;&gt;"")))-MATCH(1,INDEX((Y133:BF133&lt;&gt;0)*(Y133:BF133&lt;&gt;""),0),0)+1 &lt;= 12,
        "No",
        "Yes"
    ),
    "No"
)</f>
        <v>Yes</v>
      </c>
      <c r="W133" s="6" t="str" cm="1">
        <f t="array" ref="W133">IFERROR(
    IF(
        MATCH(2,1/((Y133:BF133&lt;&gt;0)*(Y133:BF133&lt;&gt;"")))-MATCH(1,INDEX((Y133:BF133&lt;&gt;0)*(Y133:BF133&lt;&gt;""),0),0)+1 &lt;= 24,
        "No",
        "Yes"
    ),
    "No"
)</f>
        <v>Yes</v>
      </c>
      <c r="Y133" s="8">
        <v>527.35695665385458</v>
      </c>
      <c r="Z133" s="8">
        <v>525.52473743206701</v>
      </c>
      <c r="AA133" s="8">
        <v>1006.5416519450933</v>
      </c>
      <c r="AB133" s="8">
        <v>988.65902486778793</v>
      </c>
      <c r="AC133" s="8">
        <v>969.91493556648641</v>
      </c>
      <c r="AD133" s="8">
        <v>815.66228505008382</v>
      </c>
      <c r="AE133" s="8">
        <v>722.85846294844555</v>
      </c>
      <c r="AF133" s="8">
        <v>709.18152517434964</v>
      </c>
      <c r="AG133" s="8">
        <v>708.52339604221345</v>
      </c>
      <c r="AH133" s="8">
        <v>686.6852684717926</v>
      </c>
      <c r="AI133" s="8">
        <v>667.78123713828904</v>
      </c>
      <c r="AJ133" s="8">
        <v>657.37651489738357</v>
      </c>
      <c r="AK133" s="8">
        <v>636.43052802683485</v>
      </c>
      <c r="AL133" s="8">
        <v>1107.6289573302233</v>
      </c>
      <c r="AM133" s="8">
        <v>1065.2229762329957</v>
      </c>
      <c r="AN133" s="8">
        <v>1054.6134686547164</v>
      </c>
      <c r="AO133" s="8">
        <v>1056.1466180010871</v>
      </c>
      <c r="AP133" s="8">
        <v>833.80744993439578</v>
      </c>
      <c r="AQ133" s="8">
        <v>824.14888014150063</v>
      </c>
      <c r="AR133" s="8">
        <v>806.40679642306077</v>
      </c>
      <c r="AS133" s="8">
        <v>797.17427280811796</v>
      </c>
      <c r="AT133" s="8">
        <v>792.24481792881045</v>
      </c>
      <c r="AU133" s="8">
        <v>787.87780012281689</v>
      </c>
      <c r="AV133" s="8">
        <v>775.62717031298359</v>
      </c>
      <c r="AW133" s="8">
        <v>763.93487033326755</v>
      </c>
      <c r="AX133" s="8">
        <v>1053.4224200438557</v>
      </c>
      <c r="AY133" s="8">
        <v>1027.1408890174316</v>
      </c>
      <c r="AZ133" s="8">
        <v>999.70276249431095</v>
      </c>
      <c r="BA133" s="8">
        <v>982.94338805051302</v>
      </c>
      <c r="BB133" s="8">
        <v>966.25486282995701</v>
      </c>
      <c r="BC133" s="8">
        <v>947.66877521297613</v>
      </c>
      <c r="BD133" s="8">
        <v>933.07407664957668</v>
      </c>
      <c r="BE133" s="8">
        <v>921.7797532541249</v>
      </c>
      <c r="BF133" s="8">
        <v>910.69664973889371</v>
      </c>
      <c r="BH133" s="8">
        <f t="shared" si="31"/>
        <v>8986.0659961878482</v>
      </c>
      <c r="BI133" s="8">
        <f t="shared" si="32"/>
        <v>10537.329735917545</v>
      </c>
      <c r="BJ133" s="8">
        <f t="shared" si="33"/>
        <v>9506.6184476249073</v>
      </c>
    </row>
    <row r="134" spans="1:62" x14ac:dyDescent="0.25">
      <c r="A134" s="9" t="s">
        <v>453</v>
      </c>
      <c r="B134" s="9" t="s">
        <v>644</v>
      </c>
      <c r="C134" s="10">
        <f>VLOOKUP(A134,'[2]Revenue_Engine_2025 Oct.25'!$C$14:G$3937,5,0)</f>
        <v>45497</v>
      </c>
      <c r="D134" s="6" cm="1">
        <f t="array" ref="D134">_xlfn.LET(
  _xlpm.aralık, Y134:BF134,
  _xlpm.ilk, MATCH(TRUE, _xlpm.aralık&lt;&gt;0, 0),
  _xlpm.son, MIN(_xlpm.ilk+2, COLUMNS(_xlpm.aralık)),
  MAX(INDEX(_xlpm.aralık, _xlpm.ilk):INDEX(_xlpm.aralık, _xlpm.son))
)</f>
        <v>824.99999899999989</v>
      </c>
      <c r="E134" s="6">
        <f t="shared" si="26"/>
        <v>907.89999899999998</v>
      </c>
      <c r="F134" s="6">
        <f t="shared" si="27"/>
        <v>0</v>
      </c>
      <c r="G134" s="6">
        <f t="shared" si="34"/>
        <v>907.89999899999998</v>
      </c>
      <c r="H134" s="7">
        <f t="shared" si="28"/>
        <v>0.10048484860664843</v>
      </c>
      <c r="I134" s="7">
        <f t="shared" si="29"/>
        <v>-1</v>
      </c>
      <c r="J134" s="7">
        <f t="shared" si="30"/>
        <v>-1</v>
      </c>
      <c r="K134" s="7">
        <f t="shared" si="35"/>
        <v>0.10048484860664843</v>
      </c>
      <c r="L134" s="5" t="s">
        <v>421</v>
      </c>
      <c r="M134" s="7">
        <f>IF(R134="",(VLOOKUP(A134,[1]Export!$B$2:$H$680,7,0)),"CHURN")</f>
        <v>0.17072364816689464</v>
      </c>
      <c r="N134" s="5">
        <f t="shared" si="36"/>
        <v>752.89999899999998</v>
      </c>
      <c r="O134" s="5">
        <f t="shared" si="37"/>
        <v>752.89999899999998</v>
      </c>
      <c r="P134" s="5">
        <f t="shared" si="38"/>
        <v>0</v>
      </c>
      <c r="Q134" s="5" t="s">
        <v>430</v>
      </c>
      <c r="T134" s="6" t="str" cm="1">
        <f t="array" ref="T134">IF(R134&lt;&gt;"Churn","",
 _xlfn.LET(
   _xlpm.rng,Y134:BF134,
   _xlpm.pos,MAX(IF((_xlpm.rng&lt;&gt;0)*(_xlpm.rng&lt;&gt;""),COLUMN(_xlpm.rng)-COLUMN(Y134)+1)),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4" s="6" t="str" cm="1">
        <f t="array" ref="U134">IF(R134="Churn",
   MAX(IF((Y134:BF134&lt;&gt;"")*(Y134:BF134&lt;&gt;0), COLUMN(Y134:BF134)-COLUMN(Y134)+1))
   -MATCH(1, --((Y134:BF134&lt;&gt;"")*(Y134:BF134&lt;&gt;0)), 0)
   +1,
"")</f>
        <v/>
      </c>
      <c r="V134" s="6" t="str" cm="1">
        <f t="array" ref="V134">IFERROR(
    IF(
        MATCH(2,1/((Y134:BF134&lt;&gt;0)*(Y134:BF134&lt;&gt;"")))-MATCH(1,INDEX((Y134:BF134&lt;&gt;0)*(Y134:BF134&lt;&gt;""),0),0)+1 &lt;= 12,
        "No",
        "Yes"
    ),
    "No"
)</f>
        <v>Yes</v>
      </c>
      <c r="W134" s="6" t="str" cm="1">
        <f t="array" ref="W134">IFERROR(
    IF(
        MATCH(2,1/((Y134:BF134&lt;&gt;0)*(Y134:BF134&lt;&gt;"")))-MATCH(1,INDEX((Y134:BF134&lt;&gt;0)*(Y134:BF134&lt;&gt;""),0),0)+1 &lt;= 24,
        "No",
        "Yes"
    ),
    "No"
)</f>
        <v>No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824.99999899999989</v>
      </c>
      <c r="AR134" s="8">
        <v>824.99999899999989</v>
      </c>
      <c r="AS134" s="8">
        <v>824.99999899999989</v>
      </c>
      <c r="AT134" s="8">
        <v>827.99999899999989</v>
      </c>
      <c r="AU134" s="8">
        <v>827.99999899999989</v>
      </c>
      <c r="AV134" s="8">
        <v>827.99999899999989</v>
      </c>
      <c r="AW134" s="8">
        <v>827.99999899999989</v>
      </c>
      <c r="AX134" s="8">
        <v>827.99999899999989</v>
      </c>
      <c r="AY134" s="8">
        <v>907.89999899999998</v>
      </c>
      <c r="AZ134" s="8">
        <v>907.89999899999998</v>
      </c>
      <c r="BA134" s="8">
        <v>907.89999899999998</v>
      </c>
      <c r="BB134" s="8">
        <v>907.89999899999998</v>
      </c>
      <c r="BC134" s="8">
        <v>907.89999899999998</v>
      </c>
      <c r="BD134" s="8">
        <v>907.89999899999998</v>
      </c>
      <c r="BE134" s="8">
        <v>907.89999899999998</v>
      </c>
      <c r="BF134" s="8">
        <v>907.89999899999998</v>
      </c>
      <c r="BH134" s="8">
        <f t="shared" si="31"/>
        <v>0</v>
      </c>
      <c r="BI134" s="8">
        <f t="shared" si="32"/>
        <v>4958.9999939999989</v>
      </c>
      <c r="BJ134" s="8">
        <f t="shared" si="33"/>
        <v>8919.199990000001</v>
      </c>
    </row>
    <row r="135" spans="1:62" x14ac:dyDescent="0.25">
      <c r="A135" s="9" t="s">
        <v>338</v>
      </c>
      <c r="B135" s="9" t="s">
        <v>644</v>
      </c>
      <c r="C135" s="10">
        <v>44927</v>
      </c>
      <c r="D135" s="6" cm="1">
        <f t="array" ref="D135">_xlfn.LET(
  _xlpm.aralık, Y135:BF135,
  _xlpm.ilk, MATCH(TRUE, _xlpm.aralık&lt;&gt;0, 0),
  _xlpm.son, MIN(_xlpm.ilk+2, COLUMNS(_xlpm.aralık)),
  MAX(INDEX(_xlpm.aralık, _xlpm.ilk):INDEX(_xlpm.aralık, _xlpm.son))
)</f>
        <v>620.41999999999996</v>
      </c>
      <c r="E135" s="6">
        <f t="shared" si="26"/>
        <v>840.41949999999997</v>
      </c>
      <c r="F135" s="6">
        <f t="shared" si="27"/>
        <v>1252.4381582526739</v>
      </c>
      <c r="G135" s="6">
        <f t="shared" si="34"/>
        <v>907.81071766967113</v>
      </c>
      <c r="H135" s="7">
        <f t="shared" si="28"/>
        <v>0.35459769188614171</v>
      </c>
      <c r="I135" s="7">
        <f t="shared" si="29"/>
        <v>1.0186940431525</v>
      </c>
      <c r="J135" s="7">
        <f t="shared" si="30"/>
        <v>0.49025356771549683</v>
      </c>
      <c r="K135" s="7">
        <f t="shared" si="35"/>
        <v>0.463219621658991</v>
      </c>
      <c r="L135" s="5" t="s">
        <v>418</v>
      </c>
      <c r="M135" s="7">
        <f>IF(R135="",(VLOOKUP(A135,[1]Export!$B$2:$H$680,7,0)),"CHURN")</f>
        <v>1.0520084712656161E-2</v>
      </c>
      <c r="N135" s="5">
        <f t="shared" si="36"/>
        <v>898.26047201672895</v>
      </c>
      <c r="O135" s="5">
        <f t="shared" si="37"/>
        <v>831.57821566583186</v>
      </c>
      <c r="P135" s="5">
        <f t="shared" si="38"/>
        <v>1239.2624027304928</v>
      </c>
      <c r="Q135" s="5" t="s">
        <v>430</v>
      </c>
      <c r="T135" s="6" t="str" cm="1">
        <f t="array" ref="T135">IF(R135&lt;&gt;"Churn","",
 _xlfn.LET(
   _xlpm.rng,Y135:BF135,
   _xlpm.pos,MAX(IF((_xlpm.rng&lt;&gt;0)*(_xlpm.rng&lt;&gt;""),COLUMN(_xlpm.rng)-COLUMN(Y135)+1)),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5" s="6" t="str" cm="1">
        <f t="array" ref="U135">IF(R135="Churn",
   MAX(IF((Y135:BF135&lt;&gt;"")*(Y135:BF135&lt;&gt;0), COLUMN(Y135:BF135)-COLUMN(Y135)+1))
   -MATCH(1, --((Y135:BF135&lt;&gt;"")*(Y135:BF135&lt;&gt;0)), 0)
   +1,
"")</f>
        <v/>
      </c>
      <c r="V135" s="6" t="str" cm="1">
        <f t="array" ref="V135">IFERROR(
    IF(
        MATCH(2,1/((Y135:BF135&lt;&gt;0)*(Y135:BF135&lt;&gt;"")))-MATCH(1,INDEX((Y135:BF135&lt;&gt;0)*(Y135:BF135&lt;&gt;""),0),0)+1 &lt;= 12,
        "No",
        "Yes"
    ),
    "No"
)</f>
        <v>Yes</v>
      </c>
      <c r="W135" s="6" t="str" cm="1">
        <f t="array" ref="W135">IFERROR(
    IF(
        MATCH(2,1/((Y135:BF135&lt;&gt;0)*(Y135:BF135&lt;&gt;"")))-MATCH(1,INDEX((Y135:BF135&lt;&gt;0)*(Y135:BF135&lt;&gt;""),0),0)+1 &lt;= 24,
        "No",
        "Yes"
    ),
    "No"
)</f>
        <v>Yes</v>
      </c>
      <c r="Y135" s="8">
        <v>620.41999999999996</v>
      </c>
      <c r="Z135" s="8">
        <v>620.41999999999996</v>
      </c>
      <c r="AA135" s="8">
        <v>620.41999999999996</v>
      </c>
      <c r="AB135" s="8">
        <v>0</v>
      </c>
      <c r="AC135" s="8">
        <v>0</v>
      </c>
      <c r="AD135" s="8">
        <v>720.42049999999995</v>
      </c>
      <c r="AE135" s="8">
        <v>740.42049999999995</v>
      </c>
      <c r="AF135" s="8">
        <v>740.42049999999995</v>
      </c>
      <c r="AG135" s="8">
        <v>780.41949999999997</v>
      </c>
      <c r="AH135" s="8">
        <v>840.41949999999997</v>
      </c>
      <c r="AI135" s="8">
        <v>840.41949999999997</v>
      </c>
      <c r="AJ135" s="8">
        <v>840.41949999999997</v>
      </c>
      <c r="AK135" s="8">
        <v>840.41949999999997</v>
      </c>
      <c r="AL135" s="8">
        <v>840.41949999999997</v>
      </c>
      <c r="AM135" s="8">
        <v>1121.2797661772906</v>
      </c>
      <c r="AN135" s="8">
        <v>1116.2870630472746</v>
      </c>
      <c r="AO135" s="8">
        <v>1298.1276480080764</v>
      </c>
      <c r="AP135" s="8">
        <v>1293.9023951286522</v>
      </c>
      <c r="AQ135" s="8">
        <v>1288.1707443428652</v>
      </c>
      <c r="AR135" s="8">
        <v>1277.6421225834511</v>
      </c>
      <c r="AS135" s="8">
        <v>1272.163298868649</v>
      </c>
      <c r="AT135" s="8">
        <v>1269.2380299584147</v>
      </c>
      <c r="AU135" s="8">
        <v>1266.6465260840334</v>
      </c>
      <c r="AV135" s="8">
        <v>1259.376678323802</v>
      </c>
      <c r="AW135" s="8">
        <v>1252.4381582526739</v>
      </c>
      <c r="AX135" s="8">
        <v>1244.4466086203217</v>
      </c>
      <c r="AY135" s="8">
        <v>972.8560310493865</v>
      </c>
      <c r="AZ135" s="8">
        <v>957.52919694143588</v>
      </c>
      <c r="BA135" s="8">
        <v>948.16747351485014</v>
      </c>
      <c r="BB135" s="8">
        <v>938.84532619745664</v>
      </c>
      <c r="BC135" s="8">
        <v>928.46320767412158</v>
      </c>
      <c r="BD135" s="8">
        <v>920.31066403932664</v>
      </c>
      <c r="BE135" s="8">
        <v>914.00169753981845</v>
      </c>
      <c r="BF135" s="8">
        <v>907.81071766967113</v>
      </c>
      <c r="BH135" s="8">
        <f t="shared" si="31"/>
        <v>7364.1994999999997</v>
      </c>
      <c r="BI135" s="8">
        <f t="shared" si="32"/>
        <v>14143.67327252251</v>
      </c>
      <c r="BJ135" s="8">
        <f t="shared" si="33"/>
        <v>9984.8690814990605</v>
      </c>
    </row>
    <row r="136" spans="1:62" x14ac:dyDescent="0.25">
      <c r="A136" s="9" t="s">
        <v>63</v>
      </c>
      <c r="B136" s="9" t="s">
        <v>644</v>
      </c>
      <c r="C136" s="10">
        <v>44927</v>
      </c>
      <c r="D136" s="6" cm="1">
        <f t="array" ref="D136">_xlfn.LET(
  _xlpm.aralık, Y136:BF136,
  _xlpm.ilk, MATCH(TRUE, _xlpm.aralık&lt;&gt;0, 0),
  _xlpm.son, MIN(_xlpm.ilk+2, COLUMNS(_xlpm.aralık)),
  MAX(INDEX(_xlpm.aralık, _xlpm.ilk):INDEX(_xlpm.aralık, _xlpm.son))
)</f>
        <v>337.84297484313612</v>
      </c>
      <c r="E136" s="6">
        <f t="shared" si="26"/>
        <v>531.33411664871676</v>
      </c>
      <c r="F136" s="6">
        <f t="shared" si="27"/>
        <v>604.60403674125905</v>
      </c>
      <c r="G136" s="6">
        <f t="shared" si="34"/>
        <v>899.8939728192363</v>
      </c>
      <c r="H136" s="7">
        <f t="shared" si="28"/>
        <v>0.57272507115301274</v>
      </c>
      <c r="I136" s="7">
        <f t="shared" si="29"/>
        <v>0.78960073691626342</v>
      </c>
      <c r="J136" s="7">
        <f t="shared" si="30"/>
        <v>0.13789801519743847</v>
      </c>
      <c r="K136" s="7">
        <f t="shared" si="35"/>
        <v>1.6636456573858496</v>
      </c>
      <c r="L136" s="5" t="s">
        <v>424</v>
      </c>
      <c r="M136" s="7">
        <f>IF(R136="",(VLOOKUP(A136,[1]Export!$B$2:$H$680,7,0)),"CHURN")</f>
        <v>0.54635097652950215</v>
      </c>
      <c r="N136" s="5">
        <f t="shared" si="36"/>
        <v>408.23602199643329</v>
      </c>
      <c r="O136" s="5">
        <f t="shared" si="37"/>
        <v>241.03920315424995</v>
      </c>
      <c r="P136" s="5">
        <f t="shared" si="38"/>
        <v>274.27803085399319</v>
      </c>
      <c r="Q136" s="5" t="s">
        <v>430</v>
      </c>
      <c r="T136" s="6" t="str" cm="1">
        <f t="array" ref="T136">IF(R136&lt;&gt;"Churn","",
 _xlfn.LET(
   _xlpm.rng,Y136:BF136,
   _xlpm.pos,MAX(IF((_xlpm.rng&lt;&gt;0)*(_xlpm.rng&lt;&gt;""),COLUMN(_xlpm.rng)-COLUMN(Y136)+1)),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6" s="6" t="str" cm="1">
        <f t="array" ref="U136">IF(R136="Churn",
   MAX(IF((Y136:BF136&lt;&gt;"")*(Y136:BF136&lt;&gt;0), COLUMN(Y136:BF136)-COLUMN(Y136)+1))
   -MATCH(1, --((Y136:BF136&lt;&gt;"")*(Y136:BF136&lt;&gt;0)), 0)
   +1,
"")</f>
        <v/>
      </c>
      <c r="V136" s="6" t="str" cm="1">
        <f t="array" ref="V136">IFERROR(
    IF(
        MATCH(2,1/((Y136:BF136&lt;&gt;0)*(Y136:BF136&lt;&gt;"")))-MATCH(1,INDEX((Y136:BF136&lt;&gt;0)*(Y136:BF136&lt;&gt;""),0),0)+1 &lt;= 12,
        "No",
        "Yes"
    ),
    "No"
)</f>
        <v>Yes</v>
      </c>
      <c r="W136" s="6" t="str" cm="1">
        <f t="array" ref="W136">IFERROR(
    IF(
        MATCH(2,1/((Y136:BF136&lt;&gt;0)*(Y136:BF136&lt;&gt;"")))-MATCH(1,INDEX((Y136:BF136&lt;&gt;0)*(Y136:BF136&lt;&gt;""),0),0)+1 &lt;= 24,
        "No",
        "Yes"
    ),
    "No"
)</f>
        <v>Yes</v>
      </c>
      <c r="Y136" s="8">
        <v>337.84297484313612</v>
      </c>
      <c r="Z136" s="8">
        <v>336.81250896476251</v>
      </c>
      <c r="AA136" s="8">
        <v>334.63979386281778</v>
      </c>
      <c r="AB136" s="8">
        <v>329.42731183408353</v>
      </c>
      <c r="AC136" s="8">
        <v>323.96340298386116</v>
      </c>
      <c r="AD136" s="8">
        <v>292.00142730163077</v>
      </c>
      <c r="AE136" s="8">
        <v>336.58939417006565</v>
      </c>
      <c r="AF136" s="8">
        <v>331.24772749059053</v>
      </c>
      <c r="AG136" s="8">
        <v>342.31241947637841</v>
      </c>
      <c r="AH136" s="8">
        <v>333.43375167245114</v>
      </c>
      <c r="AI136" s="8">
        <v>550.50048661962217</v>
      </c>
      <c r="AJ136" s="8">
        <v>544.13952185787639</v>
      </c>
      <c r="AK136" s="8">
        <v>531.33411664871676</v>
      </c>
      <c r="AL136" s="8">
        <v>522.39421439787327</v>
      </c>
      <c r="AM136" s="8">
        <v>507.84025364838868</v>
      </c>
      <c r="AN136" s="8">
        <v>504.19901359520827</v>
      </c>
      <c r="AO136" s="8">
        <v>504.72519869534824</v>
      </c>
      <c r="AP136" s="8">
        <v>501.65613766424167</v>
      </c>
      <c r="AQ136" s="8">
        <v>497.49288718609097</v>
      </c>
      <c r="AR136" s="8">
        <v>489.84530166276443</v>
      </c>
      <c r="AS136" s="8">
        <v>485.86569503583684</v>
      </c>
      <c r="AT136" s="8">
        <v>483.7408923141756</v>
      </c>
      <c r="AU136" s="8">
        <v>619.09494515440861</v>
      </c>
      <c r="AV136" s="8">
        <v>611.68053279393052</v>
      </c>
      <c r="AW136" s="8">
        <v>604.60403674125905</v>
      </c>
      <c r="AX136" s="8">
        <v>1005.2033841109449</v>
      </c>
      <c r="AY136" s="8">
        <v>993.87159867592618</v>
      </c>
      <c r="AZ136" s="8">
        <v>982.04112494187007</v>
      </c>
      <c r="BA136" s="8">
        <v>974.81499968184198</v>
      </c>
      <c r="BB136" s="8">
        <v>967.61942242128953</v>
      </c>
      <c r="BC136" s="8">
        <v>915.83521279219121</v>
      </c>
      <c r="BD136" s="8">
        <v>909.54242899497126</v>
      </c>
      <c r="BE136" s="8">
        <v>904.67266515882739</v>
      </c>
      <c r="BF136" s="8">
        <v>899.8939728192363</v>
      </c>
      <c r="BH136" s="8">
        <f t="shared" si="31"/>
        <v>4392.9107210772763</v>
      </c>
      <c r="BI136" s="8">
        <f t="shared" si="32"/>
        <v>6259.8691887969835</v>
      </c>
      <c r="BJ136" s="8">
        <f t="shared" si="33"/>
        <v>9158.0988463383583</v>
      </c>
    </row>
    <row r="137" spans="1:62" x14ac:dyDescent="0.25">
      <c r="A137" s="9" t="s">
        <v>381</v>
      </c>
      <c r="B137" s="9" t="s">
        <v>644</v>
      </c>
      <c r="C137" s="10">
        <f>VLOOKUP(A137,'[2]Revenue_Engine_2025 Oct.25'!$C$14:G$3937,5,0)</f>
        <v>45288</v>
      </c>
      <c r="D137" s="6" cm="1">
        <f t="array" ref="D137">_xlfn.LET(
  _xlpm.aralık, Y137:BF137,
  _xlpm.ilk, MATCH(TRUE, _xlpm.aralık&lt;&gt;0, 0),
  _xlpm.son, MIN(_xlpm.ilk+2, COLUMNS(_xlpm.aralık)),
  MAX(INDEX(_xlpm.aralık, _xlpm.ilk):INDEX(_xlpm.aralık, _xlpm.son))
)</f>
        <v>874.999999</v>
      </c>
      <c r="E137" s="6">
        <f t="shared" si="26"/>
        <v>874.999999</v>
      </c>
      <c r="F137" s="6">
        <f t="shared" si="27"/>
        <v>0</v>
      </c>
      <c r="G137" s="6">
        <f t="shared" si="34"/>
        <v>874.999999</v>
      </c>
      <c r="H137" s="7">
        <f t="shared" si="28"/>
        <v>0</v>
      </c>
      <c r="I137" s="7">
        <f t="shared" si="29"/>
        <v>-1</v>
      </c>
      <c r="J137" s="7">
        <f t="shared" si="30"/>
        <v>-1</v>
      </c>
      <c r="K137" s="7">
        <f t="shared" si="35"/>
        <v>0</v>
      </c>
      <c r="L137" s="5" t="s">
        <v>418</v>
      </c>
      <c r="M137" s="7">
        <f>IF(R137="",(VLOOKUP(A137,[1]Export!$B$2:$H$680,7,0)),"CHURN")</f>
        <v>6.0571428640653062E-2</v>
      </c>
      <c r="N137" s="5">
        <f t="shared" si="36"/>
        <v>821.999999</v>
      </c>
      <c r="O137" s="5">
        <f t="shared" si="37"/>
        <v>821.999999</v>
      </c>
      <c r="P137" s="5">
        <f t="shared" si="38"/>
        <v>0</v>
      </c>
      <c r="Q137" s="5" t="s">
        <v>430</v>
      </c>
      <c r="T137" s="6" t="str" cm="1">
        <f t="array" ref="T137">IF(R137&lt;&gt;"Churn","",
 _xlfn.LET(
   _xlpm.rng,Y137:BF137,
   _xlpm.pos,MAX(IF((_xlpm.rng&lt;&gt;0)*(_xlpm.rng&lt;&gt;""),COLUMN(_xlpm.rng)-COLUMN(Y137)+1)),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7" s="6" t="str" cm="1">
        <f t="array" ref="U137">IF(R137="Churn",
   MAX(IF((Y137:BF137&lt;&gt;"")*(Y137:BF137&lt;&gt;0), COLUMN(Y137:BF137)-COLUMN(Y137)+1))
   -MATCH(1, --((Y137:BF137&lt;&gt;"")*(Y137:BF137&lt;&gt;0)), 0)
   +1,
"")</f>
        <v/>
      </c>
      <c r="V137" s="6" t="str" cm="1">
        <f t="array" ref="V137">IFERROR(
    IF(
        MATCH(2,1/((Y137:BF137&lt;&gt;0)*(Y137:BF137&lt;&gt;"")))-MATCH(1,INDEX((Y137:BF137&lt;&gt;0)*(Y137:BF137&lt;&gt;""),0),0)+1 &lt;= 12,
        "No",
        "Yes"
    ),
    "No"
)</f>
        <v>Yes</v>
      </c>
      <c r="W137" s="6" t="str" cm="1">
        <f t="array" ref="W137">IFERROR(
    IF(
        MATCH(2,1/((Y137:BF137&lt;&gt;0)*(Y137:BF137&lt;&gt;"")))-MATCH(1,INDEX((Y137:BF137&lt;&gt;0)*(Y137:BF137&lt;&gt;""),0),0)+1 &lt;= 24,
        "No",
        "Yes"
    ),
    "No"
)</f>
        <v>No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874.999999</v>
      </c>
      <c r="AK137" s="8">
        <v>874.999999</v>
      </c>
      <c r="AL137" s="8">
        <v>874.999999</v>
      </c>
      <c r="AM137" s="8">
        <v>874.999999</v>
      </c>
      <c r="AN137" s="8">
        <v>874.999999</v>
      </c>
      <c r="AO137" s="8">
        <v>874.999999</v>
      </c>
      <c r="AP137" s="8">
        <v>874.999999</v>
      </c>
      <c r="AQ137" s="8">
        <v>874.999999</v>
      </c>
      <c r="AR137" s="8">
        <v>874.999999</v>
      </c>
      <c r="AS137" s="8">
        <v>874.999999</v>
      </c>
      <c r="AT137" s="8">
        <v>874.999999</v>
      </c>
      <c r="AU137" s="8">
        <v>874.999999</v>
      </c>
      <c r="AV137" s="8">
        <v>874.999999</v>
      </c>
      <c r="AW137" s="8">
        <v>874.999999</v>
      </c>
      <c r="AX137" s="8">
        <v>874.999999</v>
      </c>
      <c r="AY137" s="8">
        <v>874.999999</v>
      </c>
      <c r="AZ137" s="8">
        <v>874.99999900000012</v>
      </c>
      <c r="BA137" s="8">
        <v>874.999999</v>
      </c>
      <c r="BB137" s="8">
        <v>874.999999</v>
      </c>
      <c r="BC137" s="8">
        <v>874.999999</v>
      </c>
      <c r="BD137" s="8">
        <v>874.999999</v>
      </c>
      <c r="BE137" s="8">
        <v>874.999999</v>
      </c>
      <c r="BF137" s="8">
        <v>874.999999</v>
      </c>
      <c r="BH137" s="8">
        <f t="shared" si="31"/>
        <v>874.999999</v>
      </c>
      <c r="BI137" s="8">
        <f t="shared" si="32"/>
        <v>10499.999987999998</v>
      </c>
      <c r="BJ137" s="8">
        <f t="shared" si="33"/>
        <v>8749.9999899999984</v>
      </c>
    </row>
    <row r="138" spans="1:62" x14ac:dyDescent="0.25">
      <c r="A138" s="9" t="s">
        <v>348</v>
      </c>
      <c r="B138" s="9" t="s">
        <v>644</v>
      </c>
      <c r="C138" s="10">
        <f>VLOOKUP(A138,'[2]Revenue_Engine_2025 Oct.25'!$C$14:G$3937,5,0)</f>
        <v>44932</v>
      </c>
      <c r="D138" s="6" cm="1">
        <f t="array" ref="D138">_xlfn.LET(
  _xlpm.aralık, Y138:BF138,
  _xlpm.ilk, MATCH(TRUE, _xlpm.aralık&lt;&gt;0, 0),
  _xlpm.son, MIN(_xlpm.ilk+2, COLUMNS(_xlpm.aralık)),
  MAX(INDEX(_xlpm.aralık, _xlpm.ilk):INDEX(_xlpm.aralık, _xlpm.son))
)</f>
        <v>450</v>
      </c>
      <c r="E138" s="6">
        <f t="shared" si="26"/>
        <v>469.50000000000006</v>
      </c>
      <c r="F138" s="6">
        <f t="shared" si="27"/>
        <v>847.50823100000002</v>
      </c>
      <c r="G138" s="6">
        <f t="shared" si="34"/>
        <v>830.00823100000002</v>
      </c>
      <c r="H138" s="7">
        <f t="shared" si="28"/>
        <v>4.333333333333346E-2</v>
      </c>
      <c r="I138" s="7">
        <f t="shared" si="29"/>
        <v>0.88335162444444448</v>
      </c>
      <c r="J138" s="7">
        <f t="shared" si="30"/>
        <v>0.80512935250266227</v>
      </c>
      <c r="K138" s="7">
        <f t="shared" si="35"/>
        <v>0.84446273555555562</v>
      </c>
      <c r="L138" s="5" t="s">
        <v>414</v>
      </c>
      <c r="M138" s="7">
        <f>IF(R138="",(VLOOKUP(A138,[1]Export!$B$2:$H$680,7,0)),"CHURN")</f>
        <v>0.14973598014837036</v>
      </c>
      <c r="N138" s="5">
        <f t="shared" si="36"/>
        <v>705.726135</v>
      </c>
      <c r="O138" s="5">
        <f t="shared" si="37"/>
        <v>399.19895732034013</v>
      </c>
      <c r="P138" s="5">
        <f t="shared" si="38"/>
        <v>720.60575534740349</v>
      </c>
      <c r="Q138" s="5" t="str">
        <f>VLOOKUP(A138,[4]Sheet2!$A$1:$B$142,2,0)</f>
        <v>HIGH RISK</v>
      </c>
      <c r="T138" s="6" t="str" cm="1">
        <f t="array" ref="T138">IF(R138&lt;&gt;"Churn","",
 _xlfn.LET(
   _xlpm.rng,Y138:BF138,
   _xlpm.pos,MAX(IF((_xlpm.rng&lt;&gt;0)*(_xlpm.rng&lt;&gt;""),COLUMN(_xlpm.rng)-COLUMN(Y138)+1)),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8" s="6" t="str" cm="1">
        <f t="array" ref="U138">IF(R138="Churn",
   MAX(IF((Y138:BF138&lt;&gt;"")*(Y138:BF138&lt;&gt;0), COLUMN(Y138:BF138)-COLUMN(Y138)+1))
   -MATCH(1, --((Y138:BF138&lt;&gt;"")*(Y138:BF138&lt;&gt;0)), 0)
   +1,
"")</f>
        <v/>
      </c>
      <c r="V138" s="6" t="str" cm="1">
        <f t="array" ref="V138">IFERROR(
    IF(
        MATCH(2,1/((Y138:BF138&lt;&gt;0)*(Y138:BF138&lt;&gt;"")))-MATCH(1,INDEX((Y138:BF138&lt;&gt;0)*(Y138:BF138&lt;&gt;""),0),0)+1 &lt;= 12,
        "No",
        "Yes"
    ),
    "No"
)</f>
        <v>Yes</v>
      </c>
      <c r="W138" s="6" t="str" cm="1">
        <f t="array" ref="W138">IFERROR(
    IF(
        MATCH(2,1/((Y138:BF138&lt;&gt;0)*(Y138:BF138&lt;&gt;"")))-MATCH(1,INDEX((Y138:BF138&lt;&gt;0)*(Y138:BF138&lt;&gt;""),0),0)+1 &lt;= 24,
        "No",
        "Yes"
    ),
    "No"
)</f>
        <v>Yes</v>
      </c>
      <c r="X138" s="6"/>
      <c r="Y138" s="8">
        <v>205</v>
      </c>
      <c r="Z138" s="8">
        <v>450</v>
      </c>
      <c r="AA138" s="8">
        <v>450</v>
      </c>
      <c r="AB138" s="8">
        <v>459</v>
      </c>
      <c r="AC138" s="8">
        <v>459.00000000000006</v>
      </c>
      <c r="AD138" s="8">
        <v>459.00000000000006</v>
      </c>
      <c r="AE138" s="8">
        <v>459.00000000000006</v>
      </c>
      <c r="AF138" s="8">
        <v>459.00000000000006</v>
      </c>
      <c r="AG138" s="8">
        <v>469.50000000000006</v>
      </c>
      <c r="AH138" s="8">
        <v>469.50000000000006</v>
      </c>
      <c r="AI138" s="8">
        <v>469.50000000000006</v>
      </c>
      <c r="AJ138" s="8">
        <v>469.50000000000006</v>
      </c>
      <c r="AK138" s="8">
        <v>469.50000000000006</v>
      </c>
      <c r="AL138" s="8">
        <v>469.50000000000006</v>
      </c>
      <c r="AM138" s="8">
        <v>469.50000000000006</v>
      </c>
      <c r="AN138" s="8">
        <v>469.50000000000006</v>
      </c>
      <c r="AO138" s="8">
        <v>469.50000000000006</v>
      </c>
      <c r="AP138" s="8">
        <v>469.50000000000006</v>
      </c>
      <c r="AQ138" s="8">
        <v>487.00000000000006</v>
      </c>
      <c r="AR138" s="8">
        <v>487.00000000000006</v>
      </c>
      <c r="AS138" s="8">
        <v>717.51015400000006</v>
      </c>
      <c r="AT138" s="8">
        <v>717.51015400000006</v>
      </c>
      <c r="AU138" s="8">
        <v>717.51015400000006</v>
      </c>
      <c r="AV138" s="8">
        <v>717.51015400000006</v>
      </c>
      <c r="AW138" s="8">
        <v>847.50823100000002</v>
      </c>
      <c r="AX138" s="8">
        <v>847.50823100000002</v>
      </c>
      <c r="AY138" s="8">
        <v>847.50823100000002</v>
      </c>
      <c r="AZ138" s="8">
        <v>830.00823100000025</v>
      </c>
      <c r="BA138" s="8">
        <v>830.00823100000002</v>
      </c>
      <c r="BB138" s="8">
        <v>830.00823100000002</v>
      </c>
      <c r="BC138" s="8">
        <v>830.00823100000002</v>
      </c>
      <c r="BD138" s="8">
        <v>830.00823100000002</v>
      </c>
      <c r="BE138" s="8">
        <v>830.00823100000002</v>
      </c>
      <c r="BF138" s="8">
        <v>830.00823100000002</v>
      </c>
      <c r="BH138" s="8">
        <f t="shared" si="31"/>
        <v>5278</v>
      </c>
      <c r="BI138" s="8">
        <f t="shared" si="32"/>
        <v>6661.0406160000002</v>
      </c>
      <c r="BJ138" s="8">
        <f t="shared" si="33"/>
        <v>8352.5823099999998</v>
      </c>
    </row>
    <row r="139" spans="1:62" x14ac:dyDescent="0.25">
      <c r="A139" s="9" t="s">
        <v>25</v>
      </c>
      <c r="B139" s="9" t="s">
        <v>644</v>
      </c>
      <c r="C139" s="10">
        <v>44927</v>
      </c>
      <c r="D139" s="6" cm="1">
        <f t="array" ref="D139">_xlfn.LET(
  _xlpm.aralık, Y139:BF139,
  _xlpm.ilk, MATCH(TRUE, _xlpm.aralık&lt;&gt;0, 0),
  _xlpm.son, MIN(_xlpm.ilk+2, COLUMNS(_xlpm.aralık)),
  MAX(INDEX(_xlpm.aralık, _xlpm.ilk):INDEX(_xlpm.aralık, _xlpm.son))
)</f>
        <v>364.02275999177346</v>
      </c>
      <c r="E139" s="6">
        <f t="shared" si="26"/>
        <v>537.3060936817501</v>
      </c>
      <c r="F139" s="6">
        <f t="shared" si="27"/>
        <v>713.77506038885917</v>
      </c>
      <c r="G139" s="6">
        <f t="shared" si="34"/>
        <v>818.71445122141188</v>
      </c>
      <c r="H139" s="7">
        <f t="shared" si="28"/>
        <v>0.47602335000672119</v>
      </c>
      <c r="I139" s="7">
        <f t="shared" si="29"/>
        <v>0.96079789188178721</v>
      </c>
      <c r="J139" s="7">
        <f t="shared" si="30"/>
        <v>0.3284328407628907</v>
      </c>
      <c r="K139" s="7">
        <f t="shared" si="35"/>
        <v>1.2490748964155813</v>
      </c>
      <c r="L139" s="5" t="s">
        <v>423</v>
      </c>
      <c r="M139" s="7">
        <f>IF(R139="",(VLOOKUP(A139,[1]Export!$B$2:$H$680,7,0)),"CHURN")</f>
        <v>0.5498668956992192</v>
      </c>
      <c r="N139" s="5">
        <f t="shared" si="36"/>
        <v>368.5304774642043</v>
      </c>
      <c r="O139" s="5">
        <f t="shared" si="37"/>
        <v>241.85925990869231</v>
      </c>
      <c r="P139" s="5">
        <f t="shared" si="38"/>
        <v>321.29378370531447</v>
      </c>
      <c r="Q139" s="5" t="s">
        <v>430</v>
      </c>
      <c r="T139" s="6" t="str" cm="1">
        <f t="array" ref="T139">IF(R139&lt;&gt;"Churn","",
 _xlfn.LET(
   _xlpm.rng,Y139:BF139,
   _xlpm.pos,MAX(IF((_xlpm.rng&lt;&gt;0)*(_xlpm.rng&lt;&gt;""),COLUMN(_xlpm.rng)-COLUMN(Y139)+1)),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39" s="6" t="str" cm="1">
        <f t="array" ref="U139">IF(R139="Churn",
   MAX(IF((Y139:BF139&lt;&gt;"")*(Y139:BF139&lt;&gt;0), COLUMN(Y139:BF139)-COLUMN(Y139)+1))
   -MATCH(1, --((Y139:BF139&lt;&gt;"")*(Y139:BF139&lt;&gt;0)), 0)
   +1,
"")</f>
        <v/>
      </c>
      <c r="V139" s="6" t="str" cm="1">
        <f t="array" ref="V139">IFERROR(
    IF(
        MATCH(2,1/((Y139:BF139&lt;&gt;0)*(Y139:BF139&lt;&gt;"")))-MATCH(1,INDEX((Y139:BF139&lt;&gt;0)*(Y139:BF139&lt;&gt;""),0),0)+1 &lt;= 12,
        "No",
        "Yes"
    ),
    "No"
)</f>
        <v>Yes</v>
      </c>
      <c r="W139" s="6" t="str" cm="1">
        <f t="array" ref="W139">IFERROR(
    IF(
        MATCH(2,1/((Y139:BF139&lt;&gt;0)*(Y139:BF139&lt;&gt;"")))-MATCH(1,INDEX((Y139:BF139&lt;&gt;0)*(Y139:BF139&lt;&gt;""),0),0)+1 &lt;= 24,
        "No",
        "Yes"
    ),
    "No"
)</f>
        <v>Yes</v>
      </c>
      <c r="X139" s="6"/>
      <c r="Y139" s="8">
        <v>223.08631379176154</v>
      </c>
      <c r="Z139" s="8">
        <v>222.31123530443008</v>
      </c>
      <c r="AA139" s="8">
        <v>364.02275999177346</v>
      </c>
      <c r="AB139" s="8">
        <v>357.55538404960089</v>
      </c>
      <c r="AC139" s="8">
        <v>359.77589963006625</v>
      </c>
      <c r="AD139" s="8">
        <v>303.98944839492668</v>
      </c>
      <c r="AE139" s="8">
        <v>373.45488784363624</v>
      </c>
      <c r="AF139" s="8">
        <v>366.55991413486515</v>
      </c>
      <c r="AG139" s="8">
        <v>388.27766486137358</v>
      </c>
      <c r="AH139" s="8">
        <v>376.58755825921907</v>
      </c>
      <c r="AI139" s="8">
        <v>366.46809445507625</v>
      </c>
      <c r="AJ139" s="8">
        <v>554.69454412387677</v>
      </c>
      <c r="AK139" s="8">
        <v>537.3060936817501</v>
      </c>
      <c r="AL139" s="8">
        <v>525.16731794163445</v>
      </c>
      <c r="AM139" s="8">
        <v>789.25201342807554</v>
      </c>
      <c r="AN139" s="8">
        <v>781.48078633841305</v>
      </c>
      <c r="AO139" s="8">
        <v>782.60378395589032</v>
      </c>
      <c r="AP139" s="8">
        <v>776.05371588116088</v>
      </c>
      <c r="AQ139" s="8">
        <v>767.16840087189735</v>
      </c>
      <c r="AR139" s="8">
        <v>751.8467294299179</v>
      </c>
      <c r="AS139" s="8">
        <v>743.35335179655704</v>
      </c>
      <c r="AT139" s="8">
        <v>738.8185438109258</v>
      </c>
      <c r="AU139" s="8">
        <v>733.80114478712221</v>
      </c>
      <c r="AV139" s="8">
        <v>722.53128731792299</v>
      </c>
      <c r="AW139" s="8">
        <v>713.77506038885917</v>
      </c>
      <c r="AX139" s="8">
        <v>940.67407666142719</v>
      </c>
      <c r="AY139" s="8">
        <v>917.47964520392804</v>
      </c>
      <c r="AZ139" s="8">
        <v>893.26475563845497</v>
      </c>
      <c r="BA139" s="8">
        <v>878.47415391858135</v>
      </c>
      <c r="BB139" s="8">
        <v>867.74607855651698</v>
      </c>
      <c r="BC139" s="8">
        <v>851.34335300161604</v>
      </c>
      <c r="BD139" s="8">
        <v>838.46313635649324</v>
      </c>
      <c r="BE139" s="8">
        <v>828.49559015733325</v>
      </c>
      <c r="BF139" s="8">
        <v>818.71445122141188</v>
      </c>
      <c r="BH139" s="8">
        <f t="shared" si="31"/>
        <v>4256.7837048406054</v>
      </c>
      <c r="BI139" s="8">
        <f t="shared" si="32"/>
        <v>8649.3831692412678</v>
      </c>
      <c r="BJ139" s="8">
        <f t="shared" si="33"/>
        <v>8548.4303011046231</v>
      </c>
    </row>
    <row r="140" spans="1:62" x14ac:dyDescent="0.25">
      <c r="A140" s="9" t="s">
        <v>41</v>
      </c>
      <c r="B140" s="9" t="s">
        <v>644</v>
      </c>
      <c r="C140" s="10">
        <f>VLOOKUP(A140,'[2]Revenue_Engine_2025 Oct.25'!$C$14:G$3937,5,0)</f>
        <v>45383</v>
      </c>
      <c r="D140" s="6" cm="1">
        <f t="array" ref="D140">_xlfn.LET(
  _xlpm.aralık, Y140:BF140,
  _xlpm.ilk, MATCH(TRUE, _xlpm.aralık&lt;&gt;0, 0),
  _xlpm.son, MIN(_xlpm.ilk+2, COLUMNS(_xlpm.aralık)),
  MAX(INDEX(_xlpm.aralık, _xlpm.ilk):INDEX(_xlpm.aralık, _xlpm.son))
)</f>
        <v>882.15002425592934</v>
      </c>
      <c r="E140" s="6">
        <f t="shared" si="26"/>
        <v>719.37858930546076</v>
      </c>
      <c r="F140" s="6">
        <f t="shared" si="27"/>
        <v>0</v>
      </c>
      <c r="G140" s="6">
        <f t="shared" si="34"/>
        <v>817.74385450742886</v>
      </c>
      <c r="H140" s="7">
        <f t="shared" si="28"/>
        <v>-0.18451672671863503</v>
      </c>
      <c r="I140" s="7">
        <f t="shared" si="29"/>
        <v>-1</v>
      </c>
      <c r="J140" s="7">
        <f t="shared" si="30"/>
        <v>-1</v>
      </c>
      <c r="K140" s="7">
        <f t="shared" si="35"/>
        <v>-7.3010449444611658E-2</v>
      </c>
      <c r="L140" s="5" t="s">
        <v>412</v>
      </c>
      <c r="M140" s="7">
        <f>IF(R140="",(VLOOKUP(A140,[1]Export!$B$2:$H$680,7,0)),"CHURN")</f>
        <v>0.32792643997640514</v>
      </c>
      <c r="N140" s="5">
        <f t="shared" si="36"/>
        <v>549.58402348622428</v>
      </c>
      <c r="O140" s="5">
        <f t="shared" si="37"/>
        <v>483.47532951927258</v>
      </c>
      <c r="P140" s="5">
        <f t="shared" si="38"/>
        <v>0</v>
      </c>
      <c r="Q140" s="5" t="str">
        <f>VLOOKUP(A140,[4]Sheet2!$A$1:$B$142,2,0)</f>
        <v>BOOKED CHURN</v>
      </c>
      <c r="T140" s="6" t="str" cm="1">
        <f t="array" ref="T140">IF(R140&lt;&gt;"Churn","",
 _xlfn.LET(
   _xlpm.rng,Y140:BF140,
   _xlpm.pos,MAX(IF((_xlpm.rng&lt;&gt;0)*(_xlpm.rng&lt;&gt;""),COLUMN(_xlpm.rng)-COLUMN(Y140)+1)),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0" s="6" t="str" cm="1">
        <f t="array" ref="U140">IF(R140="Churn",
   MAX(IF((Y140:BF140&lt;&gt;"")*(Y140:BF140&lt;&gt;0), COLUMN(Y140:BF140)-COLUMN(Y140)+1))
   -MATCH(1, --((Y140:BF140&lt;&gt;"")*(Y140:BF140&lt;&gt;0)), 0)
   +1,
"")</f>
        <v/>
      </c>
      <c r="V140" s="6" t="str" cm="1">
        <f t="array" ref="V140">IFERROR(
    IF(
        MATCH(2,1/((Y140:BF140&lt;&gt;0)*(Y140:BF140&lt;&gt;"")))-MATCH(1,INDEX((Y140:BF140&lt;&gt;0)*(Y140:BF140&lt;&gt;""),0),0)+1 &lt;= 12,
        "No",
        "Yes"
    ),
    "No"
)</f>
        <v>Yes</v>
      </c>
      <c r="W140" s="14" t="s">
        <v>705</v>
      </c>
      <c r="X140" s="6"/>
      <c r="Y140" s="8">
        <v>882.15002425592934</v>
      </c>
      <c r="Z140" s="8">
        <v>881.36430138601872</v>
      </c>
      <c r="AA140" s="8">
        <v>879.70762164414043</v>
      </c>
      <c r="AB140" s="8">
        <v>875.73312533874787</v>
      </c>
      <c r="AC140" s="8">
        <v>889.5672372928168</v>
      </c>
      <c r="AD140" s="8">
        <v>855.28400381983522</v>
      </c>
      <c r="AE140" s="8">
        <v>834.65800426881174</v>
      </c>
      <c r="AF140" s="8">
        <v>893.06570716575209</v>
      </c>
      <c r="AG140" s="8">
        <v>874.86241149440411</v>
      </c>
      <c r="AH140" s="8">
        <v>868.11662774372894</v>
      </c>
      <c r="AI140" s="8">
        <v>862.27720100737156</v>
      </c>
      <c r="AJ140" s="8">
        <v>859.06318865089054</v>
      </c>
      <c r="AK140" s="8">
        <v>852.59298607729681</v>
      </c>
      <c r="AL140" s="8">
        <v>848.07591085739614</v>
      </c>
      <c r="AM140" s="8">
        <v>845.72221351168923</v>
      </c>
      <c r="AN140" s="8">
        <v>843.88239974724013</v>
      </c>
      <c r="AO140" s="8">
        <v>844.14826592902068</v>
      </c>
      <c r="AP140" s="8">
        <v>791.6600019256731</v>
      </c>
      <c r="AQ140" s="8">
        <v>835.10940851622161</v>
      </c>
      <c r="AR140" s="8">
        <v>831.27661584839109</v>
      </c>
      <c r="AS140" s="8">
        <v>772.47267148418382</v>
      </c>
      <c r="AT140" s="8">
        <v>768.7014260755559</v>
      </c>
      <c r="AU140" s="8">
        <v>765.36046926522317</v>
      </c>
      <c r="AV140" s="8">
        <v>756.98820954192774</v>
      </c>
      <c r="AW140" s="8">
        <v>757.95976286555469</v>
      </c>
      <c r="AX140" s="8">
        <v>748.65708786928678</v>
      </c>
      <c r="AY140" s="8">
        <v>734.33302469552916</v>
      </c>
      <c r="AZ140" s="8">
        <v>719.37858930546076</v>
      </c>
      <c r="BA140" s="8">
        <v>870.24844212101925</v>
      </c>
      <c r="BB140" s="8">
        <v>859.51800459055789</v>
      </c>
      <c r="BC140" s="8">
        <v>846.26814469737781</v>
      </c>
      <c r="BD140" s="8">
        <v>836.69704461076071</v>
      </c>
      <c r="BE140" s="8">
        <v>826.64541988683118</v>
      </c>
      <c r="BF140" s="8">
        <v>817.74385450742886</v>
      </c>
      <c r="BH140" s="8">
        <f t="shared" si="31"/>
        <v>10455.849454068448</v>
      </c>
      <c r="BI140" s="8">
        <f t="shared" si="32"/>
        <v>9755.9905787798161</v>
      </c>
      <c r="BJ140" s="8">
        <f t="shared" si="33"/>
        <v>8017.4493751498076</v>
      </c>
    </row>
    <row r="141" spans="1:62" x14ac:dyDescent="0.25">
      <c r="A141" s="9" t="s">
        <v>80</v>
      </c>
      <c r="B141" s="9" t="s">
        <v>644</v>
      </c>
      <c r="C141" s="10">
        <v>44927</v>
      </c>
      <c r="D141" s="6" cm="1">
        <f t="array" ref="D141">_xlfn.LET(
  _xlpm.aralık, Y141:BF141,
  _xlpm.ilk, MATCH(TRUE, _xlpm.aralık&lt;&gt;0, 0),
  _xlpm.son, MIN(_xlpm.ilk+2, COLUMNS(_xlpm.aralık)),
  MAX(INDEX(_xlpm.aralık, _xlpm.ilk):INDEX(_xlpm.aralık, _xlpm.son))
)</f>
        <v>648.04999999999995</v>
      </c>
      <c r="E141" s="6">
        <f t="shared" si="26"/>
        <v>682.34156200000007</v>
      </c>
      <c r="F141" s="6">
        <f t="shared" si="27"/>
        <v>804.69005233333326</v>
      </c>
      <c r="G141" s="6">
        <f t="shared" si="34"/>
        <v>804.70671899999991</v>
      </c>
      <c r="H141" s="7">
        <f t="shared" si="28"/>
        <v>5.2914994213409637E-2</v>
      </c>
      <c r="I141" s="7">
        <f t="shared" si="29"/>
        <v>0.24170982537355654</v>
      </c>
      <c r="J141" s="7">
        <f t="shared" si="30"/>
        <v>0.17930681222864331</v>
      </c>
      <c r="K141" s="7">
        <f t="shared" si="35"/>
        <v>0.24173554355373808</v>
      </c>
      <c r="L141" s="5" t="s">
        <v>416</v>
      </c>
      <c r="M141" s="7">
        <f>IF(R141="",(VLOOKUP(A141,[1]Export!$B$2:$H$680,7,0)),"CHURN")</f>
        <v>0.16985832573867202</v>
      </c>
      <c r="N141" s="5">
        <f t="shared" si="36"/>
        <v>668.02058299999999</v>
      </c>
      <c r="O141" s="5">
        <f t="shared" si="37"/>
        <v>566.44016669676978</v>
      </c>
      <c r="P141" s="5">
        <f t="shared" si="38"/>
        <v>668.00674730542892</v>
      </c>
      <c r="Q141" s="5" t="s">
        <v>430</v>
      </c>
      <c r="T141" s="6" t="str" cm="1">
        <f t="array" ref="T141">IF(R141&lt;&gt;"Churn","",
 _xlfn.LET(
   _xlpm.rng,Y141:BF141,
   _xlpm.pos,MAX(IF((_xlpm.rng&lt;&gt;0)*(_xlpm.rng&lt;&gt;""),COLUMN(_xlpm.rng)-COLUMN(Y141)+1)),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1" s="6" t="str" cm="1">
        <f t="array" ref="U141">IF(R141="Churn",
   MAX(IF((Y141:BF141&lt;&gt;"")*(Y141:BF141&lt;&gt;0), COLUMN(Y141:BF141)-COLUMN(Y141)+1))
   -MATCH(1, --((Y141:BF141&lt;&gt;"")*(Y141:BF141&lt;&gt;0)), 0)
   +1,
"")</f>
        <v/>
      </c>
      <c r="V141" s="6" t="str" cm="1">
        <f t="array" ref="V141">IFERROR(
    IF(
        MATCH(2,1/((Y141:BF141&lt;&gt;0)*(Y141:BF141&lt;&gt;"")))-MATCH(1,INDEX((Y141:BF141&lt;&gt;0)*(Y141:BF141&lt;&gt;""),0),0)+1 &lt;= 12,
        "No",
        "Yes"
    ),
    "No"
)</f>
        <v>Yes</v>
      </c>
      <c r="W141" s="6" t="str" cm="1">
        <f t="array" ref="W141">IFERROR(
    IF(
        MATCH(2,1/((Y141:BF141&lt;&gt;0)*(Y141:BF141&lt;&gt;"")))-MATCH(1,INDEX((Y141:BF141&lt;&gt;0)*(Y141:BF141&lt;&gt;""),0),0)+1 &lt;= 24,
        "No",
        "Yes"
    ),
    "No"
)</f>
        <v>Yes</v>
      </c>
      <c r="Y141" s="8">
        <v>648.04999999999995</v>
      </c>
      <c r="Z141" s="8">
        <v>648.04999999999995</v>
      </c>
      <c r="AA141" s="8">
        <v>648.04999999999995</v>
      </c>
      <c r="AB141" s="8">
        <v>648.04999999999995</v>
      </c>
      <c r="AC141" s="8">
        <v>657.05335999999988</v>
      </c>
      <c r="AD141" s="8">
        <v>657.05335999999988</v>
      </c>
      <c r="AE141" s="8">
        <v>657.30335999999988</v>
      </c>
      <c r="AF141" s="8">
        <v>682.34156200000007</v>
      </c>
      <c r="AG141" s="8">
        <v>682.34156200000007</v>
      </c>
      <c r="AH141" s="8">
        <v>682.34156200000007</v>
      </c>
      <c r="AI141" s="8">
        <v>682.34156200000007</v>
      </c>
      <c r="AJ141" s="8">
        <v>682.34156200000007</v>
      </c>
      <c r="AK141" s="8">
        <v>682.34156200000007</v>
      </c>
      <c r="AL141" s="8">
        <v>682.34156200000007</v>
      </c>
      <c r="AM141" s="8">
        <v>682.34156200000007</v>
      </c>
      <c r="AN141" s="8">
        <v>682.34156200000007</v>
      </c>
      <c r="AO141" s="8">
        <v>686.32489533333342</v>
      </c>
      <c r="AP141" s="8">
        <v>727.32489533333342</v>
      </c>
      <c r="AQ141" s="8">
        <v>727.32489533333342</v>
      </c>
      <c r="AR141" s="8">
        <v>727.32489533333342</v>
      </c>
      <c r="AS141" s="8">
        <v>727.32489533333342</v>
      </c>
      <c r="AT141" s="8">
        <v>727.32489533333342</v>
      </c>
      <c r="AU141" s="8">
        <v>727.32489533333342</v>
      </c>
      <c r="AV141" s="8">
        <v>727.32489533333342</v>
      </c>
      <c r="AW141" s="8">
        <v>804.69005233333326</v>
      </c>
      <c r="AX141" s="8">
        <v>804.69005233333326</v>
      </c>
      <c r="AY141" s="8">
        <v>804.69005233333326</v>
      </c>
      <c r="AZ141" s="8">
        <v>804.69005233333326</v>
      </c>
      <c r="BA141" s="8">
        <v>804.70671899999991</v>
      </c>
      <c r="BB141" s="8">
        <v>804.70671899999991</v>
      </c>
      <c r="BC141" s="8">
        <v>804.70671899999991</v>
      </c>
      <c r="BD141" s="8">
        <v>804.70671899999991</v>
      </c>
      <c r="BE141" s="8">
        <v>804.70671899999991</v>
      </c>
      <c r="BF141" s="8">
        <v>804.70671899999991</v>
      </c>
      <c r="BH141" s="8">
        <f t="shared" si="31"/>
        <v>7975.3178899999984</v>
      </c>
      <c r="BI141" s="8">
        <f t="shared" si="32"/>
        <v>8506.9654106666658</v>
      </c>
      <c r="BJ141" s="8">
        <f t="shared" si="33"/>
        <v>8047.0005233333322</v>
      </c>
    </row>
    <row r="142" spans="1:62" x14ac:dyDescent="0.25">
      <c r="A142" s="9" t="s">
        <v>689</v>
      </c>
      <c r="B142" s="9" t="s">
        <v>644</v>
      </c>
      <c r="C142" s="10">
        <v>44927</v>
      </c>
      <c r="D142" s="6" cm="1">
        <f t="array" ref="D142">_xlfn.LET(
  _xlpm.aralık, Y142:BF142,
  _xlpm.ilk, MATCH(TRUE, _xlpm.aralık&lt;&gt;0, 0),
  _xlpm.son, MIN(_xlpm.ilk+2, COLUMNS(_xlpm.aralık)),
  MAX(INDEX(_xlpm.aralık, _xlpm.ilk):INDEX(_xlpm.aralık, _xlpm.son))
)</f>
        <v>731.66675498312748</v>
      </c>
      <c r="E142" s="6">
        <f t="shared" si="26"/>
        <v>705.3894714730136</v>
      </c>
      <c r="F142" s="6">
        <f t="shared" si="27"/>
        <v>868.10184851990857</v>
      </c>
      <c r="G142" s="6">
        <f t="shared" si="34"/>
        <v>777.24304565705563</v>
      </c>
      <c r="H142" s="7">
        <f t="shared" si="28"/>
        <v>-3.5914278366685995E-2</v>
      </c>
      <c r="I142" s="7">
        <f t="shared" si="29"/>
        <v>0.18647163152838253</v>
      </c>
      <c r="J142" s="7">
        <f t="shared" si="30"/>
        <v>0.23067026604056698</v>
      </c>
      <c r="K142" s="7">
        <f t="shared" si="35"/>
        <v>6.2291050349799156E-2</v>
      </c>
      <c r="L142" s="5" t="s">
        <v>413</v>
      </c>
      <c r="M142" s="7">
        <f>IF(R142="",(VLOOKUP(A142,[1]Export!$B$2:$H$680,7,0)),"CHURN")</f>
        <v>0.34218504087893187</v>
      </c>
      <c r="N142" s="5">
        <f t="shared" si="36"/>
        <v>511.28210230603054</v>
      </c>
      <c r="O142" s="5">
        <f t="shared" si="37"/>
        <v>464.01574634145231</v>
      </c>
      <c r="P142" s="5">
        <f t="shared" si="38"/>
        <v>571.05038199704734</v>
      </c>
      <c r="Q142" s="5" t="str">
        <f>VLOOKUP(A142,[4]Sheet2!$A$1:$B$142,2,0)</f>
        <v>BOOKED CHURN</v>
      </c>
      <c r="T142" s="6" t="str" cm="1">
        <f t="array" ref="T142">IF(R142&lt;&gt;"Churn","",
 _xlfn.LET(
   _xlpm.rng,Y142:BF142,
   _xlpm.pos,MAX(IF((_xlpm.rng&lt;&gt;0)*(_xlpm.rng&lt;&gt;""),COLUMN(_xlpm.rng)-COLUMN(Y142)+1)),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2" s="6" t="str" cm="1">
        <f t="array" ref="U142">IF(R142="Churn",
   MAX(IF((Y142:BF142&lt;&gt;"")*(Y142:BF142&lt;&gt;0), COLUMN(Y142:BF142)-COLUMN(Y142)+1))
   -MATCH(1, --((Y142:BF142&lt;&gt;"")*(Y142:BF142&lt;&gt;0)), 0)
   +1,
"")</f>
        <v/>
      </c>
      <c r="V142" s="6" t="str" cm="1">
        <f t="array" ref="V142">IFERROR(
    IF(
        MATCH(2,1/((Y142:BF142&lt;&gt;0)*(Y142:BF142&lt;&gt;"")))-MATCH(1,INDEX((Y142:BF142&lt;&gt;0)*(Y142:BF142&lt;&gt;""),0),0)+1 &lt;= 12,
        "No",
        "Yes"
    ),
    "No"
)</f>
        <v>Yes</v>
      </c>
      <c r="W142" s="6" t="str" cm="1">
        <f t="array" ref="W142">IFERROR(
    IF(
        MATCH(2,1/((Y142:BF142&lt;&gt;0)*(Y142:BF142&lt;&gt;"")))-MATCH(1,INDEX((Y142:BF142&lt;&gt;0)*(Y142:BF142&lt;&gt;""),0),0)+1 &lt;= 24,
        "No",
        "Yes"
    ),
    "No"
)</f>
        <v>Yes</v>
      </c>
      <c r="Y142" s="8">
        <v>731.66675498312748</v>
      </c>
      <c r="Z142" s="8">
        <v>729.78586090938552</v>
      </c>
      <c r="AA142" s="8">
        <v>725.82003628098778</v>
      </c>
      <c r="AB142" s="8">
        <v>716.30577019698444</v>
      </c>
      <c r="AC142" s="8">
        <v>706.34231879344679</v>
      </c>
      <c r="AD142" s="8">
        <v>624.2723428258862</v>
      </c>
      <c r="AE142" s="8">
        <v>574.89615756047124</v>
      </c>
      <c r="AF142" s="8">
        <v>567.61986341833153</v>
      </c>
      <c r="AG142" s="8">
        <v>567.26970596860349</v>
      </c>
      <c r="AH142" s="8">
        <v>555.65073533882355</v>
      </c>
      <c r="AI142" s="8">
        <v>545.59284992075686</v>
      </c>
      <c r="AJ142" s="8">
        <v>722.34203159602271</v>
      </c>
      <c r="AK142" s="8">
        <v>705.3894714730136</v>
      </c>
      <c r="AL142" s="8">
        <v>753.55437122510284</v>
      </c>
      <c r="AM142" s="8">
        <v>734.28709294383771</v>
      </c>
      <c r="AN142" s="8">
        <v>729.4666329603931</v>
      </c>
      <c r="AO142" s="8">
        <v>745.16322373223579</v>
      </c>
      <c r="AP142" s="8">
        <v>741.10024362899412</v>
      </c>
      <c r="AQ142" s="8">
        <v>735.58871952240474</v>
      </c>
      <c r="AR142" s="8">
        <v>725.46445431419158</v>
      </c>
      <c r="AS142" s="8">
        <v>720.19607384111612</v>
      </c>
      <c r="AT142" s="8">
        <v>717.38315106216737</v>
      </c>
      <c r="AU142" s="8">
        <v>714.8911749383733</v>
      </c>
      <c r="AV142" s="8">
        <v>877.3279492189738</v>
      </c>
      <c r="AW142" s="8">
        <v>868.10184851990857</v>
      </c>
      <c r="AX142" s="8">
        <v>857.47554191650806</v>
      </c>
      <c r="AY142" s="8">
        <v>842.70152573663563</v>
      </c>
      <c r="AZ142" s="8">
        <v>827.27733584486714</v>
      </c>
      <c r="BA142" s="8">
        <v>817.8561469138167</v>
      </c>
      <c r="BB142" s="8">
        <v>808.4747854787156</v>
      </c>
      <c r="BC142" s="8">
        <v>798.02671991899933</v>
      </c>
      <c r="BD142" s="8">
        <v>789.82239146875668</v>
      </c>
      <c r="BE142" s="8">
        <v>783.47335052371636</v>
      </c>
      <c r="BF142" s="8">
        <v>777.24304565705563</v>
      </c>
      <c r="BH142" s="8">
        <f t="shared" si="31"/>
        <v>7767.5644277928268</v>
      </c>
      <c r="BI142" s="8">
        <f t="shared" si="32"/>
        <v>8899.8125588608036</v>
      </c>
      <c r="BJ142" s="8">
        <f t="shared" si="33"/>
        <v>8170.4526919789796</v>
      </c>
    </row>
    <row r="143" spans="1:62" x14ac:dyDescent="0.25">
      <c r="A143" s="9" t="s">
        <v>454</v>
      </c>
      <c r="B143" s="9" t="s">
        <v>644</v>
      </c>
      <c r="C143" s="10">
        <f>VLOOKUP(A143,'[2]Revenue_Engine_2025 Oct.25'!$C$14:G$3937,5,0)</f>
        <v>45653</v>
      </c>
      <c r="D143" s="6" cm="1">
        <f t="array" ref="D143">_xlfn.LET(
  _xlpm.aralık, Y143:BF143,
  _xlpm.ilk, MATCH(TRUE, _xlpm.aralık&lt;&gt;0, 0),
  _xlpm.son, MIN(_xlpm.ilk+2, COLUMNS(_xlpm.aralık)),
  MAX(INDEX(_xlpm.aralık, _xlpm.ilk):INDEX(_xlpm.aralık, _xlpm.son))
)</f>
        <v>775.00034000000016</v>
      </c>
      <c r="E143" s="6">
        <f t="shared" si="26"/>
        <v>0</v>
      </c>
      <c r="F143" s="6">
        <f t="shared" si="27"/>
        <v>0</v>
      </c>
      <c r="G143" s="6">
        <f t="shared" si="34"/>
        <v>775.00034000000016</v>
      </c>
      <c r="H143" s="7">
        <f t="shared" si="28"/>
        <v>-1</v>
      </c>
      <c r="I143" s="7">
        <f t="shared" si="29"/>
        <v>-1</v>
      </c>
      <c r="J143" s="7" t="e">
        <f t="shared" si="30"/>
        <v>#DIV/0!</v>
      </c>
      <c r="K143" s="7">
        <f t="shared" si="35"/>
        <v>0</v>
      </c>
      <c r="L143" s="5" t="s">
        <v>418</v>
      </c>
      <c r="M143" s="7">
        <f>IF(R143="",(VLOOKUP(A143,[1]Export!$B$2:$H$680,7,0)),"CHURN")</f>
        <v>0.2049316868686793</v>
      </c>
      <c r="N143" s="5">
        <f t="shared" si="36"/>
        <v>616.17821300000014</v>
      </c>
      <c r="O143" s="5">
        <f t="shared" si="37"/>
        <v>0</v>
      </c>
      <c r="P143" s="5">
        <f t="shared" si="38"/>
        <v>0</v>
      </c>
      <c r="Q143" s="5" t="s">
        <v>430</v>
      </c>
      <c r="T143" s="6" t="str" cm="1">
        <f t="array" ref="T143">IF(R143&lt;&gt;"Churn","",
 _xlfn.LET(
   _xlpm.rng,Y143:BF143,
   _xlpm.pos,MAX(IF((_xlpm.rng&lt;&gt;0)*(_xlpm.rng&lt;&gt;""),COLUMN(_xlpm.rng)-COLUMN(Y143)+1)),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3" s="6" t="str" cm="1">
        <f t="array" ref="U143">IF(R143="Churn",
   MAX(IF((Y143:BF143&lt;&gt;"")*(Y143:BF143&lt;&gt;0), COLUMN(Y143:BF143)-COLUMN(Y143)+1))
   -MATCH(1, --((Y143:BF143&lt;&gt;"")*(Y143:BF143&lt;&gt;0)), 0)
   +1,
"")</f>
        <v/>
      </c>
      <c r="V143" s="6" t="str" cm="1">
        <f t="array" ref="V143">IFERROR(
    IF(
        MATCH(2,1/((Y143:BF143&lt;&gt;0)*(Y143:BF143&lt;&gt;"")))-MATCH(1,INDEX((Y143:BF143&lt;&gt;0)*(Y143:BF143&lt;&gt;""),0),0)+1 &lt;= 12,
        "No",
        "Yes"
    ),
    "No"
)</f>
        <v>No</v>
      </c>
      <c r="W143" s="6" t="str" cm="1">
        <f t="array" ref="W143">IFERROR(
    IF(
        MATCH(2,1/((Y143:BF143&lt;&gt;0)*(Y143:BF143&lt;&gt;"")))-MATCH(1,INDEX((Y143:BF143&lt;&gt;0)*(Y143:BF143&lt;&gt;""),0),0)+1 &lt;= 24,
        "No",
        "Yes"
    ),
    "No"
)</f>
        <v>No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775.00034000000016</v>
      </c>
      <c r="AX143" s="8">
        <v>775.00034000000016</v>
      </c>
      <c r="AY143" s="8">
        <v>775.00034000000016</v>
      </c>
      <c r="AZ143" s="8">
        <v>775.00034000000005</v>
      </c>
      <c r="BA143" s="8">
        <v>775.00034000000016</v>
      </c>
      <c r="BB143" s="8">
        <v>775.00034000000016</v>
      </c>
      <c r="BC143" s="8">
        <v>775.00034000000016</v>
      </c>
      <c r="BD143" s="8">
        <v>775.00034000000016</v>
      </c>
      <c r="BE143" s="8">
        <v>775.00034000000016</v>
      </c>
      <c r="BF143" s="8">
        <v>775.00034000000016</v>
      </c>
      <c r="BH143" s="8">
        <f t="shared" si="31"/>
        <v>0</v>
      </c>
      <c r="BI143" s="8">
        <f t="shared" si="32"/>
        <v>0</v>
      </c>
      <c r="BJ143" s="8">
        <f t="shared" si="33"/>
        <v>7750.0034000000032</v>
      </c>
    </row>
    <row r="144" spans="1:62" x14ac:dyDescent="0.25">
      <c r="A144" s="9" t="s">
        <v>361</v>
      </c>
      <c r="B144" s="9" t="s">
        <v>644</v>
      </c>
      <c r="C144" s="10">
        <v>44927</v>
      </c>
      <c r="D144" s="6" cm="1">
        <f t="array" ref="D144">_xlfn.LET(
  _xlpm.aralık, Y144:BF144,
  _xlpm.ilk, MATCH(TRUE, _xlpm.aralık&lt;&gt;0, 0),
  _xlpm.son, MIN(_xlpm.ilk+2, COLUMNS(_xlpm.aralık)),
  MAX(INDEX(_xlpm.aralık, _xlpm.ilk):INDEX(_xlpm.aralık, _xlpm.son))
)</f>
        <v>454.45</v>
      </c>
      <c r="E144" s="6">
        <f t="shared" si="26"/>
        <v>535.00096499999995</v>
      </c>
      <c r="F144" s="6">
        <f t="shared" si="27"/>
        <v>555.00096499999995</v>
      </c>
      <c r="G144" s="6">
        <f t="shared" si="34"/>
        <v>774.00083999999993</v>
      </c>
      <c r="H144" s="7">
        <f t="shared" si="28"/>
        <v>0.17724934536252604</v>
      </c>
      <c r="I144" s="7">
        <f t="shared" si="29"/>
        <v>0.22125858730333361</v>
      </c>
      <c r="J144" s="7">
        <f t="shared" si="30"/>
        <v>3.7383110140745267E-2</v>
      </c>
      <c r="K144" s="7">
        <f t="shared" si="35"/>
        <v>0.70315951149741429</v>
      </c>
      <c r="L144" s="5" t="s">
        <v>414</v>
      </c>
      <c r="M144" s="7">
        <f>IF(R144="",(VLOOKUP(A144,[1]Export!$B$2:$H$680,7,0)),"CHURN")</f>
        <v>0</v>
      </c>
      <c r="N144" s="5">
        <f t="shared" si="36"/>
        <v>774.00083999999993</v>
      </c>
      <c r="O144" s="5">
        <f t="shared" si="37"/>
        <v>535.00096499999995</v>
      </c>
      <c r="P144" s="5">
        <f t="shared" si="38"/>
        <v>555.00096499999995</v>
      </c>
      <c r="Q144" s="5" t="s">
        <v>430</v>
      </c>
      <c r="T144" s="6" t="str" cm="1">
        <f t="array" ref="T144">IF(R144&lt;&gt;"Churn","",
 _xlfn.LET(
   _xlpm.rng,Y144:BF144,
   _xlpm.pos,MAX(IF((_xlpm.rng&lt;&gt;0)*(_xlpm.rng&lt;&gt;""),COLUMN(_xlpm.rng)-COLUMN(Y144)+1)),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4" s="6" t="str" cm="1">
        <f t="array" ref="U144">IF(R144="Churn",
   MAX(IF((Y144:BF144&lt;&gt;"")*(Y144:BF144&lt;&gt;0), COLUMN(Y144:BF144)-COLUMN(Y144)+1))
   -MATCH(1, --((Y144:BF144&lt;&gt;"")*(Y144:BF144&lt;&gt;0)), 0)
   +1,
"")</f>
        <v/>
      </c>
      <c r="V144" s="6" t="str" cm="1">
        <f t="array" ref="V144">IFERROR(
    IF(
        MATCH(2,1/((Y144:BF144&lt;&gt;0)*(Y144:BF144&lt;&gt;"")))-MATCH(1,INDEX((Y144:BF144&lt;&gt;0)*(Y144:BF144&lt;&gt;""),0),0)+1 &lt;= 12,
        "No",
        "Yes"
    ),
    "No"
)</f>
        <v>Yes</v>
      </c>
      <c r="W144" s="6" t="str" cm="1">
        <f t="array" ref="W144">IFERROR(
    IF(
        MATCH(2,1/((Y144:BF144&lt;&gt;0)*(Y144:BF144&lt;&gt;"")))-MATCH(1,INDEX((Y144:BF144&lt;&gt;0)*(Y144:BF144&lt;&gt;""),0),0)+1 &lt;= 24,
        "No",
        "Yes"
    ),
    "No"
)</f>
        <v>Yes</v>
      </c>
      <c r="X144" s="6"/>
      <c r="Y144" s="8">
        <v>295.76667395233045</v>
      </c>
      <c r="Z144" s="8">
        <v>294.73907892709724</v>
      </c>
      <c r="AA144" s="8">
        <v>454.45</v>
      </c>
      <c r="AB144" s="8">
        <v>454.45</v>
      </c>
      <c r="AC144" s="8">
        <v>454.45</v>
      </c>
      <c r="AD144" s="8">
        <v>419</v>
      </c>
      <c r="AE144" s="8">
        <v>419.00096500000001</v>
      </c>
      <c r="AF144" s="8">
        <v>419.00096500000001</v>
      </c>
      <c r="AG144" s="8">
        <v>419.00096500000001</v>
      </c>
      <c r="AH144" s="8">
        <v>457.00096500000001</v>
      </c>
      <c r="AI144" s="8">
        <v>535.00096499999995</v>
      </c>
      <c r="AJ144" s="8">
        <v>535.00096499999995</v>
      </c>
      <c r="AK144" s="8">
        <v>535.00096499999995</v>
      </c>
      <c r="AL144" s="8">
        <v>555.00096499999995</v>
      </c>
      <c r="AM144" s="8">
        <v>555.00096499999995</v>
      </c>
      <c r="AN144" s="8">
        <v>555.00096499999995</v>
      </c>
      <c r="AO144" s="8">
        <v>555.00096499999995</v>
      </c>
      <c r="AP144" s="8">
        <v>555.00096499999995</v>
      </c>
      <c r="AQ144" s="8">
        <v>555.00096499999995</v>
      </c>
      <c r="AR144" s="8">
        <v>555.00096499999995</v>
      </c>
      <c r="AS144" s="8">
        <v>555.00096499999995</v>
      </c>
      <c r="AT144" s="8">
        <v>555.00096499999995</v>
      </c>
      <c r="AU144" s="8">
        <v>555.00096499999995</v>
      </c>
      <c r="AV144" s="8">
        <v>555.00096499999995</v>
      </c>
      <c r="AW144" s="8">
        <v>555.00096499999995</v>
      </c>
      <c r="AX144" s="8">
        <v>774.00083999999993</v>
      </c>
      <c r="AY144" s="8">
        <v>774.00083999999993</v>
      </c>
      <c r="AZ144" s="8">
        <v>774.00083999999993</v>
      </c>
      <c r="BA144" s="8">
        <v>774.00083999999993</v>
      </c>
      <c r="BB144" s="8">
        <v>774.00083999999993</v>
      </c>
      <c r="BC144" s="8">
        <v>774.00083999999993</v>
      </c>
      <c r="BD144" s="8">
        <v>774.00083999999993</v>
      </c>
      <c r="BE144" s="8">
        <v>774.00083999999993</v>
      </c>
      <c r="BF144" s="8">
        <v>774.00083999999993</v>
      </c>
      <c r="BH144" s="8">
        <f t="shared" si="31"/>
        <v>5156.8615428794292</v>
      </c>
      <c r="BI144" s="8">
        <f t="shared" si="32"/>
        <v>6640.0115800000012</v>
      </c>
      <c r="BJ144" s="8">
        <f t="shared" si="33"/>
        <v>7521.0085249999975</v>
      </c>
    </row>
    <row r="145" spans="1:62" x14ac:dyDescent="0.25">
      <c r="A145" s="9" t="s">
        <v>159</v>
      </c>
      <c r="B145" s="9" t="s">
        <v>643</v>
      </c>
      <c r="C145" s="10">
        <v>44927</v>
      </c>
      <c r="D145" s="6" cm="1">
        <f t="array" ref="D145">_xlfn.LET(
  _xlpm.aralık, Y145:BF145,
  _xlpm.ilk, MATCH(TRUE, _xlpm.aralık&lt;&gt;0, 0),
  _xlpm.son, MIN(_xlpm.ilk+2, COLUMNS(_xlpm.aralık)),
  MAX(INDEX(_xlpm.aralık, _xlpm.ilk):INDEX(_xlpm.aralık, _xlpm.son))
)</f>
        <v>2215.3223892717961</v>
      </c>
      <c r="E145" s="6">
        <f t="shared" si="26"/>
        <v>2228.0187350162887</v>
      </c>
      <c r="F145" s="6">
        <f t="shared" si="27"/>
        <v>3710.4022269943848</v>
      </c>
      <c r="G145" s="6">
        <f t="shared" si="34"/>
        <v>773.17600803330276</v>
      </c>
      <c r="H145" s="7">
        <f t="shared" si="28"/>
        <v>5.7311503761157279E-3</v>
      </c>
      <c r="I145" s="7">
        <f t="shared" si="29"/>
        <v>0.67488138293679234</v>
      </c>
      <c r="J145" s="7">
        <f t="shared" si="30"/>
        <v>0.66533708567188443</v>
      </c>
      <c r="K145" s="7">
        <f t="shared" si="35"/>
        <v>-0.65098713768362382</v>
      </c>
      <c r="L145" s="5" t="s">
        <v>416</v>
      </c>
      <c r="M145" s="7">
        <f>IF(R145="",(VLOOKUP(A145,[1]Export!$B$2:$H$680,7,0)),"CHURN")</f>
        <v>0.21583772360950865</v>
      </c>
      <c r="N145" s="5">
        <f t="shared" si="36"/>
        <v>606.29545850990758</v>
      </c>
      <c r="O145" s="5">
        <f t="shared" si="37"/>
        <v>1747.128243091036</v>
      </c>
      <c r="P145" s="5">
        <f t="shared" si="38"/>
        <v>2909.5574566442656</v>
      </c>
      <c r="Q145" s="5" t="str">
        <f>VLOOKUP(A145,[4]Sheet2!$A$1:$B$142,2,0)</f>
        <v>HIGH RISK</v>
      </c>
      <c r="T145" s="6" t="str" cm="1">
        <f t="array" ref="T145">IF(R145&lt;&gt;"Churn","",
 _xlfn.LET(
   _xlpm.rng,Y145:BF145,
   _xlpm.pos,MAX(IF((_xlpm.rng&lt;&gt;0)*(_xlpm.rng&lt;&gt;""),COLUMN(_xlpm.rng)-COLUMN(Y145)+1)),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5" s="6" t="str" cm="1">
        <f t="array" ref="U145">IF(R145="Churn",
   MAX(IF((Y145:BF145&lt;&gt;"")*(Y145:BF145&lt;&gt;0), COLUMN(Y145:BF145)-COLUMN(Y145)+1))
   -MATCH(1, --((Y145:BF145&lt;&gt;"")*(Y145:BF145&lt;&gt;0)), 0)
   +1,
"")</f>
        <v/>
      </c>
      <c r="V145" s="6" t="str" cm="1">
        <f t="array" ref="V145">IFERROR(
    IF(
        MATCH(2,1/((Y145:BF145&lt;&gt;0)*(Y145:BF145&lt;&gt;"")))-MATCH(1,INDEX((Y145:BF145&lt;&gt;0)*(Y145:BF145&lt;&gt;""),0),0)+1 &lt;= 12,
        "No",
        "Yes"
    ),
    "No"
)</f>
        <v>Yes</v>
      </c>
      <c r="W145" s="6" t="str" cm="1">
        <f t="array" ref="W145">IFERROR(
    IF(
        MATCH(2,1/((Y145:BF145&lt;&gt;0)*(Y145:BF145&lt;&gt;"")))-MATCH(1,INDEX((Y145:BF145&lt;&gt;0)*(Y145:BF145&lt;&gt;""),0),0)+1 &lt;= 24,
        "No",
        "Yes"
    ),
    "No"
)</f>
        <v>Yes</v>
      </c>
      <c r="Y145" s="8">
        <v>2010.9396906969182</v>
      </c>
      <c r="Z145" s="8">
        <v>2013.5897830925908</v>
      </c>
      <c r="AA145" s="8">
        <v>2215.3223892717961</v>
      </c>
      <c r="AB145" s="8">
        <v>2194.7482919906142</v>
      </c>
      <c r="AC145" s="8">
        <v>2162.3507777247041</v>
      </c>
      <c r="AD145" s="8">
        <v>1903.6892971180471</v>
      </c>
      <c r="AE145" s="8">
        <v>1696.7084610927436</v>
      </c>
      <c r="AF145" s="8">
        <v>1664.6079068004742</v>
      </c>
      <c r="AG145" s="8">
        <v>1653.6406319392115</v>
      </c>
      <c r="AH145" s="8">
        <v>1611.8043842951674</v>
      </c>
      <c r="AI145" s="8">
        <v>1558.5510836549126</v>
      </c>
      <c r="AJ145" s="8">
        <v>1543.010157153534</v>
      </c>
      <c r="AK145" s="8">
        <v>2228.0187350162887</v>
      </c>
      <c r="AL145" s="8">
        <v>2160.2863738508349</v>
      </c>
      <c r="AM145" s="8">
        <v>2327.2249869666834</v>
      </c>
      <c r="AN145" s="8">
        <v>2248.5658455363487</v>
      </c>
      <c r="AO145" s="8">
        <v>2284.3470517356527</v>
      </c>
      <c r="AP145" s="8">
        <v>2314.9886715289799</v>
      </c>
      <c r="AQ145" s="8">
        <v>2411.1680831346903</v>
      </c>
      <c r="AR145" s="8">
        <v>2359.2606553651112</v>
      </c>
      <c r="AS145" s="8">
        <v>2321.3379053516846</v>
      </c>
      <c r="AT145" s="8">
        <v>2317.7532036218167</v>
      </c>
      <c r="AU145" s="8">
        <v>2294.2669684605107</v>
      </c>
      <c r="AV145" s="8">
        <v>2269.1373402420436</v>
      </c>
      <c r="AW145" s="8">
        <v>3710.4022269943848</v>
      </c>
      <c r="AX145" s="8">
        <v>3614.3897336227478</v>
      </c>
      <c r="AY145" s="8">
        <v>3943.3153153998151</v>
      </c>
      <c r="AZ145" s="8">
        <v>3872.3397832223577</v>
      </c>
      <c r="BA145" s="8">
        <v>3832.1929887168458</v>
      </c>
      <c r="BB145" s="8">
        <v>4039.0039599156812</v>
      </c>
      <c r="BC145" s="8">
        <v>3411.2446307583346</v>
      </c>
      <c r="BD145" s="8">
        <v>791.43715657964526</v>
      </c>
      <c r="BE145" s="8">
        <v>782.22039908210138</v>
      </c>
      <c r="BF145" s="8">
        <v>773.17600803330276</v>
      </c>
      <c r="BH145" s="8">
        <f t="shared" si="31"/>
        <v>22228.962854830712</v>
      </c>
      <c r="BI145" s="8">
        <f t="shared" si="32"/>
        <v>27536.355820810644</v>
      </c>
      <c r="BJ145" s="8">
        <f t="shared" si="33"/>
        <v>28769.722202325218</v>
      </c>
    </row>
    <row r="146" spans="1:62" x14ac:dyDescent="0.25">
      <c r="A146" s="9" t="s">
        <v>455</v>
      </c>
      <c r="B146" s="9" t="s">
        <v>644</v>
      </c>
      <c r="C146" s="10">
        <f>VLOOKUP(A146,'[2]Revenue_Engine_2025 Oct.25'!$C$14:G$3937,5,0)</f>
        <v>45559</v>
      </c>
      <c r="D146" s="6" cm="1">
        <f t="array" ref="D146">_xlfn.LET(
  _xlpm.aralık, Y146:BF146,
  _xlpm.ilk, MATCH(TRUE, _xlpm.aralık&lt;&gt;0, 0),
  _xlpm.son, MIN(_xlpm.ilk+2, COLUMNS(_xlpm.aralık)),
  MAX(INDEX(_xlpm.aralık, _xlpm.ilk):INDEX(_xlpm.aralık, _xlpm.son))
)</f>
        <v>772.01673300000004</v>
      </c>
      <c r="E146" s="6">
        <f t="shared" si="26"/>
        <v>772.01673300000004</v>
      </c>
      <c r="F146" s="6">
        <f t="shared" si="27"/>
        <v>0</v>
      </c>
      <c r="G146" s="6">
        <f t="shared" si="34"/>
        <v>772.01673300000004</v>
      </c>
      <c r="H146" s="7">
        <f t="shared" si="28"/>
        <v>0</v>
      </c>
      <c r="I146" s="7">
        <f t="shared" si="29"/>
        <v>-1</v>
      </c>
      <c r="J146" s="7">
        <f t="shared" si="30"/>
        <v>-1</v>
      </c>
      <c r="K146" s="7">
        <f t="shared" si="35"/>
        <v>0</v>
      </c>
      <c r="L146" s="5" t="s">
        <v>418</v>
      </c>
      <c r="M146" s="7">
        <f>IF(R146="",(VLOOKUP(A146,[1]Export!$B$2:$H$680,7,0)),"CHURN")</f>
        <v>0.25130852053695057</v>
      </c>
      <c r="N146" s="5">
        <f t="shared" si="36"/>
        <v>578.00235000000009</v>
      </c>
      <c r="O146" s="5">
        <f t="shared" si="37"/>
        <v>578.00235000000009</v>
      </c>
      <c r="P146" s="5">
        <f t="shared" si="38"/>
        <v>0</v>
      </c>
      <c r="Q146" s="5" t="s">
        <v>430</v>
      </c>
      <c r="T146" s="6" t="str" cm="1">
        <f t="array" ref="T146">IF(R146&lt;&gt;"Churn","",
 _xlfn.LET(
   _xlpm.rng,Y146:BF146,
   _xlpm.pos,MAX(IF((_xlpm.rng&lt;&gt;0)*(_xlpm.rng&lt;&gt;""),COLUMN(_xlpm.rng)-COLUMN(Y146)+1)),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6" s="6" t="str" cm="1">
        <f t="array" ref="U146">IF(R146="Churn",
   MAX(IF((Y146:BF146&lt;&gt;"")*(Y146:BF146&lt;&gt;0), COLUMN(Y146:BF146)-COLUMN(Y146)+1))
   -MATCH(1, --((Y146:BF146&lt;&gt;"")*(Y146:BF146&lt;&gt;0)), 0)
   +1,
"")</f>
        <v/>
      </c>
      <c r="V146" s="6" t="str" cm="1">
        <f t="array" ref="V146">IFERROR(
    IF(
        MATCH(2,1/((Y146:BF146&lt;&gt;0)*(Y146:BF146&lt;&gt;"")))-MATCH(1,INDEX((Y146:BF146&lt;&gt;0)*(Y146:BF146&lt;&gt;""),0),0)+1 &lt;= 12,
        "No",
        "Yes"
    ),
    "No"
)</f>
        <v>Yes</v>
      </c>
      <c r="W146" s="6" t="str" cm="1">
        <f t="array" ref="W146">IFERROR(
    IF(
        MATCH(2,1/((Y146:BF146&lt;&gt;0)*(Y146:BF146&lt;&gt;"")))-MATCH(1,INDEX((Y146:BF146&lt;&gt;0)*(Y146:BF146&lt;&gt;""),0),0)+1 &lt;= 24,
        "No",
        "Yes"
    ),
    "No"
)</f>
        <v>No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772.0100020000001</v>
      </c>
      <c r="AT146" s="8">
        <v>772.01673300000004</v>
      </c>
      <c r="AU146" s="8">
        <v>772.01673300000004</v>
      </c>
      <c r="AV146" s="8">
        <v>772.01673300000004</v>
      </c>
      <c r="AW146" s="8">
        <v>772.01673300000004</v>
      </c>
      <c r="AX146" s="8">
        <v>772.01673300000004</v>
      </c>
      <c r="AY146" s="8">
        <v>772.01673300000004</v>
      </c>
      <c r="AZ146" s="8">
        <v>772.01673299999993</v>
      </c>
      <c r="BA146" s="8">
        <v>772.01673300000004</v>
      </c>
      <c r="BB146" s="8">
        <v>772.01673300000004</v>
      </c>
      <c r="BC146" s="8">
        <v>772.01673300000004</v>
      </c>
      <c r="BD146" s="8">
        <v>772.01673300000004</v>
      </c>
      <c r="BE146" s="8">
        <v>772.01673300000004</v>
      </c>
      <c r="BF146" s="8">
        <v>772.01673300000004</v>
      </c>
      <c r="BH146" s="8">
        <f t="shared" si="31"/>
        <v>0</v>
      </c>
      <c r="BI146" s="8">
        <f t="shared" si="32"/>
        <v>3088.0602010000002</v>
      </c>
      <c r="BJ146" s="8">
        <f t="shared" si="33"/>
        <v>7720.167330000002</v>
      </c>
    </row>
    <row r="147" spans="1:62" x14ac:dyDescent="0.25">
      <c r="A147" s="9" t="s">
        <v>115</v>
      </c>
      <c r="B147" s="9" t="s">
        <v>644</v>
      </c>
      <c r="C147" s="10">
        <v>44927</v>
      </c>
      <c r="D147" s="6" cm="1">
        <f t="array" ref="D147">_xlfn.LET(
  _xlpm.aralık, Y147:BF147,
  _xlpm.ilk, MATCH(TRUE, _xlpm.aralık&lt;&gt;0, 0),
  _xlpm.son, MIN(_xlpm.ilk+2, COLUMNS(_xlpm.aralık)),
  MAX(INDEX(_xlpm.aralık, _xlpm.ilk):INDEX(_xlpm.aralık, _xlpm.son))
)</f>
        <v>282.75967536953345</v>
      </c>
      <c r="E147" s="6">
        <f t="shared" si="26"/>
        <v>521.79309390515118</v>
      </c>
      <c r="F147" s="6">
        <f t="shared" si="27"/>
        <v>887.37988330464395</v>
      </c>
      <c r="G147" s="6">
        <f t="shared" si="34"/>
        <v>769.76226823370394</v>
      </c>
      <c r="H147" s="7">
        <f t="shared" si="28"/>
        <v>0.84535893678343388</v>
      </c>
      <c r="I147" s="7">
        <f t="shared" si="29"/>
        <v>2.1382830035610398</v>
      </c>
      <c r="J147" s="7">
        <f t="shared" si="30"/>
        <v>0.70063554629173996</v>
      </c>
      <c r="K147" s="7">
        <f t="shared" si="35"/>
        <v>1.7223198188628406</v>
      </c>
      <c r="L147" s="5" t="s">
        <v>413</v>
      </c>
      <c r="M147" s="7">
        <f>IF(R147="",(VLOOKUP(A147,[1]Export!$B$2:$H$680,7,0)),"CHURN")</f>
        <v>0.13756254053786404</v>
      </c>
      <c r="N147" s="5">
        <f t="shared" si="36"/>
        <v>663.87181500528686</v>
      </c>
      <c r="O147" s="5">
        <f t="shared" si="37"/>
        <v>450.01391027244637</v>
      </c>
      <c r="P147" s="5">
        <f t="shared" si="38"/>
        <v>765.30965213506386</v>
      </c>
      <c r="Q147" s="5" t="str">
        <f>VLOOKUP(A147,[4]Sheet2!$A$1:$B$142,2,0)</f>
        <v>NO RISK</v>
      </c>
      <c r="T147" s="6" t="str" cm="1">
        <f t="array" ref="T147">IF(R147&lt;&gt;"Churn","",
 _xlfn.LET(
   _xlpm.rng,Y147:BF147,
   _xlpm.pos,MAX(IF((_xlpm.rng&lt;&gt;0)*(_xlpm.rng&lt;&gt;""),COLUMN(_xlpm.rng)-COLUMN(Y147)+1)),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7" s="6" t="str" cm="1">
        <f t="array" ref="U147">IF(R147="Churn",
   MAX(IF((Y147:BF147&lt;&gt;"")*(Y147:BF147&lt;&gt;0), COLUMN(Y147:BF147)-COLUMN(Y147)+1))
   -MATCH(1, --((Y147:BF147&lt;&gt;"")*(Y147:BF147&lt;&gt;0)), 0)
   +1,
"")</f>
        <v/>
      </c>
      <c r="V147" s="6" t="str" cm="1">
        <f t="array" ref="V147">IFERROR(
    IF(
        MATCH(2,1/((Y147:BF147&lt;&gt;0)*(Y147:BF147&lt;&gt;"")))-MATCH(1,INDEX((Y147:BF147&lt;&gt;0)*(Y147:BF147&lt;&gt;""),0),0)+1 &lt;= 12,
        "No",
        "Yes"
    ),
    "No"
)</f>
        <v>Yes</v>
      </c>
      <c r="W147" s="6" t="str" cm="1">
        <f t="array" ref="W147">IFERROR(
    IF(
        MATCH(2,1/((Y147:BF147&lt;&gt;0)*(Y147:BF147&lt;&gt;"")))-MATCH(1,INDEX((Y147:BF147&lt;&gt;0)*(Y147:BF147&lt;&gt;""),0),0)+1 &lt;= 24,
        "No",
        "Yes"
    ),
    "No"
)</f>
        <v>Yes</v>
      </c>
      <c r="X147" s="6"/>
      <c r="Y147" s="8">
        <v>173.25663839473728</v>
      </c>
      <c r="Z147" s="8">
        <v>172.65468531691434</v>
      </c>
      <c r="AA147" s="8">
        <v>282.75967536953345</v>
      </c>
      <c r="AB147" s="8">
        <v>277.73605233579025</v>
      </c>
      <c r="AC147" s="8">
        <v>272.47046546607584</v>
      </c>
      <c r="AD147" s="8">
        <v>229.13749888892687</v>
      </c>
      <c r="AE147" s="8">
        <v>203.06686147751759</v>
      </c>
      <c r="AF147" s="8">
        <v>304.22497646232671</v>
      </c>
      <c r="AG147" s="8">
        <v>304.04009324666936</v>
      </c>
      <c r="AH147" s="8">
        <v>297.90527402654266</v>
      </c>
      <c r="AI147" s="8">
        <v>542.32441424767956</v>
      </c>
      <c r="AJ147" s="8">
        <v>535.51044762754304</v>
      </c>
      <c r="AK147" s="8">
        <v>521.79309390515118</v>
      </c>
      <c r="AL147" s="8">
        <v>512.21652843022912</v>
      </c>
      <c r="AM147" s="8">
        <v>496.62609420330722</v>
      </c>
      <c r="AN147" s="8">
        <v>725.32984577828915</v>
      </c>
      <c r="AO147" s="8">
        <v>728.22331990888142</v>
      </c>
      <c r="AP147" s="8">
        <v>722.96337973885602</v>
      </c>
      <c r="AQ147" s="8">
        <v>715.82815231719519</v>
      </c>
      <c r="AR147" s="8">
        <v>702.7212633077753</v>
      </c>
      <c r="AS147" s="8">
        <v>695.90077569097207</v>
      </c>
      <c r="AT147" s="8">
        <v>692.25916183065226</v>
      </c>
      <c r="AU147" s="8">
        <v>689.03304596998646</v>
      </c>
      <c r="AV147" s="8">
        <v>679.98294521738467</v>
      </c>
      <c r="AW147" s="8">
        <v>887.37988330464395</v>
      </c>
      <c r="AX147" s="8">
        <v>875.62305014290519</v>
      </c>
      <c r="AY147" s="8">
        <v>856.49658567120503</v>
      </c>
      <c r="AZ147" s="8">
        <v>836.52840529439061</v>
      </c>
      <c r="BA147" s="8">
        <v>822.34005269093677</v>
      </c>
      <c r="BB147" s="8">
        <v>810.19492749274673</v>
      </c>
      <c r="BC147" s="8">
        <v>796.66884546515575</v>
      </c>
      <c r="BD147" s="8">
        <v>786.04750901153091</v>
      </c>
      <c r="BE147" s="8">
        <v>777.82803066615566</v>
      </c>
      <c r="BF147" s="8">
        <v>769.76226823370394</v>
      </c>
      <c r="BH147" s="8">
        <f t="shared" si="31"/>
        <v>3595.0870828602565</v>
      </c>
      <c r="BI147" s="8">
        <f t="shared" si="32"/>
        <v>7882.8776062986799</v>
      </c>
      <c r="BJ147" s="8">
        <f t="shared" si="33"/>
        <v>8218.869557973374</v>
      </c>
    </row>
    <row r="148" spans="1:62" x14ac:dyDescent="0.25">
      <c r="A148" s="9" t="s">
        <v>97</v>
      </c>
      <c r="B148" s="9" t="s">
        <v>644</v>
      </c>
      <c r="C148" s="10">
        <v>44927</v>
      </c>
      <c r="D148" s="6" cm="1">
        <f t="array" ref="D148">_xlfn.LET(
  _xlpm.aralık, Y148:BF148,
  _xlpm.ilk, MATCH(TRUE, _xlpm.aralık&lt;&gt;0, 0),
  _xlpm.son, MIN(_xlpm.ilk+2, COLUMNS(_xlpm.aralık)),
  MAX(INDEX(_xlpm.aralık, _xlpm.ilk):INDEX(_xlpm.aralık, _xlpm.son))
)</f>
        <v>1346.8979687214019</v>
      </c>
      <c r="E148" s="6">
        <f t="shared" si="26"/>
        <v>1353.2528858642675</v>
      </c>
      <c r="F148" s="6">
        <f t="shared" si="27"/>
        <v>715.03937692242573</v>
      </c>
      <c r="G148" s="6">
        <f t="shared" si="34"/>
        <v>750.48330269717985</v>
      </c>
      <c r="H148" s="7">
        <f t="shared" si="28"/>
        <v>4.7181874874295442E-3</v>
      </c>
      <c r="I148" s="7">
        <f t="shared" si="29"/>
        <v>-0.46912134881218492</v>
      </c>
      <c r="J148" s="7">
        <f t="shared" si="30"/>
        <v>-0.47161437127417671</v>
      </c>
      <c r="K148" s="7">
        <f t="shared" si="35"/>
        <v>-0.44280612182554041</v>
      </c>
      <c r="L148" s="5" t="s">
        <v>418</v>
      </c>
      <c r="M148" s="7">
        <f>IF(R148="",(VLOOKUP(A148,[1]Export!$B$2:$H$680,7,0)),"CHURN")</f>
        <v>0.76100217106682599</v>
      </c>
      <c r="N148" s="5">
        <f t="shared" si="36"/>
        <v>179.36387999522404</v>
      </c>
      <c r="O148" s="5">
        <f t="shared" si="37"/>
        <v>323.42450171911224</v>
      </c>
      <c r="P148" s="5">
        <f t="shared" si="38"/>
        <v>170.89285868618924</v>
      </c>
      <c r="Q148" s="5" t="s">
        <v>430</v>
      </c>
      <c r="T148" s="6" t="str" cm="1">
        <f t="array" ref="T148">IF(R148&lt;&gt;"Churn","",
 _xlfn.LET(
   _xlpm.rng,Y148:BF148,
   _xlpm.pos,MAX(IF((_xlpm.rng&lt;&gt;0)*(_xlpm.rng&lt;&gt;""),COLUMN(_xlpm.rng)-COLUMN(Y148)+1)),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8" s="6" t="str" cm="1">
        <f t="array" ref="U148">IF(R148="Churn",
   MAX(IF((Y148:BF148&lt;&gt;"")*(Y148:BF148&lt;&gt;0), COLUMN(Y148:BF148)-COLUMN(Y148)+1))
   -MATCH(1, --((Y148:BF148&lt;&gt;"")*(Y148:BF148&lt;&gt;0)), 0)
   +1,
"")</f>
        <v/>
      </c>
      <c r="V148" s="6" t="str" cm="1">
        <f t="array" ref="V148">IFERROR(
    IF(
        MATCH(2,1/((Y148:BF148&lt;&gt;0)*(Y148:BF148&lt;&gt;"")))-MATCH(1,INDEX((Y148:BF148&lt;&gt;0)*(Y148:BF148&lt;&gt;""),0),0)+1 &lt;= 12,
        "No",
        "Yes"
    ),
    "No"
)</f>
        <v>Yes</v>
      </c>
      <c r="W148" s="6" t="str" cm="1">
        <f t="array" ref="W148">IFERROR(
    IF(
        MATCH(2,1/((Y148:BF148&lt;&gt;0)*(Y148:BF148&lt;&gt;"")))-MATCH(1,INDEX((Y148:BF148&lt;&gt;0)*(Y148:BF148&lt;&gt;""),0),0)+1 &lt;= 24,
        "No",
        "Yes"
    ),
    "No"
)</f>
        <v>Yes</v>
      </c>
      <c r="X148" s="6"/>
      <c r="Y148" s="8">
        <v>1346.8979687214019</v>
      </c>
      <c r="Z148" s="8">
        <v>1342.4442148284697</v>
      </c>
      <c r="AA148" s="8">
        <v>1333.0535707066178</v>
      </c>
      <c r="AB148" s="8">
        <v>1310.5248168540857</v>
      </c>
      <c r="AC148" s="8">
        <v>1286.9107822811225</v>
      </c>
      <c r="AD148" s="8">
        <v>1092.5813932287215</v>
      </c>
      <c r="AE148" s="8">
        <v>975.66599507923343</v>
      </c>
      <c r="AF148" s="8">
        <v>958.43682230883462</v>
      </c>
      <c r="AG148" s="8">
        <v>957.60770200660988</v>
      </c>
      <c r="AH148" s="8">
        <v>930.09572290239544</v>
      </c>
      <c r="AI148" s="8">
        <v>1256.1396907474982</v>
      </c>
      <c r="AJ148" s="8">
        <v>1395.6515402515788</v>
      </c>
      <c r="AK148" s="8">
        <v>1353.2528858642675</v>
      </c>
      <c r="AL148" s="8">
        <v>758.78040495783398</v>
      </c>
      <c r="AM148" s="8">
        <v>785.59227650682055</v>
      </c>
      <c r="AN148" s="8">
        <v>778.41525405328275</v>
      </c>
      <c r="AO148" s="8">
        <v>779.45238487225276</v>
      </c>
      <c r="AP148" s="8">
        <v>773.40314900484793</v>
      </c>
      <c r="AQ148" s="8">
        <v>766.19722417567016</v>
      </c>
      <c r="AR148" s="8">
        <v>751.1235426236052</v>
      </c>
      <c r="AS148" s="8">
        <v>743.27958680070901</v>
      </c>
      <c r="AT148" s="8">
        <v>739.09151992789145</v>
      </c>
      <c r="AU148" s="8">
        <v>735.38129982159535</v>
      </c>
      <c r="AV148" s="8">
        <v>724.97315974649598</v>
      </c>
      <c r="AW148" s="8">
        <v>715.03937692242573</v>
      </c>
      <c r="AX148" s="8">
        <v>929.31973586820027</v>
      </c>
      <c r="AY148" s="8">
        <v>922.37601734246221</v>
      </c>
      <c r="AZ148" s="8">
        <v>915.12672021214757</v>
      </c>
      <c r="BA148" s="8">
        <v>910.69880546516504</v>
      </c>
      <c r="BB148" s="8">
        <v>906.28960945505776</v>
      </c>
      <c r="BC148" s="8">
        <v>904.04573416063158</v>
      </c>
      <c r="BD148" s="8">
        <v>900.18973814995979</v>
      </c>
      <c r="BE148" s="8">
        <v>897.20571859197344</v>
      </c>
      <c r="BF148" s="8">
        <v>750.48330269717985</v>
      </c>
      <c r="BH148" s="8">
        <f t="shared" si="31"/>
        <v>14186.01021991657</v>
      </c>
      <c r="BI148" s="8">
        <f t="shared" si="32"/>
        <v>9688.9426883552733</v>
      </c>
      <c r="BJ148" s="8">
        <f t="shared" si="33"/>
        <v>8750.7747588652019</v>
      </c>
    </row>
    <row r="149" spans="1:62" x14ac:dyDescent="0.25">
      <c r="A149" s="9" t="s">
        <v>456</v>
      </c>
      <c r="B149" s="9" t="s">
        <v>643</v>
      </c>
      <c r="C149" s="10">
        <f>VLOOKUP(A149,'[2]Revenue_Engine_2025 Oct.25'!$C$14:G$3937,5,0)</f>
        <v>45565</v>
      </c>
      <c r="D149" s="6" cm="1">
        <f t="array" ref="D149">_xlfn.LET(
  _xlpm.aralık, Y149:BF149,
  _xlpm.ilk, MATCH(TRUE, _xlpm.aralık&lt;&gt;0, 0),
  _xlpm.son, MIN(_xlpm.ilk+2, COLUMNS(_xlpm.aralık)),
  MAX(INDEX(_xlpm.aralık, _xlpm.ilk):INDEX(_xlpm.aralık, _xlpm.son))
)</f>
        <v>750</v>
      </c>
      <c r="E149" s="6">
        <f t="shared" si="26"/>
        <v>750</v>
      </c>
      <c r="F149" s="6">
        <f t="shared" si="27"/>
        <v>0</v>
      </c>
      <c r="G149" s="6">
        <f t="shared" si="34"/>
        <v>750</v>
      </c>
      <c r="H149" s="7">
        <f t="shared" si="28"/>
        <v>0</v>
      </c>
      <c r="I149" s="7">
        <f t="shared" si="29"/>
        <v>-1</v>
      </c>
      <c r="J149" s="7">
        <f t="shared" si="30"/>
        <v>-1</v>
      </c>
      <c r="K149" s="7">
        <f t="shared" si="35"/>
        <v>0</v>
      </c>
      <c r="L149" s="5" t="s">
        <v>417</v>
      </c>
      <c r="M149" s="7">
        <f>IF(R149="",(VLOOKUP(A149,[1]Export!$B$2:$H$680,7,0)),"CHURN")</f>
        <v>0</v>
      </c>
      <c r="N149" s="5">
        <f t="shared" si="36"/>
        <v>750</v>
      </c>
      <c r="O149" s="5">
        <f t="shared" si="37"/>
        <v>750</v>
      </c>
      <c r="P149" s="5">
        <f t="shared" si="38"/>
        <v>0</v>
      </c>
      <c r="Q149" s="5" t="str">
        <f>VLOOKUP(A149,[4]Sheet2!$A$1:$B$142,2,0)</f>
        <v>NO RISK</v>
      </c>
      <c r="T149" s="6" t="str" cm="1">
        <f t="array" ref="T149">IF(R149&lt;&gt;"Churn","",
 _xlfn.LET(
   _xlpm.rng,Y149:BF149,
   _xlpm.pos,MAX(IF((_xlpm.rng&lt;&gt;0)*(_xlpm.rng&lt;&gt;""),COLUMN(_xlpm.rng)-COLUMN(Y149)+1)),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49" s="6" t="str" cm="1">
        <f t="array" ref="U149">IF(R149="Churn",
   MAX(IF((Y149:BF149&lt;&gt;"")*(Y149:BF149&lt;&gt;0), COLUMN(Y149:BF149)-COLUMN(Y149)+1))
   -MATCH(1, --((Y149:BF149&lt;&gt;"")*(Y149:BF149&lt;&gt;0)), 0)
   +1,
"")</f>
        <v/>
      </c>
      <c r="V149" s="6" t="str" cm="1">
        <f t="array" ref="V149">IFERROR(
    IF(
        MATCH(2,1/((Y149:BF149&lt;&gt;0)*(Y149:BF149&lt;&gt;"")))-MATCH(1,INDEX((Y149:BF149&lt;&gt;0)*(Y149:BF149&lt;&gt;""),0),0)+1 &lt;= 12,
        "No",
        "Yes"
    ),
    "No"
)</f>
        <v>Yes</v>
      </c>
      <c r="W149" s="6" t="str" cm="1">
        <f t="array" ref="W149">IFERROR(
    IF(
        MATCH(2,1/((Y149:BF149&lt;&gt;0)*(Y149:BF149&lt;&gt;"")))-MATCH(1,INDEX((Y149:BF149&lt;&gt;0)*(Y149:BF149&lt;&gt;""),0),0)+1 &lt;= 24,
        "No",
        "Yes"
    ),
    "No"
)</f>
        <v>No</v>
      </c>
      <c r="X149" s="6"/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750</v>
      </c>
      <c r="AT149" s="8">
        <v>750</v>
      </c>
      <c r="AU149" s="8">
        <v>750</v>
      </c>
      <c r="AV149" s="8">
        <v>750</v>
      </c>
      <c r="AW149" s="8">
        <v>750</v>
      </c>
      <c r="AX149" s="8">
        <v>750</v>
      </c>
      <c r="AY149" s="8">
        <v>750</v>
      </c>
      <c r="AZ149" s="8">
        <v>750</v>
      </c>
      <c r="BA149" s="8">
        <v>750</v>
      </c>
      <c r="BB149" s="8">
        <v>750</v>
      </c>
      <c r="BC149" s="8">
        <v>750</v>
      </c>
      <c r="BD149" s="8">
        <v>750</v>
      </c>
      <c r="BE149" s="8">
        <v>750</v>
      </c>
      <c r="BF149" s="8">
        <v>750</v>
      </c>
      <c r="BH149" s="8">
        <f t="shared" si="31"/>
        <v>0</v>
      </c>
      <c r="BI149" s="8">
        <f t="shared" si="32"/>
        <v>3000</v>
      </c>
      <c r="BJ149" s="8">
        <f t="shared" si="33"/>
        <v>7500</v>
      </c>
    </row>
    <row r="150" spans="1:62" x14ac:dyDescent="0.25">
      <c r="A150" s="9" t="s">
        <v>363</v>
      </c>
      <c r="B150" s="9" t="s">
        <v>644</v>
      </c>
      <c r="C150" s="10">
        <v>44927</v>
      </c>
      <c r="D150" s="6" cm="1">
        <f t="array" ref="D150">_xlfn.LET(
  _xlpm.aralık, Y150:BF150,
  _xlpm.ilk, MATCH(TRUE, _xlpm.aralık&lt;&gt;0, 0),
  _xlpm.son, MIN(_xlpm.ilk+2, COLUMNS(_xlpm.aralık)),
  MAX(INDEX(_xlpm.aralık, _xlpm.ilk):INDEX(_xlpm.aralık, _xlpm.son))
)</f>
        <v>451.00566682481895</v>
      </c>
      <c r="E150" s="6">
        <f t="shared" si="26"/>
        <v>682.90586711302421</v>
      </c>
      <c r="F150" s="6">
        <f t="shared" si="27"/>
        <v>846.69708680193025</v>
      </c>
      <c r="G150" s="6">
        <f t="shared" si="34"/>
        <v>746.43360698168783</v>
      </c>
      <c r="H150" s="7">
        <f t="shared" si="28"/>
        <v>0.51418467071785301</v>
      </c>
      <c r="I150" s="7">
        <f t="shared" si="29"/>
        <v>0.87735354361036666</v>
      </c>
      <c r="J150" s="7">
        <f t="shared" si="30"/>
        <v>0.23984450504332511</v>
      </c>
      <c r="K150" s="7">
        <f t="shared" si="35"/>
        <v>0.65504263446787236</v>
      </c>
      <c r="L150" s="5" t="s">
        <v>418</v>
      </c>
      <c r="M150" s="7">
        <f>IF(R150="",(VLOOKUP(A150,[1]Export!$B$2:$H$680,7,0)),"CHURN")</f>
        <v>0.22102489632163083</v>
      </c>
      <c r="N150" s="5">
        <f t="shared" si="36"/>
        <v>581.4531963875794</v>
      </c>
      <c r="O150" s="5">
        <f t="shared" si="37"/>
        <v>531.96666863693463</v>
      </c>
      <c r="P150" s="5">
        <f t="shared" si="38"/>
        <v>659.55595097570676</v>
      </c>
      <c r="Q150" s="5" t="s">
        <v>430</v>
      </c>
      <c r="T150" s="6" t="str" cm="1">
        <f t="array" ref="T150">IF(R150&lt;&gt;"Churn","",
 _xlfn.LET(
   _xlpm.rng,Y150:BF150,
   _xlpm.pos,MAX(IF((_xlpm.rng&lt;&gt;0)*(_xlpm.rng&lt;&gt;""),COLUMN(_xlpm.rng)-COLUMN(Y150)+1)),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0" s="6" t="str" cm="1">
        <f t="array" ref="U150">IF(R150="Churn",
   MAX(IF((Y150:BF150&lt;&gt;"")*(Y150:BF150&lt;&gt;0), COLUMN(Y150:BF150)-COLUMN(Y150)+1))
   -MATCH(1, --((Y150:BF150&lt;&gt;"")*(Y150:BF150&lt;&gt;0)), 0)
   +1,
"")</f>
        <v/>
      </c>
      <c r="V150" s="6" t="str" cm="1">
        <f t="array" ref="V150">IFERROR(
    IF(
        MATCH(2,1/((Y150:BF150&lt;&gt;0)*(Y150:BF150&lt;&gt;"")))-MATCH(1,INDEX((Y150:BF150&lt;&gt;0)*(Y150:BF150&lt;&gt;""),0),0)+1 &lt;= 12,
        "No",
        "Yes"
    ),
    "No"
)</f>
        <v>Yes</v>
      </c>
      <c r="W150" s="6" t="str" cm="1">
        <f t="array" ref="W150">IFERROR(
    IF(
        MATCH(2,1/((Y150:BF150&lt;&gt;0)*(Y150:BF150&lt;&gt;"")))-MATCH(1,INDEX((Y150:BF150&lt;&gt;0)*(Y150:BF150&lt;&gt;""),0),0)+1 &lt;= 24,
        "No",
        "Yes"
    ),
    "No"
)</f>
        <v>Yes</v>
      </c>
      <c r="Y150" s="8">
        <v>451.00566682481895</v>
      </c>
      <c r="Z150" s="8">
        <v>449.48041033378138</v>
      </c>
      <c r="AA150" s="8">
        <v>446.26443988588363</v>
      </c>
      <c r="AB150" s="8">
        <v>438.54912178016275</v>
      </c>
      <c r="AC150" s="8">
        <v>430.46213260701649</v>
      </c>
      <c r="AD150" s="8">
        <v>363.9110457762128</v>
      </c>
      <c r="AE150" s="8">
        <v>429.90790415487919</v>
      </c>
      <c r="AF150" s="8">
        <v>422.00137473387758</v>
      </c>
      <c r="AG150" s="8">
        <v>421.62088844179328</v>
      </c>
      <c r="AH150" s="8">
        <v>408.99554216915158</v>
      </c>
      <c r="AI150" s="8">
        <v>398.06649430253759</v>
      </c>
      <c r="AJ150" s="8">
        <v>454.55117908201402</v>
      </c>
      <c r="AK150" s="8">
        <v>682.90586711302421</v>
      </c>
      <c r="AL150" s="8">
        <v>669.84572748418361</v>
      </c>
      <c r="AM150" s="8">
        <v>648.58411251261032</v>
      </c>
      <c r="AN150" s="8">
        <v>643.2646915410694</v>
      </c>
      <c r="AO150" s="8">
        <v>644.03338572648897</v>
      </c>
      <c r="AP150" s="8">
        <v>689.54985061939055</v>
      </c>
      <c r="AQ150" s="8">
        <v>683.46783416900314</v>
      </c>
      <c r="AR150" s="8">
        <v>672.29561640244742</v>
      </c>
      <c r="AS150" s="8">
        <v>666.48188189426196</v>
      </c>
      <c r="AT150" s="8">
        <v>665.37779647475759</v>
      </c>
      <c r="AU150" s="8">
        <v>662.62787855681438</v>
      </c>
      <c r="AV150" s="8">
        <v>669.91363787432522</v>
      </c>
      <c r="AW150" s="8">
        <v>846.69708680193025</v>
      </c>
      <c r="AX150" s="8">
        <v>834.97086497065675</v>
      </c>
      <c r="AY150" s="8">
        <v>818.66760951889273</v>
      </c>
      <c r="AZ150" s="8">
        <v>801.64688171675266</v>
      </c>
      <c r="BA150" s="8">
        <v>791.25051772660731</v>
      </c>
      <c r="BB150" s="8">
        <v>780.8981037249124</v>
      </c>
      <c r="BC150" s="8">
        <v>769.36857243680549</v>
      </c>
      <c r="BD150" s="8">
        <v>760.3150245791345</v>
      </c>
      <c r="BE150" s="8">
        <v>753.30880263240886</v>
      </c>
      <c r="BF150" s="8">
        <v>746.43360698168783</v>
      </c>
      <c r="BH150" s="8">
        <f t="shared" si="31"/>
        <v>5114.8162000921293</v>
      </c>
      <c r="BI150" s="8">
        <f t="shared" si="32"/>
        <v>7998.3482803683773</v>
      </c>
      <c r="BJ150" s="8">
        <f t="shared" si="33"/>
        <v>7903.5570710897891</v>
      </c>
    </row>
    <row r="151" spans="1:62" x14ac:dyDescent="0.25">
      <c r="A151" s="9" t="s">
        <v>20</v>
      </c>
      <c r="B151" s="9" t="s">
        <v>644</v>
      </c>
      <c r="C151" s="10">
        <f>VLOOKUP(A151,'[2]Revenue_Engine_2025 Oct.25'!$C$14:G$3937,5,0)</f>
        <v>44986</v>
      </c>
      <c r="D151" s="6" cm="1">
        <f t="array" ref="D151">_xlfn.LET(
  _xlpm.aralık, Y151:BF151,
  _xlpm.ilk, MATCH(TRUE, _xlpm.aralık&lt;&gt;0, 0),
  _xlpm.son, MIN(_xlpm.ilk+2, COLUMNS(_xlpm.aralık)),
  MAX(INDEX(_xlpm.aralık, _xlpm.ilk):INDEX(_xlpm.aralık, _xlpm.son))
)</f>
        <v>315.86548887692385</v>
      </c>
      <c r="E151" s="6">
        <f t="shared" si="26"/>
        <v>546.49520065354579</v>
      </c>
      <c r="F151" s="6">
        <f t="shared" si="27"/>
        <v>826.96111117718465</v>
      </c>
      <c r="G151" s="6">
        <f t="shared" si="34"/>
        <v>742.65337576061154</v>
      </c>
      <c r="H151" s="7">
        <f t="shared" si="28"/>
        <v>0.73015166233144957</v>
      </c>
      <c r="I151" s="7">
        <f t="shared" si="29"/>
        <v>1.6180799748572972</v>
      </c>
      <c r="J151" s="7">
        <f t="shared" si="30"/>
        <v>0.51320836887173704</v>
      </c>
      <c r="K151" s="7">
        <f t="shared" si="35"/>
        <v>1.3511697286118665</v>
      </c>
      <c r="L151" s="5" t="s">
        <v>418</v>
      </c>
      <c r="M151" s="7">
        <f>IF(R151="",(VLOOKUP(A151,[1]Export!$B$2:$H$680,7,0)),"CHURN")</f>
        <v>0.28190567836574176</v>
      </c>
      <c r="N151" s="5">
        <f t="shared" si="36"/>
        <v>533.29517207620825</v>
      </c>
      <c r="O151" s="5">
        <f t="shared" si="37"/>
        <v>392.43510038968583</v>
      </c>
      <c r="P151" s="5">
        <f t="shared" si="38"/>
        <v>593.83607814869276</v>
      </c>
      <c r="Q151" s="5" t="s">
        <v>430</v>
      </c>
      <c r="T151" s="6" t="str" cm="1">
        <f t="array" ref="T151">IF(R151&lt;&gt;"Churn","",
 _xlfn.LET(
   _xlpm.rng,Y151:BF151,
   _xlpm.pos,MAX(IF((_xlpm.rng&lt;&gt;0)*(_xlpm.rng&lt;&gt;""),COLUMN(_xlpm.rng)-COLUMN(Y151)+1)),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1" s="6" t="str" cm="1">
        <f t="array" ref="U151">IF(R151="Churn",
   MAX(IF((Y151:BF151&lt;&gt;"")*(Y151:BF151&lt;&gt;0), COLUMN(Y151:BF151)-COLUMN(Y151)+1))
   -MATCH(1, --((Y151:BF151&lt;&gt;"")*(Y151:BF151&lt;&gt;0)), 0)
   +1,
"")</f>
        <v/>
      </c>
      <c r="V151" s="6" t="str" cm="1">
        <f t="array" ref="V151">IFERROR(
    IF(
        MATCH(2,1/((Y151:BF151&lt;&gt;0)*(Y151:BF151&lt;&gt;"")))-MATCH(1,INDEX((Y151:BF151&lt;&gt;0)*(Y151:BF151&lt;&gt;""),0),0)+1 &lt;= 12,
        "No",
        "Yes"
    ),
    "No"
)</f>
        <v>Yes</v>
      </c>
      <c r="W151" s="6" t="str" cm="1">
        <f t="array" ref="W151">IFERROR(
    IF(
        MATCH(2,1/((Y151:BF151&lt;&gt;0)*(Y151:BF151&lt;&gt;"")))-MATCH(1,INDEX((Y151:BF151&lt;&gt;0)*(Y151:BF151&lt;&gt;""),0),0)+1 &lt;= 24,
        "No",
        "Yes"
    ),
    "No"
)</f>
        <v>Yes</v>
      </c>
      <c r="Y151" s="8">
        <v>315.86548887692385</v>
      </c>
      <c r="Z151" s="8">
        <v>314.8097557865882</v>
      </c>
      <c r="AA151" s="8">
        <v>312.58376531263349</v>
      </c>
      <c r="AB151" s="8">
        <v>379.75941282806986</v>
      </c>
      <c r="AC151" s="8">
        <v>375.13883016924802</v>
      </c>
      <c r="AD151" s="8">
        <v>317.38621186740056</v>
      </c>
      <c r="AE151" s="8">
        <v>372.77417868770289</v>
      </c>
      <c r="AF151" s="8">
        <v>365.94857996182935</v>
      </c>
      <c r="AG151" s="8">
        <v>365.6201113490946</v>
      </c>
      <c r="AH151" s="8">
        <v>354.72082256590835</v>
      </c>
      <c r="AI151" s="8">
        <v>345.28592499944597</v>
      </c>
      <c r="AJ151" s="8">
        <v>360.17027086569323</v>
      </c>
      <c r="AK151" s="8">
        <v>349.07652206724919</v>
      </c>
      <c r="AL151" s="8">
        <v>341.33158715628196</v>
      </c>
      <c r="AM151" s="8">
        <v>546.49520065354579</v>
      </c>
      <c r="AN151" s="8">
        <v>541.17168528783213</v>
      </c>
      <c r="AO151" s="8">
        <v>537.39669323082501</v>
      </c>
      <c r="AP151" s="8">
        <v>532.94818331105478</v>
      </c>
      <c r="AQ151" s="8">
        <v>526.91367931689194</v>
      </c>
      <c r="AR151" s="8">
        <v>599.70151998574158</v>
      </c>
      <c r="AS151" s="8">
        <v>593.72857726677546</v>
      </c>
      <c r="AT151" s="8">
        <v>590.53948695324766</v>
      </c>
      <c r="AU151" s="8">
        <v>587.71426296295226</v>
      </c>
      <c r="AV151" s="8">
        <v>579.78876900516116</v>
      </c>
      <c r="AW151" s="8">
        <v>669.77238611714699</v>
      </c>
      <c r="AX151" s="8">
        <v>659.34050899243857</v>
      </c>
      <c r="AY151" s="8">
        <v>826.96111117718465</v>
      </c>
      <c r="AZ151" s="8">
        <v>806.95403138014228</v>
      </c>
      <c r="BA151" s="8">
        <v>795.33358544105715</v>
      </c>
      <c r="BB151" s="8">
        <v>783.1648006845154</v>
      </c>
      <c r="BC151" s="8">
        <v>769.61236889751228</v>
      </c>
      <c r="BD151" s="8">
        <v>758.97034133321563</v>
      </c>
      <c r="BE151" s="8">
        <v>750.73485086574533</v>
      </c>
      <c r="BF151" s="8">
        <v>742.65337576061154</v>
      </c>
      <c r="BH151" s="8">
        <f t="shared" si="31"/>
        <v>4180.0633532705378</v>
      </c>
      <c r="BI151" s="8">
        <f t="shared" si="32"/>
        <v>6326.8061671975584</v>
      </c>
      <c r="BJ151" s="8">
        <f t="shared" si="33"/>
        <v>7563.4973606495687</v>
      </c>
    </row>
    <row r="152" spans="1:62" x14ac:dyDescent="0.25">
      <c r="A152" s="9" t="s">
        <v>39</v>
      </c>
      <c r="B152" s="9" t="s">
        <v>644</v>
      </c>
      <c r="C152" s="10">
        <v>44927</v>
      </c>
      <c r="D152" s="6" cm="1">
        <f t="array" ref="D152">_xlfn.LET(
  _xlpm.aralık, Y152:BF152,
  _xlpm.ilk, MATCH(TRUE, _xlpm.aralık&lt;&gt;0, 0),
  _xlpm.son, MIN(_xlpm.ilk+2, COLUMNS(_xlpm.aralık)),
  MAX(INDEX(_xlpm.aralık, _xlpm.ilk):INDEX(_xlpm.aralık, _xlpm.son))
)</f>
        <v>632.16999999999996</v>
      </c>
      <c r="E152" s="6">
        <f t="shared" si="26"/>
        <v>721.00999899999988</v>
      </c>
      <c r="F152" s="6">
        <f t="shared" si="27"/>
        <v>741.00999899999988</v>
      </c>
      <c r="G152" s="6">
        <f t="shared" si="34"/>
        <v>741.00999899999988</v>
      </c>
      <c r="H152" s="7">
        <f t="shared" si="28"/>
        <v>0.14053181739089157</v>
      </c>
      <c r="I152" s="7">
        <f t="shared" si="29"/>
        <v>0.17216887704256756</v>
      </c>
      <c r="J152" s="7">
        <f t="shared" si="30"/>
        <v>2.7738866351006048E-2</v>
      </c>
      <c r="K152" s="7">
        <f t="shared" si="35"/>
        <v>0.17216887704256756</v>
      </c>
      <c r="L152" s="5" t="s">
        <v>418</v>
      </c>
      <c r="M152" s="7">
        <f>IF(R152="",(VLOOKUP(A152,[1]Export!$B$2:$H$680,7,0)),"CHURN")</f>
        <v>0</v>
      </c>
      <c r="N152" s="5">
        <f t="shared" si="36"/>
        <v>741.00999899999988</v>
      </c>
      <c r="O152" s="5">
        <f t="shared" si="37"/>
        <v>721.00999899999988</v>
      </c>
      <c r="P152" s="5">
        <f t="shared" si="38"/>
        <v>741.00999899999988</v>
      </c>
      <c r="Q152" s="5" t="s">
        <v>430</v>
      </c>
      <c r="T152" s="6" t="str" cm="1">
        <f t="array" ref="T152">IF(R152&lt;&gt;"Churn","",
 _xlfn.LET(
   _xlpm.rng,Y152:BF152,
   _xlpm.pos,MAX(IF((_xlpm.rng&lt;&gt;0)*(_xlpm.rng&lt;&gt;""),COLUMN(_xlpm.rng)-COLUMN(Y152)+1)),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2" s="6" t="str" cm="1">
        <f t="array" ref="U152">IF(R152="Churn",
   MAX(IF((Y152:BF152&lt;&gt;"")*(Y152:BF152&lt;&gt;0), COLUMN(Y152:BF152)-COLUMN(Y152)+1))
   -MATCH(1, --((Y152:BF152&lt;&gt;"")*(Y152:BF152&lt;&gt;0)), 0)
   +1,
"")</f>
        <v/>
      </c>
      <c r="V152" s="6" t="str" cm="1">
        <f t="array" ref="V152">IFERROR(
    IF(
        MATCH(2,1/((Y152:BF152&lt;&gt;0)*(Y152:BF152&lt;&gt;"")))-MATCH(1,INDEX((Y152:BF152&lt;&gt;0)*(Y152:BF152&lt;&gt;""),0),0)+1 &lt;= 12,
        "No",
        "Yes"
    ),
    "No"
)</f>
        <v>Yes</v>
      </c>
      <c r="W152" s="6" t="str" cm="1">
        <f t="array" ref="W152">IFERROR(
    IF(
        MATCH(2,1/((Y152:BF152&lt;&gt;0)*(Y152:BF152&lt;&gt;"")))-MATCH(1,INDEX((Y152:BF152&lt;&gt;0)*(Y152:BF152&lt;&gt;""),0),0)+1 &lt;= 24,
        "No",
        "Yes"
    ),
    "No"
)</f>
        <v>Yes</v>
      </c>
      <c r="Y152" s="8">
        <v>413.7677721328692</v>
      </c>
      <c r="Z152" s="8">
        <v>412.33020075755564</v>
      </c>
      <c r="AA152" s="8">
        <v>632.16999999999996</v>
      </c>
      <c r="AB152" s="8">
        <v>632.16999999999996</v>
      </c>
      <c r="AC152" s="8">
        <v>632.16999999999996</v>
      </c>
      <c r="AD152" s="8">
        <v>605</v>
      </c>
      <c r="AE152" s="8">
        <v>605.00999899999988</v>
      </c>
      <c r="AF152" s="8">
        <v>605.00999899999988</v>
      </c>
      <c r="AG152" s="8">
        <v>605.00999899999988</v>
      </c>
      <c r="AH152" s="8">
        <v>643.00999899999988</v>
      </c>
      <c r="AI152" s="8">
        <v>721.00999899999988</v>
      </c>
      <c r="AJ152" s="8">
        <v>721.00999899999988</v>
      </c>
      <c r="AK152" s="8">
        <v>721.00999899999988</v>
      </c>
      <c r="AL152" s="8">
        <v>741.00999899999988</v>
      </c>
      <c r="AM152" s="8">
        <v>741.00999899999988</v>
      </c>
      <c r="AN152" s="8">
        <v>741.00999899999988</v>
      </c>
      <c r="AO152" s="8">
        <v>741.00999899999988</v>
      </c>
      <c r="AP152" s="8">
        <v>741.00999899999988</v>
      </c>
      <c r="AQ152" s="8">
        <v>741.00999899999988</v>
      </c>
      <c r="AR152" s="8">
        <v>741.00999899999988</v>
      </c>
      <c r="AS152" s="8">
        <v>741.00999899999988</v>
      </c>
      <c r="AT152" s="8">
        <v>741.00999899999988</v>
      </c>
      <c r="AU152" s="8">
        <v>741.00999899999988</v>
      </c>
      <c r="AV152" s="8">
        <v>741.00999899999988</v>
      </c>
      <c r="AW152" s="8">
        <v>741.00999899999988</v>
      </c>
      <c r="AX152" s="8">
        <v>741.00999899999988</v>
      </c>
      <c r="AY152" s="8">
        <v>741.00999899999988</v>
      </c>
      <c r="AZ152" s="8">
        <v>741.00999899999999</v>
      </c>
      <c r="BA152" s="8">
        <v>741.00999899999988</v>
      </c>
      <c r="BB152" s="8">
        <v>741.00999899999988</v>
      </c>
      <c r="BC152" s="8">
        <v>741.00999899999988</v>
      </c>
      <c r="BD152" s="8">
        <v>741.00999899999988</v>
      </c>
      <c r="BE152" s="8">
        <v>741.00999899999988</v>
      </c>
      <c r="BF152" s="8">
        <v>741.00999899999988</v>
      </c>
      <c r="BH152" s="8">
        <f t="shared" si="31"/>
        <v>7227.6679668904244</v>
      </c>
      <c r="BI152" s="8">
        <f t="shared" si="32"/>
        <v>8872.1199879999986</v>
      </c>
      <c r="BJ152" s="8">
        <f t="shared" si="33"/>
        <v>7410.0999899999988</v>
      </c>
    </row>
    <row r="153" spans="1:62" x14ac:dyDescent="0.25">
      <c r="A153" s="9" t="s">
        <v>213</v>
      </c>
      <c r="B153" s="9" t="s">
        <v>644</v>
      </c>
      <c r="C153" s="10">
        <f>VLOOKUP(A153,'[2]Revenue_Engine_2025 Oct.25'!$C$14:G$3937,5,0)</f>
        <v>45093</v>
      </c>
      <c r="D153" s="6" cm="1">
        <f t="array" ref="D153">_xlfn.LET(
  _xlpm.aralık, Y153:BF153,
  _xlpm.ilk, MATCH(TRUE, _xlpm.aralık&lt;&gt;0, 0),
  _xlpm.son, MIN(_xlpm.ilk+2, COLUMNS(_xlpm.aralık)),
  MAX(INDEX(_xlpm.aralık, _xlpm.ilk):INDEX(_xlpm.aralık, _xlpm.son))
)</f>
        <v>425.00959000000006</v>
      </c>
      <c r="E153" s="6">
        <f t="shared" si="26"/>
        <v>520.00959000000012</v>
      </c>
      <c r="F153" s="6">
        <f t="shared" si="27"/>
        <v>740.00858999999991</v>
      </c>
      <c r="G153" s="6">
        <f t="shared" si="34"/>
        <v>740.00858999999991</v>
      </c>
      <c r="H153" s="7">
        <f t="shared" si="28"/>
        <v>0.22352436800308445</v>
      </c>
      <c r="I153" s="7">
        <f t="shared" si="29"/>
        <v>0.74115739364845812</v>
      </c>
      <c r="J153" s="7">
        <f t="shared" si="30"/>
        <v>0.42306719766456569</v>
      </c>
      <c r="K153" s="7">
        <f t="shared" si="35"/>
        <v>0.74115739364845812</v>
      </c>
      <c r="L153" s="5" t="s">
        <v>416</v>
      </c>
      <c r="M153" s="7">
        <f>IF(R153="",(VLOOKUP(A153,[1]Export!$B$2:$H$680,7,0)),"CHURN")</f>
        <v>0</v>
      </c>
      <c r="N153" s="5">
        <f t="shared" si="36"/>
        <v>740.00858999999991</v>
      </c>
      <c r="O153" s="5">
        <f t="shared" si="37"/>
        <v>520.00959000000012</v>
      </c>
      <c r="P153" s="5">
        <f t="shared" si="38"/>
        <v>740.00858999999991</v>
      </c>
      <c r="Q153" s="5" t="s">
        <v>430</v>
      </c>
      <c r="T153" s="6" t="str" cm="1">
        <f t="array" ref="T153">IF(R153&lt;&gt;"Churn","",
 _xlfn.LET(
   _xlpm.rng,Y153:BF153,
   _xlpm.pos,MAX(IF((_xlpm.rng&lt;&gt;0)*(_xlpm.rng&lt;&gt;""),COLUMN(_xlpm.rng)-COLUMN(Y153)+1)),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3" s="6" t="str" cm="1">
        <f t="array" ref="U153">IF(R153="Churn",
   MAX(IF((Y153:BF153&lt;&gt;"")*(Y153:BF153&lt;&gt;0), COLUMN(Y153:BF153)-COLUMN(Y153)+1))
   -MATCH(1, --((Y153:BF153&lt;&gt;"")*(Y153:BF153&lt;&gt;0)), 0)
   +1,
"")</f>
        <v/>
      </c>
      <c r="V153" s="6" t="str" cm="1">
        <f t="array" ref="V153">IFERROR(
    IF(
        MATCH(2,1/((Y153:BF153&lt;&gt;0)*(Y153:BF153&lt;&gt;"")))-MATCH(1,INDEX((Y153:BF153&lt;&gt;0)*(Y153:BF153&lt;&gt;""),0),0)+1 &lt;= 12,
        "No",
        "Yes"
    ),
    "No"
)</f>
        <v>Yes</v>
      </c>
      <c r="W153" s="6" t="str" cm="1">
        <f t="array" ref="W153">IFERROR(
    IF(
        MATCH(2,1/((Y153:BF153&lt;&gt;0)*(Y153:BF153&lt;&gt;"")))-MATCH(1,INDEX((Y153:BF153&lt;&gt;0)*(Y153:BF153&lt;&gt;""),0),0)+1 &lt;= 24,
        "No",
        "Yes"
    ),
    "No"
)</f>
        <v>Yes</v>
      </c>
      <c r="X153" s="6"/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425.00959000000006</v>
      </c>
      <c r="AE153" s="8">
        <v>425.00959000000006</v>
      </c>
      <c r="AF153" s="8">
        <v>425.00959000000006</v>
      </c>
      <c r="AG153" s="8">
        <v>425.00959000000006</v>
      </c>
      <c r="AH153" s="8">
        <v>425.00959000000006</v>
      </c>
      <c r="AI153" s="8">
        <v>425.00959000000006</v>
      </c>
      <c r="AJ153" s="8">
        <v>425.00959000000006</v>
      </c>
      <c r="AK153" s="8">
        <v>425.00959000000006</v>
      </c>
      <c r="AL153" s="8">
        <v>495.00959000000006</v>
      </c>
      <c r="AM153" s="8">
        <v>520.00959000000012</v>
      </c>
      <c r="AN153" s="8">
        <v>520.00959000000012</v>
      </c>
      <c r="AO153" s="8">
        <v>520.00959000000012</v>
      </c>
      <c r="AP153" s="8">
        <v>520.00959000000012</v>
      </c>
      <c r="AQ153" s="8">
        <v>520.00959000000012</v>
      </c>
      <c r="AR153" s="8">
        <v>520.00959000000012</v>
      </c>
      <c r="AS153" s="8">
        <v>520.00959000000012</v>
      </c>
      <c r="AT153" s="8">
        <v>670.00959</v>
      </c>
      <c r="AU153" s="8">
        <v>670.00959</v>
      </c>
      <c r="AV153" s="8">
        <v>670.00959</v>
      </c>
      <c r="AW153" s="8">
        <v>670.00959</v>
      </c>
      <c r="AX153" s="8">
        <v>670.00959</v>
      </c>
      <c r="AY153" s="8">
        <v>670.00959</v>
      </c>
      <c r="AZ153" s="8">
        <v>670.00959</v>
      </c>
      <c r="BA153" s="8">
        <v>740.00858999999991</v>
      </c>
      <c r="BB153" s="8">
        <v>740.00858999999991</v>
      </c>
      <c r="BC153" s="8">
        <v>740.00858999999991</v>
      </c>
      <c r="BD153" s="8">
        <v>740.00858999999991</v>
      </c>
      <c r="BE153" s="8">
        <v>740.00858999999991</v>
      </c>
      <c r="BF153" s="8">
        <v>740.00858999999991</v>
      </c>
      <c r="BH153" s="8">
        <f t="shared" si="31"/>
        <v>2975.0671300000004</v>
      </c>
      <c r="BI153" s="8">
        <f t="shared" si="32"/>
        <v>6570.1150799999996</v>
      </c>
      <c r="BJ153" s="8">
        <f t="shared" si="33"/>
        <v>7120.0898999999972</v>
      </c>
    </row>
    <row r="154" spans="1:62" x14ac:dyDescent="0.25">
      <c r="A154" s="9" t="s">
        <v>71</v>
      </c>
      <c r="B154" s="9" t="s">
        <v>644</v>
      </c>
      <c r="C154" s="10">
        <f>VLOOKUP(A154,'[2]Revenue_Engine_2025 Oct.25'!$C$14:G$3937,5,0)</f>
        <v>44935</v>
      </c>
      <c r="D154" s="6" cm="1">
        <f t="array" ref="D154">_xlfn.LET(
  _xlpm.aralık, Y154:BF154,
  _xlpm.ilk, MATCH(TRUE, _xlpm.aralık&lt;&gt;0, 0),
  _xlpm.son, MIN(_xlpm.ilk+2, COLUMNS(_xlpm.aralık)),
  MAX(INDEX(_xlpm.aralık, _xlpm.ilk):INDEX(_xlpm.aralık, _xlpm.son))
)</f>
        <v>341.55771713318853</v>
      </c>
      <c r="E154" s="6">
        <f t="shared" si="26"/>
        <v>352.63105908792335</v>
      </c>
      <c r="F154" s="6">
        <f t="shared" si="27"/>
        <v>828.25418271862748</v>
      </c>
      <c r="G154" s="6">
        <f t="shared" si="34"/>
        <v>737.58390326964059</v>
      </c>
      <c r="H154" s="7">
        <f t="shared" si="28"/>
        <v>3.2420119351063661E-2</v>
      </c>
      <c r="I154" s="7">
        <f t="shared" si="29"/>
        <v>1.4249318377884999</v>
      </c>
      <c r="J154" s="7">
        <f t="shared" si="30"/>
        <v>1.3487839808010631</v>
      </c>
      <c r="K154" s="7">
        <f t="shared" si="35"/>
        <v>1.1594707607851351</v>
      </c>
      <c r="L154" s="5" t="s">
        <v>424</v>
      </c>
      <c r="M154" s="7">
        <f>IF(R154="",(VLOOKUP(A154,[1]Export!$B$2:$H$680,7,0)),"CHURN")</f>
        <v>0.48354428282943784</v>
      </c>
      <c r="N154" s="5">
        <f t="shared" si="36"/>
        <v>380.92942373658479</v>
      </c>
      <c r="O154" s="5">
        <f t="shared" si="37"/>
        <v>182.11832651786833</v>
      </c>
      <c r="P154" s="5">
        <f t="shared" si="38"/>
        <v>427.7566079354666</v>
      </c>
      <c r="Q154" s="5" t="str">
        <f>VLOOKUP(A154,[4]Sheet2!$A$1:$B$142,2,0)</f>
        <v>CHURN</v>
      </c>
      <c r="T154" s="6" t="str" cm="1">
        <f t="array" ref="T154">IF(R154&lt;&gt;"Churn","",
 _xlfn.LET(
   _xlpm.rng,Y154:BF154,
   _xlpm.pos,MAX(IF((_xlpm.rng&lt;&gt;0)*(_xlpm.rng&lt;&gt;""),COLUMN(_xlpm.rng)-COLUMN(Y154)+1)),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4" s="6" t="str" cm="1">
        <f t="array" ref="U154">IF(R154="Churn",
   MAX(IF((Y154:BF154&lt;&gt;"")*(Y154:BF154&lt;&gt;0), COLUMN(Y154:BF154)-COLUMN(Y154)+1))
   -MATCH(1, --((Y154:BF154&lt;&gt;"")*(Y154:BF154&lt;&gt;0)), 0)
   +1,
"")</f>
        <v/>
      </c>
      <c r="V154" s="6" t="str" cm="1">
        <f t="array" ref="V154">IFERROR(
    IF(
        MATCH(2,1/((Y154:BF154&lt;&gt;0)*(Y154:BF154&lt;&gt;"")))-MATCH(1,INDEX((Y154:BF154&lt;&gt;0)*(Y154:BF154&lt;&gt;""),0),0)+1 &lt;= 12,
        "No",
        "Yes"
    ),
    "No"
)</f>
        <v>Yes</v>
      </c>
      <c r="W154" s="6" t="str" cm="1">
        <f t="array" ref="W154">IFERROR(
    IF(
        MATCH(2,1/((Y154:BF154&lt;&gt;0)*(Y154:BF154&lt;&gt;"")))-MATCH(1,INDEX((Y154:BF154&lt;&gt;0)*(Y154:BF154&lt;&gt;""),0),0)+1 &lt;= 24,
        "No",
        "Yes"
    ),
    "No"
)</f>
        <v>Yes</v>
      </c>
      <c r="Y154" s="8">
        <v>335.28518042679775</v>
      </c>
      <c r="Z154" s="8">
        <v>341.55771713318853</v>
      </c>
      <c r="AA154" s="8">
        <v>339.04688579398936</v>
      </c>
      <c r="AB154" s="8">
        <v>342.02324135894872</v>
      </c>
      <c r="AC154" s="8">
        <v>335.70875238830843</v>
      </c>
      <c r="AD154" s="8">
        <v>283.74987521794122</v>
      </c>
      <c r="AE154" s="8">
        <v>252.48958648139941</v>
      </c>
      <c r="AF154" s="8">
        <v>247.88293137848652</v>
      </c>
      <c r="AG154" s="8">
        <v>385.98846046482277</v>
      </c>
      <c r="AH154" s="8">
        <v>374.3689117834453</v>
      </c>
      <c r="AI154" s="8">
        <v>364.3105259788195</v>
      </c>
      <c r="AJ154" s="8">
        <v>363.94054592168845</v>
      </c>
      <c r="AK154" s="8">
        <v>352.63105908792335</v>
      </c>
      <c r="AL154" s="8">
        <v>629.96748880968971</v>
      </c>
      <c r="AM154" s="8">
        <v>701.00016698936656</v>
      </c>
      <c r="AN154" s="8">
        <v>696.34889498221116</v>
      </c>
      <c r="AO154" s="8">
        <v>698.67103688747375</v>
      </c>
      <c r="AP154" s="8">
        <v>694.75065881468799</v>
      </c>
      <c r="AQ154" s="8">
        <v>689.43257757725758</v>
      </c>
      <c r="AR154" s="8">
        <v>679.66365271993948</v>
      </c>
      <c r="AS154" s="8">
        <v>674.58015571535418</v>
      </c>
      <c r="AT154" s="8">
        <v>671.86596074999932</v>
      </c>
      <c r="AU154" s="8">
        <v>846.76493272720381</v>
      </c>
      <c r="AV154" s="8">
        <v>837.29386811373297</v>
      </c>
      <c r="AW154" s="8">
        <v>828.25418271862748</v>
      </c>
      <c r="AX154" s="8">
        <v>817.84289890749017</v>
      </c>
      <c r="AY154" s="8">
        <v>803.36783421946768</v>
      </c>
      <c r="AZ154" s="8">
        <v>788.25575205267921</v>
      </c>
      <c r="BA154" s="8">
        <v>777.37520041697496</v>
      </c>
      <c r="BB154" s="8">
        <v>768.18367036979589</v>
      </c>
      <c r="BC154" s="8">
        <v>757.94702090357737</v>
      </c>
      <c r="BD154" s="8">
        <v>749.9087066366119</v>
      </c>
      <c r="BE154" s="8">
        <v>743.68813822329389</v>
      </c>
      <c r="BF154" s="8">
        <v>737.58390326964059</v>
      </c>
      <c r="BH154" s="8">
        <f t="shared" si="31"/>
        <v>3966.3526143278359</v>
      </c>
      <c r="BI154" s="8">
        <f t="shared" si="32"/>
        <v>8172.9704531748403</v>
      </c>
      <c r="BJ154" s="8">
        <f t="shared" si="33"/>
        <v>7772.4073077181592</v>
      </c>
    </row>
    <row r="155" spans="1:62" x14ac:dyDescent="0.25">
      <c r="A155" s="9" t="s">
        <v>150</v>
      </c>
      <c r="B155" s="9" t="s">
        <v>644</v>
      </c>
      <c r="C155" s="10">
        <f>VLOOKUP(A155,'[2]Revenue_Engine_2025 Oct.25'!$C$14:G$3937,5,0)</f>
        <v>45061</v>
      </c>
      <c r="D155" s="6" cm="1">
        <f t="array" ref="D155">_xlfn.LET(
  _xlpm.aralık, Y155:BF155,
  _xlpm.ilk, MATCH(TRUE, _xlpm.aralık&lt;&gt;0, 0),
  _xlpm.son, MIN(_xlpm.ilk+2, COLUMNS(_xlpm.aralık)),
  MAX(INDEX(_xlpm.aralık, _xlpm.ilk):INDEX(_xlpm.aralık, _xlpm.son))
)</f>
        <v>220.99799720565034</v>
      </c>
      <c r="E155" s="6">
        <f t="shared" si="26"/>
        <v>527.59400481478599</v>
      </c>
      <c r="F155" s="6">
        <f t="shared" si="27"/>
        <v>749.21132006648315</v>
      </c>
      <c r="G155" s="6">
        <f t="shared" si="34"/>
        <v>735.45533565590279</v>
      </c>
      <c r="H155" s="7">
        <f t="shared" si="28"/>
        <v>1.3873248241423284</v>
      </c>
      <c r="I155" s="7">
        <f t="shared" si="29"/>
        <v>2.3901271936383313</v>
      </c>
      <c r="J155" s="7">
        <f t="shared" si="30"/>
        <v>0.42005275501471406</v>
      </c>
      <c r="K155" s="7">
        <f t="shared" si="35"/>
        <v>2.3278823561985615</v>
      </c>
      <c r="L155" s="5" t="s">
        <v>418</v>
      </c>
      <c r="M155" s="7">
        <f>IF(R155="",(VLOOKUP(A155,[1]Export!$B$2:$H$680,7,0)),"CHURN")</f>
        <v>1.4947185069812925E-2</v>
      </c>
      <c r="N155" s="5">
        <f t="shared" si="36"/>
        <v>724.46234864327255</v>
      </c>
      <c r="O155" s="5">
        <f t="shared" si="37"/>
        <v>519.70795958309554</v>
      </c>
      <c r="P155" s="5">
        <f t="shared" si="38"/>
        <v>738.01271980905051</v>
      </c>
      <c r="Q155" s="5" t="s">
        <v>430</v>
      </c>
      <c r="T155" s="6" t="str" cm="1">
        <f t="array" ref="T155">IF(R155&lt;&gt;"Churn","",
 _xlfn.LET(
   _xlpm.rng,Y155:BF155,
   _xlpm.pos,MAX(IF((_xlpm.rng&lt;&gt;0)*(_xlpm.rng&lt;&gt;""),COLUMN(_xlpm.rng)-COLUMN(Y155)+1)),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5" s="6" t="str" cm="1">
        <f t="array" ref="U155">IF(R155="Churn",
   MAX(IF((Y155:BF155&lt;&gt;"")*(Y155:BF155&lt;&gt;0), COLUMN(Y155:BF155)-COLUMN(Y155)+1))
   -MATCH(1, --((Y155:BF155&lt;&gt;"")*(Y155:BF155&lt;&gt;0)), 0)
   +1,
"")</f>
        <v/>
      </c>
      <c r="V155" s="6" t="str" cm="1">
        <f t="array" ref="V155">IFERROR(
    IF(
        MATCH(2,1/((Y155:BF155&lt;&gt;0)*(Y155:BF155&lt;&gt;"")))-MATCH(1,INDEX((Y155:BF155&lt;&gt;0)*(Y155:BF155&lt;&gt;""),0),0)+1 &lt;= 12,
        "No",
        "Yes"
    ),
    "No"
)</f>
        <v>Yes</v>
      </c>
      <c r="W155" s="6" t="str" cm="1">
        <f t="array" ref="W155">IFERROR(
    IF(
        MATCH(2,1/((Y155:BF155&lt;&gt;0)*(Y155:BF155&lt;&gt;"")))-MATCH(1,INDEX((Y155:BF155&lt;&gt;0)*(Y155:BF155&lt;&gt;""),0),0)+1 &lt;= 24,
        "No",
        "Yes"
    ),
    "No"
)</f>
        <v>Yes</v>
      </c>
      <c r="X155" s="6"/>
      <c r="Y155" s="8">
        <v>170.59115165020285</v>
      </c>
      <c r="Z155" s="8">
        <v>220.99799720565034</v>
      </c>
      <c r="AA155" s="8">
        <v>219.37341468430793</v>
      </c>
      <c r="AB155" s="8">
        <v>215.47593765700995</v>
      </c>
      <c r="AC155" s="8">
        <v>711.40994894759956</v>
      </c>
      <c r="AD155" s="8">
        <v>1177.7836656725697</v>
      </c>
      <c r="AE155" s="8">
        <v>536.25993186922233</v>
      </c>
      <c r="AF155" s="8">
        <v>526.11437042761645</v>
      </c>
      <c r="AG155" s="8">
        <v>544.18656182603115</v>
      </c>
      <c r="AH155" s="8">
        <v>513.02308441169475</v>
      </c>
      <c r="AI155" s="8">
        <v>498.89986827788647</v>
      </c>
      <c r="AJ155" s="8">
        <v>494.57057598853805</v>
      </c>
      <c r="AK155" s="8">
        <v>478.81207449593046</v>
      </c>
      <c r="AL155" s="8">
        <v>467.8105122132381</v>
      </c>
      <c r="AM155" s="8">
        <v>443.63419757379802</v>
      </c>
      <c r="AN155" s="8">
        <v>445.419256776667</v>
      </c>
      <c r="AO155" s="8">
        <v>527.59400481478599</v>
      </c>
      <c r="AP155" s="8">
        <v>523.12708230409589</v>
      </c>
      <c r="AQ155" s="8">
        <v>518.06733861220948</v>
      </c>
      <c r="AR155" s="8">
        <v>506.93603426807977</v>
      </c>
      <c r="AS155" s="8">
        <v>501.14359005164988</v>
      </c>
      <c r="AT155" s="8">
        <v>498.05087200437805</v>
      </c>
      <c r="AU155" s="8">
        <v>495.3110244731534</v>
      </c>
      <c r="AV155" s="8">
        <v>487.62503386547786</v>
      </c>
      <c r="AW155" s="8">
        <v>830.27933990775182</v>
      </c>
      <c r="AX155" s="8">
        <v>821.83033554881081</v>
      </c>
      <c r="AY155" s="8">
        <v>810.08347638488851</v>
      </c>
      <c r="AZ155" s="8">
        <v>797.8187517843528</v>
      </c>
      <c r="BA155" s="8">
        <v>749.21132006648315</v>
      </c>
      <c r="BB155" s="8">
        <v>744.3407969817581</v>
      </c>
      <c r="BC155" s="8">
        <v>744.03017754561768</v>
      </c>
      <c r="BD155" s="8">
        <v>740.64526983461997</v>
      </c>
      <c r="BE155" s="8">
        <v>738.02580892655828</v>
      </c>
      <c r="BF155" s="8">
        <v>735.45533565590279</v>
      </c>
      <c r="BH155" s="8">
        <f t="shared" si="31"/>
        <v>5828.6865086183298</v>
      </c>
      <c r="BI155" s="8">
        <f t="shared" si="32"/>
        <v>5893.5310214534638</v>
      </c>
      <c r="BJ155" s="8">
        <f t="shared" si="33"/>
        <v>7711.7206126367428</v>
      </c>
    </row>
    <row r="156" spans="1:62" x14ac:dyDescent="0.25">
      <c r="A156" s="9" t="s">
        <v>193</v>
      </c>
      <c r="B156" s="9" t="s">
        <v>644</v>
      </c>
      <c r="C156" s="10">
        <v>44927</v>
      </c>
      <c r="D156" s="6" cm="1">
        <f t="array" ref="D156">_xlfn.LET(
  _xlpm.aralık, Y156:BF156,
  _xlpm.ilk, MATCH(TRUE, _xlpm.aralık&lt;&gt;0, 0),
  _xlpm.son, MIN(_xlpm.ilk+2, COLUMNS(_xlpm.aralık)),
  MAX(INDEX(_xlpm.aralık, _xlpm.ilk):INDEX(_xlpm.aralık, _xlpm.son))
)</f>
        <v>500</v>
      </c>
      <c r="E156" s="6">
        <f t="shared" si="26"/>
        <v>574.54</v>
      </c>
      <c r="F156" s="6">
        <f t="shared" si="27"/>
        <v>700.94665599999996</v>
      </c>
      <c r="G156" s="6">
        <f t="shared" si="34"/>
        <v>700.94665599999996</v>
      </c>
      <c r="H156" s="7">
        <f t="shared" si="28"/>
        <v>0.14907999999999993</v>
      </c>
      <c r="I156" s="7">
        <f t="shared" si="29"/>
        <v>0.40189331199999995</v>
      </c>
      <c r="J156" s="7">
        <f t="shared" si="30"/>
        <v>0.22001367354753368</v>
      </c>
      <c r="K156" s="7">
        <f t="shared" si="35"/>
        <v>0.40189331199999995</v>
      </c>
      <c r="L156" s="5" t="s">
        <v>418</v>
      </c>
      <c r="M156" s="7">
        <f>IF(R156="",(VLOOKUP(A156,[1]Export!$B$2:$H$680,7,0)),"CHURN")</f>
        <v>7.3797341862202992E-2</v>
      </c>
      <c r="N156" s="5">
        <f t="shared" si="36"/>
        <v>649.21865600000001</v>
      </c>
      <c r="O156" s="5">
        <f t="shared" si="37"/>
        <v>532.1404752064899</v>
      </c>
      <c r="P156" s="5">
        <f t="shared" si="38"/>
        <v>649.21865600000001</v>
      </c>
      <c r="Q156" s="5" t="s">
        <v>430</v>
      </c>
      <c r="T156" s="6" t="str" cm="1">
        <f t="array" ref="T156">IF(R156&lt;&gt;"Churn","",
 _xlfn.LET(
   _xlpm.rng,Y156:BF156,
   _xlpm.pos,MAX(IF((_xlpm.rng&lt;&gt;0)*(_xlpm.rng&lt;&gt;""),COLUMN(_xlpm.rng)-COLUMN(Y156)+1)),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6" s="6" t="str" cm="1">
        <f t="array" ref="U156">IF(R156="Churn",
   MAX(IF((Y156:BF156&lt;&gt;"")*(Y156:BF156&lt;&gt;0), COLUMN(Y156:BF156)-COLUMN(Y156)+1))
   -MATCH(1, --((Y156:BF156&lt;&gt;"")*(Y156:BF156&lt;&gt;0)), 0)
   +1,
"")</f>
        <v/>
      </c>
      <c r="V156" s="6" t="str" cm="1">
        <f t="array" ref="V156">IFERROR(
    IF(
        MATCH(2,1/((Y156:BF156&lt;&gt;0)*(Y156:BF156&lt;&gt;"")))-MATCH(1,INDEX((Y156:BF156&lt;&gt;0)*(Y156:BF156&lt;&gt;""),0),0)+1 &lt;= 12,
        "No",
        "Yes"
    ),
    "No"
)</f>
        <v>Yes</v>
      </c>
      <c r="W156" s="6" t="str" cm="1">
        <f t="array" ref="W156">IFERROR(
    IF(
        MATCH(2,1/((Y156:BF156&lt;&gt;0)*(Y156:BF156&lt;&gt;"")))-MATCH(1,INDEX((Y156:BF156&lt;&gt;0)*(Y156:BF156&lt;&gt;""),0),0)+1 &lt;= 24,
        "No",
        "Yes"
    ),
    "No"
)</f>
        <v>Yes</v>
      </c>
      <c r="Y156" s="8">
        <v>500</v>
      </c>
      <c r="Z156" s="8">
        <v>500</v>
      </c>
      <c r="AA156" s="8">
        <v>500</v>
      </c>
      <c r="AB156" s="8">
        <v>509</v>
      </c>
      <c r="AC156" s="8">
        <v>508.99999999999994</v>
      </c>
      <c r="AD156" s="8">
        <v>508.99999999999994</v>
      </c>
      <c r="AE156" s="8">
        <v>539.54</v>
      </c>
      <c r="AF156" s="8">
        <v>539.54</v>
      </c>
      <c r="AG156" s="8">
        <v>574.54</v>
      </c>
      <c r="AH156" s="8">
        <v>574.54</v>
      </c>
      <c r="AI156" s="8">
        <v>574.54</v>
      </c>
      <c r="AJ156" s="8">
        <v>574.54</v>
      </c>
      <c r="AK156" s="8">
        <v>574.54</v>
      </c>
      <c r="AL156" s="8">
        <v>574.54</v>
      </c>
      <c r="AM156" s="8">
        <v>574.54</v>
      </c>
      <c r="AN156" s="8">
        <v>574.54</v>
      </c>
      <c r="AO156" s="8">
        <v>574.54</v>
      </c>
      <c r="AP156" s="8">
        <v>574.54</v>
      </c>
      <c r="AQ156" s="8">
        <v>574.54</v>
      </c>
      <c r="AR156" s="8">
        <v>574.54</v>
      </c>
      <c r="AS156" s="8">
        <v>574.54</v>
      </c>
      <c r="AT156" s="8">
        <v>574.54</v>
      </c>
      <c r="AU156" s="8">
        <v>574.54</v>
      </c>
      <c r="AV156" s="8">
        <v>574.54</v>
      </c>
      <c r="AW156" s="8">
        <v>700.94665599999996</v>
      </c>
      <c r="AX156" s="8">
        <v>700.94665599999996</v>
      </c>
      <c r="AY156" s="8">
        <v>700.94665599999996</v>
      </c>
      <c r="AZ156" s="8">
        <v>700.94665599999996</v>
      </c>
      <c r="BA156" s="8">
        <v>700.94665599999996</v>
      </c>
      <c r="BB156" s="8">
        <v>700.94665599999996</v>
      </c>
      <c r="BC156" s="8">
        <v>700.94665599999996</v>
      </c>
      <c r="BD156" s="8">
        <v>700.94665599999996</v>
      </c>
      <c r="BE156" s="8">
        <v>700.94665599999996</v>
      </c>
      <c r="BF156" s="8">
        <v>700.94665599999996</v>
      </c>
      <c r="BH156" s="8">
        <f t="shared" si="31"/>
        <v>6404.24</v>
      </c>
      <c r="BI156" s="8">
        <f t="shared" si="32"/>
        <v>6894.48</v>
      </c>
      <c r="BJ156" s="8">
        <f t="shared" si="33"/>
        <v>7009.4665599999998</v>
      </c>
    </row>
    <row r="157" spans="1:62" x14ac:dyDescent="0.25">
      <c r="A157" s="9" t="s">
        <v>457</v>
      </c>
      <c r="B157" s="9" t="s">
        <v>644</v>
      </c>
      <c r="C157" s="10">
        <f>VLOOKUP(A157,'[2]Revenue_Engine_2025 Oct.25'!$C$14:G$3937,5,0)</f>
        <v>45715</v>
      </c>
      <c r="D157" s="6" cm="1">
        <f t="array" ref="D157">_xlfn.LET(
  _xlpm.aralık, Y157:BF157,
  _xlpm.ilk, MATCH(TRUE, _xlpm.aralık&lt;&gt;0, 0),
  _xlpm.son, MIN(_xlpm.ilk+2, COLUMNS(_xlpm.aralık)),
  MAX(INDEX(_xlpm.aralık, _xlpm.ilk):INDEX(_xlpm.aralık, _xlpm.son))
)</f>
        <v>700.00000566666677</v>
      </c>
      <c r="E157" s="6">
        <f t="shared" si="26"/>
        <v>0</v>
      </c>
      <c r="F157" s="6">
        <f t="shared" si="27"/>
        <v>0</v>
      </c>
      <c r="G157" s="6">
        <f t="shared" si="34"/>
        <v>700.00000566666677</v>
      </c>
      <c r="H157" s="7">
        <f t="shared" si="28"/>
        <v>-1</v>
      </c>
      <c r="I157" s="7">
        <f t="shared" si="29"/>
        <v>-1</v>
      </c>
      <c r="J157" s="7" t="e">
        <f t="shared" si="30"/>
        <v>#DIV/0!</v>
      </c>
      <c r="K157" s="7">
        <f t="shared" si="35"/>
        <v>0</v>
      </c>
      <c r="L157" s="5" t="s">
        <v>421</v>
      </c>
      <c r="M157" s="7">
        <f>IF(R157="",(VLOOKUP(A157,[1]Export!$B$2:$H$680,7,0)),"CHURN")</f>
        <v>9.8886116580445743E-2</v>
      </c>
      <c r="N157" s="5">
        <f t="shared" si="36"/>
        <v>630.77972350000005</v>
      </c>
      <c r="O157" s="5">
        <f t="shared" si="37"/>
        <v>0</v>
      </c>
      <c r="P157" s="5">
        <f t="shared" si="38"/>
        <v>0</v>
      </c>
      <c r="Q157" s="5" t="s">
        <v>430</v>
      </c>
      <c r="T157" s="6" t="str" cm="1">
        <f t="array" ref="T157">IF(R157&lt;&gt;"Churn","",
 _xlfn.LET(
   _xlpm.rng,Y157:BF157,
   _xlpm.pos,MAX(IF((_xlpm.rng&lt;&gt;0)*(_xlpm.rng&lt;&gt;""),COLUMN(_xlpm.rng)-COLUMN(Y157)+1)),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7" s="6" t="str" cm="1">
        <f t="array" ref="U157">IF(R157="Churn",
   MAX(IF((Y157:BF157&lt;&gt;"")*(Y157:BF157&lt;&gt;0), COLUMN(Y157:BF157)-COLUMN(Y157)+1))
   -MATCH(1, --((Y157:BF157&lt;&gt;"")*(Y157:BF157&lt;&gt;0)), 0)
   +1,
"")</f>
        <v/>
      </c>
      <c r="V157" s="6" t="str" cm="1">
        <f t="array" ref="V157">IFERROR(
    IF(
        MATCH(2,1/((Y157:BF157&lt;&gt;0)*(Y157:BF157&lt;&gt;"")))-MATCH(1,INDEX((Y157:BF157&lt;&gt;0)*(Y157:BF157&lt;&gt;""),0),0)+1 &lt;= 12,
        "No",
        "Yes"
    ),
    "No"
)</f>
        <v>No</v>
      </c>
      <c r="W157" s="6" t="str" cm="1">
        <f t="array" ref="W157">IFERROR(
    IF(
        MATCH(2,1/((Y157:BF157&lt;&gt;0)*(Y157:BF157&lt;&gt;"")))-MATCH(1,INDEX((Y157:BF157&lt;&gt;0)*(Y157:BF157&lt;&gt;""),0),0)+1 &lt;= 24,
        "No",
        "Yes"
    ),
    "No"
)</f>
        <v>No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700.00000566666677</v>
      </c>
      <c r="AZ157" s="8">
        <v>700.00000566666677</v>
      </c>
      <c r="BA157" s="8">
        <v>700.00000566666677</v>
      </c>
      <c r="BB157" s="8">
        <v>700.00000566666677</v>
      </c>
      <c r="BC157" s="8">
        <v>700.00000566666677</v>
      </c>
      <c r="BD157" s="8">
        <v>700.00000566666677</v>
      </c>
      <c r="BE157" s="8">
        <v>700.00000566666677</v>
      </c>
      <c r="BF157" s="8">
        <v>700.00000566666677</v>
      </c>
      <c r="BH157" s="8">
        <f t="shared" si="31"/>
        <v>0</v>
      </c>
      <c r="BI157" s="8">
        <f t="shared" si="32"/>
        <v>0</v>
      </c>
      <c r="BJ157" s="8">
        <f t="shared" si="33"/>
        <v>5600.0000453333341</v>
      </c>
    </row>
    <row r="158" spans="1:62" x14ac:dyDescent="0.25">
      <c r="A158" s="9" t="s">
        <v>458</v>
      </c>
      <c r="B158" s="9" t="s">
        <v>644</v>
      </c>
      <c r="C158" s="10">
        <f>VLOOKUP(A158,'[2]Revenue_Engine_2025 Oct.25'!$C$14:G$3937,5,0)</f>
        <v>45595</v>
      </c>
      <c r="D158" s="6" cm="1">
        <f t="array" ref="D158">_xlfn.LET(
  _xlpm.aralık, Y158:BF158,
  _xlpm.ilk, MATCH(TRUE, _xlpm.aralık&lt;&gt;0, 0),
  _xlpm.son, MIN(_xlpm.ilk+2, COLUMNS(_xlpm.aralık)),
  MAX(INDEX(_xlpm.aralık, _xlpm.ilk):INDEX(_xlpm.aralık, _xlpm.son))
)</f>
        <v>556</v>
      </c>
      <c r="E158" s="6">
        <f t="shared" si="26"/>
        <v>700</v>
      </c>
      <c r="F158" s="6">
        <f t="shared" si="27"/>
        <v>0</v>
      </c>
      <c r="G158" s="6">
        <f t="shared" si="34"/>
        <v>700</v>
      </c>
      <c r="H158" s="7">
        <f t="shared" si="28"/>
        <v>0.25899280575539568</v>
      </c>
      <c r="I158" s="7">
        <f t="shared" si="29"/>
        <v>-1</v>
      </c>
      <c r="J158" s="7">
        <f t="shared" si="30"/>
        <v>-1</v>
      </c>
      <c r="K158" s="7">
        <f t="shared" si="35"/>
        <v>0.25899280575539568</v>
      </c>
      <c r="L158" s="5" t="s">
        <v>413</v>
      </c>
      <c r="M158" s="7">
        <f>IF(R158="",(VLOOKUP(A158,[1]Export!$B$2:$H$680,7,0)),"CHURN")</f>
        <v>0.16857142857142857</v>
      </c>
      <c r="N158" s="5">
        <f t="shared" si="36"/>
        <v>582</v>
      </c>
      <c r="O158" s="5">
        <f t="shared" si="37"/>
        <v>582</v>
      </c>
      <c r="P158" s="5">
        <f t="shared" si="38"/>
        <v>0</v>
      </c>
      <c r="Q158" s="5" t="str">
        <f>VLOOKUP(A158,[4]Sheet2!$A$1:$B$142,2,0)</f>
        <v>NO RISK</v>
      </c>
      <c r="T158" s="6" t="str" cm="1">
        <f t="array" ref="T158">IF(R158&lt;&gt;"Churn","",
 _xlfn.LET(
   _xlpm.rng,Y158:BF158,
   _xlpm.pos,MAX(IF((_xlpm.rng&lt;&gt;0)*(_xlpm.rng&lt;&gt;""),COLUMN(_xlpm.rng)-COLUMN(Y158)+1)),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8" s="6" t="str" cm="1">
        <f t="array" ref="U158">IF(R158="Churn",
   MAX(IF((Y158:BF158&lt;&gt;"")*(Y158:BF158&lt;&gt;0), COLUMN(Y158:BF158)-COLUMN(Y158)+1))
   -MATCH(1, --((Y158:BF158&lt;&gt;"")*(Y158:BF158&lt;&gt;0)), 0)
   +1,
"")</f>
        <v/>
      </c>
      <c r="V158" s="6" t="str" cm="1">
        <f t="array" ref="V158">IFERROR(
    IF(
        MATCH(2,1/((Y158:BF158&lt;&gt;0)*(Y158:BF158&lt;&gt;"")))-MATCH(1,INDEX((Y158:BF158&lt;&gt;0)*(Y158:BF158&lt;&gt;""),0),0)+1 &lt;= 12,
        "No",
        "Yes"
    ),
    "No"
)</f>
        <v>Yes</v>
      </c>
      <c r="W158" s="14" t="s">
        <v>705</v>
      </c>
      <c r="Y158" s="8">
        <v>524.79</v>
      </c>
      <c r="Z158" s="8">
        <v>556</v>
      </c>
      <c r="AA158" s="8">
        <v>556</v>
      </c>
      <c r="AB158" s="8">
        <v>556</v>
      </c>
      <c r="AC158" s="8">
        <v>556.00300000000004</v>
      </c>
      <c r="AD158" s="8">
        <v>556.00300000000004</v>
      </c>
      <c r="AE158" s="8">
        <v>556.00300000000004</v>
      </c>
      <c r="AF158" s="8">
        <v>556.00300000000004</v>
      </c>
      <c r="AG158" s="8">
        <v>556.19507999999996</v>
      </c>
      <c r="AH158" s="8">
        <v>565.03075999999999</v>
      </c>
      <c r="AI158" s="8">
        <v>565.03075999999999</v>
      </c>
      <c r="AJ158" s="8">
        <v>565.03075999999999</v>
      </c>
      <c r="AK158" s="8">
        <v>565.03075999999999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700</v>
      </c>
      <c r="AU158" s="8">
        <v>700</v>
      </c>
      <c r="AV158" s="8">
        <v>700</v>
      </c>
      <c r="AW158" s="8">
        <v>700</v>
      </c>
      <c r="AX158" s="8">
        <v>700</v>
      </c>
      <c r="AY158" s="8">
        <v>700</v>
      </c>
      <c r="AZ158" s="8">
        <v>700</v>
      </c>
      <c r="BA158" s="8">
        <v>700</v>
      </c>
      <c r="BB158" s="8">
        <v>700</v>
      </c>
      <c r="BC158" s="8">
        <v>700</v>
      </c>
      <c r="BD158" s="8">
        <v>700</v>
      </c>
      <c r="BE158" s="8">
        <v>700</v>
      </c>
      <c r="BF158" s="8">
        <v>700</v>
      </c>
      <c r="BH158" s="8">
        <f t="shared" si="31"/>
        <v>6668.0893599999999</v>
      </c>
      <c r="BI158" s="8">
        <f t="shared" si="32"/>
        <v>2665.0307600000001</v>
      </c>
      <c r="BJ158" s="8">
        <f t="shared" si="33"/>
        <v>7000</v>
      </c>
    </row>
    <row r="159" spans="1:62" x14ac:dyDescent="0.25">
      <c r="A159" s="9" t="s">
        <v>96</v>
      </c>
      <c r="B159" s="9" t="s">
        <v>644</v>
      </c>
      <c r="C159" s="10">
        <v>44927</v>
      </c>
      <c r="D159" s="6" cm="1">
        <f t="array" ref="D159">_xlfn.LET(
  _xlpm.aralık, Y159:BF159,
  _xlpm.ilk, MATCH(TRUE, _xlpm.aralık&lt;&gt;0, 0),
  _xlpm.son, MIN(_xlpm.ilk+2, COLUMNS(_xlpm.aralık)),
  MAX(INDEX(_xlpm.aralık, _xlpm.ilk):INDEX(_xlpm.aralık, _xlpm.son))
)</f>
        <v>557.64</v>
      </c>
      <c r="E159" s="6">
        <f t="shared" si="26"/>
        <v>557.64</v>
      </c>
      <c r="F159" s="6">
        <f t="shared" si="27"/>
        <v>680.32079999999996</v>
      </c>
      <c r="G159" s="6">
        <f t="shared" si="34"/>
        <v>680.32079999999996</v>
      </c>
      <c r="H159" s="7">
        <f t="shared" si="28"/>
        <v>0</v>
      </c>
      <c r="I159" s="7">
        <f t="shared" si="29"/>
        <v>0.21999999999999997</v>
      </c>
      <c r="J159" s="7">
        <f t="shared" si="30"/>
        <v>0.21999999999999997</v>
      </c>
      <c r="K159" s="7">
        <f t="shared" si="35"/>
        <v>0.21999999999999997</v>
      </c>
      <c r="L159" s="5" t="s">
        <v>412</v>
      </c>
      <c r="M159" s="7">
        <v>0</v>
      </c>
      <c r="N159" s="5">
        <f t="shared" si="36"/>
        <v>680.32079999999996</v>
      </c>
      <c r="O159" s="5">
        <f t="shared" si="37"/>
        <v>557.64</v>
      </c>
      <c r="P159" s="5">
        <f t="shared" si="38"/>
        <v>680.32079999999996</v>
      </c>
      <c r="Q159" s="5" t="s">
        <v>430</v>
      </c>
      <c r="T159" s="6" t="str" cm="1">
        <f t="array" ref="T159">IF(R159&lt;&gt;"Churn","",
 _xlfn.LET(
   _xlpm.rng,Y159:BF159,
   _xlpm.pos,MAX(IF((_xlpm.rng&lt;&gt;0)*(_xlpm.rng&lt;&gt;""),COLUMN(_xlpm.rng)-COLUMN(Y159)+1)),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59" s="6" t="str" cm="1">
        <f t="array" ref="U159">IF(R159="Churn",
   MAX(IF((Y159:BF159&lt;&gt;"")*(Y159:BF159&lt;&gt;0), COLUMN(Y159:BF159)-COLUMN(Y159)+1))
   -MATCH(1, --((Y159:BF159&lt;&gt;"")*(Y159:BF159&lt;&gt;0)), 0)
   +1,
"")</f>
        <v/>
      </c>
      <c r="V159" s="6" t="str" cm="1">
        <f t="array" ref="V159">IFERROR(
    IF(
        MATCH(2,1/((Y159:BF159&lt;&gt;0)*(Y159:BF159&lt;&gt;"")))-MATCH(1,INDEX((Y159:BF159&lt;&gt;0)*(Y159:BF159&lt;&gt;""),0),0)+1 &lt;= 12,
        "No",
        "Yes"
    ),
    "No"
)</f>
        <v>Yes</v>
      </c>
      <c r="W159" s="6" t="str" cm="1">
        <f t="array" ref="W159">IFERROR(
    IF(
        MATCH(2,1/((Y159:BF159&lt;&gt;0)*(Y159:BF159&lt;&gt;"")))-MATCH(1,INDEX((Y159:BF159&lt;&gt;0)*(Y159:BF159&lt;&gt;""),0),0)+1 &lt;= 24,
        "No",
        "Yes"
    ),
    "No"
)</f>
        <v>Yes</v>
      </c>
      <c r="X159" s="6"/>
      <c r="Y159" s="8">
        <v>557.64</v>
      </c>
      <c r="Z159" s="8">
        <v>557.64</v>
      </c>
      <c r="AA159" s="8">
        <v>557.64</v>
      </c>
      <c r="AB159" s="8">
        <v>557.64</v>
      </c>
      <c r="AC159" s="8">
        <v>557.64</v>
      </c>
      <c r="AD159" s="8">
        <v>557.64</v>
      </c>
      <c r="AE159" s="8">
        <v>557.64</v>
      </c>
      <c r="AF159" s="8">
        <v>557.64</v>
      </c>
      <c r="AG159" s="8">
        <v>557.64</v>
      </c>
      <c r="AH159" s="8">
        <v>557.64</v>
      </c>
      <c r="AI159" s="8">
        <v>557.64</v>
      </c>
      <c r="AJ159" s="8">
        <v>557.64</v>
      </c>
      <c r="AK159" s="8">
        <v>557.64</v>
      </c>
      <c r="AL159" s="8">
        <v>557.64</v>
      </c>
      <c r="AM159" s="8">
        <v>557.64</v>
      </c>
      <c r="AN159" s="8">
        <v>557.64</v>
      </c>
      <c r="AO159" s="8">
        <v>557.64</v>
      </c>
      <c r="AP159" s="8">
        <v>557.64</v>
      </c>
      <c r="AQ159" s="8">
        <v>557.64</v>
      </c>
      <c r="AR159" s="8">
        <v>557.64</v>
      </c>
      <c r="AS159" s="8">
        <v>557.64</v>
      </c>
      <c r="AT159" s="8">
        <v>557.64</v>
      </c>
      <c r="AU159" s="8">
        <v>557.64</v>
      </c>
      <c r="AV159" s="8">
        <v>557.64</v>
      </c>
      <c r="AW159" s="8">
        <v>680.32079999999996</v>
      </c>
      <c r="AX159" s="8">
        <v>680.32079999999996</v>
      </c>
      <c r="AY159" s="8">
        <v>680.32079999999996</v>
      </c>
      <c r="AZ159" s="8">
        <v>680.32079999999996</v>
      </c>
      <c r="BA159" s="8">
        <v>680.32079999999996</v>
      </c>
      <c r="BB159" s="8">
        <v>680.32079999999996</v>
      </c>
      <c r="BC159" s="8">
        <v>680.32079999999996</v>
      </c>
      <c r="BD159" s="8">
        <v>680.32079999999996</v>
      </c>
      <c r="BE159" s="8">
        <v>680.32079999999996</v>
      </c>
      <c r="BF159" s="8">
        <v>680.32079999999996</v>
      </c>
      <c r="BH159" s="8">
        <f t="shared" si="31"/>
        <v>6691.6800000000012</v>
      </c>
      <c r="BI159" s="8">
        <f t="shared" si="32"/>
        <v>6691.6800000000012</v>
      </c>
      <c r="BJ159" s="8">
        <f t="shared" si="33"/>
        <v>6803.2079999999987</v>
      </c>
    </row>
    <row r="160" spans="1:62" x14ac:dyDescent="0.25">
      <c r="A160" s="9" t="s">
        <v>204</v>
      </c>
      <c r="B160" s="9" t="s">
        <v>644</v>
      </c>
      <c r="C160" s="10">
        <f>VLOOKUP(A160,'[2]Revenue_Engine_2025 Oct.25'!$C$14:G$3937,5,0)</f>
        <v>45061</v>
      </c>
      <c r="D160" s="6" cm="1">
        <f t="array" ref="D160">_xlfn.LET(
  _xlpm.aralık, Y160:BF160,
  _xlpm.ilk, MATCH(TRUE, _xlpm.aralık&lt;&gt;0, 0),
  _xlpm.son, MIN(_xlpm.ilk+2, COLUMNS(_xlpm.aralık)),
  MAX(INDEX(_xlpm.aralık, _xlpm.ilk):INDEX(_xlpm.aralık, _xlpm.son))
)</f>
        <v>324.99921166666667</v>
      </c>
      <c r="E160" s="6">
        <f t="shared" si="26"/>
        <v>381.99921166666667</v>
      </c>
      <c r="F160" s="6">
        <f t="shared" si="27"/>
        <v>614.99921166666672</v>
      </c>
      <c r="G160" s="6">
        <f t="shared" si="34"/>
        <v>674.99921166666672</v>
      </c>
      <c r="H160" s="7">
        <f t="shared" si="28"/>
        <v>0.17538504080576564</v>
      </c>
      <c r="I160" s="7">
        <f t="shared" si="29"/>
        <v>0.89230985673108854</v>
      </c>
      <c r="J160" s="7">
        <f t="shared" si="30"/>
        <v>0.60994890273050184</v>
      </c>
      <c r="K160" s="7">
        <f t="shared" si="35"/>
        <v>1.0769256891582102</v>
      </c>
      <c r="L160" s="5" t="s">
        <v>415</v>
      </c>
      <c r="M160" s="7">
        <f>IF(R160="",(VLOOKUP(A160,[1]Export!$B$2:$H$680,7,0)),"CHURN")</f>
        <v>0.15407425401758554</v>
      </c>
      <c r="N160" s="5">
        <f t="shared" si="36"/>
        <v>570.99921166666672</v>
      </c>
      <c r="O160" s="5">
        <f t="shared" si="37"/>
        <v>323.14296809381921</v>
      </c>
      <c r="P160" s="5">
        <f t="shared" si="38"/>
        <v>520.24366690772183</v>
      </c>
      <c r="Q160" s="5" t="s">
        <v>430</v>
      </c>
      <c r="T160" s="6" t="str" cm="1">
        <f t="array" ref="T160">IF(R160&lt;&gt;"Churn","",
 _xlfn.LET(
   _xlpm.rng,Y160:BF160,
   _xlpm.pos,MAX(IF((_xlpm.rng&lt;&gt;0)*(_xlpm.rng&lt;&gt;""),COLUMN(_xlpm.rng)-COLUMN(Y160)+1)),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0" s="6" t="str" cm="1">
        <f t="array" ref="U160">IF(R160="Churn",
   MAX(IF((Y160:BF160&lt;&gt;"")*(Y160:BF160&lt;&gt;0), COLUMN(Y160:BF160)-COLUMN(Y160)+1))
   -MATCH(1, --((Y160:BF160&lt;&gt;"")*(Y160:BF160&lt;&gt;0)), 0)
   +1,
"")</f>
        <v/>
      </c>
      <c r="V160" s="6" t="str" cm="1">
        <f t="array" ref="V160">IFERROR(
    IF(
        MATCH(2,1/((Y160:BF160&lt;&gt;0)*(Y160:BF160&lt;&gt;"")))-MATCH(1,INDEX((Y160:BF160&lt;&gt;0)*(Y160:BF160&lt;&gt;""),0),0)+1 &lt;= 12,
        "No",
        "Yes"
    ),
    "No"
)</f>
        <v>Yes</v>
      </c>
      <c r="W160" s="6" t="str" cm="1">
        <f t="array" ref="W160">IFERROR(
    IF(
        MATCH(2,1/((Y160:BF160&lt;&gt;0)*(Y160:BF160&lt;&gt;"")))-MATCH(1,INDEX((Y160:BF160&lt;&gt;0)*(Y160:BF160&lt;&gt;""),0),0)+1 &lt;= 24,
        "No",
        "Yes"
    ),
    "No"
)</f>
        <v>Yes</v>
      </c>
      <c r="Y160" s="8">
        <v>0</v>
      </c>
      <c r="Z160" s="8">
        <v>0</v>
      </c>
      <c r="AA160" s="8">
        <v>0</v>
      </c>
      <c r="AB160" s="8">
        <v>0</v>
      </c>
      <c r="AC160" s="8">
        <v>324.99921166666667</v>
      </c>
      <c r="AD160" s="8">
        <v>324.99921166666667</v>
      </c>
      <c r="AE160" s="8">
        <v>324.99921166666667</v>
      </c>
      <c r="AF160" s="8">
        <v>324.99921166666667</v>
      </c>
      <c r="AG160" s="8">
        <v>342.99921166666667</v>
      </c>
      <c r="AH160" s="8">
        <v>342.99921166666701</v>
      </c>
      <c r="AI160" s="8">
        <v>387.99921166666701</v>
      </c>
      <c r="AJ160" s="8">
        <v>387.99921166666701</v>
      </c>
      <c r="AK160" s="8">
        <v>387.99921166666701</v>
      </c>
      <c r="AL160" s="8">
        <v>387.99921166666667</v>
      </c>
      <c r="AM160" s="8">
        <v>324.99921166666667</v>
      </c>
      <c r="AN160" s="8">
        <v>324.99921166666667</v>
      </c>
      <c r="AO160" s="8">
        <v>381.99921166666667</v>
      </c>
      <c r="AP160" s="8">
        <v>606.99921166666672</v>
      </c>
      <c r="AQ160" s="8">
        <v>606.99921166666672</v>
      </c>
      <c r="AR160" s="8">
        <v>606.99921166666672</v>
      </c>
      <c r="AS160" s="8">
        <v>606.99921166666672</v>
      </c>
      <c r="AT160" s="8">
        <v>606.99921166666672</v>
      </c>
      <c r="AU160" s="8">
        <v>606.99921166666672</v>
      </c>
      <c r="AV160" s="8">
        <v>606.99921166666672</v>
      </c>
      <c r="AW160" s="8">
        <v>606.99921166666672</v>
      </c>
      <c r="AX160" s="8">
        <v>614.99921166666672</v>
      </c>
      <c r="AY160" s="8">
        <v>614.99921166666672</v>
      </c>
      <c r="AZ160" s="8">
        <v>614.99921166666672</v>
      </c>
      <c r="BA160" s="8">
        <v>614.99921166666672</v>
      </c>
      <c r="BB160" s="8">
        <v>614.99921166666672</v>
      </c>
      <c r="BC160" s="8">
        <v>614.99921166666672</v>
      </c>
      <c r="BD160" s="8">
        <v>614.99921166666672</v>
      </c>
      <c r="BE160" s="8">
        <v>614.99921166666672</v>
      </c>
      <c r="BF160" s="8">
        <v>674.99921166666672</v>
      </c>
      <c r="BH160" s="8">
        <f t="shared" si="31"/>
        <v>2761.9936933333347</v>
      </c>
      <c r="BI160" s="8">
        <f t="shared" si="32"/>
        <v>6056.9905400000025</v>
      </c>
      <c r="BJ160" s="8">
        <f t="shared" si="33"/>
        <v>6201.9921166666682</v>
      </c>
    </row>
    <row r="161" spans="1:62" x14ac:dyDescent="0.25">
      <c r="A161" s="9" t="s">
        <v>690</v>
      </c>
      <c r="B161" s="9" t="s">
        <v>644</v>
      </c>
      <c r="C161" s="10">
        <v>44927</v>
      </c>
      <c r="D161" s="6" cm="1">
        <f t="array" ref="D161">_xlfn.LET(
  _xlpm.aralık, Y161:BF161,
  _xlpm.ilk, MATCH(TRUE, _xlpm.aralık&lt;&gt;0, 0),
  _xlpm.son, MIN(_xlpm.ilk+2, COLUMNS(_xlpm.aralık)),
  MAX(INDEX(_xlpm.aralık, _xlpm.ilk):INDEX(_xlpm.aralık, _xlpm.son))
)</f>
        <v>206.57522270141752</v>
      </c>
      <c r="E161" s="6">
        <f t="shared" si="26"/>
        <v>425.12895578325424</v>
      </c>
      <c r="F161" s="6">
        <f t="shared" si="27"/>
        <v>585.48974235968058</v>
      </c>
      <c r="G161" s="6">
        <f t="shared" si="34"/>
        <v>650.39034757455124</v>
      </c>
      <c r="H161" s="7">
        <f t="shared" si="28"/>
        <v>1.0579861912952304</v>
      </c>
      <c r="I161" s="7">
        <f t="shared" si="29"/>
        <v>1.8342689636401539</v>
      </c>
      <c r="J161" s="7">
        <f t="shared" si="30"/>
        <v>0.37720504424587803</v>
      </c>
      <c r="K161" s="7">
        <f t="shared" si="35"/>
        <v>2.1484431630729559</v>
      </c>
      <c r="L161" s="5" t="s">
        <v>418</v>
      </c>
      <c r="M161" s="7">
        <f>IF(R161="",(VLOOKUP(A161,[1]Export!$B$2:$H$680,7,0)),"CHURN")</f>
        <v>0</v>
      </c>
      <c r="N161" s="5">
        <f t="shared" si="36"/>
        <v>650.39034757455124</v>
      </c>
      <c r="O161" s="5">
        <f t="shared" si="37"/>
        <v>425.12895578325424</v>
      </c>
      <c r="P161" s="5">
        <f t="shared" si="38"/>
        <v>585.48974235968058</v>
      </c>
      <c r="Q161" s="5" t="s">
        <v>430</v>
      </c>
      <c r="T161" s="6" t="str" cm="1">
        <f t="array" ref="T161">IF(R161&lt;&gt;"Churn","",
 _xlfn.LET(
   _xlpm.rng,Y161:BF161,
   _xlpm.pos,MAX(IF((_xlpm.rng&lt;&gt;0)*(_xlpm.rng&lt;&gt;""),COLUMN(_xlpm.rng)-COLUMN(Y161)+1)),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1" s="6" t="str" cm="1">
        <f t="array" ref="U161">IF(R161="Churn",
   MAX(IF((Y161:BF161&lt;&gt;"")*(Y161:BF161&lt;&gt;0), COLUMN(Y161:BF161)-COLUMN(Y161)+1))
   -MATCH(1, --((Y161:BF161&lt;&gt;"")*(Y161:BF161&lt;&gt;0)), 0)
   +1,
"")</f>
        <v/>
      </c>
      <c r="V161" s="6" t="str" cm="1">
        <f t="array" ref="V161">IFERROR(
    IF(
        MATCH(2,1/((Y161:BF161&lt;&gt;0)*(Y161:BF161&lt;&gt;"")))-MATCH(1,INDEX((Y161:BF161&lt;&gt;0)*(Y161:BF161&lt;&gt;""),0),0)+1 &lt;= 12,
        "No",
        "Yes"
    ),
    "No"
)</f>
        <v>Yes</v>
      </c>
      <c r="W161" s="6" t="str" cm="1">
        <f t="array" ref="W161">IFERROR(
    IF(
        MATCH(2,1/((Y161:BF161&lt;&gt;0)*(Y161:BF161&lt;&gt;"")))-MATCH(1,INDEX((Y161:BF161&lt;&gt;0)*(Y161:BF161&lt;&gt;""),0),0)+1 &lt;= 24,
        "No",
        "Yes"
    ),
    "No"
)</f>
        <v>Yes</v>
      </c>
      <c r="Y161" s="8">
        <v>206.57522270141752</v>
      </c>
      <c r="Z161" s="8">
        <v>205.85750941632094</v>
      </c>
      <c r="AA161" s="8">
        <v>204.34422641867627</v>
      </c>
      <c r="AB161" s="8">
        <v>313.63144291182579</v>
      </c>
      <c r="AC161" s="8">
        <v>307.68529111955769</v>
      </c>
      <c r="AD161" s="8">
        <v>258.75185382551024</v>
      </c>
      <c r="AE161" s="8">
        <v>229.31177617202735</v>
      </c>
      <c r="AF161" s="8">
        <v>224.97335546531025</v>
      </c>
      <c r="AG161" s="8">
        <v>224.76457743890896</v>
      </c>
      <c r="AH161" s="8">
        <v>217.83687746055821</v>
      </c>
      <c r="AI161" s="8">
        <v>446.07090253263317</v>
      </c>
      <c r="AJ161" s="8">
        <v>439.12065658009391</v>
      </c>
      <c r="AK161" s="8">
        <v>425.12895578325424</v>
      </c>
      <c r="AL161" s="8">
        <v>415.36085899883369</v>
      </c>
      <c r="AM161" s="8">
        <v>399.45861608737334</v>
      </c>
      <c r="AN161" s="8">
        <v>395.48005074551867</v>
      </c>
      <c r="AO161" s="8">
        <v>644.49794206725164</v>
      </c>
      <c r="AP161" s="8">
        <v>639.04100728730975</v>
      </c>
      <c r="AQ161" s="8">
        <v>631.63855223621601</v>
      </c>
      <c r="AR161" s="8">
        <v>618.04078568747661</v>
      </c>
      <c r="AS161" s="8">
        <v>610.96485803636108</v>
      </c>
      <c r="AT161" s="8">
        <v>607.18685891714256</v>
      </c>
      <c r="AU161" s="8">
        <v>603.83991897578869</v>
      </c>
      <c r="AV161" s="8">
        <v>594.45087500143256</v>
      </c>
      <c r="AW161" s="8">
        <v>585.48974235968058</v>
      </c>
      <c r="AX161" s="8">
        <v>575.16861688414303</v>
      </c>
      <c r="AY161" s="8">
        <v>560.81890155395604</v>
      </c>
      <c r="AZ161" s="8">
        <v>713.95565950125365</v>
      </c>
      <c r="BA161" s="8">
        <v>701.98665162935799</v>
      </c>
      <c r="BB161" s="8">
        <v>690.06824200106291</v>
      </c>
      <c r="BC161" s="8">
        <v>676.79465415078914</v>
      </c>
      <c r="BD161" s="8">
        <v>666.37158838666585</v>
      </c>
      <c r="BE161" s="8">
        <v>658.30554474755365</v>
      </c>
      <c r="BF161" s="8">
        <v>650.39034757455124</v>
      </c>
      <c r="BH161" s="8">
        <f t="shared" si="31"/>
        <v>3278.9236920428402</v>
      </c>
      <c r="BI161" s="8">
        <f t="shared" si="32"/>
        <v>6585.0892798239593</v>
      </c>
      <c r="BJ161" s="8">
        <f t="shared" si="33"/>
        <v>6479.3499487890149</v>
      </c>
    </row>
    <row r="162" spans="1:62" x14ac:dyDescent="0.25">
      <c r="A162" s="9" t="s">
        <v>5</v>
      </c>
      <c r="B162" s="9" t="s">
        <v>644</v>
      </c>
      <c r="C162" s="10">
        <f>VLOOKUP(A162,'[2]Revenue_Engine_2025 Oct.25'!$C$14:G$3937,5,0)</f>
        <v>45055</v>
      </c>
      <c r="D162" s="6" cm="1">
        <f t="array" ref="D162">_xlfn.LET(
  _xlpm.aralık, Y162:BF162,
  _xlpm.ilk, MATCH(TRUE, _xlpm.aralık&lt;&gt;0, 0),
  _xlpm.son, MIN(_xlpm.ilk+2, COLUMNS(_xlpm.aralık)),
  MAX(INDEX(_xlpm.aralık, _xlpm.ilk):INDEX(_xlpm.aralık, _xlpm.son))
)</f>
        <v>444.38</v>
      </c>
      <c r="E162" s="6">
        <f t="shared" si="26"/>
        <v>500.58140000000003</v>
      </c>
      <c r="F162" s="6">
        <f t="shared" si="27"/>
        <v>638.05615911111101</v>
      </c>
      <c r="G162" s="6">
        <f t="shared" si="34"/>
        <v>638.05615911111101</v>
      </c>
      <c r="H162" s="7">
        <f t="shared" si="28"/>
        <v>0.12647148836581312</v>
      </c>
      <c r="I162" s="7">
        <f t="shared" si="29"/>
        <v>0.43583455401033128</v>
      </c>
      <c r="J162" s="7">
        <f t="shared" si="30"/>
        <v>0.27463017825095176</v>
      </c>
      <c r="K162" s="7">
        <f t="shared" si="35"/>
        <v>0.43583455401033128</v>
      </c>
      <c r="L162" s="5" t="s">
        <v>417</v>
      </c>
      <c r="M162" s="7">
        <f>IF(R162="",(VLOOKUP(A162,[1]Export!$B$2:$H$680,7,0)),"CHURN")</f>
        <v>0.31751078367982988</v>
      </c>
      <c r="N162" s="5">
        <f t="shared" si="36"/>
        <v>435.46644799999996</v>
      </c>
      <c r="O162" s="5">
        <f t="shared" si="37"/>
        <v>341.64140739045365</v>
      </c>
      <c r="P162" s="5">
        <f t="shared" si="38"/>
        <v>435.46644799999996</v>
      </c>
      <c r="Q162" s="5" t="str">
        <f>VLOOKUP(A162,[4]Sheet2!$A$1:$B$142,2,0)</f>
        <v>LOW RISK</v>
      </c>
      <c r="T162" s="6" t="str" cm="1">
        <f t="array" ref="T162">IF(R162&lt;&gt;"Churn","",
 _xlfn.LET(
   _xlpm.rng,Y162:BF162,
   _xlpm.pos,MAX(IF((_xlpm.rng&lt;&gt;0)*(_xlpm.rng&lt;&gt;""),COLUMN(_xlpm.rng)-COLUMN(Y162)+1)),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2" s="6" t="str" cm="1">
        <f t="array" ref="U162">IF(R162="Churn",
   MAX(IF((Y162:BF162&lt;&gt;"")*(Y162:BF162&lt;&gt;0), COLUMN(Y162:BF162)-COLUMN(Y162)+1))
   -MATCH(1, --((Y162:BF162&lt;&gt;"")*(Y162:BF162&lt;&gt;0)), 0)
   +1,
"")</f>
        <v/>
      </c>
      <c r="V162" s="6" t="str" cm="1">
        <f t="array" ref="V162">IFERROR(
    IF(
        MATCH(2,1/((Y162:BF162&lt;&gt;0)*(Y162:BF162&lt;&gt;"")))-MATCH(1,INDEX((Y162:BF162&lt;&gt;0)*(Y162:BF162&lt;&gt;""),0),0)+1 &lt;= 12,
        "No",
        "Yes"
    ),
    "No"
)</f>
        <v>Yes</v>
      </c>
      <c r="W162" s="6" t="str" cm="1">
        <f t="array" ref="W162">IFERROR(
    IF(
        MATCH(2,1/((Y162:BF162&lt;&gt;0)*(Y162:BF162&lt;&gt;"")))-MATCH(1,INDEX((Y162:BF162&lt;&gt;0)*(Y162:BF162&lt;&gt;""),0),0)+1 &lt;= 24,
        "No",
        "Yes"
    ),
    "No"
)</f>
        <v>Yes</v>
      </c>
      <c r="X162" s="6"/>
      <c r="Y162" s="8">
        <v>444.38</v>
      </c>
      <c r="Z162" s="8">
        <v>444.38</v>
      </c>
      <c r="AA162" s="8">
        <v>444.38</v>
      </c>
      <c r="AB162" s="8">
        <v>453.38</v>
      </c>
      <c r="AC162" s="8">
        <v>453.38</v>
      </c>
      <c r="AD162" s="8">
        <v>453.38</v>
      </c>
      <c r="AE162" s="8">
        <v>480.58280000000002</v>
      </c>
      <c r="AF162" s="8">
        <v>480.58280000000002</v>
      </c>
      <c r="AG162" s="8">
        <v>480.58280000000002</v>
      </c>
      <c r="AH162" s="8">
        <v>480.58140000000003</v>
      </c>
      <c r="AI162" s="8">
        <v>480.57</v>
      </c>
      <c r="AJ162" s="8">
        <v>480.57</v>
      </c>
      <c r="AK162" s="8">
        <v>480.58140000000003</v>
      </c>
      <c r="AL162" s="8">
        <v>480.58140000000003</v>
      </c>
      <c r="AM162" s="8">
        <v>500.58140000000003</v>
      </c>
      <c r="AN162" s="8">
        <v>500.58140000000003</v>
      </c>
      <c r="AO162" s="8">
        <v>500.58140000000003</v>
      </c>
      <c r="AP162" s="8">
        <v>500.58140000000003</v>
      </c>
      <c r="AQ162" s="8">
        <v>500.58140000000003</v>
      </c>
      <c r="AR162" s="8">
        <v>500.58140000000003</v>
      </c>
      <c r="AS162" s="8">
        <v>500.58140000000003</v>
      </c>
      <c r="AT162" s="8">
        <v>500.58140000000003</v>
      </c>
      <c r="AU162" s="8">
        <v>500.58140000000003</v>
      </c>
      <c r="AV162" s="8">
        <v>500.58140000000003</v>
      </c>
      <c r="AW162" s="8">
        <v>610.69504799999993</v>
      </c>
      <c r="AX162" s="8">
        <v>638.05615911111101</v>
      </c>
      <c r="AY162" s="8">
        <v>638.05615911111101</v>
      </c>
      <c r="AZ162" s="8">
        <v>638.05615911111101</v>
      </c>
      <c r="BA162" s="8">
        <v>638.05615911111101</v>
      </c>
      <c r="BB162" s="8">
        <v>638.05615911111101</v>
      </c>
      <c r="BC162" s="8">
        <v>638.05615911111101</v>
      </c>
      <c r="BD162" s="8">
        <v>638.05615911111101</v>
      </c>
      <c r="BE162" s="8">
        <v>638.05615911111101</v>
      </c>
      <c r="BF162" s="8">
        <v>638.05615911111101</v>
      </c>
      <c r="BH162" s="8">
        <f t="shared" si="31"/>
        <v>5576.7497999999996</v>
      </c>
      <c r="BI162" s="8">
        <f t="shared" si="32"/>
        <v>5966.9768000000004</v>
      </c>
      <c r="BJ162" s="8">
        <f t="shared" si="33"/>
        <v>6353.2004799999986</v>
      </c>
    </row>
    <row r="163" spans="1:62" x14ac:dyDescent="0.25">
      <c r="A163" s="9" t="s">
        <v>93</v>
      </c>
      <c r="B163" s="9" t="s">
        <v>644</v>
      </c>
      <c r="C163" s="10">
        <v>44927</v>
      </c>
      <c r="D163" s="6" cm="1">
        <f t="array" ref="D163">_xlfn.LET(
  _xlpm.aralık, Y163:BF163,
  _xlpm.ilk, MATCH(TRUE, _xlpm.aralık&lt;&gt;0, 0),
  _xlpm.son, MIN(_xlpm.ilk+2, COLUMNS(_xlpm.aralık)),
  MAX(INDEX(_xlpm.aralık, _xlpm.ilk):INDEX(_xlpm.aralık, _xlpm.son))
)</f>
        <v>452</v>
      </c>
      <c r="E163" s="6">
        <f t="shared" si="26"/>
        <v>548.5</v>
      </c>
      <c r="F163" s="6">
        <f t="shared" si="27"/>
        <v>623.99</v>
      </c>
      <c r="G163" s="6">
        <f t="shared" si="34"/>
        <v>634.35</v>
      </c>
      <c r="H163" s="7">
        <f t="shared" si="28"/>
        <v>0.21349557522123894</v>
      </c>
      <c r="I163" s="7">
        <f t="shared" si="29"/>
        <v>0.38050884955752212</v>
      </c>
      <c r="J163" s="7">
        <f t="shared" si="30"/>
        <v>0.13762989972652692</v>
      </c>
      <c r="K163" s="7">
        <f t="shared" si="35"/>
        <v>0.40342920353982303</v>
      </c>
      <c r="L163" s="5" t="s">
        <v>418</v>
      </c>
      <c r="M163" s="7">
        <f>IF(R163="",(VLOOKUP(A163,[1]Export!$B$2:$H$680,7,0)),"CHURN")</f>
        <v>0.52707495861905895</v>
      </c>
      <c r="N163" s="5">
        <f t="shared" si="36"/>
        <v>299.99999999999994</v>
      </c>
      <c r="O163" s="5">
        <f t="shared" si="37"/>
        <v>259.39938519744618</v>
      </c>
      <c r="P163" s="5">
        <f t="shared" si="38"/>
        <v>295.10049657129343</v>
      </c>
      <c r="Q163" s="5" t="s">
        <v>430</v>
      </c>
      <c r="T163" s="6" t="str" cm="1">
        <f t="array" ref="T163">IF(R163&lt;&gt;"Churn","",
 _xlfn.LET(
   _xlpm.rng,Y163:BF163,
   _xlpm.pos,MAX(IF((_xlpm.rng&lt;&gt;0)*(_xlpm.rng&lt;&gt;""),COLUMN(_xlpm.rng)-COLUMN(Y163)+1)),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3" s="6" t="str" cm="1">
        <f t="array" ref="U163">IF(R163="Churn",
   MAX(IF((Y163:BF163&lt;&gt;"")*(Y163:BF163&lt;&gt;0), COLUMN(Y163:BF163)-COLUMN(Y163)+1))
   -MATCH(1, --((Y163:BF163&lt;&gt;"")*(Y163:BF163&lt;&gt;0)), 0)
   +1,
"")</f>
        <v/>
      </c>
      <c r="V163" s="6" t="str" cm="1">
        <f t="array" ref="V163">IFERROR(
    IF(
        MATCH(2,1/((Y163:BF163&lt;&gt;0)*(Y163:BF163&lt;&gt;"")))-MATCH(1,INDEX((Y163:BF163&lt;&gt;0)*(Y163:BF163&lt;&gt;""),0),0)+1 &lt;= 12,
        "No",
        "Yes"
    ),
    "No"
)</f>
        <v>Yes</v>
      </c>
      <c r="W163" s="6" t="str" cm="1">
        <f t="array" ref="W163">IFERROR(
    IF(
        MATCH(2,1/((Y163:BF163&lt;&gt;0)*(Y163:BF163&lt;&gt;"")))-MATCH(1,INDEX((Y163:BF163&lt;&gt;0)*(Y163:BF163&lt;&gt;""),0),0)+1 &lt;= 24,
        "No",
        "Yes"
    ),
    "No"
)</f>
        <v>Yes</v>
      </c>
      <c r="Y163" s="8">
        <v>452</v>
      </c>
      <c r="Z163" s="8">
        <v>452</v>
      </c>
      <c r="AA163" s="8">
        <v>452</v>
      </c>
      <c r="AB163" s="8">
        <v>512</v>
      </c>
      <c r="AC163" s="8">
        <v>512</v>
      </c>
      <c r="AD163" s="8">
        <v>512</v>
      </c>
      <c r="AE163" s="8">
        <v>528</v>
      </c>
      <c r="AF163" s="8">
        <v>528</v>
      </c>
      <c r="AG163" s="8">
        <v>528</v>
      </c>
      <c r="AH163" s="8">
        <v>548.5</v>
      </c>
      <c r="AI163" s="8">
        <v>548.5</v>
      </c>
      <c r="AJ163" s="8">
        <v>548.5</v>
      </c>
      <c r="AK163" s="8">
        <v>548.5</v>
      </c>
      <c r="AL163" s="8">
        <v>588.5</v>
      </c>
      <c r="AM163" s="8">
        <v>588.5</v>
      </c>
      <c r="AN163" s="8">
        <v>594.5</v>
      </c>
      <c r="AO163" s="8">
        <v>594.5</v>
      </c>
      <c r="AP163" s="8">
        <v>622.99</v>
      </c>
      <c r="AQ163" s="8">
        <v>622.99</v>
      </c>
      <c r="AR163" s="8">
        <v>622.99</v>
      </c>
      <c r="AS163" s="8">
        <v>623.99</v>
      </c>
      <c r="AT163" s="8">
        <v>623.99</v>
      </c>
      <c r="AU163" s="8">
        <v>623.99</v>
      </c>
      <c r="AV163" s="8">
        <v>623.99</v>
      </c>
      <c r="AW163" s="8">
        <v>623.99</v>
      </c>
      <c r="AX163" s="8">
        <v>623.99</v>
      </c>
      <c r="AY163" s="8">
        <v>623.99</v>
      </c>
      <c r="AZ163" s="8">
        <v>623.99</v>
      </c>
      <c r="BA163" s="8">
        <v>633.35</v>
      </c>
      <c r="BB163" s="8">
        <v>633.35</v>
      </c>
      <c r="BC163" s="8">
        <v>633.35</v>
      </c>
      <c r="BD163" s="8">
        <v>635.35</v>
      </c>
      <c r="BE163" s="8">
        <v>634.35</v>
      </c>
      <c r="BF163" s="8">
        <v>634.35</v>
      </c>
      <c r="BH163" s="8">
        <f t="shared" si="31"/>
        <v>6121.5</v>
      </c>
      <c r="BI163" s="8">
        <f t="shared" si="32"/>
        <v>7279.4299999999985</v>
      </c>
      <c r="BJ163" s="8">
        <f t="shared" si="33"/>
        <v>6300.0600000000013</v>
      </c>
    </row>
    <row r="164" spans="1:62" x14ac:dyDescent="0.25">
      <c r="A164" s="9" t="s">
        <v>459</v>
      </c>
      <c r="B164" s="9" t="s">
        <v>644</v>
      </c>
      <c r="C164" s="10">
        <f>VLOOKUP(A164,'[2]Revenue_Engine_2025 Oct.25'!$C$14:G$3937,5,0)</f>
        <v>45637</v>
      </c>
      <c r="D164" s="6" cm="1">
        <f t="array" ref="D164">_xlfn.LET(
  _xlpm.aralık, Y164:BF164,
  _xlpm.ilk, MATCH(TRUE, _xlpm.aralık&lt;&gt;0, 0),
  _xlpm.son, MIN(_xlpm.ilk+2, COLUMNS(_xlpm.aralık)),
  MAX(INDEX(_xlpm.aralık, _xlpm.ilk):INDEX(_xlpm.aralık, _xlpm.son))
)</f>
        <v>619.98871399999996</v>
      </c>
      <c r="E164" s="6">
        <f t="shared" si="26"/>
        <v>0</v>
      </c>
      <c r="F164" s="6">
        <f t="shared" si="27"/>
        <v>0</v>
      </c>
      <c r="G164" s="6">
        <f t="shared" si="34"/>
        <v>619.98871399999996</v>
      </c>
      <c r="H164" s="7">
        <f t="shared" si="28"/>
        <v>-1</v>
      </c>
      <c r="I164" s="7">
        <f t="shared" si="29"/>
        <v>-1</v>
      </c>
      <c r="J164" s="7" t="e">
        <f t="shared" si="30"/>
        <v>#DIV/0!</v>
      </c>
      <c r="K164" s="7">
        <f t="shared" si="35"/>
        <v>0</v>
      </c>
      <c r="L164" s="5" t="s">
        <v>416</v>
      </c>
      <c r="M164" s="7">
        <f>IF(R164="",(VLOOKUP(A164,[1]Export!$B$2:$H$680,7,0)),"CHURN")</f>
        <v>0.24873792783266699</v>
      </c>
      <c r="N164" s="5">
        <f t="shared" si="36"/>
        <v>465.77400599999993</v>
      </c>
      <c r="O164" s="5">
        <f t="shared" si="37"/>
        <v>0</v>
      </c>
      <c r="P164" s="5">
        <f t="shared" si="38"/>
        <v>0</v>
      </c>
      <c r="Q164" s="5" t="s">
        <v>430</v>
      </c>
      <c r="T164" s="6" t="str" cm="1">
        <f t="array" ref="T164">IF(R164&lt;&gt;"Churn","",
 _xlfn.LET(
   _xlpm.rng,Y164:BF164,
   _xlpm.pos,MAX(IF((_xlpm.rng&lt;&gt;0)*(_xlpm.rng&lt;&gt;""),COLUMN(_xlpm.rng)-COLUMN(Y164)+1)),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4" s="6" t="str" cm="1">
        <f t="array" ref="U164">IF(R164="Churn",
   MAX(IF((Y164:BF164&lt;&gt;"")*(Y164:BF164&lt;&gt;0), COLUMN(Y164:BF164)-COLUMN(Y164)+1))
   -MATCH(1, --((Y164:BF164&lt;&gt;"")*(Y164:BF164&lt;&gt;0)), 0)
   +1,
"")</f>
        <v/>
      </c>
      <c r="V164" s="6" t="str" cm="1">
        <f t="array" ref="V164">IFERROR(
    IF(
        MATCH(2,1/((Y164:BF164&lt;&gt;0)*(Y164:BF164&lt;&gt;"")))-MATCH(1,INDEX((Y164:BF164&lt;&gt;0)*(Y164:BF164&lt;&gt;""),0),0)+1 &lt;= 12,
        "No",
        "Yes"
    ),
    "No"
)</f>
        <v>No</v>
      </c>
      <c r="W164" s="6" t="str" cm="1">
        <f t="array" ref="W164">IFERROR(
    IF(
        MATCH(2,1/((Y164:BF164&lt;&gt;0)*(Y164:BF164&lt;&gt;"")))-MATCH(1,INDEX((Y164:BF164&lt;&gt;0)*(Y164:BF164&lt;&gt;""),0),0)+1 &lt;= 24,
        "No",
        "Yes"
    ),
    "No"
)</f>
        <v>No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599.98871399999996</v>
      </c>
      <c r="AX164" s="8">
        <v>619.98871399999996</v>
      </c>
      <c r="AY164" s="8">
        <v>619.98871399999996</v>
      </c>
      <c r="AZ164" s="8">
        <v>619.98871399999996</v>
      </c>
      <c r="BA164" s="8">
        <v>619.98871399999996</v>
      </c>
      <c r="BB164" s="8">
        <v>619.98871399999996</v>
      </c>
      <c r="BC164" s="8">
        <v>619.98871399999996</v>
      </c>
      <c r="BD164" s="8">
        <v>619.98871399999996</v>
      </c>
      <c r="BE164" s="8">
        <v>619.98871399999996</v>
      </c>
      <c r="BF164" s="8">
        <v>619.98871399999996</v>
      </c>
      <c r="BH164" s="8">
        <f t="shared" si="31"/>
        <v>0</v>
      </c>
      <c r="BI164" s="8">
        <f t="shared" si="32"/>
        <v>0</v>
      </c>
      <c r="BJ164" s="8">
        <f t="shared" si="33"/>
        <v>6179.8871399999998</v>
      </c>
    </row>
    <row r="165" spans="1:62" x14ac:dyDescent="0.25">
      <c r="A165" s="9" t="s">
        <v>289</v>
      </c>
      <c r="B165" s="9" t="s">
        <v>644</v>
      </c>
      <c r="C165" s="10">
        <f>VLOOKUP(A165,'[2]Revenue_Engine_2025 Oct.25'!$C$14:G$3937,5,0)</f>
        <v>45412</v>
      </c>
      <c r="D165" s="6" cm="1">
        <f t="array" ref="D165">_xlfn.LET(
  _xlpm.aralık, Y165:BF165,
  _xlpm.ilk, MATCH(TRUE, _xlpm.aralık&lt;&gt;0, 0),
  _xlpm.son, MIN(_xlpm.ilk+2, COLUMNS(_xlpm.aralık)),
  MAX(INDEX(_xlpm.aralık, _xlpm.ilk):INDEX(_xlpm.aralık, _xlpm.son))
)</f>
        <v>434.88402578240272</v>
      </c>
      <c r="E165" s="6">
        <f t="shared" si="26"/>
        <v>678.48224833141728</v>
      </c>
      <c r="F165" s="6">
        <f t="shared" si="27"/>
        <v>0</v>
      </c>
      <c r="G165" s="6">
        <f t="shared" si="34"/>
        <v>618.07522560111966</v>
      </c>
      <c r="H165" s="7">
        <f t="shared" si="28"/>
        <v>0.56014525277343863</v>
      </c>
      <c r="I165" s="7">
        <f t="shared" si="29"/>
        <v>-1</v>
      </c>
      <c r="J165" s="7">
        <f t="shared" si="30"/>
        <v>-1</v>
      </c>
      <c r="K165" s="7">
        <f t="shared" si="35"/>
        <v>0.42124150108557434</v>
      </c>
      <c r="L165" s="5" t="s">
        <v>421</v>
      </c>
      <c r="M165" s="7">
        <f>IF(R165="",(VLOOKUP(A165,[1]Export!$B$2:$H$680,7,0)),"CHURN")</f>
        <v>0.42453598529936371</v>
      </c>
      <c r="N165" s="5">
        <f t="shared" si="36"/>
        <v>355.68005071142176</v>
      </c>
      <c r="O165" s="5">
        <f t="shared" si="37"/>
        <v>390.44211852791142</v>
      </c>
      <c r="P165" s="5">
        <f t="shared" si="38"/>
        <v>0</v>
      </c>
      <c r="Q165" s="5" t="s">
        <v>430</v>
      </c>
      <c r="T165" s="6" t="str" cm="1">
        <f t="array" ref="T165">IF(R165&lt;&gt;"Churn","",
 _xlfn.LET(
   _xlpm.rng,Y165:BF165,
   _xlpm.pos,MAX(IF((_xlpm.rng&lt;&gt;0)*(_xlpm.rng&lt;&gt;""),COLUMN(_xlpm.rng)-COLUMN(Y165)+1)),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5" s="6" t="str" cm="1">
        <f t="array" ref="U165">IF(R165="Churn",
   MAX(IF((Y165:BF165&lt;&gt;"")*(Y165:BF165&lt;&gt;0), COLUMN(Y165:BF165)-COLUMN(Y165)+1))
   -MATCH(1, --((Y165:BF165&lt;&gt;"")*(Y165:BF165&lt;&gt;0)), 0)
   +1,
"")</f>
        <v/>
      </c>
      <c r="V165" s="6" t="str" cm="1">
        <f t="array" ref="V165">IFERROR(
    IF(
        MATCH(2,1/((Y165:BF165&lt;&gt;0)*(Y165:BF165&lt;&gt;"")))-MATCH(1,INDEX((Y165:BF165&lt;&gt;0)*(Y165:BF165&lt;&gt;""),0),0)+1 &lt;= 12,
        "No",
        "Yes"
    ),
    "No"
)</f>
        <v>Yes</v>
      </c>
      <c r="W165" s="6" t="str" cm="1">
        <f t="array" ref="W165">IFERROR(
    IF(
        MATCH(2,1/((Y165:BF165&lt;&gt;0)*(Y165:BF165&lt;&gt;"")))-MATCH(1,INDEX((Y165:BF165&lt;&gt;0)*(Y165:BF165&lt;&gt;""),0),0)+1 &lt;= 24,
        "No",
        "Yes"
    ),
    "No"
)</f>
        <v>No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434.25272881235014</v>
      </c>
      <c r="AO165" s="8">
        <v>434.88402578240272</v>
      </c>
      <c r="AP165" s="8">
        <v>431.20188250368068</v>
      </c>
      <c r="AQ165" s="8">
        <v>426.20697213520498</v>
      </c>
      <c r="AR165" s="8">
        <v>417.0316884416722</v>
      </c>
      <c r="AS165" s="8">
        <v>412.25710701602503</v>
      </c>
      <c r="AT165" s="8">
        <v>409.70784912220125</v>
      </c>
      <c r="AU165" s="8">
        <v>407.44945445443989</v>
      </c>
      <c r="AV165" s="8">
        <v>401.11406534719282</v>
      </c>
      <c r="AW165" s="8">
        <v>727.77040945904002</v>
      </c>
      <c r="AX165" s="8">
        <v>714.94113309437284</v>
      </c>
      <c r="AY165" s="8">
        <v>697.10406520722574</v>
      </c>
      <c r="AZ165" s="8">
        <v>678.48224833141728</v>
      </c>
      <c r="BA165" s="8">
        <v>667.10792940397425</v>
      </c>
      <c r="BB165" s="8">
        <v>655.78169470924627</v>
      </c>
      <c r="BC165" s="8">
        <v>643.16761481754884</v>
      </c>
      <c r="BD165" s="8">
        <v>633.26242672913349</v>
      </c>
      <c r="BE165" s="8">
        <v>625.59715039078606</v>
      </c>
      <c r="BF165" s="8">
        <v>618.07522560111966</v>
      </c>
      <c r="BH165" s="8">
        <f t="shared" si="31"/>
        <v>0</v>
      </c>
      <c r="BI165" s="8">
        <f t="shared" si="32"/>
        <v>3774.1057736151702</v>
      </c>
      <c r="BJ165" s="8">
        <f t="shared" si="33"/>
        <v>6661.2898977438654</v>
      </c>
    </row>
    <row r="166" spans="1:62" x14ac:dyDescent="0.25">
      <c r="A166" s="9" t="s">
        <v>286</v>
      </c>
      <c r="B166" s="9" t="s">
        <v>644</v>
      </c>
      <c r="C166" s="10">
        <f>VLOOKUP(A166,'[2]Revenue_Engine_2025 Oct.25'!$C$14:G$3937,5,0)</f>
        <v>45406</v>
      </c>
      <c r="D166" s="6" cm="1">
        <f t="array" ref="D166">_xlfn.LET(
  _xlpm.aralık, Y166:BF166,
  _xlpm.ilk, MATCH(TRUE, _xlpm.aralık&lt;&gt;0, 0),
  _xlpm.son, MIN(_xlpm.ilk+2, COLUMNS(_xlpm.aralık)),
  MAX(INDEX(_xlpm.aralık, _xlpm.ilk):INDEX(_xlpm.aralık, _xlpm.son))
)</f>
        <v>599.99999799999989</v>
      </c>
      <c r="E166" s="6">
        <f t="shared" si="26"/>
        <v>615.99999800000001</v>
      </c>
      <c r="F166" s="6">
        <f t="shared" si="27"/>
        <v>0</v>
      </c>
      <c r="G166" s="6">
        <f t="shared" si="34"/>
        <v>615.99999799999989</v>
      </c>
      <c r="H166" s="7">
        <f t="shared" si="28"/>
        <v>2.6666666755555749E-2</v>
      </c>
      <c r="I166" s="7">
        <f t="shared" si="29"/>
        <v>-1</v>
      </c>
      <c r="J166" s="7">
        <f t="shared" si="30"/>
        <v>-1</v>
      </c>
      <c r="K166" s="7">
        <f t="shared" si="35"/>
        <v>2.6666666755555561E-2</v>
      </c>
      <c r="L166" s="5" t="s">
        <v>419</v>
      </c>
      <c r="M166" s="7">
        <f>IF(R166="",(VLOOKUP(A166,[1]Export!$B$2:$H$680,7,0)),"CHURN")</f>
        <v>0.20292207858091585</v>
      </c>
      <c r="N166" s="5">
        <f t="shared" si="36"/>
        <v>490.99999799999995</v>
      </c>
      <c r="O166" s="5">
        <f t="shared" si="37"/>
        <v>490.99999800000001</v>
      </c>
      <c r="P166" s="5">
        <f t="shared" si="38"/>
        <v>0</v>
      </c>
      <c r="Q166" s="5" t="s">
        <v>430</v>
      </c>
      <c r="T166" s="6" t="str" cm="1">
        <f t="array" ref="T166">IF(R166&lt;&gt;"Churn","",
 _xlfn.LET(
   _xlpm.rng,Y166:BF166,
   _xlpm.pos,MAX(IF((_xlpm.rng&lt;&gt;0)*(_xlpm.rng&lt;&gt;""),COLUMN(_xlpm.rng)-COLUMN(Y166)+1)),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6" s="6" t="str" cm="1">
        <f t="array" ref="U166">IF(R166="Churn",
   MAX(IF((Y166:BF166&lt;&gt;"")*(Y166:BF166&lt;&gt;0), COLUMN(Y166:BF166)-COLUMN(Y166)+1))
   -MATCH(1, --((Y166:BF166&lt;&gt;"")*(Y166:BF166&lt;&gt;0)), 0)
   +1,
"")</f>
        <v/>
      </c>
      <c r="V166" s="6" t="str" cm="1">
        <f t="array" ref="V166">IFERROR(
    IF(
        MATCH(2,1/((Y166:BF166&lt;&gt;0)*(Y166:BF166&lt;&gt;"")))-MATCH(1,INDEX((Y166:BF166&lt;&gt;0)*(Y166:BF166&lt;&gt;""),0),0)+1 &lt;= 12,
        "No",
        "Yes"
    ),
    "No"
)</f>
        <v>Yes</v>
      </c>
      <c r="W166" s="6" t="str" cm="1">
        <f t="array" ref="W166">IFERROR(
    IF(
        MATCH(2,1/((Y166:BF166&lt;&gt;0)*(Y166:BF166&lt;&gt;"")))-MATCH(1,INDEX((Y166:BF166&lt;&gt;0)*(Y166:BF166&lt;&gt;""),0),0)+1 &lt;= 24,
        "No",
        "Yes"
    ),
    "No"
)</f>
        <v>No</v>
      </c>
      <c r="X166" s="6"/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599.99999799999989</v>
      </c>
      <c r="AP166" s="8">
        <v>599.99999799999989</v>
      </c>
      <c r="AQ166" s="8">
        <v>599.99999799999989</v>
      </c>
      <c r="AR166" s="8">
        <v>599.99999799999989</v>
      </c>
      <c r="AS166" s="8">
        <v>599.99999799999989</v>
      </c>
      <c r="AT166" s="8">
        <v>599.99999799999989</v>
      </c>
      <c r="AU166" s="8">
        <v>599.99999799999989</v>
      </c>
      <c r="AV166" s="8">
        <v>599.99999799999989</v>
      </c>
      <c r="AW166" s="8">
        <v>615.99999799999989</v>
      </c>
      <c r="AX166" s="8">
        <v>615.99999799999989</v>
      </c>
      <c r="AY166" s="8">
        <v>615.99999799999989</v>
      </c>
      <c r="AZ166" s="8">
        <v>615.99999800000001</v>
      </c>
      <c r="BA166" s="8">
        <v>615.99999799999989</v>
      </c>
      <c r="BB166" s="8">
        <v>615.99999799999989</v>
      </c>
      <c r="BC166" s="8">
        <v>615.99999799999989</v>
      </c>
      <c r="BD166" s="8">
        <v>615.99999799999989</v>
      </c>
      <c r="BE166" s="8">
        <v>615.99999799999989</v>
      </c>
      <c r="BF166" s="8">
        <v>615.99999799999989</v>
      </c>
      <c r="BH166" s="8">
        <f t="shared" si="31"/>
        <v>0</v>
      </c>
      <c r="BI166" s="8">
        <f t="shared" si="32"/>
        <v>4799.9999839999991</v>
      </c>
      <c r="BJ166" s="8">
        <f t="shared" si="33"/>
        <v>6159.9999800000005</v>
      </c>
    </row>
    <row r="167" spans="1:62" x14ac:dyDescent="0.25">
      <c r="A167" s="9" t="s">
        <v>460</v>
      </c>
      <c r="B167" s="9" t="s">
        <v>643</v>
      </c>
      <c r="C167" s="10">
        <f>VLOOKUP(A167,'[2]Revenue_Engine_2025 Oct.25'!$C$14:G$3937,5,0)</f>
        <v>45544</v>
      </c>
      <c r="D167" s="6" cm="1">
        <f t="array" ref="D167">_xlfn.LET(
  _xlpm.aralık, Y167:BF167,
  _xlpm.ilk, MATCH(TRUE, _xlpm.aralık&lt;&gt;0, 0),
  _xlpm.son, MIN(_xlpm.ilk+2, COLUMNS(_xlpm.aralık)),
  MAX(INDEX(_xlpm.aralık, _xlpm.ilk):INDEX(_xlpm.aralık, _xlpm.son))
)</f>
        <v>499.99999999999994</v>
      </c>
      <c r="E167" s="6">
        <f t="shared" si="26"/>
        <v>609.99999999999989</v>
      </c>
      <c r="F167" s="6">
        <f t="shared" si="27"/>
        <v>0</v>
      </c>
      <c r="G167" s="6">
        <f t="shared" si="34"/>
        <v>609.99999999999989</v>
      </c>
      <c r="H167" s="7">
        <f t="shared" si="28"/>
        <v>0.21999999999999992</v>
      </c>
      <c r="I167" s="7">
        <f t="shared" si="29"/>
        <v>-1</v>
      </c>
      <c r="J167" s="7">
        <f t="shared" si="30"/>
        <v>-1</v>
      </c>
      <c r="K167" s="7">
        <f t="shared" si="35"/>
        <v>0.21999999999999992</v>
      </c>
      <c r="L167" s="5" t="s">
        <v>416</v>
      </c>
      <c r="M167" s="7">
        <f>IF(R167="",(VLOOKUP(A167,[1]Export!$B$2:$H$680,7,0)),"CHURN")</f>
        <v>5.3340000000000005E-2</v>
      </c>
      <c r="N167" s="5">
        <f t="shared" si="36"/>
        <v>577.46259999999984</v>
      </c>
      <c r="O167" s="5">
        <f t="shared" si="37"/>
        <v>577.46259999999984</v>
      </c>
      <c r="P167" s="5">
        <f t="shared" si="38"/>
        <v>0</v>
      </c>
      <c r="Q167" s="5" t="s">
        <v>430</v>
      </c>
      <c r="T167" s="6" t="str" cm="1">
        <f t="array" ref="T167">IF(R167&lt;&gt;"Churn","",
 _xlfn.LET(
   _xlpm.rng,Y167:BF167,
   _xlpm.pos,MAX(IF((_xlpm.rng&lt;&gt;0)*(_xlpm.rng&lt;&gt;""),COLUMN(_xlpm.rng)-COLUMN(Y167)+1)),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7" s="6" t="str" cm="1">
        <f t="array" ref="U167">IF(R167="Churn",
   MAX(IF((Y167:BF167&lt;&gt;"")*(Y167:BF167&lt;&gt;0), COLUMN(Y167:BF167)-COLUMN(Y167)+1))
   -MATCH(1, --((Y167:BF167&lt;&gt;"")*(Y167:BF167&lt;&gt;0)), 0)
   +1,
"")</f>
        <v/>
      </c>
      <c r="V167" s="6" t="str" cm="1">
        <f t="array" ref="V167">IFERROR(
    IF(
        MATCH(2,1/((Y167:BF167&lt;&gt;0)*(Y167:BF167&lt;&gt;"")))-MATCH(1,INDEX((Y167:BF167&lt;&gt;0)*(Y167:BF167&lt;&gt;""),0),0)+1 &lt;= 12,
        "No",
        "Yes"
    ),
    "No"
)</f>
        <v>Yes</v>
      </c>
      <c r="W167" s="6" t="str" cm="1">
        <f t="array" ref="W167">IFERROR(
    IF(
        MATCH(2,1/((Y167:BF167&lt;&gt;0)*(Y167:BF167&lt;&gt;"")))-MATCH(1,INDEX((Y167:BF167&lt;&gt;0)*(Y167:BF167&lt;&gt;""),0),0)+1 &lt;= 24,
        "No",
        "Yes"
    ),
    "No"
)</f>
        <v>No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499.99999999999994</v>
      </c>
      <c r="AU167" s="8">
        <v>499.99999999999994</v>
      </c>
      <c r="AV167" s="8">
        <v>499.99999999999994</v>
      </c>
      <c r="AW167" s="8">
        <v>499.99999999999994</v>
      </c>
      <c r="AX167" s="8">
        <v>499.99999999999994</v>
      </c>
      <c r="AY167" s="8">
        <v>499.99999999999994</v>
      </c>
      <c r="AZ167" s="8">
        <v>500.00000000000006</v>
      </c>
      <c r="BA167" s="8">
        <v>499.99999999999994</v>
      </c>
      <c r="BB167" s="8">
        <v>499.99999999999994</v>
      </c>
      <c r="BC167" s="8">
        <v>499.99999999999994</v>
      </c>
      <c r="BD167" s="8">
        <v>609.99999999999989</v>
      </c>
      <c r="BE167" s="8">
        <v>609.99999999999989</v>
      </c>
      <c r="BF167" s="8">
        <v>609.99999999999989</v>
      </c>
      <c r="BH167" s="8">
        <f t="shared" si="31"/>
        <v>0</v>
      </c>
      <c r="BI167" s="8">
        <f t="shared" si="32"/>
        <v>1499.9999999999998</v>
      </c>
      <c r="BJ167" s="8">
        <f t="shared" si="33"/>
        <v>5329.9999999999991</v>
      </c>
    </row>
    <row r="168" spans="1:62" x14ac:dyDescent="0.25">
      <c r="A168" s="9" t="s">
        <v>461</v>
      </c>
      <c r="B168" s="9" t="s">
        <v>644</v>
      </c>
      <c r="C168" s="10">
        <f>VLOOKUP(A168,'[2]Revenue_Engine_2025 Oct.25'!$C$14:G$3937,5,0)</f>
        <v>45839</v>
      </c>
      <c r="D168" s="6" cm="1">
        <f t="array" ref="D168">_xlfn.LET(
  _xlpm.aralık, Y168:BF168,
  _xlpm.ilk, MATCH(TRUE, _xlpm.aralık&lt;&gt;0, 0),
  _xlpm.son, MIN(_xlpm.ilk+2, COLUMNS(_xlpm.aralık)),
  MAX(INDEX(_xlpm.aralık, _xlpm.ilk):INDEX(_xlpm.aralık, _xlpm.son))
)</f>
        <v>607.5</v>
      </c>
      <c r="E168" s="6">
        <f t="shared" si="26"/>
        <v>0</v>
      </c>
      <c r="F168" s="6">
        <f t="shared" si="27"/>
        <v>0</v>
      </c>
      <c r="G168" s="6">
        <f t="shared" si="34"/>
        <v>607.5</v>
      </c>
      <c r="H168" s="7">
        <f t="shared" si="28"/>
        <v>-1</v>
      </c>
      <c r="I168" s="7">
        <f t="shared" si="29"/>
        <v>-1</v>
      </c>
      <c r="J168" s="7" t="e">
        <f t="shared" si="30"/>
        <v>#DIV/0!</v>
      </c>
      <c r="K168" s="7">
        <f t="shared" si="35"/>
        <v>0</v>
      </c>
      <c r="L168" s="5" t="s">
        <v>414</v>
      </c>
      <c r="M168" s="7">
        <f>IF(R168="",(VLOOKUP(A168,[1]Export!$B$2:$H$680,7,0)),"CHURN")</f>
        <v>0.39613168724279829</v>
      </c>
      <c r="N168" s="5">
        <f t="shared" si="36"/>
        <v>366.85000000000008</v>
      </c>
      <c r="O168" s="5">
        <f t="shared" si="37"/>
        <v>0</v>
      </c>
      <c r="P168" s="5">
        <f t="shared" si="38"/>
        <v>0</v>
      </c>
      <c r="Q168" s="5" t="s">
        <v>430</v>
      </c>
      <c r="T168" s="6" t="str" cm="1">
        <f t="array" ref="T168">IF(R168&lt;&gt;"Churn","",
 _xlfn.LET(
   _xlpm.rng,Y168:BF168,
   _xlpm.pos,MAX(IF((_xlpm.rng&lt;&gt;0)*(_xlpm.rng&lt;&gt;""),COLUMN(_xlpm.rng)-COLUMN(Y168)+1)),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8" s="6" t="str" cm="1">
        <f t="array" ref="U168">IF(R168="Churn",
   MAX(IF((Y168:BF168&lt;&gt;"")*(Y168:BF168&lt;&gt;0), COLUMN(Y168:BF168)-COLUMN(Y168)+1))
   -MATCH(1, --((Y168:BF168&lt;&gt;"")*(Y168:BF168&lt;&gt;0)), 0)
   +1,
"")</f>
        <v/>
      </c>
      <c r="V168" s="6" t="str" cm="1">
        <f t="array" ref="V168">IFERROR(
    IF(
        MATCH(2,1/((Y168:BF168&lt;&gt;0)*(Y168:BF168&lt;&gt;"")))-MATCH(1,INDEX((Y168:BF168&lt;&gt;0)*(Y168:BF168&lt;&gt;""),0),0)+1 &lt;= 12,
        "No",
        "Yes"
    ),
    "No"
)</f>
        <v>No</v>
      </c>
      <c r="W168" s="6" t="str" cm="1">
        <f t="array" ref="W168">IFERROR(
    IF(
        MATCH(2,1/((Y168:BF168&lt;&gt;0)*(Y168:BF168&lt;&gt;"")))-MATCH(1,INDEX((Y168:BF168&lt;&gt;0)*(Y168:BF168&lt;&gt;""),0),0)+1 &lt;= 24,
        "No",
        "Yes"
    ),
    "No"
)</f>
        <v>No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607.5</v>
      </c>
      <c r="BD168" s="8">
        <v>607.5</v>
      </c>
      <c r="BE168" s="8">
        <v>607.5</v>
      </c>
      <c r="BF168" s="8">
        <v>607.5</v>
      </c>
      <c r="BH168" s="8">
        <f t="shared" si="31"/>
        <v>0</v>
      </c>
      <c r="BI168" s="8">
        <f t="shared" si="32"/>
        <v>0</v>
      </c>
      <c r="BJ168" s="8">
        <f t="shared" si="33"/>
        <v>2430</v>
      </c>
    </row>
    <row r="169" spans="1:62" x14ac:dyDescent="0.25">
      <c r="A169" s="9" t="s">
        <v>65</v>
      </c>
      <c r="B169" s="9" t="s">
        <v>644</v>
      </c>
      <c r="C169" s="10">
        <v>44927</v>
      </c>
      <c r="D169" s="6" cm="1">
        <f t="array" ref="D169">_xlfn.LET(
  _xlpm.aralık, Y169:BF169,
  _xlpm.ilk, MATCH(TRUE, _xlpm.aralık&lt;&gt;0, 0),
  _xlpm.son, MIN(_xlpm.ilk+2, COLUMNS(_xlpm.aralık)),
  MAX(INDEX(_xlpm.aralık, _xlpm.ilk):INDEX(_xlpm.aralık, _xlpm.son))
)</f>
        <v>795.61452241897859</v>
      </c>
      <c r="E169" s="6">
        <f t="shared" si="26"/>
        <v>759.7996755015688</v>
      </c>
      <c r="F169" s="6">
        <f t="shared" si="27"/>
        <v>619.25372664164581</v>
      </c>
      <c r="G169" s="6">
        <f t="shared" si="34"/>
        <v>603.30449940045798</v>
      </c>
      <c r="H169" s="7">
        <f t="shared" si="28"/>
        <v>-4.5015325774243893E-2</v>
      </c>
      <c r="I169" s="7">
        <f t="shared" si="29"/>
        <v>-0.22166613455109788</v>
      </c>
      <c r="J169" s="7">
        <f t="shared" si="30"/>
        <v>-0.18497763738467507</v>
      </c>
      <c r="K169" s="7">
        <f t="shared" si="35"/>
        <v>-0.24171256003953159</v>
      </c>
      <c r="L169" s="5" t="s">
        <v>421</v>
      </c>
      <c r="M169" s="7">
        <f>IF(R169="",(VLOOKUP(A169,[1]Export!$B$2:$H$680,7,0)),"CHURN")</f>
        <v>0.53619337043435167</v>
      </c>
      <c r="N169" s="5">
        <f t="shared" si="36"/>
        <v>279.81662646871712</v>
      </c>
      <c r="O169" s="5">
        <f t="shared" si="37"/>
        <v>352.40012663945595</v>
      </c>
      <c r="P169" s="5">
        <f t="shared" si="38"/>
        <v>287.21398379962909</v>
      </c>
      <c r="Q169" s="5" t="s">
        <v>430</v>
      </c>
      <c r="T169" s="6" t="str" cm="1">
        <f t="array" ref="T169">IF(R169&lt;&gt;"Churn","",
 _xlfn.LET(
   _xlpm.rng,Y169:BF169,
   _xlpm.pos,MAX(IF((_xlpm.rng&lt;&gt;0)*(_xlpm.rng&lt;&gt;""),COLUMN(_xlpm.rng)-COLUMN(Y169)+1)),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69" s="6" t="str" cm="1">
        <f t="array" ref="U169">IF(R169="Churn",
   MAX(IF((Y169:BF169&lt;&gt;"")*(Y169:BF169&lt;&gt;0), COLUMN(Y169:BF169)-COLUMN(Y169)+1))
   -MATCH(1, --((Y169:BF169&lt;&gt;"")*(Y169:BF169&lt;&gt;0)), 0)
   +1,
"")</f>
        <v/>
      </c>
      <c r="V169" s="6" t="str" cm="1">
        <f t="array" ref="V169">IFERROR(
    IF(
        MATCH(2,1/((Y169:BF169&lt;&gt;0)*(Y169:BF169&lt;&gt;"")))-MATCH(1,INDEX((Y169:BF169&lt;&gt;0)*(Y169:BF169&lt;&gt;""),0),0)+1 &lt;= 12,
        "No",
        "Yes"
    ),
    "No"
)</f>
        <v>Yes</v>
      </c>
      <c r="W169" s="6" t="str" cm="1">
        <f t="array" ref="W169">IFERROR(
    IF(
        MATCH(2,1/((Y169:BF169&lt;&gt;0)*(Y169:BF169&lt;&gt;"")))-MATCH(1,INDEX((Y169:BF169&lt;&gt;0)*(Y169:BF169&lt;&gt;""),0),0)+1 &lt;= 24,
        "No",
        "Yes"
    ),
    "No"
)</f>
        <v>Yes</v>
      </c>
      <c r="Y169" s="8">
        <v>681.98689643606656</v>
      </c>
      <c r="Z169" s="8">
        <v>681.41967142042563</v>
      </c>
      <c r="AA169" s="8">
        <v>795.61452241897859</v>
      </c>
      <c r="AB169" s="8">
        <v>790.68927002346402</v>
      </c>
      <c r="AC169" s="8">
        <v>785.86651745667166</v>
      </c>
      <c r="AD169" s="8">
        <v>744.81252058334178</v>
      </c>
      <c r="AE169" s="8">
        <v>785.52487090562045</v>
      </c>
      <c r="AF169" s="8">
        <v>780.48165752035152</v>
      </c>
      <c r="AG169" s="8">
        <v>790.56017016032342</v>
      </c>
      <c r="AH169" s="8">
        <v>782.45397169307989</v>
      </c>
      <c r="AI169" s="8">
        <v>775.4368943669117</v>
      </c>
      <c r="AJ169" s="8">
        <v>771.57471601808834</v>
      </c>
      <c r="AK169" s="8">
        <v>759.7996755015688</v>
      </c>
      <c r="AL169" s="8">
        <v>754.37164717456881</v>
      </c>
      <c r="AM169" s="8">
        <v>872.45841253579465</v>
      </c>
      <c r="AN169" s="8">
        <v>873.98342144525475</v>
      </c>
      <c r="AO169" s="8">
        <v>886.98558238720193</v>
      </c>
      <c r="AP169" s="8">
        <v>884.05664620511652</v>
      </c>
      <c r="AQ169" s="8">
        <v>881.08347824366251</v>
      </c>
      <c r="AR169" s="8">
        <v>877.78506035042574</v>
      </c>
      <c r="AS169" s="8">
        <v>873.98715156922685</v>
      </c>
      <c r="AT169" s="8">
        <v>871.95936147049963</v>
      </c>
      <c r="AU169" s="8">
        <v>870.16293657468987</v>
      </c>
      <c r="AV169" s="8">
        <v>624.06349378846403</v>
      </c>
      <c r="AW169" s="8">
        <v>619.25372664164581</v>
      </c>
      <c r="AX169" s="8">
        <v>613.71400167438719</v>
      </c>
      <c r="AY169" s="8">
        <v>702.72709948940292</v>
      </c>
      <c r="AZ169" s="8">
        <v>688.10257212986664</v>
      </c>
      <c r="BA169" s="8">
        <v>630.11304624489776</v>
      </c>
      <c r="BB169" s="8">
        <v>624.81762109758063</v>
      </c>
      <c r="BC169" s="8">
        <v>617.62075959805543</v>
      </c>
      <c r="BD169" s="8">
        <v>611.9694344589152</v>
      </c>
      <c r="BE169" s="8">
        <v>607.59607289498661</v>
      </c>
      <c r="BF169" s="8">
        <v>603.30449940045798</v>
      </c>
      <c r="BH169" s="8">
        <f t="shared" si="31"/>
        <v>9166.4216790033242</v>
      </c>
      <c r="BI169" s="8">
        <f t="shared" si="32"/>
        <v>10030.696867246474</v>
      </c>
      <c r="BJ169" s="8">
        <f t="shared" si="33"/>
        <v>6319.2188336301961</v>
      </c>
    </row>
    <row r="170" spans="1:62" x14ac:dyDescent="0.25">
      <c r="A170" s="9" t="s">
        <v>184</v>
      </c>
      <c r="B170" s="9" t="s">
        <v>644</v>
      </c>
      <c r="C170" s="10">
        <v>44927</v>
      </c>
      <c r="D170" s="6" cm="1">
        <f t="array" ref="D170">_xlfn.LET(
  _xlpm.aralık, Y170:BF170,
  _xlpm.ilk, MATCH(TRUE, _xlpm.aralık&lt;&gt;0, 0),
  _xlpm.son, MIN(_xlpm.ilk+2, COLUMNS(_xlpm.aralık)),
  MAX(INDEX(_xlpm.aralık, _xlpm.ilk):INDEX(_xlpm.aralık, _xlpm.son))
)</f>
        <v>455.82</v>
      </c>
      <c r="E170" s="6">
        <f t="shared" si="26"/>
        <v>470.85179999999997</v>
      </c>
      <c r="F170" s="6">
        <f t="shared" si="27"/>
        <v>499.05179999999996</v>
      </c>
      <c r="G170" s="6">
        <f t="shared" si="34"/>
        <v>598.22179999999992</v>
      </c>
      <c r="H170" s="7">
        <f t="shared" si="28"/>
        <v>3.2977491114913729E-2</v>
      </c>
      <c r="I170" s="7">
        <f t="shared" si="29"/>
        <v>9.4844017375279643E-2</v>
      </c>
      <c r="J170" s="7">
        <f t="shared" si="30"/>
        <v>5.9891456292616892E-2</v>
      </c>
      <c r="K170" s="7">
        <f t="shared" si="35"/>
        <v>0.31240796805756643</v>
      </c>
      <c r="L170" s="5" t="s">
        <v>412</v>
      </c>
      <c r="M170" s="7">
        <v>0.22795892760845601</v>
      </c>
      <c r="N170" s="5">
        <f t="shared" si="36"/>
        <v>461.85179999999968</v>
      </c>
      <c r="O170" s="5">
        <f t="shared" si="37"/>
        <v>363.51692860948873</v>
      </c>
      <c r="P170" s="5">
        <f t="shared" si="38"/>
        <v>385.28848685093027</v>
      </c>
      <c r="Q170" s="5" t="s">
        <v>430</v>
      </c>
      <c r="T170" s="6" t="str" cm="1">
        <f t="array" ref="T170">IF(R170&lt;&gt;"Churn","",
 _xlfn.LET(
   _xlpm.rng,Y170:BF170,
   _xlpm.pos,MAX(IF((_xlpm.rng&lt;&gt;0)*(_xlpm.rng&lt;&gt;""),COLUMN(_xlpm.rng)-COLUMN(Y170)+1)),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0" s="6" t="str" cm="1">
        <f t="array" ref="U170">IF(R170="Churn",
   MAX(IF((Y170:BF170&lt;&gt;"")*(Y170:BF170&lt;&gt;0), COLUMN(Y170:BF170)-COLUMN(Y170)+1))
   -MATCH(1, --((Y170:BF170&lt;&gt;"")*(Y170:BF170&lt;&gt;0)), 0)
   +1,
"")</f>
        <v/>
      </c>
      <c r="V170" s="6" t="str" cm="1">
        <f t="array" ref="V170">IFERROR(
    IF(
        MATCH(2,1/((Y170:BF170&lt;&gt;0)*(Y170:BF170&lt;&gt;"")))-MATCH(1,INDEX((Y170:BF170&lt;&gt;0)*(Y170:BF170&lt;&gt;""),0),0)+1 &lt;= 12,
        "No",
        "Yes"
    ),
    "No"
)</f>
        <v>Yes</v>
      </c>
      <c r="W170" s="6" t="str" cm="1">
        <f t="array" ref="W170">IFERROR(
    IF(
        MATCH(2,1/((Y170:BF170&lt;&gt;0)*(Y170:BF170&lt;&gt;"")))-MATCH(1,INDEX((Y170:BF170&lt;&gt;0)*(Y170:BF170&lt;&gt;""),0),0)+1 &lt;= 24,
        "No",
        "Yes"
    ),
    "No"
)</f>
        <v>Yes</v>
      </c>
      <c r="X170" s="6"/>
      <c r="Y170" s="8">
        <v>449.94</v>
      </c>
      <c r="Z170" s="8">
        <v>449.94</v>
      </c>
      <c r="AA170" s="8">
        <v>455.82</v>
      </c>
      <c r="AB170" s="8">
        <v>455.82</v>
      </c>
      <c r="AC170" s="8">
        <v>455.83179999999993</v>
      </c>
      <c r="AD170" s="8">
        <v>455.83179999999993</v>
      </c>
      <c r="AE170" s="8">
        <v>455.83179999999993</v>
      </c>
      <c r="AF170" s="8">
        <v>464.83179999999993</v>
      </c>
      <c r="AG170" s="8">
        <v>470.85179999999997</v>
      </c>
      <c r="AH170" s="8">
        <v>470.85179999999997</v>
      </c>
      <c r="AI170" s="8">
        <v>470.85179999999997</v>
      </c>
      <c r="AJ170" s="8">
        <v>470.85179999999997</v>
      </c>
      <c r="AK170" s="8">
        <v>470.85179999999997</v>
      </c>
      <c r="AL170" s="8">
        <v>470.85179999999997</v>
      </c>
      <c r="AM170" s="8">
        <v>470.85179999999997</v>
      </c>
      <c r="AN170" s="8">
        <v>470.85179999999997</v>
      </c>
      <c r="AO170" s="8">
        <v>499.05179999999996</v>
      </c>
      <c r="AP170" s="8">
        <v>499.05179999999996</v>
      </c>
      <c r="AQ170" s="8">
        <v>499.05179999999996</v>
      </c>
      <c r="AR170" s="8">
        <v>499.05179999999996</v>
      </c>
      <c r="AS170" s="8">
        <v>499.05179999999996</v>
      </c>
      <c r="AT170" s="8">
        <v>499.05179999999996</v>
      </c>
      <c r="AU170" s="8">
        <v>499.05179999999996</v>
      </c>
      <c r="AV170" s="8">
        <v>499.05179999999996</v>
      </c>
      <c r="AW170" s="8">
        <v>499.05179999999996</v>
      </c>
      <c r="AX170" s="8">
        <v>499.05179999999996</v>
      </c>
      <c r="AY170" s="8">
        <v>598.22179999999992</v>
      </c>
      <c r="AZ170" s="8">
        <v>598.22179999999992</v>
      </c>
      <c r="BA170" s="8">
        <v>598.22179999999992</v>
      </c>
      <c r="BB170" s="8">
        <v>598.22179999999992</v>
      </c>
      <c r="BC170" s="8">
        <v>598.22179999999992</v>
      </c>
      <c r="BD170" s="8">
        <v>598.22179999999992</v>
      </c>
      <c r="BE170" s="8">
        <v>598.22179999999992</v>
      </c>
      <c r="BF170" s="8">
        <v>598.22179999999992</v>
      </c>
      <c r="BH170" s="8">
        <f t="shared" si="31"/>
        <v>5527.2544000000007</v>
      </c>
      <c r="BI170" s="8">
        <f t="shared" si="32"/>
        <v>5875.8216000000011</v>
      </c>
      <c r="BJ170" s="8">
        <f t="shared" si="33"/>
        <v>5783.8779999999997</v>
      </c>
    </row>
    <row r="171" spans="1:62" x14ac:dyDescent="0.25">
      <c r="A171" s="9" t="s">
        <v>462</v>
      </c>
      <c r="B171" s="9" t="s">
        <v>644</v>
      </c>
      <c r="C171" s="10">
        <f>VLOOKUP(A171,'[2]Revenue_Engine_2025 Oct.25'!$C$14:G$3937,5,0)</f>
        <v>45809</v>
      </c>
      <c r="D171" s="6" cm="1">
        <f t="array" ref="D171">_xlfn.LET(
  _xlpm.aralık, Y171:BF171,
  _xlpm.ilk, MATCH(TRUE, _xlpm.aralık&lt;&gt;0, 0),
  _xlpm.son, MIN(_xlpm.ilk+2, COLUMNS(_xlpm.aralık)),
  MAX(INDEX(_xlpm.aralık, _xlpm.ilk):INDEX(_xlpm.aralık, _xlpm.son))
)</f>
        <v>220.50000100105535</v>
      </c>
      <c r="E171" s="6">
        <f t="shared" si="26"/>
        <v>0</v>
      </c>
      <c r="F171" s="6">
        <f t="shared" si="27"/>
        <v>0</v>
      </c>
      <c r="G171" s="6">
        <f t="shared" si="34"/>
        <v>585</v>
      </c>
      <c r="H171" s="7">
        <f t="shared" si="28"/>
        <v>-1</v>
      </c>
      <c r="I171" s="7">
        <f t="shared" si="29"/>
        <v>-1</v>
      </c>
      <c r="J171" s="7" t="e">
        <f t="shared" si="30"/>
        <v>#DIV/0!</v>
      </c>
      <c r="K171" s="7">
        <f t="shared" si="35"/>
        <v>1.6530612124450743</v>
      </c>
      <c r="L171" s="5" t="s">
        <v>418</v>
      </c>
      <c r="M171" s="7">
        <f>IF(R171="",(VLOOKUP(A171,[1]Export!$B$2:$H$680,7,0)),"CHURN")</f>
        <v>0.27863247863247864</v>
      </c>
      <c r="N171" s="5">
        <f t="shared" si="36"/>
        <v>422</v>
      </c>
      <c r="O171" s="5">
        <f t="shared" si="37"/>
        <v>0</v>
      </c>
      <c r="P171" s="5">
        <f t="shared" si="38"/>
        <v>0</v>
      </c>
      <c r="Q171" s="5" t="s">
        <v>430</v>
      </c>
      <c r="T171" s="6" t="str" cm="1">
        <f t="array" ref="T171">IF(R171&lt;&gt;"Churn","",
 _xlfn.LET(
   _xlpm.rng,Y171:BF171,
   _xlpm.pos,MAX(IF((_xlpm.rng&lt;&gt;0)*(_xlpm.rng&lt;&gt;""),COLUMN(_xlpm.rng)-COLUMN(Y171)+1)),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1" s="6" t="str" cm="1">
        <f t="array" ref="U171">IF(R171="Churn",
   MAX(IF((Y171:BF171&lt;&gt;"")*(Y171:BF171&lt;&gt;0), COLUMN(Y171:BF171)-COLUMN(Y171)+1))
   -MATCH(1, --((Y171:BF171&lt;&gt;"")*(Y171:BF171&lt;&gt;0)), 0)
   +1,
"")</f>
        <v/>
      </c>
      <c r="V171" s="14" t="s">
        <v>705</v>
      </c>
      <c r="W171" s="6" t="str" cm="1">
        <f t="array" ref="W171">IFERROR(
    IF(
        MATCH(2,1/((Y171:BF171&lt;&gt;0)*(Y171:BF171&lt;&gt;"")))-MATCH(1,INDEX((Y171:BF171&lt;&gt;0)*(Y171:BF171&lt;&gt;""),0),0)+1 &lt;= 24,
        "No",
        "Yes"
    ),
    "No"
)</f>
        <v>No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-217.33813804143574</v>
      </c>
      <c r="AL171" s="8">
        <v>-1.280568540096283E-9</v>
      </c>
      <c r="AM171" s="8">
        <v>220.50000100105535</v>
      </c>
      <c r="AN171" s="8">
        <v>50.499999999301508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585</v>
      </c>
      <c r="BC171" s="8">
        <v>585</v>
      </c>
      <c r="BD171" s="8">
        <v>585</v>
      </c>
      <c r="BE171" s="8">
        <v>585</v>
      </c>
      <c r="BF171" s="8">
        <v>585</v>
      </c>
      <c r="BH171" s="8">
        <f t="shared" si="31"/>
        <v>0</v>
      </c>
      <c r="BI171" s="8">
        <f t="shared" si="32"/>
        <v>53.661862957640551</v>
      </c>
      <c r="BJ171" s="8">
        <f t="shared" si="33"/>
        <v>2925</v>
      </c>
    </row>
    <row r="172" spans="1:62" x14ac:dyDescent="0.25">
      <c r="A172" s="9" t="s">
        <v>386</v>
      </c>
      <c r="B172" s="9" t="s">
        <v>644</v>
      </c>
      <c r="C172" s="10">
        <f>VLOOKUP(A172,'[2]Revenue_Engine_2025 Oct.25'!$C$14:G$3937,5,0)</f>
        <v>45272</v>
      </c>
      <c r="D172" s="6" cm="1">
        <f t="array" ref="D172">_xlfn.LET(
  _xlpm.aralık, Y172:BF172,
  _xlpm.ilk, MATCH(TRUE, _xlpm.aralık&lt;&gt;0, 0),
  _xlpm.son, MIN(_xlpm.ilk+2, COLUMNS(_xlpm.aralık)),
  MAX(INDEX(_xlpm.aralık, _xlpm.ilk):INDEX(_xlpm.aralık, _xlpm.son))
)</f>
        <v>310.00727863636394</v>
      </c>
      <c r="E172" s="6">
        <f t="shared" si="26"/>
        <v>677.19775647208917</v>
      </c>
      <c r="F172" s="6">
        <f t="shared" si="27"/>
        <v>0</v>
      </c>
      <c r="G172" s="6">
        <f t="shared" si="34"/>
        <v>581.88125736800271</v>
      </c>
      <c r="H172" s="7">
        <f t="shared" si="28"/>
        <v>1.1844576019340396</v>
      </c>
      <c r="I172" s="7">
        <f t="shared" si="29"/>
        <v>-1</v>
      </c>
      <c r="J172" s="7">
        <f t="shared" si="30"/>
        <v>-1</v>
      </c>
      <c r="K172" s="7">
        <f t="shared" si="35"/>
        <v>0.87699224330324443</v>
      </c>
      <c r="L172" s="5" t="s">
        <v>416</v>
      </c>
      <c r="M172" s="7">
        <f>IF(R172="",(VLOOKUP(A172,[1]Export!$B$2:$H$680,7,0)),"CHURN")</f>
        <v>0.12819700300858633</v>
      </c>
      <c r="N172" s="5">
        <f t="shared" si="36"/>
        <v>507.28582406655681</v>
      </c>
      <c r="O172" s="5">
        <f t="shared" si="37"/>
        <v>590.38303364822877</v>
      </c>
      <c r="P172" s="5">
        <f t="shared" si="38"/>
        <v>0</v>
      </c>
      <c r="Q172" s="5" t="s">
        <v>430</v>
      </c>
      <c r="T172" s="6" t="str" cm="1">
        <f t="array" ref="T172">IF(R172&lt;&gt;"Churn","",
 _xlfn.LET(
   _xlpm.rng,Y172:BF172,
   _xlpm.pos,MAX(IF((_xlpm.rng&lt;&gt;0)*(_xlpm.rng&lt;&gt;""),COLUMN(_xlpm.rng)-COLUMN(Y172)+1)),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2" s="6" t="str" cm="1">
        <f t="array" ref="U172">IF(R172="Churn",
   MAX(IF((Y172:BF172&lt;&gt;"")*(Y172:BF172&lt;&gt;0), COLUMN(Y172:BF172)-COLUMN(Y172)+1))
   -MATCH(1, --((Y172:BF172&lt;&gt;"")*(Y172:BF172&lt;&gt;0)), 0)
   +1,
"")</f>
        <v/>
      </c>
      <c r="V172" s="6" t="str" cm="1">
        <f t="array" ref="V172">IFERROR(
    IF(
        MATCH(2,1/((Y172:BF172&lt;&gt;0)*(Y172:BF172&lt;&gt;"")))-MATCH(1,INDEX((Y172:BF172&lt;&gt;0)*(Y172:BF172&lt;&gt;""),0),0)+1 &lt;= 12,
        "No",
        "Yes"
    ),
    "No"
)</f>
        <v>Yes</v>
      </c>
      <c r="W172" s="6" t="str" cm="1">
        <f t="array" ref="W172">IFERROR(
    IF(
        MATCH(2,1/((Y172:BF172&lt;&gt;0)*(Y172:BF172&lt;&gt;"")))-MATCH(1,INDEX((Y172:BF172&lt;&gt;0)*(Y172:BF172&lt;&gt;""),0),0)+1 &lt;= 24,
        "No",
        "Yes"
    ),
    "No"
)</f>
        <v>No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155.01</v>
      </c>
      <c r="AK172" s="8">
        <v>310.00727863636394</v>
      </c>
      <c r="AL172" s="8">
        <v>142.08330000000001</v>
      </c>
      <c r="AM172" s="8">
        <v>-12.916666666666686</v>
      </c>
      <c r="AN172" s="8">
        <v>142.08333333333331</v>
      </c>
      <c r="AO172" s="8">
        <v>142.08333333333331</v>
      </c>
      <c r="AP172" s="8">
        <v>142.08333333333331</v>
      </c>
      <c r="AQ172" s="8">
        <v>142.08333333333331</v>
      </c>
      <c r="AR172" s="8">
        <v>142.08333333333331</v>
      </c>
      <c r="AS172" s="8">
        <v>142.08333333333331</v>
      </c>
      <c r="AT172" s="8">
        <v>369.08333633333336</v>
      </c>
      <c r="AU172" s="8">
        <v>369.08333633333336</v>
      </c>
      <c r="AV172" s="8">
        <v>677.19775647208917</v>
      </c>
      <c r="AW172" s="8">
        <v>533.71074126703968</v>
      </c>
      <c r="AX172" s="8">
        <v>532.09402859187855</v>
      </c>
      <c r="AY172" s="8">
        <v>591.84027308166287</v>
      </c>
      <c r="AZ172" s="8">
        <v>589.49359852832993</v>
      </c>
      <c r="BA172" s="8">
        <v>588.06023544853304</v>
      </c>
      <c r="BB172" s="8">
        <v>586.6329318228743</v>
      </c>
      <c r="BC172" s="8">
        <v>585.04333718272892</v>
      </c>
      <c r="BD172" s="8">
        <v>583.7951102783361</v>
      </c>
      <c r="BE172" s="8">
        <v>582.82915142225715</v>
      </c>
      <c r="BF172" s="8">
        <v>581.88125736800271</v>
      </c>
      <c r="BH172" s="8">
        <f t="shared" si="31"/>
        <v>155.01</v>
      </c>
      <c r="BI172" s="8">
        <f t="shared" si="32"/>
        <v>2707.0383411084531</v>
      </c>
      <c r="BJ172" s="8">
        <f t="shared" si="33"/>
        <v>5755.3806649916432</v>
      </c>
    </row>
    <row r="173" spans="1:62" x14ac:dyDescent="0.25">
      <c r="A173" s="9" t="s">
        <v>54</v>
      </c>
      <c r="B173" s="9" t="s">
        <v>644</v>
      </c>
      <c r="C173" s="10">
        <v>44927</v>
      </c>
      <c r="D173" s="6" cm="1">
        <f t="array" ref="D173">_xlfn.LET(
  _xlpm.aralık, Y173:BF173,
  _xlpm.ilk, MATCH(TRUE, _xlpm.aralık&lt;&gt;0, 0),
  _xlpm.son, MIN(_xlpm.ilk+2, COLUMNS(_xlpm.aralık)),
  MAX(INDEX(_xlpm.aralık, _xlpm.ilk):INDEX(_xlpm.aralık, _xlpm.son))
)</f>
        <v>291.0711525031586</v>
      </c>
      <c r="E173" s="6">
        <f t="shared" si="26"/>
        <v>202.65747276673926</v>
      </c>
      <c r="F173" s="6">
        <f t="shared" si="27"/>
        <v>176.59198013375851</v>
      </c>
      <c r="G173" s="6">
        <f t="shared" si="34"/>
        <v>558.82272000000012</v>
      </c>
      <c r="H173" s="7">
        <f t="shared" si="28"/>
        <v>-0.30375280743583788</v>
      </c>
      <c r="I173" s="7">
        <f t="shared" si="29"/>
        <v>-0.39330305110932556</v>
      </c>
      <c r="J173" s="7">
        <f t="shared" si="30"/>
        <v>-0.12861846285324197</v>
      </c>
      <c r="K173" s="7">
        <f t="shared" si="35"/>
        <v>0.91988355834725311</v>
      </c>
      <c r="L173" s="5" t="s">
        <v>418</v>
      </c>
      <c r="M173" s="7">
        <f>IF(R173="",(VLOOKUP(A173,[1]Export!$B$2:$H$680,7,0)),"CHURN")</f>
        <v>0.19391177402379053</v>
      </c>
      <c r="N173" s="5">
        <f t="shared" si="36"/>
        <v>450.46041500000013</v>
      </c>
      <c r="O173" s="5">
        <f t="shared" si="37"/>
        <v>163.35980270336282</v>
      </c>
      <c r="P173" s="5">
        <f t="shared" si="38"/>
        <v>142.34871598764741</v>
      </c>
      <c r="Q173" s="5" t="s">
        <v>430</v>
      </c>
      <c r="T173" s="6" t="str" cm="1">
        <f t="array" ref="T173">IF(R173&lt;&gt;"Churn","",
 _xlfn.LET(
   _xlpm.rng,Y173:BF173,
   _xlpm.pos,MAX(IF((_xlpm.rng&lt;&gt;0)*(_xlpm.rng&lt;&gt;""),COLUMN(_xlpm.rng)-COLUMN(Y173)+1)),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3" s="6" t="str" cm="1">
        <f t="array" ref="U173">IF(R173="Churn",
   MAX(IF((Y173:BF173&lt;&gt;"")*(Y173:BF173&lt;&gt;0), COLUMN(Y173:BF173)-COLUMN(Y173)+1))
   -MATCH(1, --((Y173:BF173&lt;&gt;"")*(Y173:BF173&lt;&gt;0)), 0)
   +1,
"")</f>
        <v/>
      </c>
      <c r="V173" s="6" t="str" cm="1">
        <f t="array" ref="V173">IFERROR(
    IF(
        MATCH(2,1/((Y173:BF173&lt;&gt;0)*(Y173:BF173&lt;&gt;"")))-MATCH(1,INDEX((Y173:BF173&lt;&gt;0)*(Y173:BF173&lt;&gt;""),0),0)+1 &lt;= 12,
        "No",
        "Yes"
    ),
    "No"
)</f>
        <v>Yes</v>
      </c>
      <c r="W173" s="6" t="str" cm="1">
        <f t="array" ref="W173">IFERROR(
    IF(
        MATCH(2,1/((Y173:BF173&lt;&gt;0)*(Y173:BF173&lt;&gt;"")))-MATCH(1,INDEX((Y173:BF173&lt;&gt;0)*(Y173:BF173&lt;&gt;""),0),0)+1 &lt;= 24,
        "No",
        "Yes"
    ),
    "No"
)</f>
        <v>Yes</v>
      </c>
      <c r="Y173" s="8">
        <v>291.0711525031586</v>
      </c>
      <c r="Z173" s="8">
        <v>290.05987133241609</v>
      </c>
      <c r="AA173" s="8">
        <v>287.92760677315414</v>
      </c>
      <c r="AB173" s="8">
        <v>284.36608118677515</v>
      </c>
      <c r="AC173" s="8">
        <v>284.46278303996093</v>
      </c>
      <c r="AD173" s="8">
        <v>239.22259068066049</v>
      </c>
      <c r="AE173" s="8">
        <v>212.00449913084972</v>
      </c>
      <c r="AF173" s="8">
        <v>220.47313138368821</v>
      </c>
      <c r="AG173" s="8">
        <v>225.61388009339515</v>
      </c>
      <c r="AH173" s="8">
        <v>218.66000288530415</v>
      </c>
      <c r="AI173" s="8">
        <v>212.64042486941494</v>
      </c>
      <c r="AJ173" s="8">
        <v>209.32726715411931</v>
      </c>
      <c r="AK173" s="8">
        <v>202.65747276673926</v>
      </c>
      <c r="AL173" s="8">
        <v>198.00105550524168</v>
      </c>
      <c r="AM173" s="8">
        <v>190.42051243491176</v>
      </c>
      <c r="AN173" s="8">
        <v>188.52394437844495</v>
      </c>
      <c r="AO173" s="8">
        <v>188.79801195930727</v>
      </c>
      <c r="AP173" s="8">
        <v>187.20316378890828</v>
      </c>
      <c r="AQ173" s="8">
        <v>200.03465974993833</v>
      </c>
      <c r="AR173" s="8">
        <v>186.40983479592265</v>
      </c>
      <c r="AS173" s="8">
        <v>184.27563502299805</v>
      </c>
      <c r="AT173" s="8">
        <v>183.1361370999131</v>
      </c>
      <c r="AU173" s="8">
        <v>182.12665271637741</v>
      </c>
      <c r="AV173" s="8">
        <v>179.2947843726005</v>
      </c>
      <c r="AW173" s="8">
        <v>176.59198013375851</v>
      </c>
      <c r="AX173" s="8">
        <v>173.47898283753179</v>
      </c>
      <c r="AY173" s="8">
        <v>521.4899999999999</v>
      </c>
      <c r="AZ173" s="8">
        <v>399.98372000000018</v>
      </c>
      <c r="BA173" s="8">
        <v>399.98372000000001</v>
      </c>
      <c r="BB173" s="8">
        <v>403.81872000000004</v>
      </c>
      <c r="BC173" s="8">
        <v>558.82272000000012</v>
      </c>
      <c r="BD173" s="8">
        <v>558.82272000000012</v>
      </c>
      <c r="BE173" s="8">
        <v>558.82272000000012</v>
      </c>
      <c r="BF173" s="8">
        <v>558.82272000000012</v>
      </c>
      <c r="BH173" s="8">
        <f t="shared" si="31"/>
        <v>2975.8292910328964</v>
      </c>
      <c r="BI173" s="8">
        <f t="shared" si="32"/>
        <v>2270.8818645913034</v>
      </c>
      <c r="BJ173" s="8">
        <f t="shared" si="33"/>
        <v>4310.6380029712909</v>
      </c>
    </row>
    <row r="174" spans="1:62" x14ac:dyDescent="0.25">
      <c r="A174" s="9" t="s">
        <v>38</v>
      </c>
      <c r="B174" s="9" t="s">
        <v>644</v>
      </c>
      <c r="C174" s="10">
        <v>44927</v>
      </c>
      <c r="D174" s="6" cm="1">
        <f t="array" ref="D174">_xlfn.LET(
  _xlpm.aralık, Y174:BF174,
  _xlpm.ilk, MATCH(TRUE, _xlpm.aralık&lt;&gt;0, 0),
  _xlpm.son, MIN(_xlpm.ilk+2, COLUMNS(_xlpm.aralık)),
  MAX(INDEX(_xlpm.aralık, _xlpm.ilk):INDEX(_xlpm.aralık, _xlpm.son))
)</f>
        <v>509.81</v>
      </c>
      <c r="E174" s="6">
        <f t="shared" si="26"/>
        <v>535.00096600000006</v>
      </c>
      <c r="F174" s="6">
        <f t="shared" si="27"/>
        <v>555.00096600000006</v>
      </c>
      <c r="G174" s="6">
        <f t="shared" si="34"/>
        <v>555.00096600000006</v>
      </c>
      <c r="H174" s="7">
        <f t="shared" si="28"/>
        <v>4.9412459543751709E-2</v>
      </c>
      <c r="I174" s="7">
        <f t="shared" si="29"/>
        <v>8.8642761028618622E-2</v>
      </c>
      <c r="J174" s="7">
        <f t="shared" si="30"/>
        <v>3.7383110070870411E-2</v>
      </c>
      <c r="K174" s="7">
        <f t="shared" si="35"/>
        <v>8.8642761028618622E-2</v>
      </c>
      <c r="L174" s="5" t="s">
        <v>418</v>
      </c>
      <c r="M174" s="7">
        <f>IF(R174="",(VLOOKUP(A174,[1]Export!$B$2:$H$680,7,0)),"CHURN")</f>
        <v>0</v>
      </c>
      <c r="N174" s="5">
        <f t="shared" si="36"/>
        <v>555.00096600000006</v>
      </c>
      <c r="O174" s="5">
        <f t="shared" si="37"/>
        <v>535.00096600000006</v>
      </c>
      <c r="P174" s="5">
        <f t="shared" si="38"/>
        <v>555.00096600000006</v>
      </c>
      <c r="Q174" s="5" t="s">
        <v>430</v>
      </c>
      <c r="T174" s="6" t="str" cm="1">
        <f t="array" ref="T174">IF(R174&lt;&gt;"Churn","",
 _xlfn.LET(
   _xlpm.rng,Y174:BF174,
   _xlpm.pos,MAX(IF((_xlpm.rng&lt;&gt;0)*(_xlpm.rng&lt;&gt;""),COLUMN(_xlpm.rng)-COLUMN(Y174)+1)),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4" s="6" t="str" cm="1">
        <f t="array" ref="U174">IF(R174="Churn",
   MAX(IF((Y174:BF174&lt;&gt;"")*(Y174:BF174&lt;&gt;0), COLUMN(Y174:BF174)-COLUMN(Y174)+1))
   -MATCH(1, --((Y174:BF174&lt;&gt;"")*(Y174:BF174&lt;&gt;0)), 0)
   +1,
"")</f>
        <v/>
      </c>
      <c r="V174" s="6" t="str" cm="1">
        <f t="array" ref="V174">IFERROR(
    IF(
        MATCH(2,1/((Y174:BF174&lt;&gt;0)*(Y174:BF174&lt;&gt;"")))-MATCH(1,INDEX((Y174:BF174&lt;&gt;0)*(Y174:BF174&lt;&gt;""),0),0)+1 &lt;= 12,
        "No",
        "Yes"
    ),
    "No"
)</f>
        <v>Yes</v>
      </c>
      <c r="W174" s="6" t="str" cm="1">
        <f t="array" ref="W174">IFERROR(
    IF(
        MATCH(2,1/((Y174:BF174&lt;&gt;0)*(Y174:BF174&lt;&gt;"")))-MATCH(1,INDEX((Y174:BF174&lt;&gt;0)*(Y174:BF174&lt;&gt;""),0),0)+1 &lt;= 24,
        "No",
        "Yes"
    ),
    "No"
)</f>
        <v>Yes</v>
      </c>
      <c r="X174" s="6"/>
      <c r="Y174" s="8">
        <v>332.52480235415794</v>
      </c>
      <c r="Z174" s="8">
        <v>331.36949696393378</v>
      </c>
      <c r="AA174" s="8">
        <v>509.81</v>
      </c>
      <c r="AB174" s="8">
        <v>509.81</v>
      </c>
      <c r="AC174" s="8">
        <v>509.81</v>
      </c>
      <c r="AD174" s="8">
        <v>419</v>
      </c>
      <c r="AE174" s="8">
        <v>419.00096500000001</v>
      </c>
      <c r="AF174" s="8">
        <v>419.00096500000001</v>
      </c>
      <c r="AG174" s="8">
        <v>419.00096500000001</v>
      </c>
      <c r="AH174" s="8">
        <v>457.00096600000001</v>
      </c>
      <c r="AI174" s="8">
        <v>535.00096600000006</v>
      </c>
      <c r="AJ174" s="8">
        <v>535.00096600000006</v>
      </c>
      <c r="AK174" s="8">
        <v>535.00096600000006</v>
      </c>
      <c r="AL174" s="8">
        <v>555.00096600000006</v>
      </c>
      <c r="AM174" s="8">
        <v>555.00096600000006</v>
      </c>
      <c r="AN174" s="8">
        <v>555.00096600000006</v>
      </c>
      <c r="AO174" s="8">
        <v>555.00096600000006</v>
      </c>
      <c r="AP174" s="8">
        <v>555.00096600000006</v>
      </c>
      <c r="AQ174" s="8">
        <v>555.00096600000006</v>
      </c>
      <c r="AR174" s="8">
        <v>555.00096600000006</v>
      </c>
      <c r="AS174" s="8">
        <v>555.00096600000006</v>
      </c>
      <c r="AT174" s="8">
        <v>555.00096600000006</v>
      </c>
      <c r="AU174" s="8">
        <v>555.00096600000006</v>
      </c>
      <c r="AV174" s="8">
        <v>555.00096600000006</v>
      </c>
      <c r="AW174" s="8">
        <v>555.00096600000006</v>
      </c>
      <c r="AX174" s="8">
        <v>555.00096600000006</v>
      </c>
      <c r="AY174" s="8">
        <v>555.00096600000006</v>
      </c>
      <c r="AZ174" s="8">
        <v>555.00096600000006</v>
      </c>
      <c r="BA174" s="8">
        <v>555.00096600000006</v>
      </c>
      <c r="BB174" s="8">
        <v>555.00096600000006</v>
      </c>
      <c r="BC174" s="8">
        <v>555.00096600000006</v>
      </c>
      <c r="BD174" s="8">
        <v>555.00096600000006</v>
      </c>
      <c r="BE174" s="8">
        <v>555.00096600000006</v>
      </c>
      <c r="BF174" s="8">
        <v>555.00096600000006</v>
      </c>
      <c r="BH174" s="8">
        <f t="shared" si="31"/>
        <v>5396.3300923180923</v>
      </c>
      <c r="BI174" s="8">
        <f t="shared" si="32"/>
        <v>6640.0115919999989</v>
      </c>
      <c r="BJ174" s="8">
        <f t="shared" si="33"/>
        <v>5550.0096599999997</v>
      </c>
    </row>
    <row r="175" spans="1:62" x14ac:dyDescent="0.25">
      <c r="A175" s="9" t="s">
        <v>320</v>
      </c>
      <c r="B175" s="9" t="s">
        <v>644</v>
      </c>
      <c r="C175" s="10">
        <v>44927</v>
      </c>
      <c r="D175" s="6" cm="1">
        <f t="array" ref="D175">_xlfn.LET(
  _xlpm.aralık, Y175:BF175,
  _xlpm.ilk, MATCH(TRUE, _xlpm.aralık&lt;&gt;0, 0),
  _xlpm.son, MIN(_xlpm.ilk+2, COLUMNS(_xlpm.aralık)),
  MAX(INDEX(_xlpm.aralık, _xlpm.ilk):INDEX(_xlpm.aralık, _xlpm.son))
)</f>
        <v>459.8</v>
      </c>
      <c r="E175" s="6">
        <f t="shared" si="26"/>
        <v>550.12280299999998</v>
      </c>
      <c r="F175" s="6">
        <f t="shared" si="27"/>
        <v>550.12280299999998</v>
      </c>
      <c r="G175" s="6">
        <f t="shared" si="34"/>
        <v>550.12280299999998</v>
      </c>
      <c r="H175" s="7">
        <f t="shared" si="28"/>
        <v>0.19643932796868196</v>
      </c>
      <c r="I175" s="7">
        <f t="shared" si="29"/>
        <v>0.19643932796868196</v>
      </c>
      <c r="J175" s="7">
        <f t="shared" si="30"/>
        <v>0</v>
      </c>
      <c r="K175" s="7">
        <f t="shared" si="35"/>
        <v>0.19643932796868196</v>
      </c>
      <c r="L175" s="5" t="s">
        <v>418</v>
      </c>
      <c r="M175" s="7">
        <f>IF(R175="",(VLOOKUP(A175,[1]Export!$B$2:$H$680,7,0)),"CHURN")</f>
        <v>0.21813311381677084</v>
      </c>
      <c r="N175" s="5">
        <f t="shared" si="36"/>
        <v>430.12280299999998</v>
      </c>
      <c r="O175" s="5">
        <f t="shared" si="37"/>
        <v>430.12280299999998</v>
      </c>
      <c r="P175" s="5">
        <f t="shared" si="38"/>
        <v>430.12280299999998</v>
      </c>
      <c r="Q175" s="5" t="s">
        <v>430</v>
      </c>
      <c r="T175" s="6" t="str" cm="1">
        <f t="array" ref="T175">IF(R175&lt;&gt;"Churn","",
 _xlfn.LET(
   _xlpm.rng,Y175:BF175,
   _xlpm.pos,MAX(IF((_xlpm.rng&lt;&gt;0)*(_xlpm.rng&lt;&gt;""),COLUMN(_xlpm.rng)-COLUMN(Y175)+1)),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5" s="6" t="str" cm="1">
        <f t="array" ref="U175">IF(R175="Churn",
   MAX(IF((Y175:BF175&lt;&gt;"")*(Y175:BF175&lt;&gt;0), COLUMN(Y175:BF175)-COLUMN(Y175)+1))
   -MATCH(1, --((Y175:BF175&lt;&gt;"")*(Y175:BF175&lt;&gt;0)), 0)
   +1,
"")</f>
        <v/>
      </c>
      <c r="V175" s="6" t="str" cm="1">
        <f t="array" ref="V175">IFERROR(
    IF(
        MATCH(2,1/((Y175:BF175&lt;&gt;0)*(Y175:BF175&lt;&gt;"")))-MATCH(1,INDEX((Y175:BF175&lt;&gt;0)*(Y175:BF175&lt;&gt;""),0),0)+1 &lt;= 12,
        "No",
        "Yes"
    ),
    "No"
)</f>
        <v>Yes</v>
      </c>
      <c r="W175" s="6" t="str" cm="1">
        <f t="array" ref="W175">IFERROR(
    IF(
        MATCH(2,1/((Y175:BF175&lt;&gt;0)*(Y175:BF175&lt;&gt;"")))-MATCH(1,INDEX((Y175:BF175&lt;&gt;0)*(Y175:BF175&lt;&gt;""),0),0)+1 &lt;= 24,
        "No",
        "Yes"
    ),
    "No"
)</f>
        <v>Yes</v>
      </c>
      <c r="Y175" s="8">
        <v>459.8</v>
      </c>
      <c r="Z175" s="8">
        <v>459.8</v>
      </c>
      <c r="AA175" s="8">
        <v>459.8</v>
      </c>
      <c r="AB175" s="8">
        <v>488.63</v>
      </c>
      <c r="AC175" s="8">
        <v>488.63119999999998</v>
      </c>
      <c r="AD175" s="8">
        <v>488.63119999999998</v>
      </c>
      <c r="AE175" s="8">
        <v>488.63119999999998</v>
      </c>
      <c r="AF175" s="8">
        <v>488.63119999999998</v>
      </c>
      <c r="AG175" s="8">
        <v>528.97519999999997</v>
      </c>
      <c r="AH175" s="8">
        <v>528.97519999999997</v>
      </c>
      <c r="AI175" s="8">
        <v>529.12279999999998</v>
      </c>
      <c r="AJ175" s="8">
        <v>550.12279999999998</v>
      </c>
      <c r="AK175" s="8">
        <v>550.12280299999998</v>
      </c>
      <c r="AL175" s="8">
        <v>550.12280299999998</v>
      </c>
      <c r="AM175" s="8">
        <v>550.12280299999998</v>
      </c>
      <c r="AN175" s="8">
        <v>550.12280299999998</v>
      </c>
      <c r="AO175" s="8">
        <v>550.12280299999998</v>
      </c>
      <c r="AP175" s="8">
        <v>550.12280299999998</v>
      </c>
      <c r="AQ175" s="8">
        <v>550.12280299999998</v>
      </c>
      <c r="AR175" s="8">
        <v>550.12280299999998</v>
      </c>
      <c r="AS175" s="8">
        <v>550.12280299999998</v>
      </c>
      <c r="AT175" s="8">
        <v>550.12280299999998</v>
      </c>
      <c r="AU175" s="8">
        <v>550.12280299999998</v>
      </c>
      <c r="AV175" s="8">
        <v>550.12280299999998</v>
      </c>
      <c r="AW175" s="8">
        <v>550.12280299999998</v>
      </c>
      <c r="AX175" s="8">
        <v>550.12280299999998</v>
      </c>
      <c r="AY175" s="8">
        <v>550.12280299999998</v>
      </c>
      <c r="AZ175" s="8">
        <v>550.12280299999998</v>
      </c>
      <c r="BA175" s="8">
        <v>550.12280299999998</v>
      </c>
      <c r="BB175" s="8">
        <v>550.12280299999998</v>
      </c>
      <c r="BC175" s="8">
        <v>550.12280299999998</v>
      </c>
      <c r="BD175" s="8">
        <v>550.12280299999998</v>
      </c>
      <c r="BE175" s="8">
        <v>550.12280299999998</v>
      </c>
      <c r="BF175" s="8">
        <v>550.12280299999998</v>
      </c>
      <c r="BH175" s="8">
        <f t="shared" si="31"/>
        <v>5959.7507999999998</v>
      </c>
      <c r="BI175" s="8">
        <f t="shared" si="32"/>
        <v>6601.4736360000015</v>
      </c>
      <c r="BJ175" s="8">
        <f t="shared" si="33"/>
        <v>5501.2280300000011</v>
      </c>
    </row>
    <row r="176" spans="1:62" x14ac:dyDescent="0.25">
      <c r="A176" s="9" t="s">
        <v>21</v>
      </c>
      <c r="B176" s="9" t="s">
        <v>644</v>
      </c>
      <c r="C176" s="10">
        <v>44927</v>
      </c>
      <c r="D176" s="6" cm="1">
        <f t="array" ref="D176">_xlfn.LET(
  _xlpm.aralık, Y176:BF176,
  _xlpm.ilk, MATCH(TRUE, _xlpm.aralık&lt;&gt;0, 0),
  _xlpm.son, MIN(_xlpm.ilk+2, COLUMNS(_xlpm.aralık)),
  MAX(INDEX(_xlpm.aralık, _xlpm.ilk):INDEX(_xlpm.aralık, _xlpm.son))
)</f>
        <v>500</v>
      </c>
      <c r="E176" s="6">
        <f t="shared" si="26"/>
        <v>500</v>
      </c>
      <c r="F176" s="6">
        <f t="shared" si="27"/>
        <v>500</v>
      </c>
      <c r="G176" s="6">
        <f t="shared" si="34"/>
        <v>547.5</v>
      </c>
      <c r="H176" s="7">
        <f t="shared" si="28"/>
        <v>0</v>
      </c>
      <c r="I176" s="7">
        <f t="shared" si="29"/>
        <v>0</v>
      </c>
      <c r="J176" s="7">
        <f t="shared" si="30"/>
        <v>0</v>
      </c>
      <c r="K176" s="7">
        <f t="shared" si="35"/>
        <v>9.5000000000000001E-2</v>
      </c>
      <c r="L176" s="5" t="s">
        <v>419</v>
      </c>
      <c r="M176" s="7">
        <f>IF(R176="",(VLOOKUP(A176,[1]Export!$B$2:$H$680,7,0)),"CHURN")</f>
        <v>0</v>
      </c>
      <c r="N176" s="5">
        <f t="shared" si="36"/>
        <v>547.5</v>
      </c>
      <c r="O176" s="5">
        <f t="shared" si="37"/>
        <v>500</v>
      </c>
      <c r="P176" s="5">
        <f t="shared" si="38"/>
        <v>500</v>
      </c>
      <c r="Q176" s="5" t="str">
        <f>VLOOKUP(A176,[4]Sheet2!$A$1:$B$142,2,0)</f>
        <v>BOOKED CHURN</v>
      </c>
      <c r="T176" s="6" t="str" cm="1">
        <f t="array" ref="T176">IF(R176&lt;&gt;"Churn","",
 _xlfn.LET(
   _xlpm.rng,Y176:BF176,
   _xlpm.pos,MAX(IF((_xlpm.rng&lt;&gt;0)*(_xlpm.rng&lt;&gt;""),COLUMN(_xlpm.rng)-COLUMN(Y176)+1)),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6" s="6" t="str" cm="1">
        <f t="array" ref="U176">IF(R176="Churn",
   MAX(IF((Y176:BF176&lt;&gt;"")*(Y176:BF176&lt;&gt;0), COLUMN(Y176:BF176)-COLUMN(Y176)+1))
   -MATCH(1, --((Y176:BF176&lt;&gt;"")*(Y176:BF176&lt;&gt;0)), 0)
   +1,
"")</f>
        <v/>
      </c>
      <c r="V176" s="6" t="str" cm="1">
        <f t="array" ref="V176">IFERROR(
    IF(
        MATCH(2,1/((Y176:BF176&lt;&gt;0)*(Y176:BF176&lt;&gt;"")))-MATCH(1,INDEX((Y176:BF176&lt;&gt;0)*(Y176:BF176&lt;&gt;""),0),0)+1 &lt;= 12,
        "No",
        "Yes"
    ),
    "No"
)</f>
        <v>Yes</v>
      </c>
      <c r="W176" s="6" t="str" cm="1">
        <f t="array" ref="W176">IFERROR(
    IF(
        MATCH(2,1/((Y176:BF176&lt;&gt;0)*(Y176:BF176&lt;&gt;"")))-MATCH(1,INDEX((Y176:BF176&lt;&gt;0)*(Y176:BF176&lt;&gt;""),0),0)+1 &lt;= 24,
        "No",
        "Yes"
    ),
    "No"
)</f>
        <v>Yes</v>
      </c>
      <c r="Y176" s="8">
        <v>500</v>
      </c>
      <c r="Z176" s="8">
        <v>500</v>
      </c>
      <c r="AA176" s="8">
        <v>500</v>
      </c>
      <c r="AB176" s="8">
        <v>500</v>
      </c>
      <c r="AC176" s="8">
        <v>500</v>
      </c>
      <c r="AD176" s="8">
        <v>500</v>
      </c>
      <c r="AE176" s="8">
        <v>500</v>
      </c>
      <c r="AF176" s="8">
        <v>500</v>
      </c>
      <c r="AG176" s="8">
        <v>500</v>
      </c>
      <c r="AH176" s="8">
        <v>500</v>
      </c>
      <c r="AI176" s="8">
        <v>500</v>
      </c>
      <c r="AJ176" s="8">
        <v>500</v>
      </c>
      <c r="AK176" s="8">
        <v>500</v>
      </c>
      <c r="AL176" s="8">
        <v>500</v>
      </c>
      <c r="AM176" s="8">
        <v>500</v>
      </c>
      <c r="AN176" s="8">
        <v>500</v>
      </c>
      <c r="AO176" s="8">
        <v>500</v>
      </c>
      <c r="AP176" s="8">
        <v>500</v>
      </c>
      <c r="AQ176" s="8">
        <v>500</v>
      </c>
      <c r="AR176" s="8">
        <v>500</v>
      </c>
      <c r="AS176" s="8">
        <v>500</v>
      </c>
      <c r="AT176" s="8">
        <v>500</v>
      </c>
      <c r="AU176" s="8">
        <v>500</v>
      </c>
      <c r="AV176" s="8">
        <v>500</v>
      </c>
      <c r="AW176" s="8">
        <v>500</v>
      </c>
      <c r="AX176" s="8">
        <v>500</v>
      </c>
      <c r="AY176" s="8">
        <v>547.5</v>
      </c>
      <c r="AZ176" s="8">
        <v>547.5</v>
      </c>
      <c r="BA176" s="8">
        <v>547.5</v>
      </c>
      <c r="BB176" s="8">
        <v>547.5</v>
      </c>
      <c r="BC176" s="8">
        <v>547.5</v>
      </c>
      <c r="BD176" s="8">
        <v>547.5</v>
      </c>
      <c r="BE176" s="8">
        <v>547.5</v>
      </c>
      <c r="BF176" s="8">
        <v>547.5</v>
      </c>
      <c r="BH176" s="8">
        <f t="shared" si="31"/>
        <v>6000</v>
      </c>
      <c r="BI176" s="8">
        <f t="shared" si="32"/>
        <v>6000</v>
      </c>
      <c r="BJ176" s="8">
        <f t="shared" si="33"/>
        <v>5380</v>
      </c>
    </row>
    <row r="177" spans="1:62" x14ac:dyDescent="0.25">
      <c r="A177" s="9" t="s">
        <v>19</v>
      </c>
      <c r="B177" s="9" t="s">
        <v>644</v>
      </c>
      <c r="C177" s="10">
        <v>44927</v>
      </c>
      <c r="D177" s="6" cm="1">
        <f t="array" ref="D177">_xlfn.LET(
  _xlpm.aralık, Y177:BF177,
  _xlpm.ilk, MATCH(TRUE, _xlpm.aralık&lt;&gt;0, 0),
  _xlpm.son, MIN(_xlpm.ilk+2, COLUMNS(_xlpm.aralık)),
  MAX(INDEX(_xlpm.aralık, _xlpm.ilk):INDEX(_xlpm.aralık, _xlpm.son))
)</f>
        <v>276.21532868117049</v>
      </c>
      <c r="E177" s="6">
        <f t="shared" si="26"/>
        <v>297.0564677618878</v>
      </c>
      <c r="F177" s="6">
        <f t="shared" si="27"/>
        <v>510.20141566724061</v>
      </c>
      <c r="G177" s="6">
        <f t="shared" si="34"/>
        <v>547.37671605198648</v>
      </c>
      <c r="H177" s="7">
        <f t="shared" si="28"/>
        <v>7.545250721683805E-2</v>
      </c>
      <c r="I177" s="7">
        <f t="shared" si="29"/>
        <v>0.84711477854350115</v>
      </c>
      <c r="J177" s="7">
        <f t="shared" si="30"/>
        <v>0.71752333659405076</v>
      </c>
      <c r="K177" s="7">
        <f t="shared" si="35"/>
        <v>0.9817028934111468</v>
      </c>
      <c r="L177" s="5" t="s">
        <v>416</v>
      </c>
      <c r="M177" s="7">
        <f>IF(R177="",(VLOOKUP(A177,[1]Export!$B$2:$H$680,7,0)),"CHURN")</f>
        <v>9.3601711283718414E-2</v>
      </c>
      <c r="N177" s="5">
        <f t="shared" si="36"/>
        <v>496.14131871265852</v>
      </c>
      <c r="O177" s="5">
        <f t="shared" si="37"/>
        <v>269.25147403147838</v>
      </c>
      <c r="P177" s="5">
        <f t="shared" si="38"/>
        <v>462.44569006141114</v>
      </c>
      <c r="Q177" s="5" t="s">
        <v>430</v>
      </c>
      <c r="T177" s="6" t="str" cm="1">
        <f t="array" ref="T177">IF(R177&lt;&gt;"Churn","",
 _xlfn.LET(
   _xlpm.rng,Y177:BF177,
   _xlpm.pos,MAX(IF((_xlpm.rng&lt;&gt;0)*(_xlpm.rng&lt;&gt;""),COLUMN(_xlpm.rng)-COLUMN(Y177)+1)),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7" s="6" t="str" cm="1">
        <f t="array" ref="U177">IF(R177="Churn",
   MAX(IF((Y177:BF177&lt;&gt;"")*(Y177:BF177&lt;&gt;0), COLUMN(Y177:BF177)-COLUMN(Y177)+1))
   -MATCH(1, --((Y177:BF177&lt;&gt;"")*(Y177:BF177&lt;&gt;0)), 0)
   +1,
"")</f>
        <v/>
      </c>
      <c r="V177" s="6" t="str" cm="1">
        <f t="array" ref="V177">IFERROR(
    IF(
        MATCH(2,1/((Y177:BF177&lt;&gt;0)*(Y177:BF177&lt;&gt;"")))-MATCH(1,INDEX((Y177:BF177&lt;&gt;0)*(Y177:BF177&lt;&gt;""),0),0)+1 &lt;= 12,
        "No",
        "Yes"
    ),
    "No"
)</f>
        <v>Yes</v>
      </c>
      <c r="W177" s="6" t="str" cm="1">
        <f t="array" ref="W177">IFERROR(
    IF(
        MATCH(2,1/((Y177:BF177&lt;&gt;0)*(Y177:BF177&lt;&gt;"")))-MATCH(1,INDEX((Y177:BF177&lt;&gt;0)*(Y177:BF177&lt;&gt;""),0),0)+1 &lt;= 24,
        "No",
        "Yes"
    ),
    "No"
)</f>
        <v>Yes</v>
      </c>
      <c r="Y177" s="8">
        <v>276.21532868117049</v>
      </c>
      <c r="Z177" s="8">
        <v>275.25566174556542</v>
      </c>
      <c r="AA177" s="8">
        <v>273.23222468900127</v>
      </c>
      <c r="AB177" s="8">
        <v>268.37787020682583</v>
      </c>
      <c r="AC177" s="8">
        <v>263.290388430424</v>
      </c>
      <c r="AD177" s="8">
        <v>221.41739649926501</v>
      </c>
      <c r="AE177" s="8">
        <v>272.71300665401765</v>
      </c>
      <c r="AF177" s="8">
        <v>267.55259542325086</v>
      </c>
      <c r="AG177" s="8">
        <v>267.3043033412153</v>
      </c>
      <c r="AH177" s="8">
        <v>320.51306675809462</v>
      </c>
      <c r="AI177" s="8">
        <v>311.68953531657041</v>
      </c>
      <c r="AJ177" s="8">
        <v>306.83309003178891</v>
      </c>
      <c r="AK177" s="8">
        <v>297.0564677618878</v>
      </c>
      <c r="AL177" s="8">
        <v>290.23106505039715</v>
      </c>
      <c r="AM177" s="8">
        <v>279.11946221904748</v>
      </c>
      <c r="AN177" s="8">
        <v>276.33946205407688</v>
      </c>
      <c r="AO177" s="8">
        <v>276.74119186145839</v>
      </c>
      <c r="AP177" s="8">
        <v>274.39803676919007</v>
      </c>
      <c r="AQ177" s="8">
        <v>426.20672651828568</v>
      </c>
      <c r="AR177" s="8">
        <v>417.03144811233636</v>
      </c>
      <c r="AS177" s="8">
        <v>471.15072504225623</v>
      </c>
      <c r="AT177" s="8">
        <v>468.2372890224666</v>
      </c>
      <c r="AU177" s="8">
        <v>465.65626793868461</v>
      </c>
      <c r="AV177" s="8">
        <v>458.41582715426836</v>
      </c>
      <c r="AW177" s="8">
        <v>510.20141566724061</v>
      </c>
      <c r="AX177" s="8">
        <v>501.20748725497549</v>
      </c>
      <c r="AY177" s="8">
        <v>488.70300673858469</v>
      </c>
      <c r="AZ177" s="8">
        <v>475.64823005264236</v>
      </c>
      <c r="BA177" s="8">
        <v>467.67429310853259</v>
      </c>
      <c r="BB177" s="8">
        <v>459.73406549173478</v>
      </c>
      <c r="BC177" s="8">
        <v>569.59897569479085</v>
      </c>
      <c r="BD177" s="8">
        <v>560.8267297964918</v>
      </c>
      <c r="BE177" s="8">
        <v>554.03824578043213</v>
      </c>
      <c r="BF177" s="8">
        <v>547.37671605198648</v>
      </c>
      <c r="BH177" s="8">
        <f t="shared" si="31"/>
        <v>3324.3944677771897</v>
      </c>
      <c r="BI177" s="8">
        <f t="shared" si="32"/>
        <v>4400.583969504356</v>
      </c>
      <c r="BJ177" s="8">
        <f t="shared" si="33"/>
        <v>5135.0091656374116</v>
      </c>
    </row>
    <row r="178" spans="1:62" x14ac:dyDescent="0.25">
      <c r="A178" s="9" t="s">
        <v>167</v>
      </c>
      <c r="B178" s="9" t="s">
        <v>644</v>
      </c>
      <c r="C178" s="10">
        <v>44927</v>
      </c>
      <c r="D178" s="6" cm="1">
        <f t="array" ref="D178">_xlfn.LET(
  _xlpm.aralık, Y178:BF178,
  _xlpm.ilk, MATCH(TRUE, _xlpm.aralık&lt;&gt;0, 0),
  _xlpm.son, MIN(_xlpm.ilk+2, COLUMNS(_xlpm.aralık)),
  MAX(INDEX(_xlpm.aralık, _xlpm.ilk):INDEX(_xlpm.aralık, _xlpm.son))
)</f>
        <v>274.12251576470089</v>
      </c>
      <c r="E178" s="6">
        <f t="shared" si="26"/>
        <v>401.05218916404647</v>
      </c>
      <c r="F178" s="6">
        <f t="shared" si="27"/>
        <v>508.2054191946271</v>
      </c>
      <c r="G178" s="6">
        <f t="shared" si="34"/>
        <v>542.30874899044488</v>
      </c>
      <c r="H178" s="7">
        <f t="shared" si="28"/>
        <v>0.46303994053629094</v>
      </c>
      <c r="I178" s="7">
        <f t="shared" si="29"/>
        <v>0.85393533901044605</v>
      </c>
      <c r="J178" s="7">
        <f t="shared" si="30"/>
        <v>0.26718026462822936</v>
      </c>
      <c r="K178" s="7">
        <f t="shared" si="35"/>
        <v>0.97834441828903818</v>
      </c>
      <c r="L178" s="5" t="s">
        <v>419</v>
      </c>
      <c r="M178" s="7">
        <f>IF(R178="",(VLOOKUP(A178,[1]Export!$B$2:$H$680,7,0)),"CHURN")</f>
        <v>0.41932046258837852</v>
      </c>
      <c r="N178" s="5">
        <f t="shared" si="36"/>
        <v>314.90759349804671</v>
      </c>
      <c r="O178" s="5">
        <f t="shared" si="37"/>
        <v>232.88279968169661</v>
      </c>
      <c r="P178" s="5">
        <f t="shared" si="38"/>
        <v>295.10448772801527</v>
      </c>
      <c r="Q178" s="5" t="s">
        <v>430</v>
      </c>
      <c r="T178" s="6" t="str" cm="1">
        <f t="array" ref="T178">IF(R178&lt;&gt;"Churn","",
 _xlfn.LET(
   _xlpm.rng,Y178:BF178,
   _xlpm.pos,MAX(IF((_xlpm.rng&lt;&gt;0)*(_xlpm.rng&lt;&gt;""),COLUMN(_xlpm.rng)-COLUMN(Y178)+1)),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8" s="6" t="str" cm="1">
        <f t="array" ref="U178">IF(R178="Churn",
   MAX(IF((Y178:BF178&lt;&gt;"")*(Y178:BF178&lt;&gt;0), COLUMN(Y178:BF178)-COLUMN(Y178)+1))
   -MATCH(1, --((Y178:BF178&lt;&gt;"")*(Y178:BF178&lt;&gt;0)), 0)
   +1,
"")</f>
        <v/>
      </c>
      <c r="V178" s="6" t="str" cm="1">
        <f t="array" ref="V178">IFERROR(
    IF(
        MATCH(2,1/((Y178:BF178&lt;&gt;0)*(Y178:BF178&lt;&gt;"")))-MATCH(1,INDEX((Y178:BF178&lt;&gt;0)*(Y178:BF178&lt;&gt;""),0),0)+1 &lt;= 12,
        "No",
        "Yes"
    ),
    "No"
)</f>
        <v>Yes</v>
      </c>
      <c r="W178" s="6" t="str" cm="1">
        <f t="array" ref="W178">IFERROR(
    IF(
        MATCH(2,1/((Y178:BF178&lt;&gt;0)*(Y178:BF178&lt;&gt;"")))-MATCH(1,INDEX((Y178:BF178&lt;&gt;0)*(Y178:BF178&lt;&gt;""),0),0)+1 &lt;= 24,
        "No",
        "Yes"
    ),
    "No"
)</f>
        <v>Yes</v>
      </c>
      <c r="X178" s="6"/>
      <c r="Y178" s="8">
        <v>159.92920467206517</v>
      </c>
      <c r="Z178" s="8">
        <v>274.12251576470089</v>
      </c>
      <c r="AA178" s="8">
        <v>272.10740859880502</v>
      </c>
      <c r="AB178" s="8">
        <v>267.27303805532966</v>
      </c>
      <c r="AC178" s="8">
        <v>262.20578072279358</v>
      </c>
      <c r="AD178" s="8">
        <v>220.50528187070526</v>
      </c>
      <c r="AE178" s="8">
        <v>195.41679448288397</v>
      </c>
      <c r="AF178" s="8">
        <v>191.7196434609111</v>
      </c>
      <c r="AG178" s="8">
        <v>191.54172528610619</v>
      </c>
      <c r="AH178" s="8">
        <v>185.63802096918158</v>
      </c>
      <c r="AI178" s="8">
        <v>180.52751820144212</v>
      </c>
      <c r="AJ178" s="8">
        <v>177.71471278064976</v>
      </c>
      <c r="AK178" s="8">
        <v>401.05218916404647</v>
      </c>
      <c r="AL178" s="8">
        <v>397.09898293599861</v>
      </c>
      <c r="AM178" s="8">
        <v>483.08707257928074</v>
      </c>
      <c r="AN178" s="8">
        <v>480.55639235343199</v>
      </c>
      <c r="AO178" s="8">
        <v>480.9220936553545</v>
      </c>
      <c r="AP178" s="8">
        <v>478.78908073944945</v>
      </c>
      <c r="AQ178" s="8">
        <v>475.89560063200383</v>
      </c>
      <c r="AR178" s="8">
        <v>470.58049007166983</v>
      </c>
      <c r="AS178" s="8">
        <v>467.81464336825735</v>
      </c>
      <c r="AT178" s="8">
        <v>466.33789474608363</v>
      </c>
      <c r="AU178" s="8">
        <v>465.02963902899</v>
      </c>
      <c r="AV178" s="8">
        <v>461.35963876823632</v>
      </c>
      <c r="AW178" s="8">
        <v>508.2054191946271</v>
      </c>
      <c r="AX178" s="8">
        <v>503.2835325133272</v>
      </c>
      <c r="AY178" s="8">
        <v>582.36928829951421</v>
      </c>
      <c r="AZ178" s="8">
        <v>572.92969598514128</v>
      </c>
      <c r="BA178" s="8">
        <v>567.16393562755752</v>
      </c>
      <c r="BB178" s="8">
        <v>561.42254966676921</v>
      </c>
      <c r="BC178" s="8">
        <v>555.0283416046525</v>
      </c>
      <c r="BD178" s="8">
        <v>550.00729892254503</v>
      </c>
      <c r="BE178" s="8">
        <v>546.1216907623118</v>
      </c>
      <c r="BF178" s="8">
        <v>542.30874899044488</v>
      </c>
      <c r="BH178" s="8">
        <f t="shared" si="31"/>
        <v>2578.7016448655741</v>
      </c>
      <c r="BI178" s="8">
        <f t="shared" si="32"/>
        <v>5528.5237180428021</v>
      </c>
      <c r="BJ178" s="8">
        <f t="shared" si="33"/>
        <v>5488.8405015668914</v>
      </c>
    </row>
    <row r="179" spans="1:62" x14ac:dyDescent="0.25">
      <c r="A179" s="9" t="s">
        <v>463</v>
      </c>
      <c r="B179" s="9" t="s">
        <v>644</v>
      </c>
      <c r="C179" s="10">
        <f>VLOOKUP(A179,'[2]Revenue_Engine_2025 Oct.25'!$C$14:G$3937,5,0)</f>
        <v>45498</v>
      </c>
      <c r="D179" s="6" cm="1">
        <f t="array" ref="D179">_xlfn.LET(
  _xlpm.aralık, Y179:BF179,
  _xlpm.ilk, MATCH(TRUE, _xlpm.aralık&lt;&gt;0, 0),
  _xlpm.son, MIN(_xlpm.ilk+2, COLUMNS(_xlpm.aralık)),
  MAX(INDEX(_xlpm.aralık, _xlpm.ilk):INDEX(_xlpm.aralık, _xlpm.son))
)</f>
        <v>539.99999800000001</v>
      </c>
      <c r="E179" s="6">
        <f t="shared" si="26"/>
        <v>539.99999800000001</v>
      </c>
      <c r="F179" s="6">
        <f t="shared" si="27"/>
        <v>0</v>
      </c>
      <c r="G179" s="6">
        <f t="shared" si="34"/>
        <v>539.99999800000001</v>
      </c>
      <c r="H179" s="7">
        <f t="shared" si="28"/>
        <v>0</v>
      </c>
      <c r="I179" s="7">
        <f t="shared" si="29"/>
        <v>-1</v>
      </c>
      <c r="J179" s="7">
        <f t="shared" si="30"/>
        <v>-1</v>
      </c>
      <c r="K179" s="7">
        <f t="shared" si="35"/>
        <v>0</v>
      </c>
      <c r="L179" s="5" t="s">
        <v>418</v>
      </c>
      <c r="M179" s="7">
        <f>IF(R179="",(VLOOKUP(A179,[1]Export!$B$2:$H$680,7,0)),"CHURN")</f>
        <v>0.44444444609053496</v>
      </c>
      <c r="N179" s="5">
        <f t="shared" si="36"/>
        <v>299.99999800000001</v>
      </c>
      <c r="O179" s="5">
        <f t="shared" si="37"/>
        <v>299.99999800000001</v>
      </c>
      <c r="P179" s="5">
        <f t="shared" si="38"/>
        <v>0</v>
      </c>
      <c r="Q179" s="5" t="str">
        <f>VLOOKUP(A179,[4]Sheet2!$A$1:$B$142,2,0)</f>
        <v>NO RISK</v>
      </c>
      <c r="T179" s="6" t="str" cm="1">
        <f t="array" ref="T179">IF(R179&lt;&gt;"Churn","",
 _xlfn.LET(
   _xlpm.rng,Y179:BF179,
   _xlpm.pos,MAX(IF((_xlpm.rng&lt;&gt;0)*(_xlpm.rng&lt;&gt;""),COLUMN(_xlpm.rng)-COLUMN(Y179)+1)),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79" s="6" t="str" cm="1">
        <f t="array" ref="U179">IF(R179="Churn",
   MAX(IF((Y179:BF179&lt;&gt;"")*(Y179:BF179&lt;&gt;0), COLUMN(Y179:BF179)-COLUMN(Y179)+1))
   -MATCH(1, --((Y179:BF179&lt;&gt;"")*(Y179:BF179&lt;&gt;0)), 0)
   +1,
"")</f>
        <v/>
      </c>
      <c r="V179" s="6" t="str" cm="1">
        <f t="array" ref="V179">IFERROR(
    IF(
        MATCH(2,1/((Y179:BF179&lt;&gt;0)*(Y179:BF179&lt;&gt;"")))-MATCH(1,INDEX((Y179:BF179&lt;&gt;0)*(Y179:BF179&lt;&gt;""),0),0)+1 &lt;= 12,
        "No",
        "Yes"
    ),
    "No"
)</f>
        <v>Yes</v>
      </c>
      <c r="W179" s="6" t="str" cm="1">
        <f t="array" ref="W179">IFERROR(
    IF(
        MATCH(2,1/((Y179:BF179&lt;&gt;0)*(Y179:BF179&lt;&gt;"")))-MATCH(1,INDEX((Y179:BF179&lt;&gt;0)*(Y179:BF179&lt;&gt;""),0),0)+1 &lt;= 24,
        "No",
        "Yes"
    ),
    "No"
)</f>
        <v>No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539.99999800000001</v>
      </c>
      <c r="AR179" s="8">
        <v>539.99999800000001</v>
      </c>
      <c r="AS179" s="8">
        <v>539.99999800000001</v>
      </c>
      <c r="AT179" s="8">
        <v>539.99999800000001</v>
      </c>
      <c r="AU179" s="8">
        <v>539.99999800000001</v>
      </c>
      <c r="AV179" s="8">
        <v>539.99999800000001</v>
      </c>
      <c r="AW179" s="8">
        <v>539.99999800000001</v>
      </c>
      <c r="AX179" s="8">
        <v>539.99999800000001</v>
      </c>
      <c r="AY179" s="8">
        <v>539.99999800000001</v>
      </c>
      <c r="AZ179" s="8">
        <v>539.99999800000001</v>
      </c>
      <c r="BA179" s="8">
        <v>539.99999800000001</v>
      </c>
      <c r="BB179" s="8">
        <v>539.99999800000001</v>
      </c>
      <c r="BC179" s="8">
        <v>539.99999800000001</v>
      </c>
      <c r="BD179" s="8">
        <v>539.99999800000001</v>
      </c>
      <c r="BE179" s="8">
        <v>539.99999800000001</v>
      </c>
      <c r="BF179" s="8">
        <v>539.99999800000001</v>
      </c>
      <c r="BH179" s="8">
        <f t="shared" si="31"/>
        <v>0</v>
      </c>
      <c r="BI179" s="8">
        <f t="shared" si="32"/>
        <v>3239.9999880000005</v>
      </c>
      <c r="BJ179" s="8">
        <f t="shared" si="33"/>
        <v>5399.9999800000014</v>
      </c>
    </row>
    <row r="180" spans="1:62" x14ac:dyDescent="0.25">
      <c r="A180" s="9" t="s">
        <v>360</v>
      </c>
      <c r="B180" s="9" t="s">
        <v>644</v>
      </c>
      <c r="C180" s="10">
        <v>44927</v>
      </c>
      <c r="D180" s="6" cm="1">
        <f t="array" ref="D180">_xlfn.LET(
  _xlpm.aralık, Y180:BF180,
  _xlpm.ilk, MATCH(TRUE, _xlpm.aralık&lt;&gt;0, 0),
  _xlpm.son, MIN(_xlpm.ilk+2, COLUMNS(_xlpm.aralık)),
  MAX(INDEX(_xlpm.aralık, _xlpm.ilk):INDEX(_xlpm.aralık, _xlpm.son))
)</f>
        <v>492.65</v>
      </c>
      <c r="E180" s="6">
        <f t="shared" si="26"/>
        <v>512.65211999999997</v>
      </c>
      <c r="F180" s="6">
        <f t="shared" si="27"/>
        <v>512.652064</v>
      </c>
      <c r="G180" s="6">
        <f t="shared" si="34"/>
        <v>529.99862299999995</v>
      </c>
      <c r="H180" s="7">
        <f t="shared" si="28"/>
        <v>4.0601075814472733E-2</v>
      </c>
      <c r="I180" s="7">
        <f t="shared" si="29"/>
        <v>4.0600962143509632E-2</v>
      </c>
      <c r="J180" s="7">
        <f t="shared" si="30"/>
        <v>-1.0923586929144159E-7</v>
      </c>
      <c r="K180" s="7">
        <f t="shared" si="35"/>
        <v>7.5811677661625859E-2</v>
      </c>
      <c r="L180" s="5" t="s">
        <v>413</v>
      </c>
      <c r="M180" s="7">
        <f>IF(R180="",(VLOOKUP(A180,[1]Export!$B$2:$H$680,7,0)),"CHURN")</f>
        <v>0.31770825054368534</v>
      </c>
      <c r="N180" s="5">
        <f t="shared" si="36"/>
        <v>361.61368769610772</v>
      </c>
      <c r="O180" s="5">
        <f t="shared" si="37"/>
        <v>349.77831181728851</v>
      </c>
      <c r="P180" s="5">
        <f t="shared" si="38"/>
        <v>349.7782736089506</v>
      </c>
      <c r="Q180" s="5" t="s">
        <v>430</v>
      </c>
      <c r="T180" s="6" t="str" cm="1">
        <f t="array" ref="T180">IF(R180&lt;&gt;"Churn","",
 _xlfn.LET(
   _xlpm.rng,Y180:BF180,
   _xlpm.pos,MAX(IF((_xlpm.rng&lt;&gt;0)*(_xlpm.rng&lt;&gt;""),COLUMN(_xlpm.rng)-COLUMN(Y180)+1)),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0" s="6" t="str" cm="1">
        <f t="array" ref="U180">IF(R180="Churn",
   MAX(IF((Y180:BF180&lt;&gt;"")*(Y180:BF180&lt;&gt;0), COLUMN(Y180:BF180)-COLUMN(Y180)+1))
   -MATCH(1, --((Y180:BF180&lt;&gt;"")*(Y180:BF180&lt;&gt;0)), 0)
   +1,
"")</f>
        <v/>
      </c>
      <c r="V180" s="6" t="str" cm="1">
        <f t="array" ref="V180">IFERROR(
    IF(
        MATCH(2,1/((Y180:BF180&lt;&gt;0)*(Y180:BF180&lt;&gt;"")))-MATCH(1,INDEX((Y180:BF180&lt;&gt;0)*(Y180:BF180&lt;&gt;""),0),0)+1 &lt;= 12,
        "No",
        "Yes"
    ),
    "No"
)</f>
        <v>Yes</v>
      </c>
      <c r="W180" s="6" t="str" cm="1">
        <f t="array" ref="W180">IFERROR(
    IF(
        MATCH(2,1/((Y180:BF180&lt;&gt;0)*(Y180:BF180&lt;&gt;"")))-MATCH(1,INDEX((Y180:BF180&lt;&gt;0)*(Y180:BF180&lt;&gt;""),0),0)+1 &lt;= 24,
        "No",
        "Yes"
    ),
    "No"
)</f>
        <v>Yes</v>
      </c>
      <c r="Y180" s="8">
        <v>492.65</v>
      </c>
      <c r="Z180" s="8">
        <v>492.65</v>
      </c>
      <c r="AA180" s="8">
        <v>492.65</v>
      </c>
      <c r="AB180" s="8">
        <v>492.65</v>
      </c>
      <c r="AC180" s="8">
        <v>492.65211999999997</v>
      </c>
      <c r="AD180" s="8">
        <v>492.65211999999997</v>
      </c>
      <c r="AE180" s="8">
        <v>492.65211999999997</v>
      </c>
      <c r="AF180" s="8">
        <v>492.65211999999997</v>
      </c>
      <c r="AG180" s="8">
        <v>492.65211999999997</v>
      </c>
      <c r="AH180" s="8">
        <v>512.65211999999997</v>
      </c>
      <c r="AI180" s="8">
        <v>512.65211999999997</v>
      </c>
      <c r="AJ180" s="8">
        <v>512.65211999999997</v>
      </c>
      <c r="AK180" s="8">
        <v>512.65211999999997</v>
      </c>
      <c r="AL180" s="8">
        <v>512.652064</v>
      </c>
      <c r="AM180" s="8">
        <v>512.652064</v>
      </c>
      <c r="AN180" s="8">
        <v>512.652064</v>
      </c>
      <c r="AO180" s="8">
        <v>512.652064</v>
      </c>
      <c r="AP180" s="8">
        <v>512.652064</v>
      </c>
      <c r="AQ180" s="8">
        <v>512.652064</v>
      </c>
      <c r="AR180" s="8">
        <v>512.652064</v>
      </c>
      <c r="AS180" s="8">
        <v>512.652064</v>
      </c>
      <c r="AT180" s="8">
        <v>512.652064</v>
      </c>
      <c r="AU180" s="8">
        <v>512.652064</v>
      </c>
      <c r="AV180" s="8">
        <v>512.652064</v>
      </c>
      <c r="AW180" s="8">
        <v>512.652064</v>
      </c>
      <c r="AX180" s="8">
        <v>529.99862299999995</v>
      </c>
      <c r="AY180" s="8">
        <v>529.99862299999995</v>
      </c>
      <c r="AZ180" s="8">
        <v>529.99862299999995</v>
      </c>
      <c r="BA180" s="8">
        <v>529.99862299999995</v>
      </c>
      <c r="BB180" s="8">
        <v>529.99862299999995</v>
      </c>
      <c r="BC180" s="8">
        <v>529.99862299999995</v>
      </c>
      <c r="BD180" s="8">
        <v>529.99862299999995</v>
      </c>
      <c r="BE180" s="8">
        <v>529.99862299999995</v>
      </c>
      <c r="BF180" s="8">
        <v>529.99862299999995</v>
      </c>
      <c r="BH180" s="8">
        <f t="shared" si="31"/>
        <v>5971.8169599999983</v>
      </c>
      <c r="BI180" s="8">
        <f t="shared" si="32"/>
        <v>6151.8248239999994</v>
      </c>
      <c r="BJ180" s="8">
        <f t="shared" si="33"/>
        <v>5282.639670999999</v>
      </c>
    </row>
    <row r="181" spans="1:62" x14ac:dyDescent="0.25">
      <c r="A181" s="9" t="s">
        <v>691</v>
      </c>
      <c r="B181" s="9" t="s">
        <v>644</v>
      </c>
      <c r="C181" s="10">
        <v>44927</v>
      </c>
      <c r="D181" s="6" cm="1">
        <f t="array" ref="D181">_xlfn.LET(
  _xlpm.aralık, Y181:BF181,
  _xlpm.ilk, MATCH(TRUE, _xlpm.aralık&lt;&gt;0, 0),
  _xlpm.son, MIN(_xlpm.ilk+2, COLUMNS(_xlpm.aralık)),
  MAX(INDEX(_xlpm.aralık, _xlpm.ilk):INDEX(_xlpm.aralık, _xlpm.son))
)</f>
        <v>465.30973489068839</v>
      </c>
      <c r="E181" s="6">
        <f t="shared" si="26"/>
        <v>503.67935336812167</v>
      </c>
      <c r="F181" s="6">
        <f t="shared" si="27"/>
        <v>537.43633242204476</v>
      </c>
      <c r="G181" s="6">
        <f t="shared" si="34"/>
        <v>528.92951280837269</v>
      </c>
      <c r="H181" s="7">
        <f t="shared" si="28"/>
        <v>8.2460381978569947E-2</v>
      </c>
      <c r="I181" s="7">
        <f t="shared" si="29"/>
        <v>0.15500771233230379</v>
      </c>
      <c r="J181" s="7">
        <f t="shared" si="30"/>
        <v>6.7020771902181364E-2</v>
      </c>
      <c r="K181" s="7">
        <f t="shared" si="35"/>
        <v>0.13672565421961352</v>
      </c>
      <c r="L181" s="5" t="s">
        <v>420</v>
      </c>
      <c r="M181" s="7">
        <f>IF(R181="",(VLOOKUP(A181,[1]Export!$B$2:$H$680,7,0)),"CHURN")</f>
        <v>0.35646122676221048</v>
      </c>
      <c r="N181" s="5">
        <f t="shared" si="36"/>
        <v>340.38664980196182</v>
      </c>
      <c r="O181" s="5">
        <f t="shared" si="37"/>
        <v>324.13719317172411</v>
      </c>
      <c r="P181" s="5">
        <f t="shared" si="38"/>
        <v>345.86111806029953</v>
      </c>
      <c r="Q181" s="15" t="s">
        <v>696</v>
      </c>
      <c r="T181" s="6" t="str" cm="1">
        <f t="array" ref="T181">IF(R181&lt;&gt;"Churn","",
 _xlfn.LET(
   _xlpm.rng,Y181:BF181,
   _xlpm.pos,MAX(IF((_xlpm.rng&lt;&gt;0)*(_xlpm.rng&lt;&gt;""),COLUMN(_xlpm.rng)-COLUMN(Y181)+1)),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1" s="6" t="str" cm="1">
        <f t="array" ref="U181">IF(R181="Churn",
   MAX(IF((Y181:BF181&lt;&gt;"")*(Y181:BF181&lt;&gt;0), COLUMN(Y181:BF181)-COLUMN(Y181)+1))
   -MATCH(1, --((Y181:BF181&lt;&gt;"")*(Y181:BF181&lt;&gt;0)), 0)
   +1,
"")</f>
        <v/>
      </c>
      <c r="V181" s="6" t="str" cm="1">
        <f t="array" ref="V181">IFERROR(
    IF(
        MATCH(2,1/((Y181:BF181&lt;&gt;0)*(Y181:BF181&lt;&gt;"")))-MATCH(1,INDEX((Y181:BF181&lt;&gt;0)*(Y181:BF181&lt;&gt;""),0),0)+1 &lt;= 12,
        "No",
        "Yes"
    ),
    "No"
)</f>
        <v>Yes</v>
      </c>
      <c r="W181" s="6" t="str" cm="1">
        <f t="array" ref="W181">IFERROR(
    IF(
        MATCH(2,1/((Y181:BF181&lt;&gt;0)*(Y181:BF181&lt;&gt;"")))-MATCH(1,INDEX((Y181:BF181&lt;&gt;0)*(Y181:BF181&lt;&gt;""),0),0)+1 &lt;= 24,
        "No",
        "Yes"
    ),
    "No"
)</f>
        <v>Yes</v>
      </c>
      <c r="X181" s="6"/>
      <c r="Y181" s="8">
        <v>465.30973489068839</v>
      </c>
      <c r="Z181" s="8">
        <v>465.12451855905056</v>
      </c>
      <c r="AA181" s="8">
        <v>464.73399391449709</v>
      </c>
      <c r="AB181" s="8">
        <v>472.79710039831969</v>
      </c>
      <c r="AC181" s="8">
        <v>480.81299378348717</v>
      </c>
      <c r="AD181" s="8">
        <v>472.73150175788862</v>
      </c>
      <c r="AE181" s="8">
        <v>467.86939179900855</v>
      </c>
      <c r="AF181" s="8">
        <v>484.24417570793224</v>
      </c>
      <c r="AG181" s="8">
        <v>509.19383451893702</v>
      </c>
      <c r="AH181" s="8">
        <v>507.52340655329556</v>
      </c>
      <c r="AI181" s="8">
        <v>506.07741158412898</v>
      </c>
      <c r="AJ181" s="8">
        <v>505.28154028289703</v>
      </c>
      <c r="AK181" s="8">
        <v>503.67935336812167</v>
      </c>
      <c r="AL181" s="8">
        <v>502.56081052065076</v>
      </c>
      <c r="AM181" s="8">
        <v>520.73984780294631</v>
      </c>
      <c r="AN181" s="8">
        <v>520.28426306576137</v>
      </c>
      <c r="AO181" s="8">
        <v>520.3500983023996</v>
      </c>
      <c r="AP181" s="8">
        <v>519.96610347018861</v>
      </c>
      <c r="AQ181" s="8">
        <v>519.44520582344683</v>
      </c>
      <c r="AR181" s="8">
        <v>534.57409739927198</v>
      </c>
      <c r="AS181" s="8">
        <v>533.89201179785277</v>
      </c>
      <c r="AT181" s="8">
        <v>533.52783074224408</v>
      </c>
      <c r="AU181" s="8">
        <v>533.20520173084481</v>
      </c>
      <c r="AV181" s="8">
        <v>534.30014277295811</v>
      </c>
      <c r="AW181" s="8">
        <v>537.43633242204476</v>
      </c>
      <c r="AX181" s="8">
        <v>536.44142526295366</v>
      </c>
      <c r="AY181" s="8">
        <v>535.05818129922511</v>
      </c>
      <c r="AZ181" s="8">
        <v>533.6140636467577</v>
      </c>
      <c r="BA181" s="8">
        <v>532.7319878075707</v>
      </c>
      <c r="BB181" s="8">
        <v>531.85364088966639</v>
      </c>
      <c r="BC181" s="8">
        <v>530.8754218703989</v>
      </c>
      <c r="BD181" s="8">
        <v>530.10727679277898</v>
      </c>
      <c r="BE181" s="8">
        <v>529.51283636061964</v>
      </c>
      <c r="BF181" s="8">
        <v>528.92951280837269</v>
      </c>
      <c r="BH181" s="8">
        <f t="shared" si="31"/>
        <v>5801.6996037501312</v>
      </c>
      <c r="BI181" s="8">
        <f t="shared" si="32"/>
        <v>6276.5249667966864</v>
      </c>
      <c r="BJ181" s="8">
        <f t="shared" si="33"/>
        <v>5326.5606791603877</v>
      </c>
    </row>
    <row r="182" spans="1:62" x14ac:dyDescent="0.25">
      <c r="A182" s="9" t="s">
        <v>692</v>
      </c>
      <c r="B182" s="9" t="s">
        <v>644</v>
      </c>
      <c r="C182" s="10">
        <v>44927</v>
      </c>
      <c r="D182" s="6" cm="1">
        <f t="array" ref="D182">_xlfn.LET(
  _xlpm.aralık, Y182:BF182,
  _xlpm.ilk, MATCH(TRUE, _xlpm.aralık&lt;&gt;0, 0),
  _xlpm.son, MIN(_xlpm.ilk+2, COLUMNS(_xlpm.aralık)),
  MAX(INDEX(_xlpm.aralık, _xlpm.ilk):INDEX(_xlpm.aralık, _xlpm.son))
)</f>
        <v>442.94952101203199</v>
      </c>
      <c r="E182" s="6">
        <f t="shared" si="26"/>
        <v>509.26471152916383</v>
      </c>
      <c r="F182" s="6">
        <f t="shared" si="27"/>
        <v>609.21340088043564</v>
      </c>
      <c r="G182" s="6">
        <f t="shared" si="34"/>
        <v>527.13274330578065</v>
      </c>
      <c r="H182" s="7">
        <f t="shared" si="28"/>
        <v>0.1497127491313632</v>
      </c>
      <c r="I182" s="7">
        <f t="shared" si="29"/>
        <v>0.37535626969080155</v>
      </c>
      <c r="J182" s="7">
        <f t="shared" si="30"/>
        <v>0.19626077968598477</v>
      </c>
      <c r="K182" s="7">
        <f t="shared" si="35"/>
        <v>0.19005150316318314</v>
      </c>
      <c r="L182" s="5" t="s">
        <v>421</v>
      </c>
      <c r="M182" s="7">
        <f>IF(R182="",(VLOOKUP(A182,[1]Export!$B$2:$H$680,7,0)),"CHURN")</f>
        <v>0.20113245589399897</v>
      </c>
      <c r="N182" s="5">
        <f t="shared" si="36"/>
        <v>421.10924006254805</v>
      </c>
      <c r="O182" s="5">
        <f t="shared" si="37"/>
        <v>406.83504939915417</v>
      </c>
      <c r="P182" s="5">
        <f t="shared" si="38"/>
        <v>486.68081339781833</v>
      </c>
      <c r="Q182" s="5" t="s">
        <v>430</v>
      </c>
      <c r="T182" s="6" t="str" cm="1">
        <f t="array" ref="T182">IF(R182&lt;&gt;"Churn","",
 _xlfn.LET(
   _xlpm.rng,Y182:BF182,
   _xlpm.pos,MAX(IF((_xlpm.rng&lt;&gt;0)*(_xlpm.rng&lt;&gt;""),COLUMN(_xlpm.rng)-COLUMN(Y182)+1)),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2" s="6" t="str" cm="1">
        <f t="array" ref="U182">IF(R182="Churn",
   MAX(IF((Y182:BF182&lt;&gt;"")*(Y182:BF182&lt;&gt;0), COLUMN(Y182:BF182)-COLUMN(Y182)+1))
   -MATCH(1, --((Y182:BF182&lt;&gt;"")*(Y182:BF182&lt;&gt;0)), 0)
   +1,
"")</f>
        <v/>
      </c>
      <c r="V182" s="6" t="str" cm="1">
        <f t="array" ref="V182">IFERROR(
    IF(
        MATCH(2,1/((Y182:BF182&lt;&gt;0)*(Y182:BF182&lt;&gt;"")))-MATCH(1,INDEX((Y182:BF182&lt;&gt;0)*(Y182:BF182&lt;&gt;""),0),0)+1 &lt;= 12,
        "No",
        "Yes"
    ),
    "No"
)</f>
        <v>Yes</v>
      </c>
      <c r="W182" s="6" t="str" cm="1">
        <f t="array" ref="W182">IFERROR(
    IF(
        MATCH(2,1/((Y182:BF182&lt;&gt;0)*(Y182:BF182&lt;&gt;"")))-MATCH(1,INDEX((Y182:BF182&lt;&gt;0)*(Y182:BF182&lt;&gt;""),0),0)+1 &lt;= 24,
        "No",
        "Yes"
    ),
    "No"
)</f>
        <v>Yes</v>
      </c>
      <c r="Y182" s="8">
        <v>442.94952101203199</v>
      </c>
      <c r="Z182" s="8">
        <v>441.41056221677991</v>
      </c>
      <c r="AA182" s="8">
        <v>438.16570075567807</v>
      </c>
      <c r="AB182" s="8">
        <v>439.38107126763038</v>
      </c>
      <c r="AC182" s="8">
        <v>502.5026829850807</v>
      </c>
      <c r="AD182" s="8">
        <v>424.01734979146016</v>
      </c>
      <c r="AE182" s="8">
        <v>501.84380577994403</v>
      </c>
      <c r="AF182" s="8">
        <v>247.14500774681116</v>
      </c>
      <c r="AG182" s="8">
        <v>369.49741749043221</v>
      </c>
      <c r="AH182" s="8">
        <v>548.76733141387456</v>
      </c>
      <c r="AI182" s="8">
        <v>533.90786228829131</v>
      </c>
      <c r="AJ182" s="8">
        <v>525.72925497583981</v>
      </c>
      <c r="AK182" s="8">
        <v>509.26471152916383</v>
      </c>
      <c r="AL182" s="8">
        <v>497.77023660909163</v>
      </c>
      <c r="AM182" s="8">
        <v>479.05748873683353</v>
      </c>
      <c r="AN182" s="8">
        <v>474.3757661301579</v>
      </c>
      <c r="AO182" s="8">
        <v>475.05230836374926</v>
      </c>
      <c r="AP182" s="8">
        <v>471.10626465315983</v>
      </c>
      <c r="AQ182" s="8">
        <v>470.16613046800552</v>
      </c>
      <c r="AR182" s="8">
        <v>460.23825421648706</v>
      </c>
      <c r="AS182" s="8">
        <v>455.07204299840396</v>
      </c>
      <c r="AT182" s="8">
        <v>452.31368502840161</v>
      </c>
      <c r="AU182" s="8">
        <v>628.02504029382908</v>
      </c>
      <c r="AV182" s="8">
        <v>618.39988445053109</v>
      </c>
      <c r="AW182" s="8">
        <v>609.21340088043564</v>
      </c>
      <c r="AX182" s="8">
        <v>598.63272392848921</v>
      </c>
      <c r="AY182" s="8">
        <v>583.92214777853758</v>
      </c>
      <c r="AZ182" s="8">
        <v>568.56418978040745</v>
      </c>
      <c r="BA182" s="8">
        <v>559.18345569253529</v>
      </c>
      <c r="BB182" s="8">
        <v>558.74209354363779</v>
      </c>
      <c r="BC182" s="8">
        <v>548.16770462163072</v>
      </c>
      <c r="BD182" s="8">
        <v>539.8641809328775</v>
      </c>
      <c r="BE182" s="8">
        <v>533.43837628503366</v>
      </c>
      <c r="BF182" s="8">
        <v>527.13274330578065</v>
      </c>
      <c r="BH182" s="8">
        <f t="shared" si="31"/>
        <v>5415.3175677238542</v>
      </c>
      <c r="BI182" s="8">
        <f t="shared" si="32"/>
        <v>5990.8418134778149</v>
      </c>
      <c r="BJ182" s="8">
        <f t="shared" si="33"/>
        <v>5626.8610167493653</v>
      </c>
    </row>
    <row r="183" spans="1:62" x14ac:dyDescent="0.25">
      <c r="A183" s="9" t="s">
        <v>94</v>
      </c>
      <c r="B183" s="9" t="s">
        <v>644</v>
      </c>
      <c r="C183" s="10">
        <v>44927</v>
      </c>
      <c r="D183" s="6" cm="1">
        <f t="array" ref="D183">_xlfn.LET(
  _xlpm.aralık, Y183:BF183,
  _xlpm.ilk, MATCH(TRUE, _xlpm.aralık&lt;&gt;0, 0),
  _xlpm.son, MIN(_xlpm.ilk+2, COLUMNS(_xlpm.aralık)),
  MAX(INDEX(_xlpm.aralık, _xlpm.ilk):INDEX(_xlpm.aralık, _xlpm.son))
)</f>
        <v>248.88366353602524</v>
      </c>
      <c r="E183" s="6">
        <f t="shared" si="26"/>
        <v>271.89451800379447</v>
      </c>
      <c r="F183" s="6">
        <f t="shared" si="27"/>
        <v>483.72888747670515</v>
      </c>
      <c r="G183" s="6">
        <f t="shared" si="34"/>
        <v>524.71948827403344</v>
      </c>
      <c r="H183" s="7">
        <f t="shared" si="28"/>
        <v>9.2456267080135116E-2</v>
      </c>
      <c r="I183" s="7">
        <f t="shared" si="29"/>
        <v>0.94359437097681065</v>
      </c>
      <c r="J183" s="7">
        <f t="shared" si="30"/>
        <v>0.77910496698559539</v>
      </c>
      <c r="K183" s="7">
        <f t="shared" si="35"/>
        <v>1.1082922069655317</v>
      </c>
      <c r="L183" s="5" t="s">
        <v>421</v>
      </c>
      <c r="M183" s="7">
        <f>IF(R183="",(VLOOKUP(A183,[1]Export!$B$2:$H$680,7,0)),"CHURN")</f>
        <v>0.39651592627620624</v>
      </c>
      <c r="N183" s="5">
        <f t="shared" si="36"/>
        <v>316.6598543458781</v>
      </c>
      <c r="O183" s="5">
        <f t="shared" si="37"/>
        <v>164.08401134809728</v>
      </c>
      <c r="P183" s="5">
        <f t="shared" si="38"/>
        <v>291.92267959232066</v>
      </c>
      <c r="Q183" s="5" t="str">
        <f>VLOOKUP(A183,[4]Sheet2!$A$1:$B$142,2,0)</f>
        <v>MEDIUM RISK</v>
      </c>
      <c r="T183" s="6" t="str" cm="1">
        <f t="array" ref="T183">IF(R183&lt;&gt;"Churn","",
 _xlfn.LET(
   _xlpm.rng,Y183:BF183,
   _xlpm.pos,MAX(IF((_xlpm.rng&lt;&gt;0)*(_xlpm.rng&lt;&gt;""),COLUMN(_xlpm.rng)-COLUMN(Y183)+1)),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3" s="6" t="str" cm="1">
        <f t="array" ref="U183">IF(R183="Churn",
   MAX(IF((Y183:BF183&lt;&gt;"")*(Y183:BF183&lt;&gt;0), COLUMN(Y183:BF183)-COLUMN(Y183)+1))
   -MATCH(1, --((Y183:BF183&lt;&gt;"")*(Y183:BF183&lt;&gt;0)), 0)
   +1,
"")</f>
        <v/>
      </c>
      <c r="V183" s="6" t="str" cm="1">
        <f t="array" ref="V183">IFERROR(
    IF(
        MATCH(2,1/((Y183:BF183&lt;&gt;0)*(Y183:BF183&lt;&gt;"")))-MATCH(1,INDEX((Y183:BF183&lt;&gt;0)*(Y183:BF183&lt;&gt;""),0),0)+1 &lt;= 12,
        "No",
        "Yes"
    ),
    "No"
)</f>
        <v>Yes</v>
      </c>
      <c r="W183" s="6" t="str" cm="1">
        <f t="array" ref="W183">IFERROR(
    IF(
        MATCH(2,1/((Y183:BF183&lt;&gt;0)*(Y183:BF183&lt;&gt;"")))-MATCH(1,INDEX((Y183:BF183&lt;&gt;0)*(Y183:BF183&lt;&gt;""),0),0)+1 &lt;= 24,
        "No",
        "Yes"
    ),
    "No"
)</f>
        <v>Yes</v>
      </c>
      <c r="Y183" s="8">
        <v>200.92594744726335</v>
      </c>
      <c r="Z183" s="8">
        <v>200.65868028070997</v>
      </c>
      <c r="AA183" s="8">
        <v>248.88366353602524</v>
      </c>
      <c r="AB183" s="8">
        <v>246.55833130461357</v>
      </c>
      <c r="AC183" s="8">
        <v>244.12098052766373</v>
      </c>
      <c r="AD183" s="8">
        <v>224.06304057980924</v>
      </c>
      <c r="AE183" s="8">
        <v>243.95394071599804</v>
      </c>
      <c r="AF183" s="8">
        <v>241.57097899629565</v>
      </c>
      <c r="AG183" s="8">
        <v>284.4563036159069</v>
      </c>
      <c r="AH183" s="8">
        <v>280.65113003547629</v>
      </c>
      <c r="AI183" s="8">
        <v>277.35720658155753</v>
      </c>
      <c r="AJ183" s="8">
        <v>275.54424097563998</v>
      </c>
      <c r="AK183" s="8">
        <v>271.89451800379447</v>
      </c>
      <c r="AL183" s="8">
        <v>328.42754920804532</v>
      </c>
      <c r="AM183" s="8">
        <v>324.01752404584221</v>
      </c>
      <c r="AN183" s="8">
        <v>322.41380662731513</v>
      </c>
      <c r="AO183" s="8">
        <v>306.64555520695814</v>
      </c>
      <c r="AP183" s="8">
        <v>305.29384354768172</v>
      </c>
      <c r="AQ183" s="8">
        <v>463.46021620864656</v>
      </c>
      <c r="AR183" s="8">
        <v>460.09195338497386</v>
      </c>
      <c r="AS183" s="8">
        <v>477.53920861306148</v>
      </c>
      <c r="AT183" s="8">
        <v>476.60337821300709</v>
      </c>
      <c r="AU183" s="8">
        <v>488.27432345533339</v>
      </c>
      <c r="AV183" s="8">
        <v>485.94860751380406</v>
      </c>
      <c r="AW183" s="8">
        <v>483.72888747670515</v>
      </c>
      <c r="AX183" s="8">
        <v>536.55324443697066</v>
      </c>
      <c r="AY183" s="8">
        <v>531.76675277796733</v>
      </c>
      <c r="AZ183" s="8">
        <v>526.76961758026687</v>
      </c>
      <c r="BA183" s="8">
        <v>525.87733702991773</v>
      </c>
      <c r="BB183" s="8">
        <v>522.8379598076034</v>
      </c>
      <c r="BC183" s="8">
        <v>531.45299135722121</v>
      </c>
      <c r="BD183" s="8">
        <v>528.79494975115404</v>
      </c>
      <c r="BE183" s="8">
        <v>526.73798493156028</v>
      </c>
      <c r="BF183" s="8">
        <v>524.71948827403344</v>
      </c>
      <c r="BH183" s="8">
        <f t="shared" si="31"/>
        <v>2968.7444445969595</v>
      </c>
      <c r="BI183" s="8">
        <f t="shared" si="32"/>
        <v>4710.6104840284634</v>
      </c>
      <c r="BJ183" s="8">
        <f t="shared" si="33"/>
        <v>5239.2392134233996</v>
      </c>
    </row>
    <row r="184" spans="1:62" x14ac:dyDescent="0.25">
      <c r="A184" s="9" t="s">
        <v>119</v>
      </c>
      <c r="B184" s="9" t="s">
        <v>644</v>
      </c>
      <c r="C184" s="10">
        <v>44927</v>
      </c>
      <c r="D184" s="6" cm="1">
        <f t="array" ref="D184">_xlfn.LET(
  _xlpm.aralık, Y184:BF184,
  _xlpm.ilk, MATCH(TRUE, _xlpm.aralık&lt;&gt;0, 0),
  _xlpm.son, MIN(_xlpm.ilk+2, COLUMNS(_xlpm.aralık)),
  MAX(INDEX(_xlpm.aralık, _xlpm.ilk):INDEX(_xlpm.aralık, _xlpm.son))
)</f>
        <v>688</v>
      </c>
      <c r="E184" s="6">
        <f t="shared" si="26"/>
        <v>691</v>
      </c>
      <c r="F184" s="6">
        <f t="shared" si="27"/>
        <v>515.23500000000001</v>
      </c>
      <c r="G184" s="6">
        <f t="shared" si="34"/>
        <v>515.23500000000001</v>
      </c>
      <c r="H184" s="7">
        <f t="shared" si="28"/>
        <v>4.3604651162790697E-3</v>
      </c>
      <c r="I184" s="7">
        <f t="shared" si="29"/>
        <v>-0.25111191860465115</v>
      </c>
      <c r="J184" s="7">
        <f t="shared" si="30"/>
        <v>-0.25436324167872648</v>
      </c>
      <c r="K184" s="7">
        <f t="shared" si="35"/>
        <v>-0.25111191860465115</v>
      </c>
      <c r="L184" s="5" t="s">
        <v>412</v>
      </c>
      <c r="M184" s="7">
        <f>IF(R184="",(VLOOKUP(A184,[1]Export!$B$2:$H$680,7,0)),"CHURN")</f>
        <v>0.97819441614020786</v>
      </c>
      <c r="N184" s="5">
        <f t="shared" si="36"/>
        <v>11.235000000000005</v>
      </c>
      <c r="O184" s="5">
        <f t="shared" si="37"/>
        <v>15.067658447116372</v>
      </c>
      <c r="P184" s="5">
        <f t="shared" si="38"/>
        <v>11.235000000000005</v>
      </c>
      <c r="Q184" s="5" t="s">
        <v>430</v>
      </c>
      <c r="T184" s="6" t="str" cm="1">
        <f t="array" ref="T184">IF(R184&lt;&gt;"Churn","",
 _xlfn.LET(
   _xlpm.rng,Y184:BF184,
   _xlpm.pos,MAX(IF((_xlpm.rng&lt;&gt;0)*(_xlpm.rng&lt;&gt;""),COLUMN(_xlpm.rng)-COLUMN(Y184)+1)),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4" s="6" t="str" cm="1">
        <f t="array" ref="U184">IF(R184="Churn",
   MAX(IF((Y184:BF184&lt;&gt;"")*(Y184:BF184&lt;&gt;0), COLUMN(Y184:BF184)-COLUMN(Y184)+1))
   -MATCH(1, --((Y184:BF184&lt;&gt;"")*(Y184:BF184&lt;&gt;0)), 0)
   +1,
"")</f>
        <v/>
      </c>
      <c r="V184" s="6" t="str" cm="1">
        <f t="array" ref="V184">IFERROR(
    IF(
        MATCH(2,1/((Y184:BF184&lt;&gt;0)*(Y184:BF184&lt;&gt;"")))-MATCH(1,INDEX((Y184:BF184&lt;&gt;0)*(Y184:BF184&lt;&gt;""),0),0)+1 &lt;= 12,
        "No",
        "Yes"
    ),
    "No"
)</f>
        <v>Yes</v>
      </c>
      <c r="W184" s="6" t="str" cm="1">
        <f t="array" ref="W184">IFERROR(
    IF(
        MATCH(2,1/((Y184:BF184&lt;&gt;0)*(Y184:BF184&lt;&gt;"")))-MATCH(1,INDEX((Y184:BF184&lt;&gt;0)*(Y184:BF184&lt;&gt;""),0),0)+1 &lt;= 24,
        "No",
        "Yes"
    ),
    "No"
)</f>
        <v>Yes</v>
      </c>
      <c r="Y184" s="8">
        <v>680</v>
      </c>
      <c r="Z184" s="8">
        <v>680</v>
      </c>
      <c r="AA184" s="8">
        <v>688</v>
      </c>
      <c r="AB184" s="8">
        <v>688</v>
      </c>
      <c r="AC184" s="8">
        <v>688</v>
      </c>
      <c r="AD184" s="8">
        <v>688</v>
      </c>
      <c r="AE184" s="8">
        <v>688</v>
      </c>
      <c r="AF184" s="8">
        <v>688</v>
      </c>
      <c r="AG184" s="8">
        <v>688</v>
      </c>
      <c r="AH184" s="8">
        <v>688</v>
      </c>
      <c r="AI184" s="8">
        <v>688</v>
      </c>
      <c r="AJ184" s="8">
        <v>691</v>
      </c>
      <c r="AK184" s="8">
        <v>691</v>
      </c>
      <c r="AL184" s="8">
        <v>526</v>
      </c>
      <c r="AM184" s="8">
        <v>526</v>
      </c>
      <c r="AN184" s="8">
        <v>526</v>
      </c>
      <c r="AO184" s="8">
        <v>505</v>
      </c>
      <c r="AP184" s="8">
        <v>506.48500000000001</v>
      </c>
      <c r="AQ184" s="8">
        <v>506.48500000000001</v>
      </c>
      <c r="AR184" s="8">
        <v>515.23500000000001</v>
      </c>
      <c r="AS184" s="8">
        <v>515.23500000000001</v>
      </c>
      <c r="AT184" s="8">
        <v>515.23500000000001</v>
      </c>
      <c r="AU184" s="8">
        <v>515.23500000000001</v>
      </c>
      <c r="AV184" s="8">
        <v>515.23500000000001</v>
      </c>
      <c r="AW184" s="8">
        <v>515.23500000000001</v>
      </c>
      <c r="AX184" s="8">
        <v>515.23500000000001</v>
      </c>
      <c r="AY184" s="8">
        <v>515.23500000000001</v>
      </c>
      <c r="AZ184" s="8">
        <v>515.23500000000001</v>
      </c>
      <c r="BA184" s="8">
        <v>515.23500000000001</v>
      </c>
      <c r="BB184" s="8">
        <v>515.23500000000001</v>
      </c>
      <c r="BC184" s="8">
        <v>515.23500000000001</v>
      </c>
      <c r="BD184" s="8">
        <v>515.23500000000001</v>
      </c>
      <c r="BE184" s="8">
        <v>515.23500000000001</v>
      </c>
      <c r="BF184" s="8">
        <v>515.23500000000001</v>
      </c>
      <c r="BH184" s="8">
        <f t="shared" si="31"/>
        <v>8243</v>
      </c>
      <c r="BI184" s="8">
        <f t="shared" si="32"/>
        <v>6363.1449999999986</v>
      </c>
      <c r="BJ184" s="8">
        <f t="shared" si="33"/>
        <v>5152.3499999999995</v>
      </c>
    </row>
    <row r="185" spans="1:62" x14ac:dyDescent="0.25">
      <c r="A185" s="9" t="s">
        <v>37</v>
      </c>
      <c r="B185" s="9" t="s">
        <v>644</v>
      </c>
      <c r="C185" s="10">
        <v>44927</v>
      </c>
      <c r="D185" s="6" cm="1">
        <f t="array" ref="D185">_xlfn.LET(
  _xlpm.aralık, Y185:BF185,
  _xlpm.ilk, MATCH(TRUE, _xlpm.aralık&lt;&gt;0, 0),
  _xlpm.son, MIN(_xlpm.ilk+2, COLUMNS(_xlpm.aralık)),
  MAX(INDEX(_xlpm.aralık, _xlpm.ilk):INDEX(_xlpm.aralık, _xlpm.son))
)</f>
        <v>448.92</v>
      </c>
      <c r="E185" s="6">
        <f t="shared" si="26"/>
        <v>494.999999</v>
      </c>
      <c r="F185" s="6">
        <f t="shared" si="27"/>
        <v>514.999999</v>
      </c>
      <c r="G185" s="6">
        <f t="shared" si="34"/>
        <v>514.999999</v>
      </c>
      <c r="H185" s="7">
        <f t="shared" si="28"/>
        <v>0.10264634901541474</v>
      </c>
      <c r="I185" s="7">
        <f t="shared" si="29"/>
        <v>0.14719771674240395</v>
      </c>
      <c r="J185" s="7">
        <f t="shared" si="30"/>
        <v>4.0404040485664726E-2</v>
      </c>
      <c r="K185" s="7">
        <f t="shared" si="35"/>
        <v>0.14719771674240395</v>
      </c>
      <c r="L185" s="5" t="s">
        <v>412</v>
      </c>
      <c r="M185" s="7">
        <f>IF(R185="",(VLOOKUP(A185,[1]Export!$B$2:$H$680,7,0)),"CHURN")</f>
        <v>0</v>
      </c>
      <c r="N185" s="5">
        <f t="shared" si="36"/>
        <v>514.999999</v>
      </c>
      <c r="O185" s="5">
        <f t="shared" si="37"/>
        <v>494.999999</v>
      </c>
      <c r="P185" s="5">
        <f t="shared" si="38"/>
        <v>514.999999</v>
      </c>
      <c r="Q185" s="5" t="s">
        <v>430</v>
      </c>
      <c r="T185" s="6" t="str" cm="1">
        <f t="array" ref="T185">IF(R185&lt;&gt;"Churn","",
 _xlfn.LET(
   _xlpm.rng,Y185:BF185,
   _xlpm.pos,MAX(IF((_xlpm.rng&lt;&gt;0)*(_xlpm.rng&lt;&gt;""),COLUMN(_xlpm.rng)-COLUMN(Y185)+1)),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5" s="6" t="str" cm="1">
        <f t="array" ref="U185">IF(R185="Churn",
   MAX(IF((Y185:BF185&lt;&gt;"")*(Y185:BF185&lt;&gt;0), COLUMN(Y185:BF185)-COLUMN(Y185)+1))
   -MATCH(1, --((Y185:BF185&lt;&gt;"")*(Y185:BF185&lt;&gt;0)), 0)
   +1,
"")</f>
        <v/>
      </c>
      <c r="V185" s="6" t="str" cm="1">
        <f t="array" ref="V185">IFERROR(
    IF(
        MATCH(2,1/((Y185:BF185&lt;&gt;0)*(Y185:BF185&lt;&gt;"")))-MATCH(1,INDEX((Y185:BF185&lt;&gt;0)*(Y185:BF185&lt;&gt;""),0),0)+1 &lt;= 12,
        "No",
        "Yes"
    ),
    "No"
)</f>
        <v>Yes</v>
      </c>
      <c r="W185" s="6" t="str" cm="1">
        <f t="array" ref="W185">IFERROR(
    IF(
        MATCH(2,1/((Y185:BF185&lt;&gt;0)*(Y185:BF185&lt;&gt;"")))-MATCH(1,INDEX((Y185:BF185&lt;&gt;0)*(Y185:BF185&lt;&gt;""),0),0)+1 &lt;= 24,
        "No",
        "Yes"
    ),
    "No"
)</f>
        <v>Yes</v>
      </c>
      <c r="Y185" s="8">
        <v>292.09096773161752</v>
      </c>
      <c r="Z185" s="8">
        <v>291.0761433724507</v>
      </c>
      <c r="AA185" s="8">
        <v>448.92</v>
      </c>
      <c r="AB185" s="8">
        <v>448.92</v>
      </c>
      <c r="AC185" s="8">
        <v>448.92</v>
      </c>
      <c r="AD185" s="8">
        <v>379</v>
      </c>
      <c r="AE185" s="8">
        <v>378.99999900000006</v>
      </c>
      <c r="AF185" s="8">
        <v>378.99999900000006</v>
      </c>
      <c r="AG185" s="8">
        <v>378.99999900000006</v>
      </c>
      <c r="AH185" s="8">
        <v>416.99999900000006</v>
      </c>
      <c r="AI185" s="8">
        <v>494.999999</v>
      </c>
      <c r="AJ185" s="8">
        <v>494.999999</v>
      </c>
      <c r="AK185" s="8">
        <v>494.999999</v>
      </c>
      <c r="AL185" s="8">
        <v>514.999999</v>
      </c>
      <c r="AM185" s="8">
        <v>514.999999</v>
      </c>
      <c r="AN185" s="8">
        <v>514.999999</v>
      </c>
      <c r="AO185" s="8">
        <v>514.999999</v>
      </c>
      <c r="AP185" s="8">
        <v>514.999999</v>
      </c>
      <c r="AQ185" s="8">
        <v>514.999999</v>
      </c>
      <c r="AR185" s="8">
        <v>514.999999</v>
      </c>
      <c r="AS185" s="8">
        <v>514.999999</v>
      </c>
      <c r="AT185" s="8">
        <v>514.999999</v>
      </c>
      <c r="AU185" s="8">
        <v>514.999999</v>
      </c>
      <c r="AV185" s="8">
        <v>514.999999</v>
      </c>
      <c r="AW185" s="8">
        <v>514.999999</v>
      </c>
      <c r="AX185" s="8">
        <v>514.999999</v>
      </c>
      <c r="AY185" s="8">
        <v>514.999999</v>
      </c>
      <c r="AZ185" s="8">
        <v>514.999999</v>
      </c>
      <c r="BA185" s="8">
        <v>514.999999</v>
      </c>
      <c r="BB185" s="8">
        <v>514.999999</v>
      </c>
      <c r="BC185" s="8">
        <v>514.999999</v>
      </c>
      <c r="BD185" s="8">
        <v>514.999999</v>
      </c>
      <c r="BE185" s="8">
        <v>514.999999</v>
      </c>
      <c r="BF185" s="8">
        <v>514.999999</v>
      </c>
      <c r="BH185" s="8">
        <f t="shared" si="31"/>
        <v>4852.9271051040687</v>
      </c>
      <c r="BI185" s="8">
        <f t="shared" si="32"/>
        <v>6159.9999879999987</v>
      </c>
      <c r="BJ185" s="8">
        <f t="shared" si="33"/>
        <v>5149.9999899999993</v>
      </c>
    </row>
    <row r="186" spans="1:62" x14ac:dyDescent="0.25">
      <c r="A186" s="9" t="s">
        <v>464</v>
      </c>
      <c r="B186" s="9" t="s">
        <v>644</v>
      </c>
      <c r="C186" s="10">
        <f>VLOOKUP(A186,'[2]Revenue_Engine_2025 Oct.25'!$C$14:G$3937,5,0)</f>
        <v>45512</v>
      </c>
      <c r="D186" s="6" cm="1">
        <f t="array" ref="D186">_xlfn.LET(
  _xlpm.aralık, Y186:BF186,
  _xlpm.ilk, MATCH(TRUE, _xlpm.aralık&lt;&gt;0, 0),
  _xlpm.son, MIN(_xlpm.ilk+2, COLUMNS(_xlpm.aralık)),
  MAX(INDEX(_xlpm.aralık, _xlpm.ilk):INDEX(_xlpm.aralık, _xlpm.son))
)</f>
        <v>499.99420299999997</v>
      </c>
      <c r="E186" s="6">
        <f t="shared" si="26"/>
        <v>512.49420299999997</v>
      </c>
      <c r="F186" s="6">
        <f t="shared" si="27"/>
        <v>0</v>
      </c>
      <c r="G186" s="6">
        <f t="shared" si="34"/>
        <v>512.49420299999997</v>
      </c>
      <c r="H186" s="7">
        <f t="shared" si="28"/>
        <v>2.5000289853360561E-2</v>
      </c>
      <c r="I186" s="7">
        <f t="shared" si="29"/>
        <v>-1</v>
      </c>
      <c r="J186" s="7">
        <f t="shared" si="30"/>
        <v>-1</v>
      </c>
      <c r="K186" s="7">
        <f t="shared" si="35"/>
        <v>2.5000289853360561E-2</v>
      </c>
      <c r="L186" s="5" t="s">
        <v>416</v>
      </c>
      <c r="M186" s="7">
        <f>IF(R186="",(VLOOKUP(A186,[1]Export!$B$2:$H$680,7,0)),"CHURN")</f>
        <v>0.26980292692208269</v>
      </c>
      <c r="N186" s="5">
        <f t="shared" si="36"/>
        <v>374.22176699999994</v>
      </c>
      <c r="O186" s="5">
        <f t="shared" si="37"/>
        <v>374.22176699999994</v>
      </c>
      <c r="P186" s="5">
        <f t="shared" si="38"/>
        <v>0</v>
      </c>
      <c r="Q186" s="5" t="s">
        <v>430</v>
      </c>
      <c r="T186" s="6" t="str" cm="1">
        <f t="array" ref="T186">IF(R186&lt;&gt;"Churn","",
 _xlfn.LET(
   _xlpm.rng,Y186:BF186,
   _xlpm.pos,MAX(IF((_xlpm.rng&lt;&gt;0)*(_xlpm.rng&lt;&gt;""),COLUMN(_xlpm.rng)-COLUMN(Y186)+1)),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6" s="6" t="str" cm="1">
        <f t="array" ref="U186">IF(R186="Churn",
   MAX(IF((Y186:BF186&lt;&gt;"")*(Y186:BF186&lt;&gt;0), COLUMN(Y186:BF186)-COLUMN(Y186)+1))
   -MATCH(1, --((Y186:BF186&lt;&gt;"")*(Y186:BF186&lt;&gt;0)), 0)
   +1,
"")</f>
        <v/>
      </c>
      <c r="V186" s="6" t="str" cm="1">
        <f t="array" ref="V186">IFERROR(
    IF(
        MATCH(2,1/((Y186:BF186&lt;&gt;0)*(Y186:BF186&lt;&gt;"")))-MATCH(1,INDEX((Y186:BF186&lt;&gt;0)*(Y186:BF186&lt;&gt;""),0),0)+1 &lt;= 12,
        "No",
        "Yes"
    ),
    "No"
)</f>
        <v>Yes</v>
      </c>
      <c r="W186" s="6" t="str" cm="1">
        <f t="array" ref="W186">IFERROR(
    IF(
        MATCH(2,1/((Y186:BF186&lt;&gt;0)*(Y186:BF186&lt;&gt;"")))-MATCH(1,INDEX((Y186:BF186&lt;&gt;0)*(Y186:BF186&lt;&gt;""),0),0)+1 &lt;= 24,
        "No",
        "Yes"
    ),
    "No"
)</f>
        <v>No</v>
      </c>
      <c r="X186" s="6"/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499.99420299999997</v>
      </c>
      <c r="AS186" s="8">
        <v>499.99420299999997</v>
      </c>
      <c r="AT186" s="8">
        <v>499.99420299999997</v>
      </c>
      <c r="AU186" s="8">
        <v>499.99420299999997</v>
      </c>
      <c r="AV186" s="8">
        <v>512.5</v>
      </c>
      <c r="AW186" s="8">
        <v>512.49420299999997</v>
      </c>
      <c r="AX186" s="8">
        <v>512.49420299999997</v>
      </c>
      <c r="AY186" s="8">
        <v>512.49420299999997</v>
      </c>
      <c r="AZ186" s="8">
        <v>512.49420299999997</v>
      </c>
      <c r="BA186" s="8">
        <v>512.49420299999997</v>
      </c>
      <c r="BB186" s="8">
        <v>512.49420299999997</v>
      </c>
      <c r="BC186" s="8">
        <v>512.49420299999997</v>
      </c>
      <c r="BD186" s="8">
        <v>512.49420299999997</v>
      </c>
      <c r="BE186" s="8">
        <v>512.49420299999997</v>
      </c>
      <c r="BF186" s="8">
        <v>512.49420299999997</v>
      </c>
      <c r="BH186" s="8">
        <f t="shared" si="31"/>
        <v>0</v>
      </c>
      <c r="BI186" s="8">
        <f t="shared" si="32"/>
        <v>2512.4768119999999</v>
      </c>
      <c r="BJ186" s="8">
        <f t="shared" si="33"/>
        <v>5124.9420300000011</v>
      </c>
    </row>
    <row r="187" spans="1:62" x14ac:dyDescent="0.25">
      <c r="A187" s="9" t="s">
        <v>144</v>
      </c>
      <c r="B187" s="9" t="s">
        <v>644</v>
      </c>
      <c r="C187" s="10">
        <v>44927</v>
      </c>
      <c r="D187" s="6" cm="1">
        <f t="array" ref="D187">_xlfn.LET(
  _xlpm.aralık, Y187:BF187,
  _xlpm.ilk, MATCH(TRUE, _xlpm.aralık&lt;&gt;0, 0),
  _xlpm.son, MIN(_xlpm.ilk+2, COLUMNS(_xlpm.aralık)),
  MAX(INDEX(_xlpm.aralık, _xlpm.ilk):INDEX(_xlpm.aralık, _xlpm.son))
)</f>
        <v>431.33333333333331</v>
      </c>
      <c r="E187" s="6">
        <f t="shared" si="26"/>
        <v>500.4375</v>
      </c>
      <c r="F187" s="6">
        <f t="shared" si="27"/>
        <v>752.0067396666667</v>
      </c>
      <c r="G187" s="6">
        <f t="shared" si="34"/>
        <v>510.01018999999997</v>
      </c>
      <c r="H187" s="7">
        <f t="shared" si="28"/>
        <v>0.16021058732612062</v>
      </c>
      <c r="I187" s="7">
        <f t="shared" si="29"/>
        <v>0.74344684621329227</v>
      </c>
      <c r="J187" s="7">
        <f t="shared" si="30"/>
        <v>0.50269861804254623</v>
      </c>
      <c r="K187" s="7">
        <f t="shared" si="35"/>
        <v>0.18240384080370939</v>
      </c>
      <c r="L187" s="5" t="s">
        <v>418</v>
      </c>
      <c r="M187" s="7">
        <f>IF(R187="",(VLOOKUP(A187,[1]Export!$B$2:$H$680,7,0)),"CHURN")</f>
        <v>0.20275281166441009</v>
      </c>
      <c r="N187" s="5">
        <f t="shared" si="36"/>
        <v>406.60418999999996</v>
      </c>
      <c r="O187" s="5">
        <f t="shared" si="37"/>
        <v>398.9723898126918</v>
      </c>
      <c r="P187" s="5">
        <f t="shared" si="38"/>
        <v>599.53525880866403</v>
      </c>
      <c r="Q187" s="5" t="str">
        <f>VLOOKUP(A187,[4]Sheet2!$A$1:$B$142,2,0)</f>
        <v>MEDIUM RISK</v>
      </c>
      <c r="T187" s="6" t="str" cm="1">
        <f t="array" ref="T187">IF(R187&lt;&gt;"Churn","",
 _xlfn.LET(
   _xlpm.rng,Y187:BF187,
   _xlpm.pos,MAX(IF((_xlpm.rng&lt;&gt;0)*(_xlpm.rng&lt;&gt;""),COLUMN(_xlpm.rng)-COLUMN(Y187)+1)),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7" s="6" t="str" cm="1">
        <f t="array" ref="U187">IF(R187="Churn",
   MAX(IF((Y187:BF187&lt;&gt;"")*(Y187:BF187&lt;&gt;0), COLUMN(Y187:BF187)-COLUMN(Y187)+1))
   -MATCH(1, --((Y187:BF187&lt;&gt;"")*(Y187:BF187&lt;&gt;0)), 0)
   +1,
"")</f>
        <v/>
      </c>
      <c r="V187" s="6" t="str" cm="1">
        <f t="array" ref="V187">IFERROR(
    IF(
        MATCH(2,1/((Y187:BF187&lt;&gt;0)*(Y187:BF187&lt;&gt;"")))-MATCH(1,INDEX((Y187:BF187&lt;&gt;0)*(Y187:BF187&lt;&gt;""),0),0)+1 &lt;= 12,
        "No",
        "Yes"
    ),
    "No"
)</f>
        <v>Yes</v>
      </c>
      <c r="W187" s="6" t="str" cm="1">
        <f t="array" ref="W187">IFERROR(
    IF(
        MATCH(2,1/((Y187:BF187&lt;&gt;0)*(Y187:BF187&lt;&gt;"")))-MATCH(1,INDEX((Y187:BF187&lt;&gt;0)*(Y187:BF187&lt;&gt;""),0),0)+1 &lt;= 24,
        "No",
        "Yes"
    ),
    "No"
)</f>
        <v>Yes</v>
      </c>
      <c r="Y187" s="8">
        <v>431.33333333333331</v>
      </c>
      <c r="Z187" s="8">
        <v>431.33333333333331</v>
      </c>
      <c r="AA187" s="8">
        <v>431.33333333333331</v>
      </c>
      <c r="AB187" s="8">
        <v>440.33333333333331</v>
      </c>
      <c r="AC187" s="8">
        <v>440.33333333333331</v>
      </c>
      <c r="AD187" s="8">
        <v>500.33333333333331</v>
      </c>
      <c r="AE187" s="8">
        <v>500.33333333333331</v>
      </c>
      <c r="AF187" s="8">
        <v>500.33333333333331</v>
      </c>
      <c r="AG187" s="8">
        <v>500.33333333333331</v>
      </c>
      <c r="AH187" s="8">
        <v>500.33333333333331</v>
      </c>
      <c r="AI187" s="8">
        <v>500.33333333333331</v>
      </c>
      <c r="AJ187" s="8">
        <v>500.33333333333331</v>
      </c>
      <c r="AK187" s="8">
        <v>500.4375</v>
      </c>
      <c r="AL187" s="8">
        <v>500.4375</v>
      </c>
      <c r="AM187" s="8">
        <v>500.4375</v>
      </c>
      <c r="AN187" s="8">
        <v>500.4375</v>
      </c>
      <c r="AO187" s="8">
        <v>502.42916666666667</v>
      </c>
      <c r="AP187" s="8">
        <v>502.42916666666667</v>
      </c>
      <c r="AQ187" s="8">
        <v>502.42916666666667</v>
      </c>
      <c r="AR187" s="8">
        <v>502.42916666666667</v>
      </c>
      <c r="AS187" s="8">
        <v>502.42916666666667</v>
      </c>
      <c r="AT187" s="8">
        <v>502.42916666666667</v>
      </c>
      <c r="AU187" s="8">
        <v>502.42916666666667</v>
      </c>
      <c r="AV187" s="8">
        <v>502.42916666666667</v>
      </c>
      <c r="AW187" s="8">
        <v>752.0067396666667</v>
      </c>
      <c r="AX187" s="8">
        <v>752.0067396666667</v>
      </c>
      <c r="AY187" s="8">
        <v>510.00185666666664</v>
      </c>
      <c r="AZ187" s="8">
        <v>510.00185666666664</v>
      </c>
      <c r="BA187" s="8">
        <v>510.01018999999997</v>
      </c>
      <c r="BB187" s="8">
        <v>510.01018999999997</v>
      </c>
      <c r="BC187" s="8">
        <v>510.01018999999997</v>
      </c>
      <c r="BD187" s="8">
        <v>510.01018999999997</v>
      </c>
      <c r="BE187" s="8">
        <v>510.01018999999997</v>
      </c>
      <c r="BF187" s="8">
        <v>510.01018999999997</v>
      </c>
      <c r="BH187" s="8">
        <f t="shared" si="31"/>
        <v>5676.9999999999991</v>
      </c>
      <c r="BI187" s="8">
        <f t="shared" si="32"/>
        <v>6021.1833333333343</v>
      </c>
      <c r="BJ187" s="8">
        <f t="shared" si="33"/>
        <v>5584.078332666666</v>
      </c>
    </row>
    <row r="188" spans="1:62" x14ac:dyDescent="0.25">
      <c r="A188" s="9" t="s">
        <v>171</v>
      </c>
      <c r="B188" s="9" t="s">
        <v>644</v>
      </c>
      <c r="C188" s="10">
        <v>44927</v>
      </c>
      <c r="D188" s="6" cm="1">
        <f t="array" ref="D188">_xlfn.LET(
  _xlpm.aralık, Y188:BF188,
  _xlpm.ilk, MATCH(TRUE, _xlpm.aralık&lt;&gt;0, 0),
  _xlpm.son, MIN(_xlpm.ilk+2, COLUMNS(_xlpm.aralık)),
  MAX(INDEX(_xlpm.aralık, _xlpm.ilk):INDEX(_xlpm.aralık, _xlpm.son))
)</f>
        <v>494.0155070469674</v>
      </c>
      <c r="E188" s="6">
        <f t="shared" si="26"/>
        <v>498.16914464054094</v>
      </c>
      <c r="F188" s="6">
        <f t="shared" si="27"/>
        <v>500.68370629567966</v>
      </c>
      <c r="G188" s="6">
        <f t="shared" si="34"/>
        <v>502.19882227755636</v>
      </c>
      <c r="H188" s="7">
        <f t="shared" si="28"/>
        <v>8.4079093354829399E-3</v>
      </c>
      <c r="I188" s="7">
        <f t="shared" si="29"/>
        <v>1.3497955334584855E-2</v>
      </c>
      <c r="J188" s="7">
        <f t="shared" si="30"/>
        <v>5.0476061839460741E-3</v>
      </c>
      <c r="K188" s="7">
        <f t="shared" si="35"/>
        <v>1.6564895461491959E-2</v>
      </c>
      <c r="L188" s="5" t="s">
        <v>418</v>
      </c>
      <c r="M188" s="7">
        <f>IF(R188="",(VLOOKUP(A188,[1]Export!$B$2:$H$680,7,0)),"CHURN")</f>
        <v>9.3560773160128896E-2</v>
      </c>
      <c r="N188" s="5">
        <f t="shared" si="36"/>
        <v>455.21271218516205</v>
      </c>
      <c r="O188" s="5">
        <f t="shared" si="37"/>
        <v>451.56005430345186</v>
      </c>
      <c r="P188" s="5">
        <f t="shared" si="38"/>
        <v>453.83935162597697</v>
      </c>
      <c r="Q188" s="5" t="s">
        <v>430</v>
      </c>
      <c r="T188" s="6" t="str" cm="1">
        <f t="array" ref="T188">IF(R188&lt;&gt;"Churn","",
 _xlfn.LET(
   _xlpm.rng,Y188:BF188,
   _xlpm.pos,MAX(IF((_xlpm.rng&lt;&gt;0)*(_xlpm.rng&lt;&gt;""),COLUMN(_xlpm.rng)-COLUMN(Y188)+1)),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8" s="6" t="str" cm="1">
        <f t="array" ref="U188">IF(R188="Churn",
   MAX(IF((Y188:BF188&lt;&gt;"")*(Y188:BF188&lt;&gt;0), COLUMN(Y188:BF188)-COLUMN(Y188)+1))
   -MATCH(1, --((Y188:BF188&lt;&gt;"")*(Y188:BF188&lt;&gt;0)), 0)
   +1,
"")</f>
        <v/>
      </c>
      <c r="V188" s="6" t="str" cm="1">
        <f t="array" ref="V188">IFERROR(
    IF(
        MATCH(2,1/((Y188:BF188&lt;&gt;0)*(Y188:BF188&lt;&gt;"")))-MATCH(1,INDEX((Y188:BF188&lt;&gt;0)*(Y188:BF188&lt;&gt;""),0),0)+1 &lt;= 12,
        "No",
        "Yes"
    ),
    "No"
)</f>
        <v>Yes</v>
      </c>
      <c r="W188" s="6" t="str" cm="1">
        <f t="array" ref="W188">IFERROR(
    IF(
        MATCH(2,1/((Y188:BF188&lt;&gt;0)*(Y188:BF188&lt;&gt;"")))-MATCH(1,INDEX((Y188:BF188&lt;&gt;0)*(Y188:BF188&lt;&gt;""),0),0)+1 &lt;= 24,
        "No",
        "Yes"
    ),
    "No"
)</f>
        <v>Yes</v>
      </c>
      <c r="Y188" s="8">
        <v>488.62329208936842</v>
      </c>
      <c r="Z188" s="8">
        <v>494.0155070469674</v>
      </c>
      <c r="AA188" s="8">
        <v>493.9198285090518</v>
      </c>
      <c r="AB188" s="8">
        <v>502.69028959758833</v>
      </c>
      <c r="AC188" s="8">
        <v>502.44969307695436</v>
      </c>
      <c r="AD188" s="8">
        <v>500.46972753068269</v>
      </c>
      <c r="AE188" s="8">
        <v>499.27851059075709</v>
      </c>
      <c r="AF188" s="8">
        <v>499.10296756742696</v>
      </c>
      <c r="AG188" s="8">
        <v>499.09451990215041</v>
      </c>
      <c r="AH188" s="8">
        <v>498.81420835997085</v>
      </c>
      <c r="AI188" s="8">
        <v>498.57155851925449</v>
      </c>
      <c r="AJ188" s="8">
        <v>498.43800477349987</v>
      </c>
      <c r="AK188" s="8">
        <v>498.16914464054094</v>
      </c>
      <c r="AL188" s="8">
        <v>502.33372534711134</v>
      </c>
      <c r="AM188" s="8">
        <v>501.86152414609847</v>
      </c>
      <c r="AN188" s="8">
        <v>501.74338462683744</v>
      </c>
      <c r="AO188" s="8">
        <v>501.76045662809662</v>
      </c>
      <c r="AP188" s="8">
        <v>501.66088137639599</v>
      </c>
      <c r="AQ188" s="8">
        <v>501.52580530262208</v>
      </c>
      <c r="AR188" s="8">
        <v>501.27768047041161</v>
      </c>
      <c r="AS188" s="8">
        <v>501.14856269545396</v>
      </c>
      <c r="AT188" s="8">
        <v>501.07962377124261</v>
      </c>
      <c r="AU188" s="8">
        <v>501.01855058629047</v>
      </c>
      <c r="AV188" s="8">
        <v>500.84722429146086</v>
      </c>
      <c r="AW188" s="8">
        <v>500.68370629567966</v>
      </c>
      <c r="AX188" s="8">
        <v>504.11064034219595</v>
      </c>
      <c r="AY188" s="8">
        <v>503.75859806086618</v>
      </c>
      <c r="AZ188" s="8">
        <v>503.39106313122676</v>
      </c>
      <c r="BA188" s="8">
        <v>503.16657056239882</v>
      </c>
      <c r="BB188" s="8">
        <v>502.94302702207892</v>
      </c>
      <c r="BC188" s="8">
        <v>502.69406554875007</v>
      </c>
      <c r="BD188" s="8">
        <v>502.49856890997307</v>
      </c>
      <c r="BE188" s="8">
        <v>502.34728094390243</v>
      </c>
      <c r="BF188" s="8">
        <v>502.19882227755636</v>
      </c>
      <c r="BH188" s="8">
        <f t="shared" si="31"/>
        <v>5975.4681075636727</v>
      </c>
      <c r="BI188" s="8">
        <f t="shared" si="32"/>
        <v>6014.4265638825618</v>
      </c>
      <c r="BJ188" s="8">
        <f t="shared" si="33"/>
        <v>5027.7923430946275</v>
      </c>
    </row>
    <row r="189" spans="1:62" x14ac:dyDescent="0.25">
      <c r="A189" s="9" t="s">
        <v>258</v>
      </c>
      <c r="B189" s="9" t="s">
        <v>644</v>
      </c>
      <c r="C189" s="10">
        <f>VLOOKUP(A189,'[2]Revenue_Engine_2025 Oct.25'!$C$14:G$3937,5,0)</f>
        <v>45267</v>
      </c>
      <c r="D189" s="6" cm="1">
        <f t="array" ref="D189">_xlfn.LET(
  _xlpm.aralık, Y189:BF189,
  _xlpm.ilk, MATCH(TRUE, _xlpm.aralık&lt;&gt;0, 0),
  _xlpm.son, MIN(_xlpm.ilk+2, COLUMNS(_xlpm.aralık)),
  MAX(INDEX(_xlpm.aralık, _xlpm.ilk):INDEX(_xlpm.aralık, _xlpm.son))
)</f>
        <v>495.000001</v>
      </c>
      <c r="E189" s="6">
        <f t="shared" si="26"/>
        <v>495.000001</v>
      </c>
      <c r="F189" s="6">
        <f t="shared" si="27"/>
        <v>0</v>
      </c>
      <c r="G189" s="6">
        <f t="shared" si="34"/>
        <v>495.000001</v>
      </c>
      <c r="H189" s="7">
        <f t="shared" si="28"/>
        <v>0</v>
      </c>
      <c r="I189" s="7">
        <f t="shared" si="29"/>
        <v>-1</v>
      </c>
      <c r="J189" s="7">
        <f t="shared" si="30"/>
        <v>-1</v>
      </c>
      <c r="K189" s="7">
        <f t="shared" si="35"/>
        <v>0</v>
      </c>
      <c r="L189" s="5" t="s">
        <v>418</v>
      </c>
      <c r="M189" s="7">
        <f>IF(R189="",(VLOOKUP(A189,[1]Export!$B$2:$H$680,7,0)),"CHURN")</f>
        <v>0.20606060564432202</v>
      </c>
      <c r="N189" s="5">
        <f t="shared" si="36"/>
        <v>393.000001</v>
      </c>
      <c r="O189" s="5">
        <f t="shared" si="37"/>
        <v>393.000001</v>
      </c>
      <c r="P189" s="5">
        <f t="shared" si="38"/>
        <v>0</v>
      </c>
      <c r="Q189" s="5" t="s">
        <v>430</v>
      </c>
      <c r="T189" s="6" t="str" cm="1">
        <f t="array" ref="T189">IF(R189&lt;&gt;"Churn","",
 _xlfn.LET(
   _xlpm.rng,Y189:BF189,
   _xlpm.pos,MAX(IF((_xlpm.rng&lt;&gt;0)*(_xlpm.rng&lt;&gt;""),COLUMN(_xlpm.rng)-COLUMN(Y189)+1)),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89" s="6" t="str" cm="1">
        <f t="array" ref="U189">IF(R189="Churn",
   MAX(IF((Y189:BF189&lt;&gt;"")*(Y189:BF189&lt;&gt;0), COLUMN(Y189:BF189)-COLUMN(Y189)+1))
   -MATCH(1, --((Y189:BF189&lt;&gt;"")*(Y189:BF189&lt;&gt;0)), 0)
   +1,
"")</f>
        <v/>
      </c>
      <c r="V189" s="6" t="str" cm="1">
        <f t="array" ref="V189">IFERROR(
    IF(
        MATCH(2,1/((Y189:BF189&lt;&gt;0)*(Y189:BF189&lt;&gt;"")))-MATCH(1,INDEX((Y189:BF189&lt;&gt;0)*(Y189:BF189&lt;&gt;""),0),0)+1 &lt;= 12,
        "No",
        "Yes"
    ),
    "No"
)</f>
        <v>Yes</v>
      </c>
      <c r="W189" s="6" t="str" cm="1">
        <f t="array" ref="W189">IFERROR(
    IF(
        MATCH(2,1/((Y189:BF189&lt;&gt;0)*(Y189:BF189&lt;&gt;"")))-MATCH(1,INDEX((Y189:BF189&lt;&gt;0)*(Y189:BF189&lt;&gt;""),0),0)+1 &lt;= 24,
        "No",
        "Yes"
    ),
    "No"
)</f>
        <v>No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495.000001</v>
      </c>
      <c r="AK189" s="8">
        <v>495.000001</v>
      </c>
      <c r="AL189" s="8">
        <v>495.000001</v>
      </c>
      <c r="AM189" s="8">
        <v>495.000001</v>
      </c>
      <c r="AN189" s="8">
        <v>495.000001</v>
      </c>
      <c r="AO189" s="8">
        <v>495.000001</v>
      </c>
      <c r="AP189" s="8">
        <v>495.000001</v>
      </c>
      <c r="AQ189" s="8">
        <v>495.000001</v>
      </c>
      <c r="AR189" s="8">
        <v>495.000001</v>
      </c>
      <c r="AS189" s="8">
        <v>495.000001</v>
      </c>
      <c r="AT189" s="8">
        <v>495.000001</v>
      </c>
      <c r="AU189" s="8">
        <v>495.000001</v>
      </c>
      <c r="AV189" s="8">
        <v>495.000001</v>
      </c>
      <c r="AW189" s="8">
        <v>495.000001</v>
      </c>
      <c r="AX189" s="8">
        <v>495.000001</v>
      </c>
      <c r="AY189" s="8">
        <v>495.000001</v>
      </c>
      <c r="AZ189" s="8">
        <v>495.00000100000005</v>
      </c>
      <c r="BA189" s="8">
        <v>495.000001</v>
      </c>
      <c r="BB189" s="8">
        <v>495.000001</v>
      </c>
      <c r="BC189" s="8">
        <v>495.000001</v>
      </c>
      <c r="BD189" s="8">
        <v>495.000001</v>
      </c>
      <c r="BE189" s="8">
        <v>495.000001</v>
      </c>
      <c r="BF189" s="8">
        <v>495.000001</v>
      </c>
      <c r="BH189" s="8">
        <f t="shared" si="31"/>
        <v>495.000001</v>
      </c>
      <c r="BI189" s="8">
        <f t="shared" si="32"/>
        <v>5940.0000120000004</v>
      </c>
      <c r="BJ189" s="8">
        <f t="shared" si="33"/>
        <v>4950.0000100000007</v>
      </c>
    </row>
    <row r="190" spans="1:62" x14ac:dyDescent="0.25">
      <c r="A190" s="9" t="s">
        <v>215</v>
      </c>
      <c r="B190" s="9" t="s">
        <v>644</v>
      </c>
      <c r="C190" s="10">
        <f>VLOOKUP(A190,'[2]Revenue_Engine_2025 Oct.25'!$C$14:G$3937,5,0)</f>
        <v>45138</v>
      </c>
      <c r="D190" s="6" cm="1">
        <f t="array" ref="D190">_xlfn.LET(
  _xlpm.aralık, Y190:BF190,
  _xlpm.ilk, MATCH(TRUE, _xlpm.aralık&lt;&gt;0, 0),
  _xlpm.son, MIN(_xlpm.ilk+2, COLUMNS(_xlpm.aralık)),
  MAX(INDEX(_xlpm.aralık, _xlpm.ilk):INDEX(_xlpm.aralık, _xlpm.son))
)</f>
        <v>389.99999900000006</v>
      </c>
      <c r="E190" s="6">
        <f t="shared" si="26"/>
        <v>389.99999900000006</v>
      </c>
      <c r="F190" s="6">
        <f t="shared" si="27"/>
        <v>491.71986299999998</v>
      </c>
      <c r="G190" s="6">
        <f t="shared" si="34"/>
        <v>491.71986299999998</v>
      </c>
      <c r="H190" s="7">
        <f t="shared" si="28"/>
        <v>0</v>
      </c>
      <c r="I190" s="7">
        <f t="shared" si="29"/>
        <v>0.26082016477133352</v>
      </c>
      <c r="J190" s="7">
        <f t="shared" si="30"/>
        <v>0.26082016477133352</v>
      </c>
      <c r="K190" s="7">
        <f t="shared" si="35"/>
        <v>0.26082016477133352</v>
      </c>
      <c r="L190" s="5" t="s">
        <v>418</v>
      </c>
      <c r="M190" s="7">
        <f>IF(R190="",(VLOOKUP(A190,[1]Export!$B$2:$H$680,7,0)),"CHURN")</f>
        <v>0.19608725873251939</v>
      </c>
      <c r="N190" s="5">
        <f t="shared" si="36"/>
        <v>395.29986299999996</v>
      </c>
      <c r="O190" s="5">
        <f t="shared" si="37"/>
        <v>313.52596829040471</v>
      </c>
      <c r="P190" s="5">
        <f t="shared" si="38"/>
        <v>395.29986299999996</v>
      </c>
      <c r="Q190" s="5" t="s">
        <v>430</v>
      </c>
      <c r="T190" s="6" t="str" cm="1">
        <f t="array" ref="T190">IF(R190&lt;&gt;"Churn","",
 _xlfn.LET(
   _xlpm.rng,Y190:BF190,
   _xlpm.pos,MAX(IF((_xlpm.rng&lt;&gt;0)*(_xlpm.rng&lt;&gt;""),COLUMN(_xlpm.rng)-COLUMN(Y190)+1)),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0" s="6" t="str" cm="1">
        <f t="array" ref="U190">IF(R190="Churn",
   MAX(IF((Y190:BF190&lt;&gt;"")*(Y190:BF190&lt;&gt;0), COLUMN(Y190:BF190)-COLUMN(Y190)+1))
   -MATCH(1, --((Y190:BF190&lt;&gt;"")*(Y190:BF190&lt;&gt;0)), 0)
   +1,
"")</f>
        <v/>
      </c>
      <c r="V190" s="6" t="str" cm="1">
        <f t="array" ref="V190">IFERROR(
    IF(
        MATCH(2,1/((Y190:BF190&lt;&gt;0)*(Y190:BF190&lt;&gt;"")))-MATCH(1,INDEX((Y190:BF190&lt;&gt;0)*(Y190:BF190&lt;&gt;""),0),0)+1 &lt;= 12,
        "No",
        "Yes"
    ),
    "No"
)</f>
        <v>Yes</v>
      </c>
      <c r="W190" s="6" t="str" cm="1">
        <f t="array" ref="W190">IFERROR(
    IF(
        MATCH(2,1/((Y190:BF190&lt;&gt;0)*(Y190:BF190&lt;&gt;"")))-MATCH(1,INDEX((Y190:BF190&lt;&gt;0)*(Y190:BF190&lt;&gt;""),0),0)+1 &lt;= 24,
        "No",
        "Yes"
    ),
    "No"
)</f>
        <v>Yes</v>
      </c>
      <c r="X190" s="6"/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389.99999900000006</v>
      </c>
      <c r="AF190" s="8">
        <v>389.99999900000006</v>
      </c>
      <c r="AG190" s="8">
        <v>389.99999900000006</v>
      </c>
      <c r="AH190" s="8">
        <v>389.99999900000006</v>
      </c>
      <c r="AI190" s="8">
        <v>389.99999900000006</v>
      </c>
      <c r="AJ190" s="8">
        <v>389.99999900000006</v>
      </c>
      <c r="AK190" s="8">
        <v>389.99999900000006</v>
      </c>
      <c r="AL190" s="8">
        <v>389.99999900000006</v>
      </c>
      <c r="AM190" s="8">
        <v>389.99999900000006</v>
      </c>
      <c r="AN190" s="8">
        <v>389.99999900000006</v>
      </c>
      <c r="AO190" s="8">
        <v>389.99999900000006</v>
      </c>
      <c r="AP190" s="8">
        <v>389.99999900000006</v>
      </c>
      <c r="AQ190" s="8">
        <v>389.99999900000006</v>
      </c>
      <c r="AR190" s="8">
        <v>389.99999900000006</v>
      </c>
      <c r="AS190" s="8">
        <v>389.99999900000006</v>
      </c>
      <c r="AT190" s="8">
        <v>389.99999900000006</v>
      </c>
      <c r="AU190" s="8">
        <v>389.99999900000006</v>
      </c>
      <c r="AV190" s="8">
        <v>389.99999900000006</v>
      </c>
      <c r="AW190" s="8">
        <v>460.21986299999998</v>
      </c>
      <c r="AX190" s="8">
        <v>484.71986299999998</v>
      </c>
      <c r="AY190" s="8">
        <v>491.71986299999998</v>
      </c>
      <c r="AZ190" s="8">
        <v>491.71986300000009</v>
      </c>
      <c r="BA190" s="8">
        <v>491.71986299999998</v>
      </c>
      <c r="BB190" s="8">
        <v>491.71986299999998</v>
      </c>
      <c r="BC190" s="8">
        <v>491.71986299999998</v>
      </c>
      <c r="BD190" s="8">
        <v>491.71986299999998</v>
      </c>
      <c r="BE190" s="8">
        <v>491.71986299999998</v>
      </c>
      <c r="BF190" s="8">
        <v>491.71986299999998</v>
      </c>
      <c r="BH190" s="8">
        <f t="shared" si="31"/>
        <v>2339.9999940000002</v>
      </c>
      <c r="BI190" s="8">
        <f t="shared" si="32"/>
        <v>4679.9999880000005</v>
      </c>
      <c r="BJ190" s="8">
        <f t="shared" si="33"/>
        <v>4878.6986299999999</v>
      </c>
    </row>
    <row r="191" spans="1:62" x14ac:dyDescent="0.25">
      <c r="A191" s="9" t="s">
        <v>182</v>
      </c>
      <c r="B191" s="9" t="s">
        <v>644</v>
      </c>
      <c r="C191" s="10">
        <v>44927</v>
      </c>
      <c r="D191" s="6" cm="1">
        <f t="array" ref="D191">_xlfn.LET(
  _xlpm.aralık, Y191:BF191,
  _xlpm.ilk, MATCH(TRUE, _xlpm.aralık&lt;&gt;0, 0),
  _xlpm.son, MIN(_xlpm.ilk+2, COLUMNS(_xlpm.aralık)),
  MAX(INDEX(_xlpm.aralık, _xlpm.ilk):INDEX(_xlpm.aralık, _xlpm.son))
)</f>
        <v>368.56635517990617</v>
      </c>
      <c r="E191" s="6">
        <f t="shared" si="26"/>
        <v>353.76359929178517</v>
      </c>
      <c r="F191" s="6">
        <f t="shared" si="27"/>
        <v>559.630904525402</v>
      </c>
      <c r="G191" s="6">
        <f t="shared" si="34"/>
        <v>490.25606444856123</v>
      </c>
      <c r="H191" s="7">
        <f t="shared" si="28"/>
        <v>-4.0163068820797315E-2</v>
      </c>
      <c r="I191" s="7">
        <f t="shared" si="29"/>
        <v>0.51839932392155708</v>
      </c>
      <c r="J191" s="7">
        <f t="shared" si="30"/>
        <v>0.58193467514959596</v>
      </c>
      <c r="K191" s="7">
        <f t="shared" si="35"/>
        <v>0.33017042266176294</v>
      </c>
      <c r="L191" s="5" t="s">
        <v>418</v>
      </c>
      <c r="M191" s="7">
        <f>IF(R191="",(VLOOKUP(A191,[1]Export!$B$2:$H$680,7,0)),"CHURN")</f>
        <v>0.29618920633449525</v>
      </c>
      <c r="N191" s="5">
        <f t="shared" si="36"/>
        <v>345.04750981886872</v>
      </c>
      <c r="O191" s="5">
        <f t="shared" si="37"/>
        <v>248.9826395875169</v>
      </c>
      <c r="P191" s="5">
        <f t="shared" si="38"/>
        <v>393.87427107376749</v>
      </c>
      <c r="Q191" s="5" t="s">
        <v>430</v>
      </c>
      <c r="T191" s="6" t="str" cm="1">
        <f t="array" ref="T191">IF(R191&lt;&gt;"Churn","",
 _xlfn.LET(
   _xlpm.rng,Y191:BF191,
   _xlpm.pos,MAX(IF((_xlpm.rng&lt;&gt;0)*(_xlpm.rng&lt;&gt;""),COLUMN(_xlpm.rng)-COLUMN(Y191)+1)),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1" s="6" t="str" cm="1">
        <f t="array" ref="U191">IF(R191="Churn",
   MAX(IF((Y191:BF191&lt;&gt;"")*(Y191:BF191&lt;&gt;0), COLUMN(Y191:BF191)-COLUMN(Y191)+1))
   -MATCH(1, --((Y191:BF191&lt;&gt;"")*(Y191:BF191&lt;&gt;0)), 0)
   +1,
"")</f>
        <v/>
      </c>
      <c r="V191" s="6" t="str" cm="1">
        <f t="array" ref="V191">IFERROR(
    IF(
        MATCH(2,1/((Y191:BF191&lt;&gt;0)*(Y191:BF191&lt;&gt;"")))-MATCH(1,INDEX((Y191:BF191&lt;&gt;0)*(Y191:BF191&lt;&gt;""),0),0)+1 &lt;= 12,
        "No",
        "Yes"
    ),
    "No"
)</f>
        <v>Yes</v>
      </c>
      <c r="W191" s="6" t="str" cm="1">
        <f t="array" ref="W191">IFERROR(
    IF(
        MATCH(2,1/((Y191:BF191&lt;&gt;0)*(Y191:BF191&lt;&gt;"")))-MATCH(1,INDEX((Y191:BF191&lt;&gt;0)*(Y191:BF191&lt;&gt;""),0),0)+1 &lt;= 24,
        "No",
        "Yes"
    ),
    "No"
)</f>
        <v>Yes</v>
      </c>
      <c r="Y191" s="8">
        <v>264.76279833460393</v>
      </c>
      <c r="Z191" s="8">
        <v>368.56635517990617</v>
      </c>
      <c r="AA191" s="8">
        <v>366.04075810389651</v>
      </c>
      <c r="AB191" s="8">
        <v>368.98168972500918</v>
      </c>
      <c r="AC191" s="8">
        <v>521.31646255945361</v>
      </c>
      <c r="AD191" s="8">
        <v>443.81496914635397</v>
      </c>
      <c r="AE191" s="8">
        <v>397.18734373283945</v>
      </c>
      <c r="AF191" s="8">
        <v>390.31608958806282</v>
      </c>
      <c r="AG191" s="8">
        <v>389.98542389742869</v>
      </c>
      <c r="AH191" s="8">
        <v>379.01323138592096</v>
      </c>
      <c r="AI191" s="8">
        <v>369.51522518708742</v>
      </c>
      <c r="AJ191" s="8">
        <v>364.28755101548802</v>
      </c>
      <c r="AK191" s="8">
        <v>353.76359929178517</v>
      </c>
      <c r="AL191" s="8">
        <v>409.67419354838705</v>
      </c>
      <c r="AM191" s="8">
        <v>633.81742864572561</v>
      </c>
      <c r="AN191" s="8">
        <v>628.44090445512154</v>
      </c>
      <c r="AO191" s="8">
        <v>631.20951712873068</v>
      </c>
      <c r="AP191" s="8">
        <v>694.43812788622847</v>
      </c>
      <c r="AQ191" s="8">
        <v>687.50590760748776</v>
      </c>
      <c r="AR191" s="8">
        <v>674.77192781779297</v>
      </c>
      <c r="AS191" s="8">
        <v>668.14549255876136</v>
      </c>
      <c r="AT191" s="8">
        <v>664.60748767706457</v>
      </c>
      <c r="AU191" s="8">
        <v>661.47315929910951</v>
      </c>
      <c r="AV191" s="8">
        <v>394.82171141952324</v>
      </c>
      <c r="AW191" s="8">
        <v>559.630904525402</v>
      </c>
      <c r="AX191" s="8">
        <v>553.95778311419383</v>
      </c>
      <c r="AY191" s="8">
        <v>542.59449081745095</v>
      </c>
      <c r="AZ191" s="8">
        <v>530.73112367024191</v>
      </c>
      <c r="BA191" s="8">
        <v>521.49324024687405</v>
      </c>
      <c r="BB191" s="8">
        <v>514.27765642521319</v>
      </c>
      <c r="BC191" s="8">
        <v>506.24162739660443</v>
      </c>
      <c r="BD191" s="8">
        <v>499.93134716247278</v>
      </c>
      <c r="BE191" s="8">
        <v>495.04804344978487</v>
      </c>
      <c r="BF191" s="8">
        <v>490.25606444856123</v>
      </c>
      <c r="BH191" s="8">
        <f t="shared" si="31"/>
        <v>4623.7878978560502</v>
      </c>
      <c r="BI191" s="8">
        <f t="shared" si="32"/>
        <v>7102.6694573357172</v>
      </c>
      <c r="BJ191" s="8">
        <f t="shared" si="33"/>
        <v>5214.1622812567985</v>
      </c>
    </row>
    <row r="192" spans="1:62" x14ac:dyDescent="0.25">
      <c r="A192" s="9" t="s">
        <v>465</v>
      </c>
      <c r="B192" s="9" t="s">
        <v>644</v>
      </c>
      <c r="C192" s="10">
        <f>VLOOKUP(A192,'[2]Revenue_Engine_2025 Oct.25'!$C$14:G$3937,5,0)</f>
        <v>45504</v>
      </c>
      <c r="D192" s="6" cm="1">
        <f t="array" ref="D192">_xlfn.LET(
  _xlpm.aralık, Y192:BF192,
  _xlpm.ilk, MATCH(TRUE, _xlpm.aralık&lt;&gt;0, 0),
  _xlpm.son, MIN(_xlpm.ilk+2, COLUMNS(_xlpm.aralık)),
  MAX(INDEX(_xlpm.aralık, _xlpm.ilk):INDEX(_xlpm.aralık, _xlpm.son))
)</f>
        <v>481.01051000000007</v>
      </c>
      <c r="E192" s="6">
        <f t="shared" si="26"/>
        <v>481.01051000000007</v>
      </c>
      <c r="F192" s="6">
        <f t="shared" si="27"/>
        <v>0</v>
      </c>
      <c r="G192" s="6">
        <f t="shared" si="34"/>
        <v>481.01051000000007</v>
      </c>
      <c r="H192" s="7">
        <f t="shared" si="28"/>
        <v>0</v>
      </c>
      <c r="I192" s="7">
        <f t="shared" si="29"/>
        <v>-1</v>
      </c>
      <c r="J192" s="7">
        <f t="shared" si="30"/>
        <v>-1</v>
      </c>
      <c r="K192" s="7">
        <f t="shared" si="35"/>
        <v>0</v>
      </c>
      <c r="L192" s="5" t="s">
        <v>418</v>
      </c>
      <c r="M192" s="7">
        <f>IF(R192="",(VLOOKUP(A192,[1]Export!$B$2:$H$680,7,0)),"CHURN")</f>
        <v>0.3305541078509906</v>
      </c>
      <c r="N192" s="5">
        <f t="shared" si="36"/>
        <v>322.01051000000007</v>
      </c>
      <c r="O192" s="5">
        <f t="shared" si="37"/>
        <v>322.01051000000007</v>
      </c>
      <c r="P192" s="5">
        <f t="shared" si="38"/>
        <v>0</v>
      </c>
      <c r="Q192" s="5" t="str">
        <f>VLOOKUP(A192,[4]Sheet2!$A$1:$B$142,2,0)</f>
        <v xml:space="preserve">HIGH RISK </v>
      </c>
      <c r="T192" s="6" t="str" cm="1">
        <f t="array" ref="T192">IF(R192&lt;&gt;"Churn","",
 _xlfn.LET(
   _xlpm.rng,Y192:BF192,
   _xlpm.pos,MAX(IF((_xlpm.rng&lt;&gt;0)*(_xlpm.rng&lt;&gt;""),COLUMN(_xlpm.rng)-COLUMN(Y192)+1)),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2" s="6" t="str" cm="1">
        <f t="array" ref="U192">IF(R192="Churn",
   MAX(IF((Y192:BF192&lt;&gt;"")*(Y192:BF192&lt;&gt;0), COLUMN(Y192:BF192)-COLUMN(Y192)+1))
   -MATCH(1, --((Y192:BF192&lt;&gt;"")*(Y192:BF192&lt;&gt;0)), 0)
   +1,
"")</f>
        <v/>
      </c>
      <c r="V192" s="6" t="str" cm="1">
        <f t="array" ref="V192">IFERROR(
    IF(
        MATCH(2,1/((Y192:BF192&lt;&gt;0)*(Y192:BF192&lt;&gt;"")))-MATCH(1,INDEX((Y192:BF192&lt;&gt;0)*(Y192:BF192&lt;&gt;""),0),0)+1 &lt;= 12,
        "No",
        "Yes"
    ),
    "No"
)</f>
        <v>Yes</v>
      </c>
      <c r="W192" s="6" t="str" cm="1">
        <f t="array" ref="W192">IFERROR(
    IF(
        MATCH(2,1/((Y192:BF192&lt;&gt;0)*(Y192:BF192&lt;&gt;"")))-MATCH(1,INDEX((Y192:BF192&lt;&gt;0)*(Y192:BF192&lt;&gt;""),0),0)+1 &lt;= 24,
        "No",
        "Yes"
    ),
    "No"
)</f>
        <v>No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481.01051000000007</v>
      </c>
      <c r="AR192" s="8">
        <v>481.01051000000007</v>
      </c>
      <c r="AS192" s="8">
        <v>481.01051000000007</v>
      </c>
      <c r="AT192" s="8">
        <v>481.01051000000007</v>
      </c>
      <c r="AU192" s="8">
        <v>481.01051000000007</v>
      </c>
      <c r="AV192" s="8">
        <v>481.01051000000007</v>
      </c>
      <c r="AW192" s="8">
        <v>481.01051000000007</v>
      </c>
      <c r="AX192" s="8">
        <v>481.01051000000007</v>
      </c>
      <c r="AY192" s="8">
        <v>481.01051000000007</v>
      </c>
      <c r="AZ192" s="8">
        <v>481.01051000000007</v>
      </c>
      <c r="BA192" s="8">
        <v>481.01051000000007</v>
      </c>
      <c r="BB192" s="8">
        <v>481.01051000000007</v>
      </c>
      <c r="BC192" s="8">
        <v>481.01051000000007</v>
      </c>
      <c r="BD192" s="8">
        <v>481.01051000000007</v>
      </c>
      <c r="BE192" s="8">
        <v>481.01051000000007</v>
      </c>
      <c r="BF192" s="8">
        <v>481.01051000000007</v>
      </c>
      <c r="BH192" s="8">
        <f t="shared" si="31"/>
        <v>0</v>
      </c>
      <c r="BI192" s="8">
        <f t="shared" si="32"/>
        <v>2886.0630600000004</v>
      </c>
      <c r="BJ192" s="8">
        <f t="shared" si="33"/>
        <v>4810.1051000000007</v>
      </c>
    </row>
    <row r="193" spans="1:62" x14ac:dyDescent="0.25">
      <c r="A193" s="9" t="s">
        <v>6</v>
      </c>
      <c r="B193" s="9" t="s">
        <v>644</v>
      </c>
      <c r="C193" s="10">
        <v>44927</v>
      </c>
      <c r="D193" s="6" cm="1">
        <f t="array" ref="D193">_xlfn.LET(
  _xlpm.aralık, Y193:BF193,
  _xlpm.ilk, MATCH(TRUE, _xlpm.aralık&lt;&gt;0, 0),
  _xlpm.son, MIN(_xlpm.ilk+2, COLUMNS(_xlpm.aralık)),
  MAX(INDEX(_xlpm.aralık, _xlpm.ilk):INDEX(_xlpm.aralık, _xlpm.son))
)</f>
        <v>481.30076705600538</v>
      </c>
      <c r="E193" s="6">
        <f t="shared" si="26"/>
        <v>478.74450000000002</v>
      </c>
      <c r="F193" s="6">
        <f t="shared" si="27"/>
        <v>487.74450000000002</v>
      </c>
      <c r="G193" s="6">
        <f t="shared" si="34"/>
        <v>478.74450000000002</v>
      </c>
      <c r="H193" s="7">
        <f t="shared" si="28"/>
        <v>-5.3111634781747895E-3</v>
      </c>
      <c r="I193" s="7">
        <f t="shared" si="29"/>
        <v>1.3388162631464959E-2</v>
      </c>
      <c r="J193" s="7">
        <f t="shared" si="30"/>
        <v>1.8799171583172233E-2</v>
      </c>
      <c r="K193" s="7">
        <f t="shared" si="35"/>
        <v>-5.3111634781747895E-3</v>
      </c>
      <c r="L193" s="5" t="s">
        <v>416</v>
      </c>
      <c r="M193" s="7">
        <f>IF(R193="",(VLOOKUP(A193,[1]Export!$B$2:$H$680,7,0)),"CHURN")</f>
        <v>0.30373445543499716</v>
      </c>
      <c r="N193" s="5">
        <f t="shared" si="36"/>
        <v>333.33330000000001</v>
      </c>
      <c r="O193" s="5">
        <f t="shared" si="37"/>
        <v>333.33330000000001</v>
      </c>
      <c r="P193" s="5">
        <f t="shared" si="38"/>
        <v>339.59968990108501</v>
      </c>
      <c r="Q193" s="5" t="str">
        <f>VLOOKUP(A193,[4]Sheet2!$A$1:$B$142,2,0)</f>
        <v>HIGH RISK</v>
      </c>
      <c r="T193" s="6" t="str" cm="1">
        <f t="array" ref="T193">IF(R193&lt;&gt;"Churn","",
 _xlfn.LET(
   _xlpm.rng,Y193:BF193,
   _xlpm.pos,MAX(IF((_xlpm.rng&lt;&gt;0)*(_xlpm.rng&lt;&gt;""),COLUMN(_xlpm.rng)-COLUMN(Y193)+1)),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3" s="6" t="str" cm="1">
        <f t="array" ref="U193">IF(R193="Churn",
   MAX(IF((Y193:BF193&lt;&gt;"")*(Y193:BF193&lt;&gt;0), COLUMN(Y193:BF193)-COLUMN(Y193)+1))
   -MATCH(1, --((Y193:BF193&lt;&gt;"")*(Y193:BF193&lt;&gt;0)), 0)
   +1,
"")</f>
        <v/>
      </c>
      <c r="V193" s="6" t="str" cm="1">
        <f t="array" ref="V193">IFERROR(
    IF(
        MATCH(2,1/((Y193:BF193&lt;&gt;0)*(Y193:BF193&lt;&gt;"")))-MATCH(1,INDEX((Y193:BF193&lt;&gt;0)*(Y193:BF193&lt;&gt;""),0),0)+1 &lt;= 12,
        "No",
        "Yes"
    ),
    "No"
)</f>
        <v>Yes</v>
      </c>
      <c r="W193" s="6" t="str" cm="1">
        <f t="array" ref="W193">IFERROR(
    IF(
        MATCH(2,1/((Y193:BF193&lt;&gt;0)*(Y193:BF193&lt;&gt;"")))-MATCH(1,INDEX((Y193:BF193&lt;&gt;0)*(Y193:BF193&lt;&gt;""),0),0)+1 &lt;= 24,
        "No",
        "Yes"
    ),
    "No"
)</f>
        <v>Yes</v>
      </c>
      <c r="X193" s="6"/>
      <c r="Y193" s="8">
        <v>481.30076705600538</v>
      </c>
      <c r="Z193" s="8">
        <v>481.25446297309594</v>
      </c>
      <c r="AA193" s="8">
        <v>481.1568318119576</v>
      </c>
      <c r="AB193" s="8">
        <v>467.9733333333333</v>
      </c>
      <c r="AC193" s="8">
        <v>467.97329999999999</v>
      </c>
      <c r="AD193" s="8">
        <v>467.97329999999999</v>
      </c>
      <c r="AE193" s="8">
        <v>478.74450000000002</v>
      </c>
      <c r="AF193" s="8">
        <v>478.74450000000002</v>
      </c>
      <c r="AG193" s="8">
        <v>478.74450000000002</v>
      </c>
      <c r="AH193" s="8">
        <v>478.74450000000002</v>
      </c>
      <c r="AI193" s="8">
        <v>478.74450000000002</v>
      </c>
      <c r="AJ193" s="8">
        <v>478.74450000000002</v>
      </c>
      <c r="AK193" s="8">
        <v>478.74450000000002</v>
      </c>
      <c r="AL193" s="8">
        <v>478.74450000000002</v>
      </c>
      <c r="AM193" s="8">
        <v>478.74450000000002</v>
      </c>
      <c r="AN193" s="8">
        <v>478.74450000000002</v>
      </c>
      <c r="AO193" s="8">
        <v>478.74450000000002</v>
      </c>
      <c r="AP193" s="8">
        <v>478.74450000000002</v>
      </c>
      <c r="AQ193" s="8">
        <v>478.74450000000002</v>
      </c>
      <c r="AR193" s="8">
        <v>478.74450000000002</v>
      </c>
      <c r="AS193" s="8">
        <v>487.74450000000002</v>
      </c>
      <c r="AT193" s="8">
        <v>487.74450000000002</v>
      </c>
      <c r="AU193" s="8">
        <v>487.74450000000002</v>
      </c>
      <c r="AV193" s="8">
        <v>487.74450000000002</v>
      </c>
      <c r="AW193" s="8">
        <v>487.74450000000002</v>
      </c>
      <c r="AX193" s="8">
        <v>487.74450000000002</v>
      </c>
      <c r="AY193" s="8">
        <v>487.74450000000002</v>
      </c>
      <c r="AZ193" s="8">
        <v>487.74450000000002</v>
      </c>
      <c r="BA193" s="8">
        <v>487.74450000000002</v>
      </c>
      <c r="BB193" s="8">
        <v>487.74450000000002</v>
      </c>
      <c r="BC193" s="8">
        <v>487.74450000000002</v>
      </c>
      <c r="BD193" s="8">
        <v>487.74450000000002</v>
      </c>
      <c r="BE193" s="8">
        <v>478.74450000000002</v>
      </c>
      <c r="BF193" s="8">
        <v>478.74450000000002</v>
      </c>
      <c r="BH193" s="8">
        <f t="shared" si="31"/>
        <v>5720.0989951743913</v>
      </c>
      <c r="BI193" s="8">
        <f t="shared" si="32"/>
        <v>5780.9339999999984</v>
      </c>
      <c r="BJ193" s="8">
        <f t="shared" si="33"/>
        <v>4859.4449999999988</v>
      </c>
    </row>
    <row r="194" spans="1:62" x14ac:dyDescent="0.25">
      <c r="A194" s="9" t="s">
        <v>237</v>
      </c>
      <c r="B194" s="9" t="s">
        <v>644</v>
      </c>
      <c r="C194" s="10">
        <f>VLOOKUP(A194,'[2]Revenue_Engine_2025 Oct.25'!$C$14:G$3937,5,0)</f>
        <v>45230</v>
      </c>
      <c r="D194" s="6" cm="1">
        <f t="array" ref="D194">_xlfn.LET(
  _xlpm.aralık, Y194:BF194,
  _xlpm.ilk, MATCH(TRUE, _xlpm.aralık&lt;&gt;0, 0),
  _xlpm.son, MIN(_xlpm.ilk+2, COLUMNS(_xlpm.aralık)),
  MAX(INDEX(_xlpm.aralık, _xlpm.ilk):INDEX(_xlpm.aralık, _xlpm.son))
)</f>
        <v>349.999999</v>
      </c>
      <c r="E194" s="6">
        <f t="shared" ref="E194:E257" si="39">IFERROR(INDEX($Y194:$BF194,MATCH(TEXT(EDATE($C194,12),"mmm.yy"),$Y$1:$BF$1,0)),0)</f>
        <v>391.999999</v>
      </c>
      <c r="F194" s="6">
        <f t="shared" ref="F194:F257" si="40">IFERROR(INDEX($Y194:$BF194,MATCH(TEXT(EDATE($C194,24),"mmm.yy"),$Y$1:$BF$1,0)),0)</f>
        <v>478.240092</v>
      </c>
      <c r="G194" s="6">
        <f t="shared" si="34"/>
        <v>478.240092</v>
      </c>
      <c r="H194" s="7">
        <f t="shared" ref="H194:H257" si="41">(E194-D194)/D194</f>
        <v>0.12000000034285714</v>
      </c>
      <c r="I194" s="7">
        <f t="shared" ref="I194:I257" si="42">(F194-D194)/D194</f>
        <v>0.36640026676114362</v>
      </c>
      <c r="J194" s="7">
        <f t="shared" ref="J194:J257" si="43">(F194-E194)/E194</f>
        <v>0.22000023780612304</v>
      </c>
      <c r="K194" s="7">
        <f t="shared" si="35"/>
        <v>0.36640026676114362</v>
      </c>
      <c r="L194" s="5" t="s">
        <v>418</v>
      </c>
      <c r="M194" s="7">
        <f>IF(R194="",(VLOOKUP(A194,[1]Export!$B$2:$H$680,7,0)),"CHURN")</f>
        <v>0.15816323487993975</v>
      </c>
      <c r="N194" s="5">
        <f t="shared" si="36"/>
        <v>402.60009200000002</v>
      </c>
      <c r="O194" s="5">
        <f t="shared" si="37"/>
        <v>330.00001108522684</v>
      </c>
      <c r="P194" s="5">
        <f t="shared" si="38"/>
        <v>402.60009200000002</v>
      </c>
      <c r="Q194" s="5" t="s">
        <v>430</v>
      </c>
      <c r="T194" s="6" t="str" cm="1">
        <f t="array" ref="T194">IF(R194&lt;&gt;"Churn","",
 _xlfn.LET(
   _xlpm.rng,Y194:BF194,
   _xlpm.pos,MAX(IF((_xlpm.rng&lt;&gt;0)*(_xlpm.rng&lt;&gt;""),COLUMN(_xlpm.rng)-COLUMN(Y194)+1)),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4" s="6" t="str" cm="1">
        <f t="array" ref="U194">IF(R194="Churn",
   MAX(IF((Y194:BF194&lt;&gt;"")*(Y194:BF194&lt;&gt;0), COLUMN(Y194:BF194)-COLUMN(Y194)+1))
   -MATCH(1, --((Y194:BF194&lt;&gt;"")*(Y194:BF194&lt;&gt;0)), 0)
   +1,
"")</f>
        <v/>
      </c>
      <c r="V194" s="6" t="str" cm="1">
        <f t="array" ref="V194">IFERROR(
    IF(
        MATCH(2,1/((Y194:BF194&lt;&gt;0)*(Y194:BF194&lt;&gt;"")))-MATCH(1,INDEX((Y194:BF194&lt;&gt;0)*(Y194:BF194&lt;&gt;""),0),0)+1 &lt;= 12,
        "No",
        "Yes"
    ),
    "No"
)</f>
        <v>Yes</v>
      </c>
      <c r="W194" s="6" t="str" cm="1">
        <f t="array" ref="W194">IFERROR(
    IF(
        MATCH(2,1/((Y194:BF194&lt;&gt;0)*(Y194:BF194&lt;&gt;"")))-MATCH(1,INDEX((Y194:BF194&lt;&gt;0)*(Y194:BF194&lt;&gt;""),0),0)+1 &lt;= 24,
        "No",
        "Yes"
    ),
    "No"
)</f>
        <v>Yes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349.999999</v>
      </c>
      <c r="AI194" s="8">
        <v>349.999999</v>
      </c>
      <c r="AJ194" s="8">
        <v>349.999999</v>
      </c>
      <c r="AK194" s="8">
        <v>361.999999</v>
      </c>
      <c r="AL194" s="8">
        <v>361.999999</v>
      </c>
      <c r="AM194" s="8">
        <v>391.999999</v>
      </c>
      <c r="AN194" s="8">
        <v>391.999999</v>
      </c>
      <c r="AO194" s="8">
        <v>391.999999</v>
      </c>
      <c r="AP194" s="8">
        <v>391.999999</v>
      </c>
      <c r="AQ194" s="8">
        <v>391.999999</v>
      </c>
      <c r="AR194" s="8">
        <v>391.999999</v>
      </c>
      <c r="AS194" s="8">
        <v>391.999999</v>
      </c>
      <c r="AT194" s="8">
        <v>391.999999</v>
      </c>
      <c r="AU194" s="8">
        <v>391.999999</v>
      </c>
      <c r="AV194" s="8">
        <v>391.999999</v>
      </c>
      <c r="AW194" s="8">
        <v>478.240092</v>
      </c>
      <c r="AX194" s="8">
        <v>478.240092</v>
      </c>
      <c r="AY194" s="8">
        <v>478.240092</v>
      </c>
      <c r="AZ194" s="8">
        <v>478.240092</v>
      </c>
      <c r="BA194" s="8">
        <v>478.240092</v>
      </c>
      <c r="BB194" s="8">
        <v>478.240092</v>
      </c>
      <c r="BC194" s="8">
        <v>478.240092</v>
      </c>
      <c r="BD194" s="8">
        <v>478.240092</v>
      </c>
      <c r="BE194" s="8">
        <v>478.240092</v>
      </c>
      <c r="BF194" s="8">
        <v>478.240092</v>
      </c>
      <c r="BH194" s="8">
        <f t="shared" ref="BH194:BH257" si="44">SUM(Y194:AJ194)</f>
        <v>1049.9999969999999</v>
      </c>
      <c r="BI194" s="8">
        <f t="shared" ref="BI194:BI257" si="45">SUM(AK194:AV194)</f>
        <v>4643.9999880000005</v>
      </c>
      <c r="BJ194" s="8">
        <f t="shared" ref="BJ194:BJ257" si="46">SUM(AW194:BF194)</f>
        <v>4782.40092</v>
      </c>
    </row>
    <row r="195" spans="1:62" x14ac:dyDescent="0.25">
      <c r="A195" s="9" t="s">
        <v>306</v>
      </c>
      <c r="B195" s="9" t="s">
        <v>644</v>
      </c>
      <c r="C195" s="10">
        <f>VLOOKUP(A195,'[2]Revenue_Engine_2025 Oct.25'!$C$14:G$3937,5,0)</f>
        <v>45468</v>
      </c>
      <c r="D195" s="6" cm="1">
        <f t="array" ref="D195">_xlfn.LET(
  _xlpm.aralık, Y195:BF195,
  _xlpm.ilk, MATCH(TRUE, _xlpm.aralık&lt;&gt;0, 0),
  _xlpm.son, MIN(_xlpm.ilk+2, COLUMNS(_xlpm.aralık)),
  MAX(INDEX(_xlpm.aralık, _xlpm.ilk):INDEX(_xlpm.aralık, _xlpm.son))
)</f>
        <v>475</v>
      </c>
      <c r="E195" s="6">
        <f t="shared" si="39"/>
        <v>474.995318</v>
      </c>
      <c r="F195" s="6">
        <f t="shared" si="40"/>
        <v>0</v>
      </c>
      <c r="G195" s="6">
        <f t="shared" ref="G195:G258" si="47">BF195</f>
        <v>474.995318</v>
      </c>
      <c r="H195" s="7">
        <f t="shared" si="41"/>
        <v>-9.8568421052684586E-6</v>
      </c>
      <c r="I195" s="7">
        <f t="shared" si="42"/>
        <v>-1</v>
      </c>
      <c r="J195" s="7">
        <f t="shared" si="43"/>
        <v>-1</v>
      </c>
      <c r="K195" s="7">
        <f t="shared" ref="K195:K258" si="48">IF(R195="",((BF195-D195)/D195),((T195-D195)/D195))</f>
        <v>-9.8568421052684586E-6</v>
      </c>
      <c r="L195" s="5" t="s">
        <v>418</v>
      </c>
      <c r="M195" s="7">
        <f>IF(R195="",(VLOOKUP(A195,[1]Export!$B$2:$H$680,7,0)),"CHURN")</f>
        <v>0.17473856447570291</v>
      </c>
      <c r="N195" s="5">
        <f t="shared" ref="N195:N258" si="49">(1-M195)*G195</f>
        <v>391.995318</v>
      </c>
      <c r="O195" s="5">
        <f t="shared" ref="O195:O258" si="50">(1-M195)*E195</f>
        <v>391.995318</v>
      </c>
      <c r="P195" s="5">
        <f t="shared" ref="P195:P258" si="51">(1-M195)*F195</f>
        <v>0</v>
      </c>
      <c r="Q195" s="5" t="s">
        <v>430</v>
      </c>
      <c r="T195" s="6" t="str" cm="1">
        <f t="array" ref="T195">IF(R195&lt;&gt;"Churn","",
 _xlfn.LET(
   _xlpm.rng,Y195:BF195,
   _xlpm.pos,MAX(IF((_xlpm.rng&lt;&gt;0)*(_xlpm.rng&lt;&gt;""),COLUMN(_xlpm.rng)-COLUMN(Y195)+1)),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5" s="6" t="str" cm="1">
        <f t="array" ref="U195">IF(R195="Churn",
   MAX(IF((Y195:BF195&lt;&gt;"")*(Y195:BF195&lt;&gt;0), COLUMN(Y195:BF195)-COLUMN(Y195)+1))
   -MATCH(1, --((Y195:BF195&lt;&gt;"")*(Y195:BF195&lt;&gt;0)), 0)
   +1,
"")</f>
        <v/>
      </c>
      <c r="V195" s="6" t="str" cm="1">
        <f t="array" ref="V195">IFERROR(
    IF(
        MATCH(2,1/((Y195:BF195&lt;&gt;0)*(Y195:BF195&lt;&gt;"")))-MATCH(1,INDEX((Y195:BF195&lt;&gt;0)*(Y195:BF195&lt;&gt;""),0),0)+1 &lt;= 12,
        "No",
        "Yes"
    ),
    "No"
)</f>
        <v>Yes</v>
      </c>
      <c r="W195" s="6" t="str" cm="1">
        <f t="array" ref="W195">IFERROR(
    IF(
        MATCH(2,1/((Y195:BF195&lt;&gt;0)*(Y195:BF195&lt;&gt;"")))-MATCH(1,INDEX((Y195:BF195&lt;&gt;0)*(Y195:BF195&lt;&gt;""),0),0)+1 &lt;= 24,
        "No",
        "Yes"
    ),
    "No"
)</f>
        <v>No</v>
      </c>
      <c r="X195" s="6"/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475</v>
      </c>
      <c r="AQ195" s="8">
        <v>475</v>
      </c>
      <c r="AR195" s="8">
        <v>475</v>
      </c>
      <c r="AS195" s="8">
        <v>475</v>
      </c>
      <c r="AT195" s="8">
        <v>475</v>
      </c>
      <c r="AU195" s="8">
        <v>475</v>
      </c>
      <c r="AV195" s="8">
        <v>475</v>
      </c>
      <c r="AW195" s="8">
        <v>475</v>
      </c>
      <c r="AX195" s="8">
        <v>475</v>
      </c>
      <c r="AY195" s="8">
        <v>474.995318</v>
      </c>
      <c r="AZ195" s="8">
        <v>474.99531799999994</v>
      </c>
      <c r="BA195" s="8">
        <v>474.995318</v>
      </c>
      <c r="BB195" s="8">
        <v>474.995318</v>
      </c>
      <c r="BC195" s="8">
        <v>474.995318</v>
      </c>
      <c r="BD195" s="8">
        <v>474.995318</v>
      </c>
      <c r="BE195" s="8">
        <v>474.995318</v>
      </c>
      <c r="BF195" s="8">
        <v>474.995318</v>
      </c>
      <c r="BH195" s="8">
        <f t="shared" si="44"/>
        <v>0</v>
      </c>
      <c r="BI195" s="8">
        <f t="shared" si="45"/>
        <v>3325</v>
      </c>
      <c r="BJ195" s="8">
        <f t="shared" si="46"/>
        <v>4749.9625440000009</v>
      </c>
    </row>
    <row r="196" spans="1:62" x14ac:dyDescent="0.25">
      <c r="A196" s="9" t="s">
        <v>50</v>
      </c>
      <c r="B196" s="9" t="s">
        <v>644</v>
      </c>
      <c r="C196" s="10">
        <v>44927</v>
      </c>
      <c r="D196" s="6" cm="1">
        <f t="array" ref="D196">_xlfn.LET(
  _xlpm.aralık, Y196:BF196,
  _xlpm.ilk, MATCH(TRUE, _xlpm.aralık&lt;&gt;0, 0),
  _xlpm.son, MIN(_xlpm.ilk+2, COLUMNS(_xlpm.aralık)),
  MAX(INDEX(_xlpm.aralık, _xlpm.ilk):INDEX(_xlpm.aralık, _xlpm.son))
)</f>
        <v>334.5</v>
      </c>
      <c r="E196" s="6">
        <f t="shared" si="39"/>
        <v>364.09866799999998</v>
      </c>
      <c r="F196" s="6">
        <f t="shared" si="40"/>
        <v>468.61120499999998</v>
      </c>
      <c r="G196" s="6">
        <f t="shared" si="47"/>
        <v>468.61120499999998</v>
      </c>
      <c r="H196" s="7">
        <f t="shared" si="41"/>
        <v>8.8486301943198731E-2</v>
      </c>
      <c r="I196" s="7">
        <f t="shared" si="42"/>
        <v>0.40093035874439459</v>
      </c>
      <c r="J196" s="7">
        <f t="shared" si="43"/>
        <v>0.28704454639751664</v>
      </c>
      <c r="K196" s="7">
        <f t="shared" si="48"/>
        <v>0.40093035874439459</v>
      </c>
      <c r="L196" s="5" t="s">
        <v>417</v>
      </c>
      <c r="M196" s="7">
        <f>IF(R196="",(VLOOKUP(A196,[1]Export!$B$2:$H$680,7,0)),"CHURN")</f>
        <v>0.30444390248841785</v>
      </c>
      <c r="N196" s="5">
        <f t="shared" si="49"/>
        <v>325.94538100000005</v>
      </c>
      <c r="O196" s="5">
        <f t="shared" si="50"/>
        <v>253.25104862324517</v>
      </c>
      <c r="P196" s="5">
        <f t="shared" si="51"/>
        <v>325.94538100000005</v>
      </c>
      <c r="Q196" s="5" t="s">
        <v>430</v>
      </c>
      <c r="T196" s="6" t="str" cm="1">
        <f t="array" ref="T196">IF(R196&lt;&gt;"Churn","",
 _xlfn.LET(
   _xlpm.rng,Y196:BF196,
   _xlpm.pos,MAX(IF((_xlpm.rng&lt;&gt;0)*(_xlpm.rng&lt;&gt;""),COLUMN(_xlpm.rng)-COLUMN(Y196)+1)),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6" s="6" t="str" cm="1">
        <f t="array" ref="U196">IF(R196="Churn",
   MAX(IF((Y196:BF196&lt;&gt;"")*(Y196:BF196&lt;&gt;0), COLUMN(Y196:BF196)-COLUMN(Y196)+1))
   -MATCH(1, --((Y196:BF196&lt;&gt;"")*(Y196:BF196&lt;&gt;0)), 0)
   +1,
"")</f>
        <v/>
      </c>
      <c r="V196" s="6" t="str" cm="1">
        <f t="array" ref="V196">IFERROR(
    IF(
        MATCH(2,1/((Y196:BF196&lt;&gt;0)*(Y196:BF196&lt;&gt;"")))-MATCH(1,INDEX((Y196:BF196&lt;&gt;0)*(Y196:BF196&lt;&gt;""),0),0)+1 &lt;= 12,
        "No",
        "Yes"
    ),
    "No"
)</f>
        <v>Yes</v>
      </c>
      <c r="W196" s="6" t="str" cm="1">
        <f t="array" ref="W196">IFERROR(
    IF(
        MATCH(2,1/((Y196:BF196&lt;&gt;0)*(Y196:BF196&lt;&gt;"")))-MATCH(1,INDEX((Y196:BF196&lt;&gt;0)*(Y196:BF196&lt;&gt;""),0),0)+1 &lt;= 24,
        "No",
        "Yes"
    ),
    "No"
)</f>
        <v>Yes</v>
      </c>
      <c r="Y196" s="8">
        <v>334.5</v>
      </c>
      <c r="Z196" s="8">
        <v>334.5</v>
      </c>
      <c r="AA196" s="8">
        <v>334.5</v>
      </c>
      <c r="AB196" s="8">
        <v>343.49286799999999</v>
      </c>
      <c r="AC196" s="8">
        <v>343.49286799999999</v>
      </c>
      <c r="AD196" s="8">
        <v>343.49286799999999</v>
      </c>
      <c r="AE196" s="8">
        <v>364.09866799999998</v>
      </c>
      <c r="AF196" s="8">
        <v>364.09866799999998</v>
      </c>
      <c r="AG196" s="8">
        <v>364.09866799999998</v>
      </c>
      <c r="AH196" s="8">
        <v>364.09866799999998</v>
      </c>
      <c r="AI196" s="8">
        <v>364.09866799999998</v>
      </c>
      <c r="AJ196" s="8">
        <v>364.09866799999998</v>
      </c>
      <c r="AK196" s="8">
        <v>364.09866799999998</v>
      </c>
      <c r="AL196" s="8">
        <v>364.09866799999998</v>
      </c>
      <c r="AM196" s="8">
        <v>384.09866800000009</v>
      </c>
      <c r="AN196" s="8">
        <v>384.09866800000009</v>
      </c>
      <c r="AO196" s="8">
        <v>384.09866800000009</v>
      </c>
      <c r="AP196" s="8">
        <v>384.09866800000009</v>
      </c>
      <c r="AQ196" s="8">
        <v>384.09866800000009</v>
      </c>
      <c r="AR196" s="8">
        <v>384.09866800000009</v>
      </c>
      <c r="AS196" s="8">
        <v>384.09866800000009</v>
      </c>
      <c r="AT196" s="8">
        <v>384.09866800000009</v>
      </c>
      <c r="AU196" s="8">
        <v>384.09866800000009</v>
      </c>
      <c r="AV196" s="8">
        <v>384.09866800000009</v>
      </c>
      <c r="AW196" s="8">
        <v>468.61120499999998</v>
      </c>
      <c r="AX196" s="8">
        <v>468.61120499999998</v>
      </c>
      <c r="AY196" s="8">
        <v>468.61120499999998</v>
      </c>
      <c r="AZ196" s="8">
        <v>468.61120499999981</v>
      </c>
      <c r="BA196" s="8">
        <v>468.61120499999998</v>
      </c>
      <c r="BB196" s="8">
        <v>468.61120499999998</v>
      </c>
      <c r="BC196" s="8">
        <v>468.61120499999998</v>
      </c>
      <c r="BD196" s="8">
        <v>468.61120499999998</v>
      </c>
      <c r="BE196" s="8">
        <v>468.61120499999998</v>
      </c>
      <c r="BF196" s="8">
        <v>468.61120499999998</v>
      </c>
      <c r="BH196" s="8">
        <f t="shared" si="44"/>
        <v>4218.5706120000004</v>
      </c>
      <c r="BI196" s="8">
        <f t="shared" si="45"/>
        <v>4569.1840160000011</v>
      </c>
      <c r="BJ196" s="8">
        <f t="shared" si="46"/>
        <v>4686.1120500000006</v>
      </c>
    </row>
    <row r="197" spans="1:62" x14ac:dyDescent="0.25">
      <c r="A197" s="9" t="s">
        <v>284</v>
      </c>
      <c r="B197" s="9" t="s">
        <v>644</v>
      </c>
      <c r="C197" s="10">
        <f>VLOOKUP(A197,'[2]Revenue_Engine_2025 Oct.25'!$C$14:G$3937,5,0)</f>
        <v>45373</v>
      </c>
      <c r="D197" s="6" cm="1">
        <f t="array" ref="D197">_xlfn.LET(
  _xlpm.aralık, Y197:BF197,
  _xlpm.ilk, MATCH(TRUE, _xlpm.aralık&lt;&gt;0, 0),
  _xlpm.son, MIN(_xlpm.ilk+2, COLUMNS(_xlpm.aralık)),
  MAX(INDEX(_xlpm.aralık, _xlpm.ilk):INDEX(_xlpm.aralık, _xlpm.son))
)</f>
        <v>175</v>
      </c>
      <c r="E197" s="6">
        <f t="shared" si="39"/>
        <v>461.34940400000005</v>
      </c>
      <c r="F197" s="6">
        <f t="shared" si="40"/>
        <v>0</v>
      </c>
      <c r="G197" s="6">
        <f t="shared" si="47"/>
        <v>461.33675600000009</v>
      </c>
      <c r="H197" s="7">
        <f t="shared" si="41"/>
        <v>1.6362823085714289</v>
      </c>
      <c r="I197" s="7">
        <f t="shared" si="42"/>
        <v>-1</v>
      </c>
      <c r="J197" s="7">
        <f t="shared" si="43"/>
        <v>-1</v>
      </c>
      <c r="K197" s="7">
        <f t="shared" si="48"/>
        <v>1.6362100342857149</v>
      </c>
      <c r="L197" s="5" t="s">
        <v>419</v>
      </c>
      <c r="M197" s="7">
        <f>IF(R197="",(VLOOKUP(A197,[1]Export!$B$2:$H$680,7,0)),"CHURN")</f>
        <v>6.572660340985273E-2</v>
      </c>
      <c r="N197" s="5">
        <f t="shared" si="49"/>
        <v>431.01465800000011</v>
      </c>
      <c r="O197" s="5">
        <f t="shared" si="50"/>
        <v>431.02647468992012</v>
      </c>
      <c r="P197" s="5">
        <f t="shared" si="51"/>
        <v>0</v>
      </c>
      <c r="Q197" s="5" t="s">
        <v>430</v>
      </c>
      <c r="T197" s="6" t="str" cm="1">
        <f t="array" ref="T197">IF(R197&lt;&gt;"Churn","",
 _xlfn.LET(
   _xlpm.rng,Y197:BF197,
   _xlpm.pos,MAX(IF((_xlpm.rng&lt;&gt;0)*(_xlpm.rng&lt;&gt;""),COLUMN(_xlpm.rng)-COLUMN(Y197)+1)),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7" s="6" t="str" cm="1">
        <f t="array" ref="U197">IF(R197="Churn",
   MAX(IF((Y197:BF197&lt;&gt;"")*(Y197:BF197&lt;&gt;0), COLUMN(Y197:BF197)-COLUMN(Y197)+1))
   -MATCH(1, --((Y197:BF197&lt;&gt;"")*(Y197:BF197&lt;&gt;0)), 0)
   +1,
"")</f>
        <v/>
      </c>
      <c r="V197" s="6" t="str" cm="1">
        <f t="array" ref="V197">IFERROR(
    IF(
        MATCH(2,1/((Y197:BF197&lt;&gt;0)*(Y197:BF197&lt;&gt;"")))-MATCH(1,INDEX((Y197:BF197&lt;&gt;0)*(Y197:BF197&lt;&gt;""),0),0)+1 &lt;= 12,
        "No",
        "Yes"
    ),
    "No"
)</f>
        <v>Yes</v>
      </c>
      <c r="W197" s="6" t="str" cm="1">
        <f t="array" ref="W197">IFERROR(
    IF(
        MATCH(2,1/((Y197:BF197&lt;&gt;0)*(Y197:BF197&lt;&gt;"")))-MATCH(1,INDEX((Y197:BF197&lt;&gt;0)*(Y197:BF197&lt;&gt;""),0),0)+1 &lt;= 24,
        "No",
        "Yes"
    ),
    "No"
)</f>
        <v>No</v>
      </c>
      <c r="X197" s="6"/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175</v>
      </c>
      <c r="AN197" s="8">
        <v>175</v>
      </c>
      <c r="AO197" s="8">
        <v>175</v>
      </c>
      <c r="AP197" s="8">
        <v>175</v>
      </c>
      <c r="AQ197" s="8">
        <v>175</v>
      </c>
      <c r="AR197" s="8">
        <v>175</v>
      </c>
      <c r="AS197" s="8">
        <v>175</v>
      </c>
      <c r="AT197" s="8">
        <v>700.000001</v>
      </c>
      <c r="AU197" s="8">
        <v>700.000001</v>
      </c>
      <c r="AV197" s="8">
        <v>700.000001</v>
      </c>
      <c r="AW197" s="8">
        <v>700.000001</v>
      </c>
      <c r="AX197" s="8">
        <v>461.34940400000005</v>
      </c>
      <c r="AY197" s="8">
        <v>461.34940400000005</v>
      </c>
      <c r="AZ197" s="8">
        <v>461.34307999999999</v>
      </c>
      <c r="BA197" s="8">
        <v>461.33675600000009</v>
      </c>
      <c r="BB197" s="8">
        <v>461.33675600000009</v>
      </c>
      <c r="BC197" s="8">
        <v>461.33675600000009</v>
      </c>
      <c r="BD197" s="8">
        <v>461.33675600000009</v>
      </c>
      <c r="BE197" s="8">
        <v>461.33675600000009</v>
      </c>
      <c r="BF197" s="8">
        <v>461.33675600000009</v>
      </c>
      <c r="BH197" s="8">
        <f t="shared" si="44"/>
        <v>0</v>
      </c>
      <c r="BI197" s="8">
        <f t="shared" si="45"/>
        <v>3325.0000029999997</v>
      </c>
      <c r="BJ197" s="8">
        <f t="shared" si="46"/>
        <v>4852.0624250000001</v>
      </c>
    </row>
    <row r="198" spans="1:62" x14ac:dyDescent="0.25">
      <c r="A198" s="9" t="s">
        <v>89</v>
      </c>
      <c r="B198" s="9" t="s">
        <v>644</v>
      </c>
      <c r="C198" s="10">
        <v>44927</v>
      </c>
      <c r="D198" s="6" cm="1">
        <f t="array" ref="D198">_xlfn.LET(
  _xlpm.aralık, Y198:BF198,
  _xlpm.ilk, MATCH(TRUE, _xlpm.aralık&lt;&gt;0, 0),
  _xlpm.son, MIN(_xlpm.ilk+2, COLUMNS(_xlpm.aralık)),
  MAX(INDEX(_xlpm.aralık, _xlpm.ilk):INDEX(_xlpm.aralık, _xlpm.son))
)</f>
        <v>356.19989693843399</v>
      </c>
      <c r="E198" s="6">
        <f t="shared" si="39"/>
        <v>288.45955606533983</v>
      </c>
      <c r="F198" s="6">
        <f t="shared" si="40"/>
        <v>403.37440350481137</v>
      </c>
      <c r="G198" s="6">
        <f t="shared" si="47"/>
        <v>460.01908623577935</v>
      </c>
      <c r="H198" s="7">
        <f t="shared" si="41"/>
        <v>-0.19017507151273119</v>
      </c>
      <c r="I198" s="7">
        <f t="shared" si="42"/>
        <v>0.13243829369925694</v>
      </c>
      <c r="J198" s="7">
        <f t="shared" si="43"/>
        <v>0.39837420887329467</v>
      </c>
      <c r="K198" s="7">
        <f t="shared" si="48"/>
        <v>0.29146327719260851</v>
      </c>
      <c r="L198" s="5" t="s">
        <v>423</v>
      </c>
      <c r="M198" s="7">
        <f>IF(R198="",(VLOOKUP(A198,[1]Export!$B$2:$H$680,7,0)),"CHURN")</f>
        <v>0.32265733086249004</v>
      </c>
      <c r="N198" s="5">
        <f t="shared" si="49"/>
        <v>311.59055572514114</v>
      </c>
      <c r="O198" s="5">
        <f t="shared" si="50"/>
        <v>195.38596564351849</v>
      </c>
      <c r="P198" s="5">
        <f t="shared" si="51"/>
        <v>273.22269513169988</v>
      </c>
      <c r="Q198" s="5" t="s">
        <v>430</v>
      </c>
      <c r="T198" s="6" t="str" cm="1">
        <f t="array" ref="T198">IF(R198&lt;&gt;"Churn","",
 _xlfn.LET(
   _xlpm.rng,Y198:BF198,
   _xlpm.pos,MAX(IF((_xlpm.rng&lt;&gt;0)*(_xlpm.rng&lt;&gt;""),COLUMN(_xlpm.rng)-COLUMN(Y198)+1)),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8" s="6" t="str" cm="1">
        <f t="array" ref="U198">IF(R198="Churn",
   MAX(IF((Y198:BF198&lt;&gt;"")*(Y198:BF198&lt;&gt;0), COLUMN(Y198:BF198)-COLUMN(Y198)+1))
   -MATCH(1, --((Y198:BF198&lt;&gt;"")*(Y198:BF198&lt;&gt;0)), 0)
   +1,
"")</f>
        <v/>
      </c>
      <c r="V198" s="6" t="str" cm="1">
        <f t="array" ref="V198">IFERROR(
    IF(
        MATCH(2,1/((Y198:BF198&lt;&gt;0)*(Y198:BF198&lt;&gt;"")))-MATCH(1,INDEX((Y198:BF198&lt;&gt;0)*(Y198:BF198&lt;&gt;""),0),0)+1 &lt;= 12,
        "No",
        "Yes"
    ),
    "No"
)</f>
        <v>Yes</v>
      </c>
      <c r="W198" s="6" t="str" cm="1">
        <f t="array" ref="W198">IFERROR(
    IF(
        MATCH(2,1/((Y198:BF198&lt;&gt;0)*(Y198:BF198&lt;&gt;"")))-MATCH(1,INDEX((Y198:BF198&lt;&gt;0)*(Y198:BF198&lt;&gt;""),0),0)+1 &lt;= 24,
        "No",
        "Yes"
    ),
    "No"
)</f>
        <v>Yes</v>
      </c>
      <c r="Y198" s="8">
        <v>207.82267049785963</v>
      </c>
      <c r="Z198" s="8">
        <v>356.19989693843399</v>
      </c>
      <c r="AA198" s="8">
        <v>353.58142919670308</v>
      </c>
      <c r="AB198" s="8">
        <v>347.29955817073358</v>
      </c>
      <c r="AC198" s="8">
        <v>349.71480954510338</v>
      </c>
      <c r="AD198" s="8">
        <v>295.52844689070457</v>
      </c>
      <c r="AE198" s="8">
        <v>326.41003063802066</v>
      </c>
      <c r="AF198" s="8">
        <v>320.40485169593859</v>
      </c>
      <c r="AG198" s="8">
        <v>320.11586418355341</v>
      </c>
      <c r="AH198" s="8">
        <v>310.52664247376333</v>
      </c>
      <c r="AI198" s="8">
        <v>302.22579584296903</v>
      </c>
      <c r="AJ198" s="8">
        <v>297.6570347129184</v>
      </c>
      <c r="AK198" s="8">
        <v>288.45955606533983</v>
      </c>
      <c r="AL198" s="8">
        <v>430.92667942611786</v>
      </c>
      <c r="AM198" s="8">
        <v>446.85193829852557</v>
      </c>
      <c r="AN198" s="8">
        <v>442.49097954980414</v>
      </c>
      <c r="AO198" s="8">
        <v>443.12116912324296</v>
      </c>
      <c r="AP198" s="8">
        <v>439.44548491717848</v>
      </c>
      <c r="AQ198" s="8">
        <v>434.45933642637732</v>
      </c>
      <c r="AR198" s="8">
        <v>425.30014765896351</v>
      </c>
      <c r="AS198" s="8">
        <v>420.53394161852088</v>
      </c>
      <c r="AT198" s="8">
        <v>417.98915553383461</v>
      </c>
      <c r="AU198" s="8">
        <v>415.73472245424193</v>
      </c>
      <c r="AV198" s="8">
        <v>409.41044664038418</v>
      </c>
      <c r="AW198" s="8">
        <v>403.37440350481137</v>
      </c>
      <c r="AX198" s="8">
        <v>530.70348649540244</v>
      </c>
      <c r="AY198" s="8">
        <v>517.68765722688192</v>
      </c>
      <c r="AZ198" s="8">
        <v>504.09902839418805</v>
      </c>
      <c r="BA198" s="8">
        <v>495.7990113141953</v>
      </c>
      <c r="BB198" s="8">
        <v>487.53408204520542</v>
      </c>
      <c r="BC198" s="8">
        <v>478.32939214532252</v>
      </c>
      <c r="BD198" s="8">
        <v>471.1014226432514</v>
      </c>
      <c r="BE198" s="8">
        <v>465.507951514387</v>
      </c>
      <c r="BF198" s="8">
        <v>460.01908623577935</v>
      </c>
      <c r="BH198" s="8">
        <f t="shared" si="44"/>
        <v>3787.4870307867022</v>
      </c>
      <c r="BI198" s="8">
        <f t="shared" si="45"/>
        <v>5014.7235577125311</v>
      </c>
      <c r="BJ198" s="8">
        <f t="shared" si="46"/>
        <v>4814.1555215194239</v>
      </c>
    </row>
    <row r="199" spans="1:62" x14ac:dyDescent="0.25">
      <c r="A199" s="9" t="s">
        <v>466</v>
      </c>
      <c r="B199" s="9" t="s">
        <v>644</v>
      </c>
      <c r="C199" s="10">
        <f>VLOOKUP(A199,'[2]Revenue_Engine_2025 Oct.25'!$C$14:G$3937,5,0)</f>
        <v>45627</v>
      </c>
      <c r="D199" s="6" cm="1">
        <f t="array" ref="D199">_xlfn.LET(
  _xlpm.aralık, Y199:BF199,
  _xlpm.ilk, MATCH(TRUE, _xlpm.aralık&lt;&gt;0, 0),
  _xlpm.son, MIN(_xlpm.ilk+2, COLUMNS(_xlpm.aralık)),
  MAX(INDEX(_xlpm.aralık, _xlpm.ilk):INDEX(_xlpm.aralık, _xlpm.son))
)</f>
        <v>450.01209699999998</v>
      </c>
      <c r="E199" s="6">
        <f t="shared" si="39"/>
        <v>0</v>
      </c>
      <c r="F199" s="6">
        <f t="shared" si="40"/>
        <v>0</v>
      </c>
      <c r="G199" s="6">
        <f t="shared" si="47"/>
        <v>450.01209699999998</v>
      </c>
      <c r="H199" s="7">
        <f t="shared" si="41"/>
        <v>-1</v>
      </c>
      <c r="I199" s="7">
        <f t="shared" si="42"/>
        <v>-1</v>
      </c>
      <c r="J199" s="7" t="e">
        <f t="shared" si="43"/>
        <v>#DIV/0!</v>
      </c>
      <c r="K199" s="7">
        <f t="shared" si="48"/>
        <v>0</v>
      </c>
      <c r="L199" s="5" t="s">
        <v>418</v>
      </c>
      <c r="M199" s="7">
        <f>IF(R199="",(VLOOKUP(A199,[1]Export!$B$2:$H$680,7,0)),"CHURN")</f>
        <v>0.1299284250129836</v>
      </c>
      <c r="N199" s="5">
        <f t="shared" si="49"/>
        <v>391.542734</v>
      </c>
      <c r="O199" s="5">
        <f t="shared" si="50"/>
        <v>0</v>
      </c>
      <c r="P199" s="5">
        <f t="shared" si="51"/>
        <v>0</v>
      </c>
      <c r="Q199" s="5" t="s">
        <v>430</v>
      </c>
      <c r="T199" s="6" t="str" cm="1">
        <f t="array" ref="T199">IF(R199&lt;&gt;"Churn","",
 _xlfn.LET(
   _xlpm.rng,Y199:BF199,
   _xlpm.pos,MAX(IF((_xlpm.rng&lt;&gt;0)*(_xlpm.rng&lt;&gt;""),COLUMN(_xlpm.rng)-COLUMN(Y199)+1)),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199" s="6" t="str" cm="1">
        <f t="array" ref="U199">IF(R199="Churn",
   MAX(IF((Y199:BF199&lt;&gt;"")*(Y199:BF199&lt;&gt;0), COLUMN(Y199:BF199)-COLUMN(Y199)+1))
   -MATCH(1, --((Y199:BF199&lt;&gt;"")*(Y199:BF199&lt;&gt;0)), 0)
   +1,
"")</f>
        <v/>
      </c>
      <c r="V199" s="6" t="str" cm="1">
        <f t="array" ref="V199">IFERROR(
    IF(
        MATCH(2,1/((Y199:BF199&lt;&gt;0)*(Y199:BF199&lt;&gt;"")))-MATCH(1,INDEX((Y199:BF199&lt;&gt;0)*(Y199:BF199&lt;&gt;""),0),0)+1 &lt;= 12,
        "No",
        "Yes"
    ),
    "No"
)</f>
        <v>No</v>
      </c>
      <c r="W199" s="6" t="str" cm="1">
        <f t="array" ref="W199">IFERROR(
    IF(
        MATCH(2,1/((Y199:BF199&lt;&gt;0)*(Y199:BF199&lt;&gt;"")))-MATCH(1,INDEX((Y199:BF199&lt;&gt;0)*(Y199:BF199&lt;&gt;""),0),0)+1 &lt;= 24,
        "No",
        "Yes"
    ),
    "No"
)</f>
        <v>No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450.01209699999998</v>
      </c>
      <c r="AW199" s="8">
        <v>450.01209699999998</v>
      </c>
      <c r="AX199" s="8">
        <v>450.01209699999998</v>
      </c>
      <c r="AY199" s="8">
        <v>450.01209699999998</v>
      </c>
      <c r="AZ199" s="8">
        <v>450.01209699999998</v>
      </c>
      <c r="BA199" s="8">
        <v>450.01209699999998</v>
      </c>
      <c r="BB199" s="8">
        <v>450.01209699999998</v>
      </c>
      <c r="BC199" s="8">
        <v>450.01209699999998</v>
      </c>
      <c r="BD199" s="8">
        <v>450.01209699999998</v>
      </c>
      <c r="BE199" s="8">
        <v>450.01209699999998</v>
      </c>
      <c r="BF199" s="8">
        <v>450.01209699999998</v>
      </c>
      <c r="BH199" s="8">
        <f t="shared" si="44"/>
        <v>0</v>
      </c>
      <c r="BI199" s="8">
        <f t="shared" si="45"/>
        <v>450.01209699999998</v>
      </c>
      <c r="BJ199" s="8">
        <f t="shared" si="46"/>
        <v>4500.120969999999</v>
      </c>
    </row>
    <row r="200" spans="1:62" x14ac:dyDescent="0.25">
      <c r="A200" s="9" t="s">
        <v>292</v>
      </c>
      <c r="B200" s="9" t="s">
        <v>644</v>
      </c>
      <c r="C200" s="10">
        <f>VLOOKUP(A200,'[2]Revenue_Engine_2025 Oct.25'!$C$14:G$3937,5,0)</f>
        <v>45411</v>
      </c>
      <c r="D200" s="6" cm="1">
        <f t="array" ref="D200">_xlfn.LET(
  _xlpm.aralık, Y200:BF200,
  _xlpm.ilk, MATCH(TRUE, _xlpm.aralık&lt;&gt;0, 0),
  _xlpm.son, MIN(_xlpm.ilk+2, COLUMNS(_xlpm.aralık)),
  MAX(INDEX(_xlpm.aralık, _xlpm.ilk):INDEX(_xlpm.aralık, _xlpm.son))
)</f>
        <v>200</v>
      </c>
      <c r="E200" s="6">
        <f t="shared" si="39"/>
        <v>450.01155799999998</v>
      </c>
      <c r="F200" s="6">
        <f t="shared" si="40"/>
        <v>0</v>
      </c>
      <c r="G200" s="6">
        <f t="shared" si="47"/>
        <v>450.01155799999992</v>
      </c>
      <c r="H200" s="7">
        <f t="shared" si="41"/>
        <v>1.2500577899999998</v>
      </c>
      <c r="I200" s="7">
        <f t="shared" si="42"/>
        <v>-1</v>
      </c>
      <c r="J200" s="7">
        <f t="shared" si="43"/>
        <v>-1</v>
      </c>
      <c r="K200" s="7">
        <f t="shared" si="48"/>
        <v>1.2500577899999996</v>
      </c>
      <c r="L200" s="5" t="s">
        <v>421</v>
      </c>
      <c r="M200" s="7">
        <f>IF(R200="",(VLOOKUP(A200,[1]Export!$B$2:$H$680,7,0)),"CHURN")</f>
        <v>2.3977161937694051E-2</v>
      </c>
      <c r="N200" s="5">
        <f t="shared" si="49"/>
        <v>439.2215579999999</v>
      </c>
      <c r="O200" s="5">
        <f t="shared" si="50"/>
        <v>439.22155799999996</v>
      </c>
      <c r="P200" s="5">
        <f t="shared" si="51"/>
        <v>0</v>
      </c>
      <c r="Q200" s="5" t="s">
        <v>430</v>
      </c>
      <c r="T200" s="6" t="str" cm="1">
        <f t="array" ref="T200">IF(R200&lt;&gt;"Churn","",
 _xlfn.LET(
   _xlpm.rng,Y200:BF200,
   _xlpm.pos,MAX(IF((_xlpm.rng&lt;&gt;0)*(_xlpm.rng&lt;&gt;""),COLUMN(_xlpm.rng)-COLUMN(Y200)+1)),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0" s="6" t="str" cm="1">
        <f t="array" ref="U200">IF(R200="Churn",
   MAX(IF((Y200:BF200&lt;&gt;"")*(Y200:BF200&lt;&gt;0), COLUMN(Y200:BF200)-COLUMN(Y200)+1))
   -MATCH(1, --((Y200:BF200&lt;&gt;"")*(Y200:BF200&lt;&gt;0)), 0)
   +1,
"")</f>
        <v/>
      </c>
      <c r="V200" s="6" t="str" cm="1">
        <f t="array" ref="V200">IFERROR(
    IF(
        MATCH(2,1/((Y200:BF200&lt;&gt;0)*(Y200:BF200&lt;&gt;"")))-MATCH(1,INDEX((Y200:BF200&lt;&gt;0)*(Y200:BF200&lt;&gt;""),0),0)+1 &lt;= 12,
        "No",
        "Yes"
    ),
    "No"
)</f>
        <v>Yes</v>
      </c>
      <c r="W200" s="6" t="str" cm="1">
        <f t="array" ref="W200">IFERROR(
    IF(
        MATCH(2,1/((Y200:BF200&lt;&gt;0)*(Y200:BF200&lt;&gt;"")))-MATCH(1,INDEX((Y200:BF200&lt;&gt;0)*(Y200:BF200&lt;&gt;""),0),0)+1 &lt;= 24,
        "No",
        "Yes"
    ),
    "No"
)</f>
        <v>No</v>
      </c>
      <c r="X200" s="6"/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200</v>
      </c>
      <c r="AO200" s="8">
        <v>200</v>
      </c>
      <c r="AP200" s="8">
        <v>200</v>
      </c>
      <c r="AQ200" s="8">
        <v>200</v>
      </c>
      <c r="AR200" s="8">
        <v>200</v>
      </c>
      <c r="AS200" s="8">
        <v>200</v>
      </c>
      <c r="AT200" s="8">
        <v>200</v>
      </c>
      <c r="AU200" s="8">
        <v>450.01155799999992</v>
      </c>
      <c r="AV200" s="8">
        <v>450.01155799999992</v>
      </c>
      <c r="AW200" s="8">
        <v>450.01155799999992</v>
      </c>
      <c r="AX200" s="8">
        <v>450.01155799999992</v>
      </c>
      <c r="AY200" s="8">
        <v>450.01155799999992</v>
      </c>
      <c r="AZ200" s="8">
        <v>450.01155799999998</v>
      </c>
      <c r="BA200" s="8">
        <v>450.01155799999992</v>
      </c>
      <c r="BB200" s="8">
        <v>450.01155799999992</v>
      </c>
      <c r="BC200" s="8">
        <v>450.01155799999992</v>
      </c>
      <c r="BD200" s="8">
        <v>450.01155799999992</v>
      </c>
      <c r="BE200" s="8">
        <v>450.01155799999992</v>
      </c>
      <c r="BF200" s="8">
        <v>450.01155799999992</v>
      </c>
      <c r="BH200" s="8">
        <f t="shared" si="44"/>
        <v>0</v>
      </c>
      <c r="BI200" s="8">
        <f t="shared" si="45"/>
        <v>2300.0231159999998</v>
      </c>
      <c r="BJ200" s="8">
        <f t="shared" si="46"/>
        <v>4500.1155800000006</v>
      </c>
    </row>
    <row r="201" spans="1:62" x14ac:dyDescent="0.25">
      <c r="A201" s="9" t="s">
        <v>263</v>
      </c>
      <c r="B201" s="9" t="s">
        <v>644</v>
      </c>
      <c r="C201" s="10">
        <f>VLOOKUP(A201,'[2]Revenue_Engine_2025 Oct.25'!$C$14:G$3937,5,0)</f>
        <v>45315</v>
      </c>
      <c r="D201" s="6" cm="1">
        <f t="array" ref="D201">_xlfn.LET(
  _xlpm.aralık, Y201:BF201,
  _xlpm.ilk, MATCH(TRUE, _xlpm.aralık&lt;&gt;0, 0),
  _xlpm.son, MIN(_xlpm.ilk+2, COLUMNS(_xlpm.aralık)),
  MAX(INDEX(_xlpm.aralık, _xlpm.ilk):INDEX(_xlpm.aralık, _xlpm.son))
)</f>
        <v>440.009998</v>
      </c>
      <c r="E201" s="6">
        <f t="shared" si="39"/>
        <v>440.009998</v>
      </c>
      <c r="F201" s="6">
        <f t="shared" si="40"/>
        <v>0</v>
      </c>
      <c r="G201" s="6">
        <f t="shared" si="47"/>
        <v>440.009998</v>
      </c>
      <c r="H201" s="7">
        <f t="shared" si="41"/>
        <v>0</v>
      </c>
      <c r="I201" s="7">
        <f t="shared" si="42"/>
        <v>-1</v>
      </c>
      <c r="J201" s="7">
        <f t="shared" si="43"/>
        <v>-1</v>
      </c>
      <c r="K201" s="7">
        <f t="shared" si="48"/>
        <v>0</v>
      </c>
      <c r="L201" s="5" t="s">
        <v>416</v>
      </c>
      <c r="M201" s="7">
        <f>IF(R201="",(VLOOKUP(A201,[1]Export!$B$2:$H$680,7,0)),"CHURN")</f>
        <v>0.55453285404664832</v>
      </c>
      <c r="N201" s="5">
        <f t="shared" si="49"/>
        <v>196.00999799999997</v>
      </c>
      <c r="O201" s="5">
        <f t="shared" si="50"/>
        <v>196.00999799999997</v>
      </c>
      <c r="P201" s="5">
        <f t="shared" si="51"/>
        <v>0</v>
      </c>
      <c r="Q201" s="5" t="s">
        <v>430</v>
      </c>
      <c r="T201" s="6" t="str" cm="1">
        <f t="array" ref="T201">IF(R201&lt;&gt;"Churn","",
 _xlfn.LET(
   _xlpm.rng,Y201:BF201,
   _xlpm.pos,MAX(IF((_xlpm.rng&lt;&gt;0)*(_xlpm.rng&lt;&gt;""),COLUMN(_xlpm.rng)-COLUMN(Y201)+1)),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1" s="6" t="str" cm="1">
        <f t="array" ref="U201">IF(R201="Churn",
   MAX(IF((Y201:BF201&lt;&gt;"")*(Y201:BF201&lt;&gt;0), COLUMN(Y201:BF201)-COLUMN(Y201)+1))
   -MATCH(1, --((Y201:BF201&lt;&gt;"")*(Y201:BF201&lt;&gt;0)), 0)
   +1,
"")</f>
        <v/>
      </c>
      <c r="V201" s="6" t="str" cm="1">
        <f t="array" ref="V201">IFERROR(
    IF(
        MATCH(2,1/((Y201:BF201&lt;&gt;0)*(Y201:BF201&lt;&gt;"")))-MATCH(1,INDEX((Y201:BF201&lt;&gt;0)*(Y201:BF201&lt;&gt;""),0),0)+1 &lt;= 12,
        "No",
        "Yes"
    ),
    "No"
)</f>
        <v>Yes</v>
      </c>
      <c r="W201" s="6" t="str" cm="1">
        <f t="array" ref="W201">IFERROR(
    IF(
        MATCH(2,1/((Y201:BF201&lt;&gt;0)*(Y201:BF201&lt;&gt;"")))-MATCH(1,INDEX((Y201:BF201&lt;&gt;0)*(Y201:BF201&lt;&gt;""),0),0)+1 &lt;= 24,
        "No",
        "Yes"
    ),
    "No"
)</f>
        <v>No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440.009998</v>
      </c>
      <c r="AL201" s="8">
        <v>440.009998</v>
      </c>
      <c r="AM201" s="8">
        <v>440.009998</v>
      </c>
      <c r="AN201" s="8">
        <v>440.009998</v>
      </c>
      <c r="AO201" s="8">
        <v>440.009998</v>
      </c>
      <c r="AP201" s="8">
        <v>440.009998</v>
      </c>
      <c r="AQ201" s="8">
        <v>440.009998</v>
      </c>
      <c r="AR201" s="8">
        <v>440.009998</v>
      </c>
      <c r="AS201" s="8">
        <v>440.009998</v>
      </c>
      <c r="AT201" s="8">
        <v>440.009998</v>
      </c>
      <c r="AU201" s="8">
        <v>440.009998</v>
      </c>
      <c r="AV201" s="8">
        <v>440.009998</v>
      </c>
      <c r="AW201" s="8">
        <v>440.009998</v>
      </c>
      <c r="AX201" s="8">
        <v>440.009998</v>
      </c>
      <c r="AY201" s="8">
        <v>440.009998</v>
      </c>
      <c r="AZ201" s="8">
        <v>440.00999799999994</v>
      </c>
      <c r="BA201" s="8">
        <v>440.009998</v>
      </c>
      <c r="BB201" s="8">
        <v>440.009998</v>
      </c>
      <c r="BC201" s="8">
        <v>440.009998</v>
      </c>
      <c r="BD201" s="8">
        <v>440.009998</v>
      </c>
      <c r="BE201" s="8">
        <v>440.009998</v>
      </c>
      <c r="BF201" s="8">
        <v>440.009998</v>
      </c>
      <c r="BH201" s="8">
        <f t="shared" si="44"/>
        <v>0</v>
      </c>
      <c r="BI201" s="8">
        <f t="shared" si="45"/>
        <v>5280.119976</v>
      </c>
      <c r="BJ201" s="8">
        <f t="shared" si="46"/>
        <v>4400.09998</v>
      </c>
    </row>
    <row r="202" spans="1:62" x14ac:dyDescent="0.25">
      <c r="A202" s="9" t="s">
        <v>467</v>
      </c>
      <c r="B202" s="9" t="s">
        <v>644</v>
      </c>
      <c r="C202" s="10">
        <f>VLOOKUP(A202,'[2]Revenue_Engine_2025 Oct.25'!$C$14:G$3937,5,0)</f>
        <v>45496</v>
      </c>
      <c r="D202" s="6" cm="1">
        <f t="array" ref="D202">_xlfn.LET(
  _xlpm.aralık, Y202:BF202,
  _xlpm.ilk, MATCH(TRUE, _xlpm.aralık&lt;&gt;0, 0),
  _xlpm.son, MIN(_xlpm.ilk+2, COLUMNS(_xlpm.aralık)),
  MAX(INDEX(_xlpm.aralık, _xlpm.ilk):INDEX(_xlpm.aralık, _xlpm.son))
)</f>
        <v>392.00000100000005</v>
      </c>
      <c r="E202" s="6">
        <f t="shared" si="39"/>
        <v>439.60000100000008</v>
      </c>
      <c r="F202" s="6">
        <f t="shared" si="40"/>
        <v>0</v>
      </c>
      <c r="G202" s="6">
        <f t="shared" si="47"/>
        <v>439.60000100000008</v>
      </c>
      <c r="H202" s="7">
        <f t="shared" si="41"/>
        <v>0.1214285711188047</v>
      </c>
      <c r="I202" s="7">
        <f t="shared" si="42"/>
        <v>-1</v>
      </c>
      <c r="J202" s="7">
        <f t="shared" si="43"/>
        <v>-1</v>
      </c>
      <c r="K202" s="7">
        <f t="shared" si="48"/>
        <v>0.1214285711188047</v>
      </c>
      <c r="L202" s="5" t="s">
        <v>418</v>
      </c>
      <c r="M202" s="7">
        <f>IF(R202="",(VLOOKUP(A202,[1]Export!$B$2:$H$680,7,0)),"CHURN")</f>
        <v>0.11828935368905971</v>
      </c>
      <c r="N202" s="5">
        <f t="shared" si="49"/>
        <v>387.60000100000008</v>
      </c>
      <c r="O202" s="5">
        <f t="shared" si="50"/>
        <v>387.60000100000008</v>
      </c>
      <c r="P202" s="5">
        <f t="shared" si="51"/>
        <v>0</v>
      </c>
      <c r="Q202" s="5" t="s">
        <v>430</v>
      </c>
      <c r="T202" s="6" t="str" cm="1">
        <f t="array" ref="T202">IF(R202&lt;&gt;"Churn","",
 _xlfn.LET(
   _xlpm.rng,Y202:BF202,
   _xlpm.pos,MAX(IF((_xlpm.rng&lt;&gt;0)*(_xlpm.rng&lt;&gt;""),COLUMN(_xlpm.rng)-COLUMN(Y202)+1)),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2" s="6" t="str" cm="1">
        <f t="array" ref="U202">IF(R202="Churn",
   MAX(IF((Y202:BF202&lt;&gt;"")*(Y202:BF202&lt;&gt;0), COLUMN(Y202:BF202)-COLUMN(Y202)+1))
   -MATCH(1, --((Y202:BF202&lt;&gt;"")*(Y202:BF202&lt;&gt;0)), 0)
   +1,
"")</f>
        <v/>
      </c>
      <c r="V202" s="6" t="str" cm="1">
        <f t="array" ref="V202">IFERROR(
    IF(
        MATCH(2,1/((Y202:BF202&lt;&gt;0)*(Y202:BF202&lt;&gt;"")))-MATCH(1,INDEX((Y202:BF202&lt;&gt;0)*(Y202:BF202&lt;&gt;""),0),0)+1 &lt;= 12,
        "No",
        "Yes"
    ),
    "No"
)</f>
        <v>Yes</v>
      </c>
      <c r="W202" s="6" t="str" cm="1">
        <f t="array" ref="W202">IFERROR(
    IF(
        MATCH(2,1/((Y202:BF202&lt;&gt;0)*(Y202:BF202&lt;&gt;"")))-MATCH(1,INDEX((Y202:BF202&lt;&gt;0)*(Y202:BF202&lt;&gt;""),0),0)+1 &lt;= 24,
        "No",
        "Yes"
    ),
    "No"
)</f>
        <v>No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392.00000100000005</v>
      </c>
      <c r="AR202" s="8">
        <v>392.00000100000005</v>
      </c>
      <c r="AS202" s="8">
        <v>392.00000100000005</v>
      </c>
      <c r="AT202" s="8">
        <v>392.00000100000005</v>
      </c>
      <c r="AU202" s="8">
        <v>392.00000100000005</v>
      </c>
      <c r="AV202" s="8">
        <v>392.00000100000005</v>
      </c>
      <c r="AW202" s="8">
        <v>392.00000100000005</v>
      </c>
      <c r="AX202" s="8">
        <v>392.00000100000005</v>
      </c>
      <c r="AY202" s="8">
        <v>439.60000100000008</v>
      </c>
      <c r="AZ202" s="8">
        <v>439.60000100000002</v>
      </c>
      <c r="BA202" s="8">
        <v>439.60000100000008</v>
      </c>
      <c r="BB202" s="8">
        <v>439.60000100000008</v>
      </c>
      <c r="BC202" s="8">
        <v>439.60000100000008</v>
      </c>
      <c r="BD202" s="8">
        <v>439.60000100000008</v>
      </c>
      <c r="BE202" s="8">
        <v>439.60000100000008</v>
      </c>
      <c r="BF202" s="8">
        <v>439.60000100000008</v>
      </c>
      <c r="BH202" s="8">
        <f t="shared" si="44"/>
        <v>0</v>
      </c>
      <c r="BI202" s="8">
        <f t="shared" si="45"/>
        <v>2352.0000060000002</v>
      </c>
      <c r="BJ202" s="8">
        <f t="shared" si="46"/>
        <v>4300.8000100000017</v>
      </c>
    </row>
    <row r="203" spans="1:62" x14ac:dyDescent="0.25">
      <c r="A203" s="9" t="s">
        <v>30</v>
      </c>
      <c r="B203" s="9" t="s">
        <v>644</v>
      </c>
      <c r="C203" s="10">
        <v>44927</v>
      </c>
      <c r="D203" s="6" cm="1">
        <f t="array" ref="D203">_xlfn.LET(
  _xlpm.aralık, Y203:BF203,
  _xlpm.ilk, MATCH(TRUE, _xlpm.aralık&lt;&gt;0, 0),
  _xlpm.son, MIN(_xlpm.ilk+2, COLUMNS(_xlpm.aralık)),
  MAX(INDEX(_xlpm.aralık, _xlpm.ilk):INDEX(_xlpm.aralık, _xlpm.son))
)</f>
        <v>276.27339411805031</v>
      </c>
      <c r="E203" s="6">
        <f t="shared" si="39"/>
        <v>414.01070096265062</v>
      </c>
      <c r="F203" s="6">
        <f t="shared" si="40"/>
        <v>568.4377696206484</v>
      </c>
      <c r="G203" s="6">
        <f t="shared" si="47"/>
        <v>439.4540695916005</v>
      </c>
      <c r="H203" s="7">
        <f t="shared" si="41"/>
        <v>0.49855436599061659</v>
      </c>
      <c r="I203" s="7">
        <f t="shared" si="42"/>
        <v>1.0575190435375679</v>
      </c>
      <c r="J203" s="7">
        <f t="shared" si="43"/>
        <v>0.3730026018625282</v>
      </c>
      <c r="K203" s="7">
        <f t="shared" si="48"/>
        <v>0.59064925884185526</v>
      </c>
      <c r="L203" s="5" t="s">
        <v>424</v>
      </c>
      <c r="M203" s="7">
        <f>IF(R203="",(VLOOKUP(A203,[1]Export!$B$2:$H$680,7,0)),"CHURN")</f>
        <v>0.60549951429154281</v>
      </c>
      <c r="N203" s="5">
        <f t="shared" si="49"/>
        <v>173.36484390044455</v>
      </c>
      <c r="O203" s="5">
        <f t="shared" si="50"/>
        <v>163.32742261826451</v>
      </c>
      <c r="P203" s="5">
        <f t="shared" si="51"/>
        <v>224.24897621037789</v>
      </c>
      <c r="Q203" s="5" t="s">
        <v>430</v>
      </c>
      <c r="T203" s="6" t="str" cm="1">
        <f t="array" ref="T203">IF(R203&lt;&gt;"Churn","",
 _xlfn.LET(
   _xlpm.rng,Y203:BF203,
   _xlpm.pos,MAX(IF((_xlpm.rng&lt;&gt;0)*(_xlpm.rng&lt;&gt;""),COLUMN(_xlpm.rng)-COLUMN(Y203)+1)),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3" s="6" t="str" cm="1">
        <f t="array" ref="U203">IF(R203="Churn",
   MAX(IF((Y203:BF203&lt;&gt;"")*(Y203:BF203&lt;&gt;0), COLUMN(Y203:BF203)-COLUMN(Y203)+1))
   -MATCH(1, --((Y203:BF203&lt;&gt;"")*(Y203:BF203&lt;&gt;0)), 0)
   +1,
"")</f>
        <v/>
      </c>
      <c r="V203" s="6" t="str" cm="1">
        <f t="array" ref="V203">IFERROR(
    IF(
        MATCH(2,1/((Y203:BF203&lt;&gt;0)*(Y203:BF203&lt;&gt;"")))-MATCH(1,INDEX((Y203:BF203&lt;&gt;0)*(Y203:BF203&lt;&gt;""),0),0)+1 &lt;= 12,
        "No",
        "Yes"
    ),
    "No"
)</f>
        <v>Yes</v>
      </c>
      <c r="W203" s="6" t="str" cm="1">
        <f t="array" ref="W203">IFERROR(
    IF(
        MATCH(2,1/((Y203:BF203&lt;&gt;0)*(Y203:BF203&lt;&gt;"")))-MATCH(1,INDEX((Y203:BF203&lt;&gt;0)*(Y203:BF203&lt;&gt;""),0),0)+1 &lt;= 24,
        "No",
        "Yes"
    ),
    "No"
)</f>
        <v>Yes</v>
      </c>
      <c r="Y203" s="8">
        <v>214.83823160947424</v>
      </c>
      <c r="Z203" s="8">
        <v>214.09180979297378</v>
      </c>
      <c r="AA203" s="8">
        <v>276.27339411805031</v>
      </c>
      <c r="AB203" s="8">
        <v>271.36500898679691</v>
      </c>
      <c r="AC203" s="8">
        <v>275.22011011626489</v>
      </c>
      <c r="AD203" s="8">
        <v>232.88118316467813</v>
      </c>
      <c r="AE203" s="8">
        <v>207.40859496839624</v>
      </c>
      <c r="AF203" s="8">
        <v>293.16122410763052</v>
      </c>
      <c r="AG203" s="8">
        <v>292.89751901497067</v>
      </c>
      <c r="AH203" s="8">
        <v>434.14722180410888</v>
      </c>
      <c r="AI203" s="8">
        <v>426.57258471387058</v>
      </c>
      <c r="AJ203" s="8">
        <v>422.40352714042535</v>
      </c>
      <c r="AK203" s="8">
        <v>414.01070096265062</v>
      </c>
      <c r="AL203" s="8">
        <v>408.15137480997589</v>
      </c>
      <c r="AM203" s="8">
        <v>398.61252299127614</v>
      </c>
      <c r="AN203" s="8">
        <v>396.22600773941713</v>
      </c>
      <c r="AO203" s="8">
        <v>396.57087617666508</v>
      </c>
      <c r="AP203" s="8">
        <v>394.55937436611441</v>
      </c>
      <c r="AQ203" s="8">
        <v>391.83072681244994</v>
      </c>
      <c r="AR203" s="8">
        <v>504.32714512705911</v>
      </c>
      <c r="AS203" s="8">
        <v>500.37350654517013</v>
      </c>
      <c r="AT203" s="8">
        <v>507.04202015622866</v>
      </c>
      <c r="AU203" s="8">
        <v>505.12354033127542</v>
      </c>
      <c r="AV203" s="8">
        <v>499.74170147069674</v>
      </c>
      <c r="AW203" s="8">
        <v>568.4377696206484</v>
      </c>
      <c r="AX203" s="8">
        <v>561.2201220859406</v>
      </c>
      <c r="AY203" s="8">
        <v>551.18524868747647</v>
      </c>
      <c r="AZ203" s="8">
        <v>540.70876139022846</v>
      </c>
      <c r="BA203" s="8">
        <v>534.30965927506338</v>
      </c>
      <c r="BB203" s="8">
        <v>527.93760896996582</v>
      </c>
      <c r="BC203" s="8">
        <v>520.84102711475941</v>
      </c>
      <c r="BD203" s="8">
        <v>600.03085630675059</v>
      </c>
      <c r="BE203" s="8">
        <v>594.6926602214362</v>
      </c>
      <c r="BF203" s="8">
        <v>439.4540695916005</v>
      </c>
      <c r="BH203" s="8">
        <f t="shared" si="44"/>
        <v>3561.260409537641</v>
      </c>
      <c r="BI203" s="8">
        <f t="shared" si="45"/>
        <v>5316.5694974889793</v>
      </c>
      <c r="BJ203" s="8">
        <f t="shared" si="46"/>
        <v>5438.8177832638694</v>
      </c>
    </row>
    <row r="204" spans="1:62" x14ac:dyDescent="0.25">
      <c r="A204" s="9" t="s">
        <v>378</v>
      </c>
      <c r="B204" s="9" t="s">
        <v>644</v>
      </c>
      <c r="C204" s="10">
        <f>VLOOKUP(A204,'[2]Revenue_Engine_2025 Oct.25'!$C$14:G$3937,5,0)</f>
        <v>45272</v>
      </c>
      <c r="D204" s="6" cm="1">
        <f t="array" ref="D204">_xlfn.LET(
  _xlpm.aralık, Y204:BF204,
  _xlpm.ilk, MATCH(TRUE, _xlpm.aralık&lt;&gt;0, 0),
  _xlpm.son, MIN(_xlpm.ilk+2, COLUMNS(_xlpm.aralık)),
  MAX(INDEX(_xlpm.aralık, _xlpm.ilk):INDEX(_xlpm.aralık, _xlpm.son))
)</f>
        <v>275.006665</v>
      </c>
      <c r="E204" s="6">
        <f t="shared" si="39"/>
        <v>401.006665</v>
      </c>
      <c r="F204" s="6">
        <f t="shared" si="40"/>
        <v>0</v>
      </c>
      <c r="G204" s="6">
        <f t="shared" si="47"/>
        <v>425.006665</v>
      </c>
      <c r="H204" s="7">
        <f t="shared" si="41"/>
        <v>0.45817071378979124</v>
      </c>
      <c r="I204" s="7">
        <f t="shared" si="42"/>
        <v>-1</v>
      </c>
      <c r="J204" s="7">
        <f t="shared" si="43"/>
        <v>-1</v>
      </c>
      <c r="K204" s="7">
        <f t="shared" si="48"/>
        <v>0.54544132594022765</v>
      </c>
      <c r="L204" s="5" t="s">
        <v>418</v>
      </c>
      <c r="M204" s="7">
        <f>IF(R204="",(VLOOKUP(A204,[1]Export!$B$2:$H$680,7,0)),"CHURN")</f>
        <v>0.12940973525674004</v>
      </c>
      <c r="N204" s="5">
        <f t="shared" si="49"/>
        <v>370.006665</v>
      </c>
      <c r="O204" s="5">
        <f t="shared" si="50"/>
        <v>349.11249864616178</v>
      </c>
      <c r="P204" s="5">
        <f t="shared" si="51"/>
        <v>0</v>
      </c>
      <c r="Q204" s="5" t="str">
        <f>VLOOKUP(A204,[4]Sheet2!$A$1:$B$142,2,0)</f>
        <v>NO RISK</v>
      </c>
      <c r="T204" s="6" t="str" cm="1">
        <f t="array" ref="T204">IF(R204&lt;&gt;"Churn","",
 _xlfn.LET(
   _xlpm.rng,Y204:BF204,
   _xlpm.pos,MAX(IF((_xlpm.rng&lt;&gt;0)*(_xlpm.rng&lt;&gt;""),COLUMN(_xlpm.rng)-COLUMN(Y204)+1)),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4" s="6" t="str" cm="1">
        <f t="array" ref="U204">IF(R204="Churn",
   MAX(IF((Y204:BF204&lt;&gt;"")*(Y204:BF204&lt;&gt;0), COLUMN(Y204:BF204)-COLUMN(Y204)+1))
   -MATCH(1, --((Y204:BF204&lt;&gt;"")*(Y204:BF204&lt;&gt;0)), 0)
   +1,
"")</f>
        <v/>
      </c>
      <c r="V204" s="6" t="str" cm="1">
        <f t="array" ref="V204">IFERROR(
    IF(
        MATCH(2,1/((Y204:BF204&lt;&gt;0)*(Y204:BF204&lt;&gt;"")))-MATCH(1,INDEX((Y204:BF204&lt;&gt;0)*(Y204:BF204&lt;&gt;""),0),0)+1 &lt;= 12,
        "No",
        "Yes"
    ),
    "No"
)</f>
        <v>Yes</v>
      </c>
      <c r="W204" s="6" t="str" cm="1">
        <f t="array" ref="W204">IFERROR(
    IF(
        MATCH(2,1/((Y204:BF204&lt;&gt;0)*(Y204:BF204&lt;&gt;"")))-MATCH(1,INDEX((Y204:BF204&lt;&gt;0)*(Y204:BF204&lt;&gt;""),0),0)+1 &lt;= 24,
        "No",
        "Yes"
    ),
    "No"
)</f>
        <v>No</v>
      </c>
      <c r="X204" s="6"/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275.006665</v>
      </c>
      <c r="AK204" s="8">
        <v>275.006665</v>
      </c>
      <c r="AL204" s="8">
        <v>275.006665</v>
      </c>
      <c r="AM204" s="8">
        <v>375.00666500000005</v>
      </c>
      <c r="AN204" s="8">
        <v>375.00666500000005</v>
      </c>
      <c r="AO204" s="8">
        <v>375.00666500000005</v>
      </c>
      <c r="AP204" s="8">
        <v>375.00666500000005</v>
      </c>
      <c r="AQ204" s="8">
        <v>375.00666500000005</v>
      </c>
      <c r="AR204" s="8">
        <v>375.00666500000005</v>
      </c>
      <c r="AS204" s="8">
        <v>375.00666500000005</v>
      </c>
      <c r="AT204" s="8">
        <v>401.006665</v>
      </c>
      <c r="AU204" s="8">
        <v>401.006665</v>
      </c>
      <c r="AV204" s="8">
        <v>401.006665</v>
      </c>
      <c r="AW204" s="8">
        <v>425.006665</v>
      </c>
      <c r="AX204" s="8">
        <v>425.006665</v>
      </c>
      <c r="AY204" s="8">
        <v>425.006665</v>
      </c>
      <c r="AZ204" s="8">
        <v>425.00666500000011</v>
      </c>
      <c r="BA204" s="8">
        <v>425.006665</v>
      </c>
      <c r="BB204" s="8">
        <v>425.006665</v>
      </c>
      <c r="BC204" s="8">
        <v>425.006665</v>
      </c>
      <c r="BD204" s="8">
        <v>425.006665</v>
      </c>
      <c r="BE204" s="8">
        <v>425.006665</v>
      </c>
      <c r="BF204" s="8">
        <v>425.006665</v>
      </c>
      <c r="BH204" s="8">
        <f t="shared" si="44"/>
        <v>275.006665</v>
      </c>
      <c r="BI204" s="8">
        <f t="shared" si="45"/>
        <v>4378.0799799999995</v>
      </c>
      <c r="BJ204" s="8">
        <f t="shared" si="46"/>
        <v>4250.0666499999998</v>
      </c>
    </row>
    <row r="205" spans="1:62" x14ac:dyDescent="0.25">
      <c r="A205" s="9" t="s">
        <v>468</v>
      </c>
      <c r="B205" s="9" t="s">
        <v>644</v>
      </c>
      <c r="C205" s="10">
        <f>VLOOKUP(A205,'[2]Revenue_Engine_2025 Oct.25'!$C$14:G$3937,5,0)</f>
        <v>45809</v>
      </c>
      <c r="D205" s="6" cm="1">
        <f t="array" ref="D205">_xlfn.LET(
  _xlpm.aralık, Y205:BF205,
  _xlpm.ilk, MATCH(TRUE, _xlpm.aralık&lt;&gt;0, 0),
  _xlpm.son, MIN(_xlpm.ilk+2, COLUMNS(_xlpm.aralık)),
  MAX(INDEX(_xlpm.aralık, _xlpm.ilk):INDEX(_xlpm.aralık, _xlpm.son))
)</f>
        <v>220.50000100105535</v>
      </c>
      <c r="E205" s="6">
        <f t="shared" si="39"/>
        <v>0</v>
      </c>
      <c r="F205" s="6">
        <f t="shared" si="40"/>
        <v>0</v>
      </c>
      <c r="G205" s="6">
        <f t="shared" si="47"/>
        <v>420</v>
      </c>
      <c r="H205" s="7">
        <f t="shared" si="41"/>
        <v>-1</v>
      </c>
      <c r="I205" s="7">
        <f t="shared" si="42"/>
        <v>-1</v>
      </c>
      <c r="J205" s="7" t="e">
        <f t="shared" si="43"/>
        <v>#DIV/0!</v>
      </c>
      <c r="K205" s="7">
        <f t="shared" si="48"/>
        <v>0.90476189611441227</v>
      </c>
      <c r="L205" s="5" t="s">
        <v>416</v>
      </c>
      <c r="M205" s="7">
        <f>IF(R205="",(VLOOKUP(A205,[1]Export!$B$2:$H$680,7,0)),"CHURN")</f>
        <v>5.4761904761904762E-2</v>
      </c>
      <c r="N205" s="5">
        <f t="shared" si="49"/>
        <v>397</v>
      </c>
      <c r="O205" s="5">
        <f t="shared" si="50"/>
        <v>0</v>
      </c>
      <c r="P205" s="5">
        <f t="shared" si="51"/>
        <v>0</v>
      </c>
      <c r="Q205" s="5" t="s">
        <v>430</v>
      </c>
      <c r="T205" s="6" t="str" cm="1">
        <f t="array" ref="T205">IF(R205&lt;&gt;"Churn","",
 _xlfn.LET(
   _xlpm.rng,Y205:BF205,
   _xlpm.pos,MAX(IF((_xlpm.rng&lt;&gt;0)*(_xlpm.rng&lt;&gt;""),COLUMN(_xlpm.rng)-COLUMN(Y205)+1)),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5" s="6" t="str" cm="1">
        <f t="array" ref="U205">IF(R205="Churn",
   MAX(IF((Y205:BF205&lt;&gt;"")*(Y205:BF205&lt;&gt;0), COLUMN(Y205:BF205)-COLUMN(Y205)+1))
   -MATCH(1, --((Y205:BF205&lt;&gt;"")*(Y205:BF205&lt;&gt;0)), 0)
   +1,
"")</f>
        <v/>
      </c>
      <c r="V205" s="14" t="s">
        <v>705</v>
      </c>
      <c r="W205" s="6" t="str" cm="1">
        <f t="array" ref="W205">IFERROR(
    IF(
        MATCH(2,1/((Y205:BF205&lt;&gt;0)*(Y205:BF205&lt;&gt;"")))-MATCH(1,INDEX((Y205:BF205&lt;&gt;0)*(Y205:BF205&lt;&gt;""),0),0)+1 &lt;= 24,
        "No",
        "Yes"
    ),
    "No"
)</f>
        <v>No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-217.33813804143574</v>
      </c>
      <c r="AL205" s="8">
        <v>-1.280568540096283E-9</v>
      </c>
      <c r="AM205" s="8">
        <v>220.50000100105535</v>
      </c>
      <c r="AN205" s="8">
        <v>50.499999999301508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210</v>
      </c>
      <c r="BC205" s="8">
        <v>420</v>
      </c>
      <c r="BD205" s="8">
        <v>420</v>
      </c>
      <c r="BE205" s="8">
        <v>420</v>
      </c>
      <c r="BF205" s="8">
        <v>420</v>
      </c>
      <c r="BH205" s="8">
        <f t="shared" si="44"/>
        <v>0</v>
      </c>
      <c r="BI205" s="8">
        <f t="shared" si="45"/>
        <v>53.661862957640551</v>
      </c>
      <c r="BJ205" s="8">
        <f t="shared" si="46"/>
        <v>1890</v>
      </c>
    </row>
    <row r="206" spans="1:62" x14ac:dyDescent="0.25">
      <c r="A206" s="9" t="s">
        <v>154</v>
      </c>
      <c r="B206" s="9" t="s">
        <v>644</v>
      </c>
      <c r="C206" s="10">
        <v>44927</v>
      </c>
      <c r="D206" s="6" cm="1">
        <f t="array" ref="D206">_xlfn.LET(
  _xlpm.aralık, Y206:BF206,
  _xlpm.ilk, MATCH(TRUE, _xlpm.aralık&lt;&gt;0, 0),
  _xlpm.son, MIN(_xlpm.ilk+2, COLUMNS(_xlpm.aralık)),
  MAX(INDEX(_xlpm.aralık, _xlpm.ilk):INDEX(_xlpm.aralık, _xlpm.son))
)</f>
        <v>138.60531071578981</v>
      </c>
      <c r="E206" s="6">
        <f t="shared" si="39"/>
        <v>176.72027181578412</v>
      </c>
      <c r="F206" s="6">
        <f t="shared" si="40"/>
        <v>448.80488448984585</v>
      </c>
      <c r="G206" s="6">
        <f t="shared" si="47"/>
        <v>417.64078291149707</v>
      </c>
      <c r="H206" s="7">
        <f t="shared" si="41"/>
        <v>0.27498918261616273</v>
      </c>
      <c r="I206" s="7">
        <f t="shared" si="42"/>
        <v>2.2380064095099521</v>
      </c>
      <c r="J206" s="7">
        <f t="shared" si="43"/>
        <v>1.539634417027645</v>
      </c>
      <c r="K206" s="7">
        <f t="shared" si="48"/>
        <v>2.0131658069572058</v>
      </c>
      <c r="L206" s="5" t="s">
        <v>418</v>
      </c>
      <c r="M206" s="7">
        <f>IF(R206="",(VLOOKUP(A206,[1]Export!$B$2:$H$680,7,0)),"CHURN")</f>
        <v>0</v>
      </c>
      <c r="N206" s="5">
        <f t="shared" si="49"/>
        <v>417.64078291149707</v>
      </c>
      <c r="O206" s="5">
        <f t="shared" si="50"/>
        <v>176.72027181578412</v>
      </c>
      <c r="P206" s="5">
        <f t="shared" si="51"/>
        <v>448.80488448984585</v>
      </c>
      <c r="Q206" s="5" t="s">
        <v>430</v>
      </c>
      <c r="T206" s="6" t="str" cm="1">
        <f t="array" ref="T206">IF(R206&lt;&gt;"Churn","",
 _xlfn.LET(
   _xlpm.rng,Y206:BF206,
   _xlpm.pos,MAX(IF((_xlpm.rng&lt;&gt;0)*(_xlpm.rng&lt;&gt;""),COLUMN(_xlpm.rng)-COLUMN(Y206)+1)),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6" s="6" t="str" cm="1">
        <f t="array" ref="U206">IF(R206="Churn",
   MAX(IF((Y206:BF206&lt;&gt;"")*(Y206:BF206&lt;&gt;0), COLUMN(Y206:BF206)-COLUMN(Y206)+1))
   -MATCH(1, --((Y206:BF206&lt;&gt;"")*(Y206:BF206&lt;&gt;0)), 0)
   +1,
"")</f>
        <v/>
      </c>
      <c r="V206" s="6" t="str" cm="1">
        <f t="array" ref="V206">IFERROR(
    IF(
        MATCH(2,1/((Y206:BF206&lt;&gt;0)*(Y206:BF206&lt;&gt;"")))-MATCH(1,INDEX((Y206:BF206&lt;&gt;0)*(Y206:BF206&lt;&gt;""),0),0)+1 &lt;= 12,
        "No",
        "Yes"
    ),
    "No"
)</f>
        <v>Yes</v>
      </c>
      <c r="W206" s="6" t="str" cm="1">
        <f t="array" ref="W206">IFERROR(
    IF(
        MATCH(2,1/((Y206:BF206&lt;&gt;0)*(Y206:BF206&lt;&gt;"")))-MATCH(1,INDEX((Y206:BF206&lt;&gt;0)*(Y206:BF206&lt;&gt;""),0),0)+1 &lt;= 24,
        "No",
        "Yes"
    ),
    "No"
)</f>
        <v>Yes</v>
      </c>
      <c r="Y206" s="8">
        <v>138.60531071578981</v>
      </c>
      <c r="Z206" s="8">
        <v>138.12374825353146</v>
      </c>
      <c r="AA206" s="8">
        <v>137.10838417769247</v>
      </c>
      <c r="AB206" s="8">
        <v>134.67246103563122</v>
      </c>
      <c r="AC206" s="8">
        <v>132.11919183706652</v>
      </c>
      <c r="AD206" s="8">
        <v>111.1073125705104</v>
      </c>
      <c r="AE206" s="8">
        <v>131.94420774774571</v>
      </c>
      <c r="AF206" s="8">
        <v>129.44791430577797</v>
      </c>
      <c r="AG206" s="8">
        <v>129.32778505751821</v>
      </c>
      <c r="AH206" s="8">
        <v>125.34164051485051</v>
      </c>
      <c r="AI206" s="8">
        <v>121.89106073911326</v>
      </c>
      <c r="AJ206" s="8">
        <v>182.53642979407826</v>
      </c>
      <c r="AK206" s="8">
        <v>176.72027181578412</v>
      </c>
      <c r="AL206" s="8">
        <v>172.65980805441714</v>
      </c>
      <c r="AM206" s="8">
        <v>166.04946394220227</v>
      </c>
      <c r="AN206" s="8">
        <v>164.39562893735285</v>
      </c>
      <c r="AO206" s="8">
        <v>166.62628653154201</v>
      </c>
      <c r="AP206" s="8">
        <v>165.23233268858405</v>
      </c>
      <c r="AQ206" s="8">
        <v>163.34140287506963</v>
      </c>
      <c r="AR206" s="8">
        <v>159.86790361208915</v>
      </c>
      <c r="AS206" s="8">
        <v>158.06038401738547</v>
      </c>
      <c r="AT206" s="8">
        <v>157.09530809045958</v>
      </c>
      <c r="AU206" s="8">
        <v>156.24034463908234</v>
      </c>
      <c r="AV206" s="8">
        <v>211.97023572129839</v>
      </c>
      <c r="AW206" s="8">
        <v>448.80488448984585</v>
      </c>
      <c r="AX206" s="8">
        <v>445.15914141918176</v>
      </c>
      <c r="AY206" s="8">
        <v>440.0903749019036</v>
      </c>
      <c r="AZ206" s="8">
        <v>434.79854251674283</v>
      </c>
      <c r="BA206" s="8">
        <v>431.57459246651524</v>
      </c>
      <c r="BB206" s="8">
        <v>428.35597336188022</v>
      </c>
      <c r="BC206" s="8">
        <v>424.77138239929775</v>
      </c>
      <c r="BD206" s="8">
        <v>421.95658750270104</v>
      </c>
      <c r="BE206" s="8">
        <v>419.77831683024215</v>
      </c>
      <c r="BF206" s="8">
        <v>417.64078291149707</v>
      </c>
      <c r="BH206" s="8">
        <f t="shared" si="44"/>
        <v>1612.2254467493058</v>
      </c>
      <c r="BI206" s="8">
        <f t="shared" si="45"/>
        <v>2018.2593709252671</v>
      </c>
      <c r="BJ206" s="8">
        <f t="shared" si="46"/>
        <v>4312.9305787998082</v>
      </c>
    </row>
    <row r="207" spans="1:62" x14ac:dyDescent="0.25">
      <c r="A207" s="9" t="s">
        <v>469</v>
      </c>
      <c r="B207" s="9" t="s">
        <v>644</v>
      </c>
      <c r="C207" s="10">
        <f>VLOOKUP(A207,'[2]Revenue_Engine_2025 Oct.25'!$C$14:G$3937,5,0)</f>
        <v>45706</v>
      </c>
      <c r="D207" s="6" cm="1">
        <f t="array" ref="D207">_xlfn.LET(
  _xlpm.aralık, Y207:BF207,
  _xlpm.ilk, MATCH(TRUE, _xlpm.aralık&lt;&gt;0, 0),
  _xlpm.son, MIN(_xlpm.ilk+2, COLUMNS(_xlpm.aralık)),
  MAX(INDEX(_xlpm.aralık, _xlpm.ilk):INDEX(_xlpm.aralık, _xlpm.son))
)</f>
        <v>400.00000100000005</v>
      </c>
      <c r="E207" s="6">
        <f t="shared" si="39"/>
        <v>0</v>
      </c>
      <c r="F207" s="6">
        <f t="shared" si="40"/>
        <v>0</v>
      </c>
      <c r="G207" s="6">
        <f t="shared" si="47"/>
        <v>415.000001</v>
      </c>
      <c r="H207" s="7">
        <f t="shared" si="41"/>
        <v>-1</v>
      </c>
      <c r="I207" s="7">
        <f t="shared" si="42"/>
        <v>-1</v>
      </c>
      <c r="J207" s="7" t="e">
        <f t="shared" si="43"/>
        <v>#DIV/0!</v>
      </c>
      <c r="K207" s="7">
        <f t="shared" si="48"/>
        <v>3.7499999906249852E-2</v>
      </c>
      <c r="L207" s="5" t="s">
        <v>418</v>
      </c>
      <c r="M207" s="7">
        <f>IF(R207="",(VLOOKUP(A207,[1]Export!$B$2:$H$680,7,0)),"CHURN")</f>
        <v>0.27640545234601094</v>
      </c>
      <c r="N207" s="5">
        <f t="shared" si="49"/>
        <v>300.29173800000001</v>
      </c>
      <c r="O207" s="5">
        <f t="shared" si="50"/>
        <v>0</v>
      </c>
      <c r="P207" s="5">
        <f t="shared" si="51"/>
        <v>0</v>
      </c>
      <c r="Q207" s="5" t="s">
        <v>430</v>
      </c>
      <c r="T207" s="6" t="str" cm="1">
        <f t="array" ref="T207">IF(R207&lt;&gt;"Churn","",
 _xlfn.LET(
   _xlpm.rng,Y207:BF207,
   _xlpm.pos,MAX(IF((_xlpm.rng&lt;&gt;0)*(_xlpm.rng&lt;&gt;""),COLUMN(_xlpm.rng)-COLUMN(Y207)+1)),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7" s="6" t="str" cm="1">
        <f t="array" ref="U207">IF(R207="Churn",
   MAX(IF((Y207:BF207&lt;&gt;"")*(Y207:BF207&lt;&gt;0), COLUMN(Y207:BF207)-COLUMN(Y207)+1))
   -MATCH(1, --((Y207:BF207&lt;&gt;"")*(Y207:BF207&lt;&gt;0)), 0)
   +1,
"")</f>
        <v/>
      </c>
      <c r="V207" s="6" t="str" cm="1">
        <f t="array" ref="V207">IFERROR(
    IF(
        MATCH(2,1/((Y207:BF207&lt;&gt;0)*(Y207:BF207&lt;&gt;"")))-MATCH(1,INDEX((Y207:BF207&lt;&gt;0)*(Y207:BF207&lt;&gt;""),0),0)+1 &lt;= 12,
        "No",
        "Yes"
    ),
    "No"
)</f>
        <v>No</v>
      </c>
      <c r="W207" s="6" t="str" cm="1">
        <f t="array" ref="W207">IFERROR(
    IF(
        MATCH(2,1/((Y207:BF207&lt;&gt;0)*(Y207:BF207&lt;&gt;"")))-MATCH(1,INDEX((Y207:BF207&lt;&gt;0)*(Y207:BF207&lt;&gt;""),0),0)+1 &lt;= 24,
        "No",
        "Yes"
    ),
    "No"
)</f>
        <v>No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400.000001</v>
      </c>
      <c r="AY207" s="8">
        <v>400.00000100000005</v>
      </c>
      <c r="AZ207" s="8">
        <v>400.00000100000005</v>
      </c>
      <c r="BA207" s="8">
        <v>400.000001</v>
      </c>
      <c r="BB207" s="8">
        <v>400.000001</v>
      </c>
      <c r="BC207" s="8">
        <v>400.000001</v>
      </c>
      <c r="BD207" s="8">
        <v>400.000001</v>
      </c>
      <c r="BE207" s="8">
        <v>400.000001</v>
      </c>
      <c r="BF207" s="8">
        <v>415.000001</v>
      </c>
      <c r="BH207" s="8">
        <f t="shared" si="44"/>
        <v>0</v>
      </c>
      <c r="BI207" s="8">
        <f t="shared" si="45"/>
        <v>0</v>
      </c>
      <c r="BJ207" s="8">
        <f t="shared" si="46"/>
        <v>3615.0000089999994</v>
      </c>
    </row>
    <row r="208" spans="1:62" x14ac:dyDescent="0.25">
      <c r="A208" s="9" t="s">
        <v>57</v>
      </c>
      <c r="B208" s="9" t="s">
        <v>644</v>
      </c>
      <c r="C208" s="10">
        <v>44927</v>
      </c>
      <c r="D208" s="6" cm="1">
        <f t="array" ref="D208">_xlfn.LET(
  _xlpm.aralık, Y208:BF208,
  _xlpm.ilk, MATCH(TRUE, _xlpm.aralık&lt;&gt;0, 0),
  _xlpm.son, MIN(_xlpm.ilk+2, COLUMNS(_xlpm.aralık)),
  MAX(INDEX(_xlpm.aralık, _xlpm.ilk):INDEX(_xlpm.aralık, _xlpm.son))
)</f>
        <v>253</v>
      </c>
      <c r="E208" s="6">
        <f t="shared" si="39"/>
        <v>282.02379999999999</v>
      </c>
      <c r="F208" s="6">
        <f t="shared" si="40"/>
        <v>414.22689500000001</v>
      </c>
      <c r="G208" s="6">
        <f t="shared" si="47"/>
        <v>414.22689500000001</v>
      </c>
      <c r="H208" s="7">
        <f t="shared" si="41"/>
        <v>0.11471857707509879</v>
      </c>
      <c r="I208" s="7">
        <f t="shared" si="42"/>
        <v>0.63726045454545455</v>
      </c>
      <c r="J208" s="7">
        <f t="shared" si="43"/>
        <v>0.46876573891990686</v>
      </c>
      <c r="K208" s="7">
        <f t="shared" si="48"/>
        <v>0.63726045454545455</v>
      </c>
      <c r="L208" s="5" t="s">
        <v>413</v>
      </c>
      <c r="M208" s="7">
        <f>IF(R208="",(VLOOKUP(A208,[1]Export!$B$2:$H$680,7,0)),"CHURN")</f>
        <v>0.25476375695016129</v>
      </c>
      <c r="N208" s="5">
        <f t="shared" si="49"/>
        <v>308.69689500000004</v>
      </c>
      <c r="O208" s="5">
        <f t="shared" si="50"/>
        <v>210.1743571626391</v>
      </c>
      <c r="P208" s="5">
        <f t="shared" si="51"/>
        <v>308.69689500000004</v>
      </c>
      <c r="Q208" s="5" t="s">
        <v>698</v>
      </c>
      <c r="T208" s="6" t="str" cm="1">
        <f t="array" ref="T208">IF(R208&lt;&gt;"Churn","",
 _xlfn.LET(
   _xlpm.rng,Y208:BF208,
   _xlpm.pos,MAX(IF((_xlpm.rng&lt;&gt;0)*(_xlpm.rng&lt;&gt;""),COLUMN(_xlpm.rng)-COLUMN(Y208)+1)),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8" s="6" t="str" cm="1">
        <f t="array" ref="U208">IF(R208="Churn",
   MAX(IF((Y208:BF208&lt;&gt;"")*(Y208:BF208&lt;&gt;0), COLUMN(Y208:BF208)-COLUMN(Y208)+1))
   -MATCH(1, --((Y208:BF208&lt;&gt;"")*(Y208:BF208&lt;&gt;0)), 0)
   +1,
"")</f>
        <v/>
      </c>
      <c r="V208" s="6" t="str" cm="1">
        <f t="array" ref="V208">IFERROR(
    IF(
        MATCH(2,1/((Y208:BF208&lt;&gt;0)*(Y208:BF208&lt;&gt;"")))-MATCH(1,INDEX((Y208:BF208&lt;&gt;0)*(Y208:BF208&lt;&gt;""),0),0)+1 &lt;= 12,
        "No",
        "Yes"
    ),
    "No"
)</f>
        <v>Yes</v>
      </c>
      <c r="W208" s="6" t="str" cm="1">
        <f t="array" ref="W208">IFERROR(
    IF(
        MATCH(2,1/((Y208:BF208&lt;&gt;0)*(Y208:BF208&lt;&gt;"")))-MATCH(1,INDEX((Y208:BF208&lt;&gt;0)*(Y208:BF208&lt;&gt;""),0),0)+1 &lt;= 24,
        "No",
        "Yes"
    ),
    "No"
)</f>
        <v>Yes</v>
      </c>
      <c r="Y208" s="8">
        <v>253</v>
      </c>
      <c r="Z208" s="8">
        <v>253</v>
      </c>
      <c r="AA208" s="8">
        <v>253</v>
      </c>
      <c r="AB208" s="8">
        <v>262</v>
      </c>
      <c r="AC208" s="8">
        <v>262.024</v>
      </c>
      <c r="AD208" s="8">
        <v>262.024</v>
      </c>
      <c r="AE208" s="8">
        <v>262.024</v>
      </c>
      <c r="AF208" s="8">
        <v>262.024</v>
      </c>
      <c r="AG208" s="8">
        <v>282.024</v>
      </c>
      <c r="AH208" s="8">
        <v>282.02379999999999</v>
      </c>
      <c r="AI208" s="8">
        <v>282.02379999999999</v>
      </c>
      <c r="AJ208" s="8">
        <v>282.02379999999999</v>
      </c>
      <c r="AK208" s="8">
        <v>282.02379999999999</v>
      </c>
      <c r="AL208" s="8">
        <v>282.02379999999999</v>
      </c>
      <c r="AM208" s="8">
        <v>307.02379999999999</v>
      </c>
      <c r="AN208" s="8">
        <v>307.02379999999999</v>
      </c>
      <c r="AO208" s="8">
        <v>307.02379999999999</v>
      </c>
      <c r="AP208" s="8">
        <v>307.02379999999999</v>
      </c>
      <c r="AQ208" s="8">
        <v>307.02379999999999</v>
      </c>
      <c r="AR208" s="8">
        <v>307.02379999999999</v>
      </c>
      <c r="AS208" s="8">
        <v>307.02379999999999</v>
      </c>
      <c r="AT208" s="8">
        <v>307.02379999999999</v>
      </c>
      <c r="AU208" s="8">
        <v>332.02379999999999</v>
      </c>
      <c r="AV208" s="8">
        <v>339.52379999999999</v>
      </c>
      <c r="AW208" s="8">
        <v>414.22689500000001</v>
      </c>
      <c r="AX208" s="8">
        <v>414.22689500000001</v>
      </c>
      <c r="AY208" s="8">
        <v>414.22689500000001</v>
      </c>
      <c r="AZ208" s="8">
        <v>414.22689500000007</v>
      </c>
      <c r="BA208" s="8">
        <v>414.22689500000001</v>
      </c>
      <c r="BB208" s="8">
        <v>414.22689500000001</v>
      </c>
      <c r="BC208" s="8">
        <v>414.22689500000001</v>
      </c>
      <c r="BD208" s="8">
        <v>414.22689500000001</v>
      </c>
      <c r="BE208" s="8">
        <v>414.22689500000001</v>
      </c>
      <c r="BF208" s="8">
        <v>414.22689500000001</v>
      </c>
      <c r="BH208" s="8">
        <f t="shared" si="44"/>
        <v>3197.1913999999992</v>
      </c>
      <c r="BI208" s="8">
        <f t="shared" si="45"/>
        <v>3691.7855999999997</v>
      </c>
      <c r="BJ208" s="8">
        <f t="shared" si="46"/>
        <v>4142.2689499999988</v>
      </c>
    </row>
    <row r="209" spans="1:62" x14ac:dyDescent="0.25">
      <c r="A209" s="9" t="s">
        <v>368</v>
      </c>
      <c r="B209" s="9" t="s">
        <v>644</v>
      </c>
      <c r="C209" s="10">
        <v>44927</v>
      </c>
      <c r="D209" s="6" cm="1">
        <f t="array" ref="D209">_xlfn.LET(
  _xlpm.aralık, Y209:BF209,
  _xlpm.ilk, MATCH(TRUE, _xlpm.aralık&lt;&gt;0, 0),
  _xlpm.son, MIN(_xlpm.ilk+2, COLUMNS(_xlpm.aralık)),
  MAX(INDEX(_xlpm.aralık, _xlpm.ilk):INDEX(_xlpm.aralık, _xlpm.son))
)</f>
        <v>154.44034949862197</v>
      </c>
      <c r="E209" s="6">
        <f t="shared" si="39"/>
        <v>166.7524616813767</v>
      </c>
      <c r="F209" s="6">
        <f t="shared" si="40"/>
        <v>294.53702468055985</v>
      </c>
      <c r="G209" s="6">
        <f t="shared" si="47"/>
        <v>408.45145968757595</v>
      </c>
      <c r="H209" s="7">
        <f t="shared" si="41"/>
        <v>7.9720825695648853E-2</v>
      </c>
      <c r="I209" s="7">
        <f t="shared" si="42"/>
        <v>0.90712482610114742</v>
      </c>
      <c r="J209" s="7">
        <f t="shared" si="43"/>
        <v>0.76631290303436894</v>
      </c>
      <c r="K209" s="7">
        <f t="shared" si="48"/>
        <v>1.6447198611864087</v>
      </c>
      <c r="L209" s="5" t="s">
        <v>414</v>
      </c>
      <c r="M209" s="7">
        <f>IF(R209="",(VLOOKUP(A209,[1]Export!$B$2:$H$680,7,0)),"CHURN")</f>
        <v>0.48661527180590952</v>
      </c>
      <c r="N209" s="5">
        <f t="shared" si="49"/>
        <v>209.69274161218567</v>
      </c>
      <c r="O209" s="5">
        <f t="shared" si="50"/>
        <v>85.608167215989056</v>
      </c>
      <c r="P209" s="5">
        <f t="shared" si="51"/>
        <v>151.21081035872533</v>
      </c>
      <c r="Q209" s="5" t="s">
        <v>430</v>
      </c>
      <c r="T209" s="6" t="str" cm="1">
        <f t="array" ref="T209">IF(R209&lt;&gt;"Churn","",
 _xlfn.LET(
   _xlpm.rng,Y209:BF209,
   _xlpm.pos,MAX(IF((_xlpm.rng&lt;&gt;0)*(_xlpm.rng&lt;&gt;""),COLUMN(_xlpm.rng)-COLUMN(Y209)+1)),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09" s="6" t="str" cm="1">
        <f t="array" ref="U209">IF(R209="Churn",
   MAX(IF((Y209:BF209&lt;&gt;"")*(Y209:BF209&lt;&gt;0), COLUMN(Y209:BF209)-COLUMN(Y209)+1))
   -MATCH(1, --((Y209:BF209&lt;&gt;"")*(Y209:BF209&lt;&gt;0)), 0)
   +1,
"")</f>
        <v/>
      </c>
      <c r="V209" s="6" t="str" cm="1">
        <f t="array" ref="V209">IFERROR(
    IF(
        MATCH(2,1/((Y209:BF209&lt;&gt;0)*(Y209:BF209&lt;&gt;"")))-MATCH(1,INDEX((Y209:BF209&lt;&gt;0)*(Y209:BF209&lt;&gt;""),0),0)+1 &lt;= 12,
        "No",
        "Yes"
    ),
    "No"
)</f>
        <v>Yes</v>
      </c>
      <c r="W209" s="6" t="str" cm="1">
        <f t="array" ref="W209">IFERROR(
    IF(
        MATCH(2,1/((Y209:BF209&lt;&gt;0)*(Y209:BF209&lt;&gt;"")))-MATCH(1,INDEX((Y209:BF209&lt;&gt;0)*(Y209:BF209&lt;&gt;""),0),0)+1 &lt;= 24,
        "No",
        "Yes"
    ),
    "No"
)</f>
        <v>Yes</v>
      </c>
      <c r="Y209" s="8">
        <v>154.44034949862197</v>
      </c>
      <c r="Z209" s="8">
        <v>154.20867905884603</v>
      </c>
      <c r="AA209" s="8">
        <v>153.72020692819211</v>
      </c>
      <c r="AB209" s="8">
        <v>152.54833114922226</v>
      </c>
      <c r="AC209" s="8">
        <v>160.32051058986136</v>
      </c>
      <c r="AD209" s="8">
        <v>150.21201873440222</v>
      </c>
      <c r="AE209" s="8">
        <v>144.13039435563581</v>
      </c>
      <c r="AF209" s="8">
        <v>170.37422775550544</v>
      </c>
      <c r="AG209" s="8">
        <v>170.31130051931564</v>
      </c>
      <c r="AH209" s="8">
        <v>204.19960133040581</v>
      </c>
      <c r="AI209" s="8">
        <v>169.91432073862345</v>
      </c>
      <c r="AJ209" s="8">
        <v>168.8649580228205</v>
      </c>
      <c r="AK209" s="8">
        <v>166.7524616813767</v>
      </c>
      <c r="AL209" s="8">
        <v>165.27765393501477</v>
      </c>
      <c r="AM209" s="8">
        <v>162.87669993671324</v>
      </c>
      <c r="AN209" s="8">
        <v>162.27600779421391</v>
      </c>
      <c r="AO209" s="8">
        <v>237.37517108355985</v>
      </c>
      <c r="AP209" s="8">
        <v>236.86887080692017</v>
      </c>
      <c r="AQ209" s="8">
        <v>236.18206306753552</v>
      </c>
      <c r="AR209" s="8">
        <v>264.49710980457309</v>
      </c>
      <c r="AS209" s="8">
        <v>263.5019754431645</v>
      </c>
      <c r="AT209" s="8">
        <v>262.97065051641613</v>
      </c>
      <c r="AU209" s="8">
        <v>262.49994828408239</v>
      </c>
      <c r="AV209" s="8">
        <v>261.17950512237417</v>
      </c>
      <c r="AW209" s="8">
        <v>294.53702468055985</v>
      </c>
      <c r="AX209" s="8">
        <v>292.76616070453167</v>
      </c>
      <c r="AY209" s="8">
        <v>290.30408483841455</v>
      </c>
      <c r="AZ209" s="8">
        <v>287.73365813625162</v>
      </c>
      <c r="BA209" s="8">
        <v>286.16362588402819</v>
      </c>
      <c r="BB209" s="8">
        <v>287.48343084645194</v>
      </c>
      <c r="BC209" s="8">
        <v>285.74227057229217</v>
      </c>
      <c r="BD209" s="8">
        <v>411.04378626467872</v>
      </c>
      <c r="BE209" s="8">
        <v>409.73530937040988</v>
      </c>
      <c r="BF209" s="8">
        <v>408.45145968757595</v>
      </c>
      <c r="BH209" s="8">
        <f t="shared" si="44"/>
        <v>1953.2448986814527</v>
      </c>
      <c r="BI209" s="8">
        <f t="shared" si="45"/>
        <v>2682.2581174759453</v>
      </c>
      <c r="BJ209" s="8">
        <f t="shared" si="46"/>
        <v>3253.9608109851947</v>
      </c>
    </row>
    <row r="210" spans="1:62" x14ac:dyDescent="0.25">
      <c r="A210" s="9" t="s">
        <v>470</v>
      </c>
      <c r="B210" s="9" t="s">
        <v>644</v>
      </c>
      <c r="C210" s="10">
        <f>VLOOKUP(A210,'[2]Revenue_Engine_2025 Oct.25'!$C$14:G$3937,5,0)</f>
        <v>45723</v>
      </c>
      <c r="D210" s="6" cm="1">
        <f t="array" ref="D210">_xlfn.LET(
  _xlpm.aralık, Y210:BF210,
  _xlpm.ilk, MATCH(TRUE, _xlpm.aralık&lt;&gt;0, 0),
  _xlpm.son, MIN(_xlpm.ilk+2, COLUMNS(_xlpm.aralık)),
  MAX(INDEX(_xlpm.aralık, _xlpm.ilk):INDEX(_xlpm.aralık, _xlpm.son))
)</f>
        <v>402.99999500000018</v>
      </c>
      <c r="E210" s="6">
        <f t="shared" si="39"/>
        <v>0</v>
      </c>
      <c r="F210" s="6">
        <f t="shared" si="40"/>
        <v>0</v>
      </c>
      <c r="G210" s="6">
        <f t="shared" si="47"/>
        <v>402.99999499999996</v>
      </c>
      <c r="H210" s="7">
        <f t="shared" si="41"/>
        <v>-1</v>
      </c>
      <c r="I210" s="7">
        <f t="shared" si="42"/>
        <v>-1</v>
      </c>
      <c r="J210" s="7" t="e">
        <f t="shared" si="43"/>
        <v>#DIV/0!</v>
      </c>
      <c r="K210" s="7">
        <f t="shared" si="48"/>
        <v>-5.6420267559366091E-16</v>
      </c>
      <c r="L210" s="5" t="s">
        <v>414</v>
      </c>
      <c r="M210" s="7">
        <f>IF(R210="",(VLOOKUP(A210,[1]Export!$B$2:$H$680,7,0)),"CHURN")</f>
        <v>0.26407185935573024</v>
      </c>
      <c r="N210" s="5">
        <f t="shared" si="49"/>
        <v>296.57903699999997</v>
      </c>
      <c r="O210" s="5">
        <f t="shared" si="50"/>
        <v>0</v>
      </c>
      <c r="P210" s="5">
        <f t="shared" si="51"/>
        <v>0</v>
      </c>
      <c r="Q210" s="5" t="s">
        <v>430</v>
      </c>
      <c r="T210" s="6" t="str" cm="1">
        <f t="array" ref="T210">IF(R210&lt;&gt;"Churn","",
 _xlfn.LET(
   _xlpm.rng,Y210:BF210,
   _xlpm.pos,MAX(IF((_xlpm.rng&lt;&gt;0)*(_xlpm.rng&lt;&gt;""),COLUMN(_xlpm.rng)-COLUMN(Y210)+1)),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0" s="6" t="str" cm="1">
        <f t="array" ref="U210">IF(R210="Churn",
   MAX(IF((Y210:BF210&lt;&gt;"")*(Y210:BF210&lt;&gt;0), COLUMN(Y210:BF210)-COLUMN(Y210)+1))
   -MATCH(1, --((Y210:BF210&lt;&gt;"")*(Y210:BF210&lt;&gt;0)), 0)
   +1,
"")</f>
        <v/>
      </c>
      <c r="V210" s="6" t="str" cm="1">
        <f t="array" ref="V210">IFERROR(
    IF(
        MATCH(2,1/((Y210:BF210&lt;&gt;0)*(Y210:BF210&lt;&gt;"")))-MATCH(1,INDEX((Y210:BF210&lt;&gt;0)*(Y210:BF210&lt;&gt;""),0),0)+1 &lt;= 12,
        "No",
        "Yes"
    ),
    "No"
)</f>
        <v>No</v>
      </c>
      <c r="W210" s="6" t="str" cm="1">
        <f t="array" ref="W210">IFERROR(
    IF(
        MATCH(2,1/((Y210:BF210&lt;&gt;0)*(Y210:BF210&lt;&gt;"")))-MATCH(1,INDEX((Y210:BF210&lt;&gt;0)*(Y210:BF210&lt;&gt;""),0),0)+1 &lt;= 24,
        "No",
        "Yes"
    ),
    "No"
)</f>
        <v>No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399.99999499999996</v>
      </c>
      <c r="AZ210" s="8">
        <v>402.99999500000018</v>
      </c>
      <c r="BA210" s="8">
        <v>402.99999499999996</v>
      </c>
      <c r="BB210" s="8">
        <v>402.99999499999996</v>
      </c>
      <c r="BC210" s="8">
        <v>402.99999499999996</v>
      </c>
      <c r="BD210" s="8">
        <v>402.99999499999996</v>
      </c>
      <c r="BE210" s="8">
        <v>402.99999499999996</v>
      </c>
      <c r="BF210" s="8">
        <v>402.99999499999996</v>
      </c>
      <c r="BH210" s="8">
        <f t="shared" si="44"/>
        <v>0</v>
      </c>
      <c r="BI210" s="8">
        <f t="shared" si="45"/>
        <v>0</v>
      </c>
      <c r="BJ210" s="8">
        <f t="shared" si="46"/>
        <v>3220.9999600000001</v>
      </c>
    </row>
    <row r="211" spans="1:62" x14ac:dyDescent="0.25">
      <c r="A211" s="9" t="s">
        <v>239</v>
      </c>
      <c r="B211" s="9" t="s">
        <v>644</v>
      </c>
      <c r="C211" s="10">
        <f>VLOOKUP(A211,'[2]Revenue_Engine_2025 Oct.25'!$C$14:G$3937,5,0)</f>
        <v>45218</v>
      </c>
      <c r="D211" s="6" cm="1">
        <f t="array" ref="D211">_xlfn.LET(
  _xlpm.aralık, Y211:BF211,
  _xlpm.ilk, MATCH(TRUE, _xlpm.aralık&lt;&gt;0, 0),
  _xlpm.son, MIN(_xlpm.ilk+2, COLUMNS(_xlpm.aralık)),
  MAX(INDEX(_xlpm.aralık, _xlpm.ilk):INDEX(_xlpm.aralık, _xlpm.son))
)</f>
        <v>374.99999899999995</v>
      </c>
      <c r="E211" s="6">
        <f t="shared" si="39"/>
        <v>374.99999899999995</v>
      </c>
      <c r="F211" s="6">
        <f t="shared" si="40"/>
        <v>401.250474</v>
      </c>
      <c r="G211" s="6">
        <f t="shared" si="47"/>
        <v>401.250474</v>
      </c>
      <c r="H211" s="7">
        <f t="shared" si="41"/>
        <v>0</v>
      </c>
      <c r="I211" s="7">
        <f t="shared" si="42"/>
        <v>7.0001266853336852E-2</v>
      </c>
      <c r="J211" s="7">
        <f t="shared" si="43"/>
        <v>7.0001266853336852E-2</v>
      </c>
      <c r="K211" s="7">
        <f t="shared" si="48"/>
        <v>7.0001266853336852E-2</v>
      </c>
      <c r="L211" s="5" t="s">
        <v>418</v>
      </c>
      <c r="M211" s="7">
        <f>IF(R211="",(VLOOKUP(A211,[1]Export!$B$2:$H$680,7,0)),"CHURN")</f>
        <v>0.17599979208996527</v>
      </c>
      <c r="N211" s="5">
        <f t="shared" si="49"/>
        <v>330.63047399999999</v>
      </c>
      <c r="O211" s="5">
        <f t="shared" si="50"/>
        <v>309.00007714226274</v>
      </c>
      <c r="P211" s="5">
        <f t="shared" si="51"/>
        <v>330.63047399999999</v>
      </c>
      <c r="Q211" s="5" t="s">
        <v>430</v>
      </c>
      <c r="T211" s="6" t="str" cm="1">
        <f t="array" ref="T211">IF(R211&lt;&gt;"Churn","",
 _xlfn.LET(
   _xlpm.rng,Y211:BF211,
   _xlpm.pos,MAX(IF((_xlpm.rng&lt;&gt;0)*(_xlpm.rng&lt;&gt;""),COLUMN(_xlpm.rng)-COLUMN(Y211)+1)),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1" s="6" t="str" cm="1">
        <f t="array" ref="U211">IF(R211="Churn",
   MAX(IF((Y211:BF211&lt;&gt;"")*(Y211:BF211&lt;&gt;0), COLUMN(Y211:BF211)-COLUMN(Y211)+1))
   -MATCH(1, --((Y211:BF211&lt;&gt;"")*(Y211:BF211&lt;&gt;0)), 0)
   +1,
"")</f>
        <v/>
      </c>
      <c r="V211" s="6" t="str" cm="1">
        <f t="array" ref="V211">IFERROR(
    IF(
        MATCH(2,1/((Y211:BF211&lt;&gt;0)*(Y211:BF211&lt;&gt;"")))-MATCH(1,INDEX((Y211:BF211&lt;&gt;0)*(Y211:BF211&lt;&gt;""),0),0)+1 &lt;= 12,
        "No",
        "Yes"
    ),
    "No"
)</f>
        <v>Yes</v>
      </c>
      <c r="W211" s="6" t="str" cm="1">
        <f t="array" ref="W211">IFERROR(
    IF(
        MATCH(2,1/((Y211:BF211&lt;&gt;0)*(Y211:BF211&lt;&gt;"")))-MATCH(1,INDEX((Y211:BF211&lt;&gt;0)*(Y211:BF211&lt;&gt;""),0),0)+1 &lt;= 24,
        "No",
        "Yes"
    ),
    "No"
)</f>
        <v>Yes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374.99999899999995</v>
      </c>
      <c r="AI211" s="8">
        <v>374.99999899999995</v>
      </c>
      <c r="AJ211" s="8">
        <v>374.99999899999995</v>
      </c>
      <c r="AK211" s="8">
        <v>374.99999899999995</v>
      </c>
      <c r="AL211" s="8">
        <v>374.99999899999995</v>
      </c>
      <c r="AM211" s="8">
        <v>374.99999899999995</v>
      </c>
      <c r="AN211" s="8">
        <v>374.99999899999995</v>
      </c>
      <c r="AO211" s="8">
        <v>374.99999899999995</v>
      </c>
      <c r="AP211" s="8">
        <v>374.99999899999995</v>
      </c>
      <c r="AQ211" s="8">
        <v>374.99999899999995</v>
      </c>
      <c r="AR211" s="8">
        <v>374.99999899999995</v>
      </c>
      <c r="AS211" s="8">
        <v>374.99999899999995</v>
      </c>
      <c r="AT211" s="8">
        <v>374.99999899999995</v>
      </c>
      <c r="AU211" s="8">
        <v>374.99999899999995</v>
      </c>
      <c r="AV211" s="8">
        <v>374.99999899999995</v>
      </c>
      <c r="AW211" s="8">
        <v>401.250474</v>
      </c>
      <c r="AX211" s="8">
        <v>401.250474</v>
      </c>
      <c r="AY211" s="8">
        <v>401.250474</v>
      </c>
      <c r="AZ211" s="8">
        <v>401.250474</v>
      </c>
      <c r="BA211" s="8">
        <v>401.250474</v>
      </c>
      <c r="BB211" s="8">
        <v>401.250474</v>
      </c>
      <c r="BC211" s="8">
        <v>401.250474</v>
      </c>
      <c r="BD211" s="8">
        <v>401.250474</v>
      </c>
      <c r="BE211" s="8">
        <v>401.250474</v>
      </c>
      <c r="BF211" s="8">
        <v>401.250474</v>
      </c>
      <c r="BH211" s="8">
        <f t="shared" si="44"/>
        <v>1124.9999969999999</v>
      </c>
      <c r="BI211" s="8">
        <f t="shared" si="45"/>
        <v>4499.9999879999996</v>
      </c>
      <c r="BJ211" s="8">
        <f t="shared" si="46"/>
        <v>4012.5047399999999</v>
      </c>
    </row>
    <row r="212" spans="1:62" x14ac:dyDescent="0.25">
      <c r="A212" s="9" t="s">
        <v>162</v>
      </c>
      <c r="B212" s="9" t="s">
        <v>644</v>
      </c>
      <c r="C212" s="10">
        <v>44927</v>
      </c>
      <c r="D212" s="6" cm="1">
        <f t="array" ref="D212">_xlfn.LET(
  _xlpm.aralık, Y212:BF212,
  _xlpm.ilk, MATCH(TRUE, _xlpm.aralık&lt;&gt;0, 0),
  _xlpm.son, MIN(_xlpm.ilk+2, COLUMNS(_xlpm.aralık)),
  MAX(INDEX(_xlpm.aralık, _xlpm.ilk):INDEX(_xlpm.aralık, _xlpm.son))
)</f>
        <v>378</v>
      </c>
      <c r="E212" s="6">
        <f t="shared" si="39"/>
        <v>400.68</v>
      </c>
      <c r="F212" s="6">
        <f t="shared" si="40"/>
        <v>400.68</v>
      </c>
      <c r="G212" s="6">
        <f t="shared" si="47"/>
        <v>400.68</v>
      </c>
      <c r="H212" s="7">
        <f t="shared" si="41"/>
        <v>6.0000000000000019E-2</v>
      </c>
      <c r="I212" s="7">
        <f t="shared" si="42"/>
        <v>6.0000000000000019E-2</v>
      </c>
      <c r="J212" s="7">
        <f t="shared" si="43"/>
        <v>0</v>
      </c>
      <c r="K212" s="7">
        <f t="shared" si="48"/>
        <v>6.0000000000000019E-2</v>
      </c>
      <c r="L212" s="5" t="s">
        <v>422</v>
      </c>
      <c r="M212" s="7">
        <f>IF(R212="",(VLOOKUP(A212,[1]Export!$B$2:$H$680,7,0)),"CHURN")</f>
        <v>0.29100529100529099</v>
      </c>
      <c r="N212" s="5">
        <f t="shared" si="49"/>
        <v>284.08000000000004</v>
      </c>
      <c r="O212" s="5">
        <f t="shared" si="50"/>
        <v>284.08000000000004</v>
      </c>
      <c r="P212" s="5">
        <f t="shared" si="51"/>
        <v>284.08000000000004</v>
      </c>
      <c r="Q212" s="5" t="str">
        <f>VLOOKUP(A212,[4]Sheet2!$A$1:$B$142,2,0)</f>
        <v>NO RISK</v>
      </c>
      <c r="T212" s="6" t="str" cm="1">
        <f t="array" ref="T212">IF(R212&lt;&gt;"Churn","",
 _xlfn.LET(
   _xlpm.rng,Y212:BF212,
   _xlpm.pos,MAX(IF((_xlpm.rng&lt;&gt;0)*(_xlpm.rng&lt;&gt;""),COLUMN(_xlpm.rng)-COLUMN(Y212)+1)),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2" s="6" t="str" cm="1">
        <f t="array" ref="U212">IF(R212="Churn",
   MAX(IF((Y212:BF212&lt;&gt;"")*(Y212:BF212&lt;&gt;0), COLUMN(Y212:BF212)-COLUMN(Y212)+1))
   -MATCH(1, --((Y212:BF212&lt;&gt;"")*(Y212:BF212&lt;&gt;0)), 0)
   +1,
"")</f>
        <v/>
      </c>
      <c r="V212" s="6" t="str" cm="1">
        <f t="array" ref="V212">IFERROR(
    IF(
        MATCH(2,1/((Y212:BF212&lt;&gt;0)*(Y212:BF212&lt;&gt;"")))-MATCH(1,INDEX((Y212:BF212&lt;&gt;0)*(Y212:BF212&lt;&gt;""),0),0)+1 &lt;= 12,
        "No",
        "Yes"
    ),
    "No"
)</f>
        <v>Yes</v>
      </c>
      <c r="W212" s="6" t="str" cm="1">
        <f t="array" ref="W212">IFERROR(
    IF(
        MATCH(2,1/((Y212:BF212&lt;&gt;0)*(Y212:BF212&lt;&gt;"")))-MATCH(1,INDEX((Y212:BF212&lt;&gt;0)*(Y212:BF212&lt;&gt;""),0),0)+1 &lt;= 24,
        "No",
        "Yes"
    ),
    "No"
)</f>
        <v>Yes</v>
      </c>
      <c r="Y212" s="8">
        <v>378</v>
      </c>
      <c r="Z212" s="8">
        <v>378</v>
      </c>
      <c r="AA212" s="8">
        <v>378</v>
      </c>
      <c r="AB212" s="8">
        <v>378</v>
      </c>
      <c r="AC212" s="8">
        <v>378</v>
      </c>
      <c r="AD212" s="8">
        <v>378</v>
      </c>
      <c r="AE212" s="8">
        <v>400.68</v>
      </c>
      <c r="AF212" s="8">
        <v>400.68</v>
      </c>
      <c r="AG212" s="8">
        <v>400.68</v>
      </c>
      <c r="AH212" s="8">
        <v>400.68</v>
      </c>
      <c r="AI212" s="8">
        <v>400.68</v>
      </c>
      <c r="AJ212" s="8">
        <v>400.68</v>
      </c>
      <c r="AK212" s="8">
        <v>400.68</v>
      </c>
      <c r="AL212" s="8">
        <v>400.68</v>
      </c>
      <c r="AM212" s="8">
        <v>400.68</v>
      </c>
      <c r="AN212" s="8">
        <v>400.68</v>
      </c>
      <c r="AO212" s="8">
        <v>400.68</v>
      </c>
      <c r="AP212" s="8">
        <v>400.68</v>
      </c>
      <c r="AQ212" s="8">
        <v>400.68</v>
      </c>
      <c r="AR212" s="8">
        <v>400.68</v>
      </c>
      <c r="AS212" s="8">
        <v>400.68</v>
      </c>
      <c r="AT212" s="8">
        <v>400.68</v>
      </c>
      <c r="AU212" s="8">
        <v>400.68</v>
      </c>
      <c r="AV212" s="8">
        <v>400.68</v>
      </c>
      <c r="AW212" s="8">
        <v>400.68</v>
      </c>
      <c r="AX212" s="8">
        <v>400.68</v>
      </c>
      <c r="AY212" s="8">
        <v>400.68</v>
      </c>
      <c r="AZ212" s="8">
        <v>400.68</v>
      </c>
      <c r="BA212" s="8">
        <v>400.68</v>
      </c>
      <c r="BB212" s="8">
        <v>400.68</v>
      </c>
      <c r="BC212" s="8">
        <v>400.68</v>
      </c>
      <c r="BD212" s="8">
        <v>400.68</v>
      </c>
      <c r="BE212" s="8">
        <v>400.68</v>
      </c>
      <c r="BF212" s="8">
        <v>400.68</v>
      </c>
      <c r="BH212" s="8">
        <f t="shared" si="44"/>
        <v>4672.08</v>
      </c>
      <c r="BI212" s="8">
        <f t="shared" si="45"/>
        <v>4808.16</v>
      </c>
      <c r="BJ212" s="8">
        <f t="shared" si="46"/>
        <v>4006.7999999999993</v>
      </c>
    </row>
    <row r="213" spans="1:62" x14ac:dyDescent="0.25">
      <c r="A213" s="9" t="s">
        <v>200</v>
      </c>
      <c r="B213" s="9" t="s">
        <v>644</v>
      </c>
      <c r="C213" s="10">
        <f>VLOOKUP(A213,'[2]Revenue_Engine_2025 Oct.25'!$C$14:G$3937,5,0)</f>
        <v>45299</v>
      </c>
      <c r="D213" s="6" cm="1">
        <f t="array" ref="D213">_xlfn.LET(
  _xlpm.aralık, Y213:BF213,
  _xlpm.ilk, MATCH(TRUE, _xlpm.aralık&lt;&gt;0, 0),
  _xlpm.son, MIN(_xlpm.ilk+2, COLUMNS(_xlpm.aralık)),
  MAX(INDEX(_xlpm.aralık, _xlpm.ilk):INDEX(_xlpm.aralık, _xlpm.son))
)</f>
        <v>610</v>
      </c>
      <c r="E213" s="6">
        <f t="shared" si="39"/>
        <v>744.40669356886872</v>
      </c>
      <c r="F213" s="6">
        <f t="shared" si="40"/>
        <v>0</v>
      </c>
      <c r="G213" s="6">
        <f t="shared" si="47"/>
        <v>400</v>
      </c>
      <c r="H213" s="7">
        <f t="shared" si="41"/>
        <v>0.22033884191617822</v>
      </c>
      <c r="I213" s="7">
        <f t="shared" si="42"/>
        <v>-1</v>
      </c>
      <c r="J213" s="7">
        <f t="shared" si="43"/>
        <v>-1</v>
      </c>
      <c r="K213" s="7">
        <f t="shared" si="48"/>
        <v>-0.34426229508196721</v>
      </c>
      <c r="L213" s="5" t="s">
        <v>418</v>
      </c>
      <c r="M213" s="7">
        <f>IF(R213="",(VLOOKUP(A213,[1]Export!$B$2:$H$680,7,0)),"CHURN")</f>
        <v>0.29749999999999999</v>
      </c>
      <c r="N213" s="5">
        <f t="shared" si="49"/>
        <v>281</v>
      </c>
      <c r="O213" s="5">
        <f t="shared" si="50"/>
        <v>522.94570223213032</v>
      </c>
      <c r="P213" s="5">
        <f t="shared" si="51"/>
        <v>0</v>
      </c>
      <c r="Q213" s="5" t="str">
        <f>VLOOKUP(A213,[4]Sheet2!$A$1:$B$142,2,0)</f>
        <v xml:space="preserve">NO RISK </v>
      </c>
      <c r="T213" s="6" t="str" cm="1">
        <f t="array" ref="T213">IF(R213&lt;&gt;"Churn","",
 _xlfn.LET(
   _xlpm.rng,Y213:BF213,
   _xlpm.pos,MAX(IF((_xlpm.rng&lt;&gt;0)*(_xlpm.rng&lt;&gt;""),COLUMN(_xlpm.rng)-COLUMN(Y213)+1)),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3" s="6" t="str" cm="1">
        <f t="array" ref="U213">IF(R213="Churn",
   MAX(IF((Y213:BF213&lt;&gt;"")*(Y213:BF213&lt;&gt;0), COLUMN(Y213:BF213)-COLUMN(Y213)+1))
   -MATCH(1, --((Y213:BF213&lt;&gt;"")*(Y213:BF213&lt;&gt;0)), 0)
   +1,
"")</f>
        <v/>
      </c>
      <c r="V213" s="6" t="str" cm="1">
        <f t="array" ref="V213">IFERROR(
    IF(
        MATCH(2,1/((Y213:BF213&lt;&gt;0)*(Y213:BF213&lt;&gt;"")))-MATCH(1,INDEX((Y213:BF213&lt;&gt;0)*(Y213:BF213&lt;&gt;""),0),0)+1 &lt;= 12,
        "No",
        "Yes"
    ),
    "No"
)</f>
        <v>Yes</v>
      </c>
      <c r="W213" s="14" t="s">
        <v>705</v>
      </c>
      <c r="Y213" s="8">
        <v>0</v>
      </c>
      <c r="Z213" s="8">
        <v>0</v>
      </c>
      <c r="AA213" s="8">
        <v>0</v>
      </c>
      <c r="AB213" s="8">
        <v>610</v>
      </c>
      <c r="AC213" s="8">
        <v>609.99081000000001</v>
      </c>
      <c r="AD213" s="8">
        <v>609.99081000000001</v>
      </c>
      <c r="AE213" s="8">
        <v>609.99081000000001</v>
      </c>
      <c r="AF213" s="8">
        <v>609.99081000000001</v>
      </c>
      <c r="AG213" s="8">
        <v>610.52776900000003</v>
      </c>
      <c r="AH213" s="8">
        <v>439.08212791538938</v>
      </c>
      <c r="AI213" s="8">
        <v>426.99446172361797</v>
      </c>
      <c r="AJ213" s="8">
        <v>420.34144644622233</v>
      </c>
      <c r="AK213" s="8">
        <v>656.94810759263646</v>
      </c>
      <c r="AL213" s="8">
        <v>647.59774825548436</v>
      </c>
      <c r="AM213" s="8">
        <v>632.37557255734976</v>
      </c>
      <c r="AN213" s="8">
        <v>628.56715251261653</v>
      </c>
      <c r="AO213" s="8">
        <v>629.11749631125258</v>
      </c>
      <c r="AP213" s="8">
        <v>625.9075257027049</v>
      </c>
      <c r="AQ213" s="8">
        <v>771.55312820606491</v>
      </c>
      <c r="AR213" s="8">
        <v>763.55441964099532</v>
      </c>
      <c r="AS213" s="8">
        <v>759.39209762245503</v>
      </c>
      <c r="AT213" s="8">
        <v>757.16973898690981</v>
      </c>
      <c r="AU213" s="8">
        <v>755.2009452824642</v>
      </c>
      <c r="AV213" s="8">
        <v>749.67796279954609</v>
      </c>
      <c r="AW213" s="8">
        <v>744.40669356886872</v>
      </c>
      <c r="AX213" s="8">
        <v>738.33542631726311</v>
      </c>
      <c r="AY213" s="8">
        <v>729.89439370308605</v>
      </c>
      <c r="AZ213" s="8">
        <v>721.08188880674959</v>
      </c>
      <c r="BA213" s="8">
        <v>400</v>
      </c>
      <c r="BB213" s="8">
        <v>400</v>
      </c>
      <c r="BC213" s="8">
        <v>400</v>
      </c>
      <c r="BD213" s="8">
        <v>400</v>
      </c>
      <c r="BE213" s="8">
        <v>400</v>
      </c>
      <c r="BF213" s="8">
        <v>400</v>
      </c>
      <c r="BH213" s="8">
        <f t="shared" si="44"/>
        <v>4946.90904508523</v>
      </c>
      <c r="BI213" s="8">
        <f t="shared" si="45"/>
        <v>8377.0618954704805</v>
      </c>
      <c r="BJ213" s="8">
        <f t="shared" si="46"/>
        <v>5333.7184023959671</v>
      </c>
    </row>
    <row r="214" spans="1:62" x14ac:dyDescent="0.25">
      <c r="A214" s="9" t="s">
        <v>231</v>
      </c>
      <c r="B214" s="9" t="s">
        <v>644</v>
      </c>
      <c r="C214" s="10">
        <f>VLOOKUP(A214,'[2]Revenue_Engine_2025 Oct.25'!$C$14:G$3937,5,0)</f>
        <v>45222</v>
      </c>
      <c r="D214" s="6" cm="1">
        <f t="array" ref="D214">_xlfn.LET(
  _xlpm.aralık, Y214:BF214,
  _xlpm.ilk, MATCH(TRUE, _xlpm.aralık&lt;&gt;0, 0),
  _xlpm.son, MIN(_xlpm.ilk+2, COLUMNS(_xlpm.aralık)),
  MAX(INDEX(_xlpm.aralık, _xlpm.ilk):INDEX(_xlpm.aralık, _xlpm.son))
)</f>
        <v>195.82337691416899</v>
      </c>
      <c r="E214" s="6">
        <f t="shared" si="39"/>
        <v>171.10106904453232</v>
      </c>
      <c r="F214" s="6">
        <f t="shared" si="40"/>
        <v>0</v>
      </c>
      <c r="G214" s="6">
        <f t="shared" si="47"/>
        <v>0</v>
      </c>
      <c r="H214" s="7">
        <f t="shared" si="41"/>
        <v>-0.1262479907108979</v>
      </c>
      <c r="I214" s="7">
        <f t="shared" si="42"/>
        <v>-1</v>
      </c>
      <c r="J214" s="7">
        <f t="shared" si="43"/>
        <v>-1</v>
      </c>
      <c r="K214" s="7">
        <f t="shared" si="48"/>
        <v>-1</v>
      </c>
      <c r="L214" s="5" t="s">
        <v>418</v>
      </c>
      <c r="M214" s="7">
        <f>IF(R214="",(VLOOKUP(A214,[1]Export!$B$2:$H$680,7,0)),"CHURN")</f>
        <v>0.29185021475751649</v>
      </c>
      <c r="N214" s="5">
        <f t="shared" si="49"/>
        <v>0</v>
      </c>
      <c r="O214" s="5">
        <f t="shared" si="50"/>
        <v>121.16518529864491</v>
      </c>
      <c r="P214" s="5">
        <f t="shared" si="51"/>
        <v>0</v>
      </c>
      <c r="Q214" s="5" t="s">
        <v>430</v>
      </c>
      <c r="T214" s="6" t="str" cm="1">
        <f t="array" ref="T214">IF(R214&lt;&gt;"Churn","",
 _xlfn.LET(
   _xlpm.rng,Y214:BF214,
   _xlpm.pos,MAX(IF((_xlpm.rng&lt;&gt;0)*(_xlpm.rng&lt;&gt;""),COLUMN(_xlpm.rng)-COLUMN(Y214)+1)),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4" s="6" t="str" cm="1">
        <f t="array" ref="U214">IF(R214="Churn",
   MAX(IF((Y214:BF214&lt;&gt;"")*(Y214:BF214&lt;&gt;0), COLUMN(Y214:BF214)-COLUMN(Y214)+1))
   -MATCH(1, --((Y214:BF214&lt;&gt;"")*(Y214:BF214&lt;&gt;0)), 0)
   +1,
"")</f>
        <v/>
      </c>
      <c r="V214" s="6" t="str" cm="1">
        <f t="array" ref="V214">IFERROR(
    IF(
        MATCH(2,1/((Y214:BF214&lt;&gt;0)*(Y214:BF214&lt;&gt;"")))-MATCH(1,INDEX((Y214:BF214&lt;&gt;0)*(Y214:BF214&lt;&gt;""),0),0)+1 &lt;= 12,
        "No",
        "Yes"
    ),
    "No"
)</f>
        <v>Yes</v>
      </c>
      <c r="W214" s="6" t="str" cm="1">
        <f t="array" ref="W214">IFERROR(
    IF(
        MATCH(2,1/((Y214:BF214&lt;&gt;0)*(Y214:BF214&lt;&gt;"")))-MATCH(1,INDEX((Y214:BF214&lt;&gt;0)*(Y214:BF214&lt;&gt;""),0),0)+1 &lt;= 24,
        "No",
        "Yes"
    ),
    "No"
)</f>
        <v>No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172.60018786855531</v>
      </c>
      <c r="AI214" s="8">
        <v>195.82337691416899</v>
      </c>
      <c r="AJ214" s="8">
        <v>179.00280003995138</v>
      </c>
      <c r="AK214" s="8">
        <v>173.29923410101065</v>
      </c>
      <c r="AL214" s="8">
        <v>169.31737478906186</v>
      </c>
      <c r="AM214" s="8">
        <v>162.83499696098153</v>
      </c>
      <c r="AN214" s="8">
        <v>161.21317770547128</v>
      </c>
      <c r="AO214" s="8">
        <v>161.44754212937798</v>
      </c>
      <c r="AP214" s="8">
        <v>160.08057312873839</v>
      </c>
      <c r="AQ214" s="8">
        <v>158.22624886217994</v>
      </c>
      <c r="AR214" s="8">
        <v>154.81999130191301</v>
      </c>
      <c r="AS214" s="8">
        <v>153.0474625582313</v>
      </c>
      <c r="AT214" s="8">
        <v>171.10106904453232</v>
      </c>
      <c r="AU214" s="8">
        <v>170.26265639506289</v>
      </c>
      <c r="AV214" s="8">
        <v>167.9106891137674</v>
      </c>
      <c r="AW214" s="8">
        <v>165.66591415751901</v>
      </c>
      <c r="AX214" s="8">
        <v>163.08045929215564</v>
      </c>
      <c r="AY214" s="8">
        <v>159.48583761984438</v>
      </c>
      <c r="AZ214" s="8">
        <v>155.73302412703592</v>
      </c>
      <c r="BA214" s="8">
        <v>153.44078283677453</v>
      </c>
      <c r="BB214" s="8">
        <v>151.15823185538727</v>
      </c>
      <c r="BC214" s="8">
        <v>148.61614428505877</v>
      </c>
      <c r="BD214" s="8">
        <v>146.61997367749035</v>
      </c>
      <c r="BE214" s="8">
        <v>145.07520752172246</v>
      </c>
      <c r="BF214" s="8">
        <v>0</v>
      </c>
      <c r="BH214" s="8">
        <f t="shared" si="44"/>
        <v>547.42636482267562</v>
      </c>
      <c r="BI214" s="8">
        <f t="shared" si="45"/>
        <v>1963.5610160903286</v>
      </c>
      <c r="BJ214" s="8">
        <f t="shared" si="46"/>
        <v>1388.8755753729884</v>
      </c>
    </row>
    <row r="215" spans="1:62" x14ac:dyDescent="0.25">
      <c r="A215" s="9" t="s">
        <v>471</v>
      </c>
      <c r="B215" s="9" t="s">
        <v>644</v>
      </c>
      <c r="C215" s="10">
        <f>VLOOKUP(A215,'[2]Revenue_Engine_2025 Oct.25'!$C$14:G$3937,5,0)</f>
        <v>45642</v>
      </c>
      <c r="D215" s="6" cm="1">
        <f t="array" ref="D215">_xlfn.LET(
  _xlpm.aralık, Y215:BF215,
  _xlpm.ilk, MATCH(TRUE, _xlpm.aralık&lt;&gt;0, 0),
  _xlpm.son, MIN(_xlpm.ilk+2, COLUMNS(_xlpm.aralık)),
  MAX(INDEX(_xlpm.aralık, _xlpm.ilk):INDEX(_xlpm.aralık, _xlpm.son))
)</f>
        <v>397.01630900000004</v>
      </c>
      <c r="E215" s="6">
        <f t="shared" si="39"/>
        <v>0</v>
      </c>
      <c r="F215" s="6">
        <f t="shared" si="40"/>
        <v>0</v>
      </c>
      <c r="G215" s="6">
        <f t="shared" si="47"/>
        <v>397.01630900000004</v>
      </c>
      <c r="H215" s="7">
        <f t="shared" si="41"/>
        <v>-1</v>
      </c>
      <c r="I215" s="7">
        <f t="shared" si="42"/>
        <v>-1</v>
      </c>
      <c r="J215" s="7" t="e">
        <f t="shared" si="43"/>
        <v>#DIV/0!</v>
      </c>
      <c r="K215" s="7">
        <f t="shared" si="48"/>
        <v>0</v>
      </c>
      <c r="L215" s="5" t="s">
        <v>424</v>
      </c>
      <c r="M215" s="7">
        <f>IF(R215="",(VLOOKUP(A215,[1]Export!$B$2:$H$680,7,0)),"CHURN")</f>
        <v>0.25274305293085586</v>
      </c>
      <c r="N215" s="5">
        <f t="shared" si="49"/>
        <v>296.67319500000002</v>
      </c>
      <c r="O215" s="5">
        <f t="shared" si="50"/>
        <v>0</v>
      </c>
      <c r="P215" s="5">
        <f t="shared" si="51"/>
        <v>0</v>
      </c>
      <c r="Q215" s="5" t="s">
        <v>430</v>
      </c>
      <c r="T215" s="6" t="str" cm="1">
        <f t="array" ref="T215">IF(R215&lt;&gt;"Churn","",
 _xlfn.LET(
   _xlpm.rng,Y215:BF215,
   _xlpm.pos,MAX(IF((_xlpm.rng&lt;&gt;0)*(_xlpm.rng&lt;&gt;""),COLUMN(_xlpm.rng)-COLUMN(Y215)+1)),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5" s="6" t="str" cm="1">
        <f t="array" ref="U215">IF(R215="Churn",
   MAX(IF((Y215:BF215&lt;&gt;"")*(Y215:BF215&lt;&gt;0), COLUMN(Y215:BF215)-COLUMN(Y215)+1))
   -MATCH(1, --((Y215:BF215&lt;&gt;"")*(Y215:BF215&lt;&gt;0)), 0)
   +1,
"")</f>
        <v/>
      </c>
      <c r="V215" s="6" t="str" cm="1">
        <f t="array" ref="V215">IFERROR(
    IF(
        MATCH(2,1/((Y215:BF215&lt;&gt;0)*(Y215:BF215&lt;&gt;"")))-MATCH(1,INDEX((Y215:BF215&lt;&gt;0)*(Y215:BF215&lt;&gt;""),0),0)+1 &lt;= 12,
        "No",
        "Yes"
    ),
    "No"
)</f>
        <v>No</v>
      </c>
      <c r="W215" s="6" t="str" cm="1">
        <f t="array" ref="W215">IFERROR(
    IF(
        MATCH(2,1/((Y215:BF215&lt;&gt;0)*(Y215:BF215&lt;&gt;"")))-MATCH(1,INDEX((Y215:BF215&lt;&gt;0)*(Y215:BF215&lt;&gt;""),0),0)+1 &lt;= 24,
        "No",
        "Yes"
    ),
    "No"
)</f>
        <v>No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397.01630900000004</v>
      </c>
      <c r="AX215" s="8">
        <v>397.01630900000004</v>
      </c>
      <c r="AY215" s="8">
        <v>397.01630900000004</v>
      </c>
      <c r="AZ215" s="8">
        <v>397.01630900000009</v>
      </c>
      <c r="BA215" s="8">
        <v>397.01630900000004</v>
      </c>
      <c r="BB215" s="8">
        <v>397.01630900000004</v>
      </c>
      <c r="BC215" s="8">
        <v>397.01630900000004</v>
      </c>
      <c r="BD215" s="8">
        <v>397.01630900000004</v>
      </c>
      <c r="BE215" s="8">
        <v>397.01630900000004</v>
      </c>
      <c r="BF215" s="8">
        <v>397.01630900000004</v>
      </c>
      <c r="BH215" s="8">
        <f t="shared" si="44"/>
        <v>0</v>
      </c>
      <c r="BI215" s="8">
        <f t="shared" si="45"/>
        <v>0</v>
      </c>
      <c r="BJ215" s="8">
        <f t="shared" si="46"/>
        <v>3970.1630900000005</v>
      </c>
    </row>
    <row r="216" spans="1:62" x14ac:dyDescent="0.25">
      <c r="A216" s="9" t="s">
        <v>242</v>
      </c>
      <c r="B216" s="9" t="s">
        <v>644</v>
      </c>
      <c r="C216" s="10">
        <f>VLOOKUP(A216,'[2]Revenue_Engine_2025 Oct.25'!$C$14:G$3937,5,0)</f>
        <v>45204</v>
      </c>
      <c r="D216" s="6" cm="1">
        <f t="array" ref="D216">_xlfn.LET(
  _xlpm.aralık, Y216:BF216,
  _xlpm.ilk, MATCH(TRUE, _xlpm.aralık&lt;&gt;0, 0),
  _xlpm.son, MIN(_xlpm.ilk+2, COLUMNS(_xlpm.aralık)),
  MAX(INDEX(_xlpm.aralık, _xlpm.ilk):INDEX(_xlpm.aralık, _xlpm.son))
)</f>
        <v>139.87384065297783</v>
      </c>
      <c r="E216" s="6">
        <f t="shared" si="39"/>
        <v>184.26205296740582</v>
      </c>
      <c r="F216" s="6">
        <f t="shared" si="40"/>
        <v>391.66633333333334</v>
      </c>
      <c r="G216" s="6">
        <f t="shared" si="47"/>
        <v>391.66633333333334</v>
      </c>
      <c r="H216" s="7">
        <f t="shared" si="41"/>
        <v>0.31734463075589386</v>
      </c>
      <c r="I216" s="7">
        <f t="shared" si="42"/>
        <v>1.8001399797482074</v>
      </c>
      <c r="J216" s="7">
        <f t="shared" si="43"/>
        <v>1.1255941037551305</v>
      </c>
      <c r="K216" s="7">
        <f t="shared" si="48"/>
        <v>1.8001399797482074</v>
      </c>
      <c r="L216" s="5" t="s">
        <v>423</v>
      </c>
      <c r="M216" s="7">
        <f>IF(R216="",(VLOOKUP(A216,[1]Export!$B$2:$H$680,7,0)),"CHURN")</f>
        <v>0.1200000960000768</v>
      </c>
      <c r="N216" s="5">
        <f t="shared" si="49"/>
        <v>344.66633573333525</v>
      </c>
      <c r="O216" s="5">
        <f t="shared" si="50"/>
        <v>162.15058892214589</v>
      </c>
      <c r="P216" s="5">
        <f t="shared" si="51"/>
        <v>344.66633573333525</v>
      </c>
      <c r="Q216" s="5" t="s">
        <v>430</v>
      </c>
      <c r="T216" s="6" t="str" cm="1">
        <f t="array" ref="T216">IF(R216&lt;&gt;"Churn","",
 _xlfn.LET(
   _xlpm.rng,Y216:BF216,
   _xlpm.pos,MAX(IF((_xlpm.rng&lt;&gt;0)*(_xlpm.rng&lt;&gt;""),COLUMN(_xlpm.rng)-COLUMN(Y216)+1)),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6" s="6" t="str" cm="1">
        <f t="array" ref="U216">IF(R216="Churn",
   MAX(IF((Y216:BF216&lt;&gt;"")*(Y216:BF216&lt;&gt;0), COLUMN(Y216:BF216)-COLUMN(Y216)+1))
   -MATCH(1, --((Y216:BF216&lt;&gt;"")*(Y216:BF216&lt;&gt;0)), 0)
   +1,
"")</f>
        <v/>
      </c>
      <c r="V216" s="6" t="str" cm="1">
        <f t="array" ref="V216">IFERROR(
    IF(
        MATCH(2,1/((Y216:BF216&lt;&gt;0)*(Y216:BF216&lt;&gt;"")))-MATCH(1,INDEX((Y216:BF216&lt;&gt;0)*(Y216:BF216&lt;&gt;""),0),0)+1 &lt;= 12,
        "No",
        "Yes"
    ),
    "No"
)</f>
        <v>Yes</v>
      </c>
      <c r="W216" s="6" t="str" cm="1">
        <f t="array" ref="W216">IFERROR(
    IF(
        MATCH(2,1/((Y216:BF216&lt;&gt;0)*(Y216:BF216&lt;&gt;"")))-MATCH(1,INDEX((Y216:BF216&lt;&gt;0)*(Y216:BF216&lt;&gt;""),0),0)+1 &lt;= 24,
        "No",
        "Yes"
    ),
    "No"
)</f>
        <v>No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139.87384065297783</v>
      </c>
      <c r="AJ216" s="8">
        <v>137.69446156919335</v>
      </c>
      <c r="AK216" s="8">
        <v>133.30710315462358</v>
      </c>
      <c r="AL216" s="8">
        <v>130.24413445312447</v>
      </c>
      <c r="AM216" s="8">
        <v>125.25768996998578</v>
      </c>
      <c r="AN216" s="8">
        <v>124.01013669651637</v>
      </c>
      <c r="AO216" s="8">
        <v>124.19041702259842</v>
      </c>
      <c r="AP216" s="8">
        <v>123.13890240672183</v>
      </c>
      <c r="AQ216" s="8">
        <v>121.71249912475378</v>
      </c>
      <c r="AR216" s="8">
        <v>119.09230100147153</v>
      </c>
      <c r="AS216" s="8">
        <v>117.72881735248561</v>
      </c>
      <c r="AT216" s="8">
        <v>184.26205296740582</v>
      </c>
      <c r="AU216" s="8">
        <v>183.24636230201114</v>
      </c>
      <c r="AV216" s="8">
        <v>363.73025037723812</v>
      </c>
      <c r="AW216" s="8">
        <v>361.01082937325396</v>
      </c>
      <c r="AX216" s="8">
        <v>357.87869345639899</v>
      </c>
      <c r="AY216" s="8">
        <v>353.52400763372884</v>
      </c>
      <c r="AZ216" s="8">
        <v>348.97768114876368</v>
      </c>
      <c r="BA216" s="8">
        <v>346.20075730007886</v>
      </c>
      <c r="BB216" s="8">
        <v>343.43557272593199</v>
      </c>
      <c r="BC216" s="8">
        <v>340.35597389422026</v>
      </c>
      <c r="BD216" s="8">
        <v>337.93772334191107</v>
      </c>
      <c r="BE216" s="8">
        <v>336.06632437670714</v>
      </c>
      <c r="BF216" s="8">
        <v>391.66633333333334</v>
      </c>
      <c r="BH216" s="8">
        <f t="shared" si="44"/>
        <v>277.56830222217116</v>
      </c>
      <c r="BI216" s="8">
        <f t="shared" si="45"/>
        <v>1849.9206668289366</v>
      </c>
      <c r="BJ216" s="8">
        <f t="shared" si="46"/>
        <v>3517.053896584328</v>
      </c>
    </row>
    <row r="217" spans="1:62" x14ac:dyDescent="0.25">
      <c r="A217" s="9" t="s">
        <v>390</v>
      </c>
      <c r="B217" s="9" t="s">
        <v>644</v>
      </c>
      <c r="C217" s="10">
        <v>44927</v>
      </c>
      <c r="D217" s="6" cm="1">
        <f t="array" ref="D217">_xlfn.LET(
  _xlpm.aralık, Y217:BF217,
  _xlpm.ilk, MATCH(TRUE, _xlpm.aralık&lt;&gt;0, 0),
  _xlpm.son, MIN(_xlpm.ilk+2, COLUMNS(_xlpm.aralık)),
  MAX(INDEX(_xlpm.aralık, _xlpm.ilk):INDEX(_xlpm.aralık, _xlpm.son))
)</f>
        <v>574</v>
      </c>
      <c r="E217" s="6">
        <f t="shared" si="39"/>
        <v>642.02531799999997</v>
      </c>
      <c r="F217" s="6">
        <f t="shared" si="40"/>
        <v>598.02532500000007</v>
      </c>
      <c r="G217" s="6">
        <f t="shared" si="47"/>
        <v>386.14081499999998</v>
      </c>
      <c r="H217" s="7">
        <f t="shared" si="41"/>
        <v>0.11851100696864106</v>
      </c>
      <c r="I217" s="7">
        <f t="shared" si="42"/>
        <v>4.1855966898954822E-2</v>
      </c>
      <c r="J217" s="7">
        <f t="shared" si="43"/>
        <v>-6.8533111960547177E-2</v>
      </c>
      <c r="K217" s="7">
        <f t="shared" si="48"/>
        <v>-0.32728081010452964</v>
      </c>
      <c r="L217" s="5" t="s">
        <v>418</v>
      </c>
      <c r="M217" s="7">
        <f>IF(R217="",(VLOOKUP(A217,[1]Export!$B$2:$H$680,7,0)),"CHURN")</f>
        <v>0.19863482703842125</v>
      </c>
      <c r="N217" s="5">
        <f t="shared" si="49"/>
        <v>309.43980099999993</v>
      </c>
      <c r="O217" s="5">
        <f t="shared" si="50"/>
        <v>514.49673000478253</v>
      </c>
      <c r="P217" s="5">
        <f t="shared" si="51"/>
        <v>479.23666800402935</v>
      </c>
      <c r="Q217" s="5" t="str">
        <f>VLOOKUP(A217,[4]Sheet2!$A$1:$B$142,2,0)</f>
        <v>BOOKED CHURN</v>
      </c>
      <c r="T217" s="6" t="str" cm="1">
        <f t="array" ref="T217">IF(R217&lt;&gt;"Churn","",
 _xlfn.LET(
   _xlpm.rng,Y217:BF217,
   _xlpm.pos,MAX(IF((_xlpm.rng&lt;&gt;0)*(_xlpm.rng&lt;&gt;""),COLUMN(_xlpm.rng)-COLUMN(Y217)+1)),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7" s="6" t="str" cm="1">
        <f t="array" ref="U217">IF(R217="Churn",
   MAX(IF((Y217:BF217&lt;&gt;"")*(Y217:BF217&lt;&gt;0), COLUMN(Y217:BF217)-COLUMN(Y217)+1))
   -MATCH(1, --((Y217:BF217&lt;&gt;"")*(Y217:BF217&lt;&gt;0)), 0)
   +1,
"")</f>
        <v/>
      </c>
      <c r="V217" s="6" t="str" cm="1">
        <f t="array" ref="V217">IFERROR(
    IF(
        MATCH(2,1/((Y217:BF217&lt;&gt;0)*(Y217:BF217&lt;&gt;"")))-MATCH(1,INDEX((Y217:BF217&lt;&gt;0)*(Y217:BF217&lt;&gt;""),0),0)+1 &lt;= 12,
        "No",
        "Yes"
    ),
    "No"
)</f>
        <v>Yes</v>
      </c>
      <c r="W217" s="6" t="str" cm="1">
        <f t="array" ref="W217">IFERROR(
    IF(
        MATCH(2,1/((Y217:BF217&lt;&gt;0)*(Y217:BF217&lt;&gt;"")))-MATCH(1,INDEX((Y217:BF217&lt;&gt;0)*(Y217:BF217&lt;&gt;""),0),0)+1 &lt;= 24,
        "No",
        "Yes"
    ),
    "No"
)</f>
        <v>Yes</v>
      </c>
      <c r="Y217" s="8">
        <v>495</v>
      </c>
      <c r="Z217" s="8">
        <v>495</v>
      </c>
      <c r="AA217" s="8">
        <v>574</v>
      </c>
      <c r="AB217" s="8">
        <v>583</v>
      </c>
      <c r="AC217" s="8">
        <v>583.00040000000001</v>
      </c>
      <c r="AD217" s="8">
        <v>583.00040000000001</v>
      </c>
      <c r="AE217" s="8">
        <v>588</v>
      </c>
      <c r="AF217" s="8">
        <v>588.02531799999997</v>
      </c>
      <c r="AG217" s="8">
        <v>598.02531799999997</v>
      </c>
      <c r="AH217" s="8">
        <v>642.02531799999997</v>
      </c>
      <c r="AI217" s="8">
        <v>642.02531799999997</v>
      </c>
      <c r="AJ217" s="8">
        <v>642.02531799999997</v>
      </c>
      <c r="AK217" s="8">
        <v>642.02531799999997</v>
      </c>
      <c r="AL217" s="8">
        <v>642.02531799999997</v>
      </c>
      <c r="AM217" s="8">
        <v>642.02531799999997</v>
      </c>
      <c r="AN217" s="8">
        <v>642.02531799999997</v>
      </c>
      <c r="AO217" s="8">
        <v>642.02531799999997</v>
      </c>
      <c r="AP217" s="8">
        <v>642.02531799999997</v>
      </c>
      <c r="AQ217" s="8">
        <v>642.02531799999997</v>
      </c>
      <c r="AR217" s="8">
        <v>642.02531799999997</v>
      </c>
      <c r="AS217" s="8">
        <v>642.02531799999997</v>
      </c>
      <c r="AT217" s="8">
        <v>642.02531799999997</v>
      </c>
      <c r="AU217" s="8">
        <v>642.02531799999997</v>
      </c>
      <c r="AV217" s="8">
        <v>598.02531799999997</v>
      </c>
      <c r="AW217" s="8">
        <v>598.02532500000007</v>
      </c>
      <c r="AX217" s="8">
        <v>408.64081499999998</v>
      </c>
      <c r="AY217" s="8">
        <v>446.14081499999998</v>
      </c>
      <c r="AZ217" s="8">
        <v>446.14081499999998</v>
      </c>
      <c r="BA217" s="8">
        <v>386.14081499999998</v>
      </c>
      <c r="BB217" s="8">
        <v>386.14081499999998</v>
      </c>
      <c r="BC217" s="8">
        <v>386.14081499999998</v>
      </c>
      <c r="BD217" s="8">
        <v>386.14081499999998</v>
      </c>
      <c r="BE217" s="8">
        <v>386.14081499999998</v>
      </c>
      <c r="BF217" s="8">
        <v>386.14081499999998</v>
      </c>
      <c r="BH217" s="8">
        <f t="shared" si="44"/>
        <v>7013.1273899999997</v>
      </c>
      <c r="BI217" s="8">
        <f t="shared" si="45"/>
        <v>7660.3038159999996</v>
      </c>
      <c r="BJ217" s="8">
        <f t="shared" si="46"/>
        <v>4215.7926599999992</v>
      </c>
    </row>
    <row r="218" spans="1:62" x14ac:dyDescent="0.25">
      <c r="A218" s="9" t="s">
        <v>4</v>
      </c>
      <c r="B218" s="9" t="s">
        <v>644</v>
      </c>
      <c r="C218" s="10">
        <f>VLOOKUP(A218,'[2]Revenue_Engine_2025 Oct.25'!$C$14:G$3937,5,0)</f>
        <v>45062</v>
      </c>
      <c r="D218" s="6" cm="1">
        <f t="array" ref="D218">_xlfn.LET(
  _xlpm.aralık, Y218:BF218,
  _xlpm.ilk, MATCH(TRUE, _xlpm.aralık&lt;&gt;0, 0),
  _xlpm.son, MIN(_xlpm.ilk+2, COLUMNS(_xlpm.aralık)),
  MAX(INDEX(_xlpm.aralık, _xlpm.ilk):INDEX(_xlpm.aralık, _xlpm.son))
)</f>
        <v>302.56846302703337</v>
      </c>
      <c r="E218" s="6">
        <f t="shared" si="39"/>
        <v>359.37873728352872</v>
      </c>
      <c r="F218" s="6">
        <f t="shared" si="40"/>
        <v>413.81992477896711</v>
      </c>
      <c r="G218" s="6">
        <f t="shared" si="47"/>
        <v>383.40399220635425</v>
      </c>
      <c r="H218" s="7">
        <f t="shared" si="41"/>
        <v>0.18776006490610211</v>
      </c>
      <c r="I218" s="7">
        <f t="shared" si="42"/>
        <v>0.36769021013929604</v>
      </c>
      <c r="J218" s="7">
        <f t="shared" si="43"/>
        <v>0.15148694635344406</v>
      </c>
      <c r="K218" s="7">
        <f t="shared" si="48"/>
        <v>0.26716442411282804</v>
      </c>
      <c r="L218" s="5" t="s">
        <v>416</v>
      </c>
      <c r="M218" s="7">
        <f>IF(R218="",(VLOOKUP(A218,[1]Export!$B$2:$H$680,7,0)),"CHURN")</f>
        <v>0</v>
      </c>
      <c r="N218" s="5">
        <f t="shared" si="49"/>
        <v>383.40399220635425</v>
      </c>
      <c r="O218" s="5">
        <f t="shared" si="50"/>
        <v>359.37873728352872</v>
      </c>
      <c r="P218" s="5">
        <f t="shared" si="51"/>
        <v>413.81992477896711</v>
      </c>
      <c r="Q218" s="5" t="s">
        <v>430</v>
      </c>
      <c r="T218" s="6" t="str" cm="1">
        <f t="array" ref="T218">IF(R218&lt;&gt;"Churn","",
 _xlfn.LET(
   _xlpm.rng,Y218:BF218,
   _xlpm.pos,MAX(IF((_xlpm.rng&lt;&gt;0)*(_xlpm.rng&lt;&gt;""),COLUMN(_xlpm.rng)-COLUMN(Y218)+1)),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8" s="6" t="str" cm="1">
        <f t="array" ref="U218">IF(R218="Churn",
   MAX(IF((Y218:BF218&lt;&gt;"")*(Y218:BF218&lt;&gt;0), COLUMN(Y218:BF218)-COLUMN(Y218)+1))
   -MATCH(1, --((Y218:BF218&lt;&gt;"")*(Y218:BF218&lt;&gt;0)), 0)
   +1,
"")</f>
        <v/>
      </c>
      <c r="V218" s="6" t="str" cm="1">
        <f t="array" ref="V218">IFERROR(
    IF(
        MATCH(2,1/((Y218:BF218&lt;&gt;0)*(Y218:BF218&lt;&gt;"")))-MATCH(1,INDEX((Y218:BF218&lt;&gt;0)*(Y218:BF218&lt;&gt;""),0),0)+1 &lt;= 12,
        "No",
        "Yes"
    ),
    "No"
)</f>
        <v>Yes</v>
      </c>
      <c r="W218" s="6" t="str" cm="1">
        <f t="array" ref="W218">IFERROR(
    IF(
        MATCH(2,1/((Y218:BF218&lt;&gt;0)*(Y218:BF218&lt;&gt;"")))-MATCH(1,INDEX((Y218:BF218&lt;&gt;0)*(Y218:BF218&lt;&gt;""),0),0)+1 &lt;= 24,
        "No",
        "Yes"
    ),
    "No"
)</f>
        <v>Yes</v>
      </c>
      <c r="Y218" s="8">
        <v>302.56846302703337</v>
      </c>
      <c r="Z218" s="8">
        <v>301.51723625004649</v>
      </c>
      <c r="AA218" s="8">
        <v>299.30074724069374</v>
      </c>
      <c r="AB218" s="8">
        <v>293.98324881773118</v>
      </c>
      <c r="AC218" s="8">
        <v>288.40958982072442</v>
      </c>
      <c r="AD218" s="8">
        <v>242.5417079757957</v>
      </c>
      <c r="AE218" s="8">
        <v>288.02760830294147</v>
      </c>
      <c r="AF218" s="8">
        <v>282.57832453379802</v>
      </c>
      <c r="AG218" s="8">
        <v>282.31608839130934</v>
      </c>
      <c r="AH218" s="8">
        <v>273.61453416189289</v>
      </c>
      <c r="AI218" s="8">
        <v>266.08209104044727</v>
      </c>
      <c r="AJ218" s="8">
        <v>398.45636173898669</v>
      </c>
      <c r="AK218" s="8">
        <v>385.76034730534928</v>
      </c>
      <c r="AL218" s="8">
        <v>376.89681458942795</v>
      </c>
      <c r="AM218" s="8">
        <v>362.46718173330578</v>
      </c>
      <c r="AN218" s="8">
        <v>358.85704714432381</v>
      </c>
      <c r="AO218" s="8">
        <v>359.37873728352872</v>
      </c>
      <c r="AP218" s="8">
        <v>356.33589385044689</v>
      </c>
      <c r="AQ218" s="8">
        <v>352.208208135071</v>
      </c>
      <c r="AR218" s="8">
        <v>344.62595247031629</v>
      </c>
      <c r="AS218" s="8">
        <v>340.68034181993789</v>
      </c>
      <c r="AT218" s="8">
        <v>338.57369032533722</v>
      </c>
      <c r="AU218" s="8">
        <v>336.70740189929592</v>
      </c>
      <c r="AV218" s="8">
        <v>458.35950124345328</v>
      </c>
      <c r="AW218" s="8">
        <v>451.44989700031044</v>
      </c>
      <c r="AX218" s="8">
        <v>443.49165162767622</v>
      </c>
      <c r="AY218" s="8">
        <v>432.42710678750893</v>
      </c>
      <c r="AZ218" s="8">
        <v>420.8756343508378</v>
      </c>
      <c r="BA218" s="8">
        <v>413.81992477896711</v>
      </c>
      <c r="BB218" s="8">
        <v>406.79404278474641</v>
      </c>
      <c r="BC218" s="8">
        <v>398.96928555752851</v>
      </c>
      <c r="BD218" s="8">
        <v>392.82490620150475</v>
      </c>
      <c r="BE218" s="8">
        <v>388.06998733765761</v>
      </c>
      <c r="BF218" s="8">
        <v>383.40399220635425</v>
      </c>
      <c r="BH218" s="8">
        <f t="shared" si="44"/>
        <v>3519.3960013014007</v>
      </c>
      <c r="BI218" s="8">
        <f t="shared" si="45"/>
        <v>4370.8511177997943</v>
      </c>
      <c r="BJ218" s="8">
        <f t="shared" si="46"/>
        <v>4132.1264286330916</v>
      </c>
    </row>
    <row r="219" spans="1:62" x14ac:dyDescent="0.25">
      <c r="A219" s="9" t="s">
        <v>472</v>
      </c>
      <c r="B219" s="9" t="s">
        <v>643</v>
      </c>
      <c r="C219" s="10">
        <f>VLOOKUP(A219,'[2]Revenue_Engine_2025 Oct.25'!$C$14:G$3937,5,0)</f>
        <v>45716</v>
      </c>
      <c r="D219" s="6" cm="1">
        <f t="array" ref="D219">_xlfn.LET(
  _xlpm.aralık, Y219:BF219,
  _xlpm.ilk, MATCH(TRUE, _xlpm.aralık&lt;&gt;0, 0),
  _xlpm.son, MIN(_xlpm.ilk+2, COLUMNS(_xlpm.aralık)),
  MAX(INDEX(_xlpm.aralık, _xlpm.ilk):INDEX(_xlpm.aralık, _xlpm.son))
)</f>
        <v>1049.8499999999999</v>
      </c>
      <c r="E219" s="6">
        <f t="shared" si="39"/>
        <v>0</v>
      </c>
      <c r="F219" s="6">
        <f t="shared" si="40"/>
        <v>0</v>
      </c>
      <c r="G219" s="6">
        <f t="shared" si="47"/>
        <v>374.84999999999997</v>
      </c>
      <c r="H219" s="7">
        <f t="shared" si="41"/>
        <v>-1</v>
      </c>
      <c r="I219" s="7">
        <f t="shared" si="42"/>
        <v>-1</v>
      </c>
      <c r="J219" s="7" t="e">
        <f t="shared" si="43"/>
        <v>#DIV/0!</v>
      </c>
      <c r="K219" s="7">
        <f t="shared" si="48"/>
        <v>-0.64294899271324479</v>
      </c>
      <c r="L219" s="5" t="s">
        <v>414</v>
      </c>
      <c r="M219" s="7">
        <f>IF(R219="",(VLOOKUP(A219,[1]Export!$B$2:$H$680,7,0)),"CHURN")</f>
        <v>0</v>
      </c>
      <c r="N219" s="5">
        <f t="shared" si="49"/>
        <v>374.84999999999997</v>
      </c>
      <c r="O219" s="5">
        <f t="shared" si="50"/>
        <v>0</v>
      </c>
      <c r="P219" s="5">
        <f t="shared" si="51"/>
        <v>0</v>
      </c>
      <c r="Q219" s="5" t="str">
        <f>VLOOKUP(A219,[4]Sheet2!$A$1:$B$142,2,0)</f>
        <v>LOW RISK</v>
      </c>
      <c r="T219" s="6" t="str" cm="1">
        <f t="array" ref="T219">IF(R219&lt;&gt;"Churn","",
 _xlfn.LET(
   _xlpm.rng,Y219:BF219,
   _xlpm.pos,MAX(IF((_xlpm.rng&lt;&gt;0)*(_xlpm.rng&lt;&gt;""),COLUMN(_xlpm.rng)-COLUMN(Y219)+1)),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19" s="6" t="str" cm="1">
        <f t="array" ref="U219">IF(R219="Churn",
   MAX(IF((Y219:BF219&lt;&gt;"")*(Y219:BF219&lt;&gt;0), COLUMN(Y219:BF219)-COLUMN(Y219)+1))
   -MATCH(1, --((Y219:BF219&lt;&gt;"")*(Y219:BF219&lt;&gt;0)), 0)
   +1,
"")</f>
        <v/>
      </c>
      <c r="V219" s="6" t="str" cm="1">
        <f t="array" ref="V219">IFERROR(
    IF(
        MATCH(2,1/((Y219:BF219&lt;&gt;0)*(Y219:BF219&lt;&gt;"")))-MATCH(1,INDEX((Y219:BF219&lt;&gt;0)*(Y219:BF219&lt;&gt;""),0),0)+1 &lt;= 12,
        "No",
        "Yes"
    ),
    "No"
)</f>
        <v>No</v>
      </c>
      <c r="W219" s="6" t="str" cm="1">
        <f t="array" ref="W219">IFERROR(
    IF(
        MATCH(2,1/((Y219:BF219&lt;&gt;0)*(Y219:BF219&lt;&gt;"")))-MATCH(1,INDEX((Y219:BF219&lt;&gt;0)*(Y219:BF219&lt;&gt;""),0),0)+1 &lt;= 24,
        "No",
        "Yes"
    ),
    "No"
)</f>
        <v>No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1049.8499999999999</v>
      </c>
      <c r="AY219" s="8">
        <v>1049.8499999999999</v>
      </c>
      <c r="AZ219" s="8">
        <v>1049.8499999999999</v>
      </c>
      <c r="BA219" s="8">
        <v>374.84999999999997</v>
      </c>
      <c r="BB219" s="8">
        <v>374.84999999999997</v>
      </c>
      <c r="BC219" s="8">
        <v>1049.8499999999999</v>
      </c>
      <c r="BD219" s="8">
        <v>1049.8499999999999</v>
      </c>
      <c r="BE219" s="8">
        <v>674.84999999999991</v>
      </c>
      <c r="BF219" s="8">
        <v>374.84999999999997</v>
      </c>
      <c r="BH219" s="8">
        <f t="shared" si="44"/>
        <v>0</v>
      </c>
      <c r="BI219" s="8">
        <f t="shared" si="45"/>
        <v>0</v>
      </c>
      <c r="BJ219" s="8">
        <f t="shared" si="46"/>
        <v>7048.65</v>
      </c>
    </row>
    <row r="220" spans="1:62" x14ac:dyDescent="0.25">
      <c r="A220" s="9" t="s">
        <v>140</v>
      </c>
      <c r="B220" s="9" t="s">
        <v>644</v>
      </c>
      <c r="C220" s="10">
        <v>44927</v>
      </c>
      <c r="D220" s="6" cm="1">
        <f t="array" ref="D220">_xlfn.LET(
  _xlpm.aralık, Y220:BF220,
  _xlpm.ilk, MATCH(TRUE, _xlpm.aralık&lt;&gt;0, 0),
  _xlpm.son, MIN(_xlpm.ilk+2, COLUMNS(_xlpm.aralık)),
  MAX(INDEX(_xlpm.aralık, _xlpm.ilk):INDEX(_xlpm.aralık, _xlpm.son))
)</f>
        <v>1510.5229489904077</v>
      </c>
      <c r="E220" s="6">
        <f t="shared" si="39"/>
        <v>1898.968568498578</v>
      </c>
      <c r="F220" s="6">
        <f t="shared" si="40"/>
        <v>2170.9418499440981</v>
      </c>
      <c r="G220" s="6">
        <f t="shared" si="47"/>
        <v>373.12</v>
      </c>
      <c r="H220" s="7">
        <f t="shared" si="41"/>
        <v>0.25715969410977613</v>
      </c>
      <c r="I220" s="7">
        <f t="shared" si="42"/>
        <v>0.43721209359652319</v>
      </c>
      <c r="J220" s="7">
        <f t="shared" si="43"/>
        <v>0.14322158141909433</v>
      </c>
      <c r="K220" s="7">
        <f t="shared" si="48"/>
        <v>-0.75298620901497515</v>
      </c>
      <c r="L220" s="5" t="s">
        <v>421</v>
      </c>
      <c r="M220" s="7">
        <f>IF(R220="",(VLOOKUP(A220,[1]Export!$B$2:$H$680,7,0)),"CHURN")</f>
        <v>1</v>
      </c>
      <c r="N220" s="5">
        <f t="shared" si="49"/>
        <v>0</v>
      </c>
      <c r="O220" s="5">
        <f t="shared" si="50"/>
        <v>0</v>
      </c>
      <c r="P220" s="5">
        <f t="shared" si="51"/>
        <v>0</v>
      </c>
      <c r="Q220" s="5" t="str">
        <f>VLOOKUP(A220,[4]Sheet2!$A$1:$B$142,2,0)</f>
        <v>CHURN</v>
      </c>
      <c r="T220" s="6" t="str" cm="1">
        <f t="array" ref="T220">IF(R220&lt;&gt;"Churn","",
 _xlfn.LET(
   _xlpm.rng,Y220:BF220,
   _xlpm.pos,MAX(IF((_xlpm.rng&lt;&gt;0)*(_xlpm.rng&lt;&gt;""),COLUMN(_xlpm.rng)-COLUMN(Y220)+1)),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0" s="6" t="str" cm="1">
        <f t="array" ref="U220">IF(R220="Churn",
   MAX(IF((Y220:BF220&lt;&gt;"")*(Y220:BF220&lt;&gt;0), COLUMN(Y220:BF220)-COLUMN(Y220)+1))
   -MATCH(1, --((Y220:BF220&lt;&gt;"")*(Y220:BF220&lt;&gt;0)), 0)
   +1,
"")</f>
        <v/>
      </c>
      <c r="V220" s="6" t="str" cm="1">
        <f t="array" ref="V220">IFERROR(
    IF(
        MATCH(2,1/((Y220:BF220&lt;&gt;0)*(Y220:BF220&lt;&gt;"")))-MATCH(1,INDEX((Y220:BF220&lt;&gt;0)*(Y220:BF220&lt;&gt;""),0),0)+1 &lt;= 12,
        "No",
        "Yes"
    ),
    "No"
)</f>
        <v>Yes</v>
      </c>
      <c r="W220" s="6" t="str" cm="1">
        <f t="array" ref="W220">IFERROR(
    IF(
        MATCH(2,1/((Y220:BF220&lt;&gt;0)*(Y220:BF220&lt;&gt;"")))-MATCH(1,INDEX((Y220:BF220&lt;&gt;0)*(Y220:BF220&lt;&gt;""),0),0)+1 &lt;= 24,
        "No",
        "Yes"
    ),
    "No"
)</f>
        <v>Yes</v>
      </c>
      <c r="Y220" s="8">
        <v>1500.7475062239116</v>
      </c>
      <c r="Z220" s="8">
        <v>1507.8645799709941</v>
      </c>
      <c r="AA220" s="8">
        <v>1510.5229489904077</v>
      </c>
      <c r="AB220" s="8">
        <v>1545.6767775987901</v>
      </c>
      <c r="AC220" s="8">
        <v>1564.9914567258829</v>
      </c>
      <c r="AD220" s="8">
        <v>1599.306984239855</v>
      </c>
      <c r="AE220" s="8">
        <v>1659.8813691142998</v>
      </c>
      <c r="AF220" s="8">
        <v>1768.8397411104136</v>
      </c>
      <c r="AG220" s="8">
        <v>1807.4247637528815</v>
      </c>
      <c r="AH220" s="8">
        <v>1851.2278211281541</v>
      </c>
      <c r="AI220" s="8">
        <v>1880.3593450246128</v>
      </c>
      <c r="AJ220" s="8">
        <v>1876.5789563437611</v>
      </c>
      <c r="AK220" s="8">
        <v>1898.968568498578</v>
      </c>
      <c r="AL220" s="8">
        <v>1920.1354899730911</v>
      </c>
      <c r="AM220" s="8">
        <v>1911.485917063995</v>
      </c>
      <c r="AN220" s="8">
        <v>1909.3218895623666</v>
      </c>
      <c r="AO220" s="8">
        <v>1909.6346069363983</v>
      </c>
      <c r="AP220" s="8">
        <v>1943.8106314833958</v>
      </c>
      <c r="AQ220" s="8">
        <v>2028.0323208273285</v>
      </c>
      <c r="AR220" s="8">
        <v>2021.6209096726304</v>
      </c>
      <c r="AS220" s="8">
        <v>2047.4087658363812</v>
      </c>
      <c r="AT220" s="8">
        <v>2045.4473273135172</v>
      </c>
      <c r="AU220" s="8">
        <v>2043.7096834635524</v>
      </c>
      <c r="AV220" s="8">
        <v>2047.3151369210493</v>
      </c>
      <c r="AW220" s="8">
        <v>2170.9418499440981</v>
      </c>
      <c r="AX220" s="8">
        <v>2185.9595564733445</v>
      </c>
      <c r="AY220" s="8">
        <v>2185.8441613681057</v>
      </c>
      <c r="AZ220" s="8">
        <v>2083.8721008086573</v>
      </c>
      <c r="BA220" s="8">
        <v>987.29373439882147</v>
      </c>
      <c r="BB220" s="8">
        <v>981.83573928239548</v>
      </c>
      <c r="BC220" s="8">
        <v>1031.6197229705126</v>
      </c>
      <c r="BD220" s="8">
        <v>1025.9861964495844</v>
      </c>
      <c r="BE220" s="8">
        <v>0</v>
      </c>
      <c r="BF220" s="8">
        <v>373.12</v>
      </c>
      <c r="BH220" s="8">
        <f t="shared" si="44"/>
        <v>20073.422250223965</v>
      </c>
      <c r="BI220" s="8">
        <f t="shared" si="45"/>
        <v>23726.891247552285</v>
      </c>
      <c r="BJ220" s="8">
        <f t="shared" si="46"/>
        <v>13026.473061695522</v>
      </c>
    </row>
    <row r="221" spans="1:62" x14ac:dyDescent="0.25">
      <c r="A221" s="9" t="s">
        <v>356</v>
      </c>
      <c r="B221" s="9" t="s">
        <v>644</v>
      </c>
      <c r="C221" s="10">
        <f>VLOOKUP(A221,'[2]Revenue_Engine_2025 Oct.25'!$C$14:G$3937,5,0)</f>
        <v>45069</v>
      </c>
      <c r="D221" s="6" cm="1">
        <f t="array" ref="D221">_xlfn.LET(
  _xlpm.aralık, Y221:BF221,
  _xlpm.ilk, MATCH(TRUE, _xlpm.aralık&lt;&gt;0, 0),
  _xlpm.son, MIN(_xlpm.ilk+2, COLUMNS(_xlpm.aralık)),
  MAX(INDEX(_xlpm.aralık, _xlpm.ilk):INDEX(_xlpm.aralık, _xlpm.son))
)</f>
        <v>300</v>
      </c>
      <c r="E221" s="6">
        <f t="shared" si="39"/>
        <v>300</v>
      </c>
      <c r="F221" s="6">
        <f t="shared" si="40"/>
        <v>365.99985399999997</v>
      </c>
      <c r="G221" s="6">
        <f t="shared" si="47"/>
        <v>365.99985399999997</v>
      </c>
      <c r="H221" s="7">
        <f t="shared" si="41"/>
        <v>0</v>
      </c>
      <c r="I221" s="7">
        <f t="shared" si="42"/>
        <v>0.21999951333333323</v>
      </c>
      <c r="J221" s="7">
        <f t="shared" si="43"/>
        <v>0.21999951333333323</v>
      </c>
      <c r="K221" s="7">
        <f t="shared" si="48"/>
        <v>0.21999951333333323</v>
      </c>
      <c r="L221" s="5" t="s">
        <v>417</v>
      </c>
      <c r="M221" s="7">
        <f>IF(R221="",(VLOOKUP(A221,[1]Export!$B$2:$H$680,7,0)),"CHURN")</f>
        <v>0.19666674511842838</v>
      </c>
      <c r="N221" s="5">
        <f t="shared" si="49"/>
        <v>294.01985399999995</v>
      </c>
      <c r="O221" s="5">
        <f t="shared" si="50"/>
        <v>240.99997646447147</v>
      </c>
      <c r="P221" s="5">
        <f t="shared" si="51"/>
        <v>294.01985399999995</v>
      </c>
      <c r="Q221" s="5" t="s">
        <v>430</v>
      </c>
      <c r="T221" s="6" t="str" cm="1">
        <f t="array" ref="T221">IF(R221&lt;&gt;"Churn","",
 _xlfn.LET(
   _xlpm.rng,Y221:BF221,
   _xlpm.pos,MAX(IF((_xlpm.rng&lt;&gt;0)*(_xlpm.rng&lt;&gt;""),COLUMN(_xlpm.rng)-COLUMN(Y221)+1)),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1" s="6" t="str" cm="1">
        <f t="array" ref="U221">IF(R221="Churn",
   MAX(IF((Y221:BF221&lt;&gt;"")*(Y221:BF221&lt;&gt;0), COLUMN(Y221:BF221)-COLUMN(Y221)+1))
   -MATCH(1, --((Y221:BF221&lt;&gt;"")*(Y221:BF221&lt;&gt;0)), 0)
   +1,
"")</f>
        <v/>
      </c>
      <c r="V221" s="6" t="str" cm="1">
        <f t="array" ref="V221">IFERROR(
    IF(
        MATCH(2,1/((Y221:BF221&lt;&gt;0)*(Y221:BF221&lt;&gt;"")))-MATCH(1,INDEX((Y221:BF221&lt;&gt;0)*(Y221:BF221&lt;&gt;""),0),0)+1 &lt;= 12,
        "No",
        "Yes"
    ),
    "No"
)</f>
        <v>Yes</v>
      </c>
      <c r="W221" s="6" t="str" cm="1">
        <f t="array" ref="W221">IFERROR(
    IF(
        MATCH(2,1/((Y221:BF221&lt;&gt;0)*(Y221:BF221&lt;&gt;"")))-MATCH(1,INDEX((Y221:BF221&lt;&gt;0)*(Y221:BF221&lt;&gt;""),0),0)+1 &lt;= 24,
        "No",
        "Yes"
    ),
    "No"
)</f>
        <v>Yes</v>
      </c>
      <c r="X221" s="6"/>
      <c r="Y221" s="8">
        <v>0</v>
      </c>
      <c r="Z221" s="8">
        <v>0</v>
      </c>
      <c r="AA221" s="8">
        <v>0</v>
      </c>
      <c r="AB221" s="8">
        <v>0</v>
      </c>
      <c r="AC221" s="8">
        <v>300</v>
      </c>
      <c r="AD221" s="8">
        <v>300</v>
      </c>
      <c r="AE221" s="8">
        <v>300</v>
      </c>
      <c r="AF221" s="8">
        <v>300</v>
      </c>
      <c r="AG221" s="8">
        <v>300</v>
      </c>
      <c r="AH221" s="8">
        <v>300</v>
      </c>
      <c r="AI221" s="8">
        <v>300</v>
      </c>
      <c r="AJ221" s="8">
        <v>300</v>
      </c>
      <c r="AK221" s="8">
        <v>300</v>
      </c>
      <c r="AL221" s="8">
        <v>300</v>
      </c>
      <c r="AM221" s="8">
        <v>300</v>
      </c>
      <c r="AN221" s="8">
        <v>300</v>
      </c>
      <c r="AO221" s="8">
        <v>300</v>
      </c>
      <c r="AP221" s="8">
        <v>300</v>
      </c>
      <c r="AQ221" s="8">
        <v>300</v>
      </c>
      <c r="AR221" s="8">
        <v>300</v>
      </c>
      <c r="AS221" s="8">
        <v>300</v>
      </c>
      <c r="AT221" s="8">
        <v>300</v>
      </c>
      <c r="AU221" s="8">
        <v>300</v>
      </c>
      <c r="AV221" s="8">
        <v>300</v>
      </c>
      <c r="AW221" s="8">
        <v>365.99985399999997</v>
      </c>
      <c r="AX221" s="8">
        <v>365.99985399999997</v>
      </c>
      <c r="AY221" s="8">
        <v>365.99985399999997</v>
      </c>
      <c r="AZ221" s="8">
        <v>365.99985399999991</v>
      </c>
      <c r="BA221" s="8">
        <v>365.99985399999997</v>
      </c>
      <c r="BB221" s="8">
        <v>365.99985399999997</v>
      </c>
      <c r="BC221" s="8">
        <v>365.99985399999997</v>
      </c>
      <c r="BD221" s="8">
        <v>365.99985399999997</v>
      </c>
      <c r="BE221" s="8">
        <v>365.99985399999997</v>
      </c>
      <c r="BF221" s="8">
        <v>365.99985399999997</v>
      </c>
      <c r="BH221" s="8">
        <f t="shared" si="44"/>
        <v>2400</v>
      </c>
      <c r="BI221" s="8">
        <f t="shared" si="45"/>
        <v>3600</v>
      </c>
      <c r="BJ221" s="8">
        <f t="shared" si="46"/>
        <v>3659.9985400000005</v>
      </c>
    </row>
    <row r="222" spans="1:62" x14ac:dyDescent="0.25">
      <c r="A222" s="9" t="s">
        <v>66</v>
      </c>
      <c r="B222" s="9" t="s">
        <v>644</v>
      </c>
      <c r="C222" s="10">
        <v>44927</v>
      </c>
      <c r="D222" s="6" cm="1">
        <f t="array" ref="D222">_xlfn.LET(
  _xlpm.aralık, Y222:BF222,
  _xlpm.ilk, MATCH(TRUE, _xlpm.aralık&lt;&gt;0, 0),
  _xlpm.son, MIN(_xlpm.ilk+2, COLUMNS(_xlpm.aralık)),
  MAX(INDEX(_xlpm.aralık, _xlpm.ilk):INDEX(_xlpm.aralık, _xlpm.son))
)</f>
        <v>300</v>
      </c>
      <c r="E222" s="6">
        <f t="shared" si="39"/>
        <v>318</v>
      </c>
      <c r="F222" s="6">
        <f t="shared" si="40"/>
        <v>365.7</v>
      </c>
      <c r="G222" s="6">
        <f t="shared" si="47"/>
        <v>365.7</v>
      </c>
      <c r="H222" s="7">
        <f t="shared" si="41"/>
        <v>0.06</v>
      </c>
      <c r="I222" s="7">
        <f t="shared" si="42"/>
        <v>0.21899999999999997</v>
      </c>
      <c r="J222" s="7">
        <f t="shared" si="43"/>
        <v>0.14999999999999997</v>
      </c>
      <c r="K222" s="7">
        <f t="shared" si="48"/>
        <v>0.21899999999999997</v>
      </c>
      <c r="L222" s="5" t="s">
        <v>418</v>
      </c>
      <c r="M222" s="7">
        <f>IF(R222="",(VLOOKUP(A222,[1]Export!$B$2:$H$680,7,0)),"CHURN")</f>
        <v>0</v>
      </c>
      <c r="N222" s="5">
        <f t="shared" si="49"/>
        <v>365.7</v>
      </c>
      <c r="O222" s="5">
        <f t="shared" si="50"/>
        <v>318</v>
      </c>
      <c r="P222" s="5">
        <f t="shared" si="51"/>
        <v>365.7</v>
      </c>
      <c r="Q222" s="5" t="s">
        <v>430</v>
      </c>
      <c r="T222" s="6" t="str" cm="1">
        <f t="array" ref="T222">IF(R222&lt;&gt;"Churn","",
 _xlfn.LET(
   _xlpm.rng,Y222:BF222,
   _xlpm.pos,MAX(IF((_xlpm.rng&lt;&gt;0)*(_xlpm.rng&lt;&gt;""),COLUMN(_xlpm.rng)-COLUMN(Y222)+1)),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2" s="6" t="str" cm="1">
        <f t="array" ref="U222">IF(R222="Churn",
   MAX(IF((Y222:BF222&lt;&gt;"")*(Y222:BF222&lt;&gt;0), COLUMN(Y222:BF222)-COLUMN(Y222)+1))
   -MATCH(1, --((Y222:BF222&lt;&gt;"")*(Y222:BF222&lt;&gt;0)), 0)
   +1,
"")</f>
        <v/>
      </c>
      <c r="V222" s="6" t="str" cm="1">
        <f t="array" ref="V222">IFERROR(
    IF(
        MATCH(2,1/((Y222:BF222&lt;&gt;0)*(Y222:BF222&lt;&gt;"")))-MATCH(1,INDEX((Y222:BF222&lt;&gt;0)*(Y222:BF222&lt;&gt;""),0),0)+1 &lt;= 12,
        "No",
        "Yes"
    ),
    "No"
)</f>
        <v>Yes</v>
      </c>
      <c r="W222" s="6" t="str" cm="1">
        <f t="array" ref="W222">IFERROR(
    IF(
        MATCH(2,1/((Y222:BF222&lt;&gt;0)*(Y222:BF222&lt;&gt;"")))-MATCH(1,INDEX((Y222:BF222&lt;&gt;0)*(Y222:BF222&lt;&gt;""),0),0)+1 &lt;= 24,
        "No",
        "Yes"
    ),
    "No"
)</f>
        <v>Yes</v>
      </c>
      <c r="Y222" s="8">
        <v>300</v>
      </c>
      <c r="Z222" s="8">
        <v>300</v>
      </c>
      <c r="AA222" s="8">
        <v>300</v>
      </c>
      <c r="AB222" s="8">
        <v>300</v>
      </c>
      <c r="AC222" s="8">
        <v>300</v>
      </c>
      <c r="AD222" s="8">
        <v>300</v>
      </c>
      <c r="AE222" s="8">
        <v>300</v>
      </c>
      <c r="AF222" s="8">
        <v>318</v>
      </c>
      <c r="AG222" s="8">
        <v>318</v>
      </c>
      <c r="AH222" s="8">
        <v>318</v>
      </c>
      <c r="AI222" s="8">
        <v>318</v>
      </c>
      <c r="AJ222" s="8">
        <v>318</v>
      </c>
      <c r="AK222" s="8">
        <v>318</v>
      </c>
      <c r="AL222" s="8">
        <v>318</v>
      </c>
      <c r="AM222" s="8">
        <v>318</v>
      </c>
      <c r="AN222" s="8">
        <v>318</v>
      </c>
      <c r="AO222" s="8">
        <v>318</v>
      </c>
      <c r="AP222" s="8">
        <v>318</v>
      </c>
      <c r="AQ222" s="8">
        <v>318</v>
      </c>
      <c r="AR222" s="8">
        <v>318</v>
      </c>
      <c r="AS222" s="8">
        <v>318</v>
      </c>
      <c r="AT222" s="8">
        <v>318</v>
      </c>
      <c r="AU222" s="8">
        <v>318</v>
      </c>
      <c r="AV222" s="8">
        <v>318</v>
      </c>
      <c r="AW222" s="8">
        <v>365.7</v>
      </c>
      <c r="AX222" s="8">
        <v>365.7</v>
      </c>
      <c r="AY222" s="8">
        <v>365.7</v>
      </c>
      <c r="AZ222" s="8">
        <v>365.7</v>
      </c>
      <c r="BA222" s="8">
        <v>365.7</v>
      </c>
      <c r="BB222" s="8">
        <v>365.7</v>
      </c>
      <c r="BC222" s="8">
        <v>365.7</v>
      </c>
      <c r="BD222" s="8">
        <v>365.7</v>
      </c>
      <c r="BE222" s="8">
        <v>365.7</v>
      </c>
      <c r="BF222" s="8">
        <v>365.7</v>
      </c>
      <c r="BH222" s="8">
        <f t="shared" si="44"/>
        <v>3690</v>
      </c>
      <c r="BI222" s="8">
        <f t="shared" si="45"/>
        <v>3816</v>
      </c>
      <c r="BJ222" s="8">
        <f t="shared" si="46"/>
        <v>3656.9999999999991</v>
      </c>
    </row>
    <row r="223" spans="1:62" x14ac:dyDescent="0.25">
      <c r="A223" s="9" t="s">
        <v>372</v>
      </c>
      <c r="B223" s="9" t="s">
        <v>644</v>
      </c>
      <c r="C223" s="10">
        <v>44927</v>
      </c>
      <c r="D223" s="6" cm="1">
        <f t="array" ref="D223">_xlfn.LET(
  _xlpm.aralık, Y223:BF223,
  _xlpm.ilk, MATCH(TRUE, _xlpm.aralık&lt;&gt;0, 0),
  _xlpm.son, MIN(_xlpm.ilk+2, COLUMNS(_xlpm.aralık)),
  MAX(INDEX(_xlpm.aralık, _xlpm.ilk):INDEX(_xlpm.aralık, _xlpm.son))
)</f>
        <v>179.65950006130623</v>
      </c>
      <c r="E223" s="6">
        <f t="shared" si="39"/>
        <v>196.99449999999999</v>
      </c>
      <c r="F223" s="6">
        <f t="shared" si="40"/>
        <v>364.49450000000002</v>
      </c>
      <c r="G223" s="6">
        <f t="shared" si="47"/>
        <v>364.49450000000002</v>
      </c>
      <c r="H223" s="7">
        <f t="shared" si="41"/>
        <v>9.6488078463863231E-2</v>
      </c>
      <c r="I223" s="7">
        <f t="shared" si="42"/>
        <v>1.0288072708407932</v>
      </c>
      <c r="J223" s="7">
        <f t="shared" si="43"/>
        <v>0.8502775458198073</v>
      </c>
      <c r="K223" s="7">
        <f t="shared" si="48"/>
        <v>1.0288072708407932</v>
      </c>
      <c r="L223" s="5" t="s">
        <v>418</v>
      </c>
      <c r="M223" s="7">
        <f>IF(R223="",(VLOOKUP(A223,[1]Export!$B$2:$H$680,7,0)),"CHURN")</f>
        <v>0.24966083164492192</v>
      </c>
      <c r="N223" s="5">
        <f t="shared" si="49"/>
        <v>273.49450000000002</v>
      </c>
      <c r="O223" s="5">
        <f t="shared" si="50"/>
        <v>147.81268930052443</v>
      </c>
      <c r="P223" s="5">
        <f t="shared" si="51"/>
        <v>273.49450000000002</v>
      </c>
      <c r="Q223" s="5" t="s">
        <v>430</v>
      </c>
      <c r="T223" s="6" t="str" cm="1">
        <f t="array" ref="T223">IF(R223&lt;&gt;"Churn","",
 _xlfn.LET(
   _xlpm.rng,Y223:BF223,
   _xlpm.pos,MAX(IF((_xlpm.rng&lt;&gt;0)*(_xlpm.rng&lt;&gt;""),COLUMN(_xlpm.rng)-COLUMN(Y223)+1)),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3" s="6" t="str" cm="1">
        <f t="array" ref="U223">IF(R223="Churn",
   MAX(IF((Y223:BF223&lt;&gt;"")*(Y223:BF223&lt;&gt;0), COLUMN(Y223:BF223)-COLUMN(Y223)+1))
   -MATCH(1, --((Y223:BF223&lt;&gt;"")*(Y223:BF223&lt;&gt;0)), 0)
   +1,
"")</f>
        <v/>
      </c>
      <c r="V223" s="6" t="str" cm="1">
        <f t="array" ref="V223">IFERROR(
    IF(
        MATCH(2,1/((Y223:BF223&lt;&gt;0)*(Y223:BF223&lt;&gt;"")))-MATCH(1,INDEX((Y223:BF223&lt;&gt;0)*(Y223:BF223&lt;&gt;""),0),0)+1 &lt;= 12,
        "No",
        "Yes"
    ),
    "No"
)</f>
        <v>Yes</v>
      </c>
      <c r="W223" s="6" t="str" cm="1">
        <f t="array" ref="W223">IFERROR(
    IF(
        MATCH(2,1/((Y223:BF223&lt;&gt;0)*(Y223:BF223&lt;&gt;"")))-MATCH(1,INDEX((Y223:BF223&lt;&gt;0)*(Y223:BF223&lt;&gt;""),0),0)+1 &lt;= 24,
        "No",
        "Yes"
    ),
    "No"
)</f>
        <v>Yes</v>
      </c>
      <c r="Y223" s="8">
        <v>179.65950006130623</v>
      </c>
      <c r="Z223" s="8">
        <v>179.03530124258253</v>
      </c>
      <c r="AA223" s="8">
        <v>177.71919148240531</v>
      </c>
      <c r="AB223" s="8">
        <v>174.56176027265997</v>
      </c>
      <c r="AC223" s="8">
        <v>179.4503841619578</v>
      </c>
      <c r="AD223" s="8">
        <v>150.91107996307818</v>
      </c>
      <c r="AE223" s="8">
        <v>133.74083036989066</v>
      </c>
      <c r="AF223" s="8">
        <v>197.4867486800697</v>
      </c>
      <c r="AG223" s="8">
        <v>195.53106428155149</v>
      </c>
      <c r="AH223" s="8">
        <v>194.3774704517156</v>
      </c>
      <c r="AI223" s="8">
        <v>195.43958100822519</v>
      </c>
      <c r="AJ223" s="8">
        <v>197</v>
      </c>
      <c r="AK223" s="8">
        <v>196.99449999999999</v>
      </c>
      <c r="AL223" s="8">
        <v>351.99450000000002</v>
      </c>
      <c r="AM223" s="8">
        <v>364.49450000000002</v>
      </c>
      <c r="AN223" s="8">
        <v>364.49450000000002</v>
      </c>
      <c r="AO223" s="8">
        <v>364.49450000000002</v>
      </c>
      <c r="AP223" s="8">
        <v>364.49450000000002</v>
      </c>
      <c r="AQ223" s="8">
        <v>364.49450000000002</v>
      </c>
      <c r="AR223" s="8">
        <v>364.49450000000002</v>
      </c>
      <c r="AS223" s="8">
        <v>364.49450000000002</v>
      </c>
      <c r="AT223" s="8">
        <v>364.49450000000002</v>
      </c>
      <c r="AU223" s="8">
        <v>364.49450000000002</v>
      </c>
      <c r="AV223" s="8">
        <v>364.49450000000002</v>
      </c>
      <c r="AW223" s="8">
        <v>364.49450000000002</v>
      </c>
      <c r="AX223" s="8">
        <v>364.49450000000002</v>
      </c>
      <c r="AY223" s="8">
        <v>364.49450000000002</v>
      </c>
      <c r="AZ223" s="8">
        <v>364.49450000000002</v>
      </c>
      <c r="BA223" s="8">
        <v>364.49450000000002</v>
      </c>
      <c r="BB223" s="8">
        <v>364.49450000000002</v>
      </c>
      <c r="BC223" s="8">
        <v>364.49450000000002</v>
      </c>
      <c r="BD223" s="8">
        <v>364.49450000000002</v>
      </c>
      <c r="BE223" s="8">
        <v>364.49450000000002</v>
      </c>
      <c r="BF223" s="8">
        <v>364.49450000000002</v>
      </c>
      <c r="BH223" s="8">
        <f t="shared" si="44"/>
        <v>2154.9129119754425</v>
      </c>
      <c r="BI223" s="8">
        <f t="shared" si="45"/>
        <v>4193.9339999999993</v>
      </c>
      <c r="BJ223" s="8">
        <f t="shared" si="46"/>
        <v>3644.9449999999997</v>
      </c>
    </row>
    <row r="224" spans="1:62" x14ac:dyDescent="0.25">
      <c r="A224" s="9" t="s">
        <v>473</v>
      </c>
      <c r="B224" s="9" t="s">
        <v>644</v>
      </c>
      <c r="C224" s="10">
        <f>VLOOKUP(A224,'[2]Revenue_Engine_2025 Oct.25'!$C$14:G$3937,5,0)</f>
        <v>45689</v>
      </c>
      <c r="D224" s="6" cm="1">
        <f t="array" ref="D224">_xlfn.LET(
  _xlpm.aralık, Y224:BF224,
  _xlpm.ilk, MATCH(TRUE, _xlpm.aralık&lt;&gt;0, 0),
  _xlpm.son, MIN(_xlpm.ilk+2, COLUMNS(_xlpm.aralık)),
  MAX(INDEX(_xlpm.aralık, _xlpm.ilk):INDEX(_xlpm.aralık, _xlpm.son))
)</f>
        <v>415.82445833298692</v>
      </c>
      <c r="E224" s="6">
        <f t="shared" si="39"/>
        <v>0</v>
      </c>
      <c r="F224" s="6">
        <f t="shared" si="40"/>
        <v>0</v>
      </c>
      <c r="G224" s="6">
        <f t="shared" si="47"/>
        <v>364.06869635377848</v>
      </c>
      <c r="H224" s="7">
        <f t="shared" si="41"/>
        <v>-1</v>
      </c>
      <c r="I224" s="7">
        <f t="shared" si="42"/>
        <v>-1</v>
      </c>
      <c r="J224" s="7" t="e">
        <f t="shared" si="43"/>
        <v>#DIV/0!</v>
      </c>
      <c r="K224" s="7">
        <f t="shared" si="48"/>
        <v>-0.12446541068482098</v>
      </c>
      <c r="L224" s="5" t="s">
        <v>418</v>
      </c>
      <c r="M224" s="7">
        <f>IF(R224="",(VLOOKUP(A224,[1]Export!$B$2:$H$680,7,0)),"CHURN")</f>
        <v>0.22692785882682456</v>
      </c>
      <c r="N224" s="5">
        <f t="shared" si="49"/>
        <v>281.4513666243422</v>
      </c>
      <c r="O224" s="5">
        <f t="shared" si="50"/>
        <v>0</v>
      </c>
      <c r="P224" s="5">
        <f t="shared" si="51"/>
        <v>0</v>
      </c>
      <c r="Q224" s="5" t="s">
        <v>430</v>
      </c>
      <c r="T224" s="6" t="str" cm="1">
        <f t="array" ref="T224">IF(R224&lt;&gt;"Churn","",
 _xlfn.LET(
   _xlpm.rng,Y224:BF224,
   _xlpm.pos,MAX(IF((_xlpm.rng&lt;&gt;0)*(_xlpm.rng&lt;&gt;""),COLUMN(_xlpm.rng)-COLUMN(Y224)+1)),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4" s="6" t="str" cm="1">
        <f t="array" ref="U224">IF(R224="Churn",
   MAX(IF((Y224:BF224&lt;&gt;"")*(Y224:BF224&lt;&gt;0), COLUMN(Y224:BF224)-COLUMN(Y224)+1))
   -MATCH(1, --((Y224:BF224&lt;&gt;"")*(Y224:BF224&lt;&gt;0)), 0)
   +1,
"")</f>
        <v/>
      </c>
      <c r="V224" s="6" t="str" cm="1">
        <f t="array" ref="V224">IFERROR(
    IF(
        MATCH(2,1/((Y224:BF224&lt;&gt;0)*(Y224:BF224&lt;&gt;"")))-MATCH(1,INDEX((Y224:BF224&lt;&gt;0)*(Y224:BF224&lt;&gt;""),0),0)+1 &lt;= 12,
        "No",
        "Yes"
    ),
    "No"
)</f>
        <v>No</v>
      </c>
      <c r="W224" s="6" t="str" cm="1">
        <f t="array" ref="W224">IFERROR(
    IF(
        MATCH(2,1/((Y224:BF224&lt;&gt;0)*(Y224:BF224&lt;&gt;"")))-MATCH(1,INDEX((Y224:BF224&lt;&gt;0)*(Y224:BF224&lt;&gt;""),0),0)+1 &lt;= 24,
        "No",
        "Yes"
    ),
    "No"
)</f>
        <v>No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415.82445833298692</v>
      </c>
      <c r="AY224" s="8">
        <v>410.03350762291683</v>
      </c>
      <c r="AZ224" s="8">
        <v>399.20267292445499</v>
      </c>
      <c r="BA224" s="8">
        <v>392.58713326297533</v>
      </c>
      <c r="BB224" s="8">
        <v>385.99956038795983</v>
      </c>
      <c r="BC224" s="8">
        <v>378.66295005120742</v>
      </c>
      <c r="BD224" s="8">
        <v>372.90188733867643</v>
      </c>
      <c r="BE224" s="8">
        <v>368.44360373013529</v>
      </c>
      <c r="BF224" s="8">
        <v>364.06869635377848</v>
      </c>
      <c r="BH224" s="8">
        <f t="shared" si="44"/>
        <v>0</v>
      </c>
      <c r="BI224" s="8">
        <f t="shared" si="45"/>
        <v>0</v>
      </c>
      <c r="BJ224" s="8">
        <f t="shared" si="46"/>
        <v>3487.7244700050915</v>
      </c>
    </row>
    <row r="225" spans="1:62" x14ac:dyDescent="0.25">
      <c r="A225" s="9" t="s">
        <v>47</v>
      </c>
      <c r="B225" s="9" t="s">
        <v>644</v>
      </c>
      <c r="C225" s="10">
        <v>44927</v>
      </c>
      <c r="D225" s="6" cm="1">
        <f t="array" ref="D225">_xlfn.LET(
  _xlpm.aralık, Y225:BF225,
  _xlpm.ilk, MATCH(TRUE, _xlpm.aralık&lt;&gt;0, 0),
  _xlpm.son, MIN(_xlpm.ilk+2, COLUMNS(_xlpm.aralık)),
  MAX(INDEX(_xlpm.aralık, _xlpm.ilk):INDEX(_xlpm.aralık, _xlpm.son))
)</f>
        <v>209.68677783857584</v>
      </c>
      <c r="E225" s="6">
        <f t="shared" si="39"/>
        <v>222.42032406496639</v>
      </c>
      <c r="F225" s="6">
        <f t="shared" si="40"/>
        <v>374.25572546773151</v>
      </c>
      <c r="G225" s="6">
        <f t="shared" si="47"/>
        <v>352.01324439645975</v>
      </c>
      <c r="H225" s="7">
        <f t="shared" si="41"/>
        <v>6.0726510072052729E-2</v>
      </c>
      <c r="I225" s="7">
        <f t="shared" si="42"/>
        <v>0.7848322594562761</v>
      </c>
      <c r="J225" s="7">
        <f t="shared" si="43"/>
        <v>0.68265075163911615</v>
      </c>
      <c r="K225" s="7">
        <f t="shared" si="48"/>
        <v>0.67875746875872056</v>
      </c>
      <c r="L225" s="5" t="s">
        <v>412</v>
      </c>
      <c r="M225" s="7">
        <f>IF(R225="",(VLOOKUP(A225,[1]Export!$B$2:$H$680,7,0)),"CHURN")</f>
        <v>0.15670205484540747</v>
      </c>
      <c r="N225" s="5">
        <f t="shared" si="49"/>
        <v>296.85204566673588</v>
      </c>
      <c r="O225" s="5">
        <f t="shared" si="50"/>
        <v>187.56660224460472</v>
      </c>
      <c r="P225" s="5">
        <f t="shared" si="51"/>
        <v>315.60908424927931</v>
      </c>
      <c r="Q225" s="5" t="str">
        <f>VLOOKUP(A225,[4]Sheet2!$A$1:$B$142,2,0)</f>
        <v xml:space="preserve">NO RISK </v>
      </c>
      <c r="T225" s="6" t="str" cm="1">
        <f t="array" ref="T225">IF(R225&lt;&gt;"Churn","",
 _xlfn.LET(
   _xlpm.rng,Y225:BF225,
   _xlpm.pos,MAX(IF((_xlpm.rng&lt;&gt;0)*(_xlpm.rng&lt;&gt;""),COLUMN(_xlpm.rng)-COLUMN(Y225)+1)),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5" s="6" t="str" cm="1">
        <f t="array" ref="U225">IF(R225="Churn",
   MAX(IF((Y225:BF225&lt;&gt;"")*(Y225:BF225&lt;&gt;0), COLUMN(Y225:BF225)-COLUMN(Y225)+1))
   -MATCH(1, --((Y225:BF225&lt;&gt;"")*(Y225:BF225&lt;&gt;0)), 0)
   +1,
"")</f>
        <v/>
      </c>
      <c r="V225" s="6" t="str" cm="1">
        <f t="array" ref="V225">IFERROR(
    IF(
        MATCH(2,1/((Y225:BF225&lt;&gt;0)*(Y225:BF225&lt;&gt;"")))-MATCH(1,INDEX((Y225:BF225&lt;&gt;0)*(Y225:BF225&lt;&gt;""),0),0)+1 &lt;= 12,
        "No",
        "Yes"
    ),
    "No"
)</f>
        <v>Yes</v>
      </c>
      <c r="W225" s="6" t="str" cm="1">
        <f t="array" ref="W225">IFERROR(
    IF(
        MATCH(2,1/((Y225:BF225&lt;&gt;0)*(Y225:BF225&lt;&gt;"")))-MATCH(1,INDEX((Y225:BF225&lt;&gt;0)*(Y225:BF225&lt;&gt;""),0),0)+1 &lt;= 24,
        "No",
        "Yes"
    ),
    "No"
)</f>
        <v>Yes</v>
      </c>
      <c r="Y225" s="8">
        <v>193.97168186882607</v>
      </c>
      <c r="Z225" s="8">
        <v>209.68677783857584</v>
      </c>
      <c r="AA225" s="8">
        <v>209.10099087174564</v>
      </c>
      <c r="AB225" s="8">
        <v>207.69565059747956</v>
      </c>
      <c r="AC225" s="8">
        <v>206.22260432334647</v>
      </c>
      <c r="AD225" s="8">
        <v>194.10036729513519</v>
      </c>
      <c r="AE225" s="8">
        <v>216.52165214295724</v>
      </c>
      <c r="AF225" s="8">
        <v>215.08148296630418</v>
      </c>
      <c r="AG225" s="8">
        <v>215.01217763638996</v>
      </c>
      <c r="AH225" s="8">
        <v>212.71247904826697</v>
      </c>
      <c r="AI225" s="8">
        <v>225.72176010831652</v>
      </c>
      <c r="AJ225" s="8">
        <v>224.62607436465271</v>
      </c>
      <c r="AK225" s="8">
        <v>222.42032406496639</v>
      </c>
      <c r="AL225" s="8">
        <v>256.58688134036134</v>
      </c>
      <c r="AM225" s="8">
        <v>252.71290445576506</v>
      </c>
      <c r="AN225" s="8">
        <v>251.74367827465238</v>
      </c>
      <c r="AO225" s="8">
        <v>251.88373835520696</v>
      </c>
      <c r="AP225" s="8">
        <v>251.06681492820491</v>
      </c>
      <c r="AQ225" s="8">
        <v>280.36863988261041</v>
      </c>
      <c r="AR225" s="8">
        <v>278.33300366987783</v>
      </c>
      <c r="AS225" s="8">
        <v>277.27371099018239</v>
      </c>
      <c r="AT225" s="8">
        <v>276.70813047435377</v>
      </c>
      <c r="AU225" s="8">
        <v>276.20708112025284</v>
      </c>
      <c r="AV225" s="8">
        <v>274.80150632614004</v>
      </c>
      <c r="AW225" s="8">
        <v>374.25572546773151</v>
      </c>
      <c r="AX225" s="8">
        <v>371.6543768252622</v>
      </c>
      <c r="AY225" s="8">
        <v>368.03765764260368</v>
      </c>
      <c r="AZ225" s="8">
        <v>364.26177417399566</v>
      </c>
      <c r="BA225" s="8">
        <v>361.95544160230111</v>
      </c>
      <c r="BB225" s="8">
        <v>359.65885890950517</v>
      </c>
      <c r="BC225" s="8">
        <v>357.10114415737291</v>
      </c>
      <c r="BD225" s="8">
        <v>355.09270232777419</v>
      </c>
      <c r="BE225" s="8">
        <v>353.53843990529924</v>
      </c>
      <c r="BF225" s="8">
        <v>352.01324439645975</v>
      </c>
      <c r="BH225" s="8">
        <f t="shared" si="44"/>
        <v>2530.4536990619963</v>
      </c>
      <c r="BI225" s="8">
        <f t="shared" si="45"/>
        <v>3150.1064138825745</v>
      </c>
      <c r="BJ225" s="8">
        <f t="shared" si="46"/>
        <v>3617.5693654083052</v>
      </c>
    </row>
    <row r="226" spans="1:62" x14ac:dyDescent="0.25">
      <c r="A226" s="9" t="s">
        <v>185</v>
      </c>
      <c r="B226" s="9" t="s">
        <v>644</v>
      </c>
      <c r="C226" s="10">
        <v>44927</v>
      </c>
      <c r="D226" s="6" cm="1">
        <f t="array" ref="D226">_xlfn.LET(
  _xlpm.aralık, Y226:BF226,
  _xlpm.ilk, MATCH(TRUE, _xlpm.aralık&lt;&gt;0, 0),
  _xlpm.son, MIN(_xlpm.ilk+2, COLUMNS(_xlpm.aralık)),
  MAX(INDEX(_xlpm.aralık, _xlpm.ilk):INDEX(_xlpm.aralık, _xlpm.son))
)</f>
        <v>235</v>
      </c>
      <c r="E226" s="6">
        <f t="shared" si="39"/>
        <v>258.00110000000001</v>
      </c>
      <c r="F226" s="6">
        <f t="shared" si="40"/>
        <v>280.30110000000002</v>
      </c>
      <c r="G226" s="6">
        <f t="shared" si="47"/>
        <v>350.01761200000004</v>
      </c>
      <c r="H226" s="7">
        <f t="shared" si="41"/>
        <v>9.7877021276595783E-2</v>
      </c>
      <c r="I226" s="7">
        <f t="shared" si="42"/>
        <v>0.19277063829787242</v>
      </c>
      <c r="J226" s="7">
        <f t="shared" si="43"/>
        <v>8.6433740011186047E-2</v>
      </c>
      <c r="K226" s="7">
        <f t="shared" si="48"/>
        <v>0.48943664680851084</v>
      </c>
      <c r="L226" s="5" t="s">
        <v>419</v>
      </c>
      <c r="M226" s="7">
        <f>IF(R226="",(VLOOKUP(A226,[1]Export!$B$2:$H$680,7,0)),"CHURN")</f>
        <v>0.26449756191125601</v>
      </c>
      <c r="N226" s="5">
        <f t="shared" si="49"/>
        <v>257.43880700000005</v>
      </c>
      <c r="O226" s="5">
        <f t="shared" si="50"/>
        <v>189.76043807957788</v>
      </c>
      <c r="P226" s="5">
        <f t="shared" si="51"/>
        <v>206.16214244895687</v>
      </c>
      <c r="Q226" s="5" t="s">
        <v>430</v>
      </c>
      <c r="T226" s="6" t="str" cm="1">
        <f t="array" ref="T226">IF(R226&lt;&gt;"Churn","",
 _xlfn.LET(
   _xlpm.rng,Y226:BF226,
   _xlpm.pos,MAX(IF((_xlpm.rng&lt;&gt;0)*(_xlpm.rng&lt;&gt;""),COLUMN(_xlpm.rng)-COLUMN(Y226)+1)),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6" s="6" t="str" cm="1">
        <f t="array" ref="U226">IF(R226="Churn",
   MAX(IF((Y226:BF226&lt;&gt;"")*(Y226:BF226&lt;&gt;0), COLUMN(Y226:BF226)-COLUMN(Y226)+1))
   -MATCH(1, --((Y226:BF226&lt;&gt;"")*(Y226:BF226&lt;&gt;0)), 0)
   +1,
"")</f>
        <v/>
      </c>
      <c r="V226" s="6" t="str" cm="1">
        <f t="array" ref="V226">IFERROR(
    IF(
        MATCH(2,1/((Y226:BF226&lt;&gt;0)*(Y226:BF226&lt;&gt;"")))-MATCH(1,INDEX((Y226:BF226&lt;&gt;0)*(Y226:BF226&lt;&gt;""),0),0)+1 &lt;= 12,
        "No",
        "Yes"
    ),
    "No"
)</f>
        <v>Yes</v>
      </c>
      <c r="W226" s="6" t="str" cm="1">
        <f t="array" ref="W226">IFERROR(
    IF(
        MATCH(2,1/((Y226:BF226&lt;&gt;0)*(Y226:BF226&lt;&gt;"")))-MATCH(1,INDEX((Y226:BF226&lt;&gt;0)*(Y226:BF226&lt;&gt;""),0),0)+1 &lt;= 24,
        "No",
        "Yes"
    ),
    "No"
)</f>
        <v>Yes</v>
      </c>
      <c r="Y226" s="8">
        <v>235</v>
      </c>
      <c r="Z226" s="8">
        <v>235</v>
      </c>
      <c r="AA226" s="8">
        <v>235</v>
      </c>
      <c r="AB226" s="8">
        <v>244</v>
      </c>
      <c r="AC226" s="8">
        <v>244.00110000000001</v>
      </c>
      <c r="AD226" s="8">
        <v>244.00110000000001</v>
      </c>
      <c r="AE226" s="8">
        <v>244.00110000000001</v>
      </c>
      <c r="AF226" s="8">
        <v>244.00110000000001</v>
      </c>
      <c r="AG226" s="8">
        <v>244.00110000000001</v>
      </c>
      <c r="AH226" s="8">
        <v>244.00110000000001</v>
      </c>
      <c r="AI226" s="8">
        <v>244.00110000000001</v>
      </c>
      <c r="AJ226" s="8">
        <v>244.00110000000001</v>
      </c>
      <c r="AK226" s="8">
        <v>258.00110000000001</v>
      </c>
      <c r="AL226" s="8">
        <v>258.00110000000001</v>
      </c>
      <c r="AM226" s="8">
        <v>258.00110000000001</v>
      </c>
      <c r="AN226" s="8">
        <v>258.00110000000001</v>
      </c>
      <c r="AO226" s="8">
        <v>258.00110000000001</v>
      </c>
      <c r="AP226" s="8">
        <v>258.00110000000001</v>
      </c>
      <c r="AQ226" s="8">
        <v>258.00110000000001</v>
      </c>
      <c r="AR226" s="8">
        <v>258.00110000000001</v>
      </c>
      <c r="AS226" s="8">
        <v>258.00110000000001</v>
      </c>
      <c r="AT226" s="8">
        <v>258.00110000000001</v>
      </c>
      <c r="AU226" s="8">
        <v>280.30110000000002</v>
      </c>
      <c r="AV226" s="8">
        <v>280.30110000000002</v>
      </c>
      <c r="AW226" s="8">
        <v>280.30110000000002</v>
      </c>
      <c r="AX226" s="8">
        <v>280.30110000000002</v>
      </c>
      <c r="AY226" s="8">
        <v>280.30110000000002</v>
      </c>
      <c r="AZ226" s="8">
        <v>280.30110000000002</v>
      </c>
      <c r="BA226" s="8">
        <v>280.30110000000002</v>
      </c>
      <c r="BB226" s="8">
        <v>280.30110000000002</v>
      </c>
      <c r="BC226" s="8">
        <v>280.30110000000002</v>
      </c>
      <c r="BD226" s="8">
        <v>280.30110000000002</v>
      </c>
      <c r="BE226" s="8">
        <v>350.01761200000004</v>
      </c>
      <c r="BF226" s="8">
        <v>350.01761200000004</v>
      </c>
      <c r="BH226" s="8">
        <f t="shared" si="44"/>
        <v>2901.0087999999996</v>
      </c>
      <c r="BI226" s="8">
        <f t="shared" si="45"/>
        <v>3140.6132000000002</v>
      </c>
      <c r="BJ226" s="8">
        <f t="shared" si="46"/>
        <v>2942.4440240000008</v>
      </c>
    </row>
    <row r="227" spans="1:62" x14ac:dyDescent="0.25">
      <c r="A227" s="9" t="s">
        <v>359</v>
      </c>
      <c r="B227" s="9" t="s">
        <v>644</v>
      </c>
      <c r="C227" s="10">
        <v>44927</v>
      </c>
      <c r="D227" s="6" cm="1">
        <f t="array" ref="D227">_xlfn.LET(
  _xlpm.aralık, Y227:BF227,
  _xlpm.ilk, MATCH(TRUE, _xlpm.aralık&lt;&gt;0, 0),
  _xlpm.son, MIN(_xlpm.ilk+2, COLUMNS(_xlpm.aralık)),
  MAX(INDEX(_xlpm.aralık, _xlpm.ilk):INDEX(_xlpm.aralık, _xlpm.son))
)</f>
        <v>1077.4000000000001</v>
      </c>
      <c r="E227" s="6">
        <f t="shared" si="39"/>
        <v>1095.0019199999999</v>
      </c>
      <c r="F227" s="6">
        <f t="shared" si="40"/>
        <v>350</v>
      </c>
      <c r="G227" s="6">
        <f t="shared" si="47"/>
        <v>350</v>
      </c>
      <c r="H227" s="7">
        <f t="shared" si="41"/>
        <v>1.6337404863560268E-2</v>
      </c>
      <c r="I227" s="7">
        <f t="shared" si="42"/>
        <v>-0.67514386485984779</v>
      </c>
      <c r="J227" s="7">
        <f t="shared" si="43"/>
        <v>-0.68036585725804022</v>
      </c>
      <c r="K227" s="7">
        <f t="shared" si="48"/>
        <v>-0.67514386485984779</v>
      </c>
      <c r="L227" s="5" t="s">
        <v>418</v>
      </c>
      <c r="M227" s="7">
        <f>IF(R227="",(VLOOKUP(A227,[1]Export!$B$2:$H$680,7,0)),"CHURN")</f>
        <v>8.5714285714285715E-2</v>
      </c>
      <c r="N227" s="5">
        <f t="shared" si="49"/>
        <v>320</v>
      </c>
      <c r="O227" s="5">
        <f t="shared" si="50"/>
        <v>1001.1446125714285</v>
      </c>
      <c r="P227" s="5">
        <f t="shared" si="51"/>
        <v>320</v>
      </c>
      <c r="Q227" s="5" t="s">
        <v>430</v>
      </c>
      <c r="T227" s="6" t="str" cm="1">
        <f t="array" ref="T227">IF(R227&lt;&gt;"Churn","",
 _xlfn.LET(
   _xlpm.rng,Y227:BF227,
   _xlpm.pos,MAX(IF((_xlpm.rng&lt;&gt;0)*(_xlpm.rng&lt;&gt;""),COLUMN(_xlpm.rng)-COLUMN(Y227)+1)),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7" s="6" t="str" cm="1">
        <f t="array" ref="U227">IF(R227="Churn",
   MAX(IF((Y227:BF227&lt;&gt;"")*(Y227:BF227&lt;&gt;0), COLUMN(Y227:BF227)-COLUMN(Y227)+1))
   -MATCH(1, --((Y227:BF227&lt;&gt;"")*(Y227:BF227&lt;&gt;0)), 0)
   +1,
"")</f>
        <v/>
      </c>
      <c r="V227" s="6" t="str" cm="1">
        <f t="array" ref="V227">IFERROR(
    IF(
        MATCH(2,1/((Y227:BF227&lt;&gt;0)*(Y227:BF227&lt;&gt;"")))-MATCH(1,INDEX((Y227:BF227&lt;&gt;0)*(Y227:BF227&lt;&gt;""),0),0)+1 &lt;= 12,
        "No",
        "Yes"
    ),
    "No"
)</f>
        <v>Yes</v>
      </c>
      <c r="W227" s="6" t="str" cm="1">
        <f t="array" ref="W227">IFERROR(
    IF(
        MATCH(2,1/((Y227:BF227&lt;&gt;0)*(Y227:BF227&lt;&gt;"")))-MATCH(1,INDEX((Y227:BF227&lt;&gt;0)*(Y227:BF227&lt;&gt;""),0),0)+1 &lt;= 24,
        "No",
        "Yes"
    ),
    "No"
)</f>
        <v>Yes</v>
      </c>
      <c r="Y227" s="8">
        <v>1077.4000000000001</v>
      </c>
      <c r="Z227" s="8">
        <v>1053.4000000000001</v>
      </c>
      <c r="AA227" s="8">
        <v>1053.4000000000001</v>
      </c>
      <c r="AB227" s="8">
        <v>1053.4000000000001</v>
      </c>
      <c r="AC227" s="8">
        <v>1053.4000000000001</v>
      </c>
      <c r="AD227" s="8">
        <v>1053.4000000000001</v>
      </c>
      <c r="AE227" s="8">
        <v>1053.4000000000001</v>
      </c>
      <c r="AF227" s="8">
        <v>1116.604</v>
      </c>
      <c r="AG227" s="8">
        <v>1095.0019199999999</v>
      </c>
      <c r="AH227" s="8">
        <v>1113.4819199999999</v>
      </c>
      <c r="AI227" s="8">
        <v>1095.0019199999999</v>
      </c>
      <c r="AJ227" s="8">
        <v>1095.0019199999999</v>
      </c>
      <c r="AK227" s="8">
        <v>1095.0019199999999</v>
      </c>
      <c r="AL227" s="8">
        <v>1095.0019199999999</v>
      </c>
      <c r="AM227" s="8">
        <v>1095.0019199999999</v>
      </c>
      <c r="AN227" s="8">
        <v>350</v>
      </c>
      <c r="AO227" s="8">
        <v>350</v>
      </c>
      <c r="AP227" s="8">
        <v>350</v>
      </c>
      <c r="AQ227" s="8">
        <v>350</v>
      </c>
      <c r="AR227" s="8">
        <v>350</v>
      </c>
      <c r="AS227" s="8">
        <v>350</v>
      </c>
      <c r="AT227" s="8">
        <v>350</v>
      </c>
      <c r="AU227" s="8">
        <v>350</v>
      </c>
      <c r="AV227" s="8">
        <v>350</v>
      </c>
      <c r="AW227" s="8">
        <v>350</v>
      </c>
      <c r="AX227" s="8">
        <v>350</v>
      </c>
      <c r="AY227" s="8">
        <v>350</v>
      </c>
      <c r="AZ227" s="8">
        <v>350</v>
      </c>
      <c r="BA227" s="8">
        <v>350</v>
      </c>
      <c r="BB227" s="8">
        <v>350</v>
      </c>
      <c r="BC227" s="8">
        <v>350</v>
      </c>
      <c r="BD227" s="8">
        <v>350</v>
      </c>
      <c r="BE227" s="8">
        <v>350</v>
      </c>
      <c r="BF227" s="8">
        <v>350</v>
      </c>
      <c r="BH227" s="8">
        <f t="shared" si="44"/>
        <v>12912.891680000001</v>
      </c>
      <c r="BI227" s="8">
        <f t="shared" si="45"/>
        <v>6435.00576</v>
      </c>
      <c r="BJ227" s="8">
        <f t="shared" si="46"/>
        <v>3500</v>
      </c>
    </row>
    <row r="228" spans="1:62" x14ac:dyDescent="0.25">
      <c r="A228" s="9" t="s">
        <v>474</v>
      </c>
      <c r="B228" s="9" t="s">
        <v>644</v>
      </c>
      <c r="C228" s="10">
        <f>VLOOKUP(A228,'[2]Revenue_Engine_2025 Oct.25'!$C$14:G$3937,5,0)</f>
        <v>45856</v>
      </c>
      <c r="D228" s="6" cm="1">
        <f t="array" ref="D228">_xlfn.LET(
  _xlpm.aralık, Y228:BF228,
  _xlpm.ilk, MATCH(TRUE, _xlpm.aralık&lt;&gt;0, 0),
  _xlpm.son, MIN(_xlpm.ilk+2, COLUMNS(_xlpm.aralık)),
  MAX(INDEX(_xlpm.aralık, _xlpm.ilk):INDEX(_xlpm.aralık, _xlpm.son))
)</f>
        <v>350</v>
      </c>
      <c r="E228" s="6">
        <f t="shared" si="39"/>
        <v>0</v>
      </c>
      <c r="F228" s="6">
        <f t="shared" si="40"/>
        <v>0</v>
      </c>
      <c r="G228" s="6">
        <f t="shared" si="47"/>
        <v>350</v>
      </c>
      <c r="H228" s="7">
        <f t="shared" si="41"/>
        <v>-1</v>
      </c>
      <c r="I228" s="7">
        <f t="shared" si="42"/>
        <v>-1</v>
      </c>
      <c r="J228" s="7" t="e">
        <f t="shared" si="43"/>
        <v>#DIV/0!</v>
      </c>
      <c r="K228" s="7">
        <f t="shared" si="48"/>
        <v>0</v>
      </c>
      <c r="L228" s="5" t="s">
        <v>416</v>
      </c>
      <c r="M228" s="7">
        <f>IF(R228="",(VLOOKUP(A228,[1]Export!$B$2:$H$680,7,0)),"CHURN")</f>
        <v>8.8000000000000009E-2</v>
      </c>
      <c r="N228" s="5">
        <f t="shared" si="49"/>
        <v>319.2</v>
      </c>
      <c r="O228" s="5">
        <f t="shared" si="50"/>
        <v>0</v>
      </c>
      <c r="P228" s="5">
        <f t="shared" si="51"/>
        <v>0</v>
      </c>
      <c r="Q228" s="5" t="s">
        <v>430</v>
      </c>
      <c r="T228" s="6" t="str" cm="1">
        <f t="array" ref="T228">IF(R228&lt;&gt;"Churn","",
 _xlfn.LET(
   _xlpm.rng,Y228:BF228,
   _xlpm.pos,MAX(IF((_xlpm.rng&lt;&gt;0)*(_xlpm.rng&lt;&gt;""),COLUMN(_xlpm.rng)-COLUMN(Y228)+1)),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8" s="6" t="str" cm="1">
        <f t="array" ref="U228">IF(R228="Churn",
   MAX(IF((Y228:BF228&lt;&gt;"")*(Y228:BF228&lt;&gt;0), COLUMN(Y228:BF228)-COLUMN(Y228)+1))
   -MATCH(1, --((Y228:BF228&lt;&gt;"")*(Y228:BF228&lt;&gt;0)), 0)
   +1,
"")</f>
        <v/>
      </c>
      <c r="V228" s="6" t="str" cm="1">
        <f t="array" ref="V228">IFERROR(
    IF(
        MATCH(2,1/((Y228:BF228&lt;&gt;0)*(Y228:BF228&lt;&gt;"")))-MATCH(1,INDEX((Y228:BF228&lt;&gt;0)*(Y228:BF228&lt;&gt;""),0),0)+1 &lt;= 12,
        "No",
        "Yes"
    ),
    "No"
)</f>
        <v>No</v>
      </c>
      <c r="W228" s="6" t="str" cm="1">
        <f t="array" ref="W228">IFERROR(
    IF(
        MATCH(2,1/((Y228:BF228&lt;&gt;0)*(Y228:BF228&lt;&gt;"")))-MATCH(1,INDEX((Y228:BF228&lt;&gt;0)*(Y228:BF228&lt;&gt;""),0),0)+1 &lt;= 24,
        "No",
        "Yes"
    ),
    "No"
)</f>
        <v>No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350</v>
      </c>
      <c r="BD228" s="8">
        <v>350</v>
      </c>
      <c r="BE228" s="8">
        <v>350</v>
      </c>
      <c r="BF228" s="8">
        <v>350</v>
      </c>
      <c r="BH228" s="8">
        <f t="shared" si="44"/>
        <v>0</v>
      </c>
      <c r="BI228" s="8">
        <f t="shared" si="45"/>
        <v>0</v>
      </c>
      <c r="BJ228" s="8">
        <f t="shared" si="46"/>
        <v>1400</v>
      </c>
    </row>
    <row r="229" spans="1:62" x14ac:dyDescent="0.25">
      <c r="A229" s="9" t="s">
        <v>253</v>
      </c>
      <c r="B229" s="9" t="s">
        <v>644</v>
      </c>
      <c r="C229" s="10">
        <f>VLOOKUP(A229,'[2]Revenue_Engine_2025 Oct.25'!$C$14:G$3937,5,0)</f>
        <v>45273</v>
      </c>
      <c r="D229" s="6" cm="1">
        <f t="array" ref="D229">_xlfn.LET(
  _xlpm.aralık, Y229:BF229,
  _xlpm.ilk, MATCH(TRUE, _xlpm.aralık&lt;&gt;0, 0),
  _xlpm.son, MIN(_xlpm.ilk+2, COLUMNS(_xlpm.aralık)),
  MAX(INDEX(_xlpm.aralık, _xlpm.ilk):INDEX(_xlpm.aralık, _xlpm.son))
)</f>
        <v>125.00063383333332</v>
      </c>
      <c r="E229" s="6">
        <f t="shared" si="39"/>
        <v>338.33396716666664</v>
      </c>
      <c r="F229" s="6">
        <f t="shared" si="40"/>
        <v>0</v>
      </c>
      <c r="G229" s="6">
        <f t="shared" si="47"/>
        <v>348.33396716666664</v>
      </c>
      <c r="H229" s="7">
        <f t="shared" si="41"/>
        <v>1.70665801277277</v>
      </c>
      <c r="I229" s="7">
        <f t="shared" si="42"/>
        <v>-1</v>
      </c>
      <c r="J229" s="7">
        <f t="shared" si="43"/>
        <v>-1</v>
      </c>
      <c r="K229" s="7">
        <f t="shared" si="48"/>
        <v>1.7866576071214935</v>
      </c>
      <c r="L229" s="5" t="s">
        <v>416</v>
      </c>
      <c r="M229" s="7">
        <f>IF(R229="",(VLOOKUP(A229,[1]Export!$B$2:$H$680,7,0)),"CHURN")</f>
        <v>0.20191350819278872</v>
      </c>
      <c r="N229" s="5">
        <f t="shared" si="49"/>
        <v>278.00063383333327</v>
      </c>
      <c r="O229" s="5">
        <f t="shared" si="50"/>
        <v>270.01976891526118</v>
      </c>
      <c r="P229" s="5">
        <f t="shared" si="51"/>
        <v>0</v>
      </c>
      <c r="Q229" s="5" t="s">
        <v>430</v>
      </c>
      <c r="T229" s="6" t="str" cm="1">
        <f t="array" ref="T229">IF(R229&lt;&gt;"Churn","",
 _xlfn.LET(
   _xlpm.rng,Y229:BF229,
   _xlpm.pos,MAX(IF((_xlpm.rng&lt;&gt;0)*(_xlpm.rng&lt;&gt;""),COLUMN(_xlpm.rng)-COLUMN(Y229)+1)),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29" s="6" t="str" cm="1">
        <f t="array" ref="U229">IF(R229="Churn",
   MAX(IF((Y229:BF229&lt;&gt;"")*(Y229:BF229&lt;&gt;0), COLUMN(Y229:BF229)-COLUMN(Y229)+1))
   -MATCH(1, --((Y229:BF229&lt;&gt;"")*(Y229:BF229&lt;&gt;0)), 0)
   +1,
"")</f>
        <v/>
      </c>
      <c r="V229" s="6" t="str" cm="1">
        <f t="array" ref="V229">IFERROR(
    IF(
        MATCH(2,1/((Y229:BF229&lt;&gt;0)*(Y229:BF229&lt;&gt;"")))-MATCH(1,INDEX((Y229:BF229&lt;&gt;0)*(Y229:BF229&lt;&gt;""),0),0)+1 &lt;= 12,
        "No",
        "Yes"
    ),
    "No"
)</f>
        <v>Yes</v>
      </c>
      <c r="W229" s="6" t="str" cm="1">
        <f t="array" ref="W229">IFERROR(
    IF(
        MATCH(2,1/((Y229:BF229&lt;&gt;0)*(Y229:BF229&lt;&gt;"")))-MATCH(1,INDEX((Y229:BF229&lt;&gt;0)*(Y229:BF229&lt;&gt;""),0),0)+1 &lt;= 24,
        "No",
        "Yes"
    ),
    "No"
)</f>
        <v>No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125.00063383333332</v>
      </c>
      <c r="AK229" s="8">
        <v>125.00063383333332</v>
      </c>
      <c r="AL229" s="8">
        <v>125.00063383333332</v>
      </c>
      <c r="AM229" s="8">
        <v>125.00063383333332</v>
      </c>
      <c r="AN229" s="8">
        <v>125.00063383333332</v>
      </c>
      <c r="AO229" s="8">
        <v>125.00063383333332</v>
      </c>
      <c r="AP229" s="8">
        <v>125.00063383333332</v>
      </c>
      <c r="AQ229" s="8">
        <v>250.00063383333332</v>
      </c>
      <c r="AR229" s="8">
        <v>250.00063383333332</v>
      </c>
      <c r="AS229" s="8">
        <v>250.00063383333332</v>
      </c>
      <c r="AT229" s="8">
        <v>250.00063383333332</v>
      </c>
      <c r="AU229" s="8">
        <v>250.00063383333332</v>
      </c>
      <c r="AV229" s="8">
        <v>338.33396716666664</v>
      </c>
      <c r="AW229" s="8">
        <v>338.33396716666664</v>
      </c>
      <c r="AX229" s="8">
        <v>338.33396716666664</v>
      </c>
      <c r="AY229" s="8">
        <v>338.33396716666664</v>
      </c>
      <c r="AZ229" s="8">
        <v>338.33396716666664</v>
      </c>
      <c r="BA229" s="8">
        <v>338.33396716666664</v>
      </c>
      <c r="BB229" s="8">
        <v>338.33396716666664</v>
      </c>
      <c r="BC229" s="8">
        <v>338.33396716666664</v>
      </c>
      <c r="BD229" s="8">
        <v>348.33396716666664</v>
      </c>
      <c r="BE229" s="8">
        <v>348.33396716666664</v>
      </c>
      <c r="BF229" s="8">
        <v>348.33396716666664</v>
      </c>
      <c r="BH229" s="8">
        <f t="shared" si="44"/>
        <v>125.00063383333332</v>
      </c>
      <c r="BI229" s="8">
        <f t="shared" si="45"/>
        <v>2338.3409393333327</v>
      </c>
      <c r="BJ229" s="8">
        <f t="shared" si="46"/>
        <v>3413.3396716666671</v>
      </c>
    </row>
    <row r="230" spans="1:62" x14ac:dyDescent="0.25">
      <c r="A230" s="9" t="s">
        <v>392</v>
      </c>
      <c r="B230" s="9" t="s">
        <v>644</v>
      </c>
      <c r="C230" s="10">
        <v>44927</v>
      </c>
      <c r="D230" s="6" cm="1">
        <f t="array" ref="D230">_xlfn.LET(
  _xlpm.aralık, Y230:BF230,
  _xlpm.ilk, MATCH(TRUE, _xlpm.aralık&lt;&gt;0, 0),
  _xlpm.son, MIN(_xlpm.ilk+2, COLUMNS(_xlpm.aralık)),
  MAX(INDEX(_xlpm.aralık, _xlpm.ilk):INDEX(_xlpm.aralık, _xlpm.son))
)</f>
        <v>266.54867445344195</v>
      </c>
      <c r="E230" s="6">
        <f t="shared" si="39"/>
        <v>511.25079927578031</v>
      </c>
      <c r="F230" s="6">
        <f t="shared" si="40"/>
        <v>402.21342825295602</v>
      </c>
      <c r="G230" s="6">
        <f t="shared" si="47"/>
        <v>343.39754200588123</v>
      </c>
      <c r="H230" s="7">
        <f t="shared" si="41"/>
        <v>0.91803917361097398</v>
      </c>
      <c r="I230" s="7">
        <f t="shared" si="42"/>
        <v>0.508968030239485</v>
      </c>
      <c r="J230" s="7">
        <f t="shared" si="43"/>
        <v>-0.21327569791046341</v>
      </c>
      <c r="K230" s="7">
        <f t="shared" si="48"/>
        <v>0.28831082244178435</v>
      </c>
      <c r="L230" s="5" t="s">
        <v>418</v>
      </c>
      <c r="M230" s="7">
        <f>IF(R230="",(VLOOKUP(A230,[1]Export!$B$2:$H$680,7,0)),"CHURN")</f>
        <v>0.17151095399267888</v>
      </c>
      <c r="N230" s="5">
        <f t="shared" si="49"/>
        <v>284.50110197771153</v>
      </c>
      <c r="O230" s="5">
        <f t="shared" si="50"/>
        <v>423.56568696247166</v>
      </c>
      <c r="P230" s="5">
        <f t="shared" si="51"/>
        <v>333.22941946462561</v>
      </c>
      <c r="Q230" s="5" t="s">
        <v>430</v>
      </c>
      <c r="T230" s="6" t="str" cm="1">
        <f t="array" ref="T230">IF(R230&lt;&gt;"Churn","",
 _xlfn.LET(
   _xlpm.rng,Y230:BF230,
   _xlpm.pos,MAX(IF((_xlpm.rng&lt;&gt;0)*(_xlpm.rng&lt;&gt;""),COLUMN(_xlpm.rng)-COLUMN(Y230)+1)),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0" s="6" t="str" cm="1">
        <f t="array" ref="U230">IF(R230="Churn",
   MAX(IF((Y230:BF230&lt;&gt;"")*(Y230:BF230&lt;&gt;0), COLUMN(Y230:BF230)-COLUMN(Y230)+1))
   -MATCH(1, --((Y230:BF230&lt;&gt;"")*(Y230:BF230&lt;&gt;0)), 0)
   +1,
"")</f>
        <v/>
      </c>
      <c r="V230" s="6" t="str" cm="1">
        <f t="array" ref="V230">IFERROR(
    IF(
        MATCH(2,1/((Y230:BF230&lt;&gt;0)*(Y230:BF230&lt;&gt;"")))-MATCH(1,INDEX((Y230:BF230&lt;&gt;0)*(Y230:BF230&lt;&gt;""),0),0)+1 &lt;= 12,
        "No",
        "Yes"
    ),
    "No"
)</f>
        <v>Yes</v>
      </c>
      <c r="W230" s="6" t="str" cm="1">
        <f t="array" ref="W230">IFERROR(
    IF(
        MATCH(2,1/((Y230:BF230&lt;&gt;0)*(Y230:BF230&lt;&gt;"")))-MATCH(1,INDEX((Y230:BF230&lt;&gt;0)*(Y230:BF230&lt;&gt;""),0),0)+1 &lt;= 24,
        "No",
        "Yes"
    ),
    "No"
)</f>
        <v>Yes</v>
      </c>
      <c r="Y230" s="8">
        <v>266.54867445344195</v>
      </c>
      <c r="Z230" s="8">
        <v>265.62259279525279</v>
      </c>
      <c r="AA230" s="8">
        <v>263.66996957248551</v>
      </c>
      <c r="AB230" s="8">
        <v>258.98550199159848</v>
      </c>
      <c r="AC230" s="8">
        <v>254.07524187975122</v>
      </c>
      <c r="AD230" s="8">
        <v>445.6678019554887</v>
      </c>
      <c r="AE230" s="8">
        <v>485.7391436881511</v>
      </c>
      <c r="AF230" s="8">
        <v>480.93857402941933</v>
      </c>
      <c r="AG230" s="8">
        <v>490.73008812404186</v>
      </c>
      <c r="AH230" s="8">
        <v>482.75550224258643</v>
      </c>
      <c r="AI230" s="8">
        <v>484.10903942567063</v>
      </c>
      <c r="AJ230" s="8">
        <v>520.44140739031457</v>
      </c>
      <c r="AK230" s="8">
        <v>511.25079927578031</v>
      </c>
      <c r="AL230" s="8">
        <v>504.83451358800113</v>
      </c>
      <c r="AM230" s="8">
        <v>494.38894411338987</v>
      </c>
      <c r="AN230" s="8">
        <v>322.1798983228544</v>
      </c>
      <c r="AO230" s="8">
        <v>322.63082382542518</v>
      </c>
      <c r="AP230" s="8">
        <v>320.0007267597652</v>
      </c>
      <c r="AQ230" s="8">
        <v>316.43294079682414</v>
      </c>
      <c r="AR230" s="8">
        <v>309.87917987763103</v>
      </c>
      <c r="AS230" s="8">
        <v>306.46877141527824</v>
      </c>
      <c r="AT230" s="8">
        <v>304.64787657261928</v>
      </c>
      <c r="AU230" s="8">
        <v>303.03474076035866</v>
      </c>
      <c r="AV230" s="8">
        <v>408.18578615469255</v>
      </c>
      <c r="AW230" s="8">
        <v>402.21342825295602</v>
      </c>
      <c r="AX230" s="8">
        <v>395.33467109658505</v>
      </c>
      <c r="AY230" s="8">
        <v>385.77096535021457</v>
      </c>
      <c r="AZ230" s="8">
        <v>375.786380813074</v>
      </c>
      <c r="BA230" s="8">
        <v>369.68773589346972</v>
      </c>
      <c r="BB230" s="8">
        <v>363.61487261964402</v>
      </c>
      <c r="BC230" s="8">
        <v>356.85149674301226</v>
      </c>
      <c r="BD230" s="8">
        <v>351.54056556563933</v>
      </c>
      <c r="BE230" s="8">
        <v>347.43062290477047</v>
      </c>
      <c r="BF230" s="8">
        <v>343.39754200588123</v>
      </c>
      <c r="BH230" s="8">
        <f t="shared" si="44"/>
        <v>4699.2835375482018</v>
      </c>
      <c r="BI230" s="8">
        <f t="shared" si="45"/>
        <v>4423.9350014626198</v>
      </c>
      <c r="BJ230" s="8">
        <f t="shared" si="46"/>
        <v>3691.6282812452473</v>
      </c>
    </row>
    <row r="231" spans="1:62" x14ac:dyDescent="0.25">
      <c r="A231" s="9" t="s">
        <v>218</v>
      </c>
      <c r="B231" s="9" t="s">
        <v>644</v>
      </c>
      <c r="C231" s="10">
        <f>VLOOKUP(A231,'[2]Revenue_Engine_2025 Oct.25'!$C$14:G$3937,5,0)</f>
        <v>45117</v>
      </c>
      <c r="D231" s="6" cm="1">
        <f t="array" ref="D231">_xlfn.LET(
  _xlpm.aralık, Y231:BF231,
  _xlpm.ilk, MATCH(TRUE, _xlpm.aralık&lt;&gt;0, 0),
  _xlpm.son, MIN(_xlpm.ilk+2, COLUMNS(_xlpm.aralık)),
  MAX(INDEX(_xlpm.aralık, _xlpm.ilk):INDEX(_xlpm.aralık, _xlpm.son))
)</f>
        <v>405.50901399999998</v>
      </c>
      <c r="E231" s="6">
        <f t="shared" si="39"/>
        <v>405.50901399999998</v>
      </c>
      <c r="F231" s="6">
        <f t="shared" si="40"/>
        <v>336.34601200000003</v>
      </c>
      <c r="G231" s="6">
        <f t="shared" si="47"/>
        <v>336.34601200000003</v>
      </c>
      <c r="H231" s="7">
        <f t="shared" si="41"/>
        <v>0</v>
      </c>
      <c r="I231" s="7">
        <f t="shared" si="42"/>
        <v>-0.17055848233252827</v>
      </c>
      <c r="J231" s="7">
        <f t="shared" si="43"/>
        <v>-0.17055848233252827</v>
      </c>
      <c r="K231" s="7">
        <f t="shared" si="48"/>
        <v>-0.17055848233252827</v>
      </c>
      <c r="L231" s="5" t="s">
        <v>417</v>
      </c>
      <c r="M231" s="7">
        <f>IF(R231="",(VLOOKUP(A231,[1]Export!$B$2:$H$680,7,0)),"CHURN")</f>
        <v>0.49303394148761315</v>
      </c>
      <c r="N231" s="5">
        <f t="shared" si="49"/>
        <v>170.51601199999999</v>
      </c>
      <c r="O231" s="5">
        <f t="shared" si="50"/>
        <v>205.5793065188243</v>
      </c>
      <c r="P231" s="5">
        <f t="shared" si="51"/>
        <v>170.51601199999999</v>
      </c>
      <c r="Q231" s="5" t="str">
        <f>VLOOKUP(A231,[4]Sheet2!$A$1:$B$142,2,0)</f>
        <v>HIGH RISK</v>
      </c>
      <c r="T231" s="6" t="str" cm="1">
        <f t="array" ref="T231">IF(R231&lt;&gt;"Churn","",
 _xlfn.LET(
   _xlpm.rng,Y231:BF231,
   _xlpm.pos,MAX(IF((_xlpm.rng&lt;&gt;0)*(_xlpm.rng&lt;&gt;""),COLUMN(_xlpm.rng)-COLUMN(Y231)+1)),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1" s="6" t="str" cm="1">
        <f t="array" ref="U231">IF(R231="Churn",
   MAX(IF((Y231:BF231&lt;&gt;"")*(Y231:BF231&lt;&gt;0), COLUMN(Y231:BF231)-COLUMN(Y231)+1))
   -MATCH(1, --((Y231:BF231&lt;&gt;"")*(Y231:BF231&lt;&gt;0)), 0)
   +1,
"")</f>
        <v/>
      </c>
      <c r="V231" s="6" t="str" cm="1">
        <f t="array" ref="V231">IFERROR(
    IF(
        MATCH(2,1/((Y231:BF231&lt;&gt;0)*(Y231:BF231&lt;&gt;"")))-MATCH(1,INDEX((Y231:BF231&lt;&gt;0)*(Y231:BF231&lt;&gt;""),0),0)+1 &lt;= 12,
        "No",
        "Yes"
    ),
    "No"
)</f>
        <v>Yes</v>
      </c>
      <c r="W231" s="6" t="str" cm="1">
        <f t="array" ref="W231">IFERROR(
    IF(
        MATCH(2,1/((Y231:BF231&lt;&gt;0)*(Y231:BF231&lt;&gt;"")))-MATCH(1,INDEX((Y231:BF231&lt;&gt;0)*(Y231:BF231&lt;&gt;""),0),0)+1 &lt;= 24,
        "No",
        "Yes"
    ),
    "No"
)</f>
        <v>Yes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375.00901399999998</v>
      </c>
      <c r="AF231" s="8">
        <v>375.00901399999998</v>
      </c>
      <c r="AG231" s="8">
        <v>405.50901399999998</v>
      </c>
      <c r="AH231" s="8">
        <v>405.50901399999998</v>
      </c>
      <c r="AI231" s="8">
        <v>405.50901399999998</v>
      </c>
      <c r="AJ231" s="8">
        <v>405.50901399999998</v>
      </c>
      <c r="AK231" s="8">
        <v>405.50901399999998</v>
      </c>
      <c r="AL231" s="8">
        <v>405.50901399999998</v>
      </c>
      <c r="AM231" s="8">
        <v>405.50901399999998</v>
      </c>
      <c r="AN231" s="8">
        <v>405.50901399999998</v>
      </c>
      <c r="AO231" s="8">
        <v>405.50901399999998</v>
      </c>
      <c r="AP231" s="8">
        <v>405.50901399999998</v>
      </c>
      <c r="AQ231" s="8">
        <v>405.50901399999998</v>
      </c>
      <c r="AR231" s="8">
        <v>190.51601200000002</v>
      </c>
      <c r="AS231" s="8">
        <v>190.51601200000002</v>
      </c>
      <c r="AT231" s="8">
        <v>190.51601200000002</v>
      </c>
      <c r="AU231" s="8">
        <v>190.51601200000002</v>
      </c>
      <c r="AV231" s="8">
        <v>336.33</v>
      </c>
      <c r="AW231" s="8">
        <v>336.34601199999997</v>
      </c>
      <c r="AX231" s="8">
        <v>336.34601200000003</v>
      </c>
      <c r="AY231" s="8">
        <v>336.34601200000003</v>
      </c>
      <c r="AZ231" s="8">
        <v>336.34601200000003</v>
      </c>
      <c r="BA231" s="8">
        <v>336.34601200000003</v>
      </c>
      <c r="BB231" s="8">
        <v>336.34601200000003</v>
      </c>
      <c r="BC231" s="8">
        <v>336.34601200000003</v>
      </c>
      <c r="BD231" s="8">
        <v>336.34601200000003</v>
      </c>
      <c r="BE231" s="8">
        <v>336.34601200000003</v>
      </c>
      <c r="BF231" s="8">
        <v>336.34601200000003</v>
      </c>
      <c r="BH231" s="8">
        <f t="shared" si="44"/>
        <v>2372.0540839999999</v>
      </c>
      <c r="BI231" s="8">
        <f t="shared" si="45"/>
        <v>3936.9571459999997</v>
      </c>
      <c r="BJ231" s="8">
        <f t="shared" si="46"/>
        <v>3363.4601199999997</v>
      </c>
    </row>
    <row r="232" spans="1:62" x14ac:dyDescent="0.25">
      <c r="A232" s="9" t="s">
        <v>305</v>
      </c>
      <c r="B232" s="9" t="s">
        <v>644</v>
      </c>
      <c r="C232" s="10">
        <f>VLOOKUP(A232,'[2]Revenue_Engine_2025 Oct.25'!$C$14:G$3937,5,0)</f>
        <v>45468</v>
      </c>
      <c r="D232" s="6" cm="1">
        <f t="array" ref="D232">_xlfn.LET(
  _xlpm.aralık, Y232:BF232,
  _xlpm.ilk, MATCH(TRUE, _xlpm.aralık&lt;&gt;0, 0),
  _xlpm.son, MIN(_xlpm.ilk+2, COLUMNS(_xlpm.aralık)),
  MAX(INDEX(_xlpm.aralık, _xlpm.ilk):INDEX(_xlpm.aralık, _xlpm.son))
)</f>
        <v>308.00123923535608</v>
      </c>
      <c r="E232" s="6">
        <f t="shared" si="39"/>
        <v>355.98861853531025</v>
      </c>
      <c r="F232" s="6">
        <f t="shared" si="40"/>
        <v>0</v>
      </c>
      <c r="G232" s="6">
        <f t="shared" si="47"/>
        <v>335.5198040564344</v>
      </c>
      <c r="H232" s="7">
        <f t="shared" si="41"/>
        <v>0.15580255267507248</v>
      </c>
      <c r="I232" s="7">
        <f t="shared" si="42"/>
        <v>-1</v>
      </c>
      <c r="J232" s="7">
        <f t="shared" si="43"/>
        <v>-1</v>
      </c>
      <c r="K232" s="7">
        <f t="shared" si="48"/>
        <v>8.9345630197449552E-2</v>
      </c>
      <c r="L232" s="5" t="s">
        <v>418</v>
      </c>
      <c r="M232" s="7">
        <f>IF(R232="",(VLOOKUP(A232,[1]Export!$B$2:$H$680,7,0)),"CHURN")</f>
        <v>0.35979928571428577</v>
      </c>
      <c r="N232" s="5">
        <f t="shared" si="49"/>
        <v>214.80001821393219</v>
      </c>
      <c r="O232" s="5">
        <f t="shared" si="50"/>
        <v>227.90416786389028</v>
      </c>
      <c r="P232" s="5">
        <f t="shared" si="51"/>
        <v>0</v>
      </c>
      <c r="Q232" s="5" t="s">
        <v>430</v>
      </c>
      <c r="T232" s="6" t="str" cm="1">
        <f t="array" ref="T232">IF(R232&lt;&gt;"Churn","",
 _xlfn.LET(
   _xlpm.rng,Y232:BF232,
   _xlpm.pos,MAX(IF((_xlpm.rng&lt;&gt;0)*(_xlpm.rng&lt;&gt;""),COLUMN(_xlpm.rng)-COLUMN(Y232)+1)),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2" s="6" t="str" cm="1">
        <f t="array" ref="U232">IF(R232="Churn",
   MAX(IF((Y232:BF232&lt;&gt;"")*(Y232:BF232&lt;&gt;0), COLUMN(Y232:BF232)-COLUMN(Y232)+1))
   -MATCH(1, --((Y232:BF232&lt;&gt;"")*(Y232:BF232&lt;&gt;0)), 0)
   +1,
"")</f>
        <v/>
      </c>
      <c r="V232" s="6" t="str" cm="1">
        <f t="array" ref="V232">IFERROR(
    IF(
        MATCH(2,1/((Y232:BF232&lt;&gt;0)*(Y232:BF232&lt;&gt;"")))-MATCH(1,INDEX((Y232:BF232&lt;&gt;0)*(Y232:BF232&lt;&gt;""),0),0)+1 &lt;= 12,
        "No",
        "Yes"
    ),
    "No"
)</f>
        <v>Yes</v>
      </c>
      <c r="W232" s="6" t="str" cm="1">
        <f t="array" ref="W232">IFERROR(
    IF(
        MATCH(2,1/((Y232:BF232&lt;&gt;0)*(Y232:BF232&lt;&gt;"")))-MATCH(1,INDEX((Y232:BF232&lt;&gt;0)*(Y232:BF232&lt;&gt;""),0),0)+1 &lt;= 24,
        "No",
        "Yes"
    ),
    "No"
)</f>
        <v>No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308.00123923535608</v>
      </c>
      <c r="AQ232" s="8">
        <v>304.43344733605494</v>
      </c>
      <c r="AR232" s="8">
        <v>297.87967551220413</v>
      </c>
      <c r="AS232" s="8">
        <v>294.4692613753482</v>
      </c>
      <c r="AT232" s="8">
        <v>292.64836350294257</v>
      </c>
      <c r="AU232" s="8">
        <v>291.03522500662103</v>
      </c>
      <c r="AV232" s="8">
        <v>286.50994862160053</v>
      </c>
      <c r="AW232" s="8">
        <v>282.19091443265512</v>
      </c>
      <c r="AX232" s="8">
        <v>277.21639886867985</v>
      </c>
      <c r="AY232" s="8">
        <v>270.300207178363</v>
      </c>
      <c r="AZ232" s="8">
        <v>263.07964828222134</v>
      </c>
      <c r="BA232" s="8">
        <v>258.66928702333718</v>
      </c>
      <c r="BB232" s="8">
        <v>355.98861853531025</v>
      </c>
      <c r="BC232" s="8">
        <v>349.14111286235863</v>
      </c>
      <c r="BD232" s="8">
        <v>343.76411888345416</v>
      </c>
      <c r="BE232" s="8">
        <v>339.60305254629515</v>
      </c>
      <c r="BF232" s="8">
        <v>335.5198040564344</v>
      </c>
      <c r="BH232" s="8">
        <f t="shared" si="44"/>
        <v>0</v>
      </c>
      <c r="BI232" s="8">
        <f t="shared" si="45"/>
        <v>2074.9771605901274</v>
      </c>
      <c r="BJ232" s="8">
        <f t="shared" si="46"/>
        <v>3075.4731626691091</v>
      </c>
    </row>
    <row r="233" spans="1:62" x14ac:dyDescent="0.25">
      <c r="A233" s="9" t="s">
        <v>475</v>
      </c>
      <c r="B233" s="9" t="s">
        <v>644</v>
      </c>
      <c r="C233" s="10">
        <f>VLOOKUP(A233,'[2]Revenue_Engine_2025 Oct.25'!$C$14:G$3937,5,0)</f>
        <v>45645</v>
      </c>
      <c r="D233" s="6" cm="1">
        <f t="array" ref="D233">_xlfn.LET(
  _xlpm.aralık, Y233:BF233,
  _xlpm.ilk, MATCH(TRUE, _xlpm.aralık&lt;&gt;0, 0),
  _xlpm.son, MIN(_xlpm.ilk+2, COLUMNS(_xlpm.aralık)),
  MAX(INDEX(_xlpm.aralık, _xlpm.ilk):INDEX(_xlpm.aralık, _xlpm.son))
)</f>
        <v>380.9575294466236</v>
      </c>
      <c r="E233" s="6">
        <f t="shared" si="39"/>
        <v>0</v>
      </c>
      <c r="F233" s="6">
        <f t="shared" si="40"/>
        <v>0</v>
      </c>
      <c r="G233" s="6">
        <f t="shared" si="47"/>
        <v>334.80064062713444</v>
      </c>
      <c r="H233" s="7">
        <f t="shared" si="41"/>
        <v>-1</v>
      </c>
      <c r="I233" s="7">
        <f t="shared" si="42"/>
        <v>-1</v>
      </c>
      <c r="J233" s="7" t="e">
        <f t="shared" si="43"/>
        <v>#DIV/0!</v>
      </c>
      <c r="K233" s="7">
        <f t="shared" si="48"/>
        <v>-0.12116019569566285</v>
      </c>
      <c r="L233" s="5" t="s">
        <v>416</v>
      </c>
      <c r="M233" s="7">
        <f>IF(R233="",(VLOOKUP(A233,[1]Export!$B$2:$H$680,7,0)),"CHURN")</f>
        <v>0.15487675050146241</v>
      </c>
      <c r="N233" s="5">
        <f t="shared" si="49"/>
        <v>282.94780534099596</v>
      </c>
      <c r="O233" s="5">
        <f t="shared" si="50"/>
        <v>0</v>
      </c>
      <c r="P233" s="5">
        <f t="shared" si="51"/>
        <v>0</v>
      </c>
      <c r="Q233" s="5" t="s">
        <v>430</v>
      </c>
      <c r="T233" s="6" t="str" cm="1">
        <f t="array" ref="T233">IF(R233&lt;&gt;"Churn","",
 _xlfn.LET(
   _xlpm.rng,Y233:BF233,
   _xlpm.pos,MAX(IF((_xlpm.rng&lt;&gt;0)*(_xlpm.rng&lt;&gt;""),COLUMN(_xlpm.rng)-COLUMN(Y233)+1)),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3" s="6" t="str" cm="1">
        <f t="array" ref="U233">IF(R233="Churn",
   MAX(IF((Y233:BF233&lt;&gt;"")*(Y233:BF233&lt;&gt;0), COLUMN(Y233:BF233)-COLUMN(Y233)+1))
   -MATCH(1, --((Y233:BF233&lt;&gt;"")*(Y233:BF233&lt;&gt;0)), 0)
   +1,
"")</f>
        <v/>
      </c>
      <c r="V233" s="6" t="str" cm="1">
        <f t="array" ref="V233">IFERROR(
    IF(
        MATCH(2,1/((Y233:BF233&lt;&gt;0)*(Y233:BF233&lt;&gt;"")))-MATCH(1,INDEX((Y233:BF233&lt;&gt;0)*(Y233:BF233&lt;&gt;""),0),0)+1 &lt;= 12,
        "No",
        "Yes"
    ),
    "No"
)</f>
        <v>No</v>
      </c>
      <c r="W233" s="6" t="str" cm="1">
        <f t="array" ref="W233">IFERROR(
    IF(
        MATCH(2,1/((Y233:BF233&lt;&gt;0)*(Y233:BF233&lt;&gt;"")))-MATCH(1,INDEX((Y233:BF233&lt;&gt;0)*(Y233:BF233&lt;&gt;""),0),0)+1 &lt;= 24,
        "No",
        "Yes"
    ),
    "No"
)</f>
        <v>No</v>
      </c>
      <c r="X233" s="6"/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380.9575294466236</v>
      </c>
      <c r="AX233" s="8">
        <v>378.40018326777169</v>
      </c>
      <c r="AY233" s="8">
        <v>368.95958662986982</v>
      </c>
      <c r="AZ233" s="8">
        <v>359.1035289769095</v>
      </c>
      <c r="BA233" s="8">
        <v>353.08338905932322</v>
      </c>
      <c r="BB233" s="8">
        <v>347.08869891245473</v>
      </c>
      <c r="BC233" s="8">
        <v>348.3927531023682</v>
      </c>
      <c r="BD233" s="8">
        <v>343.02728433712457</v>
      </c>
      <c r="BE233" s="8">
        <v>338.87513695705957</v>
      </c>
      <c r="BF233" s="8">
        <v>334.80064062713444</v>
      </c>
      <c r="BH233" s="8">
        <f t="shared" si="44"/>
        <v>0</v>
      </c>
      <c r="BI233" s="8">
        <f t="shared" si="45"/>
        <v>0</v>
      </c>
      <c r="BJ233" s="8">
        <f t="shared" si="46"/>
        <v>3552.6887313166394</v>
      </c>
    </row>
    <row r="234" spans="1:62" x14ac:dyDescent="0.25">
      <c r="A234" s="9" t="s">
        <v>476</v>
      </c>
      <c r="B234" s="9" t="s">
        <v>644</v>
      </c>
      <c r="C234" s="10">
        <f>VLOOKUP(A234,'[2]Revenue_Engine_2025 Oct.25'!$C$14:G$3937,5,0)</f>
        <v>45689</v>
      </c>
      <c r="D234" s="6" cm="1">
        <f t="array" ref="D234">_xlfn.LET(
  _xlpm.aralık, Y234:BF234,
  _xlpm.ilk, MATCH(TRUE, _xlpm.aralık&lt;&gt;0, 0),
  _xlpm.son, MIN(_xlpm.ilk+2, COLUMNS(_xlpm.aralık)),
  MAX(INDEX(_xlpm.aralık, _xlpm.ilk):INDEX(_xlpm.aralık, _xlpm.son))
)</f>
        <v>332.01773600000001</v>
      </c>
      <c r="E234" s="6">
        <f t="shared" si="39"/>
        <v>0</v>
      </c>
      <c r="F234" s="6">
        <f t="shared" si="40"/>
        <v>0</v>
      </c>
      <c r="G234" s="6">
        <f t="shared" si="47"/>
        <v>332.01773600000001</v>
      </c>
      <c r="H234" s="7">
        <f t="shared" si="41"/>
        <v>-1</v>
      </c>
      <c r="I234" s="7">
        <f t="shared" si="42"/>
        <v>-1</v>
      </c>
      <c r="J234" s="7" t="e">
        <f t="shared" si="43"/>
        <v>#DIV/0!</v>
      </c>
      <c r="K234" s="7">
        <f t="shared" si="48"/>
        <v>0</v>
      </c>
      <c r="L234" s="5" t="s">
        <v>417</v>
      </c>
      <c r="M234" s="7">
        <f>IF(R234="",(VLOOKUP(A234,[1]Export!$B$2:$H$680,7,0)),"CHURN")</f>
        <v>0.17071268746920193</v>
      </c>
      <c r="N234" s="5">
        <f t="shared" si="49"/>
        <v>275.33809600000001</v>
      </c>
      <c r="O234" s="5">
        <f t="shared" si="50"/>
        <v>0</v>
      </c>
      <c r="P234" s="5">
        <f t="shared" si="51"/>
        <v>0</v>
      </c>
      <c r="Q234" s="5" t="s">
        <v>430</v>
      </c>
      <c r="T234" s="6" t="str" cm="1">
        <f t="array" ref="T234">IF(R234&lt;&gt;"Churn","",
 _xlfn.LET(
   _xlpm.rng,Y234:BF234,
   _xlpm.pos,MAX(IF((_xlpm.rng&lt;&gt;0)*(_xlpm.rng&lt;&gt;""),COLUMN(_xlpm.rng)-COLUMN(Y234)+1)),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4" s="6" t="str" cm="1">
        <f t="array" ref="U234">IF(R234="Churn",
   MAX(IF((Y234:BF234&lt;&gt;"")*(Y234:BF234&lt;&gt;0), COLUMN(Y234:BF234)-COLUMN(Y234)+1))
   -MATCH(1, --((Y234:BF234&lt;&gt;"")*(Y234:BF234&lt;&gt;0)), 0)
   +1,
"")</f>
        <v/>
      </c>
      <c r="V234" s="6" t="str" cm="1">
        <f t="array" ref="V234">IFERROR(
    IF(
        MATCH(2,1/((Y234:BF234&lt;&gt;0)*(Y234:BF234&lt;&gt;"")))-MATCH(1,INDEX((Y234:BF234&lt;&gt;0)*(Y234:BF234&lt;&gt;""),0),0)+1 &lt;= 12,
        "No",
        "Yes"
    ),
    "No"
)</f>
        <v>No</v>
      </c>
      <c r="W234" s="6" t="str" cm="1">
        <f t="array" ref="W234">IFERROR(
    IF(
        MATCH(2,1/((Y234:BF234&lt;&gt;0)*(Y234:BF234&lt;&gt;"")))-MATCH(1,INDEX((Y234:BF234&lt;&gt;0)*(Y234:BF234&lt;&gt;""),0),0)+1 &lt;= 24,
        "No",
        "Yes"
    ),
    "No"
)</f>
        <v>No</v>
      </c>
      <c r="X234" s="6"/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332.01773600000001</v>
      </c>
      <c r="AY234" s="8">
        <v>332.01773600000001</v>
      </c>
      <c r="AZ234" s="8">
        <v>332.0177359999999</v>
      </c>
      <c r="BA234" s="8">
        <v>332.01773600000001</v>
      </c>
      <c r="BB234" s="8">
        <v>332.01773600000001</v>
      </c>
      <c r="BC234" s="8">
        <v>332.01773600000001</v>
      </c>
      <c r="BD234" s="8">
        <v>332.01773600000001</v>
      </c>
      <c r="BE234" s="8">
        <v>332.01773600000001</v>
      </c>
      <c r="BF234" s="8">
        <v>332.01773600000001</v>
      </c>
      <c r="BH234" s="8">
        <f t="shared" si="44"/>
        <v>0</v>
      </c>
      <c r="BI234" s="8">
        <f t="shared" si="45"/>
        <v>0</v>
      </c>
      <c r="BJ234" s="8">
        <f t="shared" si="46"/>
        <v>2988.1596239999999</v>
      </c>
    </row>
    <row r="235" spans="1:62" x14ac:dyDescent="0.25">
      <c r="A235" s="9" t="s">
        <v>14</v>
      </c>
      <c r="B235" s="9" t="s">
        <v>644</v>
      </c>
      <c r="C235" s="10">
        <v>44927</v>
      </c>
      <c r="D235" s="6" cm="1">
        <f t="array" ref="D235">_xlfn.LET(
  _xlpm.aralık, Y235:BF235,
  _xlpm.ilk, MATCH(TRUE, _xlpm.aralık&lt;&gt;0, 0),
  _xlpm.son, MIN(_xlpm.ilk+2, COLUMNS(_xlpm.aralık)),
  MAX(INDEX(_xlpm.aralık, _xlpm.ilk):INDEX(_xlpm.aralık, _xlpm.son))
)</f>
        <v>139.28</v>
      </c>
      <c r="E235" s="6">
        <f t="shared" si="39"/>
        <v>270.28000400000002</v>
      </c>
      <c r="F235" s="6">
        <f t="shared" si="40"/>
        <v>321.62560500000001</v>
      </c>
      <c r="G235" s="6">
        <f t="shared" si="47"/>
        <v>321.62560500000001</v>
      </c>
      <c r="H235" s="7">
        <f t="shared" si="41"/>
        <v>0.94055143595634705</v>
      </c>
      <c r="I235" s="7">
        <f t="shared" si="42"/>
        <v>1.3092016441700172</v>
      </c>
      <c r="J235" s="7">
        <f t="shared" si="43"/>
        <v>0.18997188190066766</v>
      </c>
      <c r="K235" s="7">
        <f t="shared" si="48"/>
        <v>1.3092016441700172</v>
      </c>
      <c r="L235" s="5" t="s">
        <v>418</v>
      </c>
      <c r="M235" s="7">
        <f>IF(R235="",(VLOOKUP(A235,[1]Export!$B$2:$H$680,7,0)),"CHURN")</f>
        <v>0.82980209240492542</v>
      </c>
      <c r="N235" s="5">
        <f t="shared" si="49"/>
        <v>54.740004999999961</v>
      </c>
      <c r="O235" s="5">
        <f t="shared" si="50"/>
        <v>46.00109114558839</v>
      </c>
      <c r="P235" s="5">
        <f t="shared" si="51"/>
        <v>54.740004999999961</v>
      </c>
      <c r="Q235" s="5" t="s">
        <v>430</v>
      </c>
      <c r="T235" s="6" t="str" cm="1">
        <f t="array" ref="T235">IF(R235&lt;&gt;"Churn","",
 _xlfn.LET(
   _xlpm.rng,Y235:BF235,
   _xlpm.pos,MAX(IF((_xlpm.rng&lt;&gt;0)*(_xlpm.rng&lt;&gt;""),COLUMN(_xlpm.rng)-COLUMN(Y235)+1)),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5" s="6" t="str" cm="1">
        <f t="array" ref="U235">IF(R235="Churn",
   MAX(IF((Y235:BF235&lt;&gt;"")*(Y235:BF235&lt;&gt;0), COLUMN(Y235:BF235)-COLUMN(Y235)+1))
   -MATCH(1, --((Y235:BF235&lt;&gt;"")*(Y235:BF235&lt;&gt;0)), 0)
   +1,
"")</f>
        <v/>
      </c>
      <c r="V235" s="6" t="str" cm="1">
        <f t="array" ref="V235">IFERROR(
    IF(
        MATCH(2,1/((Y235:BF235&lt;&gt;0)*(Y235:BF235&lt;&gt;"")))-MATCH(1,INDEX((Y235:BF235&lt;&gt;0)*(Y235:BF235&lt;&gt;""),0),0)+1 &lt;= 12,
        "No",
        "Yes"
    ),
    "No"
)</f>
        <v>Yes</v>
      </c>
      <c r="W235" s="6" t="str" cm="1">
        <f t="array" ref="W235">IFERROR(
    IF(
        MATCH(2,1/((Y235:BF235&lt;&gt;0)*(Y235:BF235&lt;&gt;"")))-MATCH(1,INDEX((Y235:BF235&lt;&gt;0)*(Y235:BF235&lt;&gt;""),0),0)+1 &lt;= 24,
        "No",
        "Yes"
    ),
    "No"
)</f>
        <v>Yes</v>
      </c>
      <c r="X235" s="6"/>
      <c r="Y235" s="8">
        <v>139.28</v>
      </c>
      <c r="Z235" s="8">
        <v>139.28</v>
      </c>
      <c r="AA235" s="8">
        <v>139.28</v>
      </c>
      <c r="AB235" s="8">
        <v>139.28</v>
      </c>
      <c r="AC235" s="8">
        <v>139.28000399999999</v>
      </c>
      <c r="AD235" s="8">
        <v>139.28000399999999</v>
      </c>
      <c r="AE235" s="8">
        <v>139.28000399999999</v>
      </c>
      <c r="AF235" s="8">
        <v>139.28000399999999</v>
      </c>
      <c r="AG235" s="8">
        <v>139.28000399999999</v>
      </c>
      <c r="AH235" s="8">
        <v>139.28000399999999</v>
      </c>
      <c r="AI235" s="8">
        <v>139.28000399999999</v>
      </c>
      <c r="AJ235" s="8">
        <v>270.28000400000002</v>
      </c>
      <c r="AK235" s="8">
        <v>270.28000400000002</v>
      </c>
      <c r="AL235" s="8">
        <v>270.28000400000002</v>
      </c>
      <c r="AM235" s="8">
        <v>270.28000400000002</v>
      </c>
      <c r="AN235" s="8">
        <v>270.28000400000002</v>
      </c>
      <c r="AO235" s="8">
        <v>270.28000400000002</v>
      </c>
      <c r="AP235" s="8">
        <v>270.28000400000002</v>
      </c>
      <c r="AQ235" s="8">
        <v>270.28000400000002</v>
      </c>
      <c r="AR235" s="8">
        <v>270.28000400000002</v>
      </c>
      <c r="AS235" s="8">
        <v>270.28000400000002</v>
      </c>
      <c r="AT235" s="8">
        <v>270.28000400000002</v>
      </c>
      <c r="AU235" s="8">
        <v>270.28000400000002</v>
      </c>
      <c r="AV235" s="8">
        <v>270.28000400000002</v>
      </c>
      <c r="AW235" s="8">
        <v>321.62560500000001</v>
      </c>
      <c r="AX235" s="8">
        <v>321.62560500000001</v>
      </c>
      <c r="AY235" s="8">
        <v>321.62560500000001</v>
      </c>
      <c r="AZ235" s="8">
        <v>321.62560500000001</v>
      </c>
      <c r="BA235" s="8">
        <v>321.62560500000001</v>
      </c>
      <c r="BB235" s="8">
        <v>321.62560500000001</v>
      </c>
      <c r="BC235" s="8">
        <v>321.62560500000001</v>
      </c>
      <c r="BD235" s="8">
        <v>321.62560500000001</v>
      </c>
      <c r="BE235" s="8">
        <v>321.62560500000001</v>
      </c>
      <c r="BF235" s="8">
        <v>321.62560500000001</v>
      </c>
      <c r="BH235" s="8">
        <f t="shared" si="44"/>
        <v>1802.3600319999998</v>
      </c>
      <c r="BI235" s="8">
        <f t="shared" si="45"/>
        <v>3243.3600480000009</v>
      </c>
      <c r="BJ235" s="8">
        <f t="shared" si="46"/>
        <v>3216.2560500000004</v>
      </c>
    </row>
    <row r="236" spans="1:62" x14ac:dyDescent="0.25">
      <c r="A236" s="9" t="s">
        <v>477</v>
      </c>
      <c r="B236" s="9" t="s">
        <v>644</v>
      </c>
      <c r="C236" s="10">
        <f>VLOOKUP(A236,'[2]Revenue_Engine_2025 Oct.25'!$C$14:G$3937,5,0)</f>
        <v>45939</v>
      </c>
      <c r="D236" s="6" cm="1">
        <f t="array" ref="D236">_xlfn.LET(
  _xlpm.aralık, Y236:BF236,
  _xlpm.ilk, MATCH(TRUE, _xlpm.aralık&lt;&gt;0, 0),
  _xlpm.son, MIN(_xlpm.ilk+2, COLUMNS(_xlpm.aralık)),
  MAX(INDEX(_xlpm.aralık, _xlpm.ilk):INDEX(_xlpm.aralık, _xlpm.son))
)</f>
        <v>320</v>
      </c>
      <c r="E236" s="6">
        <f t="shared" si="39"/>
        <v>0</v>
      </c>
      <c r="F236" s="6">
        <f t="shared" si="40"/>
        <v>0</v>
      </c>
      <c r="G236" s="6">
        <f t="shared" si="47"/>
        <v>320</v>
      </c>
      <c r="H236" s="7">
        <f t="shared" si="41"/>
        <v>-1</v>
      </c>
      <c r="I236" s="7">
        <f t="shared" si="42"/>
        <v>-1</v>
      </c>
      <c r="J236" s="7" t="e">
        <f t="shared" si="43"/>
        <v>#DIV/0!</v>
      </c>
      <c r="K236" s="7">
        <f t="shared" si="48"/>
        <v>0</v>
      </c>
      <c r="L236" s="5" t="s">
        <v>414</v>
      </c>
      <c r="M236" s="7">
        <f>IF(R236="",(VLOOKUP(A236,[1]Export!$B$2:$H$680,7,0)),"CHURN")</f>
        <v>0.14056250000000001</v>
      </c>
      <c r="N236" s="5">
        <f t="shared" si="49"/>
        <v>275.02</v>
      </c>
      <c r="O236" s="5">
        <f t="shared" si="50"/>
        <v>0</v>
      </c>
      <c r="P236" s="5">
        <f t="shared" si="51"/>
        <v>0</v>
      </c>
      <c r="Q236" s="5" t="s">
        <v>430</v>
      </c>
      <c r="T236" s="6" t="str" cm="1">
        <f t="array" ref="T236">IF(R236&lt;&gt;"Churn","",
 _xlfn.LET(
   _xlpm.rng,Y236:BF236,
   _xlpm.pos,MAX(IF((_xlpm.rng&lt;&gt;0)*(_xlpm.rng&lt;&gt;""),COLUMN(_xlpm.rng)-COLUMN(Y236)+1)),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6" s="6" t="str" cm="1">
        <f t="array" ref="U236">IF(R236="Churn",
   MAX(IF((Y236:BF236&lt;&gt;"")*(Y236:BF236&lt;&gt;0), COLUMN(Y236:BF236)-COLUMN(Y236)+1))
   -MATCH(1, --((Y236:BF236&lt;&gt;"")*(Y236:BF236&lt;&gt;0)), 0)
   +1,
"")</f>
        <v/>
      </c>
      <c r="V236" s="6" t="str" cm="1">
        <f t="array" ref="V236">IFERROR(
    IF(
        MATCH(2,1/((Y236:BF236&lt;&gt;0)*(Y236:BF236&lt;&gt;"")))-MATCH(1,INDEX((Y236:BF236&lt;&gt;0)*(Y236:BF236&lt;&gt;""),0),0)+1 &lt;= 12,
        "No",
        "Yes"
    ),
    "No"
)</f>
        <v>No</v>
      </c>
      <c r="W236" s="6" t="str" cm="1">
        <f t="array" ref="W236">IFERROR(
    IF(
        MATCH(2,1/((Y236:BF236&lt;&gt;0)*(Y236:BF236&lt;&gt;"")))-MATCH(1,INDEX((Y236:BF236&lt;&gt;0)*(Y236:BF236&lt;&gt;""),0),0)+1 &lt;= 24,
        "No",
        "Yes"
    ),
    "No"
)</f>
        <v>No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320</v>
      </c>
      <c r="BH236" s="8">
        <f t="shared" si="44"/>
        <v>0</v>
      </c>
      <c r="BI236" s="8">
        <f t="shared" si="45"/>
        <v>0</v>
      </c>
      <c r="BJ236" s="8">
        <f t="shared" si="46"/>
        <v>320</v>
      </c>
    </row>
    <row r="237" spans="1:62" x14ac:dyDescent="0.25">
      <c r="A237" s="9" t="s">
        <v>478</v>
      </c>
      <c r="B237" s="9" t="s">
        <v>644</v>
      </c>
      <c r="C237" s="10">
        <f>VLOOKUP(A237,'[2]Revenue_Engine_2025 Oct.25'!$C$14:G$3937,5,0)</f>
        <v>45629</v>
      </c>
      <c r="D237" s="6" cm="1">
        <f t="array" ref="D237">_xlfn.LET(
  _xlpm.aralık, Y237:BF237,
  _xlpm.ilk, MATCH(TRUE, _xlpm.aralık&lt;&gt;0, 0),
  _xlpm.son, MIN(_xlpm.ilk+2, COLUMNS(_xlpm.aralık)),
  MAX(INDEX(_xlpm.aralık, _xlpm.ilk):INDEX(_xlpm.aralık, _xlpm.son))
)</f>
        <v>289.98968100000002</v>
      </c>
      <c r="E237" s="6">
        <f t="shared" si="39"/>
        <v>0</v>
      </c>
      <c r="F237" s="6">
        <f t="shared" si="40"/>
        <v>0</v>
      </c>
      <c r="G237" s="6">
        <f t="shared" si="47"/>
        <v>311.98968100000002</v>
      </c>
      <c r="H237" s="7">
        <f t="shared" si="41"/>
        <v>-1</v>
      </c>
      <c r="I237" s="7">
        <f t="shared" si="42"/>
        <v>-1</v>
      </c>
      <c r="J237" s="7" t="e">
        <f t="shared" si="43"/>
        <v>#DIV/0!</v>
      </c>
      <c r="K237" s="7">
        <f t="shared" si="48"/>
        <v>7.5864768443260566E-2</v>
      </c>
      <c r="L237" s="5" t="s">
        <v>418</v>
      </c>
      <c r="M237" s="7">
        <f>IF(R237="",(VLOOKUP(A237,[1]Export!$B$2:$H$680,7,0)),"CHURN")</f>
        <v>0.22647474997738787</v>
      </c>
      <c r="N237" s="5">
        <f t="shared" si="49"/>
        <v>241.33189600000003</v>
      </c>
      <c r="O237" s="5">
        <f t="shared" si="50"/>
        <v>0</v>
      </c>
      <c r="P237" s="5">
        <f t="shared" si="51"/>
        <v>0</v>
      </c>
      <c r="Q237" s="5" t="s">
        <v>430</v>
      </c>
      <c r="T237" s="6" t="str" cm="1">
        <f t="array" ref="T237">IF(R237&lt;&gt;"Churn","",
 _xlfn.LET(
   _xlpm.rng,Y237:BF237,
   _xlpm.pos,MAX(IF((_xlpm.rng&lt;&gt;0)*(_xlpm.rng&lt;&gt;""),COLUMN(_xlpm.rng)-COLUMN(Y237)+1)),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7" s="6" t="str" cm="1">
        <f t="array" ref="U237">IF(R237="Churn",
   MAX(IF((Y237:BF237&lt;&gt;"")*(Y237:BF237&lt;&gt;0), COLUMN(Y237:BF237)-COLUMN(Y237)+1))
   -MATCH(1, --((Y237:BF237&lt;&gt;"")*(Y237:BF237&lt;&gt;0)), 0)
   +1,
"")</f>
        <v/>
      </c>
      <c r="V237" s="6" t="str" cm="1">
        <f t="array" ref="V237">IFERROR(
    IF(
        MATCH(2,1/((Y237:BF237&lt;&gt;0)*(Y237:BF237&lt;&gt;"")))-MATCH(1,INDEX((Y237:BF237&lt;&gt;0)*(Y237:BF237&lt;&gt;""),0),0)+1 &lt;= 12,
        "No",
        "Yes"
    ),
    "No"
)</f>
        <v>No</v>
      </c>
      <c r="W237" s="6" t="str" cm="1">
        <f t="array" ref="W237">IFERROR(
    IF(
        MATCH(2,1/((Y237:BF237&lt;&gt;0)*(Y237:BF237&lt;&gt;"")))-MATCH(1,INDEX((Y237:BF237&lt;&gt;0)*(Y237:BF237&lt;&gt;""),0),0)+1 &lt;= 24,
        "No",
        "Yes"
    ),
    "No"
)</f>
        <v>No</v>
      </c>
      <c r="X237" s="6"/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289.98968100000002</v>
      </c>
      <c r="AW237" s="8">
        <v>289.98968100000002</v>
      </c>
      <c r="AX237" s="8">
        <v>289.98968100000002</v>
      </c>
      <c r="AY237" s="8">
        <v>311.98968100000002</v>
      </c>
      <c r="AZ237" s="8">
        <v>311.98968100000002</v>
      </c>
      <c r="BA237" s="8">
        <v>311.98968100000002</v>
      </c>
      <c r="BB237" s="8">
        <v>311.98968100000002</v>
      </c>
      <c r="BC237" s="8">
        <v>311.98968100000002</v>
      </c>
      <c r="BD237" s="8">
        <v>311.98968100000002</v>
      </c>
      <c r="BE237" s="8">
        <v>311.98968100000002</v>
      </c>
      <c r="BF237" s="8">
        <v>311.98968100000002</v>
      </c>
      <c r="BH237" s="8">
        <f t="shared" si="44"/>
        <v>0</v>
      </c>
      <c r="BI237" s="8">
        <f t="shared" si="45"/>
        <v>289.98968100000002</v>
      </c>
      <c r="BJ237" s="8">
        <f t="shared" si="46"/>
        <v>3075.8968100000002</v>
      </c>
    </row>
    <row r="238" spans="1:62" x14ac:dyDescent="0.25">
      <c r="A238" s="9" t="s">
        <v>18</v>
      </c>
      <c r="B238" s="9" t="s">
        <v>644</v>
      </c>
      <c r="C238" s="10">
        <v>44927</v>
      </c>
      <c r="D238" s="6" cm="1">
        <f t="array" ref="D238">_xlfn.LET(
  _xlpm.aralık, Y238:BF238,
  _xlpm.ilk, MATCH(TRUE, _xlpm.aralık&lt;&gt;0, 0),
  _xlpm.son, MIN(_xlpm.ilk+2, COLUMNS(_xlpm.aralık)),
  MAX(INDEX(_xlpm.aralık, _xlpm.ilk):INDEX(_xlpm.aralık, _xlpm.son))
)</f>
        <v>273.32029045883849</v>
      </c>
      <c r="E238" s="6">
        <f t="shared" si="39"/>
        <v>206.16308393546043</v>
      </c>
      <c r="F238" s="6">
        <f t="shared" si="40"/>
        <v>279.17116324745325</v>
      </c>
      <c r="G238" s="6">
        <f t="shared" si="47"/>
        <v>310.1264320584379</v>
      </c>
      <c r="H238" s="7">
        <f t="shared" si="41"/>
        <v>-0.24570882172939809</v>
      </c>
      <c r="I238" s="7">
        <f t="shared" si="42"/>
        <v>2.1406653632602867E-2</v>
      </c>
      <c r="J238" s="7">
        <f t="shared" si="43"/>
        <v>0.3541277997900345</v>
      </c>
      <c r="K238" s="7">
        <f t="shared" si="48"/>
        <v>0.13466304143688282</v>
      </c>
      <c r="L238" s="5" t="s">
        <v>416</v>
      </c>
      <c r="M238" s="7">
        <f>IF(R238="",(VLOOKUP(A238,[1]Export!$B$2:$H$680,7,0)),"CHURN")</f>
        <v>0</v>
      </c>
      <c r="N238" s="5">
        <f t="shared" si="49"/>
        <v>310.1264320584379</v>
      </c>
      <c r="O238" s="5">
        <f t="shared" si="50"/>
        <v>206.16308393546043</v>
      </c>
      <c r="P238" s="5">
        <f t="shared" si="51"/>
        <v>279.17116324745325</v>
      </c>
      <c r="Q238" s="5" t="s">
        <v>430</v>
      </c>
      <c r="T238" s="6" t="str" cm="1">
        <f t="array" ref="T238">IF(R238&lt;&gt;"Churn","",
 _xlfn.LET(
   _xlpm.rng,Y238:BF238,
   _xlpm.pos,MAX(IF((_xlpm.rng&lt;&gt;0)*(_xlpm.rng&lt;&gt;""),COLUMN(_xlpm.rng)-COLUMN(Y238)+1)),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8" s="6" t="str" cm="1">
        <f t="array" ref="U238">IF(R238="Churn",
   MAX(IF((Y238:BF238&lt;&gt;"")*(Y238:BF238&lt;&gt;0), COLUMN(Y238:BF238)-COLUMN(Y238)+1))
   -MATCH(1, --((Y238:BF238&lt;&gt;"")*(Y238:BF238&lt;&gt;0)), 0)
   +1,
"")</f>
        <v/>
      </c>
      <c r="V238" s="6" t="str" cm="1">
        <f t="array" ref="V238">IFERROR(
    IF(
        MATCH(2,1/((Y238:BF238&lt;&gt;0)*(Y238:BF238&lt;&gt;"")))-MATCH(1,INDEX((Y238:BF238&lt;&gt;0)*(Y238:BF238&lt;&gt;""),0),0)+1 &lt;= 12,
        "No",
        "Yes"
    ),
    "No"
)</f>
        <v>Yes</v>
      </c>
      <c r="W238" s="6" t="str" cm="1">
        <f t="array" ref="W238">IFERROR(
    IF(
        MATCH(2,1/((Y238:BF238&lt;&gt;0)*(Y238:BF238&lt;&gt;"")))-MATCH(1,INDEX((Y238:BF238&lt;&gt;0)*(Y238:BF238&lt;&gt;""),0),0)+1 &lt;= 24,
        "No",
        "Yes"
    ),
    "No"
)</f>
        <v>Yes</v>
      </c>
      <c r="Y238" s="8">
        <v>151.8549122255215</v>
      </c>
      <c r="Z238" s="8">
        <v>151.32731609619788</v>
      </c>
      <c r="AA238" s="8">
        <v>273.32029045883849</v>
      </c>
      <c r="AB238" s="8">
        <v>268.464371364491</v>
      </c>
      <c r="AC238" s="8">
        <v>263.37536251473637</v>
      </c>
      <c r="AD238" s="8">
        <v>221.48885653481932</v>
      </c>
      <c r="AE238" s="8">
        <v>196.28846071402873</v>
      </c>
      <c r="AF238" s="8">
        <v>192.57481836793079</v>
      </c>
      <c r="AG238" s="8">
        <v>192.39610658034917</v>
      </c>
      <c r="AH238" s="8">
        <v>186.46606849971022</v>
      </c>
      <c r="AI238" s="8">
        <v>181.33277008281178</v>
      </c>
      <c r="AJ238" s="8">
        <v>212.94825381518359</v>
      </c>
      <c r="AK238" s="8">
        <v>206.16308393546043</v>
      </c>
      <c r="AL238" s="8">
        <v>201.4261189984428</v>
      </c>
      <c r="AM238" s="8">
        <v>193.71444611538246</v>
      </c>
      <c r="AN238" s="8">
        <v>306.86114500004652</v>
      </c>
      <c r="AO238" s="8">
        <v>307.30724584918846</v>
      </c>
      <c r="AP238" s="8">
        <v>304.70528936718063</v>
      </c>
      <c r="AQ238" s="8">
        <v>301.17567674036997</v>
      </c>
      <c r="AR238" s="8">
        <v>294.69203743751973</v>
      </c>
      <c r="AS238" s="8">
        <v>291.31811845910113</v>
      </c>
      <c r="AT238" s="8">
        <v>289.51670618395292</v>
      </c>
      <c r="AU238" s="8">
        <v>287.9208300325086</v>
      </c>
      <c r="AV238" s="8">
        <v>283.44397905039136</v>
      </c>
      <c r="AW238" s="8">
        <v>279.17116324745325</v>
      </c>
      <c r="AX238" s="8">
        <v>274.24988043656043</v>
      </c>
      <c r="AY238" s="8">
        <v>267.40769955589673</v>
      </c>
      <c r="AZ238" s="8">
        <v>340.43635818822293</v>
      </c>
      <c r="BA238" s="8">
        <v>334.72916139412405</v>
      </c>
      <c r="BB238" s="8">
        <v>329.04609142296272</v>
      </c>
      <c r="BC238" s="8">
        <v>322.71683014783628</v>
      </c>
      <c r="BD238" s="8">
        <v>317.74678683678076</v>
      </c>
      <c r="BE238" s="8">
        <v>313.90064529431447</v>
      </c>
      <c r="BF238" s="8">
        <v>310.1264320584379</v>
      </c>
      <c r="BH238" s="8">
        <f t="shared" si="44"/>
        <v>2491.8375872546189</v>
      </c>
      <c r="BI238" s="8">
        <f t="shared" si="45"/>
        <v>3268.244677169545</v>
      </c>
      <c r="BJ238" s="8">
        <f t="shared" si="46"/>
        <v>3089.5310485825894</v>
      </c>
    </row>
    <row r="239" spans="1:62" x14ac:dyDescent="0.25">
      <c r="A239" s="9" t="s">
        <v>479</v>
      </c>
      <c r="B239" s="9" t="s">
        <v>644</v>
      </c>
      <c r="C239" s="10">
        <f>VLOOKUP(A239,'[2]Revenue_Engine_2025 Oct.25'!$C$14:G$3937,5,0)</f>
        <v>45917</v>
      </c>
      <c r="D239" s="6" cm="1">
        <f t="array" ref="D239">_xlfn.LET(
  _xlpm.aralık, Y239:BF239,
  _xlpm.ilk, MATCH(TRUE, _xlpm.aralık&lt;&gt;0, 0),
  _xlpm.son, MIN(_xlpm.ilk+2, COLUMNS(_xlpm.aralık)),
  MAX(INDEX(_xlpm.aralık, _xlpm.ilk):INDEX(_xlpm.aralık, _xlpm.son))
)</f>
        <v>300</v>
      </c>
      <c r="E239" s="6">
        <f t="shared" si="39"/>
        <v>0</v>
      </c>
      <c r="F239" s="6">
        <f t="shared" si="40"/>
        <v>0</v>
      </c>
      <c r="G239" s="6">
        <f t="shared" si="47"/>
        <v>300</v>
      </c>
      <c r="H239" s="7">
        <f t="shared" si="41"/>
        <v>-1</v>
      </c>
      <c r="I239" s="7">
        <f t="shared" si="42"/>
        <v>-1</v>
      </c>
      <c r="J239" s="7" t="e">
        <f t="shared" si="43"/>
        <v>#DIV/0!</v>
      </c>
      <c r="K239" s="7">
        <f t="shared" si="48"/>
        <v>0</v>
      </c>
      <c r="L239" s="5" t="s">
        <v>413</v>
      </c>
      <c r="M239" s="7">
        <f>IF(R239="",(VLOOKUP(A239,[1]Export!$B$2:$H$680,7,0)),"CHURN")</f>
        <v>0.19166666666666668</v>
      </c>
      <c r="N239" s="5">
        <f t="shared" si="49"/>
        <v>242.5</v>
      </c>
      <c r="O239" s="5">
        <f t="shared" si="50"/>
        <v>0</v>
      </c>
      <c r="P239" s="5">
        <f t="shared" si="51"/>
        <v>0</v>
      </c>
      <c r="Q239" s="5" t="s">
        <v>430</v>
      </c>
      <c r="T239" s="6" t="str" cm="1">
        <f t="array" ref="T239">IF(R239&lt;&gt;"Churn","",
 _xlfn.LET(
   _xlpm.rng,Y239:BF239,
   _xlpm.pos,MAX(IF((_xlpm.rng&lt;&gt;0)*(_xlpm.rng&lt;&gt;""),COLUMN(_xlpm.rng)-COLUMN(Y239)+1)),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39" s="6" t="str" cm="1">
        <f t="array" ref="U239">IF(R239="Churn",
   MAX(IF((Y239:BF239&lt;&gt;"")*(Y239:BF239&lt;&gt;0), COLUMN(Y239:BF239)-COLUMN(Y239)+1))
   -MATCH(1, --((Y239:BF239&lt;&gt;"")*(Y239:BF239&lt;&gt;0)), 0)
   +1,
"")</f>
        <v/>
      </c>
      <c r="V239" s="6" t="str" cm="1">
        <f t="array" ref="V239">IFERROR(
    IF(
        MATCH(2,1/((Y239:BF239&lt;&gt;0)*(Y239:BF239&lt;&gt;"")))-MATCH(1,INDEX((Y239:BF239&lt;&gt;0)*(Y239:BF239&lt;&gt;""),0),0)+1 &lt;= 12,
        "No",
        "Yes"
    ),
    "No"
)</f>
        <v>No</v>
      </c>
      <c r="W239" s="6" t="str" cm="1">
        <f t="array" ref="W239">IFERROR(
    IF(
        MATCH(2,1/((Y239:BF239&lt;&gt;0)*(Y239:BF239&lt;&gt;"")))-MATCH(1,INDEX((Y239:BF239&lt;&gt;0)*(Y239:BF239&lt;&gt;""),0),0)+1 &lt;= 24,
        "No",
        "Yes"
    ),
    "No"
)</f>
        <v>No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300</v>
      </c>
      <c r="BF239" s="8">
        <v>300</v>
      </c>
      <c r="BH239" s="8">
        <f t="shared" si="44"/>
        <v>0</v>
      </c>
      <c r="BI239" s="8">
        <f t="shared" si="45"/>
        <v>0</v>
      </c>
      <c r="BJ239" s="8">
        <f t="shared" si="46"/>
        <v>600</v>
      </c>
    </row>
    <row r="240" spans="1:62" x14ac:dyDescent="0.25">
      <c r="A240" s="9" t="s">
        <v>136</v>
      </c>
      <c r="B240" s="9" t="s">
        <v>644</v>
      </c>
      <c r="C240" s="10">
        <v>44927</v>
      </c>
      <c r="D240" s="6" cm="1">
        <f t="array" ref="D240">_xlfn.LET(
  _xlpm.aralık, Y240:BF240,
  _xlpm.ilk, MATCH(TRUE, _xlpm.aralık&lt;&gt;0, 0),
  _xlpm.son, MIN(_xlpm.ilk+2, COLUMNS(_xlpm.aralık)),
  MAX(INDEX(_xlpm.aralık, _xlpm.ilk):INDEX(_xlpm.aralık, _xlpm.son))
)</f>
        <v>200</v>
      </c>
      <c r="E240" s="6">
        <f t="shared" si="39"/>
        <v>221</v>
      </c>
      <c r="F240" s="6">
        <f t="shared" si="40"/>
        <v>298.25080000000003</v>
      </c>
      <c r="G240" s="6">
        <f t="shared" si="47"/>
        <v>298.25080000000003</v>
      </c>
      <c r="H240" s="7">
        <f t="shared" si="41"/>
        <v>0.105</v>
      </c>
      <c r="I240" s="7">
        <f t="shared" si="42"/>
        <v>0.49125400000000014</v>
      </c>
      <c r="J240" s="7">
        <f t="shared" si="43"/>
        <v>0.3495511312217196</v>
      </c>
      <c r="K240" s="7">
        <f t="shared" si="48"/>
        <v>0.49125400000000014</v>
      </c>
      <c r="L240" s="5" t="s">
        <v>421</v>
      </c>
      <c r="M240" s="7">
        <f>IF(R240="",(VLOOKUP(A240,[1]Export!$B$2:$H$680,7,0)),"CHURN")</f>
        <v>0.58484336001781057</v>
      </c>
      <c r="N240" s="5">
        <f t="shared" si="49"/>
        <v>123.82079999999999</v>
      </c>
      <c r="O240" s="5">
        <f t="shared" si="50"/>
        <v>91.749617436063872</v>
      </c>
      <c r="P240" s="5">
        <f t="shared" si="51"/>
        <v>123.82079999999999</v>
      </c>
      <c r="Q240" s="5" t="s">
        <v>430</v>
      </c>
      <c r="T240" s="6" t="str" cm="1">
        <f t="array" ref="T240">IF(R240&lt;&gt;"Churn","",
 _xlfn.LET(
   _xlpm.rng,Y240:BF240,
   _xlpm.pos,MAX(IF((_xlpm.rng&lt;&gt;0)*(_xlpm.rng&lt;&gt;""),COLUMN(_xlpm.rng)-COLUMN(Y240)+1)),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0" s="6" t="str" cm="1">
        <f t="array" ref="U240">IF(R240="Churn",
   MAX(IF((Y240:BF240&lt;&gt;"")*(Y240:BF240&lt;&gt;0), COLUMN(Y240:BF240)-COLUMN(Y240)+1))
   -MATCH(1, --((Y240:BF240&lt;&gt;"")*(Y240:BF240&lt;&gt;0)), 0)
   +1,
"")</f>
        <v/>
      </c>
      <c r="V240" s="6" t="str" cm="1">
        <f t="array" ref="V240">IFERROR(
    IF(
        MATCH(2,1/((Y240:BF240&lt;&gt;0)*(Y240:BF240&lt;&gt;"")))-MATCH(1,INDEX((Y240:BF240&lt;&gt;0)*(Y240:BF240&lt;&gt;""),0),0)+1 &lt;= 12,
        "No",
        "Yes"
    ),
    "No"
)</f>
        <v>Yes</v>
      </c>
      <c r="W240" s="6" t="str" cm="1">
        <f t="array" ref="W240">IFERROR(
    IF(
        MATCH(2,1/((Y240:BF240&lt;&gt;0)*(Y240:BF240&lt;&gt;"")))-MATCH(1,INDEX((Y240:BF240&lt;&gt;0)*(Y240:BF240&lt;&gt;""),0),0)+1 &lt;= 24,
        "No",
        "Yes"
    ),
    "No"
)</f>
        <v>Yes</v>
      </c>
      <c r="Y240" s="8">
        <v>200</v>
      </c>
      <c r="Z240" s="8">
        <v>200</v>
      </c>
      <c r="AA240" s="8">
        <v>200</v>
      </c>
      <c r="AB240" s="8">
        <v>193</v>
      </c>
      <c r="AC240" s="8">
        <v>193</v>
      </c>
      <c r="AD240" s="8">
        <v>193</v>
      </c>
      <c r="AE240" s="8">
        <v>193</v>
      </c>
      <c r="AF240" s="8">
        <v>193</v>
      </c>
      <c r="AG240" s="8">
        <v>193</v>
      </c>
      <c r="AH240" s="8">
        <v>193</v>
      </c>
      <c r="AI240" s="8">
        <v>200</v>
      </c>
      <c r="AJ240" s="8">
        <v>207</v>
      </c>
      <c r="AK240" s="8">
        <v>221</v>
      </c>
      <c r="AL240" s="8">
        <v>221</v>
      </c>
      <c r="AM240" s="8">
        <v>231</v>
      </c>
      <c r="AN240" s="8">
        <v>233</v>
      </c>
      <c r="AO240" s="8">
        <v>233</v>
      </c>
      <c r="AP240" s="8">
        <v>233</v>
      </c>
      <c r="AQ240" s="8">
        <v>233</v>
      </c>
      <c r="AR240" s="8">
        <v>233</v>
      </c>
      <c r="AS240" s="8">
        <v>233</v>
      </c>
      <c r="AT240" s="8">
        <v>235.8</v>
      </c>
      <c r="AU240" s="8">
        <v>235.8</v>
      </c>
      <c r="AV240" s="8">
        <v>247</v>
      </c>
      <c r="AW240" s="8">
        <v>298.25080000000003</v>
      </c>
      <c r="AX240" s="8">
        <v>298.25080000000003</v>
      </c>
      <c r="AY240" s="8">
        <v>298.25080000000003</v>
      </c>
      <c r="AZ240" s="8">
        <v>298.25080000000003</v>
      </c>
      <c r="BA240" s="8">
        <v>298.25080000000003</v>
      </c>
      <c r="BB240" s="8">
        <v>298.25080000000003</v>
      </c>
      <c r="BC240" s="8">
        <v>298.25080000000003</v>
      </c>
      <c r="BD240" s="8">
        <v>298.25080000000003</v>
      </c>
      <c r="BE240" s="8">
        <v>298.25080000000003</v>
      </c>
      <c r="BF240" s="8">
        <v>298.25080000000003</v>
      </c>
      <c r="BH240" s="8">
        <f t="shared" si="44"/>
        <v>2358</v>
      </c>
      <c r="BI240" s="8">
        <f t="shared" si="45"/>
        <v>2789.6000000000004</v>
      </c>
      <c r="BJ240" s="8">
        <f t="shared" si="46"/>
        <v>2982.5079999999998</v>
      </c>
    </row>
    <row r="241" spans="1:62" x14ac:dyDescent="0.25">
      <c r="A241" s="9" t="s">
        <v>138</v>
      </c>
      <c r="B241" s="9" t="s">
        <v>643</v>
      </c>
      <c r="C241" s="10">
        <v>44927</v>
      </c>
      <c r="D241" s="6" cm="1">
        <f t="array" ref="D241">_xlfn.LET(
  _xlpm.aralık, Y241:BF241,
  _xlpm.ilk, MATCH(TRUE, _xlpm.aralık&lt;&gt;0, 0),
  _xlpm.son, MIN(_xlpm.ilk+2, COLUMNS(_xlpm.aralık)),
  MAX(INDEX(_xlpm.aralık, _xlpm.ilk):INDEX(_xlpm.aralık, _xlpm.son))
)</f>
        <v>296.99676000000011</v>
      </c>
      <c r="E241" s="6">
        <f t="shared" si="39"/>
        <v>296.99676000000011</v>
      </c>
      <c r="F241" s="6">
        <f t="shared" si="40"/>
        <v>296.99676000000011</v>
      </c>
      <c r="G241" s="6">
        <f t="shared" si="47"/>
        <v>296.99676000000011</v>
      </c>
      <c r="H241" s="7">
        <f t="shared" si="41"/>
        <v>0</v>
      </c>
      <c r="I241" s="7">
        <f t="shared" si="42"/>
        <v>0</v>
      </c>
      <c r="J241" s="7">
        <f t="shared" si="43"/>
        <v>0</v>
      </c>
      <c r="K241" s="7">
        <f t="shared" si="48"/>
        <v>0</v>
      </c>
      <c r="L241" s="5" t="s">
        <v>416</v>
      </c>
      <c r="M241" s="7">
        <f>IF(R241="",(VLOOKUP(A241,[1]Export!$B$2:$H$680,7,0)),"CHURN")</f>
        <v>4.1818638021505691E-2</v>
      </c>
      <c r="N241" s="5">
        <f t="shared" si="49"/>
        <v>284.57676000000009</v>
      </c>
      <c r="O241" s="5">
        <f t="shared" si="50"/>
        <v>284.57676000000009</v>
      </c>
      <c r="P241" s="5">
        <f t="shared" si="51"/>
        <v>284.57676000000009</v>
      </c>
      <c r="Q241" s="5" t="s">
        <v>430</v>
      </c>
      <c r="T241" s="6" t="str" cm="1">
        <f t="array" ref="T241">IF(R241&lt;&gt;"Churn","",
 _xlfn.LET(
   _xlpm.rng,Y241:BF241,
   _xlpm.pos,MAX(IF((_xlpm.rng&lt;&gt;0)*(_xlpm.rng&lt;&gt;""),COLUMN(_xlpm.rng)-COLUMN(Y241)+1)),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1" s="6" t="str" cm="1">
        <f t="array" ref="U241">IF(R241="Churn",
   MAX(IF((Y241:BF241&lt;&gt;"")*(Y241:BF241&lt;&gt;0), COLUMN(Y241:BF241)-COLUMN(Y241)+1))
   -MATCH(1, --((Y241:BF241&lt;&gt;"")*(Y241:BF241&lt;&gt;0)), 0)
   +1,
"")</f>
        <v/>
      </c>
      <c r="V241" s="6" t="str" cm="1">
        <f t="array" ref="V241">IFERROR(
    IF(
        MATCH(2,1/((Y241:BF241&lt;&gt;0)*(Y241:BF241&lt;&gt;"")))-MATCH(1,INDEX((Y241:BF241&lt;&gt;0)*(Y241:BF241&lt;&gt;""),0),0)+1 &lt;= 12,
        "No",
        "Yes"
    ),
    "No"
)</f>
        <v>Yes</v>
      </c>
      <c r="W241" s="6" t="str" cm="1">
        <f t="array" ref="W241">IFERROR(
    IF(
        MATCH(2,1/((Y241:BF241&lt;&gt;0)*(Y241:BF241&lt;&gt;"")))-MATCH(1,INDEX((Y241:BF241&lt;&gt;0)*(Y241:BF241&lt;&gt;""),0),0)+1 &lt;= 24,
        "No",
        "Yes"
    ),
    "No"
)</f>
        <v>No</v>
      </c>
      <c r="X241" s="6"/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296.99676000000011</v>
      </c>
      <c r="AL241" s="8">
        <v>296.99676000000011</v>
      </c>
      <c r="AM241" s="8">
        <v>296.99676000000011</v>
      </c>
      <c r="AN241" s="8">
        <v>296.99676000000011</v>
      </c>
      <c r="AO241" s="8">
        <v>296.99676000000011</v>
      </c>
      <c r="AP241" s="8">
        <v>296.99676000000011</v>
      </c>
      <c r="AQ241" s="8">
        <v>296.99676000000011</v>
      </c>
      <c r="AR241" s="8">
        <v>296.99676000000011</v>
      </c>
      <c r="AS241" s="8">
        <v>296.99676000000011</v>
      </c>
      <c r="AT241" s="8">
        <v>296.99676000000011</v>
      </c>
      <c r="AU241" s="8">
        <v>296.99676000000011</v>
      </c>
      <c r="AV241" s="8">
        <v>296.99676000000011</v>
      </c>
      <c r="AW241" s="8">
        <v>296.99676000000011</v>
      </c>
      <c r="AX241" s="8">
        <v>296.99676000000011</v>
      </c>
      <c r="AY241" s="8">
        <v>296.99676000000011</v>
      </c>
      <c r="AZ241" s="8">
        <v>296.99676000000005</v>
      </c>
      <c r="BA241" s="8">
        <v>296.99676000000011</v>
      </c>
      <c r="BB241" s="8">
        <v>296.99676000000011</v>
      </c>
      <c r="BC241" s="8">
        <v>296.99676000000011</v>
      </c>
      <c r="BD241" s="8">
        <v>296.99676000000011</v>
      </c>
      <c r="BE241" s="8">
        <v>296.99676000000011</v>
      </c>
      <c r="BF241" s="8">
        <v>296.99676000000011</v>
      </c>
      <c r="BH241" s="8">
        <f t="shared" si="44"/>
        <v>0</v>
      </c>
      <c r="BI241" s="8">
        <f t="shared" si="45"/>
        <v>3563.9611200000004</v>
      </c>
      <c r="BJ241" s="8">
        <f t="shared" si="46"/>
        <v>2969.9676000000004</v>
      </c>
    </row>
    <row r="242" spans="1:62" x14ac:dyDescent="0.25">
      <c r="A242" s="9" t="s">
        <v>112</v>
      </c>
      <c r="B242" s="9" t="s">
        <v>644</v>
      </c>
      <c r="C242" s="10">
        <v>44927</v>
      </c>
      <c r="D242" s="6" cm="1">
        <f t="array" ref="D242">_xlfn.LET(
  _xlpm.aralık, Y242:BF242,
  _xlpm.ilk, MATCH(TRUE, _xlpm.aralık&lt;&gt;0, 0),
  _xlpm.son, MIN(_xlpm.ilk+2, COLUMNS(_xlpm.aralık)),
  MAX(INDEX(_xlpm.aralık, _xlpm.ilk):INDEX(_xlpm.aralık, _xlpm.son))
)</f>
        <v>2224.04</v>
      </c>
      <c r="E242" s="6">
        <f t="shared" si="39"/>
        <v>2217.04</v>
      </c>
      <c r="F242" s="6">
        <f t="shared" si="40"/>
        <v>290</v>
      </c>
      <c r="G242" s="6">
        <f t="shared" si="47"/>
        <v>290</v>
      </c>
      <c r="H242" s="7">
        <f t="shared" si="41"/>
        <v>-3.1474254060178774E-3</v>
      </c>
      <c r="I242" s="7">
        <f t="shared" si="42"/>
        <v>-0.8696066617506879</v>
      </c>
      <c r="J242" s="7">
        <f t="shared" si="43"/>
        <v>-0.86919496265290652</v>
      </c>
      <c r="K242" s="7">
        <f t="shared" si="48"/>
        <v>-0.8696066617506879</v>
      </c>
      <c r="L242" s="5" t="s">
        <v>412</v>
      </c>
      <c r="M242" s="7">
        <f>IF(R242="",(VLOOKUP(A242,[1]Export!$B$2:$H$680,7,0)),"CHURN")</f>
        <v>9.7151122900007894E-2</v>
      </c>
      <c r="N242" s="5">
        <f t="shared" si="49"/>
        <v>261.82617435899772</v>
      </c>
      <c r="O242" s="5">
        <f t="shared" si="50"/>
        <v>2001.6520744857664</v>
      </c>
      <c r="P242" s="5">
        <f t="shared" si="51"/>
        <v>261.82617435899772</v>
      </c>
      <c r="Q242" s="5" t="str">
        <f>VLOOKUP(A242,[4]Sheet2!$A$1:$B$142,2,0)</f>
        <v>NO RISK</v>
      </c>
      <c r="T242" s="6" t="str" cm="1">
        <f t="array" ref="T242">IF(R242&lt;&gt;"Churn","",
 _xlfn.LET(
   _xlpm.rng,Y242:BF242,
   _xlpm.pos,MAX(IF((_xlpm.rng&lt;&gt;0)*(_xlpm.rng&lt;&gt;""),COLUMN(_xlpm.rng)-COLUMN(Y242)+1)),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2" s="6" t="str" cm="1">
        <f t="array" ref="U242">IF(R242="Churn",
   MAX(IF((Y242:BF242&lt;&gt;"")*(Y242:BF242&lt;&gt;0), COLUMN(Y242:BF242)-COLUMN(Y242)+1))
   -MATCH(1, --((Y242:BF242&lt;&gt;"")*(Y242:BF242&lt;&gt;0)), 0)
   +1,
"")</f>
        <v/>
      </c>
      <c r="V242" s="6" t="str" cm="1">
        <f t="array" ref="V242">IFERROR(
    IF(
        MATCH(2,1/((Y242:BF242&lt;&gt;0)*(Y242:BF242&lt;&gt;"")))-MATCH(1,INDEX((Y242:BF242&lt;&gt;0)*(Y242:BF242&lt;&gt;""),0),0)+1 &lt;= 12,
        "No",
        "Yes"
    ),
    "No"
)</f>
        <v>Yes</v>
      </c>
      <c r="W242" s="6" t="str" cm="1">
        <f t="array" ref="W242">IFERROR(
    IF(
        MATCH(2,1/((Y242:BF242&lt;&gt;0)*(Y242:BF242&lt;&gt;"")))-MATCH(1,INDEX((Y242:BF242&lt;&gt;0)*(Y242:BF242&lt;&gt;""),0),0)+1 &lt;= 24,
        "No",
        "Yes"
    ),
    "No"
)</f>
        <v>Yes</v>
      </c>
      <c r="X242" s="6"/>
      <c r="Y242" s="8">
        <v>2224.04</v>
      </c>
      <c r="Z242" s="8">
        <v>2224.04</v>
      </c>
      <c r="AA242" s="8">
        <v>2224.04</v>
      </c>
      <c r="AB242" s="8">
        <v>2224.04</v>
      </c>
      <c r="AC242" s="8">
        <v>2224.04</v>
      </c>
      <c r="AD242" s="8">
        <v>2224.04</v>
      </c>
      <c r="AE242" s="8">
        <v>2224.04</v>
      </c>
      <c r="AF242" s="8">
        <v>2224.04</v>
      </c>
      <c r="AG242" s="8">
        <v>2224.04</v>
      </c>
      <c r="AH242" s="8">
        <v>2224.04</v>
      </c>
      <c r="AI242" s="8">
        <v>2224.04</v>
      </c>
      <c r="AJ242" s="8">
        <v>2217.04</v>
      </c>
      <c r="AK242" s="8">
        <v>2217.04</v>
      </c>
      <c r="AL242" s="8">
        <v>2217.04</v>
      </c>
      <c r="AM242" s="8">
        <v>2217.04</v>
      </c>
      <c r="AN242" s="8">
        <v>290</v>
      </c>
      <c r="AO242" s="8">
        <v>290</v>
      </c>
      <c r="AP242" s="8">
        <v>290</v>
      </c>
      <c r="AQ242" s="8">
        <v>290</v>
      </c>
      <c r="AR242" s="8">
        <v>290</v>
      </c>
      <c r="AS242" s="8">
        <v>290</v>
      </c>
      <c r="AT242" s="8">
        <v>290</v>
      </c>
      <c r="AU242" s="8">
        <v>290</v>
      </c>
      <c r="AV242" s="8">
        <v>290</v>
      </c>
      <c r="AW242" s="8">
        <v>290</v>
      </c>
      <c r="AX242" s="8">
        <v>290</v>
      </c>
      <c r="AY242" s="8">
        <v>290</v>
      </c>
      <c r="AZ242" s="8">
        <v>290</v>
      </c>
      <c r="BA242" s="8">
        <v>290</v>
      </c>
      <c r="BB242" s="8">
        <v>290</v>
      </c>
      <c r="BC242" s="8">
        <v>290</v>
      </c>
      <c r="BD242" s="8">
        <v>290</v>
      </c>
      <c r="BE242" s="8">
        <v>290</v>
      </c>
      <c r="BF242" s="8">
        <v>290</v>
      </c>
      <c r="BH242" s="8">
        <f t="shared" si="44"/>
        <v>26681.480000000007</v>
      </c>
      <c r="BI242" s="8">
        <f t="shared" si="45"/>
        <v>9261.119999999999</v>
      </c>
      <c r="BJ242" s="8">
        <f t="shared" si="46"/>
        <v>2900</v>
      </c>
    </row>
    <row r="243" spans="1:62" x14ac:dyDescent="0.25">
      <c r="A243" s="9" t="s">
        <v>13</v>
      </c>
      <c r="B243" s="9" t="s">
        <v>644</v>
      </c>
      <c r="C243" s="10">
        <v>44927</v>
      </c>
      <c r="D243" s="6" cm="1">
        <f t="array" ref="D243">_xlfn.LET(
  _xlpm.aralık, Y243:BF243,
  _xlpm.ilk, MATCH(TRUE, _xlpm.aralık&lt;&gt;0, 0),
  _xlpm.son, MIN(_xlpm.ilk+2, COLUMNS(_xlpm.aralık)),
  MAX(INDEX(_xlpm.aralık, _xlpm.ilk):INDEX(_xlpm.aralık, _xlpm.son))
)</f>
        <v>280.85000000000002</v>
      </c>
      <c r="E243" s="6">
        <f t="shared" si="39"/>
        <v>289.84630399999998</v>
      </c>
      <c r="F243" s="6">
        <f t="shared" si="40"/>
        <v>290.84630399999998</v>
      </c>
      <c r="G243" s="6">
        <f t="shared" si="47"/>
        <v>289.84630399999998</v>
      </c>
      <c r="H243" s="7">
        <f t="shared" si="41"/>
        <v>3.2032415880363013E-2</v>
      </c>
      <c r="I243" s="7">
        <f t="shared" si="42"/>
        <v>3.5593035428164325E-2</v>
      </c>
      <c r="J243" s="7">
        <f t="shared" si="43"/>
        <v>3.450104369797312E-3</v>
      </c>
      <c r="K243" s="7">
        <f t="shared" si="48"/>
        <v>3.2032415880363013E-2</v>
      </c>
      <c r="L243" s="5" t="s">
        <v>416</v>
      </c>
      <c r="M243" s="7">
        <f>IF(R243="",(VLOOKUP(A243,[1]Export!$B$2:$H$680,7,0)),"CHURN")</f>
        <v>0.19711762041282124</v>
      </c>
      <c r="N243" s="5">
        <f t="shared" si="49"/>
        <v>232.7124902700688</v>
      </c>
      <c r="O243" s="5">
        <f t="shared" si="50"/>
        <v>232.7124902700688</v>
      </c>
      <c r="P243" s="5">
        <f t="shared" si="51"/>
        <v>233.51537264965597</v>
      </c>
      <c r="Q243" s="5" t="s">
        <v>430</v>
      </c>
      <c r="T243" s="6" t="str" cm="1">
        <f t="array" ref="T243">IF(R243&lt;&gt;"Churn","",
 _xlfn.LET(
   _xlpm.rng,Y243:BF243,
   _xlpm.pos,MAX(IF((_xlpm.rng&lt;&gt;0)*(_xlpm.rng&lt;&gt;""),COLUMN(_xlpm.rng)-COLUMN(Y243)+1)),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3" s="6" t="str" cm="1">
        <f t="array" ref="U243">IF(R243="Churn",
   MAX(IF((Y243:BF243&lt;&gt;"")*(Y243:BF243&lt;&gt;0), COLUMN(Y243:BF243)-COLUMN(Y243)+1))
   -MATCH(1, --((Y243:BF243&lt;&gt;"")*(Y243:BF243&lt;&gt;0)), 0)
   +1,
"")</f>
        <v/>
      </c>
      <c r="V243" s="6" t="str" cm="1">
        <f t="array" ref="V243">IFERROR(
    IF(
        MATCH(2,1/((Y243:BF243&lt;&gt;0)*(Y243:BF243&lt;&gt;"")))-MATCH(1,INDEX((Y243:BF243&lt;&gt;0)*(Y243:BF243&lt;&gt;""),0),0)+1 &lt;= 12,
        "No",
        "Yes"
    ),
    "No"
)</f>
        <v>Yes</v>
      </c>
      <c r="W243" s="6" t="str" cm="1">
        <f t="array" ref="W243">IFERROR(
    IF(
        MATCH(2,1/((Y243:BF243&lt;&gt;0)*(Y243:BF243&lt;&gt;"")))-MATCH(1,INDEX((Y243:BF243&lt;&gt;0)*(Y243:BF243&lt;&gt;""),0),0)+1 &lt;= 24,
        "No",
        "Yes"
    ),
    "No"
)</f>
        <v>Yes</v>
      </c>
      <c r="Y243" s="8">
        <v>280.85000000000002</v>
      </c>
      <c r="Z243" s="8">
        <v>280.85000000000002</v>
      </c>
      <c r="AA243" s="8">
        <v>280.85000000000002</v>
      </c>
      <c r="AB243" s="8">
        <v>289.85000000000002</v>
      </c>
      <c r="AC243" s="8">
        <v>289.84630399999998</v>
      </c>
      <c r="AD243" s="8">
        <v>289.84630399999998</v>
      </c>
      <c r="AE243" s="8">
        <v>289.84630399999998</v>
      </c>
      <c r="AF243" s="8">
        <v>289.84630399999998</v>
      </c>
      <c r="AG243" s="8">
        <v>289.84630399999998</v>
      </c>
      <c r="AH243" s="8">
        <v>289.84630399999998</v>
      </c>
      <c r="AI243" s="8">
        <v>289.84630399999998</v>
      </c>
      <c r="AJ243" s="8">
        <v>289.84630399999998</v>
      </c>
      <c r="AK243" s="8">
        <v>289.84630399999998</v>
      </c>
      <c r="AL243" s="8">
        <v>289.84630399999998</v>
      </c>
      <c r="AM243" s="8">
        <v>289.84630399999998</v>
      </c>
      <c r="AN243" s="8">
        <v>289.84630399999998</v>
      </c>
      <c r="AO243" s="8">
        <v>289.84630399999998</v>
      </c>
      <c r="AP243" s="8">
        <v>289.84630399999998</v>
      </c>
      <c r="AQ243" s="8">
        <v>289.84630399999998</v>
      </c>
      <c r="AR243" s="8">
        <v>289.84630399999998</v>
      </c>
      <c r="AS243" s="8">
        <v>290.84630399999998</v>
      </c>
      <c r="AT243" s="8">
        <v>290.84630399999998</v>
      </c>
      <c r="AU243" s="8">
        <v>290.84630399999998</v>
      </c>
      <c r="AV243" s="8">
        <v>290.84630399999998</v>
      </c>
      <c r="AW243" s="8">
        <v>290.84630399999998</v>
      </c>
      <c r="AX243" s="8">
        <v>290.84630399999998</v>
      </c>
      <c r="AY243" s="8">
        <v>290.84630399999998</v>
      </c>
      <c r="AZ243" s="8">
        <v>290.84630399999998</v>
      </c>
      <c r="BA243" s="8">
        <v>290.84630399999998</v>
      </c>
      <c r="BB243" s="8">
        <v>290.84630399999998</v>
      </c>
      <c r="BC243" s="8">
        <v>290.84630399999998</v>
      </c>
      <c r="BD243" s="8">
        <v>290.84630399999998</v>
      </c>
      <c r="BE243" s="8">
        <v>289.84630399999998</v>
      </c>
      <c r="BF243" s="8">
        <v>289.84630399999998</v>
      </c>
      <c r="BH243" s="8">
        <f t="shared" si="44"/>
        <v>3451.1704320000003</v>
      </c>
      <c r="BI243" s="8">
        <f t="shared" si="45"/>
        <v>3482.1556480000004</v>
      </c>
      <c r="BJ243" s="8">
        <f t="shared" si="46"/>
        <v>2906.4630400000001</v>
      </c>
    </row>
    <row r="244" spans="1:62" x14ac:dyDescent="0.25">
      <c r="A244" s="9" t="s">
        <v>43</v>
      </c>
      <c r="B244" s="9" t="s">
        <v>644</v>
      </c>
      <c r="C244" s="10">
        <v>44927</v>
      </c>
      <c r="D244" s="6" cm="1">
        <f t="array" ref="D244">_xlfn.LET(
  _xlpm.aralık, Y244:BF244,
  _xlpm.ilk, MATCH(TRUE, _xlpm.aralık&lt;&gt;0, 0),
  _xlpm.son, MIN(_xlpm.ilk+2, COLUMNS(_xlpm.aralık)),
  MAX(INDEX(_xlpm.aralık, _xlpm.ilk):INDEX(_xlpm.aralık, _xlpm.son))
)</f>
        <v>80</v>
      </c>
      <c r="E244" s="6">
        <f t="shared" si="39"/>
        <v>89.001999999999981</v>
      </c>
      <c r="F244" s="6">
        <f t="shared" si="40"/>
        <v>288.98870299999999</v>
      </c>
      <c r="G244" s="6">
        <f t="shared" si="47"/>
        <v>288.98870299999999</v>
      </c>
      <c r="H244" s="7">
        <f t="shared" si="41"/>
        <v>0.11252499999999976</v>
      </c>
      <c r="I244" s="7">
        <f t="shared" si="42"/>
        <v>2.6123587874999998</v>
      </c>
      <c r="J244" s="7">
        <f t="shared" si="43"/>
        <v>2.246991112559269</v>
      </c>
      <c r="K244" s="7">
        <f t="shared" si="48"/>
        <v>2.6123587874999998</v>
      </c>
      <c r="L244" s="5" t="s">
        <v>416</v>
      </c>
      <c r="M244" s="7">
        <f>IF(R244="",(VLOOKUP(A244,[1]Export!$B$2:$H$680,7,0)),"CHURN")</f>
        <v>0.11713260639119169</v>
      </c>
      <c r="N244" s="5">
        <f t="shared" si="49"/>
        <v>255.13870299999999</v>
      </c>
      <c r="O244" s="5">
        <f t="shared" si="50"/>
        <v>78.576963765971144</v>
      </c>
      <c r="P244" s="5">
        <f t="shared" si="51"/>
        <v>255.13870299999999</v>
      </c>
      <c r="Q244" s="5" t="s">
        <v>430</v>
      </c>
      <c r="T244" s="6" t="str" cm="1">
        <f t="array" ref="T244">IF(R244&lt;&gt;"Churn","",
 _xlfn.LET(
   _xlpm.rng,Y244:BF244,
   _xlpm.pos,MAX(IF((_xlpm.rng&lt;&gt;0)*(_xlpm.rng&lt;&gt;""),COLUMN(_xlpm.rng)-COLUMN(Y244)+1)),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4" s="6" t="str" cm="1">
        <f t="array" ref="U244">IF(R244="Churn",
   MAX(IF((Y244:BF244&lt;&gt;"")*(Y244:BF244&lt;&gt;0), COLUMN(Y244:BF244)-COLUMN(Y244)+1))
   -MATCH(1, --((Y244:BF244&lt;&gt;"")*(Y244:BF244&lt;&gt;0)), 0)
   +1,
"")</f>
        <v/>
      </c>
      <c r="V244" s="6" t="str" cm="1">
        <f t="array" ref="V244">IFERROR(
    IF(
        MATCH(2,1/((Y244:BF244&lt;&gt;0)*(Y244:BF244&lt;&gt;"")))-MATCH(1,INDEX((Y244:BF244&lt;&gt;0)*(Y244:BF244&lt;&gt;""),0),0)+1 &lt;= 12,
        "No",
        "Yes"
    ),
    "No"
)</f>
        <v>Yes</v>
      </c>
      <c r="W244" s="6" t="str" cm="1">
        <f t="array" ref="W244">IFERROR(
    IF(
        MATCH(2,1/((Y244:BF244&lt;&gt;0)*(Y244:BF244&lt;&gt;"")))-MATCH(1,INDEX((Y244:BF244&lt;&gt;0)*(Y244:BF244&lt;&gt;""),0),0)+1 &lt;= 24,
        "No",
        "Yes"
    ),
    "No"
)</f>
        <v>Yes</v>
      </c>
      <c r="X244" s="6"/>
      <c r="Y244" s="8">
        <v>80</v>
      </c>
      <c r="Z244" s="8">
        <v>80</v>
      </c>
      <c r="AA244" s="8">
        <v>80</v>
      </c>
      <c r="AB244" s="8">
        <v>80</v>
      </c>
      <c r="AC244" s="8">
        <v>89.001999999999981</v>
      </c>
      <c r="AD244" s="8">
        <v>89.001999999999981</v>
      </c>
      <c r="AE244" s="8">
        <v>89.001999999999981</v>
      </c>
      <c r="AF244" s="8">
        <v>89.001999999999981</v>
      </c>
      <c r="AG244" s="8">
        <v>129.00199999999998</v>
      </c>
      <c r="AH244" s="8">
        <v>49.001999999999981</v>
      </c>
      <c r="AI244" s="8">
        <v>89.001999999999981</v>
      </c>
      <c r="AJ244" s="8">
        <v>89.001999999999981</v>
      </c>
      <c r="AK244" s="8">
        <v>89.001999999999981</v>
      </c>
      <c r="AL244" s="8">
        <v>89.001999999999981</v>
      </c>
      <c r="AM244" s="8">
        <v>89.001999999999981</v>
      </c>
      <c r="AN244" s="8">
        <v>89.001999999999981</v>
      </c>
      <c r="AO244" s="8">
        <v>89.001999999999981</v>
      </c>
      <c r="AP244" s="8">
        <v>89.001999999999981</v>
      </c>
      <c r="AQ244" s="8">
        <v>89.001999999999981</v>
      </c>
      <c r="AR244" s="8">
        <v>89.001999999999981</v>
      </c>
      <c r="AS244" s="8">
        <v>89.001999999999981</v>
      </c>
      <c r="AT244" s="8">
        <v>89.001999999999981</v>
      </c>
      <c r="AU244" s="8">
        <v>89.001999999999981</v>
      </c>
      <c r="AV244" s="8">
        <v>288.98870299999999</v>
      </c>
      <c r="AW244" s="8">
        <v>288.98870299999999</v>
      </c>
      <c r="AX244" s="8">
        <v>288.98870299999999</v>
      </c>
      <c r="AY244" s="8">
        <v>288.98870299999999</v>
      </c>
      <c r="AZ244" s="8">
        <v>288.98870299999999</v>
      </c>
      <c r="BA244" s="8">
        <v>288.98870299999999</v>
      </c>
      <c r="BB244" s="8">
        <v>288.98870299999999</v>
      </c>
      <c r="BC244" s="8">
        <v>288.98870299999999</v>
      </c>
      <c r="BD244" s="8">
        <v>288.98870299999999</v>
      </c>
      <c r="BE244" s="8">
        <v>288.98870299999999</v>
      </c>
      <c r="BF244" s="8">
        <v>288.98870299999999</v>
      </c>
      <c r="BH244" s="8">
        <f t="shared" si="44"/>
        <v>1032.0159999999996</v>
      </c>
      <c r="BI244" s="8">
        <f t="shared" si="45"/>
        <v>1268.0107029999995</v>
      </c>
      <c r="BJ244" s="8">
        <f t="shared" si="46"/>
        <v>2889.8870299999999</v>
      </c>
    </row>
    <row r="245" spans="1:62" x14ac:dyDescent="0.25">
      <c r="A245" s="9" t="s">
        <v>480</v>
      </c>
      <c r="B245" s="9" t="s">
        <v>644</v>
      </c>
      <c r="C245" s="10">
        <f>VLOOKUP(A245,'[2]Revenue_Engine_2025 Oct.25'!$C$14:G$3937,5,0)</f>
        <v>45825</v>
      </c>
      <c r="D245" s="6" cm="1">
        <f t="array" ref="D245">_xlfn.LET(
  _xlpm.aralık, Y245:BF245,
  _xlpm.ilk, MATCH(TRUE, _xlpm.aralık&lt;&gt;0, 0),
  _xlpm.son, MIN(_xlpm.ilk+2, COLUMNS(_xlpm.aralık)),
  MAX(INDEX(_xlpm.aralık, _xlpm.ilk):INDEX(_xlpm.aralık, _xlpm.son))
)</f>
        <v>220.50000100105535</v>
      </c>
      <c r="E245" s="6">
        <f t="shared" si="39"/>
        <v>0</v>
      </c>
      <c r="F245" s="6">
        <f t="shared" si="40"/>
        <v>0</v>
      </c>
      <c r="G245" s="6">
        <f t="shared" si="47"/>
        <v>285</v>
      </c>
      <c r="H245" s="7">
        <f t="shared" si="41"/>
        <v>-1</v>
      </c>
      <c r="I245" s="7">
        <f t="shared" si="42"/>
        <v>-1</v>
      </c>
      <c r="J245" s="7" t="e">
        <f t="shared" si="43"/>
        <v>#DIV/0!</v>
      </c>
      <c r="K245" s="7">
        <f t="shared" si="48"/>
        <v>0.29251700093477978</v>
      </c>
      <c r="L245" s="5" t="s">
        <v>418</v>
      </c>
      <c r="M245" s="7">
        <f>IF(R245="",(VLOOKUP(A245,[1]Export!$B$2:$H$680,7,0)),"CHURN")</f>
        <v>0.15789473684210525</v>
      </c>
      <c r="N245" s="5">
        <f t="shared" si="49"/>
        <v>240</v>
      </c>
      <c r="O245" s="5">
        <f t="shared" si="50"/>
        <v>0</v>
      </c>
      <c r="P245" s="5">
        <f t="shared" si="51"/>
        <v>0</v>
      </c>
      <c r="Q245" s="5" t="s">
        <v>430</v>
      </c>
      <c r="T245" s="6" t="str" cm="1">
        <f t="array" ref="T245">IF(R245&lt;&gt;"Churn","",
 _xlfn.LET(
   _xlpm.rng,Y245:BF245,
   _xlpm.pos,MAX(IF((_xlpm.rng&lt;&gt;0)*(_xlpm.rng&lt;&gt;""),COLUMN(_xlpm.rng)-COLUMN(Y245)+1)),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5" s="6" t="str" cm="1">
        <f t="array" ref="U245">IF(R245="Churn",
   MAX(IF((Y245:BF245&lt;&gt;"")*(Y245:BF245&lt;&gt;0), COLUMN(Y245:BF245)-COLUMN(Y245)+1))
   -MATCH(1, --((Y245:BF245&lt;&gt;"")*(Y245:BF245&lt;&gt;0)), 0)
   +1,
"")</f>
        <v/>
      </c>
      <c r="V245" s="14" t="s">
        <v>705</v>
      </c>
      <c r="W245" s="6" t="str" cm="1">
        <f t="array" ref="W245">IFERROR(
    IF(
        MATCH(2,1/((Y245:BF245&lt;&gt;0)*(Y245:BF245&lt;&gt;"")))-MATCH(1,INDEX((Y245:BF245&lt;&gt;0)*(Y245:BF245&lt;&gt;""),0),0)+1 &lt;= 24,
        "No",
        "Yes"
    ),
    "No"
)</f>
        <v>No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-217.33813804143574</v>
      </c>
      <c r="AL245" s="8">
        <v>-1.280568540096283E-9</v>
      </c>
      <c r="AM245" s="8">
        <v>220.50000100105535</v>
      </c>
      <c r="AN245" s="8">
        <v>50.499999999301508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285</v>
      </c>
      <c r="BC245" s="8">
        <v>285</v>
      </c>
      <c r="BD245" s="8">
        <v>285</v>
      </c>
      <c r="BE245" s="8">
        <v>285</v>
      </c>
      <c r="BF245" s="8">
        <v>285</v>
      </c>
      <c r="BH245" s="8">
        <f t="shared" si="44"/>
        <v>0</v>
      </c>
      <c r="BI245" s="8">
        <f t="shared" si="45"/>
        <v>53.661862957640551</v>
      </c>
      <c r="BJ245" s="8">
        <f t="shared" si="46"/>
        <v>1425</v>
      </c>
    </row>
    <row r="246" spans="1:62" x14ac:dyDescent="0.25">
      <c r="A246" s="9" t="s">
        <v>254</v>
      </c>
      <c r="B246" s="9" t="s">
        <v>644</v>
      </c>
      <c r="C246" s="10">
        <f>VLOOKUP(A246,'[2]Revenue_Engine_2025 Oct.25'!$C$14:G$3937,5,0)</f>
        <v>45287</v>
      </c>
      <c r="D246" s="6" cm="1">
        <f t="array" ref="D246">_xlfn.LET(
  _xlpm.aralık, Y246:BF246,
  _xlpm.ilk, MATCH(TRUE, _xlpm.aralık&lt;&gt;0, 0),
  _xlpm.son, MIN(_xlpm.ilk+2, COLUMNS(_xlpm.aralık)),
  MAX(INDEX(_xlpm.aralık, _xlpm.ilk):INDEX(_xlpm.aralık, _xlpm.son))
)</f>
        <v>260.0163</v>
      </c>
      <c r="E246" s="6">
        <f t="shared" si="39"/>
        <v>280.0163</v>
      </c>
      <c r="F246" s="6">
        <f t="shared" si="40"/>
        <v>0</v>
      </c>
      <c r="G246" s="6">
        <f t="shared" si="47"/>
        <v>280.0163</v>
      </c>
      <c r="H246" s="7">
        <f t="shared" si="41"/>
        <v>7.69182547401836E-2</v>
      </c>
      <c r="I246" s="7">
        <f t="shared" si="42"/>
        <v>-1</v>
      </c>
      <c r="J246" s="7">
        <f t="shared" si="43"/>
        <v>-1</v>
      </c>
      <c r="K246" s="7">
        <f t="shared" si="48"/>
        <v>7.69182547401836E-2</v>
      </c>
      <c r="L246" s="5" t="s">
        <v>418</v>
      </c>
      <c r="M246" s="7">
        <f>IF(R246="",(VLOOKUP(A246,[1]Export!$B$2:$H$680,7,0)),"CHURN")</f>
        <v>0.29641131605552956</v>
      </c>
      <c r="N246" s="5">
        <f t="shared" si="49"/>
        <v>197.01630000000003</v>
      </c>
      <c r="O246" s="5">
        <f t="shared" si="50"/>
        <v>197.01630000000003</v>
      </c>
      <c r="P246" s="5">
        <f t="shared" si="51"/>
        <v>0</v>
      </c>
      <c r="Q246" s="5" t="s">
        <v>430</v>
      </c>
      <c r="T246" s="6" t="str" cm="1">
        <f t="array" ref="T246">IF(R246&lt;&gt;"Churn","",
 _xlfn.LET(
   _xlpm.rng,Y246:BF246,
   _xlpm.pos,MAX(IF((_xlpm.rng&lt;&gt;0)*(_xlpm.rng&lt;&gt;""),COLUMN(_xlpm.rng)-COLUMN(Y246)+1)),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6" s="6" t="str" cm="1">
        <f t="array" ref="U246">IF(R246="Churn",
   MAX(IF((Y246:BF246&lt;&gt;"")*(Y246:BF246&lt;&gt;0), COLUMN(Y246:BF246)-COLUMN(Y246)+1))
   -MATCH(1, --((Y246:BF246&lt;&gt;"")*(Y246:BF246&lt;&gt;0)), 0)
   +1,
"")</f>
        <v/>
      </c>
      <c r="V246" s="6" t="str" cm="1">
        <f t="array" ref="V246">IFERROR(
    IF(
        MATCH(2,1/((Y246:BF246&lt;&gt;0)*(Y246:BF246&lt;&gt;"")))-MATCH(1,INDEX((Y246:BF246&lt;&gt;0)*(Y246:BF246&lt;&gt;""),0),0)+1 &lt;= 12,
        "No",
        "Yes"
    ),
    "No"
)</f>
        <v>Yes</v>
      </c>
      <c r="W246" s="6" t="str" cm="1">
        <f t="array" ref="W246">IFERROR(
    IF(
        MATCH(2,1/((Y246:BF246&lt;&gt;0)*(Y246:BF246&lt;&gt;"")))-MATCH(1,INDEX((Y246:BF246&lt;&gt;0)*(Y246:BF246&lt;&gt;""),0),0)+1 &lt;= 24,
        "No",
        "Yes"
    ),
    "No"
)</f>
        <v>No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260.00012849999996</v>
      </c>
      <c r="AK246" s="8">
        <v>260.0163</v>
      </c>
      <c r="AL246" s="8">
        <v>260.0163</v>
      </c>
      <c r="AM246" s="8">
        <v>280.0163</v>
      </c>
      <c r="AN246" s="8">
        <v>280.0163</v>
      </c>
      <c r="AO246" s="8">
        <v>280.0163</v>
      </c>
      <c r="AP246" s="8">
        <v>280.0163</v>
      </c>
      <c r="AQ246" s="8">
        <v>280.0163</v>
      </c>
      <c r="AR246" s="8">
        <v>280.0163</v>
      </c>
      <c r="AS246" s="8">
        <v>280.0163</v>
      </c>
      <c r="AT246" s="8">
        <v>280.0163</v>
      </c>
      <c r="AU246" s="8">
        <v>280.0163</v>
      </c>
      <c r="AV246" s="8">
        <v>280.0163</v>
      </c>
      <c r="AW246" s="8">
        <v>280.0163</v>
      </c>
      <c r="AX246" s="8">
        <v>280.0163</v>
      </c>
      <c r="AY246" s="8">
        <v>280.0163</v>
      </c>
      <c r="AZ246" s="8">
        <v>280.01629999999994</v>
      </c>
      <c r="BA246" s="8">
        <v>280.0163</v>
      </c>
      <c r="BB246" s="8">
        <v>280.0163</v>
      </c>
      <c r="BC246" s="8">
        <v>280.0163</v>
      </c>
      <c r="BD246" s="8">
        <v>280.0163</v>
      </c>
      <c r="BE246" s="8">
        <v>280.0163</v>
      </c>
      <c r="BF246" s="8">
        <v>280.0163</v>
      </c>
      <c r="BH246" s="8">
        <f t="shared" si="44"/>
        <v>260.00012849999996</v>
      </c>
      <c r="BI246" s="8">
        <f t="shared" si="45"/>
        <v>3320.1956000000009</v>
      </c>
      <c r="BJ246" s="8">
        <f t="shared" si="46"/>
        <v>2800.1630000000005</v>
      </c>
    </row>
    <row r="247" spans="1:62" x14ac:dyDescent="0.25">
      <c r="A247" s="9" t="s">
        <v>102</v>
      </c>
      <c r="B247" s="9" t="s">
        <v>644</v>
      </c>
      <c r="C247" s="10">
        <v>44927</v>
      </c>
      <c r="D247" s="6" cm="1">
        <f t="array" ref="D247">_xlfn.LET(
  _xlpm.aralık, Y247:BF247,
  _xlpm.ilk, MATCH(TRUE, _xlpm.aralık&lt;&gt;0, 0),
  _xlpm.son, MIN(_xlpm.ilk+2, COLUMNS(_xlpm.aralık)),
  MAX(INDEX(_xlpm.aralık, _xlpm.ilk):INDEX(_xlpm.aralık, _xlpm.son))
)</f>
        <v>197.81638722044391</v>
      </c>
      <c r="E247" s="6">
        <f t="shared" si="39"/>
        <v>185.95591994571686</v>
      </c>
      <c r="F247" s="6">
        <f t="shared" si="40"/>
        <v>249.00013579027569</v>
      </c>
      <c r="G247" s="6">
        <f t="shared" si="47"/>
        <v>276.39663005107087</v>
      </c>
      <c r="H247" s="7">
        <f t="shared" si="41"/>
        <v>-5.9956950186891809E-2</v>
      </c>
      <c r="I247" s="7">
        <f t="shared" si="42"/>
        <v>0.25874372335388623</v>
      </c>
      <c r="J247" s="7">
        <f t="shared" si="43"/>
        <v>0.33902774304234212</v>
      </c>
      <c r="K247" s="7">
        <f t="shared" si="48"/>
        <v>0.39723828715493725</v>
      </c>
      <c r="L247" s="5" t="s">
        <v>423</v>
      </c>
      <c r="M247" s="7">
        <f>IF(R247="",(VLOOKUP(A247,[1]Export!$B$2:$H$680,7,0)),"CHURN")</f>
        <v>0.33382281705700173</v>
      </c>
      <c r="N247" s="5">
        <f t="shared" si="49"/>
        <v>184.12912838236048</v>
      </c>
      <c r="O247" s="5">
        <f t="shared" si="50"/>
        <v>123.87959090101137</v>
      </c>
      <c r="P247" s="5">
        <f t="shared" si="51"/>
        <v>165.87820901318992</v>
      </c>
      <c r="Q247" s="5" t="s">
        <v>430</v>
      </c>
      <c r="T247" s="6" t="str" cm="1">
        <f t="array" ref="T247">IF(R247&lt;&gt;"Churn","",
 _xlfn.LET(
   _xlpm.rng,Y247:BF247,
   _xlpm.pos,MAX(IF((_xlpm.rng&lt;&gt;0)*(_xlpm.rng&lt;&gt;""),COLUMN(_xlpm.rng)-COLUMN(Y247)+1)),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7" s="6" t="str" cm="1">
        <f t="array" ref="U247">IF(R247="Churn",
   MAX(IF((Y247:BF247&lt;&gt;"")*(Y247:BF247&lt;&gt;0), COLUMN(Y247:BF247)-COLUMN(Y247)+1))
   -MATCH(1, --((Y247:BF247&lt;&gt;"")*(Y247:BF247&lt;&gt;0)), 0)
   +1,
"")</f>
        <v/>
      </c>
      <c r="V247" s="6" t="str" cm="1">
        <f t="array" ref="V247">IFERROR(
    IF(
        MATCH(2,1/((Y247:BF247&lt;&gt;0)*(Y247:BF247&lt;&gt;"")))-MATCH(1,INDEX((Y247:BF247&lt;&gt;0)*(Y247:BF247&lt;&gt;""),0),0)+1 &lt;= 12,
        "No",
        "Yes"
    ),
    "No"
)</f>
        <v>Yes</v>
      </c>
      <c r="W247" s="6" t="str" cm="1">
        <f t="array" ref="W247">IFERROR(
    IF(
        MATCH(2,1/((Y247:BF247&lt;&gt;0)*(Y247:BF247&lt;&gt;"")))-MATCH(1,INDEX((Y247:BF247&lt;&gt;0)*(Y247:BF247&lt;&gt;""),0),0)+1 &lt;= 24,
        "No",
        "Yes"
    ),
    "No"
)</f>
        <v>Yes</v>
      </c>
      <c r="X247" s="6"/>
      <c r="Y247" s="8">
        <v>193.61946978137678</v>
      </c>
      <c r="Z247" s="8">
        <v>183.56148897400618</v>
      </c>
      <c r="AA247" s="8">
        <v>197.81638722044391</v>
      </c>
      <c r="AB247" s="8">
        <v>195.84891083647136</v>
      </c>
      <c r="AC247" s="8">
        <v>244.90078529615022</v>
      </c>
      <c r="AD247" s="8">
        <v>219.80059886841477</v>
      </c>
      <c r="AE247" s="8">
        <v>204.69944353552913</v>
      </c>
      <c r="AF247" s="8">
        <v>202.47407015972922</v>
      </c>
      <c r="AG247" s="8">
        <v>202.36697841072339</v>
      </c>
      <c r="AH247" s="8">
        <v>198.81344588597727</v>
      </c>
      <c r="AI247" s="8">
        <v>191.05735385492727</v>
      </c>
      <c r="AJ247" s="8">
        <v>189.36428201189588</v>
      </c>
      <c r="AK247" s="8">
        <v>185.95591994571686</v>
      </c>
      <c r="AL247" s="8">
        <v>183.57642291228231</v>
      </c>
      <c r="AM247" s="8">
        <v>179.70265500560811</v>
      </c>
      <c r="AN247" s="8">
        <v>178.73348110846081</v>
      </c>
      <c r="AO247" s="8">
        <v>239.3945165644171</v>
      </c>
      <c r="AP247" s="8">
        <v>238.06520879405184</v>
      </c>
      <c r="AQ247" s="8">
        <v>254.44197283540194</v>
      </c>
      <c r="AR247" s="8">
        <v>254.9295607466056</v>
      </c>
      <c r="AS247" s="8">
        <v>255.2058667703198</v>
      </c>
      <c r="AT247" s="8">
        <v>254.28554725247068</v>
      </c>
      <c r="AU247" s="8">
        <v>253.47023362854003</v>
      </c>
      <c r="AV247" s="8">
        <v>251.18306516955658</v>
      </c>
      <c r="AW247" s="8">
        <v>249.00013579027569</v>
      </c>
      <c r="AX247" s="8">
        <v>246.48591254099335</v>
      </c>
      <c r="AY247" s="8">
        <v>242.99032594152322</v>
      </c>
      <c r="AZ247" s="8">
        <v>239.34090584905013</v>
      </c>
      <c r="BA247" s="8">
        <v>276.55856834301613</v>
      </c>
      <c r="BB247" s="8">
        <v>285.58599806494755</v>
      </c>
      <c r="BC247" s="8">
        <v>283.51064569492382</v>
      </c>
      <c r="BD247" s="8">
        <v>280.50064681674428</v>
      </c>
      <c r="BE247" s="8">
        <v>278.42926958660604</v>
      </c>
      <c r="BF247" s="8">
        <v>276.39663005107087</v>
      </c>
      <c r="BH247" s="8">
        <f t="shared" si="44"/>
        <v>2424.3232148356451</v>
      </c>
      <c r="BI247" s="8">
        <f t="shared" si="45"/>
        <v>2728.944450733431</v>
      </c>
      <c r="BJ247" s="8">
        <f t="shared" si="46"/>
        <v>2658.7990386791512</v>
      </c>
    </row>
    <row r="248" spans="1:62" x14ac:dyDescent="0.25">
      <c r="A248" s="9" t="s">
        <v>481</v>
      </c>
      <c r="B248" s="9" t="s">
        <v>644</v>
      </c>
      <c r="C248" s="10">
        <f>VLOOKUP(A248,'[2]Revenue_Engine_2025 Oct.25'!$C$14:G$3937,5,0)</f>
        <v>45809</v>
      </c>
      <c r="D248" s="6" cm="1">
        <f t="array" ref="D248">_xlfn.LET(
  _xlpm.aralık, Y248:BF248,
  _xlpm.ilk, MATCH(TRUE, _xlpm.aralık&lt;&gt;0, 0),
  _xlpm.son, MIN(_xlpm.ilk+2, COLUMNS(_xlpm.aralık)),
  MAX(INDEX(_xlpm.aralık, _xlpm.ilk):INDEX(_xlpm.aralık, _xlpm.son))
)</f>
        <v>220.50000100105535</v>
      </c>
      <c r="E248" s="6">
        <f t="shared" si="39"/>
        <v>0</v>
      </c>
      <c r="F248" s="6">
        <f t="shared" si="40"/>
        <v>0</v>
      </c>
      <c r="G248" s="6">
        <f t="shared" si="47"/>
        <v>275</v>
      </c>
      <c r="H248" s="7">
        <f t="shared" si="41"/>
        <v>-1</v>
      </c>
      <c r="I248" s="7">
        <f t="shared" si="42"/>
        <v>-1</v>
      </c>
      <c r="J248" s="7" t="e">
        <f t="shared" si="43"/>
        <v>#DIV/0!</v>
      </c>
      <c r="K248" s="7">
        <f t="shared" si="48"/>
        <v>0.24716552721776994</v>
      </c>
      <c r="L248" s="5" t="s">
        <v>418</v>
      </c>
      <c r="M248" s="7">
        <f>IF(R248="",(VLOOKUP(A248,[1]Export!$B$2:$H$680,7,0)),"CHURN")</f>
        <v>9.2727272727272728E-2</v>
      </c>
      <c r="N248" s="5">
        <f t="shared" si="49"/>
        <v>249.5</v>
      </c>
      <c r="O248" s="5">
        <f t="shared" si="50"/>
        <v>0</v>
      </c>
      <c r="P248" s="5">
        <f t="shared" si="51"/>
        <v>0</v>
      </c>
      <c r="Q248" s="5" t="s">
        <v>430</v>
      </c>
      <c r="T248" s="6" t="str" cm="1">
        <f t="array" ref="T248">IF(R248&lt;&gt;"Churn","",
 _xlfn.LET(
   _xlpm.rng,Y248:BF248,
   _xlpm.pos,MAX(IF((_xlpm.rng&lt;&gt;0)*(_xlpm.rng&lt;&gt;""),COLUMN(_xlpm.rng)-COLUMN(Y248)+1)),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8" s="6" t="str" cm="1">
        <f t="array" ref="U248">IF(R248="Churn",
   MAX(IF((Y248:BF248&lt;&gt;"")*(Y248:BF248&lt;&gt;0), COLUMN(Y248:BF248)-COLUMN(Y248)+1))
   -MATCH(1, --((Y248:BF248&lt;&gt;"")*(Y248:BF248&lt;&gt;0)), 0)
   +1,
"")</f>
        <v/>
      </c>
      <c r="V248" s="14" t="s">
        <v>705</v>
      </c>
      <c r="W248" s="6" t="str" cm="1">
        <f t="array" ref="W248">IFERROR(
    IF(
        MATCH(2,1/((Y248:BF248&lt;&gt;0)*(Y248:BF248&lt;&gt;"")))-MATCH(1,INDEX((Y248:BF248&lt;&gt;0)*(Y248:BF248&lt;&gt;""),0),0)+1 &lt;= 24,
        "No",
        "Yes"
    ),
    "No"
)</f>
        <v>No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-217.33813804143574</v>
      </c>
      <c r="AL248" s="8">
        <v>-1.280568540096283E-9</v>
      </c>
      <c r="AM248" s="8">
        <v>220.50000100105535</v>
      </c>
      <c r="AN248" s="8">
        <v>50.499999999301508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275</v>
      </c>
      <c r="BC248" s="8">
        <v>275</v>
      </c>
      <c r="BD248" s="8">
        <v>275</v>
      </c>
      <c r="BE248" s="8">
        <v>275</v>
      </c>
      <c r="BF248" s="8">
        <v>275</v>
      </c>
      <c r="BH248" s="8">
        <f t="shared" si="44"/>
        <v>0</v>
      </c>
      <c r="BI248" s="8">
        <f t="shared" si="45"/>
        <v>53.661862957640551</v>
      </c>
      <c r="BJ248" s="8">
        <f t="shared" si="46"/>
        <v>1375</v>
      </c>
    </row>
    <row r="249" spans="1:62" x14ac:dyDescent="0.25">
      <c r="A249" s="9" t="s">
        <v>482</v>
      </c>
      <c r="B249" s="9" t="s">
        <v>644</v>
      </c>
      <c r="C249" s="10">
        <f>VLOOKUP(A249,'[2]Revenue_Engine_2025 Oct.25'!$C$14:G$3937,5,0)</f>
        <v>45812</v>
      </c>
      <c r="D249" s="6" cm="1">
        <f t="array" ref="D249">_xlfn.LET(
  _xlpm.aralık, Y249:BF249,
  _xlpm.ilk, MATCH(TRUE, _xlpm.aralık&lt;&gt;0, 0),
  _xlpm.son, MIN(_xlpm.ilk+2, COLUMNS(_xlpm.aralık)),
  MAX(INDEX(_xlpm.aralık, _xlpm.ilk):INDEX(_xlpm.aralık, _xlpm.son))
)</f>
        <v>220.50000100105535</v>
      </c>
      <c r="E249" s="6">
        <f t="shared" si="39"/>
        <v>0</v>
      </c>
      <c r="F249" s="6">
        <f t="shared" si="40"/>
        <v>0</v>
      </c>
      <c r="G249" s="6">
        <f t="shared" si="47"/>
        <v>275</v>
      </c>
      <c r="H249" s="7">
        <f t="shared" si="41"/>
        <v>-1</v>
      </c>
      <c r="I249" s="7">
        <f t="shared" si="42"/>
        <v>-1</v>
      </c>
      <c r="J249" s="7" t="e">
        <f t="shared" si="43"/>
        <v>#DIV/0!</v>
      </c>
      <c r="K249" s="7">
        <f t="shared" si="48"/>
        <v>0.24716552721776994</v>
      </c>
      <c r="L249" s="5" t="s">
        <v>418</v>
      </c>
      <c r="M249" s="7">
        <f>IF(R249="",(VLOOKUP(A249,[1]Export!$B$2:$H$680,7,0)),"CHURN")</f>
        <v>5.4545454545454543E-2</v>
      </c>
      <c r="N249" s="5">
        <f t="shared" si="49"/>
        <v>260</v>
      </c>
      <c r="O249" s="5">
        <f t="shared" si="50"/>
        <v>0</v>
      </c>
      <c r="P249" s="5">
        <f t="shared" si="51"/>
        <v>0</v>
      </c>
      <c r="Q249" s="5" t="s">
        <v>430</v>
      </c>
      <c r="T249" s="6" t="str" cm="1">
        <f t="array" ref="T249">IF(R249&lt;&gt;"Churn","",
 _xlfn.LET(
   _xlpm.rng,Y249:BF249,
   _xlpm.pos,MAX(IF((_xlpm.rng&lt;&gt;0)*(_xlpm.rng&lt;&gt;""),COLUMN(_xlpm.rng)-COLUMN(Y249)+1)),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49" s="6" t="str" cm="1">
        <f t="array" ref="U249">IF(R249="Churn",
   MAX(IF((Y249:BF249&lt;&gt;"")*(Y249:BF249&lt;&gt;0), COLUMN(Y249:BF249)-COLUMN(Y249)+1))
   -MATCH(1, --((Y249:BF249&lt;&gt;"")*(Y249:BF249&lt;&gt;0)), 0)
   +1,
"")</f>
        <v/>
      </c>
      <c r="V249" s="14" t="s">
        <v>705</v>
      </c>
      <c r="W249" s="6" t="str" cm="1">
        <f t="array" ref="W249">IFERROR(
    IF(
        MATCH(2,1/((Y249:BF249&lt;&gt;0)*(Y249:BF249&lt;&gt;"")))-MATCH(1,INDEX((Y249:BF249&lt;&gt;0)*(Y249:BF249&lt;&gt;""),0),0)+1 &lt;= 24,
        "No",
        "Yes"
    ),
    "No"
)</f>
        <v>No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-217.33813804143574</v>
      </c>
      <c r="AL249" s="8">
        <v>-1.280568540096283E-9</v>
      </c>
      <c r="AM249" s="8">
        <v>220.50000100105535</v>
      </c>
      <c r="AN249" s="8">
        <v>50.499999999301508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275</v>
      </c>
      <c r="BC249" s="8">
        <v>275</v>
      </c>
      <c r="BD249" s="8">
        <v>275</v>
      </c>
      <c r="BE249" s="8">
        <v>275</v>
      </c>
      <c r="BF249" s="8">
        <v>275</v>
      </c>
      <c r="BH249" s="8">
        <f t="shared" si="44"/>
        <v>0</v>
      </c>
      <c r="BI249" s="8">
        <f t="shared" si="45"/>
        <v>53.661862957640551</v>
      </c>
      <c r="BJ249" s="8">
        <f t="shared" si="46"/>
        <v>1375</v>
      </c>
    </row>
    <row r="250" spans="1:62" x14ac:dyDescent="0.25">
      <c r="A250" s="9" t="s">
        <v>133</v>
      </c>
      <c r="B250" s="9" t="s">
        <v>644</v>
      </c>
      <c r="C250" s="10">
        <v>44927</v>
      </c>
      <c r="D250" s="6" cm="1">
        <f t="array" ref="D250">_xlfn.LET(
  _xlpm.aralık, Y250:BF250,
  _xlpm.ilk, MATCH(TRUE, _xlpm.aralık&lt;&gt;0, 0),
  _xlpm.son, MIN(_xlpm.ilk+2, COLUMNS(_xlpm.aralık)),
  MAX(INDEX(_xlpm.aralık, _xlpm.ilk):INDEX(_xlpm.aralık, _xlpm.son))
)</f>
        <v>165.26017816113401</v>
      </c>
      <c r="E250" s="6">
        <f t="shared" si="39"/>
        <v>294.93430183822426</v>
      </c>
      <c r="F250" s="6">
        <f t="shared" si="40"/>
        <v>323.55252024719931</v>
      </c>
      <c r="G250" s="6">
        <f t="shared" si="47"/>
        <v>274.78426460050378</v>
      </c>
      <c r="H250" s="7">
        <f t="shared" si="41"/>
        <v>0.78466648844256837</v>
      </c>
      <c r="I250" s="7">
        <f t="shared" si="42"/>
        <v>0.95783717437194793</v>
      </c>
      <c r="J250" s="7">
        <f t="shared" si="43"/>
        <v>9.703251954963367E-2</v>
      </c>
      <c r="K250" s="7">
        <f t="shared" si="48"/>
        <v>0.66273731311471928</v>
      </c>
      <c r="L250" s="5" t="s">
        <v>418</v>
      </c>
      <c r="M250" s="7">
        <f>IF(R250="",(VLOOKUP(A250,[1]Export!$B$2:$H$680,7,0)),"CHURN")</f>
        <v>0.49708862393068143</v>
      </c>
      <c r="N250" s="5">
        <f t="shared" si="49"/>
        <v>138.19213263243509</v>
      </c>
      <c r="O250" s="5">
        <f t="shared" si="50"/>
        <v>148.3258155875051</v>
      </c>
      <c r="P250" s="5">
        <f t="shared" si="51"/>
        <v>162.71824318821507</v>
      </c>
      <c r="Q250" s="5" t="s">
        <v>430</v>
      </c>
      <c r="T250" s="6" t="str" cm="1">
        <f t="array" ref="T250">IF(R250&lt;&gt;"Churn","",
 _xlfn.LET(
   _xlpm.rng,Y250:BF250,
   _xlpm.pos,MAX(IF((_xlpm.rng&lt;&gt;0)*(_xlpm.rng&lt;&gt;""),COLUMN(_xlpm.rng)-COLUMN(Y250)+1)),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0" s="6" t="str" cm="1">
        <f t="array" ref="U250">IF(R250="Churn",
   MAX(IF((Y250:BF250&lt;&gt;"")*(Y250:BF250&lt;&gt;0), COLUMN(Y250:BF250)-COLUMN(Y250)+1))
   -MATCH(1, --((Y250:BF250&lt;&gt;"")*(Y250:BF250&lt;&gt;0)), 0)
   +1,
"")</f>
        <v/>
      </c>
      <c r="V250" s="6" t="str" cm="1">
        <f t="array" ref="V250">IFERROR(
    IF(
        MATCH(2,1/((Y250:BF250&lt;&gt;0)*(Y250:BF250&lt;&gt;"")))-MATCH(1,INDEX((Y250:BF250&lt;&gt;0)*(Y250:BF250&lt;&gt;""),0),0)+1 &lt;= 12,
        "No",
        "Yes"
    ),
    "No"
)</f>
        <v>Yes</v>
      </c>
      <c r="W250" s="6" t="str" cm="1">
        <f t="array" ref="W250">IFERROR(
    IF(
        MATCH(2,1/((Y250:BF250&lt;&gt;0)*(Y250:BF250&lt;&gt;"")))-MATCH(1,INDEX((Y250:BF250&lt;&gt;0)*(Y250:BF250&lt;&gt;""),0),0)+1 &lt;= 24,
        "No",
        "Yes"
    ),
    "No"
)</f>
        <v>Yes</v>
      </c>
      <c r="Y250" s="8">
        <v>165.26017816113401</v>
      </c>
      <c r="Z250" s="8">
        <v>164.68600753305674</v>
      </c>
      <c r="AA250" s="8">
        <v>163.47538113494102</v>
      </c>
      <c r="AB250" s="8">
        <v>160.57101123479106</v>
      </c>
      <c r="AC250" s="8">
        <v>157.52710450628075</v>
      </c>
      <c r="AD250" s="8">
        <v>132.47441946429183</v>
      </c>
      <c r="AE250" s="8">
        <v>147.69911248205838</v>
      </c>
      <c r="AF250" s="8">
        <v>144.90474710469897</v>
      </c>
      <c r="AG250" s="8">
        <v>144.7702737264888</v>
      </c>
      <c r="AH250" s="8">
        <v>140.30816037398148</v>
      </c>
      <c r="AI250" s="8">
        <v>206.41746761175386</v>
      </c>
      <c r="AJ250" s="8">
        <v>273.20830688851157</v>
      </c>
      <c r="AK250" s="8">
        <v>294.93430183822426</v>
      </c>
      <c r="AL250" s="8">
        <v>288.15765967774513</v>
      </c>
      <c r="AM250" s="8">
        <v>277.12543793196357</v>
      </c>
      <c r="AN250" s="8">
        <v>274.36529803686807</v>
      </c>
      <c r="AO250" s="8">
        <v>274.76415789391939</v>
      </c>
      <c r="AP250" s="8">
        <v>272.43774225838843</v>
      </c>
      <c r="AQ250" s="8">
        <v>269.28190700166522</v>
      </c>
      <c r="AR250" s="8">
        <v>263.48486929039103</v>
      </c>
      <c r="AS250" s="8">
        <v>260.46824010435989</v>
      </c>
      <c r="AT250" s="8">
        <v>258.85759299633901</v>
      </c>
      <c r="AU250" s="8">
        <v>280.95218445231529</v>
      </c>
      <c r="AV250" s="8">
        <v>328.50460879929409</v>
      </c>
      <c r="AW250" s="8">
        <v>323.55252024719931</v>
      </c>
      <c r="AX250" s="8">
        <v>317.8488743627488</v>
      </c>
      <c r="AY250" s="8">
        <v>309.91895480309984</v>
      </c>
      <c r="AZ250" s="8">
        <v>301.6400559833524</v>
      </c>
      <c r="BA250" s="8">
        <v>296.58325426675015</v>
      </c>
      <c r="BB250" s="8">
        <v>291.54782986795362</v>
      </c>
      <c r="BC250" s="8">
        <v>285.93985445803327</v>
      </c>
      <c r="BD250" s="8">
        <v>281.53619983499323</v>
      </c>
      <c r="BE250" s="8">
        <v>278.12836655783201</v>
      </c>
      <c r="BF250" s="8">
        <v>274.78426460050378</v>
      </c>
      <c r="BH250" s="8">
        <f t="shared" si="44"/>
        <v>2001.3021702219885</v>
      </c>
      <c r="BI250" s="8">
        <f t="shared" si="45"/>
        <v>3343.334000281473</v>
      </c>
      <c r="BJ250" s="8">
        <f t="shared" si="46"/>
        <v>2961.4801749824665</v>
      </c>
    </row>
    <row r="251" spans="1:62" x14ac:dyDescent="0.25">
      <c r="A251" s="9" t="s">
        <v>397</v>
      </c>
      <c r="B251" s="9" t="s">
        <v>644</v>
      </c>
      <c r="C251" s="10">
        <f>VLOOKUP(A251,'[2]Revenue_Engine_2025 Oct.25'!$C$14:G$3937,5,0)</f>
        <v>45413</v>
      </c>
      <c r="D251" s="6" cm="1">
        <f t="array" ref="D251">_xlfn.LET(
  _xlpm.aralık, Y251:BF251,
  _xlpm.ilk, MATCH(TRUE, _xlpm.aralık&lt;&gt;0, 0),
  _xlpm.son, MIN(_xlpm.ilk+2, COLUMNS(_xlpm.aralık)),
  MAX(INDEX(_xlpm.aralık, _xlpm.ilk):INDEX(_xlpm.aralık, _xlpm.son))
)</f>
        <v>239.99962400000001</v>
      </c>
      <c r="E251" s="6">
        <f t="shared" si="39"/>
        <v>263.99958700000002</v>
      </c>
      <c r="F251" s="6">
        <f t="shared" si="40"/>
        <v>0</v>
      </c>
      <c r="G251" s="6">
        <f t="shared" si="47"/>
        <v>263.99958700000002</v>
      </c>
      <c r="H251" s="7">
        <f t="shared" si="41"/>
        <v>0.10000000250000395</v>
      </c>
      <c r="I251" s="7">
        <f t="shared" si="42"/>
        <v>-1</v>
      </c>
      <c r="J251" s="7">
        <f t="shared" si="43"/>
        <v>-1</v>
      </c>
      <c r="K251" s="7">
        <f t="shared" si="48"/>
        <v>0.10000000250000395</v>
      </c>
      <c r="L251" s="5" t="s">
        <v>417</v>
      </c>
      <c r="M251" s="7">
        <f>IF(R251="",(VLOOKUP(A251,[1]Export!$B$2:$H$680,7,0)),"CHURN")</f>
        <v>0.14583356147447307</v>
      </c>
      <c r="N251" s="5">
        <f t="shared" si="49"/>
        <v>225.49958700000002</v>
      </c>
      <c r="O251" s="5">
        <f t="shared" si="50"/>
        <v>225.49958700000002</v>
      </c>
      <c r="P251" s="5">
        <f t="shared" si="51"/>
        <v>0</v>
      </c>
      <c r="Q251" s="5" t="s">
        <v>430</v>
      </c>
      <c r="T251" s="6" t="str" cm="1">
        <f t="array" ref="T251">IF(R251&lt;&gt;"Churn","",
 _xlfn.LET(
   _xlpm.rng,Y251:BF251,
   _xlpm.pos,MAX(IF((_xlpm.rng&lt;&gt;0)*(_xlpm.rng&lt;&gt;""),COLUMN(_xlpm.rng)-COLUMN(Y251)+1)),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1" s="6" t="str" cm="1">
        <f t="array" ref="U251">IF(R251="Churn",
   MAX(IF((Y251:BF251&lt;&gt;"")*(Y251:BF251&lt;&gt;0), COLUMN(Y251:BF251)-COLUMN(Y251)+1))
   -MATCH(1, --((Y251:BF251&lt;&gt;"")*(Y251:BF251&lt;&gt;0)), 0)
   +1,
"")</f>
        <v/>
      </c>
      <c r="V251" s="6" t="str" cm="1">
        <f t="array" ref="V251">IFERROR(
    IF(
        MATCH(2,1/((Y251:BF251&lt;&gt;0)*(Y251:BF251&lt;&gt;"")))-MATCH(1,INDEX((Y251:BF251&lt;&gt;0)*(Y251:BF251&lt;&gt;""),0),0)+1 &lt;= 12,
        "No",
        "Yes"
    ),
    "No"
)</f>
        <v>Yes</v>
      </c>
      <c r="W251" s="6" t="str" cm="1">
        <f t="array" ref="W251">IFERROR(
    IF(
        MATCH(2,1/((Y251:BF251&lt;&gt;0)*(Y251:BF251&lt;&gt;"")))-MATCH(1,INDEX((Y251:BF251&lt;&gt;0)*(Y251:BF251&lt;&gt;""),0),0)+1 &lt;= 24,
        "No",
        "Yes"
    ),
    "No"
)</f>
        <v>No</v>
      </c>
      <c r="X251" s="6"/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239.99962400000001</v>
      </c>
      <c r="AK251" s="8">
        <v>239.99962400000001</v>
      </c>
      <c r="AL251" s="8">
        <v>239.99962400000001</v>
      </c>
      <c r="AM251" s="8">
        <v>-719.99887200000001</v>
      </c>
      <c r="AN251" s="8">
        <v>0</v>
      </c>
      <c r="AO251" s="8">
        <v>240</v>
      </c>
      <c r="AP251" s="8">
        <v>239.99962400000001</v>
      </c>
      <c r="AQ251" s="8">
        <v>239.99962400000001</v>
      </c>
      <c r="AR251" s="8">
        <v>239.99962400000001</v>
      </c>
      <c r="AS251" s="8">
        <v>239.99962400000001</v>
      </c>
      <c r="AT251" s="8">
        <v>239.99962400000001</v>
      </c>
      <c r="AU251" s="8">
        <v>239.99962400000001</v>
      </c>
      <c r="AV251" s="8">
        <v>239.99962400000001</v>
      </c>
      <c r="AW251" s="8">
        <v>263.99958700000002</v>
      </c>
      <c r="AX251" s="8">
        <v>263.99958700000002</v>
      </c>
      <c r="AY251" s="8">
        <v>263.99958700000002</v>
      </c>
      <c r="AZ251" s="8">
        <v>263.99958700000002</v>
      </c>
      <c r="BA251" s="8">
        <v>263.99958700000002</v>
      </c>
      <c r="BB251" s="8">
        <v>263.99958700000002</v>
      </c>
      <c r="BC251" s="8">
        <v>263.99958700000002</v>
      </c>
      <c r="BD251" s="8">
        <v>263.99958700000002</v>
      </c>
      <c r="BE251" s="8">
        <v>263.99958700000002</v>
      </c>
      <c r="BF251" s="8">
        <v>263.99958700000002</v>
      </c>
      <c r="BH251" s="8">
        <f t="shared" si="44"/>
        <v>239.99962400000001</v>
      </c>
      <c r="BI251" s="8">
        <f t="shared" si="45"/>
        <v>1679.9977440000002</v>
      </c>
      <c r="BJ251" s="8">
        <f t="shared" si="46"/>
        <v>2639.9958700000007</v>
      </c>
    </row>
    <row r="252" spans="1:62" x14ac:dyDescent="0.25">
      <c r="A252" s="9" t="s">
        <v>273</v>
      </c>
      <c r="B252" s="9" t="s">
        <v>644</v>
      </c>
      <c r="C252" s="10">
        <f>VLOOKUP(A252,'[2]Revenue_Engine_2025 Oct.25'!$C$14:G$3937,5,0)</f>
        <v>45347</v>
      </c>
      <c r="D252" s="6" cm="1">
        <f t="array" ref="D252">_xlfn.LET(
  _xlpm.aralık, Y252:BF252,
  _xlpm.ilk, MATCH(TRUE, _xlpm.aralık&lt;&gt;0, 0),
  _xlpm.son, MIN(_xlpm.ilk+2, COLUMNS(_xlpm.aralık)),
  MAX(INDEX(_xlpm.aralık, _xlpm.ilk):INDEX(_xlpm.aralık, _xlpm.son))
)</f>
        <v>215.01110100000002</v>
      </c>
      <c r="E252" s="6">
        <f t="shared" si="39"/>
        <v>260.01110100000005</v>
      </c>
      <c r="F252" s="6">
        <f t="shared" si="40"/>
        <v>0</v>
      </c>
      <c r="G252" s="6">
        <f t="shared" si="47"/>
        <v>260.01110100000005</v>
      </c>
      <c r="H252" s="7">
        <f t="shared" si="41"/>
        <v>0.20929151932485582</v>
      </c>
      <c r="I252" s="7">
        <f t="shared" si="42"/>
        <v>-1</v>
      </c>
      <c r="J252" s="7">
        <f t="shared" si="43"/>
        <v>-1</v>
      </c>
      <c r="K252" s="7">
        <f t="shared" si="48"/>
        <v>0.20929151932485582</v>
      </c>
      <c r="L252" s="5" t="s">
        <v>418</v>
      </c>
      <c r="M252" s="7">
        <f>IF(R252="",(VLOOKUP(A252,[1]Export!$B$2:$H$680,7,0)),"CHURN")</f>
        <v>9.614974092971515E-2</v>
      </c>
      <c r="N252" s="5">
        <f t="shared" si="49"/>
        <v>235.01110100000005</v>
      </c>
      <c r="O252" s="5">
        <f t="shared" si="50"/>
        <v>235.01110100000005</v>
      </c>
      <c r="P252" s="5">
        <f t="shared" si="51"/>
        <v>0</v>
      </c>
      <c r="Q252" s="5" t="s">
        <v>430</v>
      </c>
      <c r="T252" s="6" t="str" cm="1">
        <f t="array" ref="T252">IF(R252&lt;&gt;"Churn","",
 _xlfn.LET(
   _xlpm.rng,Y252:BF252,
   _xlpm.pos,MAX(IF((_xlpm.rng&lt;&gt;0)*(_xlpm.rng&lt;&gt;""),COLUMN(_xlpm.rng)-COLUMN(Y252)+1)),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2" s="6" t="str" cm="1">
        <f t="array" ref="U252">IF(R252="Churn",
   MAX(IF((Y252:BF252&lt;&gt;"")*(Y252:BF252&lt;&gt;0), COLUMN(Y252:BF252)-COLUMN(Y252)+1))
   -MATCH(1, --((Y252:BF252&lt;&gt;"")*(Y252:BF252&lt;&gt;0)), 0)
   +1,
"")</f>
        <v/>
      </c>
      <c r="V252" s="6" t="str" cm="1">
        <f t="array" ref="V252">IFERROR(
    IF(
        MATCH(2,1/((Y252:BF252&lt;&gt;0)*(Y252:BF252&lt;&gt;"")))-MATCH(1,INDEX((Y252:BF252&lt;&gt;0)*(Y252:BF252&lt;&gt;""),0),0)+1 &lt;= 12,
        "No",
        "Yes"
    ),
    "No"
)</f>
        <v>Yes</v>
      </c>
      <c r="W252" s="6" t="str" cm="1">
        <f t="array" ref="W252">IFERROR(
    IF(
        MATCH(2,1/((Y252:BF252&lt;&gt;0)*(Y252:BF252&lt;&gt;"")))-MATCH(1,INDEX((Y252:BF252&lt;&gt;0)*(Y252:BF252&lt;&gt;""),0),0)+1 &lt;= 24,
        "No",
        "Yes"
    ),
    "No"
)</f>
        <v>No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215.01110100000002</v>
      </c>
      <c r="AM252" s="8">
        <v>215.01110100000002</v>
      </c>
      <c r="AN252" s="8">
        <v>215.01110100000002</v>
      </c>
      <c r="AO252" s="8">
        <v>215.01110100000002</v>
      </c>
      <c r="AP252" s="8">
        <v>215.01110100000002</v>
      </c>
      <c r="AQ252" s="8">
        <v>215.01110100000002</v>
      </c>
      <c r="AR252" s="8">
        <v>215.01110100000002</v>
      </c>
      <c r="AS252" s="8">
        <v>260.01110100000005</v>
      </c>
      <c r="AT252" s="8">
        <v>260.01110100000005</v>
      </c>
      <c r="AU252" s="8">
        <v>260.01110100000005</v>
      </c>
      <c r="AV252" s="8">
        <v>260.01110100000005</v>
      </c>
      <c r="AW252" s="8">
        <v>260.01110100000005</v>
      </c>
      <c r="AX252" s="8">
        <v>260.01110100000005</v>
      </c>
      <c r="AY252" s="8">
        <v>260.01110100000005</v>
      </c>
      <c r="AZ252" s="8">
        <v>260.011101</v>
      </c>
      <c r="BA252" s="8">
        <v>260.01110100000005</v>
      </c>
      <c r="BB252" s="8">
        <v>260.01110100000005</v>
      </c>
      <c r="BC252" s="8">
        <v>260.01110100000005</v>
      </c>
      <c r="BD252" s="8">
        <v>260.01110100000005</v>
      </c>
      <c r="BE252" s="8">
        <v>260.01110100000005</v>
      </c>
      <c r="BF252" s="8">
        <v>260.01110100000005</v>
      </c>
      <c r="BH252" s="8">
        <f t="shared" si="44"/>
        <v>0</v>
      </c>
      <c r="BI252" s="8">
        <f t="shared" si="45"/>
        <v>2545.1221110000006</v>
      </c>
      <c r="BJ252" s="8">
        <f t="shared" si="46"/>
        <v>2600.1110100000005</v>
      </c>
    </row>
    <row r="253" spans="1:62" x14ac:dyDescent="0.25">
      <c r="A253" s="9" t="s">
        <v>483</v>
      </c>
      <c r="B253" s="9" t="s">
        <v>644</v>
      </c>
      <c r="C253" s="10">
        <f>VLOOKUP(A253,'[2]Revenue_Engine_2025 Oct.25'!$C$14:G$3937,5,0)</f>
        <v>45581</v>
      </c>
      <c r="D253" s="6" cm="1">
        <f t="array" ref="D253">_xlfn.LET(
  _xlpm.aralık, Y253:BF253,
  _xlpm.ilk, MATCH(TRUE, _xlpm.aralık&lt;&gt;0, 0),
  _xlpm.son, MIN(_xlpm.ilk+2, COLUMNS(_xlpm.aralık)),
  MAX(INDEX(_xlpm.aralık, _xlpm.ilk):INDEX(_xlpm.aralık, _xlpm.son))
)</f>
        <v>260.00000199999999</v>
      </c>
      <c r="E253" s="6">
        <f t="shared" si="39"/>
        <v>260.00000199999999</v>
      </c>
      <c r="F253" s="6">
        <f t="shared" si="40"/>
        <v>0</v>
      </c>
      <c r="G253" s="6">
        <f t="shared" si="47"/>
        <v>260.00000199999999</v>
      </c>
      <c r="H253" s="7">
        <f t="shared" si="41"/>
        <v>0</v>
      </c>
      <c r="I253" s="7">
        <f t="shared" si="42"/>
        <v>-1</v>
      </c>
      <c r="J253" s="7">
        <f t="shared" si="43"/>
        <v>-1</v>
      </c>
      <c r="K253" s="7">
        <f t="shared" si="48"/>
        <v>0</v>
      </c>
      <c r="L253" s="5" t="s">
        <v>421</v>
      </c>
      <c r="M253" s="7">
        <f>IF(R253="",(VLOOKUP(A253,[1]Export!$B$2:$H$680,7,0)),"CHURN")</f>
        <v>0.23066245207182728</v>
      </c>
      <c r="N253" s="5">
        <f t="shared" si="49"/>
        <v>200.02776400000002</v>
      </c>
      <c r="O253" s="5">
        <f t="shared" si="50"/>
        <v>200.02776400000002</v>
      </c>
      <c r="P253" s="5">
        <f t="shared" si="51"/>
        <v>0</v>
      </c>
      <c r="Q253" s="5" t="s">
        <v>430</v>
      </c>
      <c r="T253" s="6" t="str" cm="1">
        <f t="array" ref="T253">IF(R253&lt;&gt;"Churn","",
 _xlfn.LET(
   _xlpm.rng,Y253:BF253,
   _xlpm.pos,MAX(IF((_xlpm.rng&lt;&gt;0)*(_xlpm.rng&lt;&gt;""),COLUMN(_xlpm.rng)-COLUMN(Y253)+1)),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3" s="6" t="str" cm="1">
        <f t="array" ref="U253">IF(R253="Churn",
   MAX(IF((Y253:BF253&lt;&gt;"")*(Y253:BF253&lt;&gt;0), COLUMN(Y253:BF253)-COLUMN(Y253)+1))
   -MATCH(1, --((Y253:BF253&lt;&gt;"")*(Y253:BF253&lt;&gt;0)), 0)
   +1,
"")</f>
        <v/>
      </c>
      <c r="V253" s="6" t="str" cm="1">
        <f t="array" ref="V253">IFERROR(
    IF(
        MATCH(2,1/((Y253:BF253&lt;&gt;0)*(Y253:BF253&lt;&gt;"")))-MATCH(1,INDEX((Y253:BF253&lt;&gt;0)*(Y253:BF253&lt;&gt;""),0),0)+1 &lt;= 12,
        "No",
        "Yes"
    ),
    "No"
)</f>
        <v>Yes</v>
      </c>
      <c r="W253" s="6" t="str" cm="1">
        <f t="array" ref="W253">IFERROR(
    IF(
        MATCH(2,1/((Y253:BF253&lt;&gt;0)*(Y253:BF253&lt;&gt;"")))-MATCH(1,INDEX((Y253:BF253&lt;&gt;0)*(Y253:BF253&lt;&gt;""),0),0)+1 &lt;= 24,
        "No",
        "Yes"
    ),
    "No"
)</f>
        <v>No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230.00000199999999</v>
      </c>
      <c r="AU253" s="8">
        <v>260.00000199999999</v>
      </c>
      <c r="AV253" s="8">
        <v>260.00000199999999</v>
      </c>
      <c r="AW253" s="8">
        <v>260.00000199999999</v>
      </c>
      <c r="AX253" s="8">
        <v>260.00000199999999</v>
      </c>
      <c r="AY253" s="8">
        <v>260.00000199999999</v>
      </c>
      <c r="AZ253" s="8">
        <v>260.00000199999999</v>
      </c>
      <c r="BA253" s="8">
        <v>260.00000199999999</v>
      </c>
      <c r="BB253" s="8">
        <v>260.00000199999999</v>
      </c>
      <c r="BC253" s="8">
        <v>260.00000199999999</v>
      </c>
      <c r="BD253" s="8">
        <v>260.00000199999999</v>
      </c>
      <c r="BE253" s="8">
        <v>260.00000199999999</v>
      </c>
      <c r="BF253" s="8">
        <v>260.00000199999999</v>
      </c>
      <c r="BH253" s="8">
        <f t="shared" si="44"/>
        <v>0</v>
      </c>
      <c r="BI253" s="8">
        <f t="shared" si="45"/>
        <v>750.00000599999998</v>
      </c>
      <c r="BJ253" s="8">
        <f t="shared" si="46"/>
        <v>2600.0000199999995</v>
      </c>
    </row>
    <row r="254" spans="1:62" x14ac:dyDescent="0.25">
      <c r="A254" s="9" t="s">
        <v>484</v>
      </c>
      <c r="B254" s="9" t="s">
        <v>644</v>
      </c>
      <c r="C254" s="10">
        <f>VLOOKUP(A254,'[2]Revenue_Engine_2025 Oct.25'!$C$14:G$3937,5,0)</f>
        <v>45828</v>
      </c>
      <c r="D254" s="6" cm="1">
        <f t="array" ref="D254">_xlfn.LET(
  _xlpm.aralık, Y254:BF254,
  _xlpm.ilk, MATCH(TRUE, _xlpm.aralık&lt;&gt;0, 0),
  _xlpm.son, MIN(_xlpm.ilk+2, COLUMNS(_xlpm.aralık)),
  MAX(INDEX(_xlpm.aralık, _xlpm.ilk):INDEX(_xlpm.aralık, _xlpm.son))
)</f>
        <v>220.50000100105535</v>
      </c>
      <c r="E254" s="6">
        <f t="shared" si="39"/>
        <v>0</v>
      </c>
      <c r="F254" s="6">
        <f t="shared" si="40"/>
        <v>0</v>
      </c>
      <c r="G254" s="6">
        <f t="shared" si="47"/>
        <v>260</v>
      </c>
      <c r="H254" s="7">
        <f t="shared" si="41"/>
        <v>-1</v>
      </c>
      <c r="I254" s="7">
        <f t="shared" si="42"/>
        <v>-1</v>
      </c>
      <c r="J254" s="7" t="e">
        <f t="shared" si="43"/>
        <v>#DIV/0!</v>
      </c>
      <c r="K254" s="7">
        <f t="shared" si="48"/>
        <v>0.17913831664225521</v>
      </c>
      <c r="L254" s="5" t="s">
        <v>416</v>
      </c>
      <c r="M254" s="7">
        <f>IF(R254="",(VLOOKUP(A254,[1]Export!$B$2:$H$680,7,0)),"CHURN")</f>
        <v>5.3846153846153849E-2</v>
      </c>
      <c r="N254" s="5">
        <f t="shared" si="49"/>
        <v>246</v>
      </c>
      <c r="O254" s="5">
        <f t="shared" si="50"/>
        <v>0</v>
      </c>
      <c r="P254" s="5">
        <f t="shared" si="51"/>
        <v>0</v>
      </c>
      <c r="Q254" s="5" t="s">
        <v>430</v>
      </c>
      <c r="T254" s="6" t="str" cm="1">
        <f t="array" ref="T254">IF(R254&lt;&gt;"Churn","",
 _xlfn.LET(
   _xlpm.rng,Y254:BF254,
   _xlpm.pos,MAX(IF((_xlpm.rng&lt;&gt;0)*(_xlpm.rng&lt;&gt;""),COLUMN(_xlpm.rng)-COLUMN(Y254)+1)),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4" s="6" t="str" cm="1">
        <f t="array" ref="U254">IF(R254="Churn",
   MAX(IF((Y254:BF254&lt;&gt;"")*(Y254:BF254&lt;&gt;0), COLUMN(Y254:BF254)-COLUMN(Y254)+1))
   -MATCH(1, --((Y254:BF254&lt;&gt;"")*(Y254:BF254&lt;&gt;0)), 0)
   +1,
"")</f>
        <v/>
      </c>
      <c r="V254" s="14" t="s">
        <v>705</v>
      </c>
      <c r="W254" s="6" t="str" cm="1">
        <f t="array" ref="W254">IFERROR(
    IF(
        MATCH(2,1/((Y254:BF254&lt;&gt;0)*(Y254:BF254&lt;&gt;"")))-MATCH(1,INDEX((Y254:BF254&lt;&gt;0)*(Y254:BF254&lt;&gt;""),0),0)+1 &lt;= 24,
        "No",
        "Yes"
    ),
    "No"
)</f>
        <v>No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-217.33813804143574</v>
      </c>
      <c r="AL254" s="8">
        <v>-1.280568540096283E-9</v>
      </c>
      <c r="AM254" s="8">
        <v>220.50000100105535</v>
      </c>
      <c r="AN254" s="8">
        <v>50.499999999301508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260</v>
      </c>
      <c r="BC254" s="8">
        <v>260</v>
      </c>
      <c r="BD254" s="8">
        <v>260</v>
      </c>
      <c r="BE254" s="8">
        <v>260</v>
      </c>
      <c r="BF254" s="8">
        <v>260</v>
      </c>
      <c r="BH254" s="8">
        <f t="shared" si="44"/>
        <v>0</v>
      </c>
      <c r="BI254" s="8">
        <f t="shared" si="45"/>
        <v>53.661862957640551</v>
      </c>
      <c r="BJ254" s="8">
        <f t="shared" si="46"/>
        <v>1300</v>
      </c>
    </row>
    <row r="255" spans="1:62" x14ac:dyDescent="0.25">
      <c r="A255" s="9" t="s">
        <v>485</v>
      </c>
      <c r="B255" s="9" t="s">
        <v>644</v>
      </c>
      <c r="C255" s="10">
        <f>VLOOKUP(A255,'[2]Revenue_Engine_2025 Oct.25'!$C$14:G$3937,5,0)</f>
        <v>45554</v>
      </c>
      <c r="D255" s="6" cm="1">
        <f t="array" ref="D255">_xlfn.LET(
  _xlpm.aralık, Y255:BF255,
  _xlpm.ilk, MATCH(TRUE, _xlpm.aralık&lt;&gt;0, 0),
  _xlpm.son, MIN(_xlpm.ilk+2, COLUMNS(_xlpm.aralık)),
  MAX(INDEX(_xlpm.aralık, _xlpm.ilk):INDEX(_xlpm.aralık, _xlpm.son))
)</f>
        <v>259.990003</v>
      </c>
      <c r="E255" s="6">
        <f t="shared" si="39"/>
        <v>259.990002</v>
      </c>
      <c r="F255" s="6">
        <f t="shared" si="40"/>
        <v>0</v>
      </c>
      <c r="G255" s="6">
        <f t="shared" si="47"/>
        <v>259.990002</v>
      </c>
      <c r="H255" s="7">
        <f t="shared" si="41"/>
        <v>-3.8463017267446347E-9</v>
      </c>
      <c r="I255" s="7">
        <f t="shared" si="42"/>
        <v>-1</v>
      </c>
      <c r="J255" s="7">
        <f t="shared" si="43"/>
        <v>-1</v>
      </c>
      <c r="K255" s="7">
        <f t="shared" si="48"/>
        <v>-3.8463017267446347E-9</v>
      </c>
      <c r="L255" s="5" t="s">
        <v>418</v>
      </c>
      <c r="M255" s="7">
        <f>IF(R255="",(VLOOKUP(A255,[1]Export!$B$2:$H$680,7,0)),"CHURN")</f>
        <v>4.3115427184773056E-2</v>
      </c>
      <c r="N255" s="5">
        <f t="shared" si="49"/>
        <v>248.78042200000002</v>
      </c>
      <c r="O255" s="5">
        <f t="shared" si="50"/>
        <v>248.78042200000002</v>
      </c>
      <c r="P255" s="5">
        <f t="shared" si="51"/>
        <v>0</v>
      </c>
      <c r="Q255" s="5" t="s">
        <v>430</v>
      </c>
      <c r="T255" s="6" t="str" cm="1">
        <f t="array" ref="T255">IF(R255&lt;&gt;"Churn","",
 _xlfn.LET(
   _xlpm.rng,Y255:BF255,
   _xlpm.pos,MAX(IF((_xlpm.rng&lt;&gt;0)*(_xlpm.rng&lt;&gt;""),COLUMN(_xlpm.rng)-COLUMN(Y255)+1)),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5" s="6" t="str" cm="1">
        <f t="array" ref="U255">IF(R255="Churn",
   MAX(IF((Y255:BF255&lt;&gt;"")*(Y255:BF255&lt;&gt;0), COLUMN(Y255:BF255)-COLUMN(Y255)+1))
   -MATCH(1, --((Y255:BF255&lt;&gt;"")*(Y255:BF255&lt;&gt;0)), 0)
   +1,
"")</f>
        <v/>
      </c>
      <c r="V255" s="6" t="str" cm="1">
        <f t="array" ref="V255">IFERROR(
    IF(
        MATCH(2,1/((Y255:BF255&lt;&gt;0)*(Y255:BF255&lt;&gt;"")))-MATCH(1,INDEX((Y255:BF255&lt;&gt;0)*(Y255:BF255&lt;&gt;""),0),0)+1 &lt;= 12,
        "No",
        "Yes"
    ),
    "No"
)</f>
        <v>Yes</v>
      </c>
      <c r="W255" s="6" t="str" cm="1">
        <f t="array" ref="W255">IFERROR(
    IF(
        MATCH(2,1/((Y255:BF255&lt;&gt;0)*(Y255:BF255&lt;&gt;"")))-MATCH(1,INDEX((Y255:BF255&lt;&gt;0)*(Y255:BF255&lt;&gt;""),0),0)+1 &lt;= 24,
        "No",
        "Yes"
    ),
    "No"
)</f>
        <v>No</v>
      </c>
      <c r="X255" s="6"/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259.990003</v>
      </c>
      <c r="AT255" s="8">
        <v>259.990003</v>
      </c>
      <c r="AU255" s="8">
        <v>259.990002</v>
      </c>
      <c r="AV255" s="8">
        <v>259.990002</v>
      </c>
      <c r="AW255" s="8">
        <v>259.990002</v>
      </c>
      <c r="AX255" s="8">
        <v>259.990002</v>
      </c>
      <c r="AY255" s="8">
        <v>259.990002</v>
      </c>
      <c r="AZ255" s="8">
        <v>259.990002</v>
      </c>
      <c r="BA255" s="8">
        <v>259.990002</v>
      </c>
      <c r="BB255" s="8">
        <v>259.990002</v>
      </c>
      <c r="BC255" s="8">
        <v>259.990002</v>
      </c>
      <c r="BD255" s="8">
        <v>259.990002</v>
      </c>
      <c r="BE255" s="8">
        <v>259.990002</v>
      </c>
      <c r="BF255" s="8">
        <v>259.990002</v>
      </c>
      <c r="BH255" s="8">
        <f t="shared" si="44"/>
        <v>0</v>
      </c>
      <c r="BI255" s="8">
        <f t="shared" si="45"/>
        <v>1039.96001</v>
      </c>
      <c r="BJ255" s="8">
        <f t="shared" si="46"/>
        <v>2599.90002</v>
      </c>
    </row>
    <row r="256" spans="1:62" x14ac:dyDescent="0.25">
      <c r="A256" s="9" t="s">
        <v>486</v>
      </c>
      <c r="B256" s="9" t="s">
        <v>644</v>
      </c>
      <c r="C256" s="10">
        <f>VLOOKUP(A256,'[2]Revenue_Engine_2025 Oct.25'!$C$14:G$3937,5,0)</f>
        <v>45691</v>
      </c>
      <c r="D256" s="6" cm="1">
        <f t="array" ref="D256">_xlfn.LET(
  _xlpm.aralık, Y256:BF256,
  _xlpm.ilk, MATCH(TRUE, _xlpm.aralık&lt;&gt;0, 0),
  _xlpm.son, MIN(_xlpm.ilk+2, COLUMNS(_xlpm.aralık)),
  MAX(INDEX(_xlpm.aralık, _xlpm.ilk):INDEX(_xlpm.aralık, _xlpm.son))
)</f>
        <v>250.01000099999999</v>
      </c>
      <c r="E256" s="6">
        <f t="shared" si="39"/>
        <v>0</v>
      </c>
      <c r="F256" s="6">
        <f t="shared" si="40"/>
        <v>0</v>
      </c>
      <c r="G256" s="6">
        <f t="shared" si="47"/>
        <v>250.01000099999999</v>
      </c>
      <c r="H256" s="7">
        <f t="shared" si="41"/>
        <v>-1</v>
      </c>
      <c r="I256" s="7">
        <f t="shared" si="42"/>
        <v>-1</v>
      </c>
      <c r="J256" s="7" t="e">
        <f t="shared" si="43"/>
        <v>#DIV/0!</v>
      </c>
      <c r="K256" s="7">
        <f t="shared" si="48"/>
        <v>0</v>
      </c>
      <c r="L256" s="5" t="s">
        <v>421</v>
      </c>
      <c r="M256" s="7">
        <f>IF(R256="",(VLOOKUP(A256,[1]Export!$B$2:$H$680,7,0)),"CHURN")</f>
        <v>0.16668004013167453</v>
      </c>
      <c r="N256" s="5">
        <f t="shared" si="49"/>
        <v>208.338324</v>
      </c>
      <c r="O256" s="5">
        <f t="shared" si="50"/>
        <v>0</v>
      </c>
      <c r="P256" s="5">
        <f t="shared" si="51"/>
        <v>0</v>
      </c>
      <c r="Q256" s="5" t="s">
        <v>430</v>
      </c>
      <c r="T256" s="6" t="str" cm="1">
        <f t="array" ref="T256">IF(R256&lt;&gt;"Churn","",
 _xlfn.LET(
   _xlpm.rng,Y256:BF256,
   _xlpm.pos,MAX(IF((_xlpm.rng&lt;&gt;0)*(_xlpm.rng&lt;&gt;""),COLUMN(_xlpm.rng)-COLUMN(Y256)+1)),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6" s="6" t="str" cm="1">
        <f t="array" ref="U256">IF(R256="Churn",
   MAX(IF((Y256:BF256&lt;&gt;"")*(Y256:BF256&lt;&gt;0), COLUMN(Y256:BF256)-COLUMN(Y256)+1))
   -MATCH(1, --((Y256:BF256&lt;&gt;"")*(Y256:BF256&lt;&gt;0)), 0)
   +1,
"")</f>
        <v/>
      </c>
      <c r="V256" s="6" t="str" cm="1">
        <f t="array" ref="V256">IFERROR(
    IF(
        MATCH(2,1/((Y256:BF256&lt;&gt;0)*(Y256:BF256&lt;&gt;"")))-MATCH(1,INDEX((Y256:BF256&lt;&gt;0)*(Y256:BF256&lt;&gt;""),0),0)+1 &lt;= 12,
        "No",
        "Yes"
    ),
    "No"
)</f>
        <v>No</v>
      </c>
      <c r="W256" s="6" t="str" cm="1">
        <f t="array" ref="W256">IFERROR(
    IF(
        MATCH(2,1/((Y256:BF256&lt;&gt;0)*(Y256:BF256&lt;&gt;"")))-MATCH(1,INDEX((Y256:BF256&lt;&gt;0)*(Y256:BF256&lt;&gt;""),0),0)+1 &lt;= 24,
        "No",
        "Yes"
    ),
    "No"
)</f>
        <v>No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250.01000099999999</v>
      </c>
      <c r="AY256" s="8">
        <v>250.01000099999999</v>
      </c>
      <c r="AZ256" s="8">
        <v>250.01000099999999</v>
      </c>
      <c r="BA256" s="8">
        <v>250.01000099999999</v>
      </c>
      <c r="BB256" s="8">
        <v>250.01000099999999</v>
      </c>
      <c r="BC256" s="8">
        <v>250.01000099999999</v>
      </c>
      <c r="BD256" s="8">
        <v>250.01000099999999</v>
      </c>
      <c r="BE256" s="8">
        <v>250.01000099999999</v>
      </c>
      <c r="BF256" s="8">
        <v>250.01000099999999</v>
      </c>
      <c r="BH256" s="8">
        <f t="shared" si="44"/>
        <v>0</v>
      </c>
      <c r="BI256" s="8">
        <f t="shared" si="45"/>
        <v>0</v>
      </c>
      <c r="BJ256" s="8">
        <f t="shared" si="46"/>
        <v>2250.0900090000005</v>
      </c>
    </row>
    <row r="257" spans="1:62" x14ac:dyDescent="0.25">
      <c r="A257" s="9" t="s">
        <v>180</v>
      </c>
      <c r="B257" s="9" t="s">
        <v>644</v>
      </c>
      <c r="C257" s="10">
        <f>VLOOKUP(A257,'[2]Revenue_Engine_2025 Oct.25'!$C$14:G$3937,5,0)</f>
        <v>45352</v>
      </c>
      <c r="D257" s="6" cm="1">
        <f t="array" ref="D257">_xlfn.LET(
  _xlpm.aralık, Y257:BF257,
  _xlpm.ilk, MATCH(TRUE, _xlpm.aralık&lt;&gt;0, 0),
  _xlpm.son, MIN(_xlpm.ilk+2, COLUMNS(_xlpm.aralık)),
  MAX(INDEX(_xlpm.aralık, _xlpm.ilk):INDEX(_xlpm.aralık, _xlpm.son))
)</f>
        <v>275</v>
      </c>
      <c r="E257" s="6">
        <f t="shared" si="39"/>
        <v>250</v>
      </c>
      <c r="F257" s="6">
        <f t="shared" si="40"/>
        <v>0</v>
      </c>
      <c r="G257" s="6">
        <f t="shared" si="47"/>
        <v>250</v>
      </c>
      <c r="H257" s="7">
        <f t="shared" si="41"/>
        <v>-9.0909090909090912E-2</v>
      </c>
      <c r="I257" s="7">
        <f t="shared" si="42"/>
        <v>-1</v>
      </c>
      <c r="J257" s="7">
        <f t="shared" si="43"/>
        <v>-1</v>
      </c>
      <c r="K257" s="7">
        <f t="shared" si="48"/>
        <v>-9.0909090909090912E-2</v>
      </c>
      <c r="L257" s="5" t="s">
        <v>417</v>
      </c>
      <c r="M257" s="11">
        <v>0.05</v>
      </c>
      <c r="N257" s="5">
        <f t="shared" si="49"/>
        <v>237.5</v>
      </c>
      <c r="O257" s="5">
        <f t="shared" si="50"/>
        <v>237.5</v>
      </c>
      <c r="P257" s="5">
        <f t="shared" si="51"/>
        <v>0</v>
      </c>
      <c r="Q257" s="5" t="str">
        <f>VLOOKUP(A257,[4]Sheet2!$A$1:$B$142,2,0)</f>
        <v>LOW RISK</v>
      </c>
      <c r="T257" s="6" t="str" cm="1">
        <f t="array" ref="T257">IF(R257&lt;&gt;"Churn","",
 _xlfn.LET(
   _xlpm.rng,Y257:BF257,
   _xlpm.pos,MAX(IF((_xlpm.rng&lt;&gt;0)*(_xlpm.rng&lt;&gt;""),COLUMN(_xlpm.rng)-COLUMN(Y257)+1)),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7" s="6" t="str" cm="1">
        <f t="array" ref="U257">IF(R257="Churn",
   MAX(IF((Y257:BF257&lt;&gt;"")*(Y257:BF257&lt;&gt;0), COLUMN(Y257:BF257)-COLUMN(Y257)+1))
   -MATCH(1, --((Y257:BF257&lt;&gt;"")*(Y257:BF257&lt;&gt;0)), 0)
   +1,
"")</f>
        <v/>
      </c>
      <c r="V257" s="6" t="str" cm="1">
        <f t="array" ref="V257">IFERROR(
    IF(
        MATCH(2,1/((Y257:BF257&lt;&gt;0)*(Y257:BF257&lt;&gt;"")))-MATCH(1,INDEX((Y257:BF257&lt;&gt;0)*(Y257:BF257&lt;&gt;""),0),0)+1 &lt;= 12,
        "No",
        "Yes"
    ),
    "No"
)</f>
        <v>No</v>
      </c>
      <c r="W257" s="6" t="str" cm="1">
        <f t="array" ref="W257">IFERROR(
    IF(
        MATCH(2,1/((Y257:BF257&lt;&gt;0)*(Y257:BF257&lt;&gt;"")))-MATCH(1,INDEX((Y257:BF257&lt;&gt;0)*(Y257:BF257&lt;&gt;""),0),0)+1 &lt;= 24,
        "No",
        "Yes"
    ),
    "No"
)</f>
        <v>No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275</v>
      </c>
      <c r="AX257" s="8">
        <v>275</v>
      </c>
      <c r="AY257" s="8">
        <v>250</v>
      </c>
      <c r="AZ257" s="8">
        <v>250</v>
      </c>
      <c r="BA257" s="8">
        <v>250</v>
      </c>
      <c r="BB257" s="8">
        <v>250</v>
      </c>
      <c r="BC257" s="8">
        <v>250</v>
      </c>
      <c r="BD257" s="8">
        <v>250</v>
      </c>
      <c r="BE257" s="8">
        <v>250</v>
      </c>
      <c r="BF257" s="8">
        <v>250</v>
      </c>
      <c r="BH257" s="8">
        <f t="shared" si="44"/>
        <v>0</v>
      </c>
      <c r="BI257" s="8">
        <f t="shared" si="45"/>
        <v>0</v>
      </c>
      <c r="BJ257" s="8">
        <f t="shared" si="46"/>
        <v>2550</v>
      </c>
    </row>
    <row r="258" spans="1:62" x14ac:dyDescent="0.25">
      <c r="A258" s="9" t="s">
        <v>487</v>
      </c>
      <c r="B258" s="9" t="s">
        <v>643</v>
      </c>
      <c r="C258" s="10">
        <f>VLOOKUP(A258,'[2]Revenue_Engine_2025 Oct.25'!$C$14:G$3937,5,0)</f>
        <v>45747</v>
      </c>
      <c r="D258" s="6" cm="1">
        <f t="array" ref="D258">_xlfn.LET(
  _xlpm.aralık, Y258:BF258,
  _xlpm.ilk, MATCH(TRUE, _xlpm.aralık&lt;&gt;0, 0),
  _xlpm.son, MIN(_xlpm.ilk+2, COLUMNS(_xlpm.aralık)),
  MAX(INDEX(_xlpm.aralık, _xlpm.ilk):INDEX(_xlpm.aralık, _xlpm.son))
)</f>
        <v>150.00399999999999</v>
      </c>
      <c r="E258" s="6">
        <f t="shared" ref="E258:E321" si="52">IFERROR(INDEX($Y258:$BF258,MATCH(TEXT(EDATE($C258,12),"mmm.yy"),$Y$1:$BF$1,0)),0)</f>
        <v>0</v>
      </c>
      <c r="F258" s="6">
        <f t="shared" ref="F258:F321" si="53">IFERROR(INDEX($Y258:$BF258,MATCH(TEXT(EDATE($C258,24),"mmm.yy"),$Y$1:$BF$1,0)),0)</f>
        <v>0</v>
      </c>
      <c r="G258" s="6">
        <f t="shared" si="47"/>
        <v>249.99978033333332</v>
      </c>
      <c r="H258" s="7">
        <f t="shared" ref="H258:H321" si="54">(E258-D258)/D258</f>
        <v>-1</v>
      </c>
      <c r="I258" s="7">
        <f t="shared" ref="I258:I321" si="55">(F258-D258)/D258</f>
        <v>-1</v>
      </c>
      <c r="J258" s="7" t="e">
        <f t="shared" ref="J258:J321" si="56">(F258-E258)/E258</f>
        <v>#DIV/0!</v>
      </c>
      <c r="K258" s="7">
        <f t="shared" si="48"/>
        <v>0.66662075900198214</v>
      </c>
      <c r="L258" s="5" t="s">
        <v>419</v>
      </c>
      <c r="M258" s="7">
        <f>IF(R258="",(VLOOKUP(A258,[1]Export!$B$2:$H$680,7,0)),"CHURN")</f>
        <v>0</v>
      </c>
      <c r="N258" s="5">
        <f t="shared" si="49"/>
        <v>249.99978033333332</v>
      </c>
      <c r="O258" s="5">
        <f t="shared" si="50"/>
        <v>0</v>
      </c>
      <c r="P258" s="5">
        <f t="shared" si="51"/>
        <v>0</v>
      </c>
      <c r="Q258" s="5" t="s">
        <v>430</v>
      </c>
      <c r="T258" s="6" t="str" cm="1">
        <f t="array" ref="T258">IF(R258&lt;&gt;"Churn","",
 _xlfn.LET(
   _xlpm.rng,Y258:BF258,
   _xlpm.pos,MAX(IF((_xlpm.rng&lt;&gt;0)*(_xlpm.rng&lt;&gt;""),COLUMN(_xlpm.rng)-COLUMN(Y258)+1)),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8" s="6" t="str" cm="1">
        <f t="array" ref="U258">IF(R258="Churn",
   MAX(IF((Y258:BF258&lt;&gt;"")*(Y258:BF258&lt;&gt;0), COLUMN(Y258:BF258)-COLUMN(Y258)+1))
   -MATCH(1, --((Y258:BF258&lt;&gt;"")*(Y258:BF258&lt;&gt;0)), 0)
   +1,
"")</f>
        <v/>
      </c>
      <c r="V258" s="14" t="s">
        <v>705</v>
      </c>
      <c r="W258" s="14" t="s">
        <v>705</v>
      </c>
      <c r="Y258" s="8">
        <v>0</v>
      </c>
      <c r="Z258" s="8">
        <v>0</v>
      </c>
      <c r="AA258" s="8">
        <v>150</v>
      </c>
      <c r="AB258" s="8">
        <v>150</v>
      </c>
      <c r="AC258" s="8">
        <v>150.00399999999999</v>
      </c>
      <c r="AD258" s="8">
        <v>150.00399999999999</v>
      </c>
      <c r="AE258" s="8">
        <v>150.00399999999999</v>
      </c>
      <c r="AF258" s="8">
        <v>150.00399999999999</v>
      </c>
      <c r="AG258" s="8">
        <v>150.00399999999999</v>
      </c>
      <c r="AH258" s="8">
        <v>150.00399999999999</v>
      </c>
      <c r="AI258" s="8">
        <v>150.00399999999999</v>
      </c>
      <c r="AJ258" s="8">
        <v>150.00399999999999</v>
      </c>
      <c r="AK258" s="8">
        <v>150.00399999999999</v>
      </c>
      <c r="AL258" s="8">
        <v>150.00399999999999</v>
      </c>
      <c r="AM258" s="8">
        <v>150.00399999999999</v>
      </c>
      <c r="AN258" s="8">
        <v>150.00399999999999</v>
      </c>
      <c r="AO258" s="8">
        <v>150.00399999999999</v>
      </c>
      <c r="AP258" s="8">
        <v>150.00399999999999</v>
      </c>
      <c r="AQ258" s="8">
        <v>150.00399999999999</v>
      </c>
      <c r="AR258" s="8">
        <v>150.00399999999999</v>
      </c>
      <c r="AS258" s="8">
        <v>150.00399999999999</v>
      </c>
      <c r="AT258" s="8">
        <v>150.00399999999999</v>
      </c>
      <c r="AU258" s="8">
        <v>150.00399999999999</v>
      </c>
      <c r="AV258" s="8">
        <v>150.00399999999999</v>
      </c>
      <c r="AW258" s="8">
        <v>150.00399999999999</v>
      </c>
      <c r="AX258" s="8">
        <v>150.00399999999999</v>
      </c>
      <c r="AY258" s="8">
        <v>20.833113666666666</v>
      </c>
      <c r="AZ258" s="8">
        <v>20.833113666666666</v>
      </c>
      <c r="BA258" s="8">
        <v>20.833113666666666</v>
      </c>
      <c r="BB258" s="8">
        <v>20.833113666666666</v>
      </c>
      <c r="BC258" s="8">
        <v>20.833113666666666</v>
      </c>
      <c r="BD258" s="8">
        <v>249.99978033333332</v>
      </c>
      <c r="BE258" s="8">
        <v>249.99978033333332</v>
      </c>
      <c r="BF258" s="8">
        <v>249.99978033333332</v>
      </c>
      <c r="BH258" s="8">
        <f t="shared" ref="BH258:BH321" si="57">SUM(Y258:AJ258)</f>
        <v>1500.0319999999997</v>
      </c>
      <c r="BI258" s="8">
        <f t="shared" ref="BI258:BI321" si="58">SUM(AK258:AV258)</f>
        <v>1800.0479999999995</v>
      </c>
      <c r="BJ258" s="8">
        <f t="shared" ref="BJ258:BJ321" si="59">SUM(AW258:BF258)</f>
        <v>1154.1729093333333</v>
      </c>
    </row>
    <row r="259" spans="1:62" x14ac:dyDescent="0.25">
      <c r="A259" s="9" t="s">
        <v>488</v>
      </c>
      <c r="B259" s="9" t="s">
        <v>644</v>
      </c>
      <c r="C259" s="10">
        <f>VLOOKUP(A259,'[2]Revenue_Engine_2025 Oct.25'!$C$14:G$3937,5,0)</f>
        <v>45649</v>
      </c>
      <c r="D259" s="6" cm="1">
        <f t="array" ref="D259">_xlfn.LET(
  _xlpm.aralık, Y259:BF259,
  _xlpm.ilk, MATCH(TRUE, _xlpm.aralık&lt;&gt;0, 0),
  _xlpm.son, MIN(_xlpm.ilk+2, COLUMNS(_xlpm.aralık)),
  MAX(INDEX(_xlpm.aralık, _xlpm.ilk):INDEX(_xlpm.aralık, _xlpm.son))
)</f>
        <v>80.500833333333333</v>
      </c>
      <c r="E259" s="6">
        <f t="shared" si="52"/>
        <v>0</v>
      </c>
      <c r="F259" s="6">
        <f t="shared" si="53"/>
        <v>0</v>
      </c>
      <c r="G259" s="6">
        <f t="shared" ref="G259:G322" si="60">BF259</f>
        <v>242.16749999999999</v>
      </c>
      <c r="H259" s="7">
        <f t="shared" si="54"/>
        <v>-1</v>
      </c>
      <c r="I259" s="7">
        <f t="shared" si="55"/>
        <v>-1</v>
      </c>
      <c r="J259" s="7" t="e">
        <f t="shared" si="56"/>
        <v>#DIV/0!</v>
      </c>
      <c r="K259" s="7">
        <f t="shared" ref="K259:K322" si="61">IF(R259="",((BF259-D259)/D259),((T259-D259)/D259))</f>
        <v>2.0082607840498543</v>
      </c>
      <c r="L259" s="5" t="s">
        <v>694</v>
      </c>
      <c r="M259" s="7">
        <f>IF(R259="",(VLOOKUP(A259,[1]Export!$B$2:$H$680,7,0)),"CHURN")</f>
        <v>0.21527841569822245</v>
      </c>
      <c r="N259" s="5">
        <f t="shared" ref="N259:N322" si="62">(1-M259)*G259</f>
        <v>190.03406426640069</v>
      </c>
      <c r="O259" s="5">
        <f t="shared" ref="O259:O322" si="63">(1-M259)*E259</f>
        <v>0</v>
      </c>
      <c r="P259" s="5">
        <f t="shared" ref="P259:P322" si="64">(1-M259)*F259</f>
        <v>0</v>
      </c>
      <c r="Q259" s="5" t="s">
        <v>430</v>
      </c>
      <c r="T259" s="6" t="str" cm="1">
        <f t="array" ref="T259">IF(R259&lt;&gt;"Churn","",
 _xlfn.LET(
   _xlpm.rng,Y259:BF259,
   _xlpm.pos,MAX(IF((_xlpm.rng&lt;&gt;0)*(_xlpm.rng&lt;&gt;""),COLUMN(_xlpm.rng)-COLUMN(Y259)+1)),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59" s="6" t="str" cm="1">
        <f t="array" ref="U259">IF(R259="Churn",
   MAX(IF((Y259:BF259&lt;&gt;"")*(Y259:BF259&lt;&gt;0), COLUMN(Y259:BF259)-COLUMN(Y259)+1))
   -MATCH(1, --((Y259:BF259&lt;&gt;"")*(Y259:BF259&lt;&gt;0)), 0)
   +1,
"")</f>
        <v/>
      </c>
      <c r="V259" s="6" t="str" cm="1">
        <f t="array" ref="V259">IFERROR(
    IF(
        MATCH(2,1/((Y259:BF259&lt;&gt;0)*(Y259:BF259&lt;&gt;"")))-MATCH(1,INDEX((Y259:BF259&lt;&gt;0)*(Y259:BF259&lt;&gt;""),0),0)+1 &lt;= 12,
        "No",
        "Yes"
    ),
    "No"
)</f>
        <v>No</v>
      </c>
      <c r="W259" s="6" t="str" cm="1">
        <f t="array" ref="W259">IFERROR(
    IF(
        MATCH(2,1/((Y259:BF259&lt;&gt;0)*(Y259:BF259&lt;&gt;"")))-MATCH(1,INDEX((Y259:BF259&lt;&gt;0)*(Y259:BF259&lt;&gt;""),0),0)+1 &lt;= 24,
        "No",
        "Yes"
    ),
    "No"
)</f>
        <v>No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80.500833333333333</v>
      </c>
      <c r="AW259" s="8">
        <v>80.500833333333333</v>
      </c>
      <c r="AX259" s="8">
        <v>80.500833333333333</v>
      </c>
      <c r="AY259" s="8">
        <v>110.50083333333333</v>
      </c>
      <c r="AZ259" s="8">
        <v>242.16749999999999</v>
      </c>
      <c r="BA259" s="8">
        <v>242.16749999999999</v>
      </c>
      <c r="BB259" s="8">
        <v>242.16749999999999</v>
      </c>
      <c r="BC259" s="8">
        <v>212.16749999999999</v>
      </c>
      <c r="BD259" s="8">
        <v>242.16749999999999</v>
      </c>
      <c r="BE259" s="8">
        <v>242.16749999999999</v>
      </c>
      <c r="BF259" s="8">
        <v>242.16749999999999</v>
      </c>
      <c r="BH259" s="8">
        <f t="shared" si="57"/>
        <v>0</v>
      </c>
      <c r="BI259" s="8">
        <f t="shared" si="58"/>
        <v>80.500833333333333</v>
      </c>
      <c r="BJ259" s="8">
        <f t="shared" si="59"/>
        <v>1936.675</v>
      </c>
    </row>
    <row r="260" spans="1:62" x14ac:dyDescent="0.25">
      <c r="A260" s="9" t="s">
        <v>121</v>
      </c>
      <c r="B260" s="9" t="s">
        <v>644</v>
      </c>
      <c r="C260" s="10">
        <v>44927</v>
      </c>
      <c r="D260" s="6" cm="1">
        <f t="array" ref="D260">_xlfn.LET(
  _xlpm.aralık, Y260:BF260,
  _xlpm.ilk, MATCH(TRUE, _xlpm.aralık&lt;&gt;0, 0),
  _xlpm.son, MIN(_xlpm.ilk+2, COLUMNS(_xlpm.aralık)),
  MAX(INDEX(_xlpm.aralık, _xlpm.ilk):INDEX(_xlpm.aralık, _xlpm.son))
)</f>
        <v>154.94690350404889</v>
      </c>
      <c r="E260" s="6">
        <f t="shared" si="52"/>
        <v>152.36655118719347</v>
      </c>
      <c r="F260" s="6">
        <f t="shared" si="53"/>
        <v>219.85403197223241</v>
      </c>
      <c r="G260" s="6">
        <f t="shared" si="60"/>
        <v>241.33295250237862</v>
      </c>
      <c r="H260" s="7">
        <f t="shared" si="54"/>
        <v>-1.6653138968911362E-2</v>
      </c>
      <c r="I260" s="7">
        <f t="shared" si="55"/>
        <v>0.41889916481285111</v>
      </c>
      <c r="J260" s="7">
        <f t="shared" si="56"/>
        <v>0.44292845286053384</v>
      </c>
      <c r="K260" s="7">
        <f t="shared" si="61"/>
        <v>0.55752033144742641</v>
      </c>
      <c r="L260" s="5" t="s">
        <v>422</v>
      </c>
      <c r="M260" s="7">
        <f>IF(R260="",(VLOOKUP(A260,[1]Export!$B$2:$H$680,7,0)),"CHURN")</f>
        <v>0.1435988877634013</v>
      </c>
      <c r="N260" s="5">
        <f t="shared" si="62"/>
        <v>206.67780894237927</v>
      </c>
      <c r="O260" s="5">
        <f t="shared" si="63"/>
        <v>130.48688390436712</v>
      </c>
      <c r="P260" s="5">
        <f t="shared" si="64"/>
        <v>188.28323751072054</v>
      </c>
      <c r="Q260" s="5" t="s">
        <v>430</v>
      </c>
      <c r="T260" s="6" t="str" cm="1">
        <f t="array" ref="T260">IF(R260&lt;&gt;"Churn","",
 _xlfn.LET(
   _xlpm.rng,Y260:BF260,
   _xlpm.pos,MAX(IF((_xlpm.rng&lt;&gt;0)*(_xlpm.rng&lt;&gt;""),COLUMN(_xlpm.rng)-COLUMN(Y260)+1)),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0" s="6" t="str" cm="1">
        <f t="array" ref="U260">IF(R260="Churn",
   MAX(IF((Y260:BF260&lt;&gt;"")*(Y260:BF260&lt;&gt;0), COLUMN(Y260:BF260)-COLUMN(Y260)+1))
   -MATCH(1, --((Y260:BF260&lt;&gt;"")*(Y260:BF260&lt;&gt;0)), 0)
   +1,
"")</f>
        <v/>
      </c>
      <c r="V260" s="6" t="str" cm="1">
        <f t="array" ref="V260">IFERROR(
    IF(
        MATCH(2,1/((Y260:BF260&lt;&gt;0)*(Y260:BF260&lt;&gt;"")))-MATCH(1,INDEX((Y260:BF260&lt;&gt;0)*(Y260:BF260&lt;&gt;""),0),0)+1 &lt;= 12,
        "No",
        "Yes"
    ),
    "No"
)</f>
        <v>Yes</v>
      </c>
      <c r="W260" s="6" t="str" cm="1">
        <f t="array" ref="W260">IFERROR(
    IF(
        MATCH(2,1/((Y260:BF260&lt;&gt;0)*(Y260:BF260&lt;&gt;"")))-MATCH(1,INDEX((Y260:BF260&lt;&gt;0)*(Y260:BF260&lt;&gt;""),0),0)+1 &lt;= 24,
        "No",
        "Yes"
    ),
    "No"
)</f>
        <v>Yes</v>
      </c>
      <c r="X260" s="6"/>
      <c r="Y260" s="8">
        <v>154.94690350404889</v>
      </c>
      <c r="Z260" s="8">
        <v>154.53016675786375</v>
      </c>
      <c r="AA260" s="8">
        <v>153.65148630761848</v>
      </c>
      <c r="AB260" s="8">
        <v>203.34057629453903</v>
      </c>
      <c r="AC260" s="8">
        <v>209.14951827310054</v>
      </c>
      <c r="AD260" s="8">
        <v>182.88458514238832</v>
      </c>
      <c r="AE260" s="8">
        <v>167.08267721008443</v>
      </c>
      <c r="AF260" s="8">
        <v>164.75403781632815</v>
      </c>
      <c r="AG260" s="8">
        <v>164.6419765918194</v>
      </c>
      <c r="AH260" s="8">
        <v>160.92354627621285</v>
      </c>
      <c r="AI260" s="8">
        <v>157.70471155830938</v>
      </c>
      <c r="AJ260" s="8">
        <v>155.93307456785362</v>
      </c>
      <c r="AK260" s="8">
        <v>152.36655118719347</v>
      </c>
      <c r="AL260" s="8">
        <v>149.87663619601125</v>
      </c>
      <c r="AM260" s="8">
        <v>204.03357369776489</v>
      </c>
      <c r="AN260" s="8">
        <v>202.43965632008135</v>
      </c>
      <c r="AO260" s="8">
        <v>202.66998872408166</v>
      </c>
      <c r="AP260" s="8">
        <v>201.32653714187151</v>
      </c>
      <c r="AQ260" s="8">
        <v>199.50411478359342</v>
      </c>
      <c r="AR260" s="8">
        <v>196.15645868706545</v>
      </c>
      <c r="AS260" s="8">
        <v>194.41442463647763</v>
      </c>
      <c r="AT260" s="8">
        <v>193.48431293476574</v>
      </c>
      <c r="AU260" s="8">
        <v>192.66032438788008</v>
      </c>
      <c r="AV260" s="8">
        <v>190.34882049577683</v>
      </c>
      <c r="AW260" s="8">
        <v>219.85403197223241</v>
      </c>
      <c r="AX260" s="8">
        <v>216.7540433677359</v>
      </c>
      <c r="AY260" s="8">
        <v>266.5644997418633</v>
      </c>
      <c r="AZ260" s="8">
        <v>260.61911000149951</v>
      </c>
      <c r="BA260" s="8">
        <v>256.98762981318907</v>
      </c>
      <c r="BB260" s="8">
        <v>253.37150148370972</v>
      </c>
      <c r="BC260" s="8">
        <v>249.34420266145287</v>
      </c>
      <c r="BD260" s="8">
        <v>246.1817720549237</v>
      </c>
      <c r="BE260" s="8">
        <v>243.73447834545394</v>
      </c>
      <c r="BF260" s="8">
        <v>241.33295250237862</v>
      </c>
      <c r="BH260" s="8">
        <f t="shared" si="57"/>
        <v>2029.5432603001668</v>
      </c>
      <c r="BI260" s="8">
        <f t="shared" si="58"/>
        <v>2279.2813991925632</v>
      </c>
      <c r="BJ260" s="8">
        <f t="shared" si="59"/>
        <v>2454.7442219444392</v>
      </c>
    </row>
    <row r="261" spans="1:62" x14ac:dyDescent="0.25">
      <c r="A261" s="9" t="s">
        <v>302</v>
      </c>
      <c r="B261" s="9" t="s">
        <v>644</v>
      </c>
      <c r="C261" s="10">
        <f>VLOOKUP(A261,'[2]Revenue_Engine_2025 Oct.25'!$C$14:G$3937,5,0)</f>
        <v>45439</v>
      </c>
      <c r="D261" s="6" cm="1">
        <f t="array" ref="D261">_xlfn.LET(
  _xlpm.aralık, Y261:BF261,
  _xlpm.ilk, MATCH(TRUE, _xlpm.aralık&lt;&gt;0, 0),
  _xlpm.son, MIN(_xlpm.ilk+2, COLUMNS(_xlpm.aralık)),
  MAX(INDEX(_xlpm.aralık, _xlpm.ilk):INDEX(_xlpm.aralık, _xlpm.son))
)</f>
        <v>190.000001</v>
      </c>
      <c r="E261" s="6">
        <f t="shared" si="52"/>
        <v>231.813648</v>
      </c>
      <c r="F261" s="6">
        <f t="shared" si="53"/>
        <v>0</v>
      </c>
      <c r="G261" s="6">
        <f t="shared" si="60"/>
        <v>231.813648</v>
      </c>
      <c r="H261" s="7">
        <f t="shared" si="54"/>
        <v>0.22007182515751672</v>
      </c>
      <c r="I261" s="7">
        <f t="shared" si="55"/>
        <v>-1</v>
      </c>
      <c r="J261" s="7">
        <f t="shared" si="56"/>
        <v>-1</v>
      </c>
      <c r="K261" s="7">
        <f t="shared" si="61"/>
        <v>0.22007182515751672</v>
      </c>
      <c r="L261" s="5" t="s">
        <v>412</v>
      </c>
      <c r="M261" s="7">
        <f>IF(R261="",(VLOOKUP(A261,[1]Export!$B$2:$H$680,7,0)),"CHURN")</f>
        <v>0.13157120067408629</v>
      </c>
      <c r="N261" s="5">
        <f t="shared" si="62"/>
        <v>201.313648</v>
      </c>
      <c r="O261" s="5">
        <f t="shared" si="63"/>
        <v>201.313648</v>
      </c>
      <c r="P261" s="5">
        <f t="shared" si="64"/>
        <v>0</v>
      </c>
      <c r="Q261" s="5" t="str">
        <f>VLOOKUP(A261,[4]Sheet2!$A$1:$B$142,2,0)</f>
        <v>LOW RISK</v>
      </c>
      <c r="T261" s="6" t="str" cm="1">
        <f t="array" ref="T261">IF(R261&lt;&gt;"Churn","",
 _xlfn.LET(
   _xlpm.rng,Y261:BF261,
   _xlpm.pos,MAX(IF((_xlpm.rng&lt;&gt;0)*(_xlpm.rng&lt;&gt;""),COLUMN(_xlpm.rng)-COLUMN(Y261)+1)),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1" s="6" t="str" cm="1">
        <f t="array" ref="U261">IF(R261="Churn",
   MAX(IF((Y261:BF261&lt;&gt;"")*(Y261:BF261&lt;&gt;0), COLUMN(Y261:BF261)-COLUMN(Y261)+1))
   -MATCH(1, --((Y261:BF261&lt;&gt;"")*(Y261:BF261&lt;&gt;0)), 0)
   +1,
"")</f>
        <v/>
      </c>
      <c r="V261" s="6" t="str" cm="1">
        <f t="array" ref="V261">IFERROR(
    IF(
        MATCH(2,1/((Y261:BF261&lt;&gt;0)*(Y261:BF261&lt;&gt;"")))-MATCH(1,INDEX((Y261:BF261&lt;&gt;0)*(Y261:BF261&lt;&gt;""),0),0)+1 &lt;= 12,
        "No",
        "Yes"
    ),
    "No"
)</f>
        <v>Yes</v>
      </c>
      <c r="W261" s="6" t="str" cm="1">
        <f t="array" ref="W261">IFERROR(
    IF(
        MATCH(2,1/((Y261:BF261&lt;&gt;0)*(Y261:BF261&lt;&gt;"")))-MATCH(1,INDEX((Y261:BF261&lt;&gt;0)*(Y261:BF261&lt;&gt;""),0),0)+1 &lt;= 24,
        "No",
        "Yes"
    ),
    "No"
)</f>
        <v>No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190.000001</v>
      </c>
      <c r="AP261" s="8">
        <v>190.000001</v>
      </c>
      <c r="AQ261" s="8">
        <v>190.000001</v>
      </c>
      <c r="AR261" s="8">
        <v>190.000001</v>
      </c>
      <c r="AS261" s="8">
        <v>190.000001</v>
      </c>
      <c r="AT261" s="8">
        <v>190.000001</v>
      </c>
      <c r="AU261" s="8">
        <v>190.000001</v>
      </c>
      <c r="AV261" s="8">
        <v>190.000001</v>
      </c>
      <c r="AW261" s="8">
        <v>231.813648</v>
      </c>
      <c r="AX261" s="8">
        <v>231.813648</v>
      </c>
      <c r="AY261" s="8">
        <v>231.813648</v>
      </c>
      <c r="AZ261" s="8">
        <v>231.813648</v>
      </c>
      <c r="BA261" s="8">
        <v>231.813648</v>
      </c>
      <c r="BB261" s="8">
        <v>231.813648</v>
      </c>
      <c r="BC261" s="8">
        <v>231.813648</v>
      </c>
      <c r="BD261" s="8">
        <v>231.813648</v>
      </c>
      <c r="BE261" s="8">
        <v>231.813648</v>
      </c>
      <c r="BF261" s="8">
        <v>231.813648</v>
      </c>
      <c r="BH261" s="8">
        <f t="shared" si="57"/>
        <v>0</v>
      </c>
      <c r="BI261" s="8">
        <f t="shared" si="58"/>
        <v>1520.000008</v>
      </c>
      <c r="BJ261" s="8">
        <f t="shared" si="59"/>
        <v>2318.1364800000001</v>
      </c>
    </row>
    <row r="262" spans="1:62" x14ac:dyDescent="0.25">
      <c r="A262" s="9" t="s">
        <v>169</v>
      </c>
      <c r="B262" s="9" t="s">
        <v>644</v>
      </c>
      <c r="C262" s="10">
        <v>44927</v>
      </c>
      <c r="D262" s="6" cm="1">
        <f t="array" ref="D262">_xlfn.LET(
  _xlpm.aralık, Y262:BF262,
  _xlpm.ilk, MATCH(TRUE, _xlpm.aralık&lt;&gt;0, 0),
  _xlpm.son, MIN(_xlpm.ilk+2, COLUMNS(_xlpm.aralık)),
  MAX(INDEX(_xlpm.aralık, _xlpm.ilk):INDEX(_xlpm.aralık, _xlpm.son))
)</f>
        <v>167.2</v>
      </c>
      <c r="E262" s="6">
        <f t="shared" si="52"/>
        <v>167.2</v>
      </c>
      <c r="F262" s="6">
        <f t="shared" si="53"/>
        <v>177.2</v>
      </c>
      <c r="G262" s="6">
        <f t="shared" si="60"/>
        <v>227.6</v>
      </c>
      <c r="H262" s="7">
        <f t="shared" si="54"/>
        <v>0</v>
      </c>
      <c r="I262" s="7">
        <f t="shared" si="55"/>
        <v>5.9808612440191394E-2</v>
      </c>
      <c r="J262" s="7">
        <f t="shared" si="56"/>
        <v>5.9808612440191394E-2</v>
      </c>
      <c r="K262" s="7">
        <f t="shared" si="61"/>
        <v>0.36124401913875603</v>
      </c>
      <c r="L262" s="5" t="s">
        <v>421</v>
      </c>
      <c r="M262" s="7">
        <f>IF(R262="",(VLOOKUP(A262,[1]Export!$B$2:$H$680,7,0)),"CHURN")</f>
        <v>1</v>
      </c>
      <c r="N262" s="5">
        <f t="shared" si="62"/>
        <v>0</v>
      </c>
      <c r="O262" s="5">
        <f t="shared" si="63"/>
        <v>0</v>
      </c>
      <c r="P262" s="5">
        <f t="shared" si="64"/>
        <v>0</v>
      </c>
      <c r="Q262" s="5" t="str">
        <f>VLOOKUP(A262,[4]Sheet2!$A$1:$B$142,2,0)</f>
        <v xml:space="preserve">NO RISK </v>
      </c>
      <c r="T262" s="6" t="str" cm="1">
        <f t="array" ref="T262">IF(R262&lt;&gt;"Churn","",
 _xlfn.LET(
   _xlpm.rng,Y262:BF262,
   _xlpm.pos,MAX(IF((_xlpm.rng&lt;&gt;0)*(_xlpm.rng&lt;&gt;""),COLUMN(_xlpm.rng)-COLUMN(Y262)+1)),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2" s="6" t="str" cm="1">
        <f t="array" ref="U262">IF(R262="Churn",
   MAX(IF((Y262:BF262&lt;&gt;"")*(Y262:BF262&lt;&gt;0), COLUMN(Y262:BF262)-COLUMN(Y262)+1))
   -MATCH(1, --((Y262:BF262&lt;&gt;"")*(Y262:BF262&lt;&gt;0)), 0)
   +1,
"")</f>
        <v/>
      </c>
      <c r="V262" s="6" t="str" cm="1">
        <f t="array" ref="V262">IFERROR(
    IF(
        MATCH(2,1/((Y262:BF262&lt;&gt;0)*(Y262:BF262&lt;&gt;"")))-MATCH(1,INDEX((Y262:BF262&lt;&gt;0)*(Y262:BF262&lt;&gt;""),0),0)+1 &lt;= 12,
        "No",
        "Yes"
    ),
    "No"
)</f>
        <v>Yes</v>
      </c>
      <c r="W262" s="6" t="str" cm="1">
        <f t="array" ref="W262">IFERROR(
    IF(
        MATCH(2,1/((Y262:BF262&lt;&gt;0)*(Y262:BF262&lt;&gt;"")))-MATCH(1,INDEX((Y262:BF262&lt;&gt;0)*(Y262:BF262&lt;&gt;""),0),0)+1 &lt;= 24,
        "No",
        "Yes"
    ),
    "No"
)</f>
        <v>Yes</v>
      </c>
      <c r="Y262" s="8">
        <v>167.2</v>
      </c>
      <c r="Z262" s="8">
        <v>167.2</v>
      </c>
      <c r="AA262" s="8">
        <v>167.2</v>
      </c>
      <c r="AB262" s="8">
        <v>167.2</v>
      </c>
      <c r="AC262" s="8">
        <v>167.2</v>
      </c>
      <c r="AD262" s="8">
        <v>167.2</v>
      </c>
      <c r="AE262" s="8">
        <v>167.2</v>
      </c>
      <c r="AF262" s="8">
        <v>167.2</v>
      </c>
      <c r="AG262" s="8">
        <v>167.2</v>
      </c>
      <c r="AH262" s="8">
        <v>167.2</v>
      </c>
      <c r="AI262" s="8">
        <v>167.2</v>
      </c>
      <c r="AJ262" s="8">
        <v>167.2</v>
      </c>
      <c r="AK262" s="8">
        <v>167.2</v>
      </c>
      <c r="AL262" s="8">
        <v>167.2</v>
      </c>
      <c r="AM262" s="8">
        <v>167.2</v>
      </c>
      <c r="AN262" s="8">
        <v>167.2</v>
      </c>
      <c r="AO262" s="8">
        <v>167.2</v>
      </c>
      <c r="AP262" s="8">
        <v>167.2</v>
      </c>
      <c r="AQ262" s="8">
        <v>167.2</v>
      </c>
      <c r="AR262" s="8">
        <v>167.2</v>
      </c>
      <c r="AS262" s="8">
        <v>167.2</v>
      </c>
      <c r="AT262" s="8">
        <v>167.2</v>
      </c>
      <c r="AU262" s="8">
        <v>175.2</v>
      </c>
      <c r="AV262" s="8">
        <v>177.2</v>
      </c>
      <c r="AW262" s="8">
        <v>177.2</v>
      </c>
      <c r="AX262" s="8">
        <v>177.2</v>
      </c>
      <c r="AY262" s="8">
        <v>177.2</v>
      </c>
      <c r="AZ262" s="8">
        <v>177.2</v>
      </c>
      <c r="BA262" s="8">
        <v>177.2</v>
      </c>
      <c r="BB262" s="8">
        <v>177.2</v>
      </c>
      <c r="BC262" s="8">
        <v>227.6</v>
      </c>
      <c r="BD262" s="8">
        <v>227.6</v>
      </c>
      <c r="BE262" s="8">
        <v>227.6</v>
      </c>
      <c r="BF262" s="8">
        <v>227.6</v>
      </c>
      <c r="BH262" s="8">
        <f t="shared" si="57"/>
        <v>2006.4000000000003</v>
      </c>
      <c r="BI262" s="8">
        <f t="shared" si="58"/>
        <v>2024.4000000000003</v>
      </c>
      <c r="BJ262" s="8">
        <f t="shared" si="59"/>
        <v>1973.5999999999997</v>
      </c>
    </row>
    <row r="263" spans="1:62" x14ac:dyDescent="0.25">
      <c r="A263" s="9" t="s">
        <v>489</v>
      </c>
      <c r="B263" s="9" t="s">
        <v>644</v>
      </c>
      <c r="C263" s="10">
        <f>VLOOKUP(A263,'[2]Revenue_Engine_2025 Oct.25'!$C$14:G$3937,5,0)</f>
        <v>45373</v>
      </c>
      <c r="D263" s="6" cm="1">
        <f t="array" ref="D263">_xlfn.LET(
  _xlpm.aralık, Y263:BF263,
  _xlpm.ilk, MATCH(TRUE, _xlpm.aralık&lt;&gt;0, 0),
  _xlpm.son, MIN(_xlpm.ilk+2, COLUMNS(_xlpm.aralık)),
  MAX(INDEX(_xlpm.aralık, _xlpm.ilk):INDEX(_xlpm.aralık, _xlpm.son))
)</f>
        <v>226.88017393819007</v>
      </c>
      <c r="E263" s="6">
        <f t="shared" si="52"/>
        <v>0</v>
      </c>
      <c r="F263" s="6">
        <f t="shared" si="53"/>
        <v>0</v>
      </c>
      <c r="G263" s="6">
        <f t="shared" si="60"/>
        <v>226.88017393819007</v>
      </c>
      <c r="H263" s="7">
        <f t="shared" si="54"/>
        <v>-1</v>
      </c>
      <c r="I263" s="7">
        <f t="shared" si="55"/>
        <v>-1</v>
      </c>
      <c r="J263" s="7" t="e">
        <f t="shared" si="56"/>
        <v>#DIV/0!</v>
      </c>
      <c r="K263" s="7">
        <f t="shared" si="61"/>
        <v>0</v>
      </c>
      <c r="L263" s="5" t="s">
        <v>694</v>
      </c>
      <c r="M263" s="7">
        <f>IF(R263="",(VLOOKUP(A263,[1]Export!$B$2:$H$680,7,0)),"CHURN")</f>
        <v>0.31755805033525203</v>
      </c>
      <c r="N263" s="5">
        <f t="shared" si="62"/>
        <v>154.83254824265558</v>
      </c>
      <c r="O263" s="5">
        <f t="shared" si="63"/>
        <v>0</v>
      </c>
      <c r="P263" s="5">
        <f t="shared" si="64"/>
        <v>0</v>
      </c>
      <c r="Q263" s="5" t="s">
        <v>430</v>
      </c>
      <c r="T263" s="6" t="str" cm="1">
        <f t="array" ref="T263">IF(R263&lt;&gt;"Churn","",
 _xlfn.LET(
   _xlpm.rng,Y263:BF263,
   _xlpm.pos,MAX(IF((_xlpm.rng&lt;&gt;0)*(_xlpm.rng&lt;&gt;""),COLUMN(_xlpm.rng)-COLUMN(Y263)+1)),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3" s="6" t="str" cm="1">
        <f t="array" ref="U263">IF(R263="Churn",
   MAX(IF((Y263:BF263&lt;&gt;"")*(Y263:BF263&lt;&gt;0), COLUMN(Y263:BF263)-COLUMN(Y263)+1))
   -MATCH(1, --((Y263:BF263&lt;&gt;"")*(Y263:BF263&lt;&gt;0)), 0)
   +1,
"")</f>
        <v/>
      </c>
      <c r="V263" s="6" t="str" cm="1">
        <f t="array" ref="V263">IFERROR(
    IF(
        MATCH(2,1/((Y263:BF263&lt;&gt;0)*(Y263:BF263&lt;&gt;"")))-MATCH(1,INDEX((Y263:BF263&lt;&gt;0)*(Y263:BF263&lt;&gt;""),0),0)+1 &lt;= 12,
        "No",
        "Yes"
    ),
    "No"
)</f>
        <v>No</v>
      </c>
      <c r="W263" s="6" t="str" cm="1">
        <f t="array" ref="W263">IFERROR(
    IF(
        MATCH(2,1/((Y263:BF263&lt;&gt;0)*(Y263:BF263&lt;&gt;"")))-MATCH(1,INDEX((Y263:BF263&lt;&gt;0)*(Y263:BF263&lt;&gt;""),0),0)+1 &lt;= 24,
        "No",
        "Yes"
    ),
    "No"
)</f>
        <v>No</v>
      </c>
      <c r="X263" s="6"/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226.88017393819007</v>
      </c>
      <c r="BA263" s="8">
        <v>226.88017393819007</v>
      </c>
      <c r="BB263" s="8">
        <v>226.88017393819007</v>
      </c>
      <c r="BC263" s="8">
        <v>226.88017393819007</v>
      </c>
      <c r="BD263" s="8">
        <v>226.88017393819007</v>
      </c>
      <c r="BE263" s="8">
        <v>226.88017393819007</v>
      </c>
      <c r="BF263" s="8">
        <v>226.88017393819007</v>
      </c>
      <c r="BH263" s="8">
        <f t="shared" si="57"/>
        <v>0</v>
      </c>
      <c r="BI263" s="8">
        <f t="shared" si="58"/>
        <v>0</v>
      </c>
      <c r="BJ263" s="8">
        <f t="shared" si="59"/>
        <v>1588.1612175673308</v>
      </c>
    </row>
    <row r="264" spans="1:62" x14ac:dyDescent="0.25">
      <c r="A264" s="9" t="s">
        <v>371</v>
      </c>
      <c r="B264" s="9" t="s">
        <v>644</v>
      </c>
      <c r="C264" s="10">
        <f>VLOOKUP(A264,'[2]Revenue_Engine_2025 Oct.25'!$C$14:G$3937,5,0)</f>
        <v>44979</v>
      </c>
      <c r="D264" s="6" cm="1">
        <f t="array" ref="D264">_xlfn.LET(
  _xlpm.aralık, Y264:BF264,
  _xlpm.ilk, MATCH(TRUE, _xlpm.aralık&lt;&gt;0, 0),
  _xlpm.son, MIN(_xlpm.ilk+2, COLUMNS(_xlpm.aralık)),
  MAX(INDEX(_xlpm.aralık, _xlpm.ilk):INDEX(_xlpm.aralık, _xlpm.son))
)</f>
        <v>152.49959999999996</v>
      </c>
      <c r="E264" s="6">
        <f t="shared" si="52"/>
        <v>152.49959999999996</v>
      </c>
      <c r="F264" s="6">
        <f t="shared" si="53"/>
        <v>222.64951199999996</v>
      </c>
      <c r="G264" s="6">
        <f t="shared" si="60"/>
        <v>222.64951199999996</v>
      </c>
      <c r="H264" s="7">
        <f t="shared" si="54"/>
        <v>0</v>
      </c>
      <c r="I264" s="7">
        <f t="shared" si="55"/>
        <v>0.46000062950984805</v>
      </c>
      <c r="J264" s="7">
        <f t="shared" si="56"/>
        <v>0.46000062950984805</v>
      </c>
      <c r="K264" s="7">
        <f t="shared" si="61"/>
        <v>0.46000062950984805</v>
      </c>
      <c r="L264" s="5" t="s">
        <v>414</v>
      </c>
      <c r="M264" s="7">
        <f>IF(R264="",(VLOOKUP(A264,[1]Export!$B$2:$H$680,7,0)),"CHURN")</f>
        <v>5.4794640645787721E-2</v>
      </c>
      <c r="N264" s="5">
        <f t="shared" si="62"/>
        <v>210.44951199999994</v>
      </c>
      <c r="O264" s="5">
        <f t="shared" si="63"/>
        <v>144.14343921937359</v>
      </c>
      <c r="P264" s="5">
        <f t="shared" si="64"/>
        <v>210.44951199999994</v>
      </c>
      <c r="Q264" s="5" t="s">
        <v>430</v>
      </c>
      <c r="T264" s="6" t="str" cm="1">
        <f t="array" ref="T264">IF(R264&lt;&gt;"Churn","",
 _xlfn.LET(
   _xlpm.rng,Y264:BF264,
   _xlpm.pos,MAX(IF((_xlpm.rng&lt;&gt;0)*(_xlpm.rng&lt;&gt;""),COLUMN(_xlpm.rng)-COLUMN(Y264)+1)),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4" s="6" t="str" cm="1">
        <f t="array" ref="U264">IF(R264="Churn",
   MAX(IF((Y264:BF264&lt;&gt;"")*(Y264:BF264&lt;&gt;0), COLUMN(Y264:BF264)-COLUMN(Y264)+1))
   -MATCH(1, --((Y264:BF264&lt;&gt;"")*(Y264:BF264&lt;&gt;0)), 0)
   +1,
"")</f>
        <v/>
      </c>
      <c r="V264" s="6" t="str" cm="1">
        <f t="array" ref="V264">IFERROR(
    IF(
        MATCH(2,1/((Y264:BF264&lt;&gt;0)*(Y264:BF264&lt;&gt;"")))-MATCH(1,INDEX((Y264:BF264&lt;&gt;0)*(Y264:BF264&lt;&gt;""),0),0)+1 &lt;= 12,
        "No",
        "Yes"
    ),
    "No"
)</f>
        <v>Yes</v>
      </c>
      <c r="W264" s="6" t="str" cm="1">
        <f t="array" ref="W264">IFERROR(
    IF(
        MATCH(2,1/((Y264:BF264&lt;&gt;0)*(Y264:BF264&lt;&gt;"")))-MATCH(1,INDEX((Y264:BF264&lt;&gt;0)*(Y264:BF264&lt;&gt;""),0),0)+1 &lt;= 24,
        "No",
        "Yes"
    ),
    "No"
)</f>
        <v>Yes</v>
      </c>
      <c r="Y264" s="8">
        <v>0</v>
      </c>
      <c r="Z264" s="8">
        <v>0</v>
      </c>
      <c r="AA264" s="8">
        <v>143.5</v>
      </c>
      <c r="AB264" s="8">
        <v>143.5</v>
      </c>
      <c r="AC264" s="8">
        <v>152.49959999999996</v>
      </c>
      <c r="AD264" s="8">
        <v>152.49959999999996</v>
      </c>
      <c r="AE264" s="8">
        <v>152.49959999999996</v>
      </c>
      <c r="AF264" s="8">
        <v>152.49959999999996</v>
      </c>
      <c r="AG264" s="8">
        <v>152.49959999999996</v>
      </c>
      <c r="AH264" s="8">
        <v>152.49959999999996</v>
      </c>
      <c r="AI264" s="8">
        <v>152.49959999999996</v>
      </c>
      <c r="AJ264" s="8">
        <v>152.49959999999996</v>
      </c>
      <c r="AK264" s="8">
        <v>152.49959999999996</v>
      </c>
      <c r="AL264" s="8">
        <v>152.49959999999996</v>
      </c>
      <c r="AM264" s="8">
        <v>182.49959999999996</v>
      </c>
      <c r="AN264" s="8">
        <v>182.49959999999996</v>
      </c>
      <c r="AO264" s="8">
        <v>182.49959999999996</v>
      </c>
      <c r="AP264" s="8">
        <v>182.49959999999996</v>
      </c>
      <c r="AQ264" s="8">
        <v>182.49959999999996</v>
      </c>
      <c r="AR264" s="8">
        <v>182.49959999999996</v>
      </c>
      <c r="AS264" s="8">
        <v>182.49959999999996</v>
      </c>
      <c r="AT264" s="8">
        <v>182.49959999999996</v>
      </c>
      <c r="AU264" s="8">
        <v>182.49959999999996</v>
      </c>
      <c r="AV264" s="8">
        <v>182.49959999999996</v>
      </c>
      <c r="AW264" s="8">
        <v>222.64951199999996</v>
      </c>
      <c r="AX264" s="8">
        <v>222.64951199999996</v>
      </c>
      <c r="AY264" s="8">
        <v>222.64951199999996</v>
      </c>
      <c r="AZ264" s="8">
        <v>222.64951199999996</v>
      </c>
      <c r="BA264" s="8">
        <v>222.64951199999996</v>
      </c>
      <c r="BB264" s="8">
        <v>222.64951199999996</v>
      </c>
      <c r="BC264" s="8">
        <v>222.64951199999996</v>
      </c>
      <c r="BD264" s="8">
        <v>222.64951199999996</v>
      </c>
      <c r="BE264" s="8">
        <v>222.64951199999996</v>
      </c>
      <c r="BF264" s="8">
        <v>222.64951199999996</v>
      </c>
      <c r="BH264" s="8">
        <f t="shared" si="57"/>
        <v>1506.9967999999994</v>
      </c>
      <c r="BI264" s="8">
        <f t="shared" si="58"/>
        <v>2129.9951999999989</v>
      </c>
      <c r="BJ264" s="8">
        <f t="shared" si="59"/>
        <v>2226.4951199999996</v>
      </c>
    </row>
    <row r="265" spans="1:62" x14ac:dyDescent="0.25">
      <c r="A265" s="9" t="s">
        <v>490</v>
      </c>
      <c r="B265" s="9" t="s">
        <v>644</v>
      </c>
      <c r="C265" s="10">
        <f>VLOOKUP(A265,'[2]Revenue_Engine_2025 Oct.25'!$C$14:G$3937,5,0)</f>
        <v>45510</v>
      </c>
      <c r="D265" s="6" cm="1">
        <f t="array" ref="D265">_xlfn.LET(
  _xlpm.aralık, Y265:BF265,
  _xlpm.ilk, MATCH(TRUE, _xlpm.aralık&lt;&gt;0, 0),
  _xlpm.son, MIN(_xlpm.ilk+2, COLUMNS(_xlpm.aralık)),
  MAX(INDEX(_xlpm.aralık, _xlpm.ilk):INDEX(_xlpm.aralık, _xlpm.son))
)</f>
        <v>218.33352000000002</v>
      </c>
      <c r="E265" s="6">
        <f t="shared" si="52"/>
        <v>222.33352000000002</v>
      </c>
      <c r="F265" s="6">
        <f t="shared" si="53"/>
        <v>0</v>
      </c>
      <c r="G265" s="6">
        <f t="shared" si="60"/>
        <v>222.33352000000002</v>
      </c>
      <c r="H265" s="7">
        <f t="shared" si="54"/>
        <v>1.8320595023613412E-2</v>
      </c>
      <c r="I265" s="7">
        <f t="shared" si="55"/>
        <v>-1</v>
      </c>
      <c r="J265" s="7">
        <f t="shared" si="56"/>
        <v>-1</v>
      </c>
      <c r="K265" s="7">
        <f t="shared" si="61"/>
        <v>1.8320595023613412E-2</v>
      </c>
      <c r="L265" s="5" t="s">
        <v>412</v>
      </c>
      <c r="M265" s="7">
        <f>IF(R265="",(VLOOKUP(A265,[1]Export!$B$2:$H$680,7,0)),"CHURN")</f>
        <v>0.23073443896358947</v>
      </c>
      <c r="N265" s="5">
        <f t="shared" si="62"/>
        <v>171.03352000000001</v>
      </c>
      <c r="O265" s="5">
        <f t="shared" si="63"/>
        <v>171.03352000000001</v>
      </c>
      <c r="P265" s="5">
        <f t="shared" si="64"/>
        <v>0</v>
      </c>
      <c r="Q265" s="5" t="s">
        <v>430</v>
      </c>
      <c r="T265" s="6" t="str" cm="1">
        <f t="array" ref="T265">IF(R265&lt;&gt;"Churn","",
 _xlfn.LET(
   _xlpm.rng,Y265:BF265,
   _xlpm.pos,MAX(IF((_xlpm.rng&lt;&gt;0)*(_xlpm.rng&lt;&gt;""),COLUMN(_xlpm.rng)-COLUMN(Y265)+1)),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5" s="6" t="str" cm="1">
        <f t="array" ref="U265">IF(R265="Churn",
   MAX(IF((Y265:BF265&lt;&gt;"")*(Y265:BF265&lt;&gt;0), COLUMN(Y265:BF265)-COLUMN(Y265)+1))
   -MATCH(1, --((Y265:BF265&lt;&gt;"")*(Y265:BF265&lt;&gt;0)), 0)
   +1,
"")</f>
        <v/>
      </c>
      <c r="V265" s="6" t="str" cm="1">
        <f t="array" ref="V265">IFERROR(
    IF(
        MATCH(2,1/((Y265:BF265&lt;&gt;0)*(Y265:BF265&lt;&gt;"")))-MATCH(1,INDEX((Y265:BF265&lt;&gt;0)*(Y265:BF265&lt;&gt;""),0),0)+1 &lt;= 12,
        "No",
        "Yes"
    ),
    "No"
)</f>
        <v>Yes</v>
      </c>
      <c r="W265" s="6" t="str" cm="1">
        <f t="array" ref="W265">IFERROR(
    IF(
        MATCH(2,1/((Y265:BF265&lt;&gt;0)*(Y265:BF265&lt;&gt;"")))-MATCH(1,INDEX((Y265:BF265&lt;&gt;0)*(Y265:BF265&lt;&gt;""),0),0)+1 &lt;= 24,
        "No",
        "Yes"
    ),
    "No"
)</f>
        <v>No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181.98952</v>
      </c>
      <c r="AS265" s="8">
        <v>208.33352000000002</v>
      </c>
      <c r="AT265" s="8">
        <v>218.33352000000002</v>
      </c>
      <c r="AU265" s="8">
        <v>218.33352000000002</v>
      </c>
      <c r="AV265" s="8">
        <v>218.33352000000002</v>
      </c>
      <c r="AW265" s="8">
        <v>218.33352000000002</v>
      </c>
      <c r="AX265" s="8">
        <v>218.33352000000002</v>
      </c>
      <c r="AY265" s="8">
        <v>222.33352000000002</v>
      </c>
      <c r="AZ265" s="8">
        <v>222.33352000000005</v>
      </c>
      <c r="BA265" s="8">
        <v>222.33352000000002</v>
      </c>
      <c r="BB265" s="8">
        <v>222.33352000000002</v>
      </c>
      <c r="BC265" s="8">
        <v>222.33352000000002</v>
      </c>
      <c r="BD265" s="8">
        <v>222.33352000000002</v>
      </c>
      <c r="BE265" s="8">
        <v>222.33352000000002</v>
      </c>
      <c r="BF265" s="8">
        <v>222.33352000000002</v>
      </c>
      <c r="BH265" s="8">
        <f t="shared" si="57"/>
        <v>0</v>
      </c>
      <c r="BI265" s="8">
        <f t="shared" si="58"/>
        <v>1045.3236000000002</v>
      </c>
      <c r="BJ265" s="8">
        <f t="shared" si="59"/>
        <v>2215.3352000000009</v>
      </c>
    </row>
    <row r="266" spans="1:62" x14ac:dyDescent="0.25">
      <c r="A266" s="9" t="s">
        <v>491</v>
      </c>
      <c r="B266" s="9" t="s">
        <v>644</v>
      </c>
      <c r="C266" s="10">
        <f>VLOOKUP(A266,'[2]Revenue_Engine_2025 Oct.25'!$C$14:G$3937,5,0)</f>
        <v>45534</v>
      </c>
      <c r="D266" s="6" cm="1">
        <f t="array" ref="D266">_xlfn.LET(
  _xlpm.aralık, Y266:BF266,
  _xlpm.ilk, MATCH(TRUE, _xlpm.aralık&lt;&gt;0, 0),
  _xlpm.son, MIN(_xlpm.ilk+2, COLUMNS(_xlpm.aralık)),
  MAX(INDEX(_xlpm.aralık, _xlpm.ilk):INDEX(_xlpm.aralık, _xlpm.son))
)</f>
        <v>140.00043799999997</v>
      </c>
      <c r="E266" s="6">
        <f t="shared" si="52"/>
        <v>222.000438</v>
      </c>
      <c r="F266" s="6">
        <f t="shared" si="53"/>
        <v>0</v>
      </c>
      <c r="G266" s="6">
        <f t="shared" si="60"/>
        <v>222.000438</v>
      </c>
      <c r="H266" s="7">
        <f t="shared" si="54"/>
        <v>0.58571245327103938</v>
      </c>
      <c r="I266" s="7">
        <f t="shared" si="55"/>
        <v>-1</v>
      </c>
      <c r="J266" s="7">
        <f t="shared" si="56"/>
        <v>-1</v>
      </c>
      <c r="K266" s="7">
        <f t="shared" si="61"/>
        <v>0.58571245327103938</v>
      </c>
      <c r="L266" s="5" t="s">
        <v>418</v>
      </c>
      <c r="M266" s="7">
        <f>IF(R266="",(VLOOKUP(A266,[1]Export!$B$2:$H$680,7,0)),"CHURN")</f>
        <v>0.13600942535077337</v>
      </c>
      <c r="N266" s="5">
        <f t="shared" si="62"/>
        <v>191.80628600000003</v>
      </c>
      <c r="O266" s="5">
        <f t="shared" si="63"/>
        <v>191.80628600000003</v>
      </c>
      <c r="P266" s="5">
        <f t="shared" si="64"/>
        <v>0</v>
      </c>
      <c r="Q266" s="5" t="s">
        <v>430</v>
      </c>
      <c r="T266" s="6" t="str" cm="1">
        <f t="array" ref="T266">IF(R266&lt;&gt;"Churn","",
 _xlfn.LET(
   _xlpm.rng,Y266:BF266,
   _xlpm.pos,MAX(IF((_xlpm.rng&lt;&gt;0)*(_xlpm.rng&lt;&gt;""),COLUMN(_xlpm.rng)-COLUMN(Y266)+1)),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6" s="6" t="str" cm="1">
        <f t="array" ref="U266">IF(R266="Churn",
   MAX(IF((Y266:BF266&lt;&gt;"")*(Y266:BF266&lt;&gt;0), COLUMN(Y266:BF266)-COLUMN(Y266)+1))
   -MATCH(1, --((Y266:BF266&lt;&gt;"")*(Y266:BF266&lt;&gt;0)), 0)
   +1,
"")</f>
        <v/>
      </c>
      <c r="V266" s="6" t="str" cm="1">
        <f t="array" ref="V266">IFERROR(
    IF(
        MATCH(2,1/((Y266:BF266&lt;&gt;0)*(Y266:BF266&lt;&gt;"")))-MATCH(1,INDEX((Y266:BF266&lt;&gt;0)*(Y266:BF266&lt;&gt;""),0),0)+1 &lt;= 12,
        "No",
        "Yes"
    ),
    "No"
)</f>
        <v>Yes</v>
      </c>
      <c r="W266" s="6" t="str" cm="1">
        <f t="array" ref="W266">IFERROR(
    IF(
        MATCH(2,1/((Y266:BF266&lt;&gt;0)*(Y266:BF266&lt;&gt;"")))-MATCH(1,INDEX((Y266:BF266&lt;&gt;0)*(Y266:BF266&lt;&gt;""),0),0)+1 &lt;= 24,
        "No",
        "Yes"
    ),
    "No"
)</f>
        <v>No</v>
      </c>
      <c r="X266" s="6"/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140.00043799999997</v>
      </c>
      <c r="AS266" s="8">
        <v>140.00043799999997</v>
      </c>
      <c r="AT266" s="8">
        <v>140.00043799999997</v>
      </c>
      <c r="AU266" s="8">
        <v>140.00043799999997</v>
      </c>
      <c r="AV266" s="8">
        <v>140.00043799999997</v>
      </c>
      <c r="AW266" s="8">
        <v>144.00043799999997</v>
      </c>
      <c r="AX266" s="8">
        <v>144.00043799999997</v>
      </c>
      <c r="AY266" s="8">
        <v>144.00043799999997</v>
      </c>
      <c r="AZ266" s="8">
        <v>144.00043799999997</v>
      </c>
      <c r="BA266" s="8">
        <v>144.00043799999997</v>
      </c>
      <c r="BB266" s="8">
        <v>144.00043799999997</v>
      </c>
      <c r="BC266" s="8">
        <v>144.00043799999997</v>
      </c>
      <c r="BD266" s="8">
        <v>222.000438</v>
      </c>
      <c r="BE266" s="8">
        <v>222.000438</v>
      </c>
      <c r="BF266" s="8">
        <v>222.000438</v>
      </c>
      <c r="BH266" s="8">
        <f t="shared" si="57"/>
        <v>0</v>
      </c>
      <c r="BI266" s="8">
        <f t="shared" si="58"/>
        <v>700.00218999999993</v>
      </c>
      <c r="BJ266" s="8">
        <f t="shared" si="59"/>
        <v>1674.0043800000001</v>
      </c>
    </row>
    <row r="267" spans="1:62" x14ac:dyDescent="0.25">
      <c r="A267" s="9" t="s">
        <v>288</v>
      </c>
      <c r="B267" s="9" t="s">
        <v>644</v>
      </c>
      <c r="C267" s="10">
        <f>VLOOKUP(A267,'[2]Revenue_Engine_2025 Oct.25'!$C$14:G$3937,5,0)</f>
        <v>45406</v>
      </c>
      <c r="D267" s="6" cm="1">
        <f t="array" ref="D267">_xlfn.LET(
  _xlpm.aralık, Y267:BF267,
  _xlpm.ilk, MATCH(TRUE, _xlpm.aralık&lt;&gt;0, 0),
  _xlpm.son, MIN(_xlpm.ilk+2, COLUMNS(_xlpm.aralık)),
  MAX(INDEX(_xlpm.aralık, _xlpm.ilk):INDEX(_xlpm.aralık, _xlpm.son))
)</f>
        <v>220.00000199999999</v>
      </c>
      <c r="E267" s="6">
        <f t="shared" si="52"/>
        <v>220.00000200000002</v>
      </c>
      <c r="F267" s="6">
        <f t="shared" si="53"/>
        <v>0</v>
      </c>
      <c r="G267" s="6">
        <f t="shared" si="60"/>
        <v>220.00000199999999</v>
      </c>
      <c r="H267" s="7">
        <f t="shared" si="54"/>
        <v>1.2918958714556742E-16</v>
      </c>
      <c r="I267" s="7">
        <f t="shared" si="55"/>
        <v>-1</v>
      </c>
      <c r="J267" s="7">
        <f t="shared" si="56"/>
        <v>-1</v>
      </c>
      <c r="K267" s="7">
        <f t="shared" si="61"/>
        <v>0</v>
      </c>
      <c r="L267" s="5" t="s">
        <v>418</v>
      </c>
      <c r="M267" s="7">
        <f>IF(R267="",(VLOOKUP(A267,[1]Export!$B$2:$H$680,7,0)),"CHURN")</f>
        <v>0.13636363512396696</v>
      </c>
      <c r="N267" s="5">
        <f t="shared" si="62"/>
        <v>190.00000199999999</v>
      </c>
      <c r="O267" s="5">
        <f t="shared" si="63"/>
        <v>190.00000200000002</v>
      </c>
      <c r="P267" s="5">
        <f t="shared" si="64"/>
        <v>0</v>
      </c>
      <c r="Q267" s="5" t="str">
        <f>VLOOKUP(A267,[4]Sheet2!$A$1:$B$142,2,0)</f>
        <v>NO RISK</v>
      </c>
      <c r="T267" s="6" t="str" cm="1">
        <f t="array" ref="T267">IF(R267&lt;&gt;"Churn","",
 _xlfn.LET(
   _xlpm.rng,Y267:BF267,
   _xlpm.pos,MAX(IF((_xlpm.rng&lt;&gt;0)*(_xlpm.rng&lt;&gt;""),COLUMN(_xlpm.rng)-COLUMN(Y267)+1)),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7" s="6" t="str" cm="1">
        <f t="array" ref="U267">IF(R267="Churn",
   MAX(IF((Y267:BF267&lt;&gt;"")*(Y267:BF267&lt;&gt;0), COLUMN(Y267:BF267)-COLUMN(Y267)+1))
   -MATCH(1, --((Y267:BF267&lt;&gt;"")*(Y267:BF267&lt;&gt;0)), 0)
   +1,
"")</f>
        <v/>
      </c>
      <c r="V267" s="6" t="str" cm="1">
        <f t="array" ref="V267">IFERROR(
    IF(
        MATCH(2,1/((Y267:BF267&lt;&gt;0)*(Y267:BF267&lt;&gt;"")))-MATCH(1,INDEX((Y267:BF267&lt;&gt;0)*(Y267:BF267&lt;&gt;""),0),0)+1 &lt;= 12,
        "No",
        "Yes"
    ),
    "No"
)</f>
        <v>Yes</v>
      </c>
      <c r="W267" s="6" t="str" cm="1">
        <f t="array" ref="W267">IFERROR(
    IF(
        MATCH(2,1/((Y267:BF267&lt;&gt;0)*(Y267:BF267&lt;&gt;"")))-MATCH(1,INDEX((Y267:BF267&lt;&gt;0)*(Y267:BF267&lt;&gt;""),0),0)+1 &lt;= 24,
        "No",
        "Yes"
    ),
    "No"
)</f>
        <v>No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220.00000199999999</v>
      </c>
      <c r="AO267" s="8">
        <v>220.00000199999999</v>
      </c>
      <c r="AP267" s="8">
        <v>220.00000199999999</v>
      </c>
      <c r="AQ267" s="8">
        <v>220.00000199999999</v>
      </c>
      <c r="AR267" s="8">
        <v>220.00000199999999</v>
      </c>
      <c r="AS267" s="8">
        <v>220.00000199999999</v>
      </c>
      <c r="AT267" s="8">
        <v>220.00000199999999</v>
      </c>
      <c r="AU267" s="8">
        <v>220.00000199999999</v>
      </c>
      <c r="AV267" s="8">
        <v>220.00000199999999</v>
      </c>
      <c r="AW267" s="8">
        <v>220.00000199999999</v>
      </c>
      <c r="AX267" s="8">
        <v>220.00000199999999</v>
      </c>
      <c r="AY267" s="8">
        <v>220.00000199999999</v>
      </c>
      <c r="AZ267" s="8">
        <v>220.00000200000002</v>
      </c>
      <c r="BA267" s="8">
        <v>220.00000199999999</v>
      </c>
      <c r="BB267" s="8">
        <v>220.00000199999999</v>
      </c>
      <c r="BC267" s="8">
        <v>220.00000199999999</v>
      </c>
      <c r="BD267" s="8">
        <v>220.00000199999999</v>
      </c>
      <c r="BE267" s="8">
        <v>220.00000199999999</v>
      </c>
      <c r="BF267" s="8">
        <v>220.00000199999999</v>
      </c>
      <c r="BH267" s="8">
        <f t="shared" si="57"/>
        <v>0</v>
      </c>
      <c r="BI267" s="8">
        <f t="shared" si="58"/>
        <v>1980.000018</v>
      </c>
      <c r="BJ267" s="8">
        <f t="shared" si="59"/>
        <v>2200.0000199999999</v>
      </c>
    </row>
    <row r="268" spans="1:62" x14ac:dyDescent="0.25">
      <c r="A268" s="9" t="s">
        <v>174</v>
      </c>
      <c r="B268" s="9" t="s">
        <v>644</v>
      </c>
      <c r="C268" s="10">
        <v>44927</v>
      </c>
      <c r="D268" s="6" cm="1">
        <f t="array" ref="D268">_xlfn.LET(
  _xlpm.aralık, Y268:BF268,
  _xlpm.ilk, MATCH(TRUE, _xlpm.aralık&lt;&gt;0, 0),
  _xlpm.son, MIN(_xlpm.ilk+2, COLUMNS(_xlpm.aralık)),
  MAX(INDEX(_xlpm.aralık, _xlpm.ilk):INDEX(_xlpm.aralık, _xlpm.son))
)</f>
        <v>171.19747977283959</v>
      </c>
      <c r="E268" s="6">
        <f t="shared" si="52"/>
        <v>236.13296209850327</v>
      </c>
      <c r="F268" s="6">
        <f t="shared" si="53"/>
        <v>201.2265870417925</v>
      </c>
      <c r="G268" s="6">
        <f t="shared" si="60"/>
        <v>219.77680580353396</v>
      </c>
      <c r="H268" s="7">
        <f t="shared" si="54"/>
        <v>0.37930162530328132</v>
      </c>
      <c r="I268" s="7">
        <f t="shared" si="55"/>
        <v>0.17540624610127595</v>
      </c>
      <c r="J268" s="7">
        <f t="shared" si="56"/>
        <v>-0.14782508442065584</v>
      </c>
      <c r="K268" s="7">
        <f t="shared" si="61"/>
        <v>0.2837619227523317</v>
      </c>
      <c r="L268" s="5" t="s">
        <v>412</v>
      </c>
      <c r="M268" s="7">
        <f>IF(R268="",(VLOOKUP(A268,[1]Export!$B$2:$H$680,7,0)),"CHURN")</f>
        <v>0.17855234757864524</v>
      </c>
      <c r="N268" s="5">
        <f t="shared" si="62"/>
        <v>180.53514118397695</v>
      </c>
      <c r="O268" s="5">
        <f t="shared" si="63"/>
        <v>193.97086737511626</v>
      </c>
      <c r="P268" s="5">
        <f t="shared" si="64"/>
        <v>165.29710753024185</v>
      </c>
      <c r="Q268" s="5" t="s">
        <v>430</v>
      </c>
      <c r="T268" s="6" t="str" cm="1">
        <f t="array" ref="T268">IF(R268&lt;&gt;"Churn","",
 _xlfn.LET(
   _xlpm.rng,Y268:BF268,
   _xlpm.pos,MAX(IF((_xlpm.rng&lt;&gt;0)*(_xlpm.rng&lt;&gt;""),COLUMN(_xlpm.rng)-COLUMN(Y268)+1)),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8" s="6" t="str" cm="1">
        <f t="array" ref="U268">IF(R268="Churn",
   MAX(IF((Y268:BF268&lt;&gt;"")*(Y268:BF268&lt;&gt;0), COLUMN(Y268:BF268)-COLUMN(Y268)+1))
   -MATCH(1, --((Y268:BF268&lt;&gt;"")*(Y268:BF268&lt;&gt;0)), 0)
   +1,
"")</f>
        <v/>
      </c>
      <c r="V268" s="6" t="str" cm="1">
        <f t="array" ref="V268">IFERROR(
    IF(
        MATCH(2,1/((Y268:BF268&lt;&gt;0)*(Y268:BF268&lt;&gt;"")))-MATCH(1,INDEX((Y268:BF268&lt;&gt;0)*(Y268:BF268&lt;&gt;""),0),0)+1 &lt;= 12,
        "No",
        "Yes"
    ),
    "No"
)</f>
        <v>Yes</v>
      </c>
      <c r="W268" s="6" t="str" cm="1">
        <f t="array" ref="W268">IFERROR(
    IF(
        MATCH(2,1/((Y268:BF268&lt;&gt;0)*(Y268:BF268&lt;&gt;"")))-MATCH(1,INDEX((Y268:BF268&lt;&gt;0)*(Y268:BF268&lt;&gt;""),0),0)+1 &lt;= 24,
        "No",
        "Yes"
    ),
    "No"
)</f>
        <v>Yes</v>
      </c>
      <c r="Y268" s="8">
        <v>132.14950182052746</v>
      </c>
      <c r="Z268" s="8">
        <v>171.19747977283959</v>
      </c>
      <c r="AA268" s="8">
        <v>169.93898676904092</v>
      </c>
      <c r="AB268" s="8">
        <v>175.91978183061312</v>
      </c>
      <c r="AC268" s="8">
        <v>172.75462681409815</v>
      </c>
      <c r="AD268" s="8">
        <v>146.7115334518478</v>
      </c>
      <c r="AE268" s="8">
        <v>178.58835493900793</v>
      </c>
      <c r="AF268" s="8">
        <v>175.37986018584911</v>
      </c>
      <c r="AG268" s="8">
        <v>175.22545763995348</v>
      </c>
      <c r="AH268" s="8">
        <v>170.10205201965888</v>
      </c>
      <c r="AI268" s="8">
        <v>165.66700968061321</v>
      </c>
      <c r="AJ268" s="8">
        <v>243.60828553519343</v>
      </c>
      <c r="AK268" s="8">
        <v>236.13296209850327</v>
      </c>
      <c r="AL268" s="8">
        <v>230.91417677106617</v>
      </c>
      <c r="AM268" s="8">
        <v>222.41811107769243</v>
      </c>
      <c r="AN268" s="8">
        <v>220.29248938407477</v>
      </c>
      <c r="AO268" s="8">
        <v>220.59990681059253</v>
      </c>
      <c r="AP268" s="8">
        <v>218.80840227428132</v>
      </c>
      <c r="AQ268" s="8">
        <v>216.37804608513787</v>
      </c>
      <c r="AR268" s="8">
        <v>211.91366016693181</v>
      </c>
      <c r="AS268" s="8">
        <v>209.59051588072816</v>
      </c>
      <c r="AT268" s="8">
        <v>208.35013227706781</v>
      </c>
      <c r="AU268" s="8">
        <v>207.25127298814613</v>
      </c>
      <c r="AV268" s="8">
        <v>204.16868460410055</v>
      </c>
      <c r="AW268" s="8">
        <v>201.2265870417925</v>
      </c>
      <c r="AX268" s="8">
        <v>197.83797989626564</v>
      </c>
      <c r="AY268" s="8">
        <v>193.12671579823711</v>
      </c>
      <c r="AZ268" s="8">
        <v>188.20811876994475</v>
      </c>
      <c r="BA268" s="8">
        <v>185.20380981080928</v>
      </c>
      <c r="BB268" s="8">
        <v>182.21220138276149</v>
      </c>
      <c r="BC268" s="8">
        <v>178.88043325918244</v>
      </c>
      <c r="BD268" s="8">
        <v>176.2641671332037</v>
      </c>
      <c r="BE268" s="8">
        <v>222.34194223837221</v>
      </c>
      <c r="BF268" s="8">
        <v>219.77680580353396</v>
      </c>
      <c r="BH268" s="8">
        <f t="shared" si="57"/>
        <v>2077.2429304592429</v>
      </c>
      <c r="BI268" s="8">
        <f t="shared" si="58"/>
        <v>2606.8183604183232</v>
      </c>
      <c r="BJ268" s="8">
        <f t="shared" si="59"/>
        <v>1945.0787611341032</v>
      </c>
    </row>
    <row r="269" spans="1:62" x14ac:dyDescent="0.25">
      <c r="A269" s="9" t="s">
        <v>350</v>
      </c>
      <c r="B269" s="9" t="s">
        <v>644</v>
      </c>
      <c r="C269" s="10">
        <v>44927</v>
      </c>
      <c r="D269" s="6" cm="1">
        <f t="array" ref="D269">_xlfn.LET(
  _xlpm.aralık, Y269:BF269,
  _xlpm.ilk, MATCH(TRUE, _xlpm.aralık&lt;&gt;0, 0),
  _xlpm.son, MIN(_xlpm.ilk+2, COLUMNS(_xlpm.aralık)),
  MAX(INDEX(_xlpm.aralık, _xlpm.ilk):INDEX(_xlpm.aralık, _xlpm.son))
)</f>
        <v>110</v>
      </c>
      <c r="E269" s="6">
        <f t="shared" si="52"/>
        <v>157.64000000000001</v>
      </c>
      <c r="F269" s="6">
        <f t="shared" si="53"/>
        <v>199.49759999999998</v>
      </c>
      <c r="G269" s="6">
        <f t="shared" si="60"/>
        <v>207.49759999999998</v>
      </c>
      <c r="H269" s="7">
        <f t="shared" si="54"/>
        <v>0.43309090909090925</v>
      </c>
      <c r="I269" s="7">
        <f t="shared" si="55"/>
        <v>0.81361454545454526</v>
      </c>
      <c r="J269" s="7">
        <f t="shared" si="56"/>
        <v>0.26552651611266148</v>
      </c>
      <c r="K269" s="7">
        <f t="shared" si="61"/>
        <v>0.88634181818181801</v>
      </c>
      <c r="L269" s="5" t="s">
        <v>420</v>
      </c>
      <c r="M269" s="7">
        <f>IF(R269="",(VLOOKUP(A269,[1]Export!$B$2:$H$680,7,0)),"CHURN")</f>
        <v>9.9345727372268419E-2</v>
      </c>
      <c r="N269" s="5">
        <f t="shared" si="62"/>
        <v>186.88359999999997</v>
      </c>
      <c r="O269" s="5">
        <f t="shared" si="63"/>
        <v>141.97913953703562</v>
      </c>
      <c r="P269" s="5">
        <f t="shared" si="64"/>
        <v>179.67836581897811</v>
      </c>
      <c r="Q269" s="5" t="str">
        <f>VLOOKUP(A269,[4]Sheet2!$A$1:$B$142,2,0)</f>
        <v>BOOKED CHURN</v>
      </c>
      <c r="T269" s="6" t="str" cm="1">
        <f t="array" ref="T269">IF(R269&lt;&gt;"Churn","",
 _xlfn.LET(
   _xlpm.rng,Y269:BF269,
   _xlpm.pos,MAX(IF((_xlpm.rng&lt;&gt;0)*(_xlpm.rng&lt;&gt;""),COLUMN(_xlpm.rng)-COLUMN(Y269)+1)),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69" s="6" t="str" cm="1">
        <f t="array" ref="U269">IF(R269="Churn",
   MAX(IF((Y269:BF269&lt;&gt;"")*(Y269:BF269&lt;&gt;0), COLUMN(Y269:BF269)-COLUMN(Y269)+1))
   -MATCH(1, --((Y269:BF269&lt;&gt;"")*(Y269:BF269&lt;&gt;0)), 0)
   +1,
"")</f>
        <v/>
      </c>
      <c r="V269" s="6" t="str" cm="1">
        <f t="array" ref="V269">IFERROR(
    IF(
        MATCH(2,1/((Y269:BF269&lt;&gt;0)*(Y269:BF269&lt;&gt;"")))-MATCH(1,INDEX((Y269:BF269&lt;&gt;0)*(Y269:BF269&lt;&gt;""),0),0)+1 &lt;= 12,
        "No",
        "Yes"
    ),
    "No"
)</f>
        <v>Yes</v>
      </c>
      <c r="W269" s="6" t="str" cm="1">
        <f t="array" ref="W269">IFERROR(
    IF(
        MATCH(2,1/((Y269:BF269&lt;&gt;0)*(Y269:BF269&lt;&gt;"")))-MATCH(1,INDEX((Y269:BF269&lt;&gt;0)*(Y269:BF269&lt;&gt;""),0),0)+1 &lt;= 24,
        "No",
        "Yes"
    ),
    "No"
)</f>
        <v>Yes</v>
      </c>
      <c r="Y269" s="8">
        <v>110</v>
      </c>
      <c r="Z269" s="8">
        <v>110</v>
      </c>
      <c r="AA269" s="8">
        <v>110</v>
      </c>
      <c r="AB269" s="8">
        <v>119</v>
      </c>
      <c r="AC269" s="8">
        <v>119</v>
      </c>
      <c r="AD269" s="8">
        <v>119</v>
      </c>
      <c r="AE269" s="8">
        <v>126.13999999999999</v>
      </c>
      <c r="AF269" s="8">
        <v>154.13999999999999</v>
      </c>
      <c r="AG269" s="8">
        <v>157.63999999999999</v>
      </c>
      <c r="AH269" s="8">
        <v>157.63999999999999</v>
      </c>
      <c r="AI269" s="8">
        <v>157.64000000000001</v>
      </c>
      <c r="AJ269" s="8">
        <v>157.64000000000001</v>
      </c>
      <c r="AK269" s="8">
        <v>157.64000000000001</v>
      </c>
      <c r="AL269" s="8">
        <v>157.64000000000001</v>
      </c>
      <c r="AM269" s="8">
        <v>157.64000000000001</v>
      </c>
      <c r="AN269" s="8">
        <v>157.64000000000001</v>
      </c>
      <c r="AO269" s="8">
        <v>157.64000000000001</v>
      </c>
      <c r="AP269" s="8">
        <v>157.64000000000001</v>
      </c>
      <c r="AQ269" s="8">
        <v>157.64000000000001</v>
      </c>
      <c r="AR269" s="8">
        <v>157.64000000000004</v>
      </c>
      <c r="AS269" s="8">
        <v>157.64000000000004</v>
      </c>
      <c r="AT269" s="8">
        <v>157.64000000000004</v>
      </c>
      <c r="AU269" s="8">
        <v>157.64000000000004</v>
      </c>
      <c r="AV269" s="8">
        <v>167.64000000000001</v>
      </c>
      <c r="AW269" s="8">
        <v>199.49759999999998</v>
      </c>
      <c r="AX269" s="8">
        <v>207.49759999999998</v>
      </c>
      <c r="AY269" s="8">
        <v>207.49759999999998</v>
      </c>
      <c r="AZ269" s="8">
        <v>207.49760000000001</v>
      </c>
      <c r="BA269" s="8">
        <v>207.49759999999998</v>
      </c>
      <c r="BB269" s="8">
        <v>207.49759999999998</v>
      </c>
      <c r="BC269" s="8">
        <v>207.49759999999998</v>
      </c>
      <c r="BD269" s="8">
        <v>207.49759999999998</v>
      </c>
      <c r="BE269" s="8">
        <v>207.49759999999998</v>
      </c>
      <c r="BF269" s="8">
        <v>207.49759999999998</v>
      </c>
      <c r="BH269" s="8">
        <f t="shared" si="57"/>
        <v>1597.8400000000001</v>
      </c>
      <c r="BI269" s="8">
        <f t="shared" si="58"/>
        <v>1901.6800000000005</v>
      </c>
      <c r="BJ269" s="8">
        <f t="shared" si="59"/>
        <v>2066.9759999999997</v>
      </c>
    </row>
    <row r="270" spans="1:62" x14ac:dyDescent="0.25">
      <c r="A270" s="9" t="s">
        <v>285</v>
      </c>
      <c r="B270" s="9" t="s">
        <v>644</v>
      </c>
      <c r="C270" s="10">
        <f>VLOOKUP(A270,'[2]Revenue_Engine_2025 Oct.25'!$C$14:G$3937,5,0)</f>
        <v>45406</v>
      </c>
      <c r="D270" s="6" cm="1">
        <f t="array" ref="D270">_xlfn.LET(
  _xlpm.aralık, Y270:BF270,
  _xlpm.ilk, MATCH(TRUE, _xlpm.aralık&lt;&gt;0, 0),
  _xlpm.son, MIN(_xlpm.ilk+2, COLUMNS(_xlpm.aralık)),
  MAX(INDEX(_xlpm.aralık, _xlpm.ilk):INDEX(_xlpm.aralık, _xlpm.son))
)</f>
        <v>177.01224699999997</v>
      </c>
      <c r="E270" s="6">
        <f t="shared" si="52"/>
        <v>203.01224700000003</v>
      </c>
      <c r="F270" s="6">
        <f t="shared" si="53"/>
        <v>0</v>
      </c>
      <c r="G270" s="6">
        <f t="shared" si="60"/>
        <v>203.012247</v>
      </c>
      <c r="H270" s="7">
        <f t="shared" si="54"/>
        <v>0.14688249226054997</v>
      </c>
      <c r="I270" s="7">
        <f t="shared" si="55"/>
        <v>-1</v>
      </c>
      <c r="J270" s="7">
        <f t="shared" si="56"/>
        <v>-1</v>
      </c>
      <c r="K270" s="7">
        <f t="shared" si="61"/>
        <v>0.14688249226054981</v>
      </c>
      <c r="L270" s="5" t="s">
        <v>412</v>
      </c>
      <c r="M270" s="7">
        <f>IF(R270="",(VLOOKUP(A270,[1]Export!$B$2:$H$680,7,0)),"CHURN")</f>
        <v>0.2364389375976908</v>
      </c>
      <c r="N270" s="5">
        <f t="shared" si="62"/>
        <v>155.01224700000003</v>
      </c>
      <c r="O270" s="5">
        <f t="shared" si="63"/>
        <v>155.01224700000003</v>
      </c>
      <c r="P270" s="5">
        <f t="shared" si="64"/>
        <v>0</v>
      </c>
      <c r="Q270" s="5" t="str">
        <f>VLOOKUP(A270,[4]Sheet2!$A$1:$B$142,2,0)</f>
        <v>BOOKED CHURN</v>
      </c>
      <c r="T270" s="6" t="str" cm="1">
        <f t="array" ref="T270">IF(R270&lt;&gt;"Churn","",
 _xlfn.LET(
   _xlpm.rng,Y270:BF270,
   _xlpm.pos,MAX(IF((_xlpm.rng&lt;&gt;0)*(_xlpm.rng&lt;&gt;""),COLUMN(_xlpm.rng)-COLUMN(Y270)+1)),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0" s="6" t="str" cm="1">
        <f t="array" ref="U270">IF(R270="Churn",
   MAX(IF((Y270:BF270&lt;&gt;"")*(Y270:BF270&lt;&gt;0), COLUMN(Y270:BF270)-COLUMN(Y270)+1))
   -MATCH(1, --((Y270:BF270&lt;&gt;"")*(Y270:BF270&lt;&gt;0)), 0)
   +1,
"")</f>
        <v/>
      </c>
      <c r="V270" s="6" t="str" cm="1">
        <f t="array" ref="V270">IFERROR(
    IF(
        MATCH(2,1/((Y270:BF270&lt;&gt;0)*(Y270:BF270&lt;&gt;"")))-MATCH(1,INDEX((Y270:BF270&lt;&gt;0)*(Y270:BF270&lt;&gt;""),0),0)+1 &lt;= 12,
        "No",
        "Yes"
    ),
    "No"
)</f>
        <v>Yes</v>
      </c>
      <c r="W270" s="6" t="str" cm="1">
        <f t="array" ref="W270">IFERROR(
    IF(
        MATCH(2,1/((Y270:BF270&lt;&gt;0)*(Y270:BF270&lt;&gt;"")))-MATCH(1,INDEX((Y270:BF270&lt;&gt;0)*(Y270:BF270&lt;&gt;""),0),0)+1 &lt;= 24,
        "No",
        "Yes"
    ),
    "No"
)</f>
        <v>No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155.01224699999997</v>
      </c>
      <c r="AO270" s="8">
        <v>155.01224699999997</v>
      </c>
      <c r="AP270" s="8">
        <v>177.01224699999997</v>
      </c>
      <c r="AQ270" s="8">
        <v>177.01224699999997</v>
      </c>
      <c r="AR270" s="8">
        <v>177.01224699999997</v>
      </c>
      <c r="AS270" s="8">
        <v>177.01224699999997</v>
      </c>
      <c r="AT270" s="8">
        <v>177.01224699999997</v>
      </c>
      <c r="AU270" s="8">
        <v>197.012247</v>
      </c>
      <c r="AV270" s="8">
        <v>197.012247</v>
      </c>
      <c r="AW270" s="8">
        <v>197.012247</v>
      </c>
      <c r="AX270" s="8">
        <v>197.012247</v>
      </c>
      <c r="AY270" s="8">
        <v>203.012247</v>
      </c>
      <c r="AZ270" s="8">
        <v>203.01224700000003</v>
      </c>
      <c r="BA270" s="8">
        <v>203.012247</v>
      </c>
      <c r="BB270" s="8">
        <v>203.012247</v>
      </c>
      <c r="BC270" s="8">
        <v>203.01224700000003</v>
      </c>
      <c r="BD270" s="8">
        <v>203.012247</v>
      </c>
      <c r="BE270" s="8">
        <v>203.012247</v>
      </c>
      <c r="BF270" s="8">
        <v>203.012247</v>
      </c>
      <c r="BH270" s="8">
        <f t="shared" si="57"/>
        <v>0</v>
      </c>
      <c r="BI270" s="8">
        <f t="shared" si="58"/>
        <v>1589.1102230000001</v>
      </c>
      <c r="BJ270" s="8">
        <f t="shared" si="59"/>
        <v>2018.1224700000002</v>
      </c>
    </row>
    <row r="271" spans="1:62" x14ac:dyDescent="0.25">
      <c r="A271" s="9" t="s">
        <v>293</v>
      </c>
      <c r="B271" s="9" t="s">
        <v>644</v>
      </c>
      <c r="C271" s="10">
        <f>VLOOKUP(A271,'[2]Revenue_Engine_2025 Oct.25'!$C$14:G$3937,5,0)</f>
        <v>45412</v>
      </c>
      <c r="D271" s="6" cm="1">
        <f t="array" ref="D271">_xlfn.LET(
  _xlpm.aralık, Y271:BF271,
  _xlpm.ilk, MATCH(TRUE, _xlpm.aralık&lt;&gt;0, 0),
  _xlpm.son, MIN(_xlpm.ilk+2, COLUMNS(_xlpm.aralık)),
  MAX(INDEX(_xlpm.aralık, _xlpm.ilk):INDEX(_xlpm.aralık, _xlpm.son))
)</f>
        <v>150</v>
      </c>
      <c r="E271" s="6">
        <f t="shared" si="52"/>
        <v>196.99393199999997</v>
      </c>
      <c r="F271" s="6">
        <f t="shared" si="53"/>
        <v>0</v>
      </c>
      <c r="G271" s="6">
        <f t="shared" si="60"/>
        <v>201.99393199999997</v>
      </c>
      <c r="H271" s="7">
        <f t="shared" si="54"/>
        <v>0.31329287999999983</v>
      </c>
      <c r="I271" s="7">
        <f t="shared" si="55"/>
        <v>-1</v>
      </c>
      <c r="J271" s="7">
        <f t="shared" si="56"/>
        <v>-1</v>
      </c>
      <c r="K271" s="7">
        <f t="shared" si="61"/>
        <v>0.34662621333333316</v>
      </c>
      <c r="L271" s="5" t="s">
        <v>416</v>
      </c>
      <c r="M271" s="7">
        <f>IF(R271="",(VLOOKUP(A271,[1]Export!$B$2:$H$680,7,0)),"CHURN")</f>
        <v>0.10327042893545932</v>
      </c>
      <c r="N271" s="5">
        <f t="shared" si="62"/>
        <v>181.13393199999996</v>
      </c>
      <c r="O271" s="5">
        <f t="shared" si="63"/>
        <v>176.65028414467727</v>
      </c>
      <c r="P271" s="5">
        <f t="shared" si="64"/>
        <v>0</v>
      </c>
      <c r="Q271" s="5" t="s">
        <v>430</v>
      </c>
      <c r="T271" s="6" t="str" cm="1">
        <f t="array" ref="T271">IF(R271&lt;&gt;"Churn","",
 _xlfn.LET(
   _xlpm.rng,Y271:BF271,
   _xlpm.pos,MAX(IF((_xlpm.rng&lt;&gt;0)*(_xlpm.rng&lt;&gt;""),COLUMN(_xlpm.rng)-COLUMN(Y271)+1)),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1" s="6" t="str" cm="1">
        <f t="array" ref="U271">IF(R271="Churn",
   MAX(IF((Y271:BF271&lt;&gt;"")*(Y271:BF271&lt;&gt;0), COLUMN(Y271:BF271)-COLUMN(Y271)+1))
   -MATCH(1, --((Y271:BF271&lt;&gt;"")*(Y271:BF271&lt;&gt;0)), 0)
   +1,
"")</f>
        <v/>
      </c>
      <c r="V271" s="6" t="str" cm="1">
        <f t="array" ref="V271">IFERROR(
    IF(
        MATCH(2,1/((Y271:BF271&lt;&gt;0)*(Y271:BF271&lt;&gt;"")))-MATCH(1,INDEX((Y271:BF271&lt;&gt;0)*(Y271:BF271&lt;&gt;""),0),0)+1 &lt;= 12,
        "No",
        "Yes"
    ),
    "No"
)</f>
        <v>Yes</v>
      </c>
      <c r="W271" s="6" t="str" cm="1">
        <f t="array" ref="W271">IFERROR(
    IF(
        MATCH(2,1/((Y271:BF271&lt;&gt;0)*(Y271:BF271&lt;&gt;"")))-MATCH(1,INDEX((Y271:BF271&lt;&gt;0)*(Y271:BF271&lt;&gt;""),0),0)+1 &lt;= 24,
        "No",
        "Yes"
    ),
    "No"
)</f>
        <v>No</v>
      </c>
      <c r="X271" s="6"/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150</v>
      </c>
      <c r="AO271" s="8">
        <v>150</v>
      </c>
      <c r="AP271" s="8">
        <v>150</v>
      </c>
      <c r="AQ271" s="8">
        <v>150</v>
      </c>
      <c r="AR271" s="8">
        <v>150</v>
      </c>
      <c r="AS271" s="8">
        <v>150</v>
      </c>
      <c r="AT271" s="8">
        <v>150</v>
      </c>
      <c r="AU271" s="8">
        <v>150</v>
      </c>
      <c r="AV271" s="8">
        <v>150</v>
      </c>
      <c r="AW271" s="8">
        <v>179.99393199999997</v>
      </c>
      <c r="AX271" s="8">
        <v>196.99393199999997</v>
      </c>
      <c r="AY271" s="8">
        <v>196.99393199999997</v>
      </c>
      <c r="AZ271" s="8">
        <v>196.99393199999997</v>
      </c>
      <c r="BA271" s="8">
        <v>196.99393199999997</v>
      </c>
      <c r="BB271" s="8">
        <v>196.99393199999997</v>
      </c>
      <c r="BC271" s="8">
        <v>196.99393199999997</v>
      </c>
      <c r="BD271" s="8">
        <v>196.99393199999997</v>
      </c>
      <c r="BE271" s="8">
        <v>196.99393199999997</v>
      </c>
      <c r="BF271" s="8">
        <v>201.99393199999997</v>
      </c>
      <c r="BH271" s="8">
        <f t="shared" si="57"/>
        <v>0</v>
      </c>
      <c r="BI271" s="8">
        <f t="shared" si="58"/>
        <v>1350</v>
      </c>
      <c r="BJ271" s="8">
        <f t="shared" si="59"/>
        <v>1957.9393199999995</v>
      </c>
    </row>
    <row r="272" spans="1:62" x14ac:dyDescent="0.25">
      <c r="A272" s="9" t="s">
        <v>272</v>
      </c>
      <c r="B272" s="9" t="s">
        <v>644</v>
      </c>
      <c r="C272" s="10">
        <f>VLOOKUP(A272,'[2]Revenue_Engine_2025 Oct.25'!$C$14:G$3937,5,0)</f>
        <v>45348</v>
      </c>
      <c r="D272" s="6" cm="1">
        <f t="array" ref="D272">_xlfn.LET(
  _xlpm.aralık, Y272:BF272,
  _xlpm.ilk, MATCH(TRUE, _xlpm.aralık&lt;&gt;0, 0),
  _xlpm.son, MIN(_xlpm.ilk+2, COLUMNS(_xlpm.aralık)),
  MAX(INDEX(_xlpm.aralık, _xlpm.ilk):INDEX(_xlpm.aralık, _xlpm.son))
)</f>
        <v>200.00540899999996</v>
      </c>
      <c r="E272" s="6">
        <f t="shared" si="52"/>
        <v>200.00540899999996</v>
      </c>
      <c r="F272" s="6">
        <f t="shared" si="53"/>
        <v>0</v>
      </c>
      <c r="G272" s="6">
        <f t="shared" si="60"/>
        <v>200.00540899999996</v>
      </c>
      <c r="H272" s="7">
        <f t="shared" si="54"/>
        <v>0</v>
      </c>
      <c r="I272" s="7">
        <f t="shared" si="55"/>
        <v>-1</v>
      </c>
      <c r="J272" s="7">
        <f t="shared" si="56"/>
        <v>-1</v>
      </c>
      <c r="K272" s="7">
        <f t="shared" si="61"/>
        <v>0</v>
      </c>
      <c r="L272" s="5" t="s">
        <v>418</v>
      </c>
      <c r="M272" s="7">
        <f>IF(R272="",(VLOOKUP(A272,[1]Export!$B$2:$H$680,7,0)),"CHURN")</f>
        <v>0.12499661946642654</v>
      </c>
      <c r="N272" s="5">
        <f t="shared" si="62"/>
        <v>175.00540899999999</v>
      </c>
      <c r="O272" s="5">
        <f t="shared" si="63"/>
        <v>175.00540899999999</v>
      </c>
      <c r="P272" s="5">
        <f t="shared" si="64"/>
        <v>0</v>
      </c>
      <c r="Q272" s="5" t="s">
        <v>430</v>
      </c>
      <c r="T272" s="6" t="str" cm="1">
        <f t="array" ref="T272">IF(R272&lt;&gt;"Churn","",
 _xlfn.LET(
   _xlpm.rng,Y272:BF272,
   _xlpm.pos,MAX(IF((_xlpm.rng&lt;&gt;0)*(_xlpm.rng&lt;&gt;""),COLUMN(_xlpm.rng)-COLUMN(Y272)+1)),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2" s="6" t="str" cm="1">
        <f t="array" ref="U272">IF(R272="Churn",
   MAX(IF((Y272:BF272&lt;&gt;"")*(Y272:BF272&lt;&gt;0), COLUMN(Y272:BF272)-COLUMN(Y272)+1))
   -MATCH(1, --((Y272:BF272&lt;&gt;"")*(Y272:BF272&lt;&gt;0)), 0)
   +1,
"")</f>
        <v/>
      </c>
      <c r="V272" s="6" t="str" cm="1">
        <f t="array" ref="V272">IFERROR(
    IF(
        MATCH(2,1/((Y272:BF272&lt;&gt;0)*(Y272:BF272&lt;&gt;"")))-MATCH(1,INDEX((Y272:BF272&lt;&gt;0)*(Y272:BF272&lt;&gt;""),0),0)+1 &lt;= 12,
        "No",
        "Yes"
    ),
    "No"
)</f>
        <v>Yes</v>
      </c>
      <c r="W272" s="6" t="str" cm="1">
        <f t="array" ref="W272">IFERROR(
    IF(
        MATCH(2,1/((Y272:BF272&lt;&gt;0)*(Y272:BF272&lt;&gt;"")))-MATCH(1,INDEX((Y272:BF272&lt;&gt;0)*(Y272:BF272&lt;&gt;""),0),0)+1 &lt;= 24,
        "No",
        "Yes"
    ),
    "No"
)</f>
        <v>No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200.00540899999996</v>
      </c>
      <c r="AM272" s="8">
        <v>200.00540899999996</v>
      </c>
      <c r="AN272" s="8">
        <v>200.00540899999996</v>
      </c>
      <c r="AO272" s="8">
        <v>200.00540899999996</v>
      </c>
      <c r="AP272" s="8">
        <v>200.00540899999996</v>
      </c>
      <c r="AQ272" s="8">
        <v>200.00540899999996</v>
      </c>
      <c r="AR272" s="8">
        <v>200.00540899999996</v>
      </c>
      <c r="AS272" s="8">
        <v>200.00540899999996</v>
      </c>
      <c r="AT272" s="8">
        <v>200.00540899999996</v>
      </c>
      <c r="AU272" s="8">
        <v>200.00540899999996</v>
      </c>
      <c r="AV272" s="8">
        <v>200.00540899999996</v>
      </c>
      <c r="AW272" s="8">
        <v>200.00540899999996</v>
      </c>
      <c r="AX272" s="8">
        <v>200.00540899999996</v>
      </c>
      <c r="AY272" s="8">
        <v>200.00540899999996</v>
      </c>
      <c r="AZ272" s="8">
        <v>200.00540900000001</v>
      </c>
      <c r="BA272" s="8">
        <v>200.00540899999996</v>
      </c>
      <c r="BB272" s="8">
        <v>200.00540899999996</v>
      </c>
      <c r="BC272" s="8">
        <v>200.00540899999996</v>
      </c>
      <c r="BD272" s="8">
        <v>200.00540899999996</v>
      </c>
      <c r="BE272" s="8">
        <v>200.00540899999996</v>
      </c>
      <c r="BF272" s="8">
        <v>200.00540899999996</v>
      </c>
      <c r="BH272" s="8">
        <f t="shared" si="57"/>
        <v>0</v>
      </c>
      <c r="BI272" s="8">
        <f t="shared" si="58"/>
        <v>2200.0594989999991</v>
      </c>
      <c r="BJ272" s="8">
        <f t="shared" si="59"/>
        <v>2000.0540899999992</v>
      </c>
    </row>
    <row r="273" spans="1:62" x14ac:dyDescent="0.25">
      <c r="A273" s="9" t="s">
        <v>321</v>
      </c>
      <c r="B273" s="9" t="s">
        <v>644</v>
      </c>
      <c r="C273" s="10">
        <v>44927</v>
      </c>
      <c r="D273" s="6" cm="1">
        <f t="array" ref="D273">_xlfn.LET(
  _xlpm.aralık, Y273:BF273,
  _xlpm.ilk, MATCH(TRUE, _xlpm.aralık&lt;&gt;0, 0),
  _xlpm.son, MIN(_xlpm.ilk+2, COLUMNS(_xlpm.aralık)),
  MAX(INDEX(_xlpm.aralık, _xlpm.ilk):INDEX(_xlpm.aralık, _xlpm.son))
)</f>
        <v>200</v>
      </c>
      <c r="E273" s="6">
        <f t="shared" si="52"/>
        <v>200.00299999999999</v>
      </c>
      <c r="F273" s="6">
        <f t="shared" si="53"/>
        <v>200.00299999999999</v>
      </c>
      <c r="G273" s="6">
        <f t="shared" si="60"/>
        <v>200.00299999999999</v>
      </c>
      <c r="H273" s="7">
        <f t="shared" si="54"/>
        <v>1.4999999999929514E-5</v>
      </c>
      <c r="I273" s="7">
        <f t="shared" si="55"/>
        <v>1.4999999999929514E-5</v>
      </c>
      <c r="J273" s="7">
        <f t="shared" si="56"/>
        <v>0</v>
      </c>
      <c r="K273" s="7">
        <f t="shared" si="61"/>
        <v>1.4999999999929514E-5</v>
      </c>
      <c r="L273" s="5" t="s">
        <v>418</v>
      </c>
      <c r="M273" s="7">
        <f>IF(R273="",(VLOOKUP(A273,[1]Export!$B$2:$H$680,7,0)),"CHURN")</f>
        <v>0.35724464133038009</v>
      </c>
      <c r="N273" s="5">
        <f t="shared" si="62"/>
        <v>128.553</v>
      </c>
      <c r="O273" s="5">
        <f t="shared" si="63"/>
        <v>128.553</v>
      </c>
      <c r="P273" s="5">
        <f t="shared" si="64"/>
        <v>128.553</v>
      </c>
      <c r="Q273" s="5" t="str">
        <f>VLOOKUP(A273,[4]Sheet2!$A$1:$B$142,2,0)</f>
        <v>HIGH RISK</v>
      </c>
      <c r="T273" s="6" t="str" cm="1">
        <f t="array" ref="T273">IF(R273&lt;&gt;"Churn","",
 _xlfn.LET(
   _xlpm.rng,Y273:BF273,
   _xlpm.pos,MAX(IF((_xlpm.rng&lt;&gt;0)*(_xlpm.rng&lt;&gt;""),COLUMN(_xlpm.rng)-COLUMN(Y273)+1)),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3" s="6" t="str" cm="1">
        <f t="array" ref="U273">IF(R273="Churn",
   MAX(IF((Y273:BF273&lt;&gt;"")*(Y273:BF273&lt;&gt;0), COLUMN(Y273:BF273)-COLUMN(Y273)+1))
   -MATCH(1, --((Y273:BF273&lt;&gt;"")*(Y273:BF273&lt;&gt;0)), 0)
   +1,
"")</f>
        <v/>
      </c>
      <c r="V273" s="6" t="str" cm="1">
        <f t="array" ref="V273">IFERROR(
    IF(
        MATCH(2,1/((Y273:BF273&lt;&gt;0)*(Y273:BF273&lt;&gt;"")))-MATCH(1,INDEX((Y273:BF273&lt;&gt;0)*(Y273:BF273&lt;&gt;""),0),0)+1 &lt;= 12,
        "No",
        "Yes"
    ),
    "No"
)</f>
        <v>Yes</v>
      </c>
      <c r="W273" s="6" t="str" cm="1">
        <f t="array" ref="W273">IFERROR(
    IF(
        MATCH(2,1/((Y273:BF273&lt;&gt;0)*(Y273:BF273&lt;&gt;"")))-MATCH(1,INDEX((Y273:BF273&lt;&gt;0)*(Y273:BF273&lt;&gt;""),0),0)+1 &lt;= 24,
        "No",
        "Yes"
    ),
    "No"
)</f>
        <v>Yes</v>
      </c>
      <c r="Y273" s="8">
        <v>200</v>
      </c>
      <c r="Z273" s="8">
        <v>200</v>
      </c>
      <c r="AA273" s="8">
        <v>200</v>
      </c>
      <c r="AB273" s="8">
        <v>200</v>
      </c>
      <c r="AC273" s="8">
        <v>200.00299999999999</v>
      </c>
      <c r="AD273" s="8">
        <v>200.00299999999999</v>
      </c>
      <c r="AE273" s="8">
        <v>200.00299999999999</v>
      </c>
      <c r="AF273" s="8">
        <v>200.00299999999999</v>
      </c>
      <c r="AG273" s="8">
        <v>200.00299999999999</v>
      </c>
      <c r="AH273" s="8">
        <v>200.00299999999999</v>
      </c>
      <c r="AI273" s="8">
        <v>200.00299999999999</v>
      </c>
      <c r="AJ273" s="8">
        <v>200.00299999999999</v>
      </c>
      <c r="AK273" s="8">
        <v>200.00299999999999</v>
      </c>
      <c r="AL273" s="8">
        <v>200.00299999999999</v>
      </c>
      <c r="AM273" s="8">
        <v>200.00299999999999</v>
      </c>
      <c r="AN273" s="8">
        <v>200.00299999999999</v>
      </c>
      <c r="AO273" s="8">
        <v>200.00299999999999</v>
      </c>
      <c r="AP273" s="8">
        <v>200.00299999999999</v>
      </c>
      <c r="AQ273" s="8">
        <v>200.00299999999999</v>
      </c>
      <c r="AR273" s="8">
        <v>200.00299999999999</v>
      </c>
      <c r="AS273" s="8">
        <v>200.00299999999999</v>
      </c>
      <c r="AT273" s="8">
        <v>200.00299999999999</v>
      </c>
      <c r="AU273" s="8">
        <v>200.00299999999999</v>
      </c>
      <c r="AV273" s="8">
        <v>200.00299999999999</v>
      </c>
      <c r="AW273" s="8">
        <v>200.00299999999999</v>
      </c>
      <c r="AX273" s="8">
        <v>200.00299999999999</v>
      </c>
      <c r="AY273" s="8">
        <v>200.00299999999999</v>
      </c>
      <c r="AZ273" s="8">
        <v>200.00299999999999</v>
      </c>
      <c r="BA273" s="8">
        <v>200.00299999999999</v>
      </c>
      <c r="BB273" s="8">
        <v>200.00299999999999</v>
      </c>
      <c r="BC273" s="8">
        <v>200.00299999999999</v>
      </c>
      <c r="BD273" s="8">
        <v>200.00299999999999</v>
      </c>
      <c r="BE273" s="8">
        <v>200.00299999999999</v>
      </c>
      <c r="BF273" s="8">
        <v>200.00299999999999</v>
      </c>
      <c r="BH273" s="8">
        <f t="shared" si="57"/>
        <v>2400.0239999999999</v>
      </c>
      <c r="BI273" s="8">
        <f t="shared" si="58"/>
        <v>2400.0359999999996</v>
      </c>
      <c r="BJ273" s="8">
        <f t="shared" si="59"/>
        <v>2000.0299999999995</v>
      </c>
    </row>
    <row r="274" spans="1:62" x14ac:dyDescent="0.25">
      <c r="A274" s="9" t="s">
        <v>492</v>
      </c>
      <c r="B274" s="9" t="s">
        <v>644</v>
      </c>
      <c r="C274" s="10">
        <f>VLOOKUP(A274,'[2]Revenue_Engine_2025 Oct.25'!$C$14:G$3937,5,0)</f>
        <v>45579</v>
      </c>
      <c r="D274" s="6" cm="1">
        <f t="array" ref="D274">_xlfn.LET(
  _xlpm.aralık, Y274:BF274,
  _xlpm.ilk, MATCH(TRUE, _xlpm.aralık&lt;&gt;0, 0),
  _xlpm.son, MIN(_xlpm.ilk+2, COLUMNS(_xlpm.aralık)),
  MAX(INDEX(_xlpm.aralık, _xlpm.ilk):INDEX(_xlpm.aralık, _xlpm.son))
)</f>
        <v>200.00021400000003</v>
      </c>
      <c r="E274" s="6">
        <f t="shared" si="52"/>
        <v>200.00021400000003</v>
      </c>
      <c r="F274" s="6">
        <f t="shared" si="53"/>
        <v>0</v>
      </c>
      <c r="G274" s="6">
        <f t="shared" si="60"/>
        <v>200.00021400000003</v>
      </c>
      <c r="H274" s="7">
        <f t="shared" si="54"/>
        <v>0</v>
      </c>
      <c r="I274" s="7">
        <f t="shared" si="55"/>
        <v>-1</v>
      </c>
      <c r="J274" s="7">
        <f t="shared" si="56"/>
        <v>-1</v>
      </c>
      <c r="K274" s="7">
        <f t="shared" si="61"/>
        <v>0</v>
      </c>
      <c r="L274" s="5" t="s">
        <v>418</v>
      </c>
      <c r="M274" s="7">
        <f>IF(R274="",(VLOOKUP(A274,[1]Export!$B$2:$H$680,7,0)),"CHURN")</f>
        <v>0.17310319477958161</v>
      </c>
      <c r="N274" s="5">
        <f t="shared" si="62"/>
        <v>165.37953800000003</v>
      </c>
      <c r="O274" s="5">
        <f t="shared" si="63"/>
        <v>165.37953800000003</v>
      </c>
      <c r="P274" s="5">
        <f t="shared" si="64"/>
        <v>0</v>
      </c>
      <c r="Q274" s="5" t="s">
        <v>430</v>
      </c>
      <c r="T274" s="6" t="str" cm="1">
        <f t="array" ref="T274">IF(R274&lt;&gt;"Churn","",
 _xlfn.LET(
   _xlpm.rng,Y274:BF274,
   _xlpm.pos,MAX(IF((_xlpm.rng&lt;&gt;0)*(_xlpm.rng&lt;&gt;""),COLUMN(_xlpm.rng)-COLUMN(Y274)+1)),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4" s="6" t="str" cm="1">
        <f t="array" ref="U274">IF(R274="Churn",
   MAX(IF((Y274:BF274&lt;&gt;"")*(Y274:BF274&lt;&gt;0), COLUMN(Y274:BF274)-COLUMN(Y274)+1))
   -MATCH(1, --((Y274:BF274&lt;&gt;"")*(Y274:BF274&lt;&gt;0)), 0)
   +1,
"")</f>
        <v/>
      </c>
      <c r="V274" s="6" t="str" cm="1">
        <f t="array" ref="V274">IFERROR(
    IF(
        MATCH(2,1/((Y274:BF274&lt;&gt;0)*(Y274:BF274&lt;&gt;"")))-MATCH(1,INDEX((Y274:BF274&lt;&gt;0)*(Y274:BF274&lt;&gt;""),0),0)+1 &lt;= 12,
        "No",
        "Yes"
    ),
    "No"
)</f>
        <v>Yes</v>
      </c>
      <c r="W274" s="6" t="str" cm="1">
        <f t="array" ref="W274">IFERROR(
    IF(
        MATCH(2,1/((Y274:BF274&lt;&gt;0)*(Y274:BF274&lt;&gt;"")))-MATCH(1,INDEX((Y274:BF274&lt;&gt;0)*(Y274:BF274&lt;&gt;""),0),0)+1 &lt;= 24,
        "No",
        "Yes"
    ),
    "No"
)</f>
        <v>No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200.00021400000003</v>
      </c>
      <c r="AU274" s="8">
        <v>200.00021400000003</v>
      </c>
      <c r="AV274" s="8">
        <v>200.00021400000003</v>
      </c>
      <c r="AW274" s="8">
        <v>200.00021400000003</v>
      </c>
      <c r="AX274" s="8">
        <v>200.00021400000003</v>
      </c>
      <c r="AY274" s="8">
        <v>200.00021400000003</v>
      </c>
      <c r="AZ274" s="8">
        <v>200.00021400000003</v>
      </c>
      <c r="BA274" s="8">
        <v>200.00021400000003</v>
      </c>
      <c r="BB274" s="8">
        <v>200.00021400000003</v>
      </c>
      <c r="BC274" s="8">
        <v>200.00021400000003</v>
      </c>
      <c r="BD274" s="8">
        <v>200.00021400000003</v>
      </c>
      <c r="BE274" s="8">
        <v>200.00021400000003</v>
      </c>
      <c r="BF274" s="8">
        <v>200.00021400000003</v>
      </c>
      <c r="BH274" s="8">
        <f t="shared" si="57"/>
        <v>0</v>
      </c>
      <c r="BI274" s="8">
        <f t="shared" si="58"/>
        <v>600.00064200000008</v>
      </c>
      <c r="BJ274" s="8">
        <f t="shared" si="59"/>
        <v>2000.0021400000005</v>
      </c>
    </row>
    <row r="275" spans="1:62" x14ac:dyDescent="0.25">
      <c r="A275" s="9" t="s">
        <v>241</v>
      </c>
      <c r="B275" s="9" t="s">
        <v>644</v>
      </c>
      <c r="C275" s="10">
        <f>VLOOKUP(A275,'[2]Revenue_Engine_2025 Oct.25'!$C$14:G$3937,5,0)</f>
        <v>45247</v>
      </c>
      <c r="D275" s="6" cm="1">
        <f t="array" ref="D275">_xlfn.LET(
  _xlpm.aralık, Y275:BF275,
  _xlpm.ilk, MATCH(TRUE, _xlpm.aralık&lt;&gt;0, 0),
  _xlpm.son, MIN(_xlpm.ilk+2, COLUMNS(_xlpm.aralık)),
  MAX(INDEX(_xlpm.aralık, _xlpm.ilk):INDEX(_xlpm.aralık, _xlpm.son))
)</f>
        <v>190.0008</v>
      </c>
      <c r="E275" s="6">
        <f t="shared" si="52"/>
        <v>200.00000008333336</v>
      </c>
      <c r="F275" s="6">
        <f t="shared" si="53"/>
        <v>0</v>
      </c>
      <c r="G275" s="6">
        <f t="shared" si="60"/>
        <v>200.00000008333336</v>
      </c>
      <c r="H275" s="7">
        <f t="shared" si="54"/>
        <v>5.2627147271660769E-2</v>
      </c>
      <c r="I275" s="7">
        <f t="shared" si="55"/>
        <v>-1</v>
      </c>
      <c r="J275" s="7">
        <f t="shared" si="56"/>
        <v>-1</v>
      </c>
      <c r="K275" s="7">
        <f t="shared" si="61"/>
        <v>5.2627147271660769E-2</v>
      </c>
      <c r="L275" s="5" t="s">
        <v>421</v>
      </c>
      <c r="M275" s="7">
        <f>IF(R275="",(VLOOKUP(A275,[1]Export!$B$2:$H$680,7,0)),"CHURN")</f>
        <v>9.9999999958333335E-2</v>
      </c>
      <c r="N275" s="5">
        <f t="shared" si="62"/>
        <v>180.00000008333336</v>
      </c>
      <c r="O275" s="5">
        <f t="shared" si="63"/>
        <v>180.00000008333336</v>
      </c>
      <c r="P275" s="5">
        <f t="shared" si="64"/>
        <v>0</v>
      </c>
      <c r="Q275" s="5" t="s">
        <v>430</v>
      </c>
      <c r="T275" s="6" t="str" cm="1">
        <f t="array" ref="T275">IF(R275&lt;&gt;"Churn","",
 _xlfn.LET(
   _xlpm.rng,Y275:BF275,
   _xlpm.pos,MAX(IF((_xlpm.rng&lt;&gt;0)*(_xlpm.rng&lt;&gt;""),COLUMN(_xlpm.rng)-COLUMN(Y275)+1)),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5" s="6" t="str" cm="1">
        <f t="array" ref="U275">IF(R275="Churn",
   MAX(IF((Y275:BF275&lt;&gt;"")*(Y275:BF275&lt;&gt;0), COLUMN(Y275:BF275)-COLUMN(Y275)+1))
   -MATCH(1, --((Y275:BF275&lt;&gt;"")*(Y275:BF275&lt;&gt;0)), 0)
   +1,
"")</f>
        <v/>
      </c>
      <c r="V275" s="6" t="str" cm="1">
        <f t="array" ref="V275">IFERROR(
    IF(
        MATCH(2,1/((Y275:BF275&lt;&gt;0)*(Y275:BF275&lt;&gt;"")))-MATCH(1,INDEX((Y275:BF275&lt;&gt;0)*(Y275:BF275&lt;&gt;""),0),0)+1 &lt;= 12,
        "No",
        "Yes"
    ),
    "No"
)</f>
        <v>Yes</v>
      </c>
      <c r="W275" s="6" t="str" cm="1">
        <f t="array" ref="W275">IFERROR(
    IF(
        MATCH(2,1/((Y275:BF275&lt;&gt;0)*(Y275:BF275&lt;&gt;"")))-MATCH(1,INDEX((Y275:BF275&lt;&gt;0)*(Y275:BF275&lt;&gt;""),0),0)+1 &lt;= 24,
        "No",
        "Yes"
    ),
    "No"
)</f>
        <v>No</v>
      </c>
      <c r="X275" s="6"/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190.0008</v>
      </c>
      <c r="AJ275" s="8">
        <v>190.00000008333336</v>
      </c>
      <c r="AK275" s="8">
        <v>190.00000008333336</v>
      </c>
      <c r="AL275" s="8">
        <v>200.00000008333336</v>
      </c>
      <c r="AM275" s="8">
        <v>200.00000008333336</v>
      </c>
      <c r="AN275" s="8">
        <v>200.00000008333336</v>
      </c>
      <c r="AO275" s="8">
        <v>200.00000008333336</v>
      </c>
      <c r="AP275" s="8">
        <v>200.00000008333336</v>
      </c>
      <c r="AQ275" s="8">
        <v>200.00000008333336</v>
      </c>
      <c r="AR275" s="8">
        <v>200.00000008333336</v>
      </c>
      <c r="AS275" s="8">
        <v>200.00000008333336</v>
      </c>
      <c r="AT275" s="8">
        <v>200.00000008333336</v>
      </c>
      <c r="AU275" s="8">
        <v>200.00000008333336</v>
      </c>
      <c r="AV275" s="8">
        <v>200.00000008333336</v>
      </c>
      <c r="AW275" s="8">
        <v>200.00000008333336</v>
      </c>
      <c r="AX275" s="8">
        <v>200.00000008333336</v>
      </c>
      <c r="AY275" s="8">
        <v>200.00000008333336</v>
      </c>
      <c r="AZ275" s="8">
        <v>200.00000008333336</v>
      </c>
      <c r="BA275" s="8">
        <v>200.00000008333336</v>
      </c>
      <c r="BB275" s="8">
        <v>200.00000008333336</v>
      </c>
      <c r="BC275" s="8">
        <v>200.00000008333336</v>
      </c>
      <c r="BD275" s="8">
        <v>200.00000008333336</v>
      </c>
      <c r="BE275" s="8">
        <v>200.00000008333336</v>
      </c>
      <c r="BF275" s="8">
        <v>200.00000008333336</v>
      </c>
      <c r="BH275" s="8">
        <f t="shared" si="57"/>
        <v>380.00080008333339</v>
      </c>
      <c r="BI275" s="8">
        <f t="shared" si="58"/>
        <v>2390.0000010000003</v>
      </c>
      <c r="BJ275" s="8">
        <f t="shared" si="59"/>
        <v>2000.0000008333336</v>
      </c>
    </row>
    <row r="276" spans="1:62" x14ac:dyDescent="0.25">
      <c r="A276" s="9" t="s">
        <v>493</v>
      </c>
      <c r="B276" s="9" t="s">
        <v>644</v>
      </c>
      <c r="C276" s="10">
        <f>VLOOKUP(A276,'[2]Revenue_Engine_2025 Oct.25'!$C$14:G$3937,5,0)</f>
        <v>45809</v>
      </c>
      <c r="D276" s="6" cm="1">
        <f t="array" ref="D276">_xlfn.LET(
  _xlpm.aralık, Y276:BF276,
  _xlpm.ilk, MATCH(TRUE, _xlpm.aralık&lt;&gt;0, 0),
  _xlpm.son, MIN(_xlpm.ilk+2, COLUMNS(_xlpm.aralık)),
  MAX(INDEX(_xlpm.aralık, _xlpm.ilk):INDEX(_xlpm.aralık, _xlpm.son))
)</f>
        <v>220.50000100105535</v>
      </c>
      <c r="E276" s="6">
        <f t="shared" si="52"/>
        <v>0</v>
      </c>
      <c r="F276" s="6">
        <f t="shared" si="53"/>
        <v>0</v>
      </c>
      <c r="G276" s="6">
        <f t="shared" si="60"/>
        <v>200</v>
      </c>
      <c r="H276" s="7">
        <f t="shared" si="54"/>
        <v>-1</v>
      </c>
      <c r="I276" s="7">
        <f t="shared" si="55"/>
        <v>-1</v>
      </c>
      <c r="J276" s="7" t="e">
        <f t="shared" si="56"/>
        <v>#DIV/0!</v>
      </c>
      <c r="K276" s="7">
        <f t="shared" si="61"/>
        <v>-9.2970525659803668E-2</v>
      </c>
      <c r="L276" s="5" t="s">
        <v>421</v>
      </c>
      <c r="M276" s="7">
        <f>IF(R276="",(VLOOKUP(A276,[1]Export!$B$2:$H$680,7,0)),"CHURN")</f>
        <v>0.11</v>
      </c>
      <c r="N276" s="5">
        <f t="shared" si="62"/>
        <v>178</v>
      </c>
      <c r="O276" s="5">
        <f t="shared" si="63"/>
        <v>0</v>
      </c>
      <c r="P276" s="5">
        <f t="shared" si="64"/>
        <v>0</v>
      </c>
      <c r="Q276" s="5" t="s">
        <v>430</v>
      </c>
      <c r="T276" s="6" t="str" cm="1">
        <f t="array" ref="T276">IF(R276&lt;&gt;"Churn","",
 _xlfn.LET(
   _xlpm.rng,Y276:BF276,
   _xlpm.pos,MAX(IF((_xlpm.rng&lt;&gt;0)*(_xlpm.rng&lt;&gt;""),COLUMN(_xlpm.rng)-COLUMN(Y276)+1)),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6" s="6" t="str" cm="1">
        <f t="array" ref="U276">IF(R276="Churn",
   MAX(IF((Y276:BF276&lt;&gt;"")*(Y276:BF276&lt;&gt;0), COLUMN(Y276:BF276)-COLUMN(Y276)+1))
   -MATCH(1, --((Y276:BF276&lt;&gt;"")*(Y276:BF276&lt;&gt;0)), 0)
   +1,
"")</f>
        <v/>
      </c>
      <c r="V276" s="14" t="s">
        <v>705</v>
      </c>
      <c r="W276" s="6" t="str" cm="1">
        <f t="array" ref="W276">IFERROR(
    IF(
        MATCH(2,1/((Y276:BF276&lt;&gt;0)*(Y276:BF276&lt;&gt;"")))-MATCH(1,INDEX((Y276:BF276&lt;&gt;0)*(Y276:BF276&lt;&gt;""),0),0)+1 &lt;= 24,
        "No",
        "Yes"
    ),
    "No"
)</f>
        <v>No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-217.33813804143574</v>
      </c>
      <c r="AL276" s="8">
        <v>-1.280568540096283E-9</v>
      </c>
      <c r="AM276" s="8">
        <v>220.50000100105535</v>
      </c>
      <c r="AN276" s="8">
        <v>50.499999999301508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200</v>
      </c>
      <c r="BC276" s="8">
        <v>200</v>
      </c>
      <c r="BD276" s="8">
        <v>200</v>
      </c>
      <c r="BE276" s="8">
        <v>200</v>
      </c>
      <c r="BF276" s="8">
        <v>200</v>
      </c>
      <c r="BH276" s="8">
        <f t="shared" si="57"/>
        <v>0</v>
      </c>
      <c r="BI276" s="8">
        <f t="shared" si="58"/>
        <v>53.661862957640551</v>
      </c>
      <c r="BJ276" s="8">
        <f t="shared" si="59"/>
        <v>1000</v>
      </c>
    </row>
    <row r="277" spans="1:62" x14ac:dyDescent="0.25">
      <c r="A277" s="9" t="s">
        <v>383</v>
      </c>
      <c r="B277" s="9" t="s">
        <v>644</v>
      </c>
      <c r="C277" s="10">
        <v>44927</v>
      </c>
      <c r="D277" s="6" cm="1">
        <f t="array" ref="D277">_xlfn.LET(
  _xlpm.aralık, Y277:BF277,
  _xlpm.ilk, MATCH(TRUE, _xlpm.aralık&lt;&gt;0, 0),
  _xlpm.son, MIN(_xlpm.ilk+2, COLUMNS(_xlpm.aralık)),
  MAX(INDEX(_xlpm.aralık, _xlpm.ilk):INDEX(_xlpm.aralık, _xlpm.son))
)</f>
        <v>135</v>
      </c>
      <c r="E277" s="6">
        <f t="shared" si="52"/>
        <v>166.76</v>
      </c>
      <c r="F277" s="6">
        <f t="shared" si="53"/>
        <v>191.76</v>
      </c>
      <c r="G277" s="6">
        <f t="shared" si="60"/>
        <v>197.76</v>
      </c>
      <c r="H277" s="7">
        <f t="shared" si="54"/>
        <v>0.2352592592592592</v>
      </c>
      <c r="I277" s="7">
        <f t="shared" si="55"/>
        <v>0.4204444444444444</v>
      </c>
      <c r="J277" s="7">
        <f t="shared" si="56"/>
        <v>0.14991604701367237</v>
      </c>
      <c r="K277" s="7">
        <f t="shared" si="61"/>
        <v>0.4648888888888888</v>
      </c>
      <c r="L277" s="5" t="s">
        <v>416</v>
      </c>
      <c r="M277" s="7">
        <f>IF(R277="",(VLOOKUP(A277,[1]Export!$B$2:$H$680,7,0)),"CHURN")</f>
        <v>0.24777508090614889</v>
      </c>
      <c r="N277" s="5">
        <f t="shared" si="62"/>
        <v>148.76</v>
      </c>
      <c r="O277" s="5">
        <f t="shared" si="63"/>
        <v>125.44102750809061</v>
      </c>
      <c r="P277" s="5">
        <f t="shared" si="64"/>
        <v>144.2466504854369</v>
      </c>
      <c r="Q277" s="5" t="str">
        <f>VLOOKUP(A277,[4]Sheet2!$A$1:$B$142,2,0)</f>
        <v>BOOKED CHURN</v>
      </c>
      <c r="T277" s="6" t="str" cm="1">
        <f t="array" ref="T277">IF(R277&lt;&gt;"Churn","",
 _xlfn.LET(
   _xlpm.rng,Y277:BF277,
   _xlpm.pos,MAX(IF((_xlpm.rng&lt;&gt;0)*(_xlpm.rng&lt;&gt;""),COLUMN(_xlpm.rng)-COLUMN(Y277)+1)),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7" s="6" t="str" cm="1">
        <f t="array" ref="U277">IF(R277="Churn",
   MAX(IF((Y277:BF277&lt;&gt;"")*(Y277:BF277&lt;&gt;0), COLUMN(Y277:BF277)-COLUMN(Y277)+1))
   -MATCH(1, --((Y277:BF277&lt;&gt;"")*(Y277:BF277&lt;&gt;0)), 0)
   +1,
"")</f>
        <v/>
      </c>
      <c r="V277" s="6" t="str" cm="1">
        <f t="array" ref="V277">IFERROR(
    IF(
        MATCH(2,1/((Y277:BF277&lt;&gt;0)*(Y277:BF277&lt;&gt;"")))-MATCH(1,INDEX((Y277:BF277&lt;&gt;0)*(Y277:BF277&lt;&gt;""),0),0)+1 &lt;= 12,
        "No",
        "Yes"
    ),
    "No"
)</f>
        <v>Yes</v>
      </c>
      <c r="W277" s="6" t="str" cm="1">
        <f t="array" ref="W277">IFERROR(
    IF(
        MATCH(2,1/((Y277:BF277&lt;&gt;0)*(Y277:BF277&lt;&gt;"")))-MATCH(1,INDEX((Y277:BF277&lt;&gt;0)*(Y277:BF277&lt;&gt;""),0),0)+1 &lt;= 24,
        "No",
        "Yes"
    ),
    "No"
)</f>
        <v>Yes</v>
      </c>
      <c r="Y277" s="8">
        <v>135</v>
      </c>
      <c r="Z277" s="8">
        <v>135</v>
      </c>
      <c r="AA277" s="8">
        <v>135</v>
      </c>
      <c r="AB277" s="8">
        <v>144</v>
      </c>
      <c r="AC277" s="8">
        <v>148.56</v>
      </c>
      <c r="AD277" s="8">
        <v>148.56</v>
      </c>
      <c r="AE277" s="8">
        <v>166.76</v>
      </c>
      <c r="AF277" s="8">
        <v>166.76</v>
      </c>
      <c r="AG277" s="8">
        <v>166.76</v>
      </c>
      <c r="AH277" s="8">
        <v>166.76</v>
      </c>
      <c r="AI277" s="8">
        <v>166.76</v>
      </c>
      <c r="AJ277" s="8">
        <v>166.76</v>
      </c>
      <c r="AK277" s="8">
        <v>166.76</v>
      </c>
      <c r="AL277" s="8">
        <v>166.76</v>
      </c>
      <c r="AM277" s="8">
        <v>191.76</v>
      </c>
      <c r="AN277" s="8">
        <v>191.76</v>
      </c>
      <c r="AO277" s="8">
        <v>191.76</v>
      </c>
      <c r="AP277" s="8">
        <v>191.76</v>
      </c>
      <c r="AQ277" s="8">
        <v>191.76</v>
      </c>
      <c r="AR277" s="8">
        <v>191.76</v>
      </c>
      <c r="AS277" s="8">
        <v>191.76</v>
      </c>
      <c r="AT277" s="8">
        <v>191.76</v>
      </c>
      <c r="AU277" s="8">
        <v>191.76</v>
      </c>
      <c r="AV277" s="8">
        <v>191.76</v>
      </c>
      <c r="AW277" s="8">
        <v>191.76</v>
      </c>
      <c r="AX277" s="8">
        <v>191.76</v>
      </c>
      <c r="AY277" s="8">
        <v>191.76</v>
      </c>
      <c r="AZ277" s="8">
        <v>191.76000000000002</v>
      </c>
      <c r="BA277" s="8">
        <v>191.76</v>
      </c>
      <c r="BB277" s="8">
        <v>197.76</v>
      </c>
      <c r="BC277" s="8">
        <v>197.76</v>
      </c>
      <c r="BD277" s="8">
        <v>197.76</v>
      </c>
      <c r="BE277" s="8">
        <v>197.76</v>
      </c>
      <c r="BF277" s="8">
        <v>197.76</v>
      </c>
      <c r="BH277" s="8">
        <f t="shared" si="57"/>
        <v>1846.6799999999998</v>
      </c>
      <c r="BI277" s="8">
        <f t="shared" si="58"/>
        <v>2251.12</v>
      </c>
      <c r="BJ277" s="8">
        <f t="shared" si="59"/>
        <v>1947.6</v>
      </c>
    </row>
    <row r="278" spans="1:62" x14ac:dyDescent="0.25">
      <c r="A278" s="9" t="s">
        <v>355</v>
      </c>
      <c r="B278" s="9" t="s">
        <v>644</v>
      </c>
      <c r="C278" s="10">
        <f>VLOOKUP(A278,'[2]Revenue_Engine_2025 Oct.25'!$C$14:G$3937,5,0)</f>
        <v>44938</v>
      </c>
      <c r="D278" s="6" cm="1">
        <f t="array" ref="D278">_xlfn.LET(
  _xlpm.aralık, Y278:BF278,
  _xlpm.ilk, MATCH(TRUE, _xlpm.aralık&lt;&gt;0, 0),
  _xlpm.son, MIN(_xlpm.ilk+2, COLUMNS(_xlpm.aralık)),
  MAX(INDEX(_xlpm.aralık, _xlpm.ilk):INDEX(_xlpm.aralık, _xlpm.son))
)</f>
        <v>120</v>
      </c>
      <c r="E278" s="6">
        <f t="shared" si="52"/>
        <v>177</v>
      </c>
      <c r="F278" s="6">
        <f t="shared" si="53"/>
        <v>197</v>
      </c>
      <c r="G278" s="6">
        <f t="shared" si="60"/>
        <v>197</v>
      </c>
      <c r="H278" s="7">
        <f t="shared" si="54"/>
        <v>0.47499999999999998</v>
      </c>
      <c r="I278" s="7">
        <f t="shared" si="55"/>
        <v>0.64166666666666672</v>
      </c>
      <c r="J278" s="7">
        <f t="shared" si="56"/>
        <v>0.11299435028248588</v>
      </c>
      <c r="K278" s="7">
        <f t="shared" si="61"/>
        <v>0.64166666666666672</v>
      </c>
      <c r="L278" s="5" t="s">
        <v>417</v>
      </c>
      <c r="M278" s="7">
        <f>IF(R278="",(VLOOKUP(A278,[1]Export!$B$2:$H$680,7,0)),"CHURN")</f>
        <v>0.14720812182741116</v>
      </c>
      <c r="N278" s="5">
        <f t="shared" si="62"/>
        <v>168</v>
      </c>
      <c r="O278" s="5">
        <f t="shared" si="63"/>
        <v>150.94416243654823</v>
      </c>
      <c r="P278" s="5">
        <f t="shared" si="64"/>
        <v>168</v>
      </c>
      <c r="Q278" s="5" t="s">
        <v>430</v>
      </c>
      <c r="T278" s="6" t="str" cm="1">
        <f t="array" ref="T278">IF(R278&lt;&gt;"Churn","",
 _xlfn.LET(
   _xlpm.rng,Y278:BF278,
   _xlpm.pos,MAX(IF((_xlpm.rng&lt;&gt;0)*(_xlpm.rng&lt;&gt;""),COLUMN(_xlpm.rng)-COLUMN(Y278)+1)),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8" s="6" t="str" cm="1">
        <f t="array" ref="U278">IF(R278="Churn",
   MAX(IF((Y278:BF278&lt;&gt;"")*(Y278:BF278&lt;&gt;0), COLUMN(Y278:BF278)-COLUMN(Y278)+1))
   -MATCH(1, --((Y278:BF278&lt;&gt;"")*(Y278:BF278&lt;&gt;0)), 0)
   +1,
"")</f>
        <v/>
      </c>
      <c r="V278" s="6" t="str" cm="1">
        <f t="array" ref="V278">IFERROR(
    IF(
        MATCH(2,1/((Y278:BF278&lt;&gt;0)*(Y278:BF278&lt;&gt;"")))-MATCH(1,INDEX((Y278:BF278&lt;&gt;0)*(Y278:BF278&lt;&gt;""),0),0)+1 &lt;= 12,
        "No",
        "Yes"
    ),
    "No"
)</f>
        <v>Yes</v>
      </c>
      <c r="W278" s="6" t="str" cm="1">
        <f t="array" ref="W278">IFERROR(
    IF(
        MATCH(2,1/((Y278:BF278&lt;&gt;0)*(Y278:BF278&lt;&gt;"")))-MATCH(1,INDEX((Y278:BF278&lt;&gt;0)*(Y278:BF278&lt;&gt;""),0),0)+1 &lt;= 24,
        "No",
        "Yes"
    ),
    "No"
)</f>
        <v>Yes</v>
      </c>
      <c r="Y278" s="8">
        <v>120</v>
      </c>
      <c r="Z278" s="8">
        <v>120</v>
      </c>
      <c r="AA278" s="8">
        <v>120</v>
      </c>
      <c r="AB278" s="8">
        <v>129</v>
      </c>
      <c r="AC278" s="8">
        <v>129</v>
      </c>
      <c r="AD278" s="8">
        <v>129</v>
      </c>
      <c r="AE278" s="8">
        <v>129</v>
      </c>
      <c r="AF278" s="8">
        <v>165.00000000000003</v>
      </c>
      <c r="AG278" s="8">
        <v>177.00000000000003</v>
      </c>
      <c r="AH278" s="8">
        <v>177.00000000000003</v>
      </c>
      <c r="AI278" s="8">
        <v>177</v>
      </c>
      <c r="AJ278" s="8">
        <v>177</v>
      </c>
      <c r="AK278" s="8">
        <v>177</v>
      </c>
      <c r="AL278" s="8">
        <v>177</v>
      </c>
      <c r="AM278" s="8">
        <v>197</v>
      </c>
      <c r="AN278" s="8">
        <v>197</v>
      </c>
      <c r="AO278" s="8">
        <v>197</v>
      </c>
      <c r="AP278" s="8">
        <v>197</v>
      </c>
      <c r="AQ278" s="8">
        <v>197</v>
      </c>
      <c r="AR278" s="8">
        <v>197</v>
      </c>
      <c r="AS278" s="8">
        <v>197</v>
      </c>
      <c r="AT278" s="8">
        <v>197</v>
      </c>
      <c r="AU278" s="8">
        <v>197</v>
      </c>
      <c r="AV278" s="8">
        <v>197</v>
      </c>
      <c r="AW278" s="8">
        <v>197</v>
      </c>
      <c r="AX278" s="8">
        <v>197</v>
      </c>
      <c r="AY278" s="8">
        <v>197</v>
      </c>
      <c r="AZ278" s="8">
        <v>197</v>
      </c>
      <c r="BA278" s="8">
        <v>197</v>
      </c>
      <c r="BB278" s="8">
        <v>197</v>
      </c>
      <c r="BC278" s="8">
        <v>197</v>
      </c>
      <c r="BD278" s="8">
        <v>197</v>
      </c>
      <c r="BE278" s="8">
        <v>197</v>
      </c>
      <c r="BF278" s="8">
        <v>197</v>
      </c>
      <c r="BH278" s="8">
        <f t="shared" si="57"/>
        <v>1749</v>
      </c>
      <c r="BI278" s="8">
        <f t="shared" si="58"/>
        <v>2324</v>
      </c>
      <c r="BJ278" s="8">
        <f t="shared" si="59"/>
        <v>1970</v>
      </c>
    </row>
    <row r="279" spans="1:62" x14ac:dyDescent="0.25">
      <c r="A279" s="9" t="s">
        <v>365</v>
      </c>
      <c r="B279" s="9" t="s">
        <v>644</v>
      </c>
      <c r="C279" s="10">
        <f>VLOOKUP(A279,'[2]Revenue_Engine_2025 Oct.25'!$C$14:G$3937,5,0)</f>
        <v>45008</v>
      </c>
      <c r="D279" s="6" cm="1">
        <f t="array" ref="D279">_xlfn.LET(
  _xlpm.aralık, Y279:BF279,
  _xlpm.ilk, MATCH(TRUE, _xlpm.aralık&lt;&gt;0, 0),
  _xlpm.son, MIN(_xlpm.ilk+2, COLUMNS(_xlpm.aralık)),
  MAX(INDEX(_xlpm.aralık, _xlpm.ilk):INDEX(_xlpm.aralık, _xlpm.son))
)</f>
        <v>170</v>
      </c>
      <c r="E279" s="6">
        <f t="shared" si="52"/>
        <v>177.5</v>
      </c>
      <c r="F279" s="6">
        <f t="shared" si="53"/>
        <v>176.19444444444443</v>
      </c>
      <c r="G279" s="6">
        <f t="shared" si="60"/>
        <v>193.75000000000003</v>
      </c>
      <c r="H279" s="7">
        <f t="shared" si="54"/>
        <v>4.4117647058823532E-2</v>
      </c>
      <c r="I279" s="7">
        <f t="shared" si="55"/>
        <v>3.6437908496731931E-2</v>
      </c>
      <c r="J279" s="7">
        <f t="shared" si="56"/>
        <v>-7.3552425665102611E-3</v>
      </c>
      <c r="K279" s="7">
        <f t="shared" si="61"/>
        <v>0.13970588235294135</v>
      </c>
      <c r="L279" s="5" t="s">
        <v>418</v>
      </c>
      <c r="M279" s="7">
        <f>IF(R279="",(VLOOKUP(A279,[1]Export!$B$2:$H$680,7,0)),"CHURN")</f>
        <v>4.5411066226706417E-2</v>
      </c>
      <c r="N279" s="5">
        <f t="shared" si="62"/>
        <v>184.95160591857567</v>
      </c>
      <c r="O279" s="5">
        <f t="shared" si="63"/>
        <v>169.43953574475961</v>
      </c>
      <c r="P279" s="5">
        <f t="shared" si="64"/>
        <v>168.193266859</v>
      </c>
      <c r="Q279" s="5" t="str">
        <f>VLOOKUP(A279,[4]Sheet2!$A$1:$B$142,2,0)</f>
        <v>BOOKED CHURN</v>
      </c>
      <c r="T279" s="6" t="str" cm="1">
        <f t="array" ref="T279">IF(R279&lt;&gt;"Churn","",
 _xlfn.LET(
   _xlpm.rng,Y279:BF279,
   _xlpm.pos,MAX(IF((_xlpm.rng&lt;&gt;0)*(_xlpm.rng&lt;&gt;""),COLUMN(_xlpm.rng)-COLUMN(Y279)+1)),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79" s="6" t="str" cm="1">
        <f t="array" ref="U279">IF(R279="Churn",
   MAX(IF((Y279:BF279&lt;&gt;"")*(Y279:BF279&lt;&gt;0), COLUMN(Y279:BF279)-COLUMN(Y279)+1))
   -MATCH(1, --((Y279:BF279&lt;&gt;"")*(Y279:BF279&lt;&gt;0)), 0)
   +1,
"")</f>
        <v/>
      </c>
      <c r="V279" s="6" t="str" cm="1">
        <f t="array" ref="V279">IFERROR(
    IF(
        MATCH(2,1/((Y279:BF279&lt;&gt;0)*(Y279:BF279&lt;&gt;"")))-MATCH(1,INDEX((Y279:BF279&lt;&gt;0)*(Y279:BF279&lt;&gt;""),0),0)+1 &lt;= 12,
        "No",
        "Yes"
    ),
    "No"
)</f>
        <v>Yes</v>
      </c>
      <c r="W279" s="6" t="str" cm="1">
        <f t="array" ref="W279">IFERROR(
    IF(
        MATCH(2,1/((Y279:BF279&lt;&gt;0)*(Y279:BF279&lt;&gt;"")))-MATCH(1,INDEX((Y279:BF279&lt;&gt;0)*(Y279:BF279&lt;&gt;""),0),0)+1 &lt;= 24,
        "No",
        "Yes"
    ),
    "No"
)</f>
        <v>Yes</v>
      </c>
      <c r="Y279" s="8">
        <v>0</v>
      </c>
      <c r="Z279" s="8">
        <v>0</v>
      </c>
      <c r="AA279" s="8">
        <v>170</v>
      </c>
      <c r="AB279" s="8">
        <v>170</v>
      </c>
      <c r="AC279" s="8">
        <v>170</v>
      </c>
      <c r="AD279" s="8">
        <v>180</v>
      </c>
      <c r="AE279" s="8">
        <v>180</v>
      </c>
      <c r="AF279" s="8">
        <v>180</v>
      </c>
      <c r="AG279" s="8">
        <v>180</v>
      </c>
      <c r="AH279" s="8">
        <v>180</v>
      </c>
      <c r="AI279" s="8">
        <v>180</v>
      </c>
      <c r="AJ279" s="8">
        <v>180</v>
      </c>
      <c r="AK279" s="8">
        <v>180</v>
      </c>
      <c r="AL279" s="8">
        <v>180</v>
      </c>
      <c r="AM279" s="8">
        <v>177.5</v>
      </c>
      <c r="AN279" s="8">
        <v>177.5</v>
      </c>
      <c r="AO279" s="8">
        <v>369</v>
      </c>
      <c r="AP279" s="8">
        <v>369</v>
      </c>
      <c r="AQ279" s="8">
        <v>369</v>
      </c>
      <c r="AR279" s="8">
        <v>369</v>
      </c>
      <c r="AS279" s="8">
        <v>369</v>
      </c>
      <c r="AT279" s="8">
        <v>369</v>
      </c>
      <c r="AU279" s="8">
        <v>369</v>
      </c>
      <c r="AV279" s="8">
        <v>369</v>
      </c>
      <c r="AW279" s="8">
        <v>369</v>
      </c>
      <c r="AX279" s="8">
        <v>369</v>
      </c>
      <c r="AY279" s="8">
        <v>176.19444444444443</v>
      </c>
      <c r="AZ279" s="8">
        <v>176.19444444444443</v>
      </c>
      <c r="BA279" s="8">
        <v>176.19444444444443</v>
      </c>
      <c r="BB279" s="8">
        <v>193.75000000000003</v>
      </c>
      <c r="BC279" s="8">
        <v>193.75000000000003</v>
      </c>
      <c r="BD279" s="8">
        <v>193.75000000000003</v>
      </c>
      <c r="BE279" s="8">
        <v>193.75000000000003</v>
      </c>
      <c r="BF279" s="8">
        <v>193.75000000000003</v>
      </c>
      <c r="BH279" s="8">
        <f t="shared" si="57"/>
        <v>1770</v>
      </c>
      <c r="BI279" s="8">
        <f t="shared" si="58"/>
        <v>3667</v>
      </c>
      <c r="BJ279" s="8">
        <f t="shared" si="59"/>
        <v>2235.3333333333335</v>
      </c>
    </row>
    <row r="280" spans="1:62" x14ac:dyDescent="0.25">
      <c r="A280" s="9" t="s">
        <v>373</v>
      </c>
      <c r="B280" s="9" t="s">
        <v>644</v>
      </c>
      <c r="C280" s="10">
        <v>44927</v>
      </c>
      <c r="D280" s="6" cm="1">
        <f t="array" ref="D280">_xlfn.LET(
  _xlpm.aralık, Y280:BF280,
  _xlpm.ilk, MATCH(TRUE, _xlpm.aralık&lt;&gt;0, 0),
  _xlpm.son, MIN(_xlpm.ilk+2, COLUMNS(_xlpm.aralık)),
  MAX(INDEX(_xlpm.aralık, _xlpm.ilk):INDEX(_xlpm.aralık, _xlpm.son))
)</f>
        <v>120</v>
      </c>
      <c r="E280" s="6">
        <f t="shared" si="52"/>
        <v>161.74</v>
      </c>
      <c r="F280" s="6">
        <f t="shared" si="53"/>
        <v>190.17395400000004</v>
      </c>
      <c r="G280" s="6">
        <f t="shared" si="60"/>
        <v>190.17395400000004</v>
      </c>
      <c r="H280" s="7">
        <f t="shared" si="54"/>
        <v>0.34783333333333338</v>
      </c>
      <c r="I280" s="7">
        <f t="shared" si="55"/>
        <v>0.58478295000000036</v>
      </c>
      <c r="J280" s="7">
        <f t="shared" si="56"/>
        <v>0.17580038333127257</v>
      </c>
      <c r="K280" s="7">
        <f t="shared" si="61"/>
        <v>0.58478295000000036</v>
      </c>
      <c r="L280" s="5" t="s">
        <v>418</v>
      </c>
      <c r="M280" s="7">
        <f>IF(R280="",(VLOOKUP(A280,[1]Export!$B$2:$H$680,7,0)),"CHURN")</f>
        <v>0.18912053540202459</v>
      </c>
      <c r="N280" s="5">
        <f t="shared" si="62"/>
        <v>154.20815400000004</v>
      </c>
      <c r="O280" s="5">
        <f t="shared" si="63"/>
        <v>131.15164460407655</v>
      </c>
      <c r="P280" s="5">
        <f t="shared" si="64"/>
        <v>154.20815400000004</v>
      </c>
      <c r="Q280" s="5" t="s">
        <v>430</v>
      </c>
      <c r="T280" s="6" t="str" cm="1">
        <f t="array" ref="T280">IF(R280&lt;&gt;"Churn","",
 _xlfn.LET(
   _xlpm.rng,Y280:BF280,
   _xlpm.pos,MAX(IF((_xlpm.rng&lt;&gt;0)*(_xlpm.rng&lt;&gt;""),COLUMN(_xlpm.rng)-COLUMN(Y280)+1)),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0" s="6" t="str" cm="1">
        <f t="array" ref="U280">IF(R280="Churn",
   MAX(IF((Y280:BF280&lt;&gt;"")*(Y280:BF280&lt;&gt;0), COLUMN(Y280:BF280)-COLUMN(Y280)+1))
   -MATCH(1, --((Y280:BF280&lt;&gt;"")*(Y280:BF280&lt;&gt;0)), 0)
   +1,
"")</f>
        <v/>
      </c>
      <c r="V280" s="6" t="str" cm="1">
        <f t="array" ref="V280">IFERROR(
    IF(
        MATCH(2,1/((Y280:BF280&lt;&gt;0)*(Y280:BF280&lt;&gt;"")))-MATCH(1,INDEX((Y280:BF280&lt;&gt;0)*(Y280:BF280&lt;&gt;""),0),0)+1 &lt;= 12,
        "No",
        "Yes"
    ),
    "No"
)</f>
        <v>Yes</v>
      </c>
      <c r="W280" s="6" t="str" cm="1">
        <f t="array" ref="W280">IFERROR(
    IF(
        MATCH(2,1/((Y280:BF280&lt;&gt;0)*(Y280:BF280&lt;&gt;"")))-MATCH(1,INDEX((Y280:BF280&lt;&gt;0)*(Y280:BF280&lt;&gt;""),0),0)+1 &lt;= 24,
        "No",
        "Yes"
    ),
    "No"
)</f>
        <v>Yes</v>
      </c>
      <c r="X280" s="6"/>
      <c r="Y280" s="8">
        <v>120</v>
      </c>
      <c r="Z280" s="8">
        <v>120</v>
      </c>
      <c r="AA280" s="8">
        <v>120</v>
      </c>
      <c r="AB280" s="8">
        <v>129</v>
      </c>
      <c r="AC280" s="8">
        <v>129</v>
      </c>
      <c r="AD280" s="8">
        <v>129</v>
      </c>
      <c r="AE280" s="8">
        <v>136.74</v>
      </c>
      <c r="AF280" s="8">
        <v>136.74</v>
      </c>
      <c r="AG280" s="8">
        <v>141.74</v>
      </c>
      <c r="AH280" s="8">
        <v>141.74</v>
      </c>
      <c r="AI280" s="8">
        <v>141.74</v>
      </c>
      <c r="AJ280" s="8">
        <v>141.74</v>
      </c>
      <c r="AK280" s="8">
        <v>161.74</v>
      </c>
      <c r="AL280" s="8">
        <v>161.74</v>
      </c>
      <c r="AM280" s="8">
        <v>163.24</v>
      </c>
      <c r="AN280" s="8">
        <v>163.24</v>
      </c>
      <c r="AO280" s="8">
        <v>163.24</v>
      </c>
      <c r="AP280" s="8">
        <v>163.24</v>
      </c>
      <c r="AQ280" s="8">
        <v>163.24</v>
      </c>
      <c r="AR280" s="8">
        <v>163.24</v>
      </c>
      <c r="AS280" s="8">
        <v>163.24</v>
      </c>
      <c r="AT280" s="8">
        <v>163.24</v>
      </c>
      <c r="AU280" s="8">
        <v>163.24</v>
      </c>
      <c r="AV280" s="8">
        <v>163.24</v>
      </c>
      <c r="AW280" s="8">
        <v>190.17395400000004</v>
      </c>
      <c r="AX280" s="8">
        <v>190.17395400000004</v>
      </c>
      <c r="AY280" s="8">
        <v>190.17395400000004</v>
      </c>
      <c r="AZ280" s="8">
        <v>190.17395400000004</v>
      </c>
      <c r="BA280" s="8">
        <v>190.17395400000004</v>
      </c>
      <c r="BB280" s="8">
        <v>190.17395400000004</v>
      </c>
      <c r="BC280" s="8">
        <v>190.17395400000004</v>
      </c>
      <c r="BD280" s="8">
        <v>190.17395400000004</v>
      </c>
      <c r="BE280" s="8">
        <v>190.17395400000004</v>
      </c>
      <c r="BF280" s="8">
        <v>190.17395400000004</v>
      </c>
      <c r="BH280" s="8">
        <f t="shared" si="57"/>
        <v>1587.44</v>
      </c>
      <c r="BI280" s="8">
        <f t="shared" si="58"/>
        <v>1955.88</v>
      </c>
      <c r="BJ280" s="8">
        <f t="shared" si="59"/>
        <v>1901.7395400000007</v>
      </c>
    </row>
    <row r="281" spans="1:62" x14ac:dyDescent="0.25">
      <c r="A281" s="9" t="s">
        <v>223</v>
      </c>
      <c r="B281" s="9" t="s">
        <v>644</v>
      </c>
      <c r="C281" s="10">
        <f>VLOOKUP(A281,'[2]Revenue_Engine_2025 Oct.25'!$C$14:G$3937,5,0)</f>
        <v>45141</v>
      </c>
      <c r="D281" s="6" cm="1">
        <f t="array" ref="D281">_xlfn.LET(
  _xlpm.aralık, Y281:BF281,
  _xlpm.ilk, MATCH(TRUE, _xlpm.aralık&lt;&gt;0, 0),
  _xlpm.son, MIN(_xlpm.ilk+2, COLUMNS(_xlpm.aralık)),
  MAX(INDEX(_xlpm.aralık, _xlpm.ilk):INDEX(_xlpm.aralık, _xlpm.son))
)</f>
        <v>179.00000199999999</v>
      </c>
      <c r="E281" s="6">
        <f t="shared" si="52"/>
        <v>189.00000199999999</v>
      </c>
      <c r="F281" s="6">
        <f t="shared" si="53"/>
        <v>189.00000199999999</v>
      </c>
      <c r="G281" s="6">
        <f t="shared" si="60"/>
        <v>189.00000199999999</v>
      </c>
      <c r="H281" s="7">
        <f t="shared" si="54"/>
        <v>5.5865921163509261E-2</v>
      </c>
      <c r="I281" s="7">
        <f t="shared" si="55"/>
        <v>5.5865921163509261E-2</v>
      </c>
      <c r="J281" s="7">
        <f t="shared" si="56"/>
        <v>0</v>
      </c>
      <c r="K281" s="7">
        <f t="shared" si="61"/>
        <v>5.5865921163509261E-2</v>
      </c>
      <c r="L281" s="5" t="s">
        <v>412</v>
      </c>
      <c r="M281" s="7">
        <f>IF(R281="",(VLOOKUP(A281,[1]Export!$B$2:$H$680,7,0)),"CHURN")</f>
        <v>0.15343915181545872</v>
      </c>
      <c r="N281" s="5">
        <f t="shared" si="62"/>
        <v>160.00000199999999</v>
      </c>
      <c r="O281" s="5">
        <f t="shared" si="63"/>
        <v>160.00000199999999</v>
      </c>
      <c r="P281" s="5">
        <f t="shared" si="64"/>
        <v>160.00000199999999</v>
      </c>
      <c r="Q281" s="5" t="s">
        <v>430</v>
      </c>
      <c r="T281" s="6" t="str" cm="1">
        <f t="array" ref="T281">IF(R281&lt;&gt;"Churn","",
 _xlfn.LET(
   _xlpm.rng,Y281:BF281,
   _xlpm.pos,MAX(IF((_xlpm.rng&lt;&gt;0)*(_xlpm.rng&lt;&gt;""),COLUMN(_xlpm.rng)-COLUMN(Y281)+1)),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1" s="6" t="str" cm="1">
        <f t="array" ref="U281">IF(R281="Churn",
   MAX(IF((Y281:BF281&lt;&gt;"")*(Y281:BF281&lt;&gt;0), COLUMN(Y281:BF281)-COLUMN(Y281)+1))
   -MATCH(1, --((Y281:BF281&lt;&gt;"")*(Y281:BF281&lt;&gt;0)), 0)
   +1,
"")</f>
        <v/>
      </c>
      <c r="V281" s="6" t="str" cm="1">
        <f t="array" ref="V281">IFERROR(
    IF(
        MATCH(2,1/((Y281:BF281&lt;&gt;0)*(Y281:BF281&lt;&gt;"")))-MATCH(1,INDEX((Y281:BF281&lt;&gt;0)*(Y281:BF281&lt;&gt;""),0),0)+1 &lt;= 12,
        "No",
        "Yes"
    ),
    "No"
)</f>
        <v>Yes</v>
      </c>
      <c r="W281" s="6" t="str" cm="1">
        <f t="array" ref="W281">IFERROR(
    IF(
        MATCH(2,1/((Y281:BF281&lt;&gt;0)*(Y281:BF281&lt;&gt;"")))-MATCH(1,INDEX((Y281:BF281&lt;&gt;0)*(Y281:BF281&lt;&gt;""),0),0)+1 &lt;= 24,
        "No",
        "Yes"
    ),
    "No"
)</f>
        <v>Yes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175.00000199999999</v>
      </c>
      <c r="AG281" s="8">
        <v>179.00000199999999</v>
      </c>
      <c r="AH281" s="8">
        <v>179.00000199999999</v>
      </c>
      <c r="AI281" s="8">
        <v>179.00000199999999</v>
      </c>
      <c r="AJ281" s="8">
        <v>179.00000199999999</v>
      </c>
      <c r="AK281" s="8">
        <v>179.00000199999999</v>
      </c>
      <c r="AL281" s="8">
        <v>179.00000199999999</v>
      </c>
      <c r="AM281" s="8">
        <v>189.00000199999999</v>
      </c>
      <c r="AN281" s="8">
        <v>189.00000199999999</v>
      </c>
      <c r="AO281" s="8">
        <v>189.00000199999999</v>
      </c>
      <c r="AP281" s="8">
        <v>189.00000199999999</v>
      </c>
      <c r="AQ281" s="8">
        <v>189.00000199999999</v>
      </c>
      <c r="AR281" s="8">
        <v>189.00000199999999</v>
      </c>
      <c r="AS281" s="8">
        <v>189.00000199999999</v>
      </c>
      <c r="AT281" s="8">
        <v>189.00000199999999</v>
      </c>
      <c r="AU281" s="8">
        <v>189.00000199999999</v>
      </c>
      <c r="AV281" s="8">
        <v>189.00000199999999</v>
      </c>
      <c r="AW281" s="8">
        <v>189.00000199999999</v>
      </c>
      <c r="AX281" s="8">
        <v>189.00000199999999</v>
      </c>
      <c r="AY281" s="8">
        <v>189.00000199999999</v>
      </c>
      <c r="AZ281" s="8">
        <v>189.00000199999997</v>
      </c>
      <c r="BA281" s="8">
        <v>189.00000199999999</v>
      </c>
      <c r="BB281" s="8">
        <v>189.00000199999999</v>
      </c>
      <c r="BC281" s="8">
        <v>189.00000199999999</v>
      </c>
      <c r="BD281" s="8">
        <v>189.00000199999999</v>
      </c>
      <c r="BE281" s="8">
        <v>189.00000199999999</v>
      </c>
      <c r="BF281" s="8">
        <v>189.00000199999999</v>
      </c>
      <c r="BH281" s="8">
        <f t="shared" si="57"/>
        <v>891.00000999999997</v>
      </c>
      <c r="BI281" s="8">
        <f t="shared" si="58"/>
        <v>2248.0000239999999</v>
      </c>
      <c r="BJ281" s="8">
        <f t="shared" si="59"/>
        <v>1890.0000199999999</v>
      </c>
    </row>
    <row r="282" spans="1:62" x14ac:dyDescent="0.25">
      <c r="A282" s="9" t="s">
        <v>24</v>
      </c>
      <c r="B282" s="9" t="s">
        <v>644</v>
      </c>
      <c r="C282" s="10">
        <f>VLOOKUP(A282,'[2]Revenue_Engine_2025 Oct.25'!$C$14:G$3937,5,0)</f>
        <v>45017</v>
      </c>
      <c r="D282" s="6" cm="1">
        <f t="array" ref="D282">_xlfn.LET(
  _xlpm.aralık, Y282:BF282,
  _xlpm.ilk, MATCH(TRUE, _xlpm.aralık&lt;&gt;0, 0),
  _xlpm.son, MIN(_xlpm.ilk+2, COLUMNS(_xlpm.aralık)),
  MAX(INDEX(_xlpm.aralık, _xlpm.ilk):INDEX(_xlpm.aralık, _xlpm.son))
)</f>
        <v>123.97168186882607</v>
      </c>
      <c r="E282" s="6">
        <f t="shared" si="52"/>
        <v>164.04556296714466</v>
      </c>
      <c r="F282" s="6">
        <f t="shared" si="53"/>
        <v>198.90091539007261</v>
      </c>
      <c r="G282" s="6">
        <f t="shared" si="60"/>
        <v>187.69922389476181</v>
      </c>
      <c r="H282" s="7">
        <f t="shared" si="54"/>
        <v>0.3232502817919386</v>
      </c>
      <c r="I282" s="7">
        <f t="shared" si="55"/>
        <v>0.604406041700143</v>
      </c>
      <c r="J282" s="7">
        <f t="shared" si="56"/>
        <v>0.21247360667663315</v>
      </c>
      <c r="K282" s="7">
        <f t="shared" si="61"/>
        <v>0.51404918498537111</v>
      </c>
      <c r="L282" s="5" t="s">
        <v>422</v>
      </c>
      <c r="M282" s="7">
        <f>IF(R282="",(VLOOKUP(A282,[1]Export!$B$2:$H$680,7,0)),"CHURN")</f>
        <v>0.33138226848952751</v>
      </c>
      <c r="N282" s="5">
        <f t="shared" si="62"/>
        <v>125.49902928679191</v>
      </c>
      <c r="O282" s="5">
        <f t="shared" si="63"/>
        <v>109.68377217545063</v>
      </c>
      <c r="P282" s="5">
        <f t="shared" si="64"/>
        <v>132.98867884346677</v>
      </c>
      <c r="Q282" s="5" t="s">
        <v>430</v>
      </c>
      <c r="T282" s="6" t="str" cm="1">
        <f t="array" ref="T282">IF(R282&lt;&gt;"Churn","",
 _xlfn.LET(
   _xlpm.rng,Y282:BF282,
   _xlpm.pos,MAX(IF((_xlpm.rng&lt;&gt;0)*(_xlpm.rng&lt;&gt;""),COLUMN(_xlpm.rng)-COLUMN(Y282)+1)),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2" s="6" t="str" cm="1">
        <f t="array" ref="U282">IF(R282="Churn",
   MAX(IF((Y282:BF282&lt;&gt;"")*(Y282:BF282&lt;&gt;0), COLUMN(Y282:BF282)-COLUMN(Y282)+1))
   -MATCH(1, --((Y282:BF282&lt;&gt;"")*(Y282:BF282&lt;&gt;0)), 0)
   +1,
"")</f>
        <v/>
      </c>
      <c r="V282" s="6" t="str" cm="1">
        <f t="array" ref="V282">IFERROR(
    IF(
        MATCH(2,1/((Y282:BF282&lt;&gt;0)*(Y282:BF282&lt;&gt;"")))-MATCH(1,INDEX((Y282:BF282&lt;&gt;0)*(Y282:BF282&lt;&gt;""),0),0)+1 &lt;= 12,
        "No",
        "Yes"
    ),
    "No"
)</f>
        <v>Yes</v>
      </c>
      <c r="W282" s="6" t="str" cm="1">
        <f t="array" ref="W282">IFERROR(
    IF(
        MATCH(2,1/((Y282:BF282&lt;&gt;0)*(Y282:BF282&lt;&gt;"")))-MATCH(1,INDEX((Y282:BF282&lt;&gt;0)*(Y282:BF282&lt;&gt;""),0),0)+1 &lt;= 24,
        "No",
        "Yes"
    ),
    "No"
)</f>
        <v>Yes</v>
      </c>
      <c r="Y282" s="8">
        <v>123.97168186882607</v>
      </c>
      <c r="Z282" s="8">
        <v>123.74942227086068</v>
      </c>
      <c r="AA282" s="8">
        <v>123.28079269739652</v>
      </c>
      <c r="AB282" s="8">
        <v>157.11956324684945</v>
      </c>
      <c r="AC282" s="8">
        <v>155.27826334403835</v>
      </c>
      <c r="AD282" s="8">
        <v>140.12546579604117</v>
      </c>
      <c r="AE282" s="8">
        <v>140.00900962314097</v>
      </c>
      <c r="AF282" s="8">
        <v>138.66556811806362</v>
      </c>
      <c r="AG282" s="8">
        <v>138.60091761849787</v>
      </c>
      <c r="AH282" s="8">
        <v>136.45567622426657</v>
      </c>
      <c r="AI282" s="8">
        <v>134.59866213715193</v>
      </c>
      <c r="AJ282" s="8">
        <v>133.57656714413145</v>
      </c>
      <c r="AK282" s="8">
        <v>131.51896408577269</v>
      </c>
      <c r="AL282" s="8">
        <v>130.08247926453436</v>
      </c>
      <c r="AM282" s="8">
        <v>127.74391413049608</v>
      </c>
      <c r="AN282" s="8">
        <v>164.04556296714466</v>
      </c>
      <c r="AO282" s="8">
        <v>164.18084051150629</v>
      </c>
      <c r="AP282" s="8">
        <v>163.3918120124597</v>
      </c>
      <c r="AQ282" s="8">
        <v>162.32147706550495</v>
      </c>
      <c r="AR282" s="8">
        <v>160.35535033630617</v>
      </c>
      <c r="AS282" s="8">
        <v>159.33222860238993</v>
      </c>
      <c r="AT282" s="8">
        <v>158.78596057928775</v>
      </c>
      <c r="AU282" s="8">
        <v>158.30202021627798</v>
      </c>
      <c r="AV282" s="8">
        <v>156.94444062749506</v>
      </c>
      <c r="AW282" s="8">
        <v>174.27328827684812</v>
      </c>
      <c r="AX282" s="8">
        <v>172.45262004163791</v>
      </c>
      <c r="AY282" s="8">
        <v>169.92130008550498</v>
      </c>
      <c r="AZ282" s="8">
        <v>198.90091539007261</v>
      </c>
      <c r="BA282" s="8">
        <v>194.79846107285681</v>
      </c>
      <c r="BB282" s="8">
        <v>192.69659664709576</v>
      </c>
      <c r="BC282" s="8">
        <v>190.35574052830037</v>
      </c>
      <c r="BD282" s="8">
        <v>188.51758662855798</v>
      </c>
      <c r="BE282" s="8">
        <v>187.09510403982088</v>
      </c>
      <c r="BF282" s="8">
        <v>187.69922389476181</v>
      </c>
      <c r="BH282" s="8">
        <f t="shared" si="57"/>
        <v>1645.4315900892648</v>
      </c>
      <c r="BI282" s="8">
        <f t="shared" si="58"/>
        <v>1837.0050503991756</v>
      </c>
      <c r="BJ282" s="8">
        <f t="shared" si="59"/>
        <v>1856.7108366054572</v>
      </c>
    </row>
    <row r="283" spans="1:62" x14ac:dyDescent="0.25">
      <c r="A283" s="9" t="s">
        <v>229</v>
      </c>
      <c r="B283" s="9" t="s">
        <v>644</v>
      </c>
      <c r="C283" s="10">
        <f>VLOOKUP(A283,'[2]Revenue_Engine_2025 Oct.25'!$C$14:G$3937,5,0)</f>
        <v>45194</v>
      </c>
      <c r="D283" s="6" cm="1">
        <f t="array" ref="D283">_xlfn.LET(
  _xlpm.aralık, Y283:BF283,
  _xlpm.ilk, MATCH(TRUE, _xlpm.aralık&lt;&gt;0, 0),
  _xlpm.son, MIN(_xlpm.ilk+2, COLUMNS(_xlpm.aralık)),
  MAX(INDEX(_xlpm.aralık, _xlpm.ilk):INDEX(_xlpm.aralık, _xlpm.son))
)</f>
        <v>159.999999</v>
      </c>
      <c r="E283" s="6">
        <f t="shared" si="52"/>
        <v>170.00999900000002</v>
      </c>
      <c r="F283" s="6">
        <f t="shared" si="53"/>
        <v>186.98093699999995</v>
      </c>
      <c r="G283" s="6">
        <f t="shared" si="60"/>
        <v>186.98093699999995</v>
      </c>
      <c r="H283" s="7">
        <f t="shared" si="54"/>
        <v>6.2562500391015741E-2</v>
      </c>
      <c r="I283" s="7">
        <f t="shared" si="55"/>
        <v>0.16863086355394261</v>
      </c>
      <c r="J283" s="7">
        <f t="shared" si="56"/>
        <v>9.9823175694506827E-2</v>
      </c>
      <c r="K283" s="7">
        <f t="shared" si="61"/>
        <v>0.16863086355394261</v>
      </c>
      <c r="L283" s="5" t="s">
        <v>418</v>
      </c>
      <c r="M283" s="7">
        <f>IF(R283="",(VLOOKUP(A283,[1]Export!$B$2:$H$680,7,0)),"CHURN")</f>
        <v>0.1176590531258275</v>
      </c>
      <c r="N283" s="5">
        <f t="shared" si="62"/>
        <v>164.98093699999995</v>
      </c>
      <c r="O283" s="5">
        <f t="shared" si="63"/>
        <v>150.00678349573715</v>
      </c>
      <c r="P283" s="5">
        <f t="shared" si="64"/>
        <v>164.98093699999995</v>
      </c>
      <c r="Q283" s="5" t="s">
        <v>430</v>
      </c>
      <c r="T283" s="6" t="str" cm="1">
        <f t="array" ref="T283">IF(R283&lt;&gt;"Churn","",
 _xlfn.LET(
   _xlpm.rng,Y283:BF283,
   _xlpm.pos,MAX(IF((_xlpm.rng&lt;&gt;0)*(_xlpm.rng&lt;&gt;""),COLUMN(_xlpm.rng)-COLUMN(Y283)+1)),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3" s="6" t="str" cm="1">
        <f t="array" ref="U283">IF(R283="Churn",
   MAX(IF((Y283:BF283&lt;&gt;"")*(Y283:BF283&lt;&gt;0), COLUMN(Y283:BF283)-COLUMN(Y283)+1))
   -MATCH(1, --((Y283:BF283&lt;&gt;"")*(Y283:BF283&lt;&gt;0)), 0)
   +1,
"")</f>
        <v/>
      </c>
      <c r="V283" s="6" t="str" cm="1">
        <f t="array" ref="V283">IFERROR(
    IF(
        MATCH(2,1/((Y283:BF283&lt;&gt;0)*(Y283:BF283&lt;&gt;"")))-MATCH(1,INDEX((Y283:BF283&lt;&gt;0)*(Y283:BF283&lt;&gt;""),0),0)+1 &lt;= 12,
        "No",
        "Yes"
    ),
    "No"
)</f>
        <v>Yes</v>
      </c>
      <c r="W283" s="6" t="str" cm="1">
        <f t="array" ref="W283">IFERROR(
    IF(
        MATCH(2,1/((Y283:BF283&lt;&gt;0)*(Y283:BF283&lt;&gt;"")))-MATCH(1,INDEX((Y283:BF283&lt;&gt;0)*(Y283:BF283&lt;&gt;""),0),0)+1 &lt;= 24,
        "No",
        "Yes"
    ),
    "No"
)</f>
        <v>Yes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159.999999</v>
      </c>
      <c r="AH283" s="8">
        <v>159.999999</v>
      </c>
      <c r="AI283" s="8">
        <v>159.999999</v>
      </c>
      <c r="AJ283" s="8">
        <v>159.999999</v>
      </c>
      <c r="AK283" s="8">
        <v>160.00999900000002</v>
      </c>
      <c r="AL283" s="8">
        <v>160.00999900000002</v>
      </c>
      <c r="AM283" s="8">
        <v>170.00999900000002</v>
      </c>
      <c r="AN283" s="8">
        <v>170.00999900000002</v>
      </c>
      <c r="AO283" s="8">
        <v>170.00999900000002</v>
      </c>
      <c r="AP283" s="8">
        <v>170.00999900000002</v>
      </c>
      <c r="AQ283" s="8">
        <v>170.00999900000002</v>
      </c>
      <c r="AR283" s="8">
        <v>170.00999900000002</v>
      </c>
      <c r="AS283" s="8">
        <v>170.00999900000002</v>
      </c>
      <c r="AT283" s="8">
        <v>170.00999900000002</v>
      </c>
      <c r="AU283" s="8">
        <v>170.00999900000002</v>
      </c>
      <c r="AV283" s="8">
        <v>170.00999900000002</v>
      </c>
      <c r="AW283" s="8">
        <v>170.00999900000002</v>
      </c>
      <c r="AX283" s="8">
        <v>170.00999900000002</v>
      </c>
      <c r="AY283" s="8">
        <v>170.00999900000002</v>
      </c>
      <c r="AZ283" s="8">
        <v>170.00999900000002</v>
      </c>
      <c r="BA283" s="8">
        <v>170.00999900000002</v>
      </c>
      <c r="BB283" s="8">
        <v>170.00999900000002</v>
      </c>
      <c r="BC283" s="8">
        <v>170.00999900000002</v>
      </c>
      <c r="BD283" s="8">
        <v>186.98093699999995</v>
      </c>
      <c r="BE283" s="8">
        <v>186.98093699999995</v>
      </c>
      <c r="BF283" s="8">
        <v>186.98093699999995</v>
      </c>
      <c r="BH283" s="8">
        <f t="shared" si="57"/>
        <v>639.99999600000001</v>
      </c>
      <c r="BI283" s="8">
        <f t="shared" si="58"/>
        <v>2020.1199880000006</v>
      </c>
      <c r="BJ283" s="8">
        <f t="shared" si="59"/>
        <v>1751.0128040000002</v>
      </c>
    </row>
    <row r="284" spans="1:62" x14ac:dyDescent="0.25">
      <c r="A284" s="9" t="s">
        <v>32</v>
      </c>
      <c r="B284" s="9" t="s">
        <v>644</v>
      </c>
      <c r="C284" s="10">
        <v>44927</v>
      </c>
      <c r="D284" s="6" cm="1">
        <f t="array" ref="D284">_xlfn.LET(
  _xlpm.aralık, Y284:BF284,
  _xlpm.ilk, MATCH(TRUE, _xlpm.aralık&lt;&gt;0, 0),
  _xlpm.son, MIN(_xlpm.ilk+2, COLUMNS(_xlpm.aralık)),
  MAX(INDEX(_xlpm.aralık, _xlpm.ilk):INDEX(_xlpm.aralık, _xlpm.son))
)</f>
        <v>161</v>
      </c>
      <c r="E284" s="6">
        <f t="shared" si="52"/>
        <v>172.875</v>
      </c>
      <c r="F284" s="6">
        <f t="shared" si="53"/>
        <v>181.51666666666668</v>
      </c>
      <c r="G284" s="6">
        <f t="shared" si="60"/>
        <v>186.52500000000001</v>
      </c>
      <c r="H284" s="7">
        <f t="shared" si="54"/>
        <v>7.375776397515528E-2</v>
      </c>
      <c r="I284" s="7">
        <f t="shared" si="55"/>
        <v>0.12743271221532099</v>
      </c>
      <c r="J284" s="7">
        <f t="shared" si="56"/>
        <v>4.9987948903350281E-2</v>
      </c>
      <c r="K284" s="7">
        <f t="shared" si="61"/>
        <v>0.15854037267080748</v>
      </c>
      <c r="L284" s="5" t="s">
        <v>421</v>
      </c>
      <c r="M284" s="7">
        <f>IF(R284="",(VLOOKUP(A284,[1]Export!$B$2:$H$680,7,0)),"CHURN")</f>
        <v>0.83299526707234617</v>
      </c>
      <c r="N284" s="5">
        <f t="shared" si="62"/>
        <v>31.150557809330632</v>
      </c>
      <c r="O284" s="5">
        <f t="shared" si="63"/>
        <v>28.870943204868155</v>
      </c>
      <c r="P284" s="5">
        <f t="shared" si="64"/>
        <v>30.314142438584632</v>
      </c>
      <c r="Q284" s="5" t="s">
        <v>430</v>
      </c>
      <c r="T284" s="6" t="str" cm="1">
        <f t="array" ref="T284">IF(R284&lt;&gt;"Churn","",
 _xlfn.LET(
   _xlpm.rng,Y284:BF284,
   _xlpm.pos,MAX(IF((_xlpm.rng&lt;&gt;0)*(_xlpm.rng&lt;&gt;""),COLUMN(_xlpm.rng)-COLUMN(Y284)+1)),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4" s="6" t="str" cm="1">
        <f t="array" ref="U284">IF(R284="Churn",
   MAX(IF((Y284:BF284&lt;&gt;"")*(Y284:BF284&lt;&gt;0), COLUMN(Y284:BF284)-COLUMN(Y284)+1))
   -MATCH(1, --((Y284:BF284&lt;&gt;"")*(Y284:BF284&lt;&gt;0)), 0)
   +1,
"")</f>
        <v/>
      </c>
      <c r="V284" s="6" t="str" cm="1">
        <f t="array" ref="V284">IFERROR(
    IF(
        MATCH(2,1/((Y284:BF284&lt;&gt;0)*(Y284:BF284&lt;&gt;"")))-MATCH(1,INDEX((Y284:BF284&lt;&gt;0)*(Y284:BF284&lt;&gt;""),0),0)+1 &lt;= 12,
        "No",
        "Yes"
    ),
    "No"
)</f>
        <v>Yes</v>
      </c>
      <c r="W284" s="6" t="str" cm="1">
        <f t="array" ref="W284">IFERROR(
    IF(
        MATCH(2,1/((Y284:BF284&lt;&gt;0)*(Y284:BF284&lt;&gt;"")))-MATCH(1,INDEX((Y284:BF284&lt;&gt;0)*(Y284:BF284&lt;&gt;""),0),0)+1 &lt;= 24,
        "No",
        "Yes"
    ),
    "No"
)</f>
        <v>Yes</v>
      </c>
      <c r="Y284" s="8">
        <v>152</v>
      </c>
      <c r="Z284" s="8">
        <v>152</v>
      </c>
      <c r="AA284" s="8">
        <v>161</v>
      </c>
      <c r="AB284" s="8">
        <v>161</v>
      </c>
      <c r="AC284" s="8">
        <v>161</v>
      </c>
      <c r="AD284" s="8">
        <v>161</v>
      </c>
      <c r="AE284" s="8">
        <v>163.5</v>
      </c>
      <c r="AF284" s="8">
        <v>163.5</v>
      </c>
      <c r="AG284" s="8">
        <v>163.5</v>
      </c>
      <c r="AH284" s="8">
        <v>166.625</v>
      </c>
      <c r="AI284" s="8">
        <v>172.875</v>
      </c>
      <c r="AJ284" s="8">
        <v>172.875</v>
      </c>
      <c r="AK284" s="8">
        <v>172.875</v>
      </c>
      <c r="AL284" s="8">
        <v>172.875</v>
      </c>
      <c r="AM284" s="8">
        <v>176.51666666666668</v>
      </c>
      <c r="AN284" s="8">
        <v>176.51666666666668</v>
      </c>
      <c r="AO284" s="8">
        <v>176.51666666666668</v>
      </c>
      <c r="AP284" s="8">
        <v>176.51666666666668</v>
      </c>
      <c r="AQ284" s="8">
        <v>176.51666666666668</v>
      </c>
      <c r="AR284" s="8">
        <v>176.51666666666668</v>
      </c>
      <c r="AS284" s="8">
        <v>176.51666666666668</v>
      </c>
      <c r="AT284" s="8">
        <v>181.51666666666668</v>
      </c>
      <c r="AU284" s="8">
        <v>181.51666666666668</v>
      </c>
      <c r="AV284" s="8">
        <v>181.51666666666668</v>
      </c>
      <c r="AW284" s="8">
        <v>181.51666666666668</v>
      </c>
      <c r="AX284" s="8">
        <v>181.51666666666668</v>
      </c>
      <c r="AY284" s="8">
        <v>186.51666666666668</v>
      </c>
      <c r="AZ284" s="8">
        <v>186.52500000000001</v>
      </c>
      <c r="BA284" s="8">
        <v>186.52500000000001</v>
      </c>
      <c r="BB284" s="8">
        <v>184.52500000000001</v>
      </c>
      <c r="BC284" s="8">
        <v>184.52500000000001</v>
      </c>
      <c r="BD284" s="8">
        <v>184.52500000000001</v>
      </c>
      <c r="BE284" s="8">
        <v>184.52500000000001</v>
      </c>
      <c r="BF284" s="8">
        <v>186.52500000000001</v>
      </c>
      <c r="BH284" s="8">
        <f t="shared" si="57"/>
        <v>1950.875</v>
      </c>
      <c r="BI284" s="8">
        <f t="shared" si="58"/>
        <v>2125.9166666666665</v>
      </c>
      <c r="BJ284" s="8">
        <f t="shared" si="59"/>
        <v>1847.2250000000004</v>
      </c>
    </row>
    <row r="285" spans="1:62" x14ac:dyDescent="0.25">
      <c r="A285" s="9" t="s">
        <v>376</v>
      </c>
      <c r="B285" s="9" t="s">
        <v>644</v>
      </c>
      <c r="C285" s="10">
        <v>44927</v>
      </c>
      <c r="D285" s="6" cm="1">
        <f t="array" ref="D285">_xlfn.LET(
  _xlpm.aralık, Y285:BF285,
  _xlpm.ilk, MATCH(TRUE, _xlpm.aralık&lt;&gt;0, 0),
  _xlpm.son, MIN(_xlpm.ilk+2, COLUMNS(_xlpm.aralık)),
  MAX(INDEX(_xlpm.aralık, _xlpm.ilk):INDEX(_xlpm.aralık, _xlpm.son))
)</f>
        <v>160</v>
      </c>
      <c r="E285" s="6">
        <f t="shared" si="52"/>
        <v>186.13999500000003</v>
      </c>
      <c r="F285" s="6">
        <f t="shared" si="53"/>
        <v>186.13999500000003</v>
      </c>
      <c r="G285" s="6">
        <f t="shared" si="60"/>
        <v>186.13999500000003</v>
      </c>
      <c r="H285" s="7">
        <f t="shared" si="54"/>
        <v>0.16337496875000018</v>
      </c>
      <c r="I285" s="7">
        <f t="shared" si="55"/>
        <v>0.16337496875000018</v>
      </c>
      <c r="J285" s="7">
        <f t="shared" si="56"/>
        <v>0</v>
      </c>
      <c r="K285" s="7">
        <f t="shared" si="61"/>
        <v>0.16337496875000018</v>
      </c>
      <c r="L285" s="5" t="s">
        <v>418</v>
      </c>
      <c r="M285" s="7">
        <f>IF(R285="",(VLOOKUP(A285,[1]Export!$B$2:$H$680,7,0)),"CHURN")</f>
        <v>0.11958741054011526</v>
      </c>
      <c r="N285" s="5">
        <f t="shared" si="62"/>
        <v>163.87999500000004</v>
      </c>
      <c r="O285" s="5">
        <f t="shared" si="63"/>
        <v>163.87999500000004</v>
      </c>
      <c r="P285" s="5">
        <f t="shared" si="64"/>
        <v>163.87999500000004</v>
      </c>
      <c r="Q285" s="5" t="s">
        <v>430</v>
      </c>
      <c r="T285" s="6" t="str" cm="1">
        <f t="array" ref="T285">IF(R285&lt;&gt;"Churn","",
 _xlfn.LET(
   _xlpm.rng,Y285:BF285,
   _xlpm.pos,MAX(IF((_xlpm.rng&lt;&gt;0)*(_xlpm.rng&lt;&gt;""),COLUMN(_xlpm.rng)-COLUMN(Y285)+1)),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5" s="6" t="str" cm="1">
        <f t="array" ref="U285">IF(R285="Churn",
   MAX(IF((Y285:BF285&lt;&gt;"")*(Y285:BF285&lt;&gt;0), COLUMN(Y285:BF285)-COLUMN(Y285)+1))
   -MATCH(1, --((Y285:BF285&lt;&gt;"")*(Y285:BF285&lt;&gt;0)), 0)
   +1,
"")</f>
        <v/>
      </c>
      <c r="V285" s="6" t="str" cm="1">
        <f t="array" ref="V285">IFERROR(
    IF(
        MATCH(2,1/((Y285:BF285&lt;&gt;0)*(Y285:BF285&lt;&gt;"")))-MATCH(1,INDEX((Y285:BF285&lt;&gt;0)*(Y285:BF285&lt;&gt;""),0),0)+1 &lt;= 12,
        "No",
        "Yes"
    ),
    "No"
)</f>
        <v>Yes</v>
      </c>
      <c r="W285" s="6" t="str" cm="1">
        <f t="array" ref="W285">IFERROR(
    IF(
        MATCH(2,1/((Y285:BF285&lt;&gt;0)*(Y285:BF285&lt;&gt;"")))-MATCH(1,INDEX((Y285:BF285&lt;&gt;0)*(Y285:BF285&lt;&gt;""),0),0)+1 &lt;= 24,
        "No",
        "Yes"
    ),
    "No"
)</f>
        <v>Yes</v>
      </c>
      <c r="Y285" s="8">
        <v>160</v>
      </c>
      <c r="Z285" s="8">
        <v>160</v>
      </c>
      <c r="AA285" s="8">
        <v>160</v>
      </c>
      <c r="AB285" s="8">
        <v>169</v>
      </c>
      <c r="AC285" s="8">
        <v>169</v>
      </c>
      <c r="AD285" s="8">
        <v>169</v>
      </c>
      <c r="AE285" s="8">
        <v>179.13999500000003</v>
      </c>
      <c r="AF285" s="8">
        <v>179.13999500000003</v>
      </c>
      <c r="AG285" s="8">
        <v>186.13999500000003</v>
      </c>
      <c r="AH285" s="8">
        <v>186.13999500000003</v>
      </c>
      <c r="AI285" s="8">
        <v>186.13999500000003</v>
      </c>
      <c r="AJ285" s="8">
        <v>186.13999500000003</v>
      </c>
      <c r="AK285" s="8">
        <v>186.13999500000003</v>
      </c>
      <c r="AL285" s="8">
        <v>186.13999500000003</v>
      </c>
      <c r="AM285" s="8">
        <v>186.13999500000003</v>
      </c>
      <c r="AN285" s="8">
        <v>186.13999500000003</v>
      </c>
      <c r="AO285" s="8">
        <v>186.13999500000003</v>
      </c>
      <c r="AP285" s="8">
        <v>186.13999500000003</v>
      </c>
      <c r="AQ285" s="8">
        <v>186.13999500000003</v>
      </c>
      <c r="AR285" s="8">
        <v>186.13999500000003</v>
      </c>
      <c r="AS285" s="8">
        <v>186.13999500000003</v>
      </c>
      <c r="AT285" s="8">
        <v>186.13999500000003</v>
      </c>
      <c r="AU285" s="8">
        <v>186.13999500000003</v>
      </c>
      <c r="AV285" s="8">
        <v>186.13999500000003</v>
      </c>
      <c r="AW285" s="8">
        <v>186.13999500000003</v>
      </c>
      <c r="AX285" s="8">
        <v>186.13999500000003</v>
      </c>
      <c r="AY285" s="8">
        <v>186.13999500000003</v>
      </c>
      <c r="AZ285" s="8">
        <v>186.139995</v>
      </c>
      <c r="BA285" s="8">
        <v>186.13999500000003</v>
      </c>
      <c r="BB285" s="8">
        <v>186.13999500000003</v>
      </c>
      <c r="BC285" s="8">
        <v>186.13999500000003</v>
      </c>
      <c r="BD285" s="8">
        <v>186.13999500000003</v>
      </c>
      <c r="BE285" s="8">
        <v>186.13999500000003</v>
      </c>
      <c r="BF285" s="8">
        <v>186.13999500000003</v>
      </c>
      <c r="BH285" s="8">
        <f t="shared" si="57"/>
        <v>2089.83997</v>
      </c>
      <c r="BI285" s="8">
        <f t="shared" si="58"/>
        <v>2233.6799400000004</v>
      </c>
      <c r="BJ285" s="8">
        <f t="shared" si="59"/>
        <v>1861.3999500000002</v>
      </c>
    </row>
    <row r="286" spans="1:62" x14ac:dyDescent="0.25">
      <c r="A286" s="9" t="s">
        <v>494</v>
      </c>
      <c r="B286" s="9" t="s">
        <v>644</v>
      </c>
      <c r="C286" s="10">
        <f>VLOOKUP(A286,'[2]Revenue_Engine_2025 Oct.25'!$C$14:G$3937,5,0)</f>
        <v>45639</v>
      </c>
      <c r="D286" s="6" cm="1">
        <f t="array" ref="D286">_xlfn.LET(
  _xlpm.aralık, Y286:BF286,
  _xlpm.ilk, MATCH(TRUE, _xlpm.aralık&lt;&gt;0, 0),
  _xlpm.son, MIN(_xlpm.ilk+2, COLUMNS(_xlpm.aralık)),
  MAX(INDEX(_xlpm.aralık, _xlpm.ilk):INDEX(_xlpm.aralık, _xlpm.son))
)</f>
        <v>165.00530000000001</v>
      </c>
      <c r="E286" s="6">
        <f t="shared" si="52"/>
        <v>0</v>
      </c>
      <c r="F286" s="6">
        <f t="shared" si="53"/>
        <v>0</v>
      </c>
      <c r="G286" s="6">
        <f t="shared" si="60"/>
        <v>186.00530000000001</v>
      </c>
      <c r="H286" s="7">
        <f t="shared" si="54"/>
        <v>-1</v>
      </c>
      <c r="I286" s="7">
        <f t="shared" si="55"/>
        <v>-1</v>
      </c>
      <c r="J286" s="7" t="e">
        <f t="shared" si="56"/>
        <v>#DIV/0!</v>
      </c>
      <c r="K286" s="7">
        <f t="shared" si="61"/>
        <v>0.12726863924976956</v>
      </c>
      <c r="L286" s="5" t="s">
        <v>412</v>
      </c>
      <c r="M286" s="7">
        <f>IF(R286="",(VLOOKUP(A286,[1]Export!$B$2:$H$680,7,0)),"CHURN")</f>
        <v>0.13523179715846806</v>
      </c>
      <c r="N286" s="5">
        <f t="shared" si="62"/>
        <v>160.85146900000001</v>
      </c>
      <c r="O286" s="5">
        <f t="shared" si="63"/>
        <v>0</v>
      </c>
      <c r="P286" s="5">
        <f t="shared" si="64"/>
        <v>0</v>
      </c>
      <c r="Q286" s="5" t="s">
        <v>430</v>
      </c>
      <c r="T286" s="6" t="str" cm="1">
        <f t="array" ref="T286">IF(R286&lt;&gt;"Churn","",
 _xlfn.LET(
   _xlpm.rng,Y286:BF286,
   _xlpm.pos,MAX(IF((_xlpm.rng&lt;&gt;0)*(_xlpm.rng&lt;&gt;""),COLUMN(_xlpm.rng)-COLUMN(Y286)+1)),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6" s="6" t="str" cm="1">
        <f t="array" ref="U286">IF(R286="Churn",
   MAX(IF((Y286:BF286&lt;&gt;"")*(Y286:BF286&lt;&gt;0), COLUMN(Y286:BF286)-COLUMN(Y286)+1))
   -MATCH(1, --((Y286:BF286&lt;&gt;"")*(Y286:BF286&lt;&gt;0)), 0)
   +1,
"")</f>
        <v/>
      </c>
      <c r="V286" s="6" t="str" cm="1">
        <f t="array" ref="V286">IFERROR(
    IF(
        MATCH(2,1/((Y286:BF286&lt;&gt;0)*(Y286:BF286&lt;&gt;"")))-MATCH(1,INDEX((Y286:BF286&lt;&gt;0)*(Y286:BF286&lt;&gt;""),0),0)+1 &lt;= 12,
        "No",
        "Yes"
    ),
    "No"
)</f>
        <v>No</v>
      </c>
      <c r="W286" s="6" t="str" cm="1">
        <f t="array" ref="W286">IFERROR(
    IF(
        MATCH(2,1/((Y286:BF286&lt;&gt;0)*(Y286:BF286&lt;&gt;"")))-MATCH(1,INDEX((Y286:BF286&lt;&gt;0)*(Y286:BF286&lt;&gt;""),0),0)+1 &lt;= 24,
        "No",
        "Yes"
    ),
    "No"
)</f>
        <v>No</v>
      </c>
      <c r="X286" s="6"/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165.00530000000001</v>
      </c>
      <c r="AW286" s="8">
        <v>165.00530000000001</v>
      </c>
      <c r="AX286" s="8">
        <v>165.00530000000001</v>
      </c>
      <c r="AY286" s="8">
        <v>165.00530000000001</v>
      </c>
      <c r="AZ286" s="8">
        <v>165.00530000000003</v>
      </c>
      <c r="BA286" s="8">
        <v>165.00530000000001</v>
      </c>
      <c r="BB286" s="8">
        <v>165.00530000000001</v>
      </c>
      <c r="BC286" s="8">
        <v>165.00530000000001</v>
      </c>
      <c r="BD286" s="8">
        <v>165.00530000000001</v>
      </c>
      <c r="BE286" s="8">
        <v>165.00530000000001</v>
      </c>
      <c r="BF286" s="8">
        <v>186.00530000000001</v>
      </c>
      <c r="BH286" s="8">
        <f t="shared" si="57"/>
        <v>0</v>
      </c>
      <c r="BI286" s="8">
        <f t="shared" si="58"/>
        <v>165.00530000000001</v>
      </c>
      <c r="BJ286" s="8">
        <f t="shared" si="59"/>
        <v>1671.0530000000001</v>
      </c>
    </row>
    <row r="287" spans="1:62" x14ac:dyDescent="0.25">
      <c r="A287" s="9" t="s">
        <v>495</v>
      </c>
      <c r="B287" s="9" t="s">
        <v>644</v>
      </c>
      <c r="C287" s="10">
        <f>VLOOKUP(A287,'[2]Revenue_Engine_2025 Oct.25'!$C$14:G$3937,5,0)</f>
        <v>45657</v>
      </c>
      <c r="D287" s="6" cm="1">
        <f t="array" ref="D287">_xlfn.LET(
  _xlpm.aralık, Y287:BF287,
  _xlpm.ilk, MATCH(TRUE, _xlpm.aralık&lt;&gt;0, 0),
  _xlpm.son, MIN(_xlpm.ilk+2, COLUMNS(_xlpm.aralık)),
  MAX(INDEX(_xlpm.aralık, _xlpm.ilk):INDEX(_xlpm.aralık, _xlpm.son))
)</f>
        <v>210.94495742417902</v>
      </c>
      <c r="E287" s="6">
        <f t="shared" si="52"/>
        <v>0</v>
      </c>
      <c r="F287" s="6">
        <f t="shared" si="53"/>
        <v>0</v>
      </c>
      <c r="G287" s="6">
        <f t="shared" si="60"/>
        <v>184.34037456791839</v>
      </c>
      <c r="H287" s="7">
        <f t="shared" si="54"/>
        <v>-1</v>
      </c>
      <c r="I287" s="7">
        <f t="shared" si="55"/>
        <v>-1</v>
      </c>
      <c r="J287" s="7" t="e">
        <f t="shared" si="56"/>
        <v>#DIV/0!</v>
      </c>
      <c r="K287" s="7">
        <f t="shared" si="61"/>
        <v>-0.12612097099227057</v>
      </c>
      <c r="L287" s="5" t="s">
        <v>415</v>
      </c>
      <c r="M287" s="7">
        <f>IF(R287="",(VLOOKUP(A287,[1]Export!$B$2:$H$680,7,0)),"CHURN")</f>
        <v>0.16042112389790153</v>
      </c>
      <c r="N287" s="5">
        <f t="shared" si="62"/>
        <v>154.76828449997276</v>
      </c>
      <c r="O287" s="5">
        <f t="shared" si="63"/>
        <v>0</v>
      </c>
      <c r="P287" s="5">
        <f t="shared" si="64"/>
        <v>0</v>
      </c>
      <c r="Q287" s="5" t="s">
        <v>430</v>
      </c>
      <c r="T287" s="6" t="str" cm="1">
        <f t="array" ref="T287">IF(R287&lt;&gt;"Churn","",
 _xlfn.LET(
   _xlpm.rng,Y287:BF287,
   _xlpm.pos,MAX(IF((_xlpm.rng&lt;&gt;0)*(_xlpm.rng&lt;&gt;""),COLUMN(_xlpm.rng)-COLUMN(Y287)+1)),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7" s="6" t="str" cm="1">
        <f t="array" ref="U287">IF(R287="Churn",
   MAX(IF((Y287:BF287&lt;&gt;"")*(Y287:BF287&lt;&gt;0), COLUMN(Y287:BF287)-COLUMN(Y287)+1))
   -MATCH(1, --((Y287:BF287&lt;&gt;"")*(Y287:BF287&lt;&gt;0)), 0)
   +1,
"")</f>
        <v/>
      </c>
      <c r="V287" s="6" t="str" cm="1">
        <f t="array" ref="V287">IFERROR(
    IF(
        MATCH(2,1/((Y287:BF287&lt;&gt;0)*(Y287:BF287&lt;&gt;"")))-MATCH(1,INDEX((Y287:BF287&lt;&gt;0)*(Y287:BF287&lt;&gt;""),0),0)+1 &lt;= 12,
        "No",
        "Yes"
    ),
    "No"
)</f>
        <v>No</v>
      </c>
      <c r="W287" s="6" t="str" cm="1">
        <f t="array" ref="W287">IFERROR(
    IF(
        MATCH(2,1/((Y287:BF287&lt;&gt;0)*(Y287:BF287&lt;&gt;"")))-MATCH(1,INDEX((Y287:BF287&lt;&gt;0)*(Y287:BF287&lt;&gt;""),0),0)+1 &lt;= 24,
        "No",
        "Yes"
    ),
    "No"
)</f>
        <v>No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202.94455544158828</v>
      </c>
      <c r="AW287" s="8">
        <v>199.88523942959807</v>
      </c>
      <c r="AX287" s="8">
        <v>210.94495742417902</v>
      </c>
      <c r="AY287" s="8">
        <v>206.04598810498823</v>
      </c>
      <c r="AZ287" s="8">
        <v>200.93142533930703</v>
      </c>
      <c r="BA287" s="8">
        <v>197.80741931673367</v>
      </c>
      <c r="BB287" s="8">
        <v>194.6966198372115</v>
      </c>
      <c r="BC287" s="8">
        <v>191.23210808910082</v>
      </c>
      <c r="BD287" s="8">
        <v>188.51160522292287</v>
      </c>
      <c r="BE287" s="8">
        <v>186.40630383314817</v>
      </c>
      <c r="BF287" s="8">
        <v>184.34037456791839</v>
      </c>
      <c r="BH287" s="8">
        <f t="shared" si="57"/>
        <v>0</v>
      </c>
      <c r="BI287" s="8">
        <f t="shared" si="58"/>
        <v>202.94455544158828</v>
      </c>
      <c r="BJ287" s="8">
        <f t="shared" si="59"/>
        <v>1960.8020411651078</v>
      </c>
    </row>
    <row r="288" spans="1:62" x14ac:dyDescent="0.25">
      <c r="A288" s="9" t="s">
        <v>370</v>
      </c>
      <c r="B288" s="9" t="s">
        <v>644</v>
      </c>
      <c r="C288" s="10">
        <f>VLOOKUP(A288,'[2]Revenue_Engine_2025 Oct.25'!$C$14:G$3937,5,0)</f>
        <v>45071</v>
      </c>
      <c r="D288" s="6" cm="1">
        <f t="array" ref="D288">_xlfn.LET(
  _xlpm.aralık, Y288:BF288,
  _xlpm.ilk, MATCH(TRUE, _xlpm.aralık&lt;&gt;0, 0),
  _xlpm.son, MIN(_xlpm.ilk+2, COLUMNS(_xlpm.aralık)),
  MAX(INDEX(_xlpm.aralık, _xlpm.ilk):INDEX(_xlpm.aralık, _xlpm.son))
)</f>
        <v>140.000001</v>
      </c>
      <c r="E288" s="6">
        <f t="shared" si="52"/>
        <v>151.000001</v>
      </c>
      <c r="F288" s="6">
        <f t="shared" si="53"/>
        <v>184.20624499999997</v>
      </c>
      <c r="G288" s="6">
        <f t="shared" si="60"/>
        <v>184.20624499999997</v>
      </c>
      <c r="H288" s="7">
        <f t="shared" si="54"/>
        <v>7.8571428010204086E-2</v>
      </c>
      <c r="I288" s="7">
        <f t="shared" si="55"/>
        <v>0.31575888345886488</v>
      </c>
      <c r="J288" s="7">
        <f t="shared" si="56"/>
        <v>0.21990889920590112</v>
      </c>
      <c r="K288" s="7">
        <f t="shared" si="61"/>
        <v>0.31575888345886488</v>
      </c>
      <c r="L288" s="5" t="s">
        <v>414</v>
      </c>
      <c r="M288" s="7">
        <f>IF(R288="",(VLOOKUP(A288,[1]Export!$B$2:$H$680,7,0)),"CHURN")</f>
        <v>6.6230110710958787E-2</v>
      </c>
      <c r="N288" s="5">
        <f t="shared" si="62"/>
        <v>172.00624499999998</v>
      </c>
      <c r="O288" s="5">
        <f t="shared" si="63"/>
        <v>140.99925421641512</v>
      </c>
      <c r="P288" s="5">
        <f t="shared" si="64"/>
        <v>172.00624499999998</v>
      </c>
      <c r="Q288" s="5" t="s">
        <v>430</v>
      </c>
      <c r="T288" s="6" t="str" cm="1">
        <f t="array" ref="T288">IF(R288&lt;&gt;"Churn","",
 _xlfn.LET(
   _xlpm.rng,Y288:BF288,
   _xlpm.pos,MAX(IF((_xlpm.rng&lt;&gt;0)*(_xlpm.rng&lt;&gt;""),COLUMN(_xlpm.rng)-COLUMN(Y288)+1)),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8" s="6" t="str" cm="1">
        <f t="array" ref="U288">IF(R288="Churn",
   MAX(IF((Y288:BF288&lt;&gt;"")*(Y288:BF288&lt;&gt;0), COLUMN(Y288:BF288)-COLUMN(Y288)+1))
   -MATCH(1, --((Y288:BF288&lt;&gt;"")*(Y288:BF288&lt;&gt;0)), 0)
   +1,
"")</f>
        <v/>
      </c>
      <c r="V288" s="6" t="str" cm="1">
        <f t="array" ref="V288">IFERROR(
    IF(
        MATCH(2,1/((Y288:BF288&lt;&gt;0)*(Y288:BF288&lt;&gt;"")))-MATCH(1,INDEX((Y288:BF288&lt;&gt;0)*(Y288:BF288&lt;&gt;""),0),0)+1 &lt;= 12,
        "No",
        "Yes"
    ),
    "No"
)</f>
        <v>Yes</v>
      </c>
      <c r="W288" s="6" t="str" cm="1">
        <f t="array" ref="W288">IFERROR(
    IF(
        MATCH(2,1/((Y288:BF288&lt;&gt;0)*(Y288:BF288&lt;&gt;"")))-MATCH(1,INDEX((Y288:BF288&lt;&gt;0)*(Y288:BF288&lt;&gt;""),0),0)+1 &lt;= 24,
        "No",
        "Yes"
    ),
    "No"
)</f>
        <v>Yes</v>
      </c>
      <c r="Y288" s="8">
        <v>0</v>
      </c>
      <c r="Z288" s="8">
        <v>0</v>
      </c>
      <c r="AA288" s="8">
        <v>0</v>
      </c>
      <c r="AB288" s="8">
        <v>0</v>
      </c>
      <c r="AC288" s="8">
        <v>140.000001</v>
      </c>
      <c r="AD288" s="8">
        <v>140.000001</v>
      </c>
      <c r="AE288" s="8">
        <v>140.000001</v>
      </c>
      <c r="AF288" s="8">
        <v>140.000001</v>
      </c>
      <c r="AG288" s="8">
        <v>151.000001</v>
      </c>
      <c r="AH288" s="8">
        <v>151.000001</v>
      </c>
      <c r="AI288" s="8">
        <v>151.000001</v>
      </c>
      <c r="AJ288" s="8">
        <v>151.000001</v>
      </c>
      <c r="AK288" s="8">
        <v>151.000001</v>
      </c>
      <c r="AL288" s="8">
        <v>151.000001</v>
      </c>
      <c r="AM288" s="8">
        <v>151.000001</v>
      </c>
      <c r="AN288" s="8">
        <v>151.000001</v>
      </c>
      <c r="AO288" s="8">
        <v>151.000001</v>
      </c>
      <c r="AP288" s="8">
        <v>151.000001</v>
      </c>
      <c r="AQ288" s="8">
        <v>151.000001</v>
      </c>
      <c r="AR288" s="8">
        <v>151.000001</v>
      </c>
      <c r="AS288" s="8">
        <v>151.000001</v>
      </c>
      <c r="AT288" s="8">
        <v>151.000001</v>
      </c>
      <c r="AU288" s="8">
        <v>151.000001</v>
      </c>
      <c r="AV288" s="8">
        <v>151.000001</v>
      </c>
      <c r="AW288" s="8">
        <v>184.20624499999997</v>
      </c>
      <c r="AX288" s="8">
        <v>184.20624499999997</v>
      </c>
      <c r="AY288" s="8">
        <v>184.20624499999997</v>
      </c>
      <c r="AZ288" s="8">
        <v>184.206245</v>
      </c>
      <c r="BA288" s="8">
        <v>184.20624499999997</v>
      </c>
      <c r="BB288" s="8">
        <v>184.20624499999997</v>
      </c>
      <c r="BC288" s="8">
        <v>184.20624499999997</v>
      </c>
      <c r="BD288" s="8">
        <v>184.20624499999997</v>
      </c>
      <c r="BE288" s="8">
        <v>184.20624499999997</v>
      </c>
      <c r="BF288" s="8">
        <v>184.20624499999997</v>
      </c>
      <c r="BH288" s="8">
        <f t="shared" si="57"/>
        <v>1164.000008</v>
      </c>
      <c r="BI288" s="8">
        <f t="shared" si="58"/>
        <v>1812.0000119999995</v>
      </c>
      <c r="BJ288" s="8">
        <f t="shared" si="59"/>
        <v>1842.0624499999994</v>
      </c>
    </row>
    <row r="289" spans="1:62" x14ac:dyDescent="0.25">
      <c r="A289" s="9" t="s">
        <v>165</v>
      </c>
      <c r="B289" s="9" t="s">
        <v>644</v>
      </c>
      <c r="C289" s="10">
        <v>44927</v>
      </c>
      <c r="D289" s="6" cm="1">
        <f t="array" ref="D289">_xlfn.LET(
  _xlpm.aralık, Y289:BF289,
  _xlpm.ilk, MATCH(TRUE, _xlpm.aralık&lt;&gt;0, 0),
  _xlpm.son, MIN(_xlpm.ilk+2, COLUMNS(_xlpm.aralık)),
  MAX(INDEX(_xlpm.aralık, _xlpm.ilk):INDEX(_xlpm.aralık, _xlpm.son))
)</f>
        <v>175</v>
      </c>
      <c r="E289" s="6">
        <f t="shared" si="52"/>
        <v>175</v>
      </c>
      <c r="F289" s="6">
        <f t="shared" si="53"/>
        <v>184</v>
      </c>
      <c r="G289" s="6">
        <f t="shared" si="60"/>
        <v>184</v>
      </c>
      <c r="H289" s="7">
        <f t="shared" si="54"/>
        <v>0</v>
      </c>
      <c r="I289" s="7">
        <f t="shared" si="55"/>
        <v>5.1428571428571428E-2</v>
      </c>
      <c r="J289" s="7">
        <f t="shared" si="56"/>
        <v>5.1428571428571428E-2</v>
      </c>
      <c r="K289" s="7">
        <f t="shared" si="61"/>
        <v>5.1428571428571428E-2</v>
      </c>
      <c r="L289" s="5" t="s">
        <v>420</v>
      </c>
      <c r="M289" s="7">
        <f>IF(R289="",(VLOOKUP(A289,[1]Export!$B$2:$H$680,7,0)),"CHURN")</f>
        <v>1</v>
      </c>
      <c r="N289" s="5">
        <f t="shared" si="62"/>
        <v>0</v>
      </c>
      <c r="O289" s="5">
        <f t="shared" si="63"/>
        <v>0</v>
      </c>
      <c r="P289" s="5">
        <f t="shared" si="64"/>
        <v>0</v>
      </c>
      <c r="Q289" s="5" t="s">
        <v>430</v>
      </c>
      <c r="T289" s="6" t="str" cm="1">
        <f t="array" ref="T289">IF(R289&lt;&gt;"Churn","",
 _xlfn.LET(
   _xlpm.rng,Y289:BF289,
   _xlpm.pos,MAX(IF((_xlpm.rng&lt;&gt;0)*(_xlpm.rng&lt;&gt;""),COLUMN(_xlpm.rng)-COLUMN(Y289)+1)),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89" s="6" t="str" cm="1">
        <f t="array" ref="U289">IF(R289="Churn",
   MAX(IF((Y289:BF289&lt;&gt;"")*(Y289:BF289&lt;&gt;0), COLUMN(Y289:BF289)-COLUMN(Y289)+1))
   -MATCH(1, --((Y289:BF289&lt;&gt;"")*(Y289:BF289&lt;&gt;0)), 0)
   +1,
"")</f>
        <v/>
      </c>
      <c r="V289" s="6" t="str" cm="1">
        <f t="array" ref="V289">IFERROR(
    IF(
        MATCH(2,1/((Y289:BF289&lt;&gt;0)*(Y289:BF289&lt;&gt;"")))-MATCH(1,INDEX((Y289:BF289&lt;&gt;0)*(Y289:BF289&lt;&gt;""),0),0)+1 &lt;= 12,
        "No",
        "Yes"
    ),
    "No"
)</f>
        <v>Yes</v>
      </c>
      <c r="W289" s="6" t="str" cm="1">
        <f t="array" ref="W289">IFERROR(
    IF(
        MATCH(2,1/((Y289:BF289&lt;&gt;0)*(Y289:BF289&lt;&gt;"")))-MATCH(1,INDEX((Y289:BF289&lt;&gt;0)*(Y289:BF289&lt;&gt;""),0),0)+1 &lt;= 24,
        "No",
        "Yes"
    ),
    "No"
)</f>
        <v>Yes</v>
      </c>
      <c r="Y289" s="8">
        <v>175</v>
      </c>
      <c r="Z289" s="8">
        <v>175</v>
      </c>
      <c r="AA289" s="8">
        <v>175</v>
      </c>
      <c r="AB289" s="8">
        <v>175</v>
      </c>
      <c r="AC289" s="8">
        <v>175</v>
      </c>
      <c r="AD289" s="8">
        <v>175</v>
      </c>
      <c r="AE289" s="8">
        <v>175</v>
      </c>
      <c r="AF289" s="8">
        <v>175</v>
      </c>
      <c r="AG289" s="8">
        <v>175</v>
      </c>
      <c r="AH289" s="8">
        <v>175</v>
      </c>
      <c r="AI289" s="8">
        <v>175</v>
      </c>
      <c r="AJ289" s="8">
        <v>175</v>
      </c>
      <c r="AK289" s="8">
        <v>175</v>
      </c>
      <c r="AL289" s="8">
        <v>175</v>
      </c>
      <c r="AM289" s="8">
        <v>175</v>
      </c>
      <c r="AN289" s="8">
        <v>175</v>
      </c>
      <c r="AO289" s="8">
        <v>175</v>
      </c>
      <c r="AP289" s="8">
        <v>175</v>
      </c>
      <c r="AQ289" s="8">
        <v>175</v>
      </c>
      <c r="AR289" s="8">
        <v>175</v>
      </c>
      <c r="AS289" s="8">
        <v>175</v>
      </c>
      <c r="AT289" s="8">
        <v>175</v>
      </c>
      <c r="AU289" s="8">
        <v>175</v>
      </c>
      <c r="AV289" s="8">
        <v>175</v>
      </c>
      <c r="AW289" s="8">
        <v>184</v>
      </c>
      <c r="AX289" s="8">
        <v>184</v>
      </c>
      <c r="AY289" s="8">
        <v>184</v>
      </c>
      <c r="AZ289" s="8">
        <v>184</v>
      </c>
      <c r="BA289" s="8">
        <v>184</v>
      </c>
      <c r="BB289" s="8">
        <v>184</v>
      </c>
      <c r="BC289" s="8">
        <v>184</v>
      </c>
      <c r="BD289" s="8">
        <v>184</v>
      </c>
      <c r="BE289" s="8">
        <v>184</v>
      </c>
      <c r="BF289" s="8">
        <v>184</v>
      </c>
      <c r="BH289" s="8">
        <f t="shared" si="57"/>
        <v>2100</v>
      </c>
      <c r="BI289" s="8">
        <f t="shared" si="58"/>
        <v>2100</v>
      </c>
      <c r="BJ289" s="8">
        <f t="shared" si="59"/>
        <v>1840</v>
      </c>
    </row>
    <row r="290" spans="1:62" x14ac:dyDescent="0.25">
      <c r="A290" s="9" t="s">
        <v>351</v>
      </c>
      <c r="B290" s="9" t="s">
        <v>644</v>
      </c>
      <c r="C290" s="10">
        <v>44927</v>
      </c>
      <c r="D290" s="6" cm="1">
        <f t="array" ref="D290">_xlfn.LET(
  _xlpm.aralık, Y290:BF290,
  _xlpm.ilk, MATCH(TRUE, _xlpm.aralık&lt;&gt;0, 0),
  _xlpm.son, MIN(_xlpm.ilk+2, COLUMNS(_xlpm.aralık)),
  MAX(INDEX(_xlpm.aralık, _xlpm.ilk):INDEX(_xlpm.aralık, _xlpm.son))
)</f>
        <v>135</v>
      </c>
      <c r="E290" s="6">
        <f t="shared" si="52"/>
        <v>160.99999999999997</v>
      </c>
      <c r="F290" s="6">
        <f t="shared" si="53"/>
        <v>180.99999999999997</v>
      </c>
      <c r="G290" s="6">
        <f t="shared" si="60"/>
        <v>180.99999999999997</v>
      </c>
      <c r="H290" s="7">
        <f t="shared" si="54"/>
        <v>0.19259259259259237</v>
      </c>
      <c r="I290" s="7">
        <f t="shared" si="55"/>
        <v>0.34074074074074051</v>
      </c>
      <c r="J290" s="7">
        <f t="shared" si="56"/>
        <v>0.12422360248447208</v>
      </c>
      <c r="K290" s="7">
        <f t="shared" si="61"/>
        <v>0.34074074074074051</v>
      </c>
      <c r="L290" s="5" t="s">
        <v>412</v>
      </c>
      <c r="M290" s="7">
        <f>IF(R290="",(VLOOKUP(A290,[1]Export!$B$2:$H$680,7,0)),"CHURN")</f>
        <v>0.17679558011049726</v>
      </c>
      <c r="N290" s="5">
        <f t="shared" si="62"/>
        <v>148.99999999999997</v>
      </c>
      <c r="O290" s="5">
        <f t="shared" si="63"/>
        <v>132.53591160220992</v>
      </c>
      <c r="P290" s="5">
        <f t="shared" si="64"/>
        <v>148.99999999999997</v>
      </c>
      <c r="Q290" s="5" t="s">
        <v>430</v>
      </c>
      <c r="T290" s="6" t="str" cm="1">
        <f t="array" ref="T290">IF(R290&lt;&gt;"Churn","",
 _xlfn.LET(
   _xlpm.rng,Y290:BF290,
   _xlpm.pos,MAX(IF((_xlpm.rng&lt;&gt;0)*(_xlpm.rng&lt;&gt;""),COLUMN(_xlpm.rng)-COLUMN(Y290)+1)),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0" s="6" t="str" cm="1">
        <f t="array" ref="U290">IF(R290="Churn",
   MAX(IF((Y290:BF290&lt;&gt;"")*(Y290:BF290&lt;&gt;0), COLUMN(Y290:BF290)-COLUMN(Y290)+1))
   -MATCH(1, --((Y290:BF290&lt;&gt;"")*(Y290:BF290&lt;&gt;0)), 0)
   +1,
"")</f>
        <v/>
      </c>
      <c r="V290" s="6" t="str" cm="1">
        <f t="array" ref="V290">IFERROR(
    IF(
        MATCH(2,1/((Y290:BF290&lt;&gt;0)*(Y290:BF290&lt;&gt;"")))-MATCH(1,INDEX((Y290:BF290&lt;&gt;0)*(Y290:BF290&lt;&gt;""),0),0)+1 &lt;= 12,
        "No",
        "Yes"
    ),
    "No"
)</f>
        <v>Yes</v>
      </c>
      <c r="W290" s="6" t="str" cm="1">
        <f t="array" ref="W290">IFERROR(
    IF(
        MATCH(2,1/((Y290:BF290&lt;&gt;0)*(Y290:BF290&lt;&gt;"")))-MATCH(1,INDEX((Y290:BF290&lt;&gt;0)*(Y290:BF290&lt;&gt;""),0),0)+1 &lt;= 24,
        "No",
        "Yes"
    ),
    "No"
)</f>
        <v>Yes</v>
      </c>
      <c r="X290" s="6"/>
      <c r="Y290" s="8">
        <v>135</v>
      </c>
      <c r="Z290" s="8">
        <v>135</v>
      </c>
      <c r="AA290" s="8">
        <v>135</v>
      </c>
      <c r="AB290" s="8">
        <v>144</v>
      </c>
      <c r="AC290" s="8">
        <v>143.99999999999997</v>
      </c>
      <c r="AD290" s="8">
        <v>143.99999999999997</v>
      </c>
      <c r="AE290" s="8">
        <v>143.99999999999997</v>
      </c>
      <c r="AF290" s="8">
        <v>143.99999999999997</v>
      </c>
      <c r="AG290" s="8">
        <v>160.99999999999997</v>
      </c>
      <c r="AH290" s="8">
        <v>160.99999999999997</v>
      </c>
      <c r="AI290" s="8">
        <v>160.99999999999997</v>
      </c>
      <c r="AJ290" s="8">
        <v>160.99999999999997</v>
      </c>
      <c r="AK290" s="8">
        <v>160.99999999999997</v>
      </c>
      <c r="AL290" s="8">
        <v>160.99999999999997</v>
      </c>
      <c r="AM290" s="8">
        <v>180.99999999999997</v>
      </c>
      <c r="AN290" s="8">
        <v>180.99999999999997</v>
      </c>
      <c r="AO290" s="8">
        <v>180.99999999999997</v>
      </c>
      <c r="AP290" s="8">
        <v>180.99999999999997</v>
      </c>
      <c r="AQ290" s="8">
        <v>180.99999999999997</v>
      </c>
      <c r="AR290" s="8">
        <v>180.99999999999997</v>
      </c>
      <c r="AS290" s="8">
        <v>180.99999999999997</v>
      </c>
      <c r="AT290" s="8">
        <v>180.99999999999997</v>
      </c>
      <c r="AU290" s="8">
        <v>180.99999999999997</v>
      </c>
      <c r="AV290" s="8">
        <v>180.99999999999997</v>
      </c>
      <c r="AW290" s="8">
        <v>180.99999999999997</v>
      </c>
      <c r="AX290" s="8">
        <v>180.99999999999997</v>
      </c>
      <c r="AY290" s="8">
        <v>180.99999999999997</v>
      </c>
      <c r="AZ290" s="8">
        <v>181.00000000000003</v>
      </c>
      <c r="BA290" s="8">
        <v>180.99999999999997</v>
      </c>
      <c r="BB290" s="8">
        <v>180.99999999999997</v>
      </c>
      <c r="BC290" s="8">
        <v>180.99999999999997</v>
      </c>
      <c r="BD290" s="8">
        <v>180.99999999999997</v>
      </c>
      <c r="BE290" s="8">
        <v>180.99999999999997</v>
      </c>
      <c r="BF290" s="8">
        <v>180.99999999999997</v>
      </c>
      <c r="BH290" s="8">
        <f t="shared" si="57"/>
        <v>1769</v>
      </c>
      <c r="BI290" s="8">
        <f t="shared" si="58"/>
        <v>2131.9999999999995</v>
      </c>
      <c r="BJ290" s="8">
        <f t="shared" si="59"/>
        <v>1809.9999999999998</v>
      </c>
    </row>
    <row r="291" spans="1:62" x14ac:dyDescent="0.25">
      <c r="A291" s="9" t="s">
        <v>496</v>
      </c>
      <c r="B291" s="9" t="s">
        <v>644</v>
      </c>
      <c r="C291" s="10">
        <f>VLOOKUP(A291,'[2]Revenue_Engine_2025 Oct.25'!$C$14:G$3937,5,0)</f>
        <v>45717</v>
      </c>
      <c r="D291" s="6" cm="1">
        <f t="array" ref="D291">_xlfn.LET(
  _xlpm.aralık, Y291:BF291,
  _xlpm.ilk, MATCH(TRUE, _xlpm.aralık&lt;&gt;0, 0),
  _xlpm.son, MIN(_xlpm.ilk+2, COLUMNS(_xlpm.aralık)),
  MAX(INDEX(_xlpm.aralık, _xlpm.ilk):INDEX(_xlpm.aralık, _xlpm.son))
)</f>
        <v>180.000428</v>
      </c>
      <c r="E291" s="6">
        <f t="shared" si="52"/>
        <v>0</v>
      </c>
      <c r="F291" s="6">
        <f t="shared" si="53"/>
        <v>0</v>
      </c>
      <c r="G291" s="6">
        <f t="shared" si="60"/>
        <v>180.000428</v>
      </c>
      <c r="H291" s="7">
        <f t="shared" si="54"/>
        <v>-1</v>
      </c>
      <c r="I291" s="7">
        <f t="shared" si="55"/>
        <v>-1</v>
      </c>
      <c r="J291" s="7" t="e">
        <f t="shared" si="56"/>
        <v>#DIV/0!</v>
      </c>
      <c r="K291" s="7">
        <f t="shared" si="61"/>
        <v>0</v>
      </c>
      <c r="L291" s="5" t="s">
        <v>418</v>
      </c>
      <c r="M291" s="7">
        <f>IF(R291="",(VLOOKUP(A291,[1]Export!$B$2:$H$680,7,0)),"CHURN")</f>
        <v>0.10251955623127743</v>
      </c>
      <c r="N291" s="5">
        <f t="shared" si="62"/>
        <v>161.546864</v>
      </c>
      <c r="O291" s="5">
        <f t="shared" si="63"/>
        <v>0</v>
      </c>
      <c r="P291" s="5">
        <f t="shared" si="64"/>
        <v>0</v>
      </c>
      <c r="Q291" s="5" t="s">
        <v>430</v>
      </c>
      <c r="T291" s="6" t="str" cm="1">
        <f t="array" ref="T291">IF(R291&lt;&gt;"Churn","",
 _xlfn.LET(
   _xlpm.rng,Y291:BF291,
   _xlpm.pos,MAX(IF((_xlpm.rng&lt;&gt;0)*(_xlpm.rng&lt;&gt;""),COLUMN(_xlpm.rng)-COLUMN(Y291)+1)),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1" s="6" t="str" cm="1">
        <f t="array" ref="U291">IF(R291="Churn",
   MAX(IF((Y291:BF291&lt;&gt;"")*(Y291:BF291&lt;&gt;0), COLUMN(Y291:BF291)-COLUMN(Y291)+1))
   -MATCH(1, --((Y291:BF291&lt;&gt;"")*(Y291:BF291&lt;&gt;0)), 0)
   +1,
"")</f>
        <v/>
      </c>
      <c r="V291" s="6" t="str" cm="1">
        <f t="array" ref="V291">IFERROR(
    IF(
        MATCH(2,1/((Y291:BF291&lt;&gt;0)*(Y291:BF291&lt;&gt;"")))-MATCH(1,INDEX((Y291:BF291&lt;&gt;0)*(Y291:BF291&lt;&gt;""),0),0)+1 &lt;= 12,
        "No",
        "Yes"
    ),
    "No"
)</f>
        <v>No</v>
      </c>
      <c r="W291" s="6" t="str" cm="1">
        <f t="array" ref="W291">IFERROR(
    IF(
        MATCH(2,1/((Y291:BF291&lt;&gt;0)*(Y291:BF291&lt;&gt;"")))-MATCH(1,INDEX((Y291:BF291&lt;&gt;0)*(Y291:BF291&lt;&gt;""),0),0)+1 &lt;= 24,
        "No",
        "Yes"
    ),
    "No"
)</f>
        <v>No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180.000428</v>
      </c>
      <c r="AZ291" s="8">
        <v>180.000428</v>
      </c>
      <c r="BA291" s="8">
        <v>180.000428</v>
      </c>
      <c r="BB291" s="8">
        <v>180.000428</v>
      </c>
      <c r="BC291" s="8">
        <v>180.000428</v>
      </c>
      <c r="BD291" s="8">
        <v>180.000428</v>
      </c>
      <c r="BE291" s="8">
        <v>180.000428</v>
      </c>
      <c r="BF291" s="8">
        <v>180.000428</v>
      </c>
      <c r="BH291" s="8">
        <f t="shared" si="57"/>
        <v>0</v>
      </c>
      <c r="BI291" s="8">
        <f t="shared" si="58"/>
        <v>0</v>
      </c>
      <c r="BJ291" s="8">
        <f t="shared" si="59"/>
        <v>1440.0034240000002</v>
      </c>
    </row>
    <row r="292" spans="1:62" x14ac:dyDescent="0.25">
      <c r="A292" s="9" t="s">
        <v>497</v>
      </c>
      <c r="B292" s="9" t="s">
        <v>644</v>
      </c>
      <c r="C292" s="10">
        <f>VLOOKUP(A292,'[2]Revenue_Engine_2025 Oct.25'!$C$14:G$3937,5,0)</f>
        <v>45649</v>
      </c>
      <c r="D292" s="6" cm="1">
        <f t="array" ref="D292">_xlfn.LET(
  _xlpm.aralık, Y292:BF292,
  _xlpm.ilk, MATCH(TRUE, _xlpm.aralık&lt;&gt;0, 0),
  _xlpm.son, MIN(_xlpm.ilk+2, COLUMNS(_xlpm.aralık)),
  MAX(INDEX(_xlpm.aralık, _xlpm.ilk):INDEX(_xlpm.aralık, _xlpm.son))
)</f>
        <v>180</v>
      </c>
      <c r="E292" s="6">
        <f t="shared" si="52"/>
        <v>0</v>
      </c>
      <c r="F292" s="6">
        <f t="shared" si="53"/>
        <v>0</v>
      </c>
      <c r="G292" s="6">
        <f t="shared" si="60"/>
        <v>180</v>
      </c>
      <c r="H292" s="7">
        <f t="shared" si="54"/>
        <v>-1</v>
      </c>
      <c r="I292" s="7">
        <f t="shared" si="55"/>
        <v>-1</v>
      </c>
      <c r="J292" s="7" t="e">
        <f t="shared" si="56"/>
        <v>#DIV/0!</v>
      </c>
      <c r="K292" s="7">
        <f t="shared" si="61"/>
        <v>0</v>
      </c>
      <c r="L292" s="5" t="s">
        <v>418</v>
      </c>
      <c r="M292" s="7">
        <f>IF(R292="",(VLOOKUP(A292,[1]Export!$B$2:$H$680,7,0)),"CHURN")</f>
        <v>0.15610070555555555</v>
      </c>
      <c r="N292" s="5">
        <f t="shared" si="62"/>
        <v>151.90187299999999</v>
      </c>
      <c r="O292" s="5">
        <f t="shared" si="63"/>
        <v>0</v>
      </c>
      <c r="P292" s="5">
        <f t="shared" si="64"/>
        <v>0</v>
      </c>
      <c r="Q292" s="5" t="s">
        <v>430</v>
      </c>
      <c r="T292" s="6" t="str" cm="1">
        <f t="array" ref="T292">IF(R292&lt;&gt;"Churn","",
 _xlfn.LET(
   _xlpm.rng,Y292:BF292,
   _xlpm.pos,MAX(IF((_xlpm.rng&lt;&gt;0)*(_xlpm.rng&lt;&gt;""),COLUMN(_xlpm.rng)-COLUMN(Y292)+1)),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2" s="6" t="str" cm="1">
        <f t="array" ref="U292">IF(R292="Churn",
   MAX(IF((Y292:BF292&lt;&gt;"")*(Y292:BF292&lt;&gt;0), COLUMN(Y292:BF292)-COLUMN(Y292)+1))
   -MATCH(1, --((Y292:BF292&lt;&gt;"")*(Y292:BF292&lt;&gt;0)), 0)
   +1,
"")</f>
        <v/>
      </c>
      <c r="V292" s="6" t="str" cm="1">
        <f t="array" ref="V292">IFERROR(
    IF(
        MATCH(2,1/((Y292:BF292&lt;&gt;0)*(Y292:BF292&lt;&gt;"")))-MATCH(1,INDEX((Y292:BF292&lt;&gt;0)*(Y292:BF292&lt;&gt;""),0),0)+1 &lt;= 12,
        "No",
        "Yes"
    ),
    "No"
)</f>
        <v>No</v>
      </c>
      <c r="W292" s="6" t="str" cm="1">
        <f t="array" ref="W292">IFERROR(
    IF(
        MATCH(2,1/((Y292:BF292&lt;&gt;0)*(Y292:BF292&lt;&gt;"")))-MATCH(1,INDEX((Y292:BF292&lt;&gt;0)*(Y292:BF292&lt;&gt;""),0),0)+1 &lt;= 24,
        "No",
        "Yes"
    ),
    "No"
)</f>
        <v>No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180</v>
      </c>
      <c r="AX292" s="8">
        <v>180</v>
      </c>
      <c r="AY292" s="8">
        <v>180</v>
      </c>
      <c r="AZ292" s="8">
        <v>179.99999999999994</v>
      </c>
      <c r="BA292" s="8">
        <v>180</v>
      </c>
      <c r="BB292" s="8">
        <v>180</v>
      </c>
      <c r="BC292" s="8">
        <v>180</v>
      </c>
      <c r="BD292" s="8">
        <v>180</v>
      </c>
      <c r="BE292" s="8">
        <v>180</v>
      </c>
      <c r="BF292" s="8">
        <v>180</v>
      </c>
      <c r="BH292" s="8">
        <f t="shared" si="57"/>
        <v>0</v>
      </c>
      <c r="BI292" s="8">
        <f t="shared" si="58"/>
        <v>0</v>
      </c>
      <c r="BJ292" s="8">
        <f t="shared" si="59"/>
        <v>1800</v>
      </c>
    </row>
    <row r="293" spans="1:62" x14ac:dyDescent="0.25">
      <c r="A293" s="9" t="s">
        <v>375</v>
      </c>
      <c r="B293" s="9" t="s">
        <v>644</v>
      </c>
      <c r="C293" s="10">
        <v>44927</v>
      </c>
      <c r="D293" s="6" cm="1">
        <f t="array" ref="D293">_xlfn.LET(
  _xlpm.aralık, Y293:BF293,
  _xlpm.ilk, MATCH(TRUE, _xlpm.aralık&lt;&gt;0, 0),
  _xlpm.son, MIN(_xlpm.ilk+2, COLUMNS(_xlpm.aralık)),
  MAX(INDEX(_xlpm.aralık, _xlpm.ilk):INDEX(_xlpm.aralık, _xlpm.son))
)</f>
        <v>155</v>
      </c>
      <c r="E293" s="6">
        <f t="shared" si="52"/>
        <v>164</v>
      </c>
      <c r="F293" s="6">
        <f t="shared" si="53"/>
        <v>164</v>
      </c>
      <c r="G293" s="6">
        <f t="shared" si="60"/>
        <v>179</v>
      </c>
      <c r="H293" s="7">
        <f t="shared" si="54"/>
        <v>5.8064516129032261E-2</v>
      </c>
      <c r="I293" s="7">
        <f t="shared" si="55"/>
        <v>5.8064516129032261E-2</v>
      </c>
      <c r="J293" s="7">
        <f t="shared" si="56"/>
        <v>0</v>
      </c>
      <c r="K293" s="7">
        <f t="shared" si="61"/>
        <v>0.15483870967741936</v>
      </c>
      <c r="L293" s="5" t="s">
        <v>418</v>
      </c>
      <c r="M293" s="7">
        <f>IF(R293="",(VLOOKUP(A293,[1]Export!$B$2:$H$680,7,0)),"CHURN")</f>
        <v>0.16201117318435754</v>
      </c>
      <c r="N293" s="5">
        <f t="shared" si="62"/>
        <v>150</v>
      </c>
      <c r="O293" s="5">
        <f t="shared" si="63"/>
        <v>137.43016759776538</v>
      </c>
      <c r="P293" s="5">
        <f t="shared" si="64"/>
        <v>137.43016759776538</v>
      </c>
      <c r="Q293" s="5" t="str">
        <f>VLOOKUP(A293,[4]Sheet2!$A$1:$B$142,2,0)</f>
        <v xml:space="preserve">HIGH RISK </v>
      </c>
      <c r="T293" s="6" t="str" cm="1">
        <f t="array" ref="T293">IF(R293&lt;&gt;"Churn","",
 _xlfn.LET(
   _xlpm.rng,Y293:BF293,
   _xlpm.pos,MAX(IF((_xlpm.rng&lt;&gt;0)*(_xlpm.rng&lt;&gt;""),COLUMN(_xlpm.rng)-COLUMN(Y293)+1)),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3" s="6" t="str" cm="1">
        <f t="array" ref="U293">IF(R293="Churn",
   MAX(IF((Y293:BF293&lt;&gt;"")*(Y293:BF293&lt;&gt;0), COLUMN(Y293:BF293)-COLUMN(Y293)+1))
   -MATCH(1, --((Y293:BF293&lt;&gt;"")*(Y293:BF293&lt;&gt;0)), 0)
   +1,
"")</f>
        <v/>
      </c>
      <c r="V293" s="6" t="str" cm="1">
        <f t="array" ref="V293">IFERROR(
    IF(
        MATCH(2,1/((Y293:BF293&lt;&gt;0)*(Y293:BF293&lt;&gt;"")))-MATCH(1,INDEX((Y293:BF293&lt;&gt;0)*(Y293:BF293&lt;&gt;""),0),0)+1 &lt;= 12,
        "No",
        "Yes"
    ),
    "No"
)</f>
        <v>Yes</v>
      </c>
      <c r="W293" s="6" t="str" cm="1">
        <f t="array" ref="W293">IFERROR(
    IF(
        MATCH(2,1/((Y293:BF293&lt;&gt;0)*(Y293:BF293&lt;&gt;"")))-MATCH(1,INDEX((Y293:BF293&lt;&gt;0)*(Y293:BF293&lt;&gt;""),0),0)+1 &lt;= 24,
        "No",
        "Yes"
    ),
    "No"
)</f>
        <v>Yes</v>
      </c>
      <c r="Y293" s="8">
        <v>155</v>
      </c>
      <c r="Z293" s="8">
        <v>155</v>
      </c>
      <c r="AA293" s="8">
        <v>155</v>
      </c>
      <c r="AB293" s="8">
        <v>164</v>
      </c>
      <c r="AC293" s="8">
        <v>164</v>
      </c>
      <c r="AD293" s="8">
        <v>164</v>
      </c>
      <c r="AE293" s="8">
        <v>164</v>
      </c>
      <c r="AF293" s="8">
        <v>164</v>
      </c>
      <c r="AG293" s="8">
        <v>164</v>
      </c>
      <c r="AH293" s="8">
        <v>164</v>
      </c>
      <c r="AI293" s="8">
        <v>164</v>
      </c>
      <c r="AJ293" s="8">
        <v>164</v>
      </c>
      <c r="AK293" s="8">
        <v>164</v>
      </c>
      <c r="AL293" s="8">
        <v>164</v>
      </c>
      <c r="AM293" s="8">
        <v>164</v>
      </c>
      <c r="AN293" s="8">
        <v>164</v>
      </c>
      <c r="AO293" s="8">
        <v>164</v>
      </c>
      <c r="AP293" s="8">
        <v>164</v>
      </c>
      <c r="AQ293" s="8">
        <v>164</v>
      </c>
      <c r="AR293" s="8">
        <v>164</v>
      </c>
      <c r="AS293" s="8">
        <v>164</v>
      </c>
      <c r="AT293" s="8">
        <v>164</v>
      </c>
      <c r="AU293" s="8">
        <v>164</v>
      </c>
      <c r="AV293" s="8">
        <v>164</v>
      </c>
      <c r="AW293" s="8">
        <v>164</v>
      </c>
      <c r="AX293" s="8">
        <v>164</v>
      </c>
      <c r="AY293" s="8">
        <v>164</v>
      </c>
      <c r="AZ293" s="8">
        <v>164</v>
      </c>
      <c r="BA293" s="8">
        <v>164</v>
      </c>
      <c r="BB293" s="8">
        <v>164</v>
      </c>
      <c r="BC293" s="8">
        <v>179</v>
      </c>
      <c r="BD293" s="8">
        <v>179</v>
      </c>
      <c r="BE293" s="8">
        <v>179</v>
      </c>
      <c r="BF293" s="8">
        <v>179</v>
      </c>
      <c r="BH293" s="8">
        <f t="shared" si="57"/>
        <v>1941</v>
      </c>
      <c r="BI293" s="8">
        <f t="shared" si="58"/>
        <v>1968</v>
      </c>
      <c r="BJ293" s="8">
        <f t="shared" si="59"/>
        <v>1700</v>
      </c>
    </row>
    <row r="294" spans="1:62" x14ac:dyDescent="0.25">
      <c r="A294" s="9" t="s">
        <v>498</v>
      </c>
      <c r="B294" s="9" t="s">
        <v>644</v>
      </c>
      <c r="C294" s="10">
        <f>VLOOKUP(A294,'[2]Revenue_Engine_2025 Oct.25'!$C$14:G$3937,5,0)</f>
        <v>45530</v>
      </c>
      <c r="D294" s="6" cm="1">
        <f t="array" ref="D294">_xlfn.LET(
  _xlpm.aralık, Y294:BF294,
  _xlpm.ilk, MATCH(TRUE, _xlpm.aralık&lt;&gt;0, 0),
  _xlpm.son, MIN(_xlpm.ilk+2, COLUMNS(_xlpm.aralık)),
  MAX(INDEX(_xlpm.aralık, _xlpm.ilk):INDEX(_xlpm.aralık, _xlpm.son))
)</f>
        <v>160.95690114630372</v>
      </c>
      <c r="E294" s="6">
        <f t="shared" si="52"/>
        <v>183.37365819042566</v>
      </c>
      <c r="F294" s="6">
        <f t="shared" si="53"/>
        <v>0</v>
      </c>
      <c r="G294" s="6">
        <f t="shared" si="60"/>
        <v>178.97590378250644</v>
      </c>
      <c r="H294" s="7">
        <f t="shared" si="54"/>
        <v>0.13927179813027063</v>
      </c>
      <c r="I294" s="7">
        <f t="shared" si="55"/>
        <v>-1</v>
      </c>
      <c r="J294" s="7">
        <f t="shared" si="56"/>
        <v>-1</v>
      </c>
      <c r="K294" s="7">
        <f t="shared" si="61"/>
        <v>0.11194923925519741</v>
      </c>
      <c r="L294" s="5" t="s">
        <v>416</v>
      </c>
      <c r="M294" s="7">
        <f>IF(R294="",(VLOOKUP(A294,[1]Export!$B$2:$H$680,7,0)),"CHURN")</f>
        <v>0.16287855925254413</v>
      </c>
      <c r="N294" s="5">
        <f t="shared" si="62"/>
        <v>149.82456643348982</v>
      </c>
      <c r="O294" s="5">
        <f t="shared" si="63"/>
        <v>153.50602093950064</v>
      </c>
      <c r="P294" s="5">
        <f t="shared" si="64"/>
        <v>0</v>
      </c>
      <c r="Q294" s="5" t="str">
        <f>VLOOKUP(A294,[4]Sheet2!$A$1:$B$142,2,0)</f>
        <v>NO RISK</v>
      </c>
      <c r="T294" s="6" t="str" cm="1">
        <f t="array" ref="T294">IF(R294&lt;&gt;"Churn","",
 _xlfn.LET(
   _xlpm.rng,Y294:BF294,
   _xlpm.pos,MAX(IF((_xlpm.rng&lt;&gt;0)*(_xlpm.rng&lt;&gt;""),COLUMN(_xlpm.rng)-COLUMN(Y294)+1)),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4" s="6" t="str" cm="1">
        <f t="array" ref="U294">IF(R294="Churn",
   MAX(IF((Y294:BF294&lt;&gt;"")*(Y294:BF294&lt;&gt;0), COLUMN(Y294:BF294)-COLUMN(Y294)+1))
   -MATCH(1, --((Y294:BF294&lt;&gt;"")*(Y294:BF294&lt;&gt;0)), 0)
   +1,
"")</f>
        <v/>
      </c>
      <c r="V294" s="6" t="str" cm="1">
        <f t="array" ref="V294">IFERROR(
    IF(
        MATCH(2,1/((Y294:BF294&lt;&gt;0)*(Y294:BF294&lt;&gt;"")))-MATCH(1,INDEX((Y294:BF294&lt;&gt;0)*(Y294:BF294&lt;&gt;""),0),0)+1 &lt;= 12,
        "No",
        "Yes"
    ),
    "No"
)</f>
        <v>Yes</v>
      </c>
      <c r="W294" s="6" t="str" cm="1">
        <f t="array" ref="W294">IFERROR(
    IF(
        MATCH(2,1/((Y294:BF294&lt;&gt;0)*(Y294:BF294&lt;&gt;"")))-MATCH(1,INDEX((Y294:BF294&lt;&gt;0)*(Y294:BF294&lt;&gt;""),0),0)+1 &lt;= 24,
        "No",
        "Yes"
    ),
    "No"
)</f>
        <v>No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148.9401435184358</v>
      </c>
      <c r="AS294" s="8">
        <v>147.23493294934539</v>
      </c>
      <c r="AT294" s="8">
        <v>160.95690114630372</v>
      </c>
      <c r="AU294" s="8">
        <v>160.06967331294146</v>
      </c>
      <c r="AV294" s="8">
        <v>157.58076664336389</v>
      </c>
      <c r="AW294" s="8">
        <v>155.20529339391035</v>
      </c>
      <c r="AX294" s="8">
        <v>152.46930471351072</v>
      </c>
      <c r="AY294" s="8">
        <v>148.66539216507778</v>
      </c>
      <c r="AZ294" s="8">
        <v>162.68872629981078</v>
      </c>
      <c r="BA294" s="8">
        <v>159.96135434072954</v>
      </c>
      <c r="BB294" s="8">
        <v>157.24551217862489</v>
      </c>
      <c r="BC294" s="8">
        <v>154.220866219101</v>
      </c>
      <c r="BD294" s="8">
        <v>183.37365819042566</v>
      </c>
      <c r="BE294" s="8">
        <v>181.15402584864373</v>
      </c>
      <c r="BF294" s="8">
        <v>178.97590378250644</v>
      </c>
      <c r="BH294" s="8">
        <f t="shared" si="57"/>
        <v>0</v>
      </c>
      <c r="BI294" s="8">
        <f t="shared" si="58"/>
        <v>774.78241757039018</v>
      </c>
      <c r="BJ294" s="8">
        <f t="shared" si="59"/>
        <v>1633.9600371323409</v>
      </c>
    </row>
    <row r="295" spans="1:62" x14ac:dyDescent="0.25">
      <c r="A295" s="9" t="s">
        <v>283</v>
      </c>
      <c r="B295" s="9" t="s">
        <v>644</v>
      </c>
      <c r="C295" s="10">
        <f>VLOOKUP(A295,'[2]Revenue_Engine_2025 Oct.25'!$C$14:G$3937,5,0)</f>
        <v>45359</v>
      </c>
      <c r="D295" s="6" cm="1">
        <f t="array" ref="D295">_xlfn.LET(
  _xlpm.aralık, Y295:BF295,
  _xlpm.ilk, MATCH(TRUE, _xlpm.aralık&lt;&gt;0, 0),
  _xlpm.son, MIN(_xlpm.ilk+2, COLUMNS(_xlpm.aralık)),
  MAX(INDEX(_xlpm.aralık, _xlpm.ilk):INDEX(_xlpm.aralık, _xlpm.son))
)</f>
        <v>150.013824</v>
      </c>
      <c r="E295" s="6">
        <f t="shared" si="52"/>
        <v>177.00539100000003</v>
      </c>
      <c r="F295" s="6">
        <f t="shared" si="53"/>
        <v>0</v>
      </c>
      <c r="G295" s="6">
        <f t="shared" si="60"/>
        <v>177.00539100000003</v>
      </c>
      <c r="H295" s="7">
        <f t="shared" si="54"/>
        <v>0.17992719790944087</v>
      </c>
      <c r="I295" s="7">
        <f t="shared" si="55"/>
        <v>-1</v>
      </c>
      <c r="J295" s="7">
        <f t="shared" si="56"/>
        <v>-1</v>
      </c>
      <c r="K295" s="7">
        <f t="shared" si="61"/>
        <v>0.17992719790944087</v>
      </c>
      <c r="L295" s="5" t="s">
        <v>418</v>
      </c>
      <c r="M295" s="7">
        <f>IF(R295="",(VLOOKUP(A295,[1]Export!$B$2:$H$680,7,0)),"CHURN")</f>
        <v>9.9996954330052026E-2</v>
      </c>
      <c r="N295" s="5">
        <f t="shared" si="62"/>
        <v>159.30539100000001</v>
      </c>
      <c r="O295" s="5">
        <f t="shared" si="63"/>
        <v>159.30539100000001</v>
      </c>
      <c r="P295" s="5">
        <f t="shared" si="64"/>
        <v>0</v>
      </c>
      <c r="Q295" s="5" t="s">
        <v>430</v>
      </c>
      <c r="T295" s="6" t="str" cm="1">
        <f t="array" ref="T295">IF(R295&lt;&gt;"Churn","",
 _xlfn.LET(
   _xlpm.rng,Y295:BF295,
   _xlpm.pos,MAX(IF((_xlpm.rng&lt;&gt;0)*(_xlpm.rng&lt;&gt;""),COLUMN(_xlpm.rng)-COLUMN(Y295)+1)),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5" s="6" t="str" cm="1">
        <f t="array" ref="U295">IF(R295="Churn",
   MAX(IF((Y295:BF295&lt;&gt;"")*(Y295:BF295&lt;&gt;0), COLUMN(Y295:BF295)-COLUMN(Y295)+1))
   -MATCH(1, --((Y295:BF295&lt;&gt;"")*(Y295:BF295&lt;&gt;0)), 0)
   +1,
"")</f>
        <v/>
      </c>
      <c r="V295" s="6" t="str" cm="1">
        <f t="array" ref="V295">IFERROR(
    IF(
        MATCH(2,1/((Y295:BF295&lt;&gt;0)*(Y295:BF295&lt;&gt;"")))-MATCH(1,INDEX((Y295:BF295&lt;&gt;0)*(Y295:BF295&lt;&gt;""),0),0)+1 &lt;= 12,
        "No",
        "Yes"
    ),
    "No"
)</f>
        <v>Yes</v>
      </c>
      <c r="W295" s="6" t="str" cm="1">
        <f t="array" ref="W295">IFERROR(
    IF(
        MATCH(2,1/((Y295:BF295&lt;&gt;0)*(Y295:BF295&lt;&gt;"")))-MATCH(1,INDEX((Y295:BF295&lt;&gt;0)*(Y295:BF295&lt;&gt;""),0),0)+1 &lt;= 24,
        "No",
        "Yes"
    ),
    "No"
)</f>
        <v>No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150.013824</v>
      </c>
      <c r="AN295" s="8">
        <v>150.013824</v>
      </c>
      <c r="AO295" s="8">
        <v>150.013824</v>
      </c>
      <c r="AP295" s="8">
        <v>150.013824</v>
      </c>
      <c r="AQ295" s="8">
        <v>150.013824</v>
      </c>
      <c r="AR295" s="8">
        <v>150.013824</v>
      </c>
      <c r="AS295" s="8">
        <v>150.013824</v>
      </c>
      <c r="AT295" s="8">
        <v>150.013824</v>
      </c>
      <c r="AU295" s="8">
        <v>150.013824</v>
      </c>
      <c r="AV295" s="8">
        <v>150.013824</v>
      </c>
      <c r="AW295" s="8">
        <v>177.00539100000003</v>
      </c>
      <c r="AX295" s="8">
        <v>177.00539100000003</v>
      </c>
      <c r="AY295" s="8">
        <v>177.00539100000003</v>
      </c>
      <c r="AZ295" s="8">
        <v>177.00539100000006</v>
      </c>
      <c r="BA295" s="8">
        <v>177.00539100000003</v>
      </c>
      <c r="BB295" s="8">
        <v>177.00539100000003</v>
      </c>
      <c r="BC295" s="8">
        <v>177.00539100000003</v>
      </c>
      <c r="BD295" s="8">
        <v>177.00539100000003</v>
      </c>
      <c r="BE295" s="8">
        <v>177.00539100000003</v>
      </c>
      <c r="BF295" s="8">
        <v>177.00539100000003</v>
      </c>
      <c r="BH295" s="8">
        <f t="shared" si="57"/>
        <v>0</v>
      </c>
      <c r="BI295" s="8">
        <f t="shared" si="58"/>
        <v>1500.1382400000002</v>
      </c>
      <c r="BJ295" s="8">
        <f t="shared" si="59"/>
        <v>1770.0539100000005</v>
      </c>
    </row>
    <row r="296" spans="1:62" x14ac:dyDescent="0.25">
      <c r="A296" s="9" t="s">
        <v>299</v>
      </c>
      <c r="B296" s="9" t="s">
        <v>644</v>
      </c>
      <c r="C296" s="10">
        <f>VLOOKUP(A296,'[2]Revenue_Engine_2025 Oct.25'!$C$14:G$3937,5,0)</f>
        <v>45439</v>
      </c>
      <c r="D296" s="6" cm="1">
        <f t="array" ref="D296">_xlfn.LET(
  _xlpm.aralık, Y296:BF296,
  _xlpm.ilk, MATCH(TRUE, _xlpm.aralık&lt;&gt;0, 0),
  _xlpm.son, MIN(_xlpm.ilk+2, COLUMNS(_xlpm.aralık)),
  MAX(INDEX(_xlpm.aralık, _xlpm.ilk):INDEX(_xlpm.aralık, _xlpm.son))
)</f>
        <v>175.2</v>
      </c>
      <c r="E296" s="6">
        <f t="shared" si="52"/>
        <v>175.2</v>
      </c>
      <c r="F296" s="6">
        <f t="shared" si="53"/>
        <v>0</v>
      </c>
      <c r="G296" s="6">
        <f t="shared" si="60"/>
        <v>175.2</v>
      </c>
      <c r="H296" s="7">
        <f t="shared" si="54"/>
        <v>0</v>
      </c>
      <c r="I296" s="7">
        <f t="shared" si="55"/>
        <v>-1</v>
      </c>
      <c r="J296" s="7">
        <f t="shared" si="56"/>
        <v>-1</v>
      </c>
      <c r="K296" s="7">
        <f t="shared" si="61"/>
        <v>0</v>
      </c>
      <c r="L296" s="5" t="s">
        <v>694</v>
      </c>
      <c r="M296" s="7">
        <f>IF(R296="",(VLOOKUP(A296,[1]Export!$B$2:$H$680,7,0)),"CHURN")</f>
        <v>0.31749732068112629</v>
      </c>
      <c r="N296" s="5">
        <f t="shared" si="62"/>
        <v>119.57446941666667</v>
      </c>
      <c r="O296" s="5">
        <f t="shared" si="63"/>
        <v>119.57446941666667</v>
      </c>
      <c r="P296" s="5">
        <f t="shared" si="64"/>
        <v>0</v>
      </c>
      <c r="Q296" s="5" t="s">
        <v>430</v>
      </c>
      <c r="T296" s="6" t="str" cm="1">
        <f t="array" ref="T296">IF(R296&lt;&gt;"Churn","",
 _xlfn.LET(
   _xlpm.rng,Y296:BF296,
   _xlpm.pos,MAX(IF((_xlpm.rng&lt;&gt;0)*(_xlpm.rng&lt;&gt;""),COLUMN(_xlpm.rng)-COLUMN(Y296)+1)),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6" s="6" t="str" cm="1">
        <f t="array" ref="U296">IF(R296="Churn",
   MAX(IF((Y296:BF296&lt;&gt;"")*(Y296:BF296&lt;&gt;0), COLUMN(Y296:BF296)-COLUMN(Y296)+1))
   -MATCH(1, --((Y296:BF296&lt;&gt;"")*(Y296:BF296&lt;&gt;0)), 0)
   +1,
"")</f>
        <v/>
      </c>
      <c r="V296" s="6" t="str" cm="1">
        <f t="array" ref="V296">IFERROR(
    IF(
        MATCH(2,1/((Y296:BF296&lt;&gt;0)*(Y296:BF296&lt;&gt;"")))-MATCH(1,INDEX((Y296:BF296&lt;&gt;0)*(Y296:BF296&lt;&gt;""),0),0)+1 &lt;= 12,
        "No",
        "Yes"
    ),
    "No"
)</f>
        <v>Yes</v>
      </c>
      <c r="W296" s="6" t="str" cm="1">
        <f t="array" ref="W296">IFERROR(
    IF(
        MATCH(2,1/((Y296:BF296&lt;&gt;0)*(Y296:BF296&lt;&gt;"")))-MATCH(1,INDEX((Y296:BF296&lt;&gt;0)*(Y296:BF296&lt;&gt;""),0),0)+1 &lt;= 24,
        "No",
        "Yes"
    ),
    "No"
)</f>
        <v>No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175.2</v>
      </c>
      <c r="AP296" s="8">
        <v>175.2</v>
      </c>
      <c r="AQ296" s="8">
        <v>175.2</v>
      </c>
      <c r="AR296" s="8">
        <v>175.2</v>
      </c>
      <c r="AS296" s="8">
        <v>175.2</v>
      </c>
      <c r="AT296" s="8">
        <v>175.2</v>
      </c>
      <c r="AU296" s="8">
        <v>175.2</v>
      </c>
      <c r="AV296" s="8">
        <v>175.2</v>
      </c>
      <c r="AW296" s="8">
        <v>175.2</v>
      </c>
      <c r="AX296" s="8">
        <v>175.2</v>
      </c>
      <c r="AY296" s="8">
        <v>175.2</v>
      </c>
      <c r="AZ296" s="8">
        <v>175.2</v>
      </c>
      <c r="BA296" s="8">
        <v>175.2</v>
      </c>
      <c r="BB296" s="8">
        <v>175.2</v>
      </c>
      <c r="BC296" s="8">
        <v>175.2</v>
      </c>
      <c r="BD296" s="8">
        <v>175.2</v>
      </c>
      <c r="BE296" s="8">
        <v>175.2</v>
      </c>
      <c r="BF296" s="8">
        <v>175.2</v>
      </c>
      <c r="BH296" s="8">
        <f t="shared" si="57"/>
        <v>0</v>
      </c>
      <c r="BI296" s="8">
        <f t="shared" si="58"/>
        <v>1401.6000000000001</v>
      </c>
      <c r="BJ296" s="8">
        <f t="shared" si="59"/>
        <v>1752.0000000000002</v>
      </c>
    </row>
    <row r="297" spans="1:62" x14ac:dyDescent="0.25">
      <c r="A297" s="9" t="s">
        <v>499</v>
      </c>
      <c r="B297" s="9" t="s">
        <v>644</v>
      </c>
      <c r="C297" s="10">
        <f>VLOOKUP(A297,'[2]Revenue_Engine_2025 Oct.25'!$C$14:G$3937,5,0)</f>
        <v>45809</v>
      </c>
      <c r="D297" s="6" cm="1">
        <f t="array" ref="D297">_xlfn.LET(
  _xlpm.aralık, Y297:BF297,
  _xlpm.ilk, MATCH(TRUE, _xlpm.aralık&lt;&gt;0, 0),
  _xlpm.son, MIN(_xlpm.ilk+2, COLUMNS(_xlpm.aralık)),
  MAX(INDEX(_xlpm.aralık, _xlpm.ilk):INDEX(_xlpm.aralık, _xlpm.son))
)</f>
        <v>220.50000100105535</v>
      </c>
      <c r="E297" s="6">
        <f t="shared" si="52"/>
        <v>0</v>
      </c>
      <c r="F297" s="6">
        <f t="shared" si="53"/>
        <v>0</v>
      </c>
      <c r="G297" s="6">
        <f t="shared" si="60"/>
        <v>175.00150333333332</v>
      </c>
      <c r="H297" s="7">
        <f t="shared" si="54"/>
        <v>-1</v>
      </c>
      <c r="I297" s="7">
        <f t="shared" si="55"/>
        <v>-1</v>
      </c>
      <c r="J297" s="7" t="e">
        <f t="shared" si="56"/>
        <v>#DIV/0!</v>
      </c>
      <c r="K297" s="7">
        <f t="shared" si="61"/>
        <v>-0.20634239211411282</v>
      </c>
      <c r="L297" s="5" t="s">
        <v>694</v>
      </c>
      <c r="M297" s="7">
        <f>IF(R297="",(VLOOKUP(A297,[1]Export!$B$2:$H$680,7,0)),"CHURN")</f>
        <v>0.29935202270929068</v>
      </c>
      <c r="N297" s="5">
        <f t="shared" si="62"/>
        <v>122.61444933333331</v>
      </c>
      <c r="O297" s="5">
        <f t="shared" si="63"/>
        <v>0</v>
      </c>
      <c r="P297" s="5">
        <f t="shared" si="64"/>
        <v>0</v>
      </c>
      <c r="Q297" s="5" t="s">
        <v>430</v>
      </c>
      <c r="T297" s="6" t="str" cm="1">
        <f t="array" ref="T297">IF(R297&lt;&gt;"Churn","",
 _xlfn.LET(
   _xlpm.rng,Y297:BF297,
   _xlpm.pos,MAX(IF((_xlpm.rng&lt;&gt;0)*(_xlpm.rng&lt;&gt;""),COLUMN(_xlpm.rng)-COLUMN(Y297)+1)),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7" s="6" t="str" cm="1">
        <f t="array" ref="U297">IF(R297="Churn",
   MAX(IF((Y297:BF297&lt;&gt;"")*(Y297:BF297&lt;&gt;0), COLUMN(Y297:BF297)-COLUMN(Y297)+1))
   -MATCH(1, --((Y297:BF297&lt;&gt;"")*(Y297:BF297&lt;&gt;0)), 0)
   +1,
"")</f>
        <v/>
      </c>
      <c r="V297" s="14" t="s">
        <v>705</v>
      </c>
      <c r="W297" s="6" t="str" cm="1">
        <f t="array" ref="W297">IFERROR(
    IF(
        MATCH(2,1/((Y297:BF297&lt;&gt;0)*(Y297:BF297&lt;&gt;"")))-MATCH(1,INDEX((Y297:BF297&lt;&gt;0)*(Y297:BF297&lt;&gt;""),0),0)+1 &lt;= 24,
        "No",
        "Yes"
    ),
    "No"
)</f>
        <v>No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-217.33813804143574</v>
      </c>
      <c r="AL297" s="8">
        <v>-1.280568540096283E-9</v>
      </c>
      <c r="AM297" s="8">
        <v>220.50000100105535</v>
      </c>
      <c r="AN297" s="8">
        <v>50.499999999301508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175.00150333333332</v>
      </c>
      <c r="BC297" s="8">
        <v>175.00150333333332</v>
      </c>
      <c r="BD297" s="8">
        <v>175.00150333333332</v>
      </c>
      <c r="BE297" s="8">
        <v>175.00150333333332</v>
      </c>
      <c r="BF297" s="8">
        <v>175.00150333333332</v>
      </c>
      <c r="BH297" s="8">
        <f t="shared" si="57"/>
        <v>0</v>
      </c>
      <c r="BI297" s="8">
        <f t="shared" si="58"/>
        <v>53.661862957640551</v>
      </c>
      <c r="BJ297" s="8">
        <f t="shared" si="59"/>
        <v>875.00751666666656</v>
      </c>
    </row>
    <row r="298" spans="1:62" x14ac:dyDescent="0.25">
      <c r="A298" s="9" t="s">
        <v>9</v>
      </c>
      <c r="B298" s="9" t="s">
        <v>644</v>
      </c>
      <c r="C298" s="10">
        <v>44927</v>
      </c>
      <c r="D298" s="6" cm="1">
        <f t="array" ref="D298">_xlfn.LET(
  _xlpm.aralık, Y298:BF298,
  _xlpm.ilk, MATCH(TRUE, _xlpm.aralık&lt;&gt;0, 0),
  _xlpm.son, MIN(_xlpm.ilk+2, COLUMNS(_xlpm.aralık)),
  MAX(INDEX(_xlpm.aralık, _xlpm.ilk):INDEX(_xlpm.aralık, _xlpm.son))
)</f>
        <v>150</v>
      </c>
      <c r="E298" s="6">
        <f t="shared" si="52"/>
        <v>150</v>
      </c>
      <c r="F298" s="6">
        <f t="shared" si="53"/>
        <v>174.5</v>
      </c>
      <c r="G298" s="6">
        <f t="shared" si="60"/>
        <v>174.5</v>
      </c>
      <c r="H298" s="7">
        <f t="shared" si="54"/>
        <v>0</v>
      </c>
      <c r="I298" s="7">
        <f t="shared" si="55"/>
        <v>0.16333333333333333</v>
      </c>
      <c r="J298" s="7">
        <f t="shared" si="56"/>
        <v>0.16333333333333333</v>
      </c>
      <c r="K298" s="7">
        <f t="shared" si="61"/>
        <v>0.16333333333333333</v>
      </c>
      <c r="L298" s="5" t="s">
        <v>418</v>
      </c>
      <c r="M298" s="7">
        <f>IF(R298="",(VLOOKUP(A298,[1]Export!$B$2:$H$680,7,0)),"CHURN")</f>
        <v>1.9286403085824492E-3</v>
      </c>
      <c r="N298" s="5">
        <f t="shared" si="62"/>
        <v>174.16345226615238</v>
      </c>
      <c r="O298" s="5">
        <f t="shared" si="63"/>
        <v>149.71070395371262</v>
      </c>
      <c r="P298" s="5">
        <f t="shared" si="64"/>
        <v>174.16345226615238</v>
      </c>
      <c r="Q298" s="5" t="s">
        <v>430</v>
      </c>
      <c r="T298" s="6" t="str" cm="1">
        <f t="array" ref="T298">IF(R298&lt;&gt;"Churn","",
 _xlfn.LET(
   _xlpm.rng,Y298:BF298,
   _xlpm.pos,MAX(IF((_xlpm.rng&lt;&gt;0)*(_xlpm.rng&lt;&gt;""),COLUMN(_xlpm.rng)-COLUMN(Y298)+1)),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8" s="6" t="str" cm="1">
        <f t="array" ref="U298">IF(R298="Churn",
   MAX(IF((Y298:BF298&lt;&gt;"")*(Y298:BF298&lt;&gt;0), COLUMN(Y298:BF298)-COLUMN(Y298)+1))
   -MATCH(1, --((Y298:BF298&lt;&gt;"")*(Y298:BF298&lt;&gt;0)), 0)
   +1,
"")</f>
        <v/>
      </c>
      <c r="V298" s="6" t="str" cm="1">
        <f t="array" ref="V298">IFERROR(
    IF(
        MATCH(2,1/((Y298:BF298&lt;&gt;0)*(Y298:BF298&lt;&gt;"")))-MATCH(1,INDEX((Y298:BF298&lt;&gt;0)*(Y298:BF298&lt;&gt;""),0),0)+1 &lt;= 12,
        "No",
        "Yes"
    ),
    "No"
)</f>
        <v>Yes</v>
      </c>
      <c r="W298" s="6" t="str" cm="1">
        <f t="array" ref="W298">IFERROR(
    IF(
        MATCH(2,1/((Y298:BF298&lt;&gt;0)*(Y298:BF298&lt;&gt;"")))-MATCH(1,INDEX((Y298:BF298&lt;&gt;0)*(Y298:BF298&lt;&gt;""),0),0)+1 &lt;= 24,
        "No",
        "Yes"
    ),
    "No"
)</f>
        <v>Yes</v>
      </c>
      <c r="Y298" s="8">
        <v>150</v>
      </c>
      <c r="Z298" s="8">
        <v>150</v>
      </c>
      <c r="AA298" s="8">
        <v>150</v>
      </c>
      <c r="AB298" s="8">
        <v>150</v>
      </c>
      <c r="AC298" s="8">
        <v>150</v>
      </c>
      <c r="AD298" s="8">
        <v>150</v>
      </c>
      <c r="AE298" s="8">
        <v>150</v>
      </c>
      <c r="AF298" s="8">
        <v>150</v>
      </c>
      <c r="AG298" s="8">
        <v>150</v>
      </c>
      <c r="AH298" s="8">
        <v>150</v>
      </c>
      <c r="AI298" s="8">
        <v>150</v>
      </c>
      <c r="AJ298" s="8">
        <v>150</v>
      </c>
      <c r="AK298" s="8">
        <v>150</v>
      </c>
      <c r="AL298" s="8">
        <v>150</v>
      </c>
      <c r="AM298" s="8">
        <v>150</v>
      </c>
      <c r="AN298" s="8">
        <v>150</v>
      </c>
      <c r="AO298" s="8">
        <v>150</v>
      </c>
      <c r="AP298" s="8">
        <v>150</v>
      </c>
      <c r="AQ298" s="8">
        <v>150</v>
      </c>
      <c r="AR298" s="8">
        <v>150</v>
      </c>
      <c r="AS298" s="8">
        <v>150</v>
      </c>
      <c r="AT298" s="8">
        <v>152</v>
      </c>
      <c r="AU298" s="8">
        <v>152</v>
      </c>
      <c r="AV298" s="8">
        <v>152</v>
      </c>
      <c r="AW298" s="8">
        <v>174.5</v>
      </c>
      <c r="AX298" s="8">
        <v>174.5</v>
      </c>
      <c r="AY298" s="8">
        <v>174.5</v>
      </c>
      <c r="AZ298" s="8">
        <v>174.5</v>
      </c>
      <c r="BA298" s="8">
        <v>174.5</v>
      </c>
      <c r="BB298" s="8">
        <v>174.5</v>
      </c>
      <c r="BC298" s="8">
        <v>174.5</v>
      </c>
      <c r="BD298" s="8">
        <v>174.5</v>
      </c>
      <c r="BE298" s="8">
        <v>174.5</v>
      </c>
      <c r="BF298" s="8">
        <v>174.5</v>
      </c>
      <c r="BH298" s="8">
        <f t="shared" si="57"/>
        <v>1800</v>
      </c>
      <c r="BI298" s="8">
        <f t="shared" si="58"/>
        <v>1806</v>
      </c>
      <c r="BJ298" s="8">
        <f t="shared" si="59"/>
        <v>1745</v>
      </c>
    </row>
    <row r="299" spans="1:62" x14ac:dyDescent="0.25">
      <c r="A299" s="9" t="s">
        <v>147</v>
      </c>
      <c r="B299" s="9" t="s">
        <v>644</v>
      </c>
      <c r="C299" s="10">
        <v>44927</v>
      </c>
      <c r="D299" s="6" cm="1">
        <f t="array" ref="D299">_xlfn.LET(
  _xlpm.aralık, Y299:BF299,
  _xlpm.ilk, MATCH(TRUE, _xlpm.aralık&lt;&gt;0, 0),
  _xlpm.son, MIN(_xlpm.ilk+2, COLUMNS(_xlpm.aralık)),
  MAX(INDEX(_xlpm.aralık, _xlpm.ilk):INDEX(_xlpm.aralık, _xlpm.son))
)</f>
        <v>229.5</v>
      </c>
      <c r="E299" s="6">
        <f t="shared" si="52"/>
        <v>221.5</v>
      </c>
      <c r="F299" s="6">
        <f t="shared" si="53"/>
        <v>229.5</v>
      </c>
      <c r="G299" s="6">
        <f t="shared" si="60"/>
        <v>174</v>
      </c>
      <c r="H299" s="7">
        <f t="shared" si="54"/>
        <v>-3.4858387799564274E-2</v>
      </c>
      <c r="I299" s="7">
        <f t="shared" si="55"/>
        <v>0</v>
      </c>
      <c r="J299" s="7">
        <f t="shared" si="56"/>
        <v>3.6117381489841983E-2</v>
      </c>
      <c r="K299" s="7">
        <f t="shared" si="61"/>
        <v>-0.24183006535947713</v>
      </c>
      <c r="L299" s="5" t="s">
        <v>418</v>
      </c>
      <c r="M299" s="7">
        <f>IF(R299="",(VLOOKUP(A299,[1]Export!$B$2:$H$680,7,0)),"CHURN")</f>
        <v>1</v>
      </c>
      <c r="N299" s="5">
        <f t="shared" si="62"/>
        <v>0</v>
      </c>
      <c r="O299" s="5">
        <f t="shared" si="63"/>
        <v>0</v>
      </c>
      <c r="P299" s="5">
        <f t="shared" si="64"/>
        <v>0</v>
      </c>
      <c r="Q299" s="5" t="s">
        <v>430</v>
      </c>
      <c r="T299" s="6" t="str" cm="1">
        <f t="array" ref="T299">IF(R299&lt;&gt;"Churn","",
 _xlfn.LET(
   _xlpm.rng,Y299:BF299,
   _xlpm.pos,MAX(IF((_xlpm.rng&lt;&gt;0)*(_xlpm.rng&lt;&gt;""),COLUMN(_xlpm.rng)-COLUMN(Y299)+1)),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299" s="6" t="str" cm="1">
        <f t="array" ref="U299">IF(R299="Churn",
   MAX(IF((Y299:BF299&lt;&gt;"")*(Y299:BF299&lt;&gt;0), COLUMN(Y299:BF299)-COLUMN(Y299)+1))
   -MATCH(1, --((Y299:BF299&lt;&gt;"")*(Y299:BF299&lt;&gt;0)), 0)
   +1,
"")</f>
        <v/>
      </c>
      <c r="V299" s="6" t="str" cm="1">
        <f t="array" ref="V299">IFERROR(
    IF(
        MATCH(2,1/((Y299:BF299&lt;&gt;0)*(Y299:BF299&lt;&gt;"")))-MATCH(1,INDEX((Y299:BF299&lt;&gt;0)*(Y299:BF299&lt;&gt;""),0),0)+1 &lt;= 12,
        "No",
        "Yes"
    ),
    "No"
)</f>
        <v>Yes</v>
      </c>
      <c r="W299" s="6" t="str" cm="1">
        <f t="array" ref="W299">IFERROR(
    IF(
        MATCH(2,1/((Y299:BF299&lt;&gt;0)*(Y299:BF299&lt;&gt;"")))-MATCH(1,INDEX((Y299:BF299&lt;&gt;0)*(Y299:BF299&lt;&gt;""),0),0)+1 &lt;= 24,
        "No",
        "Yes"
    ),
    "No"
)</f>
        <v>Yes</v>
      </c>
      <c r="X299" s="6"/>
      <c r="Y299" s="8">
        <v>229.5</v>
      </c>
      <c r="Z299" s="8">
        <v>229.5</v>
      </c>
      <c r="AA299" s="8">
        <v>229.5</v>
      </c>
      <c r="AB299" s="8">
        <v>221.5</v>
      </c>
      <c r="AC299" s="8">
        <v>221.5</v>
      </c>
      <c r="AD299" s="8">
        <v>221.5</v>
      </c>
      <c r="AE299" s="8">
        <v>221.5</v>
      </c>
      <c r="AF299" s="8">
        <v>221.5</v>
      </c>
      <c r="AG299" s="8">
        <v>221.5</v>
      </c>
      <c r="AH299" s="8">
        <v>221.5</v>
      </c>
      <c r="AI299" s="8">
        <v>221.5</v>
      </c>
      <c r="AJ299" s="8">
        <v>221.5</v>
      </c>
      <c r="AK299" s="8">
        <v>221.5</v>
      </c>
      <c r="AL299" s="8">
        <v>221.5</v>
      </c>
      <c r="AM299" s="8">
        <v>221.5</v>
      </c>
      <c r="AN299" s="8">
        <v>221.5</v>
      </c>
      <c r="AO299" s="8">
        <v>221.5</v>
      </c>
      <c r="AP299" s="8">
        <v>221.5</v>
      </c>
      <c r="AQ299" s="8">
        <v>229.5</v>
      </c>
      <c r="AR299" s="8">
        <v>229.5</v>
      </c>
      <c r="AS299" s="8">
        <v>229.5</v>
      </c>
      <c r="AT299" s="8">
        <v>229.5</v>
      </c>
      <c r="AU299" s="8">
        <v>229.5</v>
      </c>
      <c r="AV299" s="8">
        <v>229.5</v>
      </c>
      <c r="AW299" s="8">
        <v>229.5</v>
      </c>
      <c r="AX299" s="8">
        <v>229.5</v>
      </c>
      <c r="AY299" s="8">
        <v>229.5</v>
      </c>
      <c r="AZ299" s="8">
        <v>229.5</v>
      </c>
      <c r="BA299" s="8">
        <v>229.5</v>
      </c>
      <c r="BB299" s="8">
        <v>159.5</v>
      </c>
      <c r="BC299" s="8">
        <v>159.5</v>
      </c>
      <c r="BD299" s="8">
        <v>174</v>
      </c>
      <c r="BE299" s="8">
        <v>174</v>
      </c>
      <c r="BF299" s="8">
        <v>174</v>
      </c>
      <c r="BH299" s="8">
        <f t="shared" si="57"/>
        <v>2682</v>
      </c>
      <c r="BI299" s="8">
        <f t="shared" si="58"/>
        <v>2706</v>
      </c>
      <c r="BJ299" s="8">
        <f t="shared" si="59"/>
        <v>1988.5</v>
      </c>
    </row>
    <row r="300" spans="1:62" x14ac:dyDescent="0.25">
      <c r="A300" s="9" t="s">
        <v>336</v>
      </c>
      <c r="B300" s="9" t="s">
        <v>644</v>
      </c>
      <c r="C300" s="10">
        <v>44927</v>
      </c>
      <c r="D300" s="6" cm="1">
        <f t="array" ref="D300">_xlfn.LET(
  _xlpm.aralık, Y300:BF300,
  _xlpm.ilk, MATCH(TRUE, _xlpm.aralık&lt;&gt;0, 0),
  _xlpm.son, MIN(_xlpm.ilk+2, COLUMNS(_xlpm.aralık)),
  MAX(INDEX(_xlpm.aralık, _xlpm.ilk):INDEX(_xlpm.aralık, _xlpm.son))
)</f>
        <v>196.02832879312092</v>
      </c>
      <c r="E300" s="6">
        <f t="shared" si="52"/>
        <v>190.94141009439528</v>
      </c>
      <c r="F300" s="6">
        <f t="shared" si="53"/>
        <v>195.09548500155208</v>
      </c>
      <c r="G300" s="6">
        <f t="shared" si="60"/>
        <v>173.82851827264818</v>
      </c>
      <c r="H300" s="7">
        <f t="shared" si="54"/>
        <v>-2.5949916167954147E-2</v>
      </c>
      <c r="I300" s="7">
        <f t="shared" si="55"/>
        <v>-4.7587192999707815E-3</v>
      </c>
      <c r="J300" s="7">
        <f t="shared" si="56"/>
        <v>2.175575693666008E-2</v>
      </c>
      <c r="K300" s="7">
        <f t="shared" si="61"/>
        <v>-0.11324797113330173</v>
      </c>
      <c r="L300" s="5" t="s">
        <v>423</v>
      </c>
      <c r="M300" s="7">
        <f>IF(R300="",(VLOOKUP(A300,[1]Export!$B$2:$H$680,7,0)),"CHURN")</f>
        <v>0.30806651370010357</v>
      </c>
      <c r="N300" s="5">
        <f t="shared" si="62"/>
        <v>120.27777266673871</v>
      </c>
      <c r="O300" s="5">
        <f t="shared" si="63"/>
        <v>132.11875556563317</v>
      </c>
      <c r="P300" s="5">
        <f t="shared" si="64"/>
        <v>134.9930990984931</v>
      </c>
      <c r="Q300" s="5" t="s">
        <v>430</v>
      </c>
      <c r="T300" s="6" t="str" cm="1">
        <f t="array" ref="T300">IF(R300&lt;&gt;"Churn","",
 _xlfn.LET(
   _xlpm.rng,Y300:BF300,
   _xlpm.pos,MAX(IF((_xlpm.rng&lt;&gt;0)*(_xlpm.rng&lt;&gt;""),COLUMN(_xlpm.rng)-COLUMN(Y300)+1)),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0" s="6" t="str" cm="1">
        <f t="array" ref="U300">IF(R300="Churn",
   MAX(IF((Y300:BF300&lt;&gt;"")*(Y300:BF300&lt;&gt;0), COLUMN(Y300:BF300)-COLUMN(Y300)+1))
   -MATCH(1, --((Y300:BF300&lt;&gt;"")*(Y300:BF300&lt;&gt;0)), 0)
   +1,
"")</f>
        <v/>
      </c>
      <c r="V300" s="6" t="str" cm="1">
        <f t="array" ref="V300">IFERROR(
    IF(
        MATCH(2,1/((Y300:BF300&lt;&gt;0)*(Y300:BF300&lt;&gt;"")))-MATCH(1,INDEX((Y300:BF300&lt;&gt;0)*(Y300:BF300&lt;&gt;""),0),0)+1 &lt;= 12,
        "No",
        "Yes"
    ),
    "No"
)</f>
        <v>Yes</v>
      </c>
      <c r="W300" s="6" t="str" cm="1">
        <f t="array" ref="W300">IFERROR(
    IF(
        MATCH(2,1/((Y300:BF300&lt;&gt;0)*(Y300:BF300&lt;&gt;"")))-MATCH(1,INDEX((Y300:BF300&lt;&gt;0)*(Y300:BF300&lt;&gt;""),0),0)+1 &lt;= 24,
        "No",
        "Yes"
    ),
    "No"
)</f>
        <v>Yes</v>
      </c>
      <c r="X300" s="6"/>
      <c r="Y300" s="8">
        <v>196.02832879312092</v>
      </c>
      <c r="Z300" s="8">
        <v>195.53487359020809</v>
      </c>
      <c r="AA300" s="8">
        <v>194.49443392694232</v>
      </c>
      <c r="AB300" s="8">
        <v>191.99835285220732</v>
      </c>
      <c r="AC300" s="8">
        <v>189.38202772470424</v>
      </c>
      <c r="AD300" s="8">
        <v>167.85123585518443</v>
      </c>
      <c r="AE300" s="8">
        <v>154.8975538816365</v>
      </c>
      <c r="AF300" s="8">
        <v>152.98864172577402</v>
      </c>
      <c r="AG300" s="8">
        <v>206.45384995155777</v>
      </c>
      <c r="AH300" s="8">
        <v>201.75477418897592</v>
      </c>
      <c r="AI300" s="8">
        <v>197.68717435949466</v>
      </c>
      <c r="AJ300" s="8">
        <v>195.44837959311596</v>
      </c>
      <c r="AK300" s="8">
        <v>190.94141009439528</v>
      </c>
      <c r="AL300" s="8">
        <v>187.79493670226282</v>
      </c>
      <c r="AM300" s="8">
        <v>182.67254845198036</v>
      </c>
      <c r="AN300" s="8">
        <v>181.39098355113168</v>
      </c>
      <c r="AO300" s="8">
        <v>181.57617879940977</v>
      </c>
      <c r="AP300" s="8">
        <v>180.49599709246814</v>
      </c>
      <c r="AQ300" s="8">
        <v>179.03070625519439</v>
      </c>
      <c r="AR300" s="8">
        <v>176.33907454737181</v>
      </c>
      <c r="AS300" s="8">
        <v>201.23465968185539</v>
      </c>
      <c r="AT300" s="8">
        <v>200.32421056636244</v>
      </c>
      <c r="AU300" s="8">
        <v>199.517641159368</v>
      </c>
      <c r="AV300" s="8">
        <v>197.25500252128771</v>
      </c>
      <c r="AW300" s="8">
        <v>195.09548500155208</v>
      </c>
      <c r="AX300" s="8">
        <v>192.60822672976113</v>
      </c>
      <c r="AY300" s="8">
        <v>189.15013020361718</v>
      </c>
      <c r="AZ300" s="8">
        <v>185.53985004459201</v>
      </c>
      <c r="BA300" s="8">
        <v>183.33466898089469</v>
      </c>
      <c r="BB300" s="8">
        <v>181.13881018432582</v>
      </c>
      <c r="BC300" s="8">
        <v>178.69327210063244</v>
      </c>
      <c r="BD300" s="8">
        <v>176.77291683854872</v>
      </c>
      <c r="BE300" s="8">
        <v>175.28682150948705</v>
      </c>
      <c r="BF300" s="8">
        <v>173.82851827264818</v>
      </c>
      <c r="BH300" s="8">
        <f t="shared" si="57"/>
        <v>2244.5196264429219</v>
      </c>
      <c r="BI300" s="8">
        <f t="shared" si="58"/>
        <v>2258.5733494230876</v>
      </c>
      <c r="BJ300" s="8">
        <f t="shared" si="59"/>
        <v>1831.4486998660591</v>
      </c>
    </row>
    <row r="301" spans="1:62" x14ac:dyDescent="0.25">
      <c r="A301" s="9" t="s">
        <v>206</v>
      </c>
      <c r="B301" s="9" t="s">
        <v>644</v>
      </c>
      <c r="C301" s="10">
        <f>VLOOKUP(A301,'[2]Revenue_Engine_2025 Oct.25'!$C$14:G$3937,5,0)</f>
        <v>45076</v>
      </c>
      <c r="D301" s="6" cm="1">
        <f t="array" ref="D301">_xlfn.LET(
  _xlpm.aralık, Y301:BF301,
  _xlpm.ilk, MATCH(TRUE, _xlpm.aralık&lt;&gt;0, 0),
  _xlpm.son, MIN(_xlpm.ilk+2, COLUMNS(_xlpm.aralık)),
  MAX(INDEX(_xlpm.aralık, _xlpm.ilk):INDEX(_xlpm.aralık, _xlpm.son))
)</f>
        <v>150.00521699999999</v>
      </c>
      <c r="E301" s="6">
        <f t="shared" si="52"/>
        <v>173.00521699999999</v>
      </c>
      <c r="F301" s="6">
        <f t="shared" si="53"/>
        <v>173.00521699999999</v>
      </c>
      <c r="G301" s="6">
        <f t="shared" si="60"/>
        <v>173.00521699999999</v>
      </c>
      <c r="H301" s="7">
        <f t="shared" si="54"/>
        <v>0.153328000585473</v>
      </c>
      <c r="I301" s="7">
        <f t="shared" si="55"/>
        <v>0.153328000585473</v>
      </c>
      <c r="J301" s="7">
        <f t="shared" si="56"/>
        <v>0</v>
      </c>
      <c r="K301" s="7">
        <f t="shared" si="61"/>
        <v>0.153328000585473</v>
      </c>
      <c r="L301" s="5" t="s">
        <v>416</v>
      </c>
      <c r="M301" s="7">
        <f>IF(R301="",(VLOOKUP(A301,[1]Export!$B$2:$H$680,7,0)),"CHURN")</f>
        <v>0.17340517540577979</v>
      </c>
      <c r="N301" s="5">
        <f t="shared" si="62"/>
        <v>143.00521699999999</v>
      </c>
      <c r="O301" s="5">
        <f t="shared" si="63"/>
        <v>143.00521699999999</v>
      </c>
      <c r="P301" s="5">
        <f t="shared" si="64"/>
        <v>143.00521699999999</v>
      </c>
      <c r="Q301" s="5" t="s">
        <v>430</v>
      </c>
      <c r="T301" s="6" t="str" cm="1">
        <f t="array" ref="T301">IF(R301&lt;&gt;"Churn","",
 _xlfn.LET(
   _xlpm.rng,Y301:BF301,
   _xlpm.pos,MAX(IF((_xlpm.rng&lt;&gt;0)*(_xlpm.rng&lt;&gt;""),COLUMN(_xlpm.rng)-COLUMN(Y301)+1)),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1" s="6" t="str" cm="1">
        <f t="array" ref="U301">IF(R301="Churn",
   MAX(IF((Y301:BF301&lt;&gt;"")*(Y301:BF301&lt;&gt;0), COLUMN(Y301:BF301)-COLUMN(Y301)+1))
   -MATCH(1, --((Y301:BF301&lt;&gt;"")*(Y301:BF301&lt;&gt;0)), 0)
   +1,
"")</f>
        <v/>
      </c>
      <c r="V301" s="6" t="str" cm="1">
        <f t="array" ref="V301">IFERROR(
    IF(
        MATCH(2,1/((Y301:BF301&lt;&gt;0)*(Y301:BF301&lt;&gt;"")))-MATCH(1,INDEX((Y301:BF301&lt;&gt;0)*(Y301:BF301&lt;&gt;""),0),0)+1 &lt;= 12,
        "No",
        "Yes"
    ),
    "No"
)</f>
        <v>Yes</v>
      </c>
      <c r="W301" s="6" t="str" cm="1">
        <f t="array" ref="W301">IFERROR(
    IF(
        MATCH(2,1/((Y301:BF301&lt;&gt;0)*(Y301:BF301&lt;&gt;"")))-MATCH(1,INDEX((Y301:BF301&lt;&gt;0)*(Y301:BF301&lt;&gt;""),0),0)+1 &lt;= 24,
        "No",
        "Yes"
    ),
    "No"
)</f>
        <v>Yes</v>
      </c>
      <c r="X301" s="6"/>
      <c r="Y301" s="8">
        <v>0</v>
      </c>
      <c r="Z301" s="8">
        <v>0</v>
      </c>
      <c r="AA301" s="8">
        <v>0</v>
      </c>
      <c r="AB301" s="8">
        <v>0</v>
      </c>
      <c r="AC301" s="8">
        <v>150.00521699999999</v>
      </c>
      <c r="AD301" s="8">
        <v>150.00521699999999</v>
      </c>
      <c r="AE301" s="8">
        <v>150.00521699999999</v>
      </c>
      <c r="AF301" s="8">
        <v>150.00521699999999</v>
      </c>
      <c r="AG301" s="8">
        <v>150.00521699999999</v>
      </c>
      <c r="AH301" s="8">
        <v>150.00521699999999</v>
      </c>
      <c r="AI301" s="8">
        <v>150.00521699999999</v>
      </c>
      <c r="AJ301" s="8">
        <v>160</v>
      </c>
      <c r="AK301" s="8">
        <v>173.00521699999999</v>
      </c>
      <c r="AL301" s="8">
        <v>173.00521699999999</v>
      </c>
      <c r="AM301" s="8">
        <v>173.00521699999999</v>
      </c>
      <c r="AN301" s="8">
        <v>173.00521699999999</v>
      </c>
      <c r="AO301" s="8">
        <v>173.00521699999999</v>
      </c>
      <c r="AP301" s="8">
        <v>173.00521699999999</v>
      </c>
      <c r="AQ301" s="8">
        <v>173.00521699999999</v>
      </c>
      <c r="AR301" s="8">
        <v>173.00521699999999</v>
      </c>
      <c r="AS301" s="8">
        <v>173.00521699999999</v>
      </c>
      <c r="AT301" s="8">
        <v>173.00521699999999</v>
      </c>
      <c r="AU301" s="8">
        <v>173.00521699999999</v>
      </c>
      <c r="AV301" s="8">
        <v>173.00521699999999</v>
      </c>
      <c r="AW301" s="8">
        <v>173.00521699999999</v>
      </c>
      <c r="AX301" s="8">
        <v>173.00521699999999</v>
      </c>
      <c r="AY301" s="8">
        <v>173.00521699999999</v>
      </c>
      <c r="AZ301" s="8">
        <v>173.00521699999996</v>
      </c>
      <c r="BA301" s="8">
        <v>173.00521699999999</v>
      </c>
      <c r="BB301" s="8">
        <v>173.00521699999999</v>
      </c>
      <c r="BC301" s="8">
        <v>173.00521699999999</v>
      </c>
      <c r="BD301" s="8">
        <v>173.00521699999999</v>
      </c>
      <c r="BE301" s="8">
        <v>173.00521699999999</v>
      </c>
      <c r="BF301" s="8">
        <v>173.00521699999999</v>
      </c>
      <c r="BH301" s="8">
        <f t="shared" si="57"/>
        <v>1210.036519</v>
      </c>
      <c r="BI301" s="8">
        <f t="shared" si="58"/>
        <v>2076.0626039999993</v>
      </c>
      <c r="BJ301" s="8">
        <f t="shared" si="59"/>
        <v>1730.0521699999995</v>
      </c>
    </row>
    <row r="302" spans="1:62" x14ac:dyDescent="0.25">
      <c r="A302" s="9" t="s">
        <v>122</v>
      </c>
      <c r="B302" s="9" t="s">
        <v>644</v>
      </c>
      <c r="C302" s="10">
        <v>44927</v>
      </c>
      <c r="D302" s="6" cm="1">
        <f t="array" ref="D302">_xlfn.LET(
  _xlpm.aralık, Y302:BF302,
  _xlpm.ilk, MATCH(TRUE, _xlpm.aralık&lt;&gt;0, 0),
  _xlpm.son, MIN(_xlpm.ilk+2, COLUMNS(_xlpm.aralık)),
  MAX(INDEX(_xlpm.aralık, _xlpm.ilk):INDEX(_xlpm.aralık, _xlpm.son))
)</f>
        <v>114.98802042106495</v>
      </c>
      <c r="E302" s="6">
        <f t="shared" si="52"/>
        <v>101.46416579695841</v>
      </c>
      <c r="F302" s="6">
        <f t="shared" si="53"/>
        <v>202.24849733329572</v>
      </c>
      <c r="G302" s="6">
        <f t="shared" si="60"/>
        <v>171.76409036986266</v>
      </c>
      <c r="H302" s="7">
        <f t="shared" si="54"/>
        <v>-0.11761098742794832</v>
      </c>
      <c r="I302" s="7">
        <f t="shared" si="55"/>
        <v>0.75886580700058126</v>
      </c>
      <c r="J302" s="7">
        <f t="shared" si="56"/>
        <v>0.99329976001594955</v>
      </c>
      <c r="K302" s="7">
        <f t="shared" si="61"/>
        <v>0.49375639080396555</v>
      </c>
      <c r="L302" s="5" t="s">
        <v>418</v>
      </c>
      <c r="M302" s="7">
        <f>IF(R302="",(VLOOKUP(A302,[1]Export!$B$2:$H$680,7,0)),"CHURN")</f>
        <v>0</v>
      </c>
      <c r="N302" s="5">
        <f t="shared" si="62"/>
        <v>171.76409036986266</v>
      </c>
      <c r="O302" s="5">
        <f t="shared" si="63"/>
        <v>101.46416579695841</v>
      </c>
      <c r="P302" s="5">
        <f t="shared" si="64"/>
        <v>202.24849733329572</v>
      </c>
      <c r="Q302" s="5" t="s">
        <v>430</v>
      </c>
      <c r="T302" s="6" t="str" cm="1">
        <f t="array" ref="T302">IF(R302&lt;&gt;"Churn","",
 _xlfn.LET(
   _xlpm.rng,Y302:BF302,
   _xlpm.pos,MAX(IF((_xlpm.rng&lt;&gt;0)*(_xlpm.rng&lt;&gt;""),COLUMN(_xlpm.rng)-COLUMN(Y302)+1)),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2" s="6" t="str" cm="1">
        <f t="array" ref="U302">IF(R302="Churn",
   MAX(IF((Y302:BF302&lt;&gt;"")*(Y302:BF302&lt;&gt;0), COLUMN(Y302:BF302)-COLUMN(Y302)+1))
   -MATCH(1, --((Y302:BF302&lt;&gt;"")*(Y302:BF302&lt;&gt;0)), 0)
   +1,
"")</f>
        <v/>
      </c>
      <c r="V302" s="6" t="str" cm="1">
        <f t="array" ref="V302">IFERROR(
    IF(
        MATCH(2,1/((Y302:BF302&lt;&gt;0)*(Y302:BF302&lt;&gt;"")))-MATCH(1,INDEX((Y302:BF302&lt;&gt;0)*(Y302:BF302&lt;&gt;""),0),0)+1 &lt;= 12,
        "No",
        "Yes"
    ),
    "No"
)</f>
        <v>Yes</v>
      </c>
      <c r="W302" s="6" t="str" cm="1">
        <f t="array" ref="W302">IFERROR(
    IF(
        MATCH(2,1/((Y302:BF302&lt;&gt;0)*(Y302:BF302&lt;&gt;"")))-MATCH(1,INDEX((Y302:BF302&lt;&gt;0)*(Y302:BF302&lt;&gt;""),0),0)+1 &lt;= 24,
        "No",
        "Yes"
    ),
    "No"
)</f>
        <v>Yes</v>
      </c>
      <c r="Y302" s="8">
        <v>88.760708592996181</v>
      </c>
      <c r="Z302" s="8">
        <v>114.98802042106495</v>
      </c>
      <c r="AA302" s="8">
        <v>114.14272982792897</v>
      </c>
      <c r="AB302" s="8">
        <v>127.11008437747654</v>
      </c>
      <c r="AC302" s="8">
        <v>139.38604211553314</v>
      </c>
      <c r="AD302" s="8">
        <v>117.21846261666268</v>
      </c>
      <c r="AE302" s="8">
        <v>103.88166679921682</v>
      </c>
      <c r="AF302" s="8">
        <v>101.91629728434326</v>
      </c>
      <c r="AG302" s="8">
        <v>101.82171771352634</v>
      </c>
      <c r="AH302" s="8">
        <v>109.4761248278981</v>
      </c>
      <c r="AI302" s="8">
        <v>106.4623131312778</v>
      </c>
      <c r="AJ302" s="8">
        <v>104.80352019782816</v>
      </c>
      <c r="AK302" s="8">
        <v>101.46416579695841</v>
      </c>
      <c r="AL302" s="8">
        <v>118.67923879828774</v>
      </c>
      <c r="AM302" s="8">
        <v>134.81341836319092</v>
      </c>
      <c r="AN302" s="8">
        <v>133.47069105098436</v>
      </c>
      <c r="AO302" s="8">
        <v>133.66472470295875</v>
      </c>
      <c r="AP302" s="8">
        <v>220.74696353881126</v>
      </c>
      <c r="AQ302" s="8">
        <v>218.18989841055287</v>
      </c>
      <c r="AR302" s="8">
        <v>213.49275747231209</v>
      </c>
      <c r="AS302" s="8">
        <v>211.04848625122941</v>
      </c>
      <c r="AT302" s="8">
        <v>209.7434341116805</v>
      </c>
      <c r="AU302" s="8">
        <v>325</v>
      </c>
      <c r="AV302" s="8">
        <v>325</v>
      </c>
      <c r="AW302" s="8">
        <v>202.24849733329572</v>
      </c>
      <c r="AX302" s="8">
        <v>198.68322203094291</v>
      </c>
      <c r="AY302" s="8">
        <v>193.7263318367711</v>
      </c>
      <c r="AZ302" s="8">
        <v>188.55129827182969</v>
      </c>
      <c r="BA302" s="8">
        <v>185.39035691190244</v>
      </c>
      <c r="BB302" s="8">
        <v>182.24277823689008</v>
      </c>
      <c r="BC302" s="8">
        <v>178.73730532889095</v>
      </c>
      <c r="BD302" s="8">
        <v>175.98463777083703</v>
      </c>
      <c r="BE302" s="8">
        <v>173.85444525841368</v>
      </c>
      <c r="BF302" s="8">
        <v>171.76409036986266</v>
      </c>
      <c r="BH302" s="8">
        <f t="shared" si="57"/>
        <v>1329.9676879057531</v>
      </c>
      <c r="BI302" s="8">
        <f t="shared" si="58"/>
        <v>2345.3137784969663</v>
      </c>
      <c r="BJ302" s="8">
        <f t="shared" si="59"/>
        <v>1851.1829633496363</v>
      </c>
    </row>
    <row r="303" spans="1:62" x14ac:dyDescent="0.25">
      <c r="A303" s="9" t="s">
        <v>354</v>
      </c>
      <c r="B303" s="9" t="s">
        <v>644</v>
      </c>
      <c r="C303" s="10">
        <v>44927</v>
      </c>
      <c r="D303" s="6" cm="1">
        <f t="array" ref="D303">_xlfn.LET(
  _xlpm.aralık, Y303:BF303,
  _xlpm.ilk, MATCH(TRUE, _xlpm.aralık&lt;&gt;0, 0),
  _xlpm.son, MIN(_xlpm.ilk+2, COLUMNS(_xlpm.aralık)),
  MAX(INDEX(_xlpm.aralık, _xlpm.ilk):INDEX(_xlpm.aralık, _xlpm.son))
)</f>
        <v>130</v>
      </c>
      <c r="E303" s="6">
        <f t="shared" si="52"/>
        <v>140.67199999999997</v>
      </c>
      <c r="F303" s="6">
        <f t="shared" si="53"/>
        <v>170.67226000000002</v>
      </c>
      <c r="G303" s="6">
        <f t="shared" si="60"/>
        <v>170.67226000000002</v>
      </c>
      <c r="H303" s="7">
        <f t="shared" si="54"/>
        <v>8.2092307692307451E-2</v>
      </c>
      <c r="I303" s="7">
        <f t="shared" si="55"/>
        <v>0.31286353846153864</v>
      </c>
      <c r="J303" s="7">
        <f t="shared" si="56"/>
        <v>0.2132639046860787</v>
      </c>
      <c r="K303" s="7">
        <f t="shared" si="61"/>
        <v>0.31286353846153864</v>
      </c>
      <c r="L303" s="5" t="s">
        <v>412</v>
      </c>
      <c r="M303" s="7">
        <f>IF(R303="",(VLOOKUP(A303,[1]Export!$B$2:$H$680,7,0)),"CHURN")</f>
        <v>0.29319351604062649</v>
      </c>
      <c r="N303" s="5">
        <f t="shared" si="62"/>
        <v>120.63226000000004</v>
      </c>
      <c r="O303" s="5">
        <f t="shared" si="63"/>
        <v>99.427881711532962</v>
      </c>
      <c r="P303" s="5">
        <f t="shared" si="64"/>
        <v>120.63226000000004</v>
      </c>
      <c r="Q303" s="5" t="s">
        <v>430</v>
      </c>
      <c r="T303" s="6" t="str" cm="1">
        <f t="array" ref="T303">IF(R303&lt;&gt;"Churn","",
 _xlfn.LET(
   _xlpm.rng,Y303:BF303,
   _xlpm.pos,MAX(IF((_xlpm.rng&lt;&gt;0)*(_xlpm.rng&lt;&gt;""),COLUMN(_xlpm.rng)-COLUMN(Y303)+1)),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3" s="6" t="str" cm="1">
        <f t="array" ref="U303">IF(R303="Churn",
   MAX(IF((Y303:BF303&lt;&gt;"")*(Y303:BF303&lt;&gt;0), COLUMN(Y303:BF303)-COLUMN(Y303)+1))
   -MATCH(1, --((Y303:BF303&lt;&gt;"")*(Y303:BF303&lt;&gt;0)), 0)
   +1,
"")</f>
        <v/>
      </c>
      <c r="V303" s="6" t="str" cm="1">
        <f t="array" ref="V303">IFERROR(
    IF(
        MATCH(2,1/((Y303:BF303&lt;&gt;0)*(Y303:BF303&lt;&gt;"")))-MATCH(1,INDEX((Y303:BF303&lt;&gt;0)*(Y303:BF303&lt;&gt;""),0),0)+1 &lt;= 12,
        "No",
        "Yes"
    ),
    "No"
)</f>
        <v>Yes</v>
      </c>
      <c r="W303" s="6" t="str" cm="1">
        <f t="array" ref="W303">IFERROR(
    IF(
        MATCH(2,1/((Y303:BF303&lt;&gt;0)*(Y303:BF303&lt;&gt;"")))-MATCH(1,INDEX((Y303:BF303&lt;&gt;0)*(Y303:BF303&lt;&gt;""),0),0)+1 &lt;= 24,
        "No",
        "Yes"
    ),
    "No"
)</f>
        <v>Yes</v>
      </c>
      <c r="Y303" s="8">
        <v>130</v>
      </c>
      <c r="Z303" s="8">
        <v>130</v>
      </c>
      <c r="AA303" s="8">
        <v>130</v>
      </c>
      <c r="AB303" s="8">
        <v>139</v>
      </c>
      <c r="AC303" s="8">
        <v>139</v>
      </c>
      <c r="AD303" s="8">
        <v>139</v>
      </c>
      <c r="AE303" s="8">
        <v>159</v>
      </c>
      <c r="AF303" s="8">
        <v>159</v>
      </c>
      <c r="AG303" s="8">
        <v>159</v>
      </c>
      <c r="AH303" s="8">
        <v>159</v>
      </c>
      <c r="AI303" s="8">
        <v>159</v>
      </c>
      <c r="AJ303" s="8">
        <v>140.67199999999997</v>
      </c>
      <c r="AK303" s="8">
        <v>140.67199999999997</v>
      </c>
      <c r="AL303" s="8">
        <v>140.67199999999997</v>
      </c>
      <c r="AM303" s="8">
        <v>140.67199999999997</v>
      </c>
      <c r="AN303" s="8">
        <v>140.67225999999999</v>
      </c>
      <c r="AO303" s="8">
        <v>170.67226000000002</v>
      </c>
      <c r="AP303" s="8">
        <v>170.67226000000002</v>
      </c>
      <c r="AQ303" s="8">
        <v>170.67226000000002</v>
      </c>
      <c r="AR303" s="8">
        <v>170.67226000000002</v>
      </c>
      <c r="AS303" s="8">
        <v>170.67226000000002</v>
      </c>
      <c r="AT303" s="8">
        <v>170.67226000000002</v>
      </c>
      <c r="AU303" s="8">
        <v>170.67226000000002</v>
      </c>
      <c r="AV303" s="8">
        <v>170.67226000000002</v>
      </c>
      <c r="AW303" s="8">
        <v>170.67226000000002</v>
      </c>
      <c r="AX303" s="8">
        <v>170.67226000000002</v>
      </c>
      <c r="AY303" s="8">
        <v>170.67226000000002</v>
      </c>
      <c r="AZ303" s="8">
        <v>170.67226000000002</v>
      </c>
      <c r="BA303" s="8">
        <v>170.67226000000002</v>
      </c>
      <c r="BB303" s="8">
        <v>170.67226000000002</v>
      </c>
      <c r="BC303" s="8">
        <v>170.67226000000002</v>
      </c>
      <c r="BD303" s="8">
        <v>170.67226000000002</v>
      </c>
      <c r="BE303" s="8">
        <v>170.67226000000002</v>
      </c>
      <c r="BF303" s="8">
        <v>170.67226000000002</v>
      </c>
      <c r="BH303" s="8">
        <f t="shared" si="57"/>
        <v>1742.672</v>
      </c>
      <c r="BI303" s="8">
        <f t="shared" si="58"/>
        <v>1928.0663400000003</v>
      </c>
      <c r="BJ303" s="8">
        <f t="shared" si="59"/>
        <v>1706.7226000000003</v>
      </c>
    </row>
    <row r="304" spans="1:62" x14ac:dyDescent="0.25">
      <c r="A304" s="9" t="s">
        <v>384</v>
      </c>
      <c r="B304" s="9" t="s">
        <v>644</v>
      </c>
      <c r="C304" s="10">
        <f>VLOOKUP(A304,'[2]Revenue_Engine_2025 Oct.25'!$C$14:G$3937,5,0)</f>
        <v>44931</v>
      </c>
      <c r="D304" s="6" cm="1">
        <f t="array" ref="D304">_xlfn.LET(
  _xlpm.aralık, Y304:BF304,
  _xlpm.ilk, MATCH(TRUE, _xlpm.aralık&lt;&gt;0, 0),
  _xlpm.son, MIN(_xlpm.ilk+2, COLUMNS(_xlpm.aralık)),
  MAX(INDEX(_xlpm.aralık, _xlpm.ilk):INDEX(_xlpm.aralık, _xlpm.son))
)</f>
        <v>140</v>
      </c>
      <c r="E304" s="6">
        <f t="shared" si="52"/>
        <v>149</v>
      </c>
      <c r="F304" s="6">
        <f t="shared" si="53"/>
        <v>154</v>
      </c>
      <c r="G304" s="6">
        <f t="shared" si="60"/>
        <v>168.99999999999997</v>
      </c>
      <c r="H304" s="7">
        <f t="shared" si="54"/>
        <v>6.4285714285714279E-2</v>
      </c>
      <c r="I304" s="7">
        <f t="shared" si="55"/>
        <v>0.1</v>
      </c>
      <c r="J304" s="7">
        <f t="shared" si="56"/>
        <v>3.3557046979865772E-2</v>
      </c>
      <c r="K304" s="7">
        <f t="shared" si="61"/>
        <v>0.20714285714285693</v>
      </c>
      <c r="L304" s="5" t="s">
        <v>418</v>
      </c>
      <c r="M304" s="7">
        <f>IF(R304="",(VLOOKUP(A304,[1]Export!$B$2:$H$680,7,0)),"CHURN")</f>
        <v>0.19822485207100593</v>
      </c>
      <c r="N304" s="5">
        <f t="shared" si="62"/>
        <v>135.49999999999997</v>
      </c>
      <c r="O304" s="5">
        <f t="shared" si="63"/>
        <v>119.46449704142012</v>
      </c>
      <c r="P304" s="5">
        <f t="shared" si="64"/>
        <v>123.47337278106508</v>
      </c>
      <c r="Q304" s="5" t="str">
        <f>VLOOKUP(A304,[4]Sheet2!$A$1:$B$142,2,0)</f>
        <v>NO RISK</v>
      </c>
      <c r="T304" s="6" t="str" cm="1">
        <f t="array" ref="T304">IF(R304&lt;&gt;"Churn","",
 _xlfn.LET(
   _xlpm.rng,Y304:BF304,
   _xlpm.pos,MAX(IF((_xlpm.rng&lt;&gt;0)*(_xlpm.rng&lt;&gt;""),COLUMN(_xlpm.rng)-COLUMN(Y304)+1)),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4" s="6" t="str" cm="1">
        <f t="array" ref="U304">IF(R304="Churn",
   MAX(IF((Y304:BF304&lt;&gt;"")*(Y304:BF304&lt;&gt;0), COLUMN(Y304:BF304)-COLUMN(Y304)+1))
   -MATCH(1, --((Y304:BF304&lt;&gt;"")*(Y304:BF304&lt;&gt;0)), 0)
   +1,
"")</f>
        <v/>
      </c>
      <c r="V304" s="6" t="str" cm="1">
        <f t="array" ref="V304">IFERROR(
    IF(
        MATCH(2,1/((Y304:BF304&lt;&gt;0)*(Y304:BF304&lt;&gt;"")))-MATCH(1,INDEX((Y304:BF304&lt;&gt;0)*(Y304:BF304&lt;&gt;""),0),0)+1 &lt;= 12,
        "No",
        "Yes"
    ),
    "No"
)</f>
        <v>Yes</v>
      </c>
      <c r="W304" s="6" t="str" cm="1">
        <f t="array" ref="W304">IFERROR(
    IF(
        MATCH(2,1/((Y304:BF304&lt;&gt;0)*(Y304:BF304&lt;&gt;"")))-MATCH(1,INDEX((Y304:BF304&lt;&gt;0)*(Y304:BF304&lt;&gt;""),0),0)+1 &lt;= 24,
        "No",
        "Yes"
    ),
    "No"
)</f>
        <v>Yes</v>
      </c>
      <c r="Y304" s="8">
        <v>140</v>
      </c>
      <c r="Z304" s="8">
        <v>140</v>
      </c>
      <c r="AA304" s="8">
        <v>140</v>
      </c>
      <c r="AB304" s="8">
        <v>149</v>
      </c>
      <c r="AC304" s="8">
        <v>149</v>
      </c>
      <c r="AD304" s="8">
        <v>149</v>
      </c>
      <c r="AE304" s="8">
        <v>149</v>
      </c>
      <c r="AF304" s="8">
        <v>149</v>
      </c>
      <c r="AG304" s="8">
        <v>149</v>
      </c>
      <c r="AH304" s="8">
        <v>149</v>
      </c>
      <c r="AI304" s="8">
        <v>149</v>
      </c>
      <c r="AJ304" s="8">
        <v>149</v>
      </c>
      <c r="AK304" s="8">
        <v>149</v>
      </c>
      <c r="AL304" s="8">
        <v>149</v>
      </c>
      <c r="AM304" s="8">
        <v>154</v>
      </c>
      <c r="AN304" s="8">
        <v>154</v>
      </c>
      <c r="AO304" s="8">
        <v>154</v>
      </c>
      <c r="AP304" s="8">
        <v>154</v>
      </c>
      <c r="AQ304" s="8">
        <v>154</v>
      </c>
      <c r="AR304" s="8">
        <v>154</v>
      </c>
      <c r="AS304" s="8">
        <v>154</v>
      </c>
      <c r="AT304" s="8">
        <v>154</v>
      </c>
      <c r="AU304" s="8">
        <v>154</v>
      </c>
      <c r="AV304" s="8">
        <v>154</v>
      </c>
      <c r="AW304" s="8">
        <v>154</v>
      </c>
      <c r="AX304" s="8">
        <v>154</v>
      </c>
      <c r="AY304" s="8">
        <v>168.99999999999997</v>
      </c>
      <c r="AZ304" s="8">
        <v>169</v>
      </c>
      <c r="BA304" s="8">
        <v>168.99999999999997</v>
      </c>
      <c r="BB304" s="8">
        <v>168.99999999999997</v>
      </c>
      <c r="BC304" s="8">
        <v>168.99999999999997</v>
      </c>
      <c r="BD304" s="8">
        <v>168.99999999999997</v>
      </c>
      <c r="BE304" s="8">
        <v>168.99999999999997</v>
      </c>
      <c r="BF304" s="8">
        <v>168.99999999999997</v>
      </c>
      <c r="BH304" s="8">
        <f t="shared" si="57"/>
        <v>1761</v>
      </c>
      <c r="BI304" s="8">
        <f t="shared" si="58"/>
        <v>1838</v>
      </c>
      <c r="BJ304" s="8">
        <f t="shared" si="59"/>
        <v>1660</v>
      </c>
    </row>
    <row r="305" spans="1:62" x14ac:dyDescent="0.25">
      <c r="A305" s="9" t="s">
        <v>500</v>
      </c>
      <c r="B305" s="9" t="s">
        <v>644</v>
      </c>
      <c r="C305" s="10">
        <f>VLOOKUP(A305,'[2]Revenue_Engine_2025 Oct.25'!$C$14:G$3937,5,0)</f>
        <v>45629</v>
      </c>
      <c r="D305" s="6" cm="1">
        <f t="array" ref="D305">_xlfn.LET(
  _xlpm.aralık, Y305:BF305,
  _xlpm.ilk, MATCH(TRUE, _xlpm.aralık&lt;&gt;0, 0),
  _xlpm.son, MIN(_xlpm.ilk+2, COLUMNS(_xlpm.aralık)),
  MAX(INDEX(_xlpm.aralık, _xlpm.ilk):INDEX(_xlpm.aralık, _xlpm.son))
)</f>
        <v>197.53380983153201</v>
      </c>
      <c r="E305" s="6">
        <f t="shared" si="52"/>
        <v>0</v>
      </c>
      <c r="F305" s="6">
        <f t="shared" si="53"/>
        <v>0</v>
      </c>
      <c r="G305" s="6">
        <f t="shared" si="60"/>
        <v>167.76003669148713</v>
      </c>
      <c r="H305" s="7">
        <f t="shared" si="54"/>
        <v>-1</v>
      </c>
      <c r="I305" s="7">
        <f t="shared" si="55"/>
        <v>-1</v>
      </c>
      <c r="J305" s="7" t="e">
        <f t="shared" si="56"/>
        <v>#DIV/0!</v>
      </c>
      <c r="K305" s="7">
        <f t="shared" si="61"/>
        <v>-0.15072747883229526</v>
      </c>
      <c r="L305" s="5" t="s">
        <v>418</v>
      </c>
      <c r="M305" s="7">
        <f>IF(R305="",(VLOOKUP(A305,[1]Export!$B$2:$H$680,7,0)),"CHURN")</f>
        <v>0.2896528649200788</v>
      </c>
      <c r="N305" s="5">
        <f t="shared" si="62"/>
        <v>119.16786144470035</v>
      </c>
      <c r="O305" s="5">
        <f t="shared" si="63"/>
        <v>0</v>
      </c>
      <c r="P305" s="5">
        <f t="shared" si="64"/>
        <v>0</v>
      </c>
      <c r="Q305" s="5" t="s">
        <v>430</v>
      </c>
      <c r="T305" s="6" t="str" cm="1">
        <f t="array" ref="T305">IF(R305&lt;&gt;"Churn","",
 _xlfn.LET(
   _xlpm.rng,Y305:BF305,
   _xlpm.pos,MAX(IF((_xlpm.rng&lt;&gt;0)*(_xlpm.rng&lt;&gt;""),COLUMN(_xlpm.rng)-COLUMN(Y305)+1)),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5" s="6" t="str" cm="1">
        <f t="array" ref="U305">IF(R305="Churn",
   MAX(IF((Y305:BF305&lt;&gt;"")*(Y305:BF305&lt;&gt;0), COLUMN(Y305:BF305)-COLUMN(Y305)+1))
   -MATCH(1, --((Y305:BF305&lt;&gt;"")*(Y305:BF305&lt;&gt;0)), 0)
   +1,
"")</f>
        <v/>
      </c>
      <c r="V305" s="6" t="str" cm="1">
        <f t="array" ref="V305">IFERROR(
    IF(
        MATCH(2,1/((Y305:BF305&lt;&gt;0)*(Y305:BF305&lt;&gt;"")))-MATCH(1,INDEX((Y305:BF305&lt;&gt;0)*(Y305:BF305&lt;&gt;""),0),0)+1 &lt;= 12,
        "No",
        "Yes"
    ),
    "No"
)</f>
        <v>No</v>
      </c>
      <c r="W305" s="6" t="str" cm="1">
        <f t="array" ref="W305">IFERROR(
    IF(
        MATCH(2,1/((Y305:BF305&lt;&gt;0)*(Y305:BF305&lt;&gt;"")))-MATCH(1,INDEX((Y305:BF305&lt;&gt;0)*(Y305:BF305&lt;&gt;""),0),0)+1 &lt;= 24,
        "No",
        "Yes"
    ),
    "No"
)</f>
        <v>No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197.53380983153201</v>
      </c>
      <c r="AX305" s="8">
        <v>194.05164594473968</v>
      </c>
      <c r="AY305" s="8">
        <v>189.21030760165314</v>
      </c>
      <c r="AZ305" s="8">
        <v>184.15591203142225</v>
      </c>
      <c r="BA305" s="8">
        <v>181.06865649751418</v>
      </c>
      <c r="BB305" s="8">
        <v>177.99445214622995</v>
      </c>
      <c r="BC305" s="8">
        <v>174.57069656145882</v>
      </c>
      <c r="BD305" s="8">
        <v>171.88219741391163</v>
      </c>
      <c r="BE305" s="8">
        <v>169.80166257525843</v>
      </c>
      <c r="BF305" s="8">
        <v>167.76003669148713</v>
      </c>
      <c r="BH305" s="8">
        <f t="shared" si="57"/>
        <v>0</v>
      </c>
      <c r="BI305" s="8">
        <f t="shared" si="58"/>
        <v>0</v>
      </c>
      <c r="BJ305" s="8">
        <f t="shared" si="59"/>
        <v>1808.0293772952073</v>
      </c>
    </row>
    <row r="306" spans="1:62" x14ac:dyDescent="0.25">
      <c r="A306" s="9" t="s">
        <v>249</v>
      </c>
      <c r="B306" s="9" t="s">
        <v>644</v>
      </c>
      <c r="C306" s="10">
        <f>VLOOKUP(A306,'[2]Revenue_Engine_2025 Oct.25'!$C$14:G$3937,5,0)</f>
        <v>45260</v>
      </c>
      <c r="D306" s="6" cm="1">
        <f t="array" ref="D306">_xlfn.LET(
  _xlpm.aralık, Y306:BF306,
  _xlpm.ilk, MATCH(TRUE, _xlpm.aralık&lt;&gt;0, 0),
  _xlpm.son, MIN(_xlpm.ilk+2, COLUMNS(_xlpm.aralık)),
  MAX(INDEX(_xlpm.aralık, _xlpm.ilk):INDEX(_xlpm.aralık, _xlpm.son))
)</f>
        <v>450.76666666666665</v>
      </c>
      <c r="E306" s="6">
        <f t="shared" si="52"/>
        <v>188.16666666666666</v>
      </c>
      <c r="F306" s="6">
        <f t="shared" si="53"/>
        <v>0</v>
      </c>
      <c r="G306" s="6">
        <f t="shared" si="60"/>
        <v>166.16666666666666</v>
      </c>
      <c r="H306" s="7">
        <f t="shared" si="54"/>
        <v>-0.58256304074539678</v>
      </c>
      <c r="I306" s="7">
        <f t="shared" si="55"/>
        <v>-1</v>
      </c>
      <c r="J306" s="7">
        <f t="shared" si="56"/>
        <v>-1</v>
      </c>
      <c r="K306" s="7">
        <f t="shared" si="61"/>
        <v>-0.63136877911705991</v>
      </c>
      <c r="L306" s="5" t="s">
        <v>694</v>
      </c>
      <c r="M306" s="7">
        <f>IF(R306="",(VLOOKUP(A306,[1]Export!$B$2:$H$680,7,0)),"CHURN")</f>
        <v>0.12136409227683051</v>
      </c>
      <c r="N306" s="5">
        <f t="shared" si="62"/>
        <v>145.99999999999997</v>
      </c>
      <c r="O306" s="5">
        <f t="shared" si="63"/>
        <v>165.32998996990972</v>
      </c>
      <c r="P306" s="5">
        <f t="shared" si="64"/>
        <v>0</v>
      </c>
      <c r="Q306" s="5" t="s">
        <v>430</v>
      </c>
      <c r="T306" s="6" t="str" cm="1">
        <f t="array" ref="T306">IF(R306&lt;&gt;"Churn","",
 _xlfn.LET(
   _xlpm.rng,Y306:BF306,
   _xlpm.pos,MAX(IF((_xlpm.rng&lt;&gt;0)*(_xlpm.rng&lt;&gt;""),COLUMN(_xlpm.rng)-COLUMN(Y306)+1)),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6" s="6" t="str" cm="1">
        <f t="array" ref="U306">IF(R306="Churn",
   MAX(IF((Y306:BF306&lt;&gt;"")*(Y306:BF306&lt;&gt;0), COLUMN(Y306:BF306)-COLUMN(Y306)+1))
   -MATCH(1, --((Y306:BF306&lt;&gt;"")*(Y306:BF306&lt;&gt;0)), 0)
   +1,
"")</f>
        <v/>
      </c>
      <c r="V306" s="6" t="str" cm="1">
        <f t="array" ref="V306">IFERROR(
    IF(
        MATCH(2,1/((Y306:BF306&lt;&gt;0)*(Y306:BF306&lt;&gt;"")))-MATCH(1,INDEX((Y306:BF306&lt;&gt;0)*(Y306:BF306&lt;&gt;""),0),0)+1 &lt;= 12,
        "No",
        "Yes"
    ),
    "No"
)</f>
        <v>Yes</v>
      </c>
      <c r="W306" s="6" t="str" cm="1">
        <f t="array" ref="W306">IFERROR(
    IF(
        MATCH(2,1/((Y306:BF306&lt;&gt;0)*(Y306:BF306&lt;&gt;"")))-MATCH(1,INDEX((Y306:BF306&lt;&gt;0)*(Y306:BF306&lt;&gt;""),0),0)+1 &lt;= 24,
        "No",
        "Yes"
    ),
    "No"
)</f>
        <v>No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428.76670000000001</v>
      </c>
      <c r="AJ306" s="8">
        <v>428.76666666666665</v>
      </c>
      <c r="AK306" s="8">
        <v>450.76666666666665</v>
      </c>
      <c r="AL306" s="8">
        <v>506.76666666666665</v>
      </c>
      <c r="AM306" s="8">
        <v>506.76666666666665</v>
      </c>
      <c r="AN306" s="8">
        <v>506.76666666666665</v>
      </c>
      <c r="AO306" s="8">
        <v>506.76666666666665</v>
      </c>
      <c r="AP306" s="8">
        <v>506.76666666666665</v>
      </c>
      <c r="AQ306" s="8">
        <v>506.76666666666665</v>
      </c>
      <c r="AR306" s="8">
        <v>506.76666666666665</v>
      </c>
      <c r="AS306" s="8">
        <v>506.76666666666665</v>
      </c>
      <c r="AT306" s="8">
        <v>450.76666666666665</v>
      </c>
      <c r="AU306" s="8">
        <v>188.16666666666666</v>
      </c>
      <c r="AV306" s="8">
        <v>188.16666666666666</v>
      </c>
      <c r="AW306" s="8">
        <v>166.16666666666666</v>
      </c>
      <c r="AX306" s="8">
        <v>166.16666666666666</v>
      </c>
      <c r="AY306" s="8">
        <v>166.16666666666666</v>
      </c>
      <c r="AZ306" s="8">
        <v>166.16666666666666</v>
      </c>
      <c r="BA306" s="8">
        <v>166.16666666666666</v>
      </c>
      <c r="BB306" s="8">
        <v>166.16666666666666</v>
      </c>
      <c r="BC306" s="8">
        <v>166.16666666666666</v>
      </c>
      <c r="BD306" s="8">
        <v>166.16666666666666</v>
      </c>
      <c r="BE306" s="8">
        <v>166.16666666666666</v>
      </c>
      <c r="BF306" s="8">
        <v>166.16666666666666</v>
      </c>
      <c r="BH306" s="8">
        <f t="shared" si="57"/>
        <v>857.53336666666667</v>
      </c>
      <c r="BI306" s="8">
        <f t="shared" si="58"/>
        <v>5331.9999999999991</v>
      </c>
      <c r="BJ306" s="8">
        <f t="shared" si="59"/>
        <v>1661.6666666666667</v>
      </c>
    </row>
    <row r="307" spans="1:62" x14ac:dyDescent="0.25">
      <c r="A307" s="9" t="s">
        <v>181</v>
      </c>
      <c r="B307" s="9" t="s">
        <v>644</v>
      </c>
      <c r="C307" s="10">
        <v>44927</v>
      </c>
      <c r="D307" s="6" cm="1">
        <f t="array" ref="D307">_xlfn.LET(
  _xlpm.aralık, Y307:BF307,
  _xlpm.ilk, MATCH(TRUE, _xlpm.aralık&lt;&gt;0, 0),
  _xlpm.son, MIN(_xlpm.ilk+2, COLUMNS(_xlpm.aralık)),
  MAX(INDEX(_xlpm.aralık, _xlpm.ilk):INDEX(_xlpm.aralık, _xlpm.son))
)</f>
        <v>134</v>
      </c>
      <c r="E307" s="6">
        <f t="shared" si="52"/>
        <v>134</v>
      </c>
      <c r="F307" s="6">
        <f t="shared" si="53"/>
        <v>163.48000000000002</v>
      </c>
      <c r="G307" s="6">
        <f t="shared" si="60"/>
        <v>163.48000000000002</v>
      </c>
      <c r="H307" s="7">
        <f t="shared" si="54"/>
        <v>0</v>
      </c>
      <c r="I307" s="7">
        <f t="shared" si="55"/>
        <v>0.22000000000000014</v>
      </c>
      <c r="J307" s="7">
        <f t="shared" si="56"/>
        <v>0.22000000000000014</v>
      </c>
      <c r="K307" s="7">
        <f t="shared" si="61"/>
        <v>0.22000000000000014</v>
      </c>
      <c r="L307" s="5" t="s">
        <v>421</v>
      </c>
      <c r="M307" s="7">
        <f>IF(R307="",(VLOOKUP(A307,[1]Export!$B$2:$H$680,7,0)),"CHURN")</f>
        <v>0</v>
      </c>
      <c r="N307" s="5">
        <f t="shared" si="62"/>
        <v>163.48000000000002</v>
      </c>
      <c r="O307" s="5">
        <f t="shared" si="63"/>
        <v>134</v>
      </c>
      <c r="P307" s="5">
        <f t="shared" si="64"/>
        <v>163.48000000000002</v>
      </c>
      <c r="Q307" s="5" t="s">
        <v>430</v>
      </c>
      <c r="T307" s="6" t="str" cm="1">
        <f t="array" ref="T307">IF(R307&lt;&gt;"Churn","",
 _xlfn.LET(
   _xlpm.rng,Y307:BF307,
   _xlpm.pos,MAX(IF((_xlpm.rng&lt;&gt;0)*(_xlpm.rng&lt;&gt;""),COLUMN(_xlpm.rng)-COLUMN(Y307)+1)),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7" s="6" t="str" cm="1">
        <f t="array" ref="U307">IF(R307="Churn",
   MAX(IF((Y307:BF307&lt;&gt;"")*(Y307:BF307&lt;&gt;0), COLUMN(Y307:BF307)-COLUMN(Y307)+1))
   -MATCH(1, --((Y307:BF307&lt;&gt;"")*(Y307:BF307&lt;&gt;0)), 0)
   +1,
"")</f>
        <v/>
      </c>
      <c r="V307" s="6" t="str" cm="1">
        <f t="array" ref="V307">IFERROR(
    IF(
        MATCH(2,1/((Y307:BF307&lt;&gt;0)*(Y307:BF307&lt;&gt;"")))-MATCH(1,INDEX((Y307:BF307&lt;&gt;0)*(Y307:BF307&lt;&gt;""),0),0)+1 &lt;= 12,
        "No",
        "Yes"
    ),
    "No"
)</f>
        <v>Yes</v>
      </c>
      <c r="W307" s="6" t="str" cm="1">
        <f t="array" ref="W307">IFERROR(
    IF(
        MATCH(2,1/((Y307:BF307&lt;&gt;0)*(Y307:BF307&lt;&gt;"")))-MATCH(1,INDEX((Y307:BF307&lt;&gt;0)*(Y307:BF307&lt;&gt;""),0),0)+1 &lt;= 24,
        "No",
        "Yes"
    ),
    "No"
)</f>
        <v>Yes</v>
      </c>
      <c r="Y307" s="8">
        <v>134</v>
      </c>
      <c r="Z307" s="8">
        <v>134</v>
      </c>
      <c r="AA307" s="8">
        <v>134</v>
      </c>
      <c r="AB307" s="8">
        <v>134</v>
      </c>
      <c r="AC307" s="8">
        <v>134</v>
      </c>
      <c r="AD307" s="8">
        <v>134</v>
      </c>
      <c r="AE307" s="8">
        <v>134</v>
      </c>
      <c r="AF307" s="8">
        <v>134</v>
      </c>
      <c r="AG307" s="8">
        <v>134</v>
      </c>
      <c r="AH307" s="8">
        <v>134</v>
      </c>
      <c r="AI307" s="8">
        <v>134</v>
      </c>
      <c r="AJ307" s="8">
        <v>134</v>
      </c>
      <c r="AK307" s="8">
        <v>134</v>
      </c>
      <c r="AL307" s="8">
        <v>134</v>
      </c>
      <c r="AM307" s="8">
        <v>134</v>
      </c>
      <c r="AN307" s="8">
        <v>134</v>
      </c>
      <c r="AO307" s="8">
        <v>134</v>
      </c>
      <c r="AP307" s="8">
        <v>134</v>
      </c>
      <c r="AQ307" s="8">
        <v>134</v>
      </c>
      <c r="AR307" s="8">
        <v>134</v>
      </c>
      <c r="AS307" s="8">
        <v>134</v>
      </c>
      <c r="AT307" s="8">
        <v>134</v>
      </c>
      <c r="AU307" s="8">
        <v>134</v>
      </c>
      <c r="AV307" s="8">
        <v>134</v>
      </c>
      <c r="AW307" s="8">
        <v>163.48000000000002</v>
      </c>
      <c r="AX307" s="8">
        <v>163.48000000000002</v>
      </c>
      <c r="AY307" s="8">
        <v>163.48000000000002</v>
      </c>
      <c r="AZ307" s="8">
        <v>163.48000000000002</v>
      </c>
      <c r="BA307" s="8">
        <v>163.48000000000002</v>
      </c>
      <c r="BB307" s="8">
        <v>163.48000000000002</v>
      </c>
      <c r="BC307" s="8">
        <v>163.48000000000002</v>
      </c>
      <c r="BD307" s="8">
        <v>163.48000000000002</v>
      </c>
      <c r="BE307" s="8">
        <v>163.48000000000002</v>
      </c>
      <c r="BF307" s="8">
        <v>163.48000000000002</v>
      </c>
      <c r="BH307" s="8">
        <f t="shared" si="57"/>
        <v>1608</v>
      </c>
      <c r="BI307" s="8">
        <f t="shared" si="58"/>
        <v>1608</v>
      </c>
      <c r="BJ307" s="8">
        <f t="shared" si="59"/>
        <v>1634.8000000000002</v>
      </c>
    </row>
    <row r="308" spans="1:62" x14ac:dyDescent="0.25">
      <c r="A308" s="9" t="s">
        <v>212</v>
      </c>
      <c r="B308" s="9" t="s">
        <v>644</v>
      </c>
      <c r="C308" s="10">
        <f>VLOOKUP(A308,'[2]Revenue_Engine_2025 Oct.25'!$C$14:G$3937,5,0)</f>
        <v>45098</v>
      </c>
      <c r="D308" s="6" cm="1">
        <f t="array" ref="D308">_xlfn.LET(
  _xlpm.aralık, Y308:BF308,
  _xlpm.ilk, MATCH(TRUE, _xlpm.aralık&lt;&gt;0, 0),
  _xlpm.son, MIN(_xlpm.ilk+2, COLUMNS(_xlpm.aralık)),
  MAX(INDEX(_xlpm.aralık, _xlpm.ilk):INDEX(_xlpm.aralık, _xlpm.son))
)</f>
        <v>160.012461</v>
      </c>
      <c r="E308" s="6">
        <f t="shared" si="52"/>
        <v>160.012461</v>
      </c>
      <c r="F308" s="6">
        <f t="shared" si="53"/>
        <v>160.00536699999998</v>
      </c>
      <c r="G308" s="6">
        <f t="shared" si="60"/>
        <v>160.00536699999998</v>
      </c>
      <c r="H308" s="7">
        <f t="shared" si="54"/>
        <v>0</v>
      </c>
      <c r="I308" s="7">
        <f t="shared" si="55"/>
        <v>-4.4334047209132483E-5</v>
      </c>
      <c r="J308" s="7">
        <f t="shared" si="56"/>
        <v>-4.4334047209132483E-5</v>
      </c>
      <c r="K308" s="7">
        <f t="shared" si="61"/>
        <v>-4.4334047209132483E-5</v>
      </c>
      <c r="L308" s="5" t="s">
        <v>418</v>
      </c>
      <c r="M308" s="7">
        <f>IF(R308="",(VLOOKUP(A308,[1]Export!$B$2:$H$680,7,0)),"CHURN")</f>
        <v>0.18123159581265794</v>
      </c>
      <c r="N308" s="5">
        <f t="shared" si="62"/>
        <v>131.007339</v>
      </c>
      <c r="O308" s="5">
        <f t="shared" si="63"/>
        <v>131.0131473430593</v>
      </c>
      <c r="P308" s="5">
        <f t="shared" si="64"/>
        <v>131.007339</v>
      </c>
      <c r="Q308" s="5" t="s">
        <v>430</v>
      </c>
      <c r="T308" s="6" t="str" cm="1">
        <f t="array" ref="T308">IF(R308&lt;&gt;"Churn","",
 _xlfn.LET(
   _xlpm.rng,Y308:BF308,
   _xlpm.pos,MAX(IF((_xlpm.rng&lt;&gt;0)*(_xlpm.rng&lt;&gt;""),COLUMN(_xlpm.rng)-COLUMN(Y308)+1)),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8" s="6" t="str" cm="1">
        <f t="array" ref="U308">IF(R308="Churn",
   MAX(IF((Y308:BF308&lt;&gt;"")*(Y308:BF308&lt;&gt;0), COLUMN(Y308:BF308)-COLUMN(Y308)+1))
   -MATCH(1, --((Y308:BF308&lt;&gt;"")*(Y308:BF308&lt;&gt;0)), 0)
   +1,
"")</f>
        <v/>
      </c>
      <c r="V308" s="6" t="str" cm="1">
        <f t="array" ref="V308">IFERROR(
    IF(
        MATCH(2,1/((Y308:BF308&lt;&gt;0)*(Y308:BF308&lt;&gt;"")))-MATCH(1,INDEX((Y308:BF308&lt;&gt;0)*(Y308:BF308&lt;&gt;""),0),0)+1 &lt;= 12,
        "No",
        "Yes"
    ),
    "No"
)</f>
        <v>Yes</v>
      </c>
      <c r="W308" s="6" t="str" cm="1">
        <f t="array" ref="W308">IFERROR(
    IF(
        MATCH(2,1/((Y308:BF308&lt;&gt;0)*(Y308:BF308&lt;&gt;"")))-MATCH(1,INDEX((Y308:BF308&lt;&gt;0)*(Y308:BF308&lt;&gt;""),0),0)+1 &lt;= 24,
        "No",
        "Yes"
    ),
    "No"
)</f>
        <v>Yes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160.012461</v>
      </c>
      <c r="AE308" s="8">
        <v>160.012461</v>
      </c>
      <c r="AF308" s="8">
        <v>160.012461</v>
      </c>
      <c r="AG308" s="8">
        <v>160.012461</v>
      </c>
      <c r="AH308" s="8">
        <v>160.012461</v>
      </c>
      <c r="AI308" s="8">
        <v>160.012461</v>
      </c>
      <c r="AJ308" s="8">
        <v>160.012461</v>
      </c>
      <c r="AK308" s="8">
        <v>160.012461</v>
      </c>
      <c r="AL308" s="8">
        <v>160.012461</v>
      </c>
      <c r="AM308" s="8">
        <v>160.012461</v>
      </c>
      <c r="AN308" s="8">
        <v>160.012461</v>
      </c>
      <c r="AO308" s="8">
        <v>160.012461</v>
      </c>
      <c r="AP308" s="8">
        <v>160.012461</v>
      </c>
      <c r="AQ308" s="8">
        <v>160.012461</v>
      </c>
      <c r="AR308" s="8">
        <v>160.012461</v>
      </c>
      <c r="AS308" s="8">
        <v>160.012461</v>
      </c>
      <c r="AT308" s="8">
        <v>160.012461</v>
      </c>
      <c r="AU308" s="8">
        <v>160.012461</v>
      </c>
      <c r="AV308" s="8">
        <v>160.012461</v>
      </c>
      <c r="AW308" s="8">
        <v>160.00178899999997</v>
      </c>
      <c r="AX308" s="8">
        <v>160.00178899999997</v>
      </c>
      <c r="AY308" s="8">
        <v>160.00178899999997</v>
      </c>
      <c r="AZ308" s="8">
        <v>160.00536700000004</v>
      </c>
      <c r="BA308" s="8">
        <v>160.00536699999998</v>
      </c>
      <c r="BB308" s="8">
        <v>160.00536699999998</v>
      </c>
      <c r="BC308" s="8">
        <v>160.00536699999998</v>
      </c>
      <c r="BD308" s="8">
        <v>160.00536699999998</v>
      </c>
      <c r="BE308" s="8">
        <v>160.00536699999998</v>
      </c>
      <c r="BF308" s="8">
        <v>160.00536699999998</v>
      </c>
      <c r="BH308" s="8">
        <f t="shared" si="57"/>
        <v>1120.087227</v>
      </c>
      <c r="BI308" s="8">
        <f t="shared" si="58"/>
        <v>1920.1495320000001</v>
      </c>
      <c r="BJ308" s="8">
        <f t="shared" si="59"/>
        <v>1600.0429359999998</v>
      </c>
    </row>
    <row r="309" spans="1:62" x14ac:dyDescent="0.25">
      <c r="A309" s="9" t="s">
        <v>179</v>
      </c>
      <c r="B309" s="9" t="s">
        <v>644</v>
      </c>
      <c r="C309" s="10">
        <v>44927</v>
      </c>
      <c r="D309" s="6" cm="1">
        <f t="array" ref="D309">_xlfn.LET(
  _xlpm.aralık, Y309:BF309,
  _xlpm.ilk, MATCH(TRUE, _xlpm.aralık&lt;&gt;0, 0),
  _xlpm.son, MIN(_xlpm.ilk+2, COLUMNS(_xlpm.aralık)),
  MAX(INDEX(_xlpm.aralık, _xlpm.ilk):INDEX(_xlpm.aralık, _xlpm.son))
)</f>
        <v>311.62</v>
      </c>
      <c r="E309" s="6">
        <f t="shared" si="52"/>
        <v>311.62</v>
      </c>
      <c r="F309" s="6">
        <f t="shared" si="53"/>
        <v>354.12</v>
      </c>
      <c r="G309" s="6">
        <f t="shared" si="60"/>
        <v>158.34</v>
      </c>
      <c r="H309" s="7">
        <f t="shared" si="54"/>
        <v>0</v>
      </c>
      <c r="I309" s="7">
        <f t="shared" si="55"/>
        <v>0.13638405750593671</v>
      </c>
      <c r="J309" s="7">
        <f t="shared" si="56"/>
        <v>0.13638405750593671</v>
      </c>
      <c r="K309" s="7">
        <f t="shared" si="61"/>
        <v>-0.49188113728258775</v>
      </c>
      <c r="L309" s="5" t="s">
        <v>417</v>
      </c>
      <c r="M309" s="7">
        <f>IF(R309="",(VLOOKUP(A309,[1]Export!$B$2:$H$680,7,0)),"CHURN")</f>
        <v>1</v>
      </c>
      <c r="N309" s="5">
        <f t="shared" si="62"/>
        <v>0</v>
      </c>
      <c r="O309" s="5">
        <f t="shared" si="63"/>
        <v>0</v>
      </c>
      <c r="P309" s="5">
        <f t="shared" si="64"/>
        <v>0</v>
      </c>
      <c r="Q309" s="5" t="str">
        <f>VLOOKUP(A309,[4]Sheet2!$A$1:$B$142,2,0)</f>
        <v>NO RISK</v>
      </c>
      <c r="T309" s="6" t="str" cm="1">
        <f t="array" ref="T309">IF(R309&lt;&gt;"Churn","",
 _xlfn.LET(
   _xlpm.rng,Y309:BF309,
   _xlpm.pos,MAX(IF((_xlpm.rng&lt;&gt;0)*(_xlpm.rng&lt;&gt;""),COLUMN(_xlpm.rng)-COLUMN(Y309)+1)),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09" s="6" t="str" cm="1">
        <f t="array" ref="U309">IF(R309="Churn",
   MAX(IF((Y309:BF309&lt;&gt;"")*(Y309:BF309&lt;&gt;0), COLUMN(Y309:BF309)-COLUMN(Y309)+1))
   -MATCH(1, --((Y309:BF309&lt;&gt;"")*(Y309:BF309&lt;&gt;0)), 0)
   +1,
"")</f>
        <v/>
      </c>
      <c r="V309" s="6" t="str" cm="1">
        <f t="array" ref="V309">IFERROR(
    IF(
        MATCH(2,1/((Y309:BF309&lt;&gt;0)*(Y309:BF309&lt;&gt;"")))-MATCH(1,INDEX((Y309:BF309&lt;&gt;0)*(Y309:BF309&lt;&gt;""),0),0)+1 &lt;= 12,
        "No",
        "Yes"
    ),
    "No"
)</f>
        <v>Yes</v>
      </c>
      <c r="W309" s="6" t="str" cm="1">
        <f t="array" ref="W309">IFERROR(
    IF(
        MATCH(2,1/((Y309:BF309&lt;&gt;0)*(Y309:BF309&lt;&gt;"")))-MATCH(1,INDEX((Y309:BF309&lt;&gt;0)*(Y309:BF309&lt;&gt;""),0),0)+1 &lt;= 24,
        "No",
        "Yes"
    ),
    "No"
)</f>
        <v>Yes</v>
      </c>
      <c r="X309" s="6"/>
      <c r="Y309" s="8">
        <v>311.62</v>
      </c>
      <c r="Z309" s="8">
        <v>311.62</v>
      </c>
      <c r="AA309" s="8">
        <v>311.62</v>
      </c>
      <c r="AB309" s="8">
        <v>311.62</v>
      </c>
      <c r="AC309" s="8">
        <v>311.62</v>
      </c>
      <c r="AD309" s="8">
        <v>311.62</v>
      </c>
      <c r="AE309" s="8">
        <v>311.62</v>
      </c>
      <c r="AF309" s="8">
        <v>311.62</v>
      </c>
      <c r="AG309" s="8">
        <v>311.62</v>
      </c>
      <c r="AH309" s="8">
        <v>311.62</v>
      </c>
      <c r="AI309" s="8">
        <v>311.62</v>
      </c>
      <c r="AJ309" s="8">
        <v>311.62</v>
      </c>
      <c r="AK309" s="8">
        <v>311.62</v>
      </c>
      <c r="AL309" s="8">
        <v>324.12</v>
      </c>
      <c r="AM309" s="8">
        <v>411.62</v>
      </c>
      <c r="AN309" s="8">
        <v>424.12</v>
      </c>
      <c r="AO309" s="8">
        <v>424.12</v>
      </c>
      <c r="AP309" s="8">
        <v>436.62</v>
      </c>
      <c r="AQ309" s="8">
        <v>436.62</v>
      </c>
      <c r="AR309" s="8">
        <v>449.12</v>
      </c>
      <c r="AS309" s="8">
        <v>574.12</v>
      </c>
      <c r="AT309" s="8">
        <v>574.12</v>
      </c>
      <c r="AU309" s="8">
        <v>599.12</v>
      </c>
      <c r="AV309" s="8">
        <v>599.12</v>
      </c>
      <c r="AW309" s="8">
        <v>354.12</v>
      </c>
      <c r="AX309" s="8">
        <v>354.12</v>
      </c>
      <c r="AY309" s="8">
        <v>354.12</v>
      </c>
      <c r="AZ309" s="8">
        <v>354.12</v>
      </c>
      <c r="BA309" s="8">
        <v>354.12</v>
      </c>
      <c r="BB309" s="8">
        <v>354.12</v>
      </c>
      <c r="BC309" s="8">
        <v>354.12</v>
      </c>
      <c r="BD309" s="8">
        <v>158.34</v>
      </c>
      <c r="BE309" s="8">
        <v>158.34</v>
      </c>
      <c r="BF309" s="8">
        <v>158.34</v>
      </c>
      <c r="BH309" s="8">
        <f t="shared" si="57"/>
        <v>3739.4399999999991</v>
      </c>
      <c r="BI309" s="8">
        <f t="shared" si="58"/>
        <v>5564.44</v>
      </c>
      <c r="BJ309" s="8">
        <f t="shared" si="59"/>
        <v>2953.86</v>
      </c>
    </row>
    <row r="310" spans="1:62" x14ac:dyDescent="0.25">
      <c r="A310" s="9" t="s">
        <v>245</v>
      </c>
      <c r="B310" s="9" t="s">
        <v>644</v>
      </c>
      <c r="C310" s="10">
        <f>VLOOKUP(A310,'[2]Revenue_Engine_2025 Oct.25'!$C$14:G$3937,5,0)</f>
        <v>45257</v>
      </c>
      <c r="D310" s="6" cm="1">
        <f t="array" ref="D310">_xlfn.LET(
  _xlpm.aralık, Y310:BF310,
  _xlpm.ilk, MATCH(TRUE, _xlpm.aralık&lt;&gt;0, 0),
  _xlpm.son, MIN(_xlpm.ilk+2, COLUMNS(_xlpm.aralık)),
  MAX(INDEX(_xlpm.aralık, _xlpm.ilk):INDEX(_xlpm.aralık, _xlpm.son))
)</f>
        <v>200.18181826515152</v>
      </c>
      <c r="E310" s="6">
        <f t="shared" si="52"/>
        <v>154.16666675000002</v>
      </c>
      <c r="F310" s="6">
        <f t="shared" si="53"/>
        <v>0</v>
      </c>
      <c r="G310" s="6">
        <f t="shared" si="60"/>
        <v>154.16666675000002</v>
      </c>
      <c r="H310" s="7">
        <f t="shared" si="54"/>
        <v>-0.22986678767300422</v>
      </c>
      <c r="I310" s="7">
        <f t="shared" si="55"/>
        <v>-1</v>
      </c>
      <c r="J310" s="7">
        <f t="shared" si="56"/>
        <v>-1</v>
      </c>
      <c r="K310" s="7">
        <f t="shared" si="61"/>
        <v>-0.22986678767300422</v>
      </c>
      <c r="L310" s="5" t="s">
        <v>420</v>
      </c>
      <c r="M310" s="7">
        <f>IF(R310="",(VLOOKUP(A310,[1]Export!$B$2:$H$680,7,0)),"CHURN")</f>
        <v>9.0810810761723898E-2</v>
      </c>
      <c r="N310" s="5">
        <f t="shared" si="62"/>
        <v>140.16666675000002</v>
      </c>
      <c r="O310" s="5">
        <f t="shared" si="63"/>
        <v>140.16666675000002</v>
      </c>
      <c r="P310" s="5">
        <f t="shared" si="64"/>
        <v>0</v>
      </c>
      <c r="Q310" s="5" t="str">
        <f>VLOOKUP(A310,[4]Sheet2!$A$1:$B$142,2,0)</f>
        <v>LOW RISK</v>
      </c>
      <c r="T310" s="6" t="str" cm="1">
        <f t="array" ref="T310">IF(R310&lt;&gt;"Churn","",
 _xlfn.LET(
   _xlpm.rng,Y310:BF310,
   _xlpm.pos,MAX(IF((_xlpm.rng&lt;&gt;0)*(_xlpm.rng&lt;&gt;""),COLUMN(_xlpm.rng)-COLUMN(Y310)+1)),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0" s="6" t="str" cm="1">
        <f t="array" ref="U310">IF(R310="Churn",
   MAX(IF((Y310:BF310&lt;&gt;"")*(Y310:BF310&lt;&gt;0), COLUMN(Y310:BF310)-COLUMN(Y310)+1))
   -MATCH(1, --((Y310:BF310&lt;&gt;"")*(Y310:BF310&lt;&gt;0)), 0)
   +1,
"")</f>
        <v/>
      </c>
      <c r="V310" s="6" t="str" cm="1">
        <f t="array" ref="V310">IFERROR(
    IF(
        MATCH(2,1/((Y310:BF310&lt;&gt;0)*(Y310:BF310&lt;&gt;"")))-MATCH(1,INDEX((Y310:BF310&lt;&gt;0)*(Y310:BF310&lt;&gt;""),0),0)+1 &lt;= 12,
        "No",
        "Yes"
    ),
    "No"
)</f>
        <v>Yes</v>
      </c>
      <c r="W310" s="6" t="str" cm="1">
        <f t="array" ref="W310">IFERROR(
    IF(
        MATCH(2,1/((Y310:BF310&lt;&gt;0)*(Y310:BF310&lt;&gt;"")))-MATCH(1,INDEX((Y310:BF310&lt;&gt;0)*(Y310:BF310&lt;&gt;""),0),0)+1 &lt;= 24,
        "No",
        "Yes"
    ),
    "No"
)</f>
        <v>No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150</v>
      </c>
      <c r="AJ310" s="8">
        <v>150</v>
      </c>
      <c r="AK310" s="8">
        <v>200.18181826515152</v>
      </c>
      <c r="AL310" s="8">
        <v>99.818181901515146</v>
      </c>
      <c r="AM310" s="8">
        <v>150.00000008333333</v>
      </c>
      <c r="AN310" s="8">
        <v>150.00000008333333</v>
      </c>
      <c r="AO310" s="8">
        <v>150.00000008333333</v>
      </c>
      <c r="AP310" s="8">
        <v>150.00000008333333</v>
      </c>
      <c r="AQ310" s="8">
        <v>150.00000008333333</v>
      </c>
      <c r="AR310" s="8">
        <v>150.00000008333333</v>
      </c>
      <c r="AS310" s="8">
        <v>150.00000008333333</v>
      </c>
      <c r="AT310" s="8">
        <v>150.00000008333333</v>
      </c>
      <c r="AU310" s="8">
        <v>154.16666675000002</v>
      </c>
      <c r="AV310" s="8">
        <v>154.16666675000002</v>
      </c>
      <c r="AW310" s="8">
        <v>154.16666675000002</v>
      </c>
      <c r="AX310" s="8">
        <v>154.16666675000002</v>
      </c>
      <c r="AY310" s="8">
        <v>154.16666675000002</v>
      </c>
      <c r="AZ310" s="8">
        <v>154.16666675000002</v>
      </c>
      <c r="BA310" s="8">
        <v>154.16666675000002</v>
      </c>
      <c r="BB310" s="8">
        <v>154.16666675000002</v>
      </c>
      <c r="BC310" s="8">
        <v>154.16666675000002</v>
      </c>
      <c r="BD310" s="8">
        <v>154.16666675000002</v>
      </c>
      <c r="BE310" s="8">
        <v>154.16666675000002</v>
      </c>
      <c r="BF310" s="8">
        <v>154.16666675000002</v>
      </c>
      <c r="BH310" s="8">
        <f t="shared" si="57"/>
        <v>300</v>
      </c>
      <c r="BI310" s="8">
        <f t="shared" si="58"/>
        <v>1808.3333343333336</v>
      </c>
      <c r="BJ310" s="8">
        <f t="shared" si="59"/>
        <v>1541.6666675000004</v>
      </c>
    </row>
    <row r="311" spans="1:62" x14ac:dyDescent="0.25">
      <c r="A311" s="9" t="s">
        <v>296</v>
      </c>
      <c r="B311" s="9" t="s">
        <v>644</v>
      </c>
      <c r="C311" s="10">
        <f>VLOOKUP(A311,'[2]Revenue_Engine_2025 Oct.25'!$C$14:G$3937,5,0)</f>
        <v>45435</v>
      </c>
      <c r="D311" s="6" cm="1">
        <f t="array" ref="D311">_xlfn.LET(
  _xlpm.aralık, Y311:BF311,
  _xlpm.ilk, MATCH(TRUE, _xlpm.aralık&lt;&gt;0, 0),
  _xlpm.son, MIN(_xlpm.ilk+2, COLUMNS(_xlpm.aralık)),
  MAX(INDEX(_xlpm.aralık, _xlpm.ilk):INDEX(_xlpm.aralık, _xlpm.son))
)</f>
        <v>172.00000016666667</v>
      </c>
      <c r="E311" s="6">
        <f t="shared" si="52"/>
        <v>173.25000016666667</v>
      </c>
      <c r="F311" s="6">
        <f t="shared" si="53"/>
        <v>0</v>
      </c>
      <c r="G311" s="6">
        <f t="shared" si="60"/>
        <v>151.25000016666667</v>
      </c>
      <c r="H311" s="7">
        <f t="shared" si="54"/>
        <v>7.2674418534230218E-3</v>
      </c>
      <c r="I311" s="7">
        <f t="shared" si="55"/>
        <v>-1</v>
      </c>
      <c r="J311" s="7">
        <f t="shared" si="56"/>
        <v>-1</v>
      </c>
      <c r="K311" s="7">
        <f t="shared" si="61"/>
        <v>-0.12063953476682215</v>
      </c>
      <c r="L311" s="5" t="s">
        <v>417</v>
      </c>
      <c r="M311" s="7">
        <f>IF(R311="",(VLOOKUP(A311,[1]Export!$B$2:$H$680,7,0)),"CHURN")</f>
        <v>0.13223140481296816</v>
      </c>
      <c r="N311" s="5">
        <f t="shared" si="62"/>
        <v>131.25000016666667</v>
      </c>
      <c r="O311" s="5">
        <f t="shared" si="63"/>
        <v>150.34090926078136</v>
      </c>
      <c r="P311" s="5">
        <f t="shared" si="64"/>
        <v>0</v>
      </c>
      <c r="Q311" s="5" t="s">
        <v>430</v>
      </c>
      <c r="T311" s="6" t="str" cm="1">
        <f t="array" ref="T311">IF(R311&lt;&gt;"Churn","",
 _xlfn.LET(
   _xlpm.rng,Y311:BF311,
   _xlpm.pos,MAX(IF((_xlpm.rng&lt;&gt;0)*(_xlpm.rng&lt;&gt;""),COLUMN(_xlpm.rng)-COLUMN(Y311)+1)),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1" s="6" t="str" cm="1">
        <f t="array" ref="U311">IF(R311="Churn",
   MAX(IF((Y311:BF311&lt;&gt;"")*(Y311:BF311&lt;&gt;0), COLUMN(Y311:BF311)-COLUMN(Y311)+1))
   -MATCH(1, --((Y311:BF311&lt;&gt;"")*(Y311:BF311&lt;&gt;0)), 0)
   +1,
"")</f>
        <v/>
      </c>
      <c r="V311" s="6" t="str" cm="1">
        <f t="array" ref="V311">IFERROR(
    IF(
        MATCH(2,1/((Y311:BF311&lt;&gt;0)*(Y311:BF311&lt;&gt;"")))-MATCH(1,INDEX((Y311:BF311&lt;&gt;0)*(Y311:BF311&lt;&gt;""),0),0)+1 &lt;= 12,
        "No",
        "Yes"
    ),
    "No"
)</f>
        <v>Yes</v>
      </c>
      <c r="W311" s="6" t="str" cm="1">
        <f t="array" ref="W311">IFERROR(
    IF(
        MATCH(2,1/((Y311:BF311&lt;&gt;0)*(Y311:BF311&lt;&gt;"")))-MATCH(1,INDEX((Y311:BF311&lt;&gt;0)*(Y311:BF311&lt;&gt;""),0),0)+1 &lt;= 24,
        "No",
        "Yes"
    ),
    "No"
)</f>
        <v>No</v>
      </c>
      <c r="X311" s="6"/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150.00000016666667</v>
      </c>
      <c r="AP311" s="8">
        <v>150.00000016666667</v>
      </c>
      <c r="AQ311" s="8">
        <v>172.00000016666667</v>
      </c>
      <c r="AR311" s="8">
        <v>172.00000016666667</v>
      </c>
      <c r="AS311" s="8">
        <v>172.00000016666667</v>
      </c>
      <c r="AT311" s="8">
        <v>172.00000016666667</v>
      </c>
      <c r="AU311" s="8">
        <v>172.00000016666667</v>
      </c>
      <c r="AV311" s="8">
        <v>172.00000016666667</v>
      </c>
      <c r="AW311" s="8">
        <v>172.00000016666667</v>
      </c>
      <c r="AX311" s="8">
        <v>172.00000016666667</v>
      </c>
      <c r="AY311" s="8">
        <v>172.00000016666667</v>
      </c>
      <c r="AZ311" s="8">
        <v>172.00000016666667</v>
      </c>
      <c r="BA311" s="8">
        <v>173.25000016666667</v>
      </c>
      <c r="BB311" s="8">
        <v>173.25000016666667</v>
      </c>
      <c r="BC311" s="8">
        <v>173.25000016666667</v>
      </c>
      <c r="BD311" s="8">
        <v>151.25000016666667</v>
      </c>
      <c r="BE311" s="8">
        <v>151.25000016666667</v>
      </c>
      <c r="BF311" s="8">
        <v>151.25000016666667</v>
      </c>
      <c r="BH311" s="8">
        <f t="shared" si="57"/>
        <v>0</v>
      </c>
      <c r="BI311" s="8">
        <f t="shared" si="58"/>
        <v>1332.0000013333336</v>
      </c>
      <c r="BJ311" s="8">
        <f t="shared" si="59"/>
        <v>1661.500001666667</v>
      </c>
    </row>
    <row r="312" spans="1:62" x14ac:dyDescent="0.25">
      <c r="A312" s="9" t="s">
        <v>501</v>
      </c>
      <c r="B312" s="9" t="s">
        <v>644</v>
      </c>
      <c r="C312" s="10">
        <f>VLOOKUP(A312,'[2]Revenue_Engine_2025 Oct.25'!$C$14:G$3937,5,0)</f>
        <v>45551</v>
      </c>
      <c r="D312" s="6" cm="1">
        <f t="array" ref="D312">_xlfn.LET(
  _xlpm.aralık, Y312:BF312,
  _xlpm.ilk, MATCH(TRUE, _xlpm.aralık&lt;&gt;0, 0),
  _xlpm.son, MIN(_xlpm.ilk+2, COLUMNS(_xlpm.aralık)),
  MAX(INDEX(_xlpm.aralık, _xlpm.ilk):INDEX(_xlpm.aralık, _xlpm.son))
)</f>
        <v>220.50000100105535</v>
      </c>
      <c r="E312" s="6">
        <f t="shared" si="52"/>
        <v>150</v>
      </c>
      <c r="F312" s="6">
        <f t="shared" si="53"/>
        <v>0</v>
      </c>
      <c r="G312" s="6">
        <f t="shared" si="60"/>
        <v>150</v>
      </c>
      <c r="H312" s="7">
        <f t="shared" si="54"/>
        <v>-0.31972789424485276</v>
      </c>
      <c r="I312" s="7">
        <f t="shared" si="55"/>
        <v>-1</v>
      </c>
      <c r="J312" s="7">
        <f t="shared" si="56"/>
        <v>-1</v>
      </c>
      <c r="K312" s="7">
        <f t="shared" si="61"/>
        <v>-0.31972789424485276</v>
      </c>
      <c r="L312" s="5" t="s">
        <v>417</v>
      </c>
      <c r="M312" s="7" t="str">
        <f>IF(R312="",(VLOOKUP(A312,[1]Export!$B$2:$H$680,7,0)),"CHURN")</f>
        <v>CHURN</v>
      </c>
      <c r="N312" s="5" t="e">
        <f t="shared" si="62"/>
        <v>#VALUE!</v>
      </c>
      <c r="O312" s="5" t="e">
        <f t="shared" si="63"/>
        <v>#VALUE!</v>
      </c>
      <c r="P312" s="5" t="e">
        <f t="shared" si="64"/>
        <v>#VALUE!</v>
      </c>
      <c r="Q312" s="5" t="s">
        <v>696</v>
      </c>
      <c r="R312" s="5" t="s">
        <v>428</v>
      </c>
      <c r="S312" s="5" t="str">
        <f>VLOOKUP(A312,[3]Sheet1!$A$1:$C$191,3,0)</f>
        <v>Feb.25</v>
      </c>
      <c r="T312" s="6" cm="1">
        <f t="array" ref="T312">IF(R312&lt;&gt;"Churn","",
 _xlfn.LET(
   _xlpm.rng,Y312:BF312,
   _xlpm.pos,MAX(IF((_xlpm.rng&lt;&gt;0)*(_xlpm.rng&lt;&gt;""),COLUMN(_xlpm.rng)-COLUMN(Y312)+1)),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150</v>
      </c>
      <c r="U312" s="6" cm="1">
        <f t="array" ref="U312">IF(R312="Churn",
   MAX(IF((Y312:BF312&lt;&gt;"")*(Y312:BF312&lt;&gt;0), COLUMN(Y312:BF312)-COLUMN(Y312)+1))
   -MATCH(1, --((Y312:BF312&lt;&gt;"")*(Y312:BF312&lt;&gt;0)), 0)
   +1,
"")</f>
        <v>22</v>
      </c>
      <c r="V312" s="6" t="str" cm="1">
        <f t="array" ref="V312">IFERROR(
    IF(
        MATCH(2,1/((Y312:BF312&lt;&gt;0)*(Y312:BF312&lt;&gt;"")))-MATCH(1,INDEX((Y312:BF312&lt;&gt;0)*(Y312:BF312&lt;&gt;""),0),0)+1 &lt;= 12,
        "No",
        "Yes"
    ),
    "No"
)</f>
        <v>Yes</v>
      </c>
      <c r="W312" s="6" t="str" cm="1">
        <f t="array" ref="W312">IFERROR(
    IF(
        MATCH(2,1/((Y312:BF312&lt;&gt;0)*(Y312:BF312&lt;&gt;"")))-MATCH(1,INDEX((Y312:BF312&lt;&gt;0)*(Y312:BF312&lt;&gt;""),0),0)+1 &lt;= 24,
        "No",
        "Yes"
    ),
    "No"
)</f>
        <v>No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-217.33813804143574</v>
      </c>
      <c r="AL312" s="8">
        <v>-1.280568540096283E-9</v>
      </c>
      <c r="AM312" s="8">
        <v>220.50000100105535</v>
      </c>
      <c r="AN312" s="8">
        <v>50.499999999301508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542.00243599999999</v>
      </c>
      <c r="AX312" s="8">
        <v>0</v>
      </c>
      <c r="AY312" s="8">
        <v>0</v>
      </c>
      <c r="AZ312" s="8">
        <v>0</v>
      </c>
      <c r="BA312" s="8">
        <v>250</v>
      </c>
      <c r="BB312" s="8">
        <v>150</v>
      </c>
      <c r="BC312" s="8">
        <v>150</v>
      </c>
      <c r="BD312" s="8">
        <v>150</v>
      </c>
      <c r="BE312" s="8">
        <v>150</v>
      </c>
      <c r="BF312" s="8">
        <v>150</v>
      </c>
      <c r="BH312" s="8">
        <f t="shared" si="57"/>
        <v>0</v>
      </c>
      <c r="BI312" s="8">
        <f t="shared" si="58"/>
        <v>53.661862957640551</v>
      </c>
      <c r="BJ312" s="8">
        <f t="shared" si="59"/>
        <v>1542.002436</v>
      </c>
    </row>
    <row r="313" spans="1:62" x14ac:dyDescent="0.25">
      <c r="A313" s="9" t="s">
        <v>207</v>
      </c>
      <c r="B313" s="9" t="s">
        <v>644</v>
      </c>
      <c r="C313" s="10">
        <f>VLOOKUP(A313,'[2]Revenue_Engine_2025 Oct.25'!$C$14:G$3937,5,0)</f>
        <v>45075</v>
      </c>
      <c r="D313" s="6" cm="1">
        <f t="array" ref="D313">_xlfn.LET(
  _xlpm.aralık, Y313:BF313,
  _xlpm.ilk, MATCH(TRUE, _xlpm.aralık&lt;&gt;0, 0),
  _xlpm.son, MIN(_xlpm.ilk+2, COLUMNS(_xlpm.aralık)),
  MAX(INDEX(_xlpm.aralık, _xlpm.ilk):INDEX(_xlpm.aralık, _xlpm.son))
)</f>
        <v>135.000001</v>
      </c>
      <c r="E313" s="6">
        <f t="shared" si="52"/>
        <v>154.000001</v>
      </c>
      <c r="F313" s="6">
        <f t="shared" si="53"/>
        <v>149.99641199999996</v>
      </c>
      <c r="G313" s="6">
        <f t="shared" si="60"/>
        <v>149.99641199999996</v>
      </c>
      <c r="H313" s="7">
        <f t="shared" si="54"/>
        <v>0.14074073969821674</v>
      </c>
      <c r="I313" s="7">
        <f t="shared" si="55"/>
        <v>0.11108452510307734</v>
      </c>
      <c r="J313" s="7">
        <f t="shared" si="56"/>
        <v>-2.599733100001755E-2</v>
      </c>
      <c r="K313" s="7">
        <f t="shared" si="61"/>
        <v>0.11108452510307734</v>
      </c>
      <c r="L313" s="5" t="s">
        <v>414</v>
      </c>
      <c r="M313" s="7">
        <f>IF(R313="",(VLOOKUP(A313,[1]Export!$B$2:$H$680,7,0)),"CHURN")</f>
        <v>0.16259722265889934</v>
      </c>
      <c r="N313" s="5">
        <f t="shared" si="62"/>
        <v>125.60741199999997</v>
      </c>
      <c r="O313" s="5">
        <f t="shared" si="63"/>
        <v>128.96002854793227</v>
      </c>
      <c r="P313" s="5">
        <f t="shared" si="64"/>
        <v>125.60741199999997</v>
      </c>
      <c r="Q313" s="5" t="s">
        <v>430</v>
      </c>
      <c r="T313" s="6" t="str" cm="1">
        <f t="array" ref="T313">IF(R313&lt;&gt;"Churn","",
 _xlfn.LET(
   _xlpm.rng,Y313:BF313,
   _xlpm.pos,MAX(IF((_xlpm.rng&lt;&gt;0)*(_xlpm.rng&lt;&gt;""),COLUMN(_xlpm.rng)-COLUMN(Y313)+1)),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3" s="6" t="str" cm="1">
        <f t="array" ref="U313">IF(R313="Churn",
   MAX(IF((Y313:BF313&lt;&gt;"")*(Y313:BF313&lt;&gt;0), COLUMN(Y313:BF313)-COLUMN(Y313)+1))
   -MATCH(1, --((Y313:BF313&lt;&gt;"")*(Y313:BF313&lt;&gt;0)), 0)
   +1,
"")</f>
        <v/>
      </c>
      <c r="V313" s="6" t="str" cm="1">
        <f t="array" ref="V313">IFERROR(
    IF(
        MATCH(2,1/((Y313:BF313&lt;&gt;0)*(Y313:BF313&lt;&gt;"")))-MATCH(1,INDEX((Y313:BF313&lt;&gt;0)*(Y313:BF313&lt;&gt;""),0),0)+1 &lt;= 12,
        "No",
        "Yes"
    ),
    "No"
)</f>
        <v>Yes</v>
      </c>
      <c r="W313" s="6" t="str" cm="1">
        <f t="array" ref="W313">IFERROR(
    IF(
        MATCH(2,1/((Y313:BF313&lt;&gt;0)*(Y313:BF313&lt;&gt;"")))-MATCH(1,INDEX((Y313:BF313&lt;&gt;0)*(Y313:BF313&lt;&gt;""),0),0)+1 &lt;= 24,
        "No",
        "Yes"
    ),
    "No"
)</f>
        <v>Yes</v>
      </c>
      <c r="Y313" s="8">
        <v>0</v>
      </c>
      <c r="Z313" s="8">
        <v>0</v>
      </c>
      <c r="AA313" s="8">
        <v>0</v>
      </c>
      <c r="AB313" s="8">
        <v>0</v>
      </c>
      <c r="AC313" s="8">
        <v>135.000001</v>
      </c>
      <c r="AD313" s="8">
        <v>135.000001</v>
      </c>
      <c r="AE313" s="8">
        <v>135.000001</v>
      </c>
      <c r="AF313" s="8">
        <v>135.000001</v>
      </c>
      <c r="AG313" s="8">
        <v>192.000001</v>
      </c>
      <c r="AH313" s="8">
        <v>154.000001</v>
      </c>
      <c r="AI313" s="8">
        <v>154.000001</v>
      </c>
      <c r="AJ313" s="8">
        <v>154.000001</v>
      </c>
      <c r="AK313" s="8">
        <v>154.000001</v>
      </c>
      <c r="AL313" s="8">
        <v>154.000001</v>
      </c>
      <c r="AM313" s="8">
        <v>154.000001</v>
      </c>
      <c r="AN313" s="8">
        <v>154.000001</v>
      </c>
      <c r="AO313" s="8">
        <v>154.000001</v>
      </c>
      <c r="AP313" s="8">
        <v>154.000001</v>
      </c>
      <c r="AQ313" s="8">
        <v>154.000001</v>
      </c>
      <c r="AR313" s="8">
        <v>154.000001</v>
      </c>
      <c r="AS313" s="8">
        <v>154.000001</v>
      </c>
      <c r="AT313" s="8">
        <v>154.000001</v>
      </c>
      <c r="AU313" s="8">
        <v>154.000001</v>
      </c>
      <c r="AV313" s="8">
        <v>154.000001</v>
      </c>
      <c r="AW313" s="8">
        <v>154.000001</v>
      </c>
      <c r="AX313" s="8">
        <v>154.000001</v>
      </c>
      <c r="AY313" s="8">
        <v>154.000001</v>
      </c>
      <c r="AZ313" s="8">
        <v>149.99641199999996</v>
      </c>
      <c r="BA313" s="8">
        <v>149.99641199999996</v>
      </c>
      <c r="BB313" s="8">
        <v>149.99641199999996</v>
      </c>
      <c r="BC313" s="8">
        <v>149.99641199999996</v>
      </c>
      <c r="BD313" s="8">
        <v>149.99641199999996</v>
      </c>
      <c r="BE313" s="8">
        <v>149.99641199999996</v>
      </c>
      <c r="BF313" s="8">
        <v>149.99641199999996</v>
      </c>
      <c r="BH313" s="8">
        <f t="shared" si="57"/>
        <v>1194.000008</v>
      </c>
      <c r="BI313" s="8">
        <f t="shared" si="58"/>
        <v>1848.0000119999995</v>
      </c>
      <c r="BJ313" s="8">
        <f t="shared" si="59"/>
        <v>1511.9748869999999</v>
      </c>
    </row>
    <row r="314" spans="1:62" x14ac:dyDescent="0.25">
      <c r="A314" s="9" t="s">
        <v>23</v>
      </c>
      <c r="B314" s="9" t="s">
        <v>644</v>
      </c>
      <c r="C314" s="10">
        <v>44927</v>
      </c>
      <c r="D314" s="6" cm="1">
        <f t="array" ref="D314">_xlfn.LET(
  _xlpm.aralık, Y314:BF314,
  _xlpm.ilk, MATCH(TRUE, _xlpm.aralık&lt;&gt;0, 0),
  _xlpm.son, MIN(_xlpm.ilk+2, COLUMNS(_xlpm.aralık)),
  MAX(INDEX(_xlpm.aralık, _xlpm.ilk):INDEX(_xlpm.aralık, _xlpm.son))
)</f>
        <v>168.29888221510899</v>
      </c>
      <c r="E314" s="6">
        <f t="shared" si="52"/>
        <v>158.33245417776726</v>
      </c>
      <c r="F314" s="6">
        <f t="shared" si="53"/>
        <v>145.28405809370619</v>
      </c>
      <c r="G314" s="6">
        <f t="shared" si="60"/>
        <v>146.06906627235099</v>
      </c>
      <c r="H314" s="7">
        <f t="shared" si="54"/>
        <v>-5.9218622881899302E-2</v>
      </c>
      <c r="I314" s="7">
        <f t="shared" si="55"/>
        <v>-0.13674971466528638</v>
      </c>
      <c r="J314" s="7">
        <f t="shared" si="56"/>
        <v>-8.2411380230429709E-2</v>
      </c>
      <c r="K314" s="7">
        <f t="shared" si="61"/>
        <v>-0.13208534513227038</v>
      </c>
      <c r="L314" s="5" t="s">
        <v>421</v>
      </c>
      <c r="M314" s="7">
        <f>IF(R314="",(VLOOKUP(A314,[1]Export!$B$2:$H$680,7,0)),"CHURN")</f>
        <v>0.63561635901018454</v>
      </c>
      <c r="N314" s="5">
        <f t="shared" si="62"/>
        <v>53.225178204301905</v>
      </c>
      <c r="O314" s="5">
        <f t="shared" si="63"/>
        <v>57.693756140147954</v>
      </c>
      <c r="P314" s="5">
        <f t="shared" si="64"/>
        <v>52.939134065960531</v>
      </c>
      <c r="Q314" s="5" t="s">
        <v>430</v>
      </c>
      <c r="T314" s="6" t="str" cm="1">
        <f t="array" ref="T314">IF(R314&lt;&gt;"Churn","",
 _xlfn.LET(
   _xlpm.rng,Y314:BF314,
   _xlpm.pos,MAX(IF((_xlpm.rng&lt;&gt;0)*(_xlpm.rng&lt;&gt;""),COLUMN(_xlpm.rng)-COLUMN(Y314)+1)),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4" s="6" t="str" cm="1">
        <f t="array" ref="U314">IF(R314="Churn",
   MAX(IF((Y314:BF314&lt;&gt;"")*(Y314:BF314&lt;&gt;0), COLUMN(Y314:BF314)-COLUMN(Y314)+1))
   -MATCH(1, --((Y314:BF314&lt;&gt;"")*(Y314:BF314&lt;&gt;0)), 0)
   +1,
"")</f>
        <v/>
      </c>
      <c r="V314" s="6" t="str" cm="1">
        <f t="array" ref="V314">IFERROR(
    IF(
        MATCH(2,1/((Y314:BF314&lt;&gt;0)*(Y314:BF314&lt;&gt;"")))-MATCH(1,INDEX((Y314:BF314&lt;&gt;0)*(Y314:BF314&lt;&gt;""),0),0)+1 &lt;= 12,
        "No",
        "Yes"
    ),
    "No"
)</f>
        <v>Yes</v>
      </c>
      <c r="W314" s="6" t="str" cm="1">
        <f t="array" ref="W314">IFERROR(
    IF(
        MATCH(2,1/((Y314:BF314&lt;&gt;0)*(Y314:BF314&lt;&gt;"")))-MATCH(1,INDEX((Y314:BF314&lt;&gt;0)*(Y314:BF314&lt;&gt;""),0),0)+1 &lt;= 24,
        "No",
        "Yes"
    ),
    "No"
)</f>
        <v>Yes</v>
      </c>
      <c r="Y314" s="8">
        <v>160.1319007230577</v>
      </c>
      <c r="Z314" s="8">
        <v>159.86391800407642</v>
      </c>
      <c r="AA314" s="8">
        <v>168.29888221510899</v>
      </c>
      <c r="AB314" s="8">
        <v>166.94332533931419</v>
      </c>
      <c r="AC314" s="8">
        <v>165.52246686857188</v>
      </c>
      <c r="AD314" s="8">
        <v>153.82965240504598</v>
      </c>
      <c r="AE314" s="8">
        <v>154.69484039068209</v>
      </c>
      <c r="AF314" s="8">
        <v>153.50869723529871</v>
      </c>
      <c r="AG314" s="8">
        <v>196.78012903082114</v>
      </c>
      <c r="AH314" s="8">
        <v>163.57029259214355</v>
      </c>
      <c r="AI314" s="8">
        <v>161.6000055977525</v>
      </c>
      <c r="AJ314" s="8">
        <v>160.51556553574443</v>
      </c>
      <c r="AK314" s="8">
        <v>158.33245417776726</v>
      </c>
      <c r="AL314" s="8">
        <v>156.8083476130596</v>
      </c>
      <c r="AM314" s="8">
        <v>154.32713624201867</v>
      </c>
      <c r="AN314" s="8">
        <v>153.70636459228334</v>
      </c>
      <c r="AO314" s="8">
        <v>127.79607051331831</v>
      </c>
      <c r="AP314" s="8">
        <v>127.27284599321166</v>
      </c>
      <c r="AQ314" s="8">
        <v>126.56308013602086</v>
      </c>
      <c r="AR314" s="8">
        <v>125.25929235700286</v>
      </c>
      <c r="AS314" s="8">
        <v>124.58083476150932</v>
      </c>
      <c r="AT314" s="8">
        <v>148.22217182166787</v>
      </c>
      <c r="AU314" s="8">
        <v>147.76894615168951</v>
      </c>
      <c r="AV314" s="8">
        <v>146.49752932907006</v>
      </c>
      <c r="AW314" s="8">
        <v>145.28405809370619</v>
      </c>
      <c r="AX314" s="8">
        <v>143.88642351090894</v>
      </c>
      <c r="AY314" s="8">
        <v>141.94325767630107</v>
      </c>
      <c r="AZ314" s="8">
        <v>139.91457715644208</v>
      </c>
      <c r="BA314" s="8">
        <v>141.27544676499548</v>
      </c>
      <c r="BB314" s="8">
        <v>140.04155472095999</v>
      </c>
      <c r="BC314" s="8">
        <v>138.66736345257334</v>
      </c>
      <c r="BD314" s="8">
        <v>137.58828173597607</v>
      </c>
      <c r="BE314" s="8">
        <v>136.75321838578583</v>
      </c>
      <c r="BF314" s="8">
        <v>146.06906627235099</v>
      </c>
      <c r="BH314" s="8">
        <f t="shared" si="57"/>
        <v>1965.2596759376174</v>
      </c>
      <c r="BI314" s="8">
        <f t="shared" si="58"/>
        <v>1697.1350736886193</v>
      </c>
      <c r="BJ314" s="8">
        <f t="shared" si="59"/>
        <v>1411.42324777</v>
      </c>
    </row>
    <row r="315" spans="1:62" x14ac:dyDescent="0.25">
      <c r="A315" s="9" t="s">
        <v>261</v>
      </c>
      <c r="B315" s="9" t="s">
        <v>644</v>
      </c>
      <c r="C315" s="10">
        <f>VLOOKUP(A315,'[2]Revenue_Engine_2025 Oct.25'!$C$14:G$3937,5,0)</f>
        <v>45264</v>
      </c>
      <c r="D315" s="6" cm="1">
        <f t="array" ref="D315">_xlfn.LET(
  _xlpm.aralık, Y315:BF315,
  _xlpm.ilk, MATCH(TRUE, _xlpm.aralık&lt;&gt;0, 0),
  _xlpm.son, MIN(_xlpm.ilk+2, COLUMNS(_xlpm.aralık)),
  MAX(INDEX(_xlpm.aralık, _xlpm.ilk):INDEX(_xlpm.aralık, _xlpm.son))
)</f>
        <v>175.20000000000002</v>
      </c>
      <c r="E315" s="6">
        <f t="shared" si="52"/>
        <v>146</v>
      </c>
      <c r="F315" s="6">
        <f t="shared" si="53"/>
        <v>0</v>
      </c>
      <c r="G315" s="6">
        <f t="shared" si="60"/>
        <v>146</v>
      </c>
      <c r="H315" s="7">
        <f t="shared" si="54"/>
        <v>-0.16666666666666674</v>
      </c>
      <c r="I315" s="7">
        <f t="shared" si="55"/>
        <v>-1</v>
      </c>
      <c r="J315" s="7">
        <f t="shared" si="56"/>
        <v>-1</v>
      </c>
      <c r="K315" s="7">
        <f t="shared" si="61"/>
        <v>-0.16666666666666674</v>
      </c>
      <c r="L315" s="5" t="s">
        <v>694</v>
      </c>
      <c r="M315" s="7">
        <f>IF(R315="",(VLOOKUP(A315,[1]Export!$B$2:$H$680,7,0)),"CHURN")</f>
        <v>0</v>
      </c>
      <c r="N315" s="5">
        <f t="shared" si="62"/>
        <v>146</v>
      </c>
      <c r="O315" s="5">
        <f t="shared" si="63"/>
        <v>146</v>
      </c>
      <c r="P315" s="5">
        <f t="shared" si="64"/>
        <v>0</v>
      </c>
      <c r="Q315" s="5" t="s">
        <v>430</v>
      </c>
      <c r="T315" s="6" t="str" cm="1">
        <f t="array" ref="T315">IF(R315&lt;&gt;"Churn","",
 _xlfn.LET(
   _xlpm.rng,Y315:BF315,
   _xlpm.pos,MAX(IF((_xlpm.rng&lt;&gt;0)*(_xlpm.rng&lt;&gt;""),COLUMN(_xlpm.rng)-COLUMN(Y315)+1)),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5" s="6" t="str" cm="1">
        <f t="array" ref="U315">IF(R315="Churn",
   MAX(IF((Y315:BF315&lt;&gt;"")*(Y315:BF315&lt;&gt;0), COLUMN(Y315:BF315)-COLUMN(Y315)+1))
   -MATCH(1, --((Y315:BF315&lt;&gt;"")*(Y315:BF315&lt;&gt;0)), 0)
   +1,
"")</f>
        <v/>
      </c>
      <c r="V315" s="6" t="str" cm="1">
        <f t="array" ref="V315">IFERROR(
    IF(
        MATCH(2,1/((Y315:BF315&lt;&gt;0)*(Y315:BF315&lt;&gt;"")))-MATCH(1,INDEX((Y315:BF315&lt;&gt;0)*(Y315:BF315&lt;&gt;""),0),0)+1 &lt;= 12,
        "No",
        "Yes"
    ),
    "No"
)</f>
        <v>Yes</v>
      </c>
      <c r="W315" s="6" t="str" cm="1">
        <f t="array" ref="W315">IFERROR(
    IF(
        MATCH(2,1/((Y315:BF315&lt;&gt;0)*(Y315:BF315&lt;&gt;"")))-MATCH(1,INDEX((Y315:BF315&lt;&gt;0)*(Y315:BF315&lt;&gt;""),0),0)+1 &lt;= 24,
        "No",
        "Yes"
    ),
    "No"
)</f>
        <v>No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175.20000000000002</v>
      </c>
      <c r="AK315" s="8">
        <v>175.20000000000002</v>
      </c>
      <c r="AL315" s="8">
        <v>175.20000000000002</v>
      </c>
      <c r="AM315" s="8">
        <v>175.20000000000002</v>
      </c>
      <c r="AN315" s="8">
        <v>175.20000000000002</v>
      </c>
      <c r="AO315" s="8">
        <v>175.20000000000002</v>
      </c>
      <c r="AP315" s="8">
        <v>175.20000000000002</v>
      </c>
      <c r="AQ315" s="8">
        <v>175.20000000000002</v>
      </c>
      <c r="AR315" s="8">
        <v>175.20000000000002</v>
      </c>
      <c r="AS315" s="8">
        <v>175.20000000000002</v>
      </c>
      <c r="AT315" s="8">
        <v>175.20000000000002</v>
      </c>
      <c r="AU315" s="8">
        <v>321.20000000000005</v>
      </c>
      <c r="AV315" s="8">
        <v>146</v>
      </c>
      <c r="AW315" s="8">
        <v>146</v>
      </c>
      <c r="AX315" s="8">
        <v>146</v>
      </c>
      <c r="AY315" s="8">
        <v>146</v>
      </c>
      <c r="AZ315" s="8">
        <v>146</v>
      </c>
      <c r="BA315" s="8">
        <v>146</v>
      </c>
      <c r="BB315" s="8">
        <v>146</v>
      </c>
      <c r="BC315" s="8">
        <v>146</v>
      </c>
      <c r="BD315" s="8">
        <v>146</v>
      </c>
      <c r="BE315" s="8">
        <v>146</v>
      </c>
      <c r="BF315" s="8">
        <v>146</v>
      </c>
      <c r="BH315" s="8">
        <f t="shared" si="57"/>
        <v>175.20000000000002</v>
      </c>
      <c r="BI315" s="8">
        <f t="shared" si="58"/>
        <v>2219.2000000000003</v>
      </c>
      <c r="BJ315" s="8">
        <f t="shared" si="59"/>
        <v>1460</v>
      </c>
    </row>
    <row r="316" spans="1:62" x14ac:dyDescent="0.25">
      <c r="A316" s="9" t="s">
        <v>382</v>
      </c>
      <c r="B316" s="9" t="s">
        <v>644</v>
      </c>
      <c r="C316" s="10">
        <v>44927</v>
      </c>
      <c r="D316" s="6" cm="1">
        <f t="array" ref="D316">_xlfn.LET(
  _xlpm.aralık, Y316:BF316,
  _xlpm.ilk, MATCH(TRUE, _xlpm.aralık&lt;&gt;0, 0),
  _xlpm.son, MIN(_xlpm.ilk+2, COLUMNS(_xlpm.aralık)),
  MAX(INDEX(_xlpm.aralık, _xlpm.ilk):INDEX(_xlpm.aralık, _xlpm.son))
)</f>
        <v>100.83333333333333</v>
      </c>
      <c r="E316" s="6">
        <f t="shared" si="52"/>
        <v>140.04666666666668</v>
      </c>
      <c r="F316" s="6">
        <f t="shared" si="53"/>
        <v>144.04666666666668</v>
      </c>
      <c r="G316" s="6">
        <f t="shared" si="60"/>
        <v>144.04666666666668</v>
      </c>
      <c r="H316" s="7">
        <f t="shared" si="54"/>
        <v>0.38889256198347127</v>
      </c>
      <c r="I316" s="7">
        <f t="shared" si="55"/>
        <v>0.4285619834710746</v>
      </c>
      <c r="J316" s="7">
        <f t="shared" si="56"/>
        <v>2.8561907935450086E-2</v>
      </c>
      <c r="K316" s="7">
        <f t="shared" si="61"/>
        <v>0.4285619834710746</v>
      </c>
      <c r="L316" s="5" t="s">
        <v>423</v>
      </c>
      <c r="M316" s="7">
        <f>IF(R316="",(VLOOKUP(A316,[1]Export!$B$2:$H$680,7,0)),"CHURN")</f>
        <v>9.7190725227935398E-2</v>
      </c>
      <c r="N316" s="5">
        <f t="shared" si="62"/>
        <v>130.04666666666668</v>
      </c>
      <c r="O316" s="5">
        <f t="shared" si="63"/>
        <v>126.43542956757842</v>
      </c>
      <c r="P316" s="5">
        <f t="shared" si="64"/>
        <v>130.04666666666668</v>
      </c>
      <c r="Q316" s="5" t="s">
        <v>430</v>
      </c>
      <c r="T316" s="6" t="str" cm="1">
        <f t="array" ref="T316">IF(R316&lt;&gt;"Churn","",
 _xlfn.LET(
   _xlpm.rng,Y316:BF316,
   _xlpm.pos,MAX(IF((_xlpm.rng&lt;&gt;0)*(_xlpm.rng&lt;&gt;""),COLUMN(_xlpm.rng)-COLUMN(Y316)+1)),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6" s="6" t="str" cm="1">
        <f t="array" ref="U316">IF(R316="Churn",
   MAX(IF((Y316:BF316&lt;&gt;"")*(Y316:BF316&lt;&gt;0), COLUMN(Y316:BF316)-COLUMN(Y316)+1))
   -MATCH(1, --((Y316:BF316&lt;&gt;"")*(Y316:BF316&lt;&gt;0)), 0)
   +1,
"")</f>
        <v/>
      </c>
      <c r="V316" s="6" t="str" cm="1">
        <f t="array" ref="V316">IFERROR(
    IF(
        MATCH(2,1/((Y316:BF316&lt;&gt;0)*(Y316:BF316&lt;&gt;"")))-MATCH(1,INDEX((Y316:BF316&lt;&gt;0)*(Y316:BF316&lt;&gt;""),0),0)+1 &lt;= 12,
        "No",
        "Yes"
    ),
    "No"
)</f>
        <v>Yes</v>
      </c>
      <c r="W316" s="6" t="str" cm="1">
        <f t="array" ref="W316">IFERROR(
    IF(
        MATCH(2,1/((Y316:BF316&lt;&gt;0)*(Y316:BF316&lt;&gt;"")))-MATCH(1,INDEX((Y316:BF316&lt;&gt;0)*(Y316:BF316&lt;&gt;""),0),0)+1 &lt;= 24,
        "No",
        "Yes"
    ),
    "No"
)</f>
        <v>Yes</v>
      </c>
      <c r="Y316" s="8">
        <v>100.83333333333333</v>
      </c>
      <c r="Z316" s="8">
        <v>100.83333333333333</v>
      </c>
      <c r="AA316" s="8">
        <v>100.83333333333333</v>
      </c>
      <c r="AB316" s="8">
        <v>109.83333333333333</v>
      </c>
      <c r="AC316" s="8">
        <v>109.83333333333333</v>
      </c>
      <c r="AD316" s="8">
        <v>109.83333333333333</v>
      </c>
      <c r="AE316" s="8">
        <v>109.83333333333333</v>
      </c>
      <c r="AF316" s="8">
        <v>109.83333333333333</v>
      </c>
      <c r="AG316" s="8">
        <v>1152.0133333333333</v>
      </c>
      <c r="AH316" s="8">
        <v>463.83333333333331</v>
      </c>
      <c r="AI316" s="8">
        <v>463.89333333333298</v>
      </c>
      <c r="AJ316" s="8">
        <v>140.04666666666668</v>
      </c>
      <c r="AK316" s="8">
        <v>140.04666666666668</v>
      </c>
      <c r="AL316" s="8">
        <v>140.04666666666668</v>
      </c>
      <c r="AM316" s="8">
        <v>140.04666666666668</v>
      </c>
      <c r="AN316" s="8">
        <v>140.04666666666668</v>
      </c>
      <c r="AO316" s="8">
        <v>144.04666666666668</v>
      </c>
      <c r="AP316" s="8">
        <v>144.04666666666668</v>
      </c>
      <c r="AQ316" s="8">
        <v>144.04666666666668</v>
      </c>
      <c r="AR316" s="8">
        <v>144.04666666666668</v>
      </c>
      <c r="AS316" s="8">
        <v>144.04666666666668</v>
      </c>
      <c r="AT316" s="8">
        <v>144.04666666666668</v>
      </c>
      <c r="AU316" s="8">
        <v>144.04666666666668</v>
      </c>
      <c r="AV316" s="8">
        <v>144.04666666666668</v>
      </c>
      <c r="AW316" s="8">
        <v>144.04666666666668</v>
      </c>
      <c r="AX316" s="8">
        <v>144.04666666666668</v>
      </c>
      <c r="AY316" s="8">
        <v>144.04666666666668</v>
      </c>
      <c r="AZ316" s="8">
        <v>144.04666666666668</v>
      </c>
      <c r="BA316" s="8">
        <v>144.04666666666668</v>
      </c>
      <c r="BB316" s="8">
        <v>144.04666666666668</v>
      </c>
      <c r="BC316" s="8">
        <v>144.04666666666668</v>
      </c>
      <c r="BD316" s="8">
        <v>144.04666666666668</v>
      </c>
      <c r="BE316" s="8">
        <v>144.04666666666668</v>
      </c>
      <c r="BF316" s="8">
        <v>144.04666666666668</v>
      </c>
      <c r="BH316" s="8">
        <f t="shared" si="57"/>
        <v>3071.4533333333329</v>
      </c>
      <c r="BI316" s="8">
        <f t="shared" si="58"/>
        <v>1712.5599999999997</v>
      </c>
      <c r="BJ316" s="8">
        <f t="shared" si="59"/>
        <v>1440.4666666666665</v>
      </c>
    </row>
    <row r="317" spans="1:62" x14ac:dyDescent="0.25">
      <c r="A317" s="9" t="s">
        <v>377</v>
      </c>
      <c r="B317" s="9" t="s">
        <v>644</v>
      </c>
      <c r="C317" s="10">
        <f>VLOOKUP(A317,'[2]Revenue_Engine_2025 Oct.25'!$C$14:G$3937,5,0)</f>
        <v>45222</v>
      </c>
      <c r="D317" s="6" cm="1">
        <f t="array" ref="D317">_xlfn.LET(
  _xlpm.aralık, Y317:BF317,
  _xlpm.ilk, MATCH(TRUE, _xlpm.aralık&lt;&gt;0, 0),
  _xlpm.son, MIN(_xlpm.ilk+2, COLUMNS(_xlpm.aralık)),
  MAX(INDEX(_xlpm.aralık, _xlpm.ilk):INDEX(_xlpm.aralık, _xlpm.son))
)</f>
        <v>140.00181500000002</v>
      </c>
      <c r="E317" s="6">
        <f t="shared" si="52"/>
        <v>140.00181500000002</v>
      </c>
      <c r="F317" s="6">
        <f t="shared" si="53"/>
        <v>140.00181500000002</v>
      </c>
      <c r="G317" s="6">
        <f t="shared" si="60"/>
        <v>140.00181500000002</v>
      </c>
      <c r="H317" s="7">
        <f t="shared" si="54"/>
        <v>0</v>
      </c>
      <c r="I317" s="7">
        <f t="shared" si="55"/>
        <v>0</v>
      </c>
      <c r="J317" s="7">
        <f t="shared" si="56"/>
        <v>0</v>
      </c>
      <c r="K317" s="7">
        <f t="shared" si="61"/>
        <v>0</v>
      </c>
      <c r="L317" s="5" t="s">
        <v>416</v>
      </c>
      <c r="M317" s="7">
        <f>IF(R317="",(VLOOKUP(A317,[1]Export!$B$2:$H$680,7,0)),"CHURN")</f>
        <v>0.15714081992437026</v>
      </c>
      <c r="N317" s="5">
        <f t="shared" si="62"/>
        <v>118.00181500000002</v>
      </c>
      <c r="O317" s="5">
        <f t="shared" si="63"/>
        <v>118.00181500000002</v>
      </c>
      <c r="P317" s="5">
        <f t="shared" si="64"/>
        <v>118.00181500000002</v>
      </c>
      <c r="Q317" s="5" t="s">
        <v>430</v>
      </c>
      <c r="T317" s="6" t="str" cm="1">
        <f t="array" ref="T317">IF(R317&lt;&gt;"Churn","",
 _xlfn.LET(
   _xlpm.rng,Y317:BF317,
   _xlpm.pos,MAX(IF((_xlpm.rng&lt;&gt;0)*(_xlpm.rng&lt;&gt;""),COLUMN(_xlpm.rng)-COLUMN(Y317)+1)),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7" s="6" t="str" cm="1">
        <f t="array" ref="U317">IF(R317="Churn",
   MAX(IF((Y317:BF317&lt;&gt;"")*(Y317:BF317&lt;&gt;0), COLUMN(Y317:BF317)-COLUMN(Y317)+1))
   -MATCH(1, --((Y317:BF317&lt;&gt;"")*(Y317:BF317&lt;&gt;0)), 0)
   +1,
"")</f>
        <v/>
      </c>
      <c r="V317" s="6" t="str" cm="1">
        <f t="array" ref="V317">IFERROR(
    IF(
        MATCH(2,1/((Y317:BF317&lt;&gt;0)*(Y317:BF317&lt;&gt;"")))-MATCH(1,INDEX((Y317:BF317&lt;&gt;0)*(Y317:BF317&lt;&gt;""),0),0)+1 &lt;= 12,
        "No",
        "Yes"
    ),
    "No"
)</f>
        <v>Yes</v>
      </c>
      <c r="W317" s="6" t="str" cm="1">
        <f t="array" ref="W317">IFERROR(
    IF(
        MATCH(2,1/((Y317:BF317&lt;&gt;0)*(Y317:BF317&lt;&gt;"")))-MATCH(1,INDEX((Y317:BF317&lt;&gt;0)*(Y317:BF317&lt;&gt;""),0),0)+1 &lt;= 24,
        "No",
        "Yes"
    ),
    "No"
)</f>
        <v>Yes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140.00181500000002</v>
      </c>
      <c r="AI317" s="8">
        <v>140.00181500000002</v>
      </c>
      <c r="AJ317" s="8">
        <v>140.00181500000002</v>
      </c>
      <c r="AK317" s="8">
        <v>140.00181500000002</v>
      </c>
      <c r="AL317" s="8">
        <v>140.00181500000002</v>
      </c>
      <c r="AM317" s="8">
        <v>140.00181500000002</v>
      </c>
      <c r="AN317" s="8">
        <v>140.00181500000002</v>
      </c>
      <c r="AO317" s="8">
        <v>140.00181500000002</v>
      </c>
      <c r="AP317" s="8">
        <v>140.00181500000002</v>
      </c>
      <c r="AQ317" s="8">
        <v>140.00181500000002</v>
      </c>
      <c r="AR317" s="8">
        <v>140.00181500000002</v>
      </c>
      <c r="AS317" s="8">
        <v>140.00181500000002</v>
      </c>
      <c r="AT317" s="8">
        <v>140.00181500000002</v>
      </c>
      <c r="AU317" s="8">
        <v>140.00181500000002</v>
      </c>
      <c r="AV317" s="8">
        <v>140.00181500000002</v>
      </c>
      <c r="AW317" s="8">
        <v>140.00181500000002</v>
      </c>
      <c r="AX317" s="8">
        <v>140.00181500000002</v>
      </c>
      <c r="AY317" s="8">
        <v>140.00181500000002</v>
      </c>
      <c r="AZ317" s="8">
        <v>140.00181499999999</v>
      </c>
      <c r="BA317" s="8">
        <v>140.00181500000002</v>
      </c>
      <c r="BB317" s="8">
        <v>140.00181500000002</v>
      </c>
      <c r="BC317" s="8">
        <v>140.00181500000002</v>
      </c>
      <c r="BD317" s="8">
        <v>140.00181500000002</v>
      </c>
      <c r="BE317" s="8">
        <v>140.00181500000002</v>
      </c>
      <c r="BF317" s="8">
        <v>140.00181500000002</v>
      </c>
      <c r="BH317" s="8">
        <f t="shared" si="57"/>
        <v>420.00544500000007</v>
      </c>
      <c r="BI317" s="8">
        <f t="shared" si="58"/>
        <v>1680.0217800000007</v>
      </c>
      <c r="BJ317" s="8">
        <f t="shared" si="59"/>
        <v>1400.0181500000006</v>
      </c>
    </row>
    <row r="318" spans="1:62" x14ac:dyDescent="0.25">
      <c r="A318" s="9" t="s">
        <v>294</v>
      </c>
      <c r="B318" s="9" t="s">
        <v>644</v>
      </c>
      <c r="C318" s="10">
        <f>VLOOKUP(A318,'[2]Revenue_Engine_2025 Oct.25'!$C$14:G$3937,5,0)</f>
        <v>45386</v>
      </c>
      <c r="D318" s="6" cm="1">
        <f t="array" ref="D318">_xlfn.LET(
  _xlpm.aralık, Y318:BF318,
  _xlpm.ilk, MATCH(TRUE, _xlpm.aralık&lt;&gt;0, 0),
  _xlpm.son, MIN(_xlpm.ilk+2, COLUMNS(_xlpm.aralık)),
  MAX(INDEX(_xlpm.aralık, _xlpm.ilk):INDEX(_xlpm.aralık, _xlpm.son))
)</f>
        <v>140.000001</v>
      </c>
      <c r="E318" s="6">
        <f t="shared" si="52"/>
        <v>140.000001</v>
      </c>
      <c r="F318" s="6">
        <f t="shared" si="53"/>
        <v>0</v>
      </c>
      <c r="G318" s="6">
        <f t="shared" si="60"/>
        <v>140.000001</v>
      </c>
      <c r="H318" s="7">
        <f t="shared" si="54"/>
        <v>0</v>
      </c>
      <c r="I318" s="7">
        <f t="shared" si="55"/>
        <v>-1</v>
      </c>
      <c r="J318" s="7">
        <f t="shared" si="56"/>
        <v>-1</v>
      </c>
      <c r="K318" s="7">
        <f t="shared" si="61"/>
        <v>0</v>
      </c>
      <c r="L318" s="5" t="s">
        <v>418</v>
      </c>
      <c r="M318" s="7">
        <f>IF(R318="",(VLOOKUP(A318,[1]Export!$B$2:$H$680,7,0)),"CHURN")</f>
        <v>0.10714285637755103</v>
      </c>
      <c r="N318" s="5">
        <f t="shared" si="62"/>
        <v>125.000001</v>
      </c>
      <c r="O318" s="5">
        <f t="shared" si="63"/>
        <v>125.000001</v>
      </c>
      <c r="P318" s="5">
        <f t="shared" si="64"/>
        <v>0</v>
      </c>
      <c r="Q318" s="5" t="s">
        <v>430</v>
      </c>
      <c r="T318" s="6" t="str" cm="1">
        <f t="array" ref="T318">IF(R318&lt;&gt;"Churn","",
 _xlfn.LET(
   _xlpm.rng,Y318:BF318,
   _xlpm.pos,MAX(IF((_xlpm.rng&lt;&gt;0)*(_xlpm.rng&lt;&gt;""),COLUMN(_xlpm.rng)-COLUMN(Y318)+1)),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8" s="6" t="str" cm="1">
        <f t="array" ref="U318">IF(R318="Churn",
   MAX(IF((Y318:BF318&lt;&gt;"")*(Y318:BF318&lt;&gt;0), COLUMN(Y318:BF318)-COLUMN(Y318)+1))
   -MATCH(1, --((Y318:BF318&lt;&gt;"")*(Y318:BF318&lt;&gt;0)), 0)
   +1,
"")</f>
        <v/>
      </c>
      <c r="V318" s="6" t="str" cm="1">
        <f t="array" ref="V318">IFERROR(
    IF(
        MATCH(2,1/((Y318:BF318&lt;&gt;0)*(Y318:BF318&lt;&gt;"")))-MATCH(1,INDEX((Y318:BF318&lt;&gt;0)*(Y318:BF318&lt;&gt;""),0),0)+1 &lt;= 12,
        "No",
        "Yes"
    ),
    "No"
)</f>
        <v>Yes</v>
      </c>
      <c r="W318" s="6" t="str" cm="1">
        <f t="array" ref="W318">IFERROR(
    IF(
        MATCH(2,1/((Y318:BF318&lt;&gt;0)*(Y318:BF318&lt;&gt;"")))-MATCH(1,INDEX((Y318:BF318&lt;&gt;0)*(Y318:BF318&lt;&gt;""),0),0)+1 &lt;= 24,
        "No",
        "Yes"
    ),
    "No"
)</f>
        <v>No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140.000001</v>
      </c>
      <c r="AO318" s="8">
        <v>140.000001</v>
      </c>
      <c r="AP318" s="8">
        <v>140.000001</v>
      </c>
      <c r="AQ318" s="8">
        <v>140.000001</v>
      </c>
      <c r="AR318" s="8">
        <v>140.000001</v>
      </c>
      <c r="AS318" s="8">
        <v>140.000001</v>
      </c>
      <c r="AT318" s="8">
        <v>140.000001</v>
      </c>
      <c r="AU318" s="8">
        <v>140.000001</v>
      </c>
      <c r="AV318" s="8">
        <v>140.000001</v>
      </c>
      <c r="AW318" s="8">
        <v>140.000001</v>
      </c>
      <c r="AX318" s="8">
        <v>140.000001</v>
      </c>
      <c r="AY318" s="8">
        <v>140.000001</v>
      </c>
      <c r="AZ318" s="8">
        <v>140.000001</v>
      </c>
      <c r="BA318" s="8">
        <v>140.000001</v>
      </c>
      <c r="BB318" s="8">
        <v>140.000001</v>
      </c>
      <c r="BC318" s="8">
        <v>140.000001</v>
      </c>
      <c r="BD318" s="8">
        <v>140.000001</v>
      </c>
      <c r="BE318" s="8">
        <v>140.000001</v>
      </c>
      <c r="BF318" s="8">
        <v>140.000001</v>
      </c>
      <c r="BH318" s="8">
        <f t="shared" si="57"/>
        <v>0</v>
      </c>
      <c r="BI318" s="8">
        <f t="shared" si="58"/>
        <v>1260.0000089999999</v>
      </c>
      <c r="BJ318" s="8">
        <f t="shared" si="59"/>
        <v>1400.0000099999997</v>
      </c>
    </row>
    <row r="319" spans="1:62" x14ac:dyDescent="0.25">
      <c r="A319" s="9" t="s">
        <v>502</v>
      </c>
      <c r="B319" s="9" t="s">
        <v>644</v>
      </c>
      <c r="C319" s="10">
        <f>VLOOKUP(A319,'[2]Revenue_Engine_2025 Oct.25'!$C$14:G$3937,5,0)</f>
        <v>45624</v>
      </c>
      <c r="D319" s="6" cm="1">
        <f t="array" ref="D319">_xlfn.LET(
  _xlpm.aralık, Y319:BF319,
  _xlpm.ilk, MATCH(TRUE, _xlpm.aralık&lt;&gt;0, 0),
  _xlpm.son, MIN(_xlpm.ilk+2, COLUMNS(_xlpm.aralık)),
  MAX(INDEX(_xlpm.aralık, _xlpm.ilk):INDEX(_xlpm.aralık, _xlpm.son))
)</f>
        <v>125</v>
      </c>
      <c r="E319" s="6">
        <f t="shared" si="52"/>
        <v>0</v>
      </c>
      <c r="F319" s="6">
        <f t="shared" si="53"/>
        <v>0</v>
      </c>
      <c r="G319" s="6">
        <f t="shared" si="60"/>
        <v>138.13</v>
      </c>
      <c r="H319" s="7">
        <f t="shared" si="54"/>
        <v>-1</v>
      </c>
      <c r="I319" s="7">
        <f t="shared" si="55"/>
        <v>-1</v>
      </c>
      <c r="J319" s="7" t="e">
        <f t="shared" si="56"/>
        <v>#DIV/0!</v>
      </c>
      <c r="K319" s="7">
        <f t="shared" si="61"/>
        <v>0.10503999999999997</v>
      </c>
      <c r="L319" s="5" t="s">
        <v>416</v>
      </c>
      <c r="M319" s="7">
        <f>IF(R319="",(VLOOKUP(A319,[1]Export!$B$2:$H$680,7,0)),"CHURN")</f>
        <v>1</v>
      </c>
      <c r="N319" s="5">
        <f t="shared" si="62"/>
        <v>0</v>
      </c>
      <c r="O319" s="5">
        <f t="shared" si="63"/>
        <v>0</v>
      </c>
      <c r="P319" s="5">
        <f t="shared" si="64"/>
        <v>0</v>
      </c>
      <c r="Q319" s="5" t="s">
        <v>430</v>
      </c>
      <c r="T319" s="6" t="str" cm="1">
        <f t="array" ref="T319">IF(R319&lt;&gt;"Churn","",
 _xlfn.LET(
   _xlpm.rng,Y319:BF319,
   _xlpm.pos,MAX(IF((_xlpm.rng&lt;&gt;0)*(_xlpm.rng&lt;&gt;""),COLUMN(_xlpm.rng)-COLUMN(Y319)+1)),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19" s="6" t="str" cm="1">
        <f t="array" ref="U319">IF(R319="Churn",
   MAX(IF((Y319:BF319&lt;&gt;"")*(Y319:BF319&lt;&gt;0), COLUMN(Y319:BF319)-COLUMN(Y319)+1))
   -MATCH(1, --((Y319:BF319&lt;&gt;"")*(Y319:BF319&lt;&gt;0)), 0)
   +1,
"")</f>
        <v/>
      </c>
      <c r="V319" s="6" t="str" cm="1">
        <f t="array" ref="V319">IFERROR(
    IF(
        MATCH(2,1/((Y319:BF319&lt;&gt;0)*(Y319:BF319&lt;&gt;"")))-MATCH(1,INDEX((Y319:BF319&lt;&gt;0)*(Y319:BF319&lt;&gt;""),0),0)+1 &lt;= 12,
        "No",
        "Yes"
    ),
    "No"
)</f>
        <v>No</v>
      </c>
      <c r="W319" s="6" t="str" cm="1">
        <f t="array" ref="W319">IFERROR(
    IF(
        MATCH(2,1/((Y319:BF319&lt;&gt;0)*(Y319:BF319&lt;&gt;"")))-MATCH(1,INDEX((Y319:BF319&lt;&gt;0)*(Y319:BF319&lt;&gt;""),0),0)+1 &lt;= 24,
        "No",
        "Yes"
    ),
    "No"
)</f>
        <v>No</v>
      </c>
      <c r="X319" s="6"/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125</v>
      </c>
      <c r="AV319" s="8">
        <v>125</v>
      </c>
      <c r="AW319" s="8">
        <v>125</v>
      </c>
      <c r="AX319" s="8">
        <v>125</v>
      </c>
      <c r="AY319" s="8">
        <v>125</v>
      </c>
      <c r="AZ319" s="8">
        <v>125</v>
      </c>
      <c r="BA319" s="8">
        <v>125</v>
      </c>
      <c r="BB319" s="8">
        <v>125</v>
      </c>
      <c r="BC319" s="8">
        <v>125</v>
      </c>
      <c r="BD319" s="8">
        <v>125</v>
      </c>
      <c r="BE319" s="8">
        <v>138.13</v>
      </c>
      <c r="BF319" s="8">
        <v>138.13</v>
      </c>
      <c r="BH319" s="8">
        <f t="shared" si="57"/>
        <v>0</v>
      </c>
      <c r="BI319" s="8">
        <f t="shared" si="58"/>
        <v>250</v>
      </c>
      <c r="BJ319" s="8">
        <f t="shared" si="59"/>
        <v>1276.2600000000002</v>
      </c>
    </row>
    <row r="320" spans="1:62" x14ac:dyDescent="0.25">
      <c r="A320" s="9" t="s">
        <v>393</v>
      </c>
      <c r="B320" s="9" t="s">
        <v>644</v>
      </c>
      <c r="C320" s="10">
        <f>VLOOKUP(A320,'[2]Revenue_Engine_2025 Oct.25'!$C$14:G$3937,5,0)</f>
        <v>45075</v>
      </c>
      <c r="D320" s="6" cm="1">
        <f t="array" ref="D320">_xlfn.LET(
  _xlpm.aralık, Y320:BF320,
  _xlpm.ilk, MATCH(TRUE, _xlpm.aralık&lt;&gt;0, 0),
  _xlpm.son, MIN(_xlpm.ilk+2, COLUMNS(_xlpm.aralık)),
  MAX(INDEX(_xlpm.aralık, _xlpm.ilk):INDEX(_xlpm.aralık, _xlpm.son))
)</f>
        <v>128</v>
      </c>
      <c r="E320" s="6">
        <f t="shared" si="52"/>
        <v>138</v>
      </c>
      <c r="F320" s="6">
        <f t="shared" si="53"/>
        <v>138</v>
      </c>
      <c r="G320" s="6">
        <f t="shared" si="60"/>
        <v>138</v>
      </c>
      <c r="H320" s="7">
        <f t="shared" si="54"/>
        <v>7.8125E-2</v>
      </c>
      <c r="I320" s="7">
        <f t="shared" si="55"/>
        <v>7.8125E-2</v>
      </c>
      <c r="J320" s="7">
        <f t="shared" si="56"/>
        <v>0</v>
      </c>
      <c r="K320" s="7">
        <f t="shared" si="61"/>
        <v>7.8125E-2</v>
      </c>
      <c r="L320" s="5" t="s">
        <v>418</v>
      </c>
      <c r="M320" s="7">
        <f>IF(R320="",(VLOOKUP(A320,[1]Export!$B$2:$H$680,7,0)),"CHURN")</f>
        <v>0</v>
      </c>
      <c r="N320" s="5">
        <f t="shared" si="62"/>
        <v>138</v>
      </c>
      <c r="O320" s="5">
        <f t="shared" si="63"/>
        <v>138</v>
      </c>
      <c r="P320" s="5">
        <f t="shared" si="64"/>
        <v>138</v>
      </c>
      <c r="Q320" s="5" t="str">
        <f>VLOOKUP(A320,[4]Sheet2!$A$1:$B$142,2,0)</f>
        <v>LOW RISK</v>
      </c>
      <c r="T320" s="6" t="str" cm="1">
        <f t="array" ref="T320">IF(R320&lt;&gt;"Churn","",
 _xlfn.LET(
   _xlpm.rng,Y320:BF320,
   _xlpm.pos,MAX(IF((_xlpm.rng&lt;&gt;0)*(_xlpm.rng&lt;&gt;""),COLUMN(_xlpm.rng)-COLUMN(Y320)+1)),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0" s="6" t="str" cm="1">
        <f t="array" ref="U320">IF(R320="Churn",
   MAX(IF((Y320:BF320&lt;&gt;"")*(Y320:BF320&lt;&gt;0), COLUMN(Y320:BF320)-COLUMN(Y320)+1))
   -MATCH(1, --((Y320:BF320&lt;&gt;"")*(Y320:BF320&lt;&gt;0)), 0)
   +1,
"")</f>
        <v/>
      </c>
      <c r="V320" s="6" t="str" cm="1">
        <f t="array" ref="V320">IFERROR(
    IF(
        MATCH(2,1/((Y320:BF320&lt;&gt;0)*(Y320:BF320&lt;&gt;"")))-MATCH(1,INDEX((Y320:BF320&lt;&gt;0)*(Y320:BF320&lt;&gt;""),0),0)+1 &lt;= 12,
        "No",
        "Yes"
    ),
    "No"
)</f>
        <v>Yes</v>
      </c>
      <c r="W320" s="6" t="str" cm="1">
        <f t="array" ref="W320">IFERROR(
    IF(
        MATCH(2,1/((Y320:BF320&lt;&gt;0)*(Y320:BF320&lt;&gt;"")))-MATCH(1,INDEX((Y320:BF320&lt;&gt;0)*(Y320:BF320&lt;&gt;""),0),0)+1 &lt;= 24,
        "No",
        "Yes"
    ),
    "No"
)</f>
        <v>Yes</v>
      </c>
      <c r="X320" s="6"/>
      <c r="Y320" s="8">
        <v>0</v>
      </c>
      <c r="Z320" s="8">
        <v>0</v>
      </c>
      <c r="AA320" s="8">
        <v>0</v>
      </c>
      <c r="AB320" s="8">
        <v>0</v>
      </c>
      <c r="AC320" s="8">
        <v>128</v>
      </c>
      <c r="AD320" s="8">
        <v>128</v>
      </c>
      <c r="AE320" s="8">
        <v>128</v>
      </c>
      <c r="AF320" s="8">
        <v>128</v>
      </c>
      <c r="AG320" s="8">
        <v>128</v>
      </c>
      <c r="AH320" s="8">
        <v>128</v>
      </c>
      <c r="AI320" s="8">
        <v>128</v>
      </c>
      <c r="AJ320" s="8">
        <v>128</v>
      </c>
      <c r="AK320" s="8">
        <v>128</v>
      </c>
      <c r="AL320" s="8">
        <v>128</v>
      </c>
      <c r="AM320" s="8">
        <v>138</v>
      </c>
      <c r="AN320" s="8">
        <v>138</v>
      </c>
      <c r="AO320" s="8">
        <v>138</v>
      </c>
      <c r="AP320" s="8">
        <v>138</v>
      </c>
      <c r="AQ320" s="8">
        <v>138</v>
      </c>
      <c r="AR320" s="8">
        <v>138</v>
      </c>
      <c r="AS320" s="8">
        <v>138</v>
      </c>
      <c r="AT320" s="8">
        <v>138</v>
      </c>
      <c r="AU320" s="8">
        <v>138</v>
      </c>
      <c r="AV320" s="8">
        <v>138</v>
      </c>
      <c r="AW320" s="8">
        <v>138</v>
      </c>
      <c r="AX320" s="8">
        <v>138</v>
      </c>
      <c r="AY320" s="8">
        <v>138</v>
      </c>
      <c r="AZ320" s="8">
        <v>138</v>
      </c>
      <c r="BA320" s="8">
        <v>138</v>
      </c>
      <c r="BB320" s="8">
        <v>138</v>
      </c>
      <c r="BC320" s="8">
        <v>138</v>
      </c>
      <c r="BD320" s="8">
        <v>138</v>
      </c>
      <c r="BE320" s="8">
        <v>138</v>
      </c>
      <c r="BF320" s="8">
        <v>138</v>
      </c>
      <c r="BH320" s="8">
        <f t="shared" si="57"/>
        <v>1024</v>
      </c>
      <c r="BI320" s="8">
        <f t="shared" si="58"/>
        <v>1636</v>
      </c>
      <c r="BJ320" s="8">
        <f t="shared" si="59"/>
        <v>1380</v>
      </c>
    </row>
    <row r="321" spans="1:62" x14ac:dyDescent="0.25">
      <c r="A321" s="9" t="s">
        <v>503</v>
      </c>
      <c r="B321" s="9" t="s">
        <v>644</v>
      </c>
      <c r="C321" s="10">
        <f>VLOOKUP(A321,'[2]Revenue_Engine_2025 Oct.25'!$C$14:G$3937,5,0)</f>
        <v>45596</v>
      </c>
      <c r="D321" s="6" cm="1">
        <f t="array" ref="D321">_xlfn.LET(
  _xlpm.aralık, Y321:BF321,
  _xlpm.ilk, MATCH(TRUE, _xlpm.aralık&lt;&gt;0, 0),
  _xlpm.son, MIN(_xlpm.ilk+2, COLUMNS(_xlpm.aralık)),
  MAX(INDEX(_xlpm.aralık, _xlpm.ilk):INDEX(_xlpm.aralık, _xlpm.son))
)</f>
        <v>137.99957366666666</v>
      </c>
      <c r="E321" s="6">
        <f t="shared" si="52"/>
        <v>137.99957366666666</v>
      </c>
      <c r="F321" s="6">
        <f t="shared" si="53"/>
        <v>0</v>
      </c>
      <c r="G321" s="6">
        <f t="shared" si="60"/>
        <v>137.99957366666666</v>
      </c>
      <c r="H321" s="7">
        <f t="shared" si="54"/>
        <v>0</v>
      </c>
      <c r="I321" s="7">
        <f t="shared" si="55"/>
        <v>-1</v>
      </c>
      <c r="J321" s="7">
        <f t="shared" si="56"/>
        <v>-1</v>
      </c>
      <c r="K321" s="7">
        <f t="shared" si="61"/>
        <v>0</v>
      </c>
      <c r="L321" s="5" t="s">
        <v>694</v>
      </c>
      <c r="M321" s="7">
        <f>IF(R321="",(VLOOKUP(A321,[1]Export!$B$2:$H$680,7,0)),"CHURN")</f>
        <v>0.31749521274487225</v>
      </c>
      <c r="N321" s="5">
        <f t="shared" si="62"/>
        <v>94.185369666666659</v>
      </c>
      <c r="O321" s="5">
        <f t="shared" si="63"/>
        <v>94.185369666666659</v>
      </c>
      <c r="P321" s="5">
        <f t="shared" si="64"/>
        <v>0</v>
      </c>
      <c r="Q321" s="5" t="s">
        <v>430</v>
      </c>
      <c r="T321" s="6" t="str" cm="1">
        <f t="array" ref="T321">IF(R321&lt;&gt;"Churn","",
 _xlfn.LET(
   _xlpm.rng,Y321:BF321,
   _xlpm.pos,MAX(IF((_xlpm.rng&lt;&gt;0)*(_xlpm.rng&lt;&gt;""),COLUMN(_xlpm.rng)-COLUMN(Y321)+1)),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1" s="6" t="str" cm="1">
        <f t="array" ref="U321">IF(R321="Churn",
   MAX(IF((Y321:BF321&lt;&gt;"")*(Y321:BF321&lt;&gt;0), COLUMN(Y321:BF321)-COLUMN(Y321)+1))
   -MATCH(1, --((Y321:BF321&lt;&gt;"")*(Y321:BF321&lt;&gt;0)), 0)
   +1,
"")</f>
        <v/>
      </c>
      <c r="V321" s="6" t="str" cm="1">
        <f t="array" ref="V321">IFERROR(
    IF(
        MATCH(2,1/((Y321:BF321&lt;&gt;0)*(Y321:BF321&lt;&gt;"")))-MATCH(1,INDEX((Y321:BF321&lt;&gt;0)*(Y321:BF321&lt;&gt;""),0),0)+1 &lt;= 12,
        "No",
        "Yes"
    ),
    "No"
)</f>
        <v>Yes</v>
      </c>
      <c r="W321" s="6" t="str" cm="1">
        <f t="array" ref="W321">IFERROR(
    IF(
        MATCH(2,1/((Y321:BF321&lt;&gt;0)*(Y321:BF321&lt;&gt;"")))-MATCH(1,INDEX((Y321:BF321&lt;&gt;0)*(Y321:BF321&lt;&gt;""),0),0)+1 &lt;= 24,
        "No",
        "Yes"
    ),
    "No"
)</f>
        <v>No</v>
      </c>
      <c r="X321" s="6"/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137.99957366666666</v>
      </c>
      <c r="AU321" s="8">
        <v>137.99957366666666</v>
      </c>
      <c r="AV321" s="8">
        <v>137.99957366666666</v>
      </c>
      <c r="AW321" s="8">
        <v>137.99957366666666</v>
      </c>
      <c r="AX321" s="8">
        <v>137.99957366666666</v>
      </c>
      <c r="AY321" s="8">
        <v>137.99957366666666</v>
      </c>
      <c r="AZ321" s="8">
        <v>137.99957366666666</v>
      </c>
      <c r="BA321" s="8">
        <v>137.99957366666666</v>
      </c>
      <c r="BB321" s="8">
        <v>137.99957366666666</v>
      </c>
      <c r="BC321" s="8">
        <v>137.99957366666666</v>
      </c>
      <c r="BD321" s="8">
        <v>137.99957366666666</v>
      </c>
      <c r="BE321" s="8">
        <v>137.99957366666666</v>
      </c>
      <c r="BF321" s="8">
        <v>137.99957366666666</v>
      </c>
      <c r="BH321" s="8">
        <f t="shared" si="57"/>
        <v>0</v>
      </c>
      <c r="BI321" s="8">
        <f t="shared" si="58"/>
        <v>413.99872099999999</v>
      </c>
      <c r="BJ321" s="8">
        <f t="shared" si="59"/>
        <v>1379.995736666667</v>
      </c>
    </row>
    <row r="322" spans="1:62" x14ac:dyDescent="0.25">
      <c r="A322" s="9" t="s">
        <v>345</v>
      </c>
      <c r="B322" s="9" t="s">
        <v>644</v>
      </c>
      <c r="C322" s="10">
        <f>VLOOKUP(A322,'[2]Revenue_Engine_2025 Oct.25'!$C$14:G$3937,5,0)</f>
        <v>45285</v>
      </c>
      <c r="D322" s="6" cm="1">
        <f t="array" ref="D322">_xlfn.LET(
  _xlpm.aralık, Y322:BF322,
  _xlpm.ilk, MATCH(TRUE, _xlpm.aralık&lt;&gt;0, 0),
  _xlpm.son, MIN(_xlpm.ilk+2, COLUMNS(_xlpm.aralık)),
  MAX(INDEX(_xlpm.aralık, _xlpm.ilk):INDEX(_xlpm.aralık, _xlpm.son))
)</f>
        <v>131.41666658333332</v>
      </c>
      <c r="E322" s="6">
        <f t="shared" ref="E322:E385" si="65">IFERROR(INDEX($Y322:$BF322,MATCH(TEXT(EDATE($C322,12),"mmm.yy"),$Y$1:$BF$1,0)),0)</f>
        <v>137.77936266666666</v>
      </c>
      <c r="F322" s="6">
        <f t="shared" ref="F322:F385" si="66">IFERROR(INDEX($Y322:$BF322,MATCH(TEXT(EDATE($C322,24),"mmm.yy"),$Y$1:$BF$1,0)),0)</f>
        <v>0</v>
      </c>
      <c r="G322" s="6">
        <f t="shared" si="60"/>
        <v>137.77936266666666</v>
      </c>
      <c r="H322" s="7">
        <f t="shared" ref="H322:H385" si="67">(E322-D322)/D322</f>
        <v>4.8416203581747752E-2</v>
      </c>
      <c r="I322" s="7">
        <f t="shared" ref="I322:I385" si="68">(F322-D322)/D322</f>
        <v>-1</v>
      </c>
      <c r="J322" s="7">
        <f t="shared" ref="J322:J385" si="69">(F322-E322)/E322</f>
        <v>-1</v>
      </c>
      <c r="K322" s="7">
        <f t="shared" si="61"/>
        <v>4.8416203581747752E-2</v>
      </c>
      <c r="L322" s="5" t="s">
        <v>694</v>
      </c>
      <c r="M322" s="7">
        <f>IF(R322="",(VLOOKUP(A322,[1]Export!$B$2:$H$680,7,0)),"CHURN")</f>
        <v>0.32737499441377399</v>
      </c>
      <c r="N322" s="5">
        <f t="shared" si="62"/>
        <v>92.673844583333306</v>
      </c>
      <c r="O322" s="5">
        <f t="shared" si="63"/>
        <v>92.673844583333306</v>
      </c>
      <c r="P322" s="5">
        <f t="shared" si="64"/>
        <v>0</v>
      </c>
      <c r="Q322" s="5" t="s">
        <v>430</v>
      </c>
      <c r="T322" s="6" t="str" cm="1">
        <f t="array" ref="T322">IF(R322&lt;&gt;"Churn","",
 _xlfn.LET(
   _xlpm.rng,Y322:BF322,
   _xlpm.pos,MAX(IF((_xlpm.rng&lt;&gt;0)*(_xlpm.rng&lt;&gt;""),COLUMN(_xlpm.rng)-COLUMN(Y322)+1)),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2" s="6" t="str" cm="1">
        <f t="array" ref="U322">IF(R322="Churn",
   MAX(IF((Y322:BF322&lt;&gt;"")*(Y322:BF322&lt;&gt;0), COLUMN(Y322:BF322)-COLUMN(Y322)+1))
   -MATCH(1, --((Y322:BF322&lt;&gt;"")*(Y322:BF322&lt;&gt;0)), 0)
   +1,
"")</f>
        <v/>
      </c>
      <c r="V322" s="6" t="str" cm="1">
        <f t="array" ref="V322">IFERROR(
    IF(
        MATCH(2,1/((Y322:BF322&lt;&gt;0)*(Y322:BF322&lt;&gt;"")))-MATCH(1,INDEX((Y322:BF322&lt;&gt;0)*(Y322:BF322&lt;&gt;""),0),0)+1 &lt;= 12,
        "No",
        "Yes"
    ),
    "No"
)</f>
        <v>Yes</v>
      </c>
      <c r="W322" s="6" t="str" cm="1">
        <f t="array" ref="W322">IFERROR(
    IF(
        MATCH(2,1/((Y322:BF322&lt;&gt;0)*(Y322:BF322&lt;&gt;"")))-MATCH(1,INDEX((Y322:BF322&lt;&gt;0)*(Y322:BF322&lt;&gt;""),0),0)+1 &lt;= 24,
        "No",
        "Yes"
    ),
    "No"
)</f>
        <v>No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131.41666658333332</v>
      </c>
      <c r="AK322" s="8">
        <v>131.41666658333332</v>
      </c>
      <c r="AL322" s="8">
        <v>131.41666658333332</v>
      </c>
      <c r="AM322" s="8">
        <v>131.41666658333332</v>
      </c>
      <c r="AN322" s="8">
        <v>131.41666658333332</v>
      </c>
      <c r="AO322" s="8">
        <v>131.41666658333332</v>
      </c>
      <c r="AP322" s="8">
        <v>131.41666658333332</v>
      </c>
      <c r="AQ322" s="8">
        <v>131.41666658333332</v>
      </c>
      <c r="AR322" s="8">
        <v>131.41666658333332</v>
      </c>
      <c r="AS322" s="8">
        <v>131.41666658333332</v>
      </c>
      <c r="AT322" s="8">
        <v>131.41666658333332</v>
      </c>
      <c r="AU322" s="8">
        <v>133.41666658333332</v>
      </c>
      <c r="AV322" s="8">
        <v>137.77936266666666</v>
      </c>
      <c r="AW322" s="8">
        <v>137.77936266666666</v>
      </c>
      <c r="AX322" s="8">
        <v>137.77936266666666</v>
      </c>
      <c r="AY322" s="8">
        <v>137.77936266666666</v>
      </c>
      <c r="AZ322" s="8">
        <v>137.77936266666666</v>
      </c>
      <c r="BA322" s="8">
        <v>137.77936266666666</v>
      </c>
      <c r="BB322" s="8">
        <v>137.77936266666666</v>
      </c>
      <c r="BC322" s="8">
        <v>137.77936266666666</v>
      </c>
      <c r="BD322" s="8">
        <v>137.77936266666666</v>
      </c>
      <c r="BE322" s="8">
        <v>137.77936266666666</v>
      </c>
      <c r="BF322" s="8">
        <v>137.77936266666666</v>
      </c>
      <c r="BH322" s="8">
        <f t="shared" ref="BH322:BH385" si="70">SUM(Y322:AJ322)</f>
        <v>131.41666658333332</v>
      </c>
      <c r="BI322" s="8">
        <f t="shared" ref="BI322:BI385" si="71">SUM(AK322:AV322)</f>
        <v>1585.3626950833336</v>
      </c>
      <c r="BJ322" s="8">
        <f t="shared" ref="BJ322:BJ385" si="72">SUM(AW322:BF322)</f>
        <v>1377.7936266666666</v>
      </c>
    </row>
    <row r="323" spans="1:62" x14ac:dyDescent="0.25">
      <c r="A323" s="9" t="s">
        <v>364</v>
      </c>
      <c r="B323" s="9" t="s">
        <v>644</v>
      </c>
      <c r="C323" s="10">
        <v>44927</v>
      </c>
      <c r="D323" s="6" cm="1">
        <f t="array" ref="D323">_xlfn.LET(
  _xlpm.aralık, Y323:BF323,
  _xlpm.ilk, MATCH(TRUE, _xlpm.aralık&lt;&gt;0, 0),
  _xlpm.son, MIN(_xlpm.ilk+2, COLUMNS(_xlpm.aralık)),
  MAX(INDEX(_xlpm.aralık, _xlpm.ilk):INDEX(_xlpm.aralık, _xlpm.son))
)</f>
        <v>85.295575825101423</v>
      </c>
      <c r="E323" s="6">
        <f t="shared" si="65"/>
        <v>117.92904851138177</v>
      </c>
      <c r="F323" s="6">
        <f t="shared" si="66"/>
        <v>156.68452693512432</v>
      </c>
      <c r="G323" s="6">
        <f t="shared" ref="G323:G386" si="73">BF323</f>
        <v>136.30850401305651</v>
      </c>
      <c r="H323" s="7">
        <f t="shared" si="67"/>
        <v>0.38259279418190784</v>
      </c>
      <c r="I323" s="7">
        <f t="shared" si="68"/>
        <v>0.83695960100446409</v>
      </c>
      <c r="J323" s="7">
        <f t="shared" si="69"/>
        <v>0.32863386004511114</v>
      </c>
      <c r="K323" s="7">
        <f t="shared" ref="K323:K386" si="74">IF(R323="",((BF323-D323)/D323),((T323-D323)/D323))</f>
        <v>0.5980723817675736</v>
      </c>
      <c r="L323" s="5" t="s">
        <v>421</v>
      </c>
      <c r="M323" s="7">
        <f>IF(R323="",(VLOOKUP(A323,[1]Export!$B$2:$H$680,7,0)),"CHURN")</f>
        <v>0.24687277298933985</v>
      </c>
      <c r="N323" s="5">
        <f t="shared" ref="N323:N386" si="75">(1-M323)*G323</f>
        <v>102.65764564532469</v>
      </c>
      <c r="O323" s="5">
        <f t="shared" ref="O323:O386" si="76">(1-M323)*E323</f>
        <v>88.815577289382574</v>
      </c>
      <c r="P323" s="5">
        <f t="shared" ref="P323:P386" si="77">(1-M323)*F323</f>
        <v>118.00338328612727</v>
      </c>
      <c r="Q323" s="5" t="s">
        <v>430</v>
      </c>
      <c r="T323" s="6" t="str" cm="1">
        <f t="array" ref="T323">IF(R323&lt;&gt;"Churn","",
 _xlfn.LET(
   _xlpm.rng,Y323:BF323,
   _xlpm.pos,MAX(IF((_xlpm.rng&lt;&gt;0)*(_xlpm.rng&lt;&gt;""),COLUMN(_xlpm.rng)-COLUMN(Y323)+1)),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3" s="6" t="str" cm="1">
        <f t="array" ref="U323">IF(R323="Churn",
   MAX(IF((Y323:BF323&lt;&gt;"")*(Y323:BF323&lt;&gt;0), COLUMN(Y323:BF323)-COLUMN(Y323)+1))
   -MATCH(1, --((Y323:BF323&lt;&gt;"")*(Y323:BF323&lt;&gt;0)), 0)
   +1,
"")</f>
        <v/>
      </c>
      <c r="V323" s="6" t="str" cm="1">
        <f t="array" ref="V323">IFERROR(
    IF(
        MATCH(2,1/((Y323:BF323&lt;&gt;0)*(Y323:BF323&lt;&gt;"")))-MATCH(1,INDEX((Y323:BF323&lt;&gt;0)*(Y323:BF323&lt;&gt;""),0),0)+1 &lt;= 12,
        "No",
        "Yes"
    ),
    "No"
)</f>
        <v>Yes</v>
      </c>
      <c r="W323" s="6" t="str" cm="1">
        <f t="array" ref="W323">IFERROR(
    IF(
        MATCH(2,1/((Y323:BF323&lt;&gt;0)*(Y323:BF323&lt;&gt;"")))-MATCH(1,INDEX((Y323:BF323&lt;&gt;0)*(Y323:BF323&lt;&gt;""),0),0)+1 &lt;= 24,
        "No",
        "Yes"
    ),
    "No"
)</f>
        <v>Yes</v>
      </c>
      <c r="Y323" s="8">
        <v>85.295575825101423</v>
      </c>
      <c r="Z323" s="8">
        <v>84.999229694480903</v>
      </c>
      <c r="AA323" s="8">
        <v>84.374390263195366</v>
      </c>
      <c r="AB323" s="8">
        <v>102.32536063731152</v>
      </c>
      <c r="AC323" s="8">
        <v>90.304626204317259</v>
      </c>
      <c r="AD323" s="8">
        <v>77.374158148439378</v>
      </c>
      <c r="AE323" s="8">
        <v>92.166140897023681</v>
      </c>
      <c r="AF323" s="8">
        <v>90.592694849949652</v>
      </c>
      <c r="AG323" s="8">
        <v>106.99786746500466</v>
      </c>
      <c r="AH323" s="8">
        <v>103.97737450276173</v>
      </c>
      <c r="AI323" s="8">
        <v>110.17916485031259</v>
      </c>
      <c r="AJ323" s="8">
        <v>121.10268883049253</v>
      </c>
      <c r="AK323" s="8">
        <v>117.92904851138177</v>
      </c>
      <c r="AL323" s="8">
        <v>115.71341895739536</v>
      </c>
      <c r="AM323" s="8">
        <v>127.77146740730993</v>
      </c>
      <c r="AN323" s="8">
        <v>126.71301489176253</v>
      </c>
      <c r="AO323" s="8">
        <v>126.86596881261161</v>
      </c>
      <c r="AP323" s="8">
        <v>125.97383994406697</v>
      </c>
      <c r="AQ323" s="8">
        <v>124.76364702157518</v>
      </c>
      <c r="AR323" s="8">
        <v>122.54061145764447</v>
      </c>
      <c r="AS323" s="8">
        <v>121.38380097999374</v>
      </c>
      <c r="AT323" s="8">
        <v>161.69420383544971</v>
      </c>
      <c r="AU323" s="8">
        <v>160.92142429736819</v>
      </c>
      <c r="AV323" s="8">
        <v>158.75357509999199</v>
      </c>
      <c r="AW323" s="8">
        <v>156.68452693512432</v>
      </c>
      <c r="AX323" s="8">
        <v>154.30146816585307</v>
      </c>
      <c r="AY323" s="8">
        <v>150.98824277825383</v>
      </c>
      <c r="AZ323" s="8">
        <v>147.5292092351485</v>
      </c>
      <c r="BA323" s="8">
        <v>145.4164105237019</v>
      </c>
      <c r="BB323" s="8">
        <v>143.31254353867945</v>
      </c>
      <c r="BC323" s="8">
        <v>140.96945716038547</v>
      </c>
      <c r="BD323" s="8">
        <v>139.12955195258021</v>
      </c>
      <c r="BE323" s="8">
        <v>137.70571408819006</v>
      </c>
      <c r="BF323" s="8">
        <v>136.30850401305651</v>
      </c>
      <c r="BH323" s="8">
        <f t="shared" si="70"/>
        <v>1149.6892721683907</v>
      </c>
      <c r="BI323" s="8">
        <f t="shared" si="71"/>
        <v>1591.0240212165518</v>
      </c>
      <c r="BJ323" s="8">
        <f t="shared" si="72"/>
        <v>1452.3456283909732</v>
      </c>
    </row>
    <row r="324" spans="1:62" x14ac:dyDescent="0.25">
      <c r="A324" s="9" t="s">
        <v>391</v>
      </c>
      <c r="B324" s="9" t="s">
        <v>644</v>
      </c>
      <c r="C324" s="10">
        <v>44927</v>
      </c>
      <c r="D324" s="6" cm="1">
        <f t="array" ref="D324">_xlfn.LET(
  _xlpm.aralık, Y324:BF324,
  _xlpm.ilk, MATCH(TRUE, _xlpm.aralık&lt;&gt;0, 0),
  _xlpm.son, MIN(_xlpm.ilk+2, COLUMNS(_xlpm.aralık)),
  MAX(INDEX(_xlpm.aralık, _xlpm.ilk):INDEX(_xlpm.aralık, _xlpm.son))
)</f>
        <v>90</v>
      </c>
      <c r="E324" s="6">
        <f t="shared" si="65"/>
        <v>106.49999</v>
      </c>
      <c r="F324" s="6">
        <f t="shared" si="66"/>
        <v>116.49999</v>
      </c>
      <c r="G324" s="6">
        <f t="shared" si="73"/>
        <v>134.49999</v>
      </c>
      <c r="H324" s="7">
        <f t="shared" si="67"/>
        <v>0.18333322222222218</v>
      </c>
      <c r="I324" s="7">
        <f t="shared" si="68"/>
        <v>0.29444433333333331</v>
      </c>
      <c r="J324" s="7">
        <f t="shared" si="69"/>
        <v>9.3896722431617133E-2</v>
      </c>
      <c r="K324" s="7">
        <f t="shared" si="74"/>
        <v>0.49444433333333332</v>
      </c>
      <c r="L324" s="5" t="s">
        <v>415</v>
      </c>
      <c r="M324" s="7">
        <f>IF(R324="",(VLOOKUP(A324,[1]Export!$B$2:$H$680,7,0)),"CHURN")</f>
        <v>0</v>
      </c>
      <c r="N324" s="5">
        <f t="shared" si="75"/>
        <v>134.49999</v>
      </c>
      <c r="O324" s="5">
        <f t="shared" si="76"/>
        <v>106.49999</v>
      </c>
      <c r="P324" s="5">
        <f t="shared" si="77"/>
        <v>116.49999</v>
      </c>
      <c r="Q324" s="5" t="s">
        <v>430</v>
      </c>
      <c r="T324" s="6" t="str" cm="1">
        <f t="array" ref="T324">IF(R324&lt;&gt;"Churn","",
 _xlfn.LET(
   _xlpm.rng,Y324:BF324,
   _xlpm.pos,MAX(IF((_xlpm.rng&lt;&gt;0)*(_xlpm.rng&lt;&gt;""),COLUMN(_xlpm.rng)-COLUMN(Y324)+1)),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4" s="6" t="str" cm="1">
        <f t="array" ref="U324">IF(R324="Churn",
   MAX(IF((Y324:BF324&lt;&gt;"")*(Y324:BF324&lt;&gt;0), COLUMN(Y324:BF324)-COLUMN(Y324)+1))
   -MATCH(1, --((Y324:BF324&lt;&gt;"")*(Y324:BF324&lt;&gt;0)), 0)
   +1,
"")</f>
        <v/>
      </c>
      <c r="V324" s="6" t="str" cm="1">
        <f t="array" ref="V324">IFERROR(
    IF(
        MATCH(2,1/((Y324:BF324&lt;&gt;0)*(Y324:BF324&lt;&gt;"")))-MATCH(1,INDEX((Y324:BF324&lt;&gt;0)*(Y324:BF324&lt;&gt;""),0),0)+1 &lt;= 12,
        "No",
        "Yes"
    ),
    "No"
)</f>
        <v>Yes</v>
      </c>
      <c r="W324" s="6" t="str" cm="1">
        <f t="array" ref="W324">IFERROR(
    IF(
        MATCH(2,1/((Y324:BF324&lt;&gt;0)*(Y324:BF324&lt;&gt;"")))-MATCH(1,INDEX((Y324:BF324&lt;&gt;0)*(Y324:BF324&lt;&gt;""),0),0)+1 &lt;= 24,
        "No",
        "Yes"
    ),
    "No"
)</f>
        <v>Yes</v>
      </c>
      <c r="Y324" s="8">
        <v>90</v>
      </c>
      <c r="Z324" s="8">
        <v>90</v>
      </c>
      <c r="AA324" s="8">
        <v>90</v>
      </c>
      <c r="AB324" s="8">
        <v>99</v>
      </c>
      <c r="AC324" s="8">
        <v>98.999989999999997</v>
      </c>
      <c r="AD324" s="8">
        <v>98.999989999999997</v>
      </c>
      <c r="AE324" s="8">
        <v>103.99999</v>
      </c>
      <c r="AF324" s="8">
        <v>103.99999</v>
      </c>
      <c r="AG324" s="8">
        <v>103.99999</v>
      </c>
      <c r="AH324" s="8">
        <v>106.49999</v>
      </c>
      <c r="AI324" s="8">
        <v>106.49999</v>
      </c>
      <c r="AJ324" s="8">
        <v>106.49999</v>
      </c>
      <c r="AK324" s="8">
        <v>106.49999</v>
      </c>
      <c r="AL324" s="8">
        <v>106.49999</v>
      </c>
      <c r="AM324" s="8">
        <v>116.49999</v>
      </c>
      <c r="AN324" s="8">
        <v>116.49999</v>
      </c>
      <c r="AO324" s="8">
        <v>116.49999</v>
      </c>
      <c r="AP324" s="8">
        <v>116.49999</v>
      </c>
      <c r="AQ324" s="8">
        <v>116.49999</v>
      </c>
      <c r="AR324" s="8">
        <v>116.49999</v>
      </c>
      <c r="AS324" s="8">
        <v>116.49999</v>
      </c>
      <c r="AT324" s="8">
        <v>116.49999</v>
      </c>
      <c r="AU324" s="8">
        <v>116.49999</v>
      </c>
      <c r="AV324" s="8">
        <v>116.49999</v>
      </c>
      <c r="AW324" s="8">
        <v>116.49999</v>
      </c>
      <c r="AX324" s="8">
        <v>116.49999</v>
      </c>
      <c r="AY324" s="8">
        <v>116.49999</v>
      </c>
      <c r="AZ324" s="8">
        <v>116.49999</v>
      </c>
      <c r="BA324" s="8">
        <v>116.49999</v>
      </c>
      <c r="BB324" s="8">
        <v>134.49999</v>
      </c>
      <c r="BC324" s="8">
        <v>134.49999</v>
      </c>
      <c r="BD324" s="8">
        <v>134.49999</v>
      </c>
      <c r="BE324" s="8">
        <v>134.49999</v>
      </c>
      <c r="BF324" s="8">
        <v>134.49999</v>
      </c>
      <c r="BH324" s="8">
        <f t="shared" si="70"/>
        <v>1198.4999200000002</v>
      </c>
      <c r="BI324" s="8">
        <f t="shared" si="71"/>
        <v>1377.9998800000001</v>
      </c>
      <c r="BJ324" s="8">
        <f t="shared" si="72"/>
        <v>1254.9999</v>
      </c>
    </row>
    <row r="325" spans="1:62" x14ac:dyDescent="0.25">
      <c r="A325" s="9" t="s">
        <v>504</v>
      </c>
      <c r="B325" s="9" t="s">
        <v>644</v>
      </c>
      <c r="C325" s="10">
        <f>VLOOKUP(A325,'[2]Revenue_Engine_2025 Oct.25'!$C$14:G$3937,5,0)</f>
        <v>45706</v>
      </c>
      <c r="D325" s="6" cm="1">
        <f t="array" ref="D325">_xlfn.LET(
  _xlpm.aralık, Y325:BF325,
  _xlpm.ilk, MATCH(TRUE, _xlpm.aralık&lt;&gt;0, 0),
  _xlpm.son, MIN(_xlpm.ilk+2, COLUMNS(_xlpm.aralık)),
  MAX(INDEX(_xlpm.aralık, _xlpm.ilk):INDEX(_xlpm.aralık, _xlpm.son))
)</f>
        <v>129.99999900000003</v>
      </c>
      <c r="E325" s="6">
        <f t="shared" si="65"/>
        <v>0</v>
      </c>
      <c r="F325" s="6">
        <f t="shared" si="66"/>
        <v>0</v>
      </c>
      <c r="G325" s="6">
        <f t="shared" si="73"/>
        <v>129.999999</v>
      </c>
      <c r="H325" s="7">
        <f t="shared" si="67"/>
        <v>-1</v>
      </c>
      <c r="I325" s="7">
        <f t="shared" si="68"/>
        <v>-1</v>
      </c>
      <c r="J325" s="7" t="e">
        <f t="shared" si="69"/>
        <v>#DIV/0!</v>
      </c>
      <c r="K325" s="7">
        <f t="shared" si="74"/>
        <v>-2.1862853576178873E-16</v>
      </c>
      <c r="L325" s="5" t="s">
        <v>694</v>
      </c>
      <c r="M325" s="7">
        <f>IF(R325="",(VLOOKUP(A325,[1]Export!$B$2:$H$680,7,0)),"CHURN")</f>
        <v>0.30215039463192606</v>
      </c>
      <c r="N325" s="5">
        <f t="shared" si="75"/>
        <v>90.720448000000005</v>
      </c>
      <c r="O325" s="5">
        <f t="shared" si="76"/>
        <v>0</v>
      </c>
      <c r="P325" s="5">
        <f t="shared" si="77"/>
        <v>0</v>
      </c>
      <c r="Q325" s="5" t="s">
        <v>430</v>
      </c>
      <c r="T325" s="6" t="str" cm="1">
        <f t="array" ref="T325">IF(R325&lt;&gt;"Churn","",
 _xlfn.LET(
   _xlpm.rng,Y325:BF325,
   _xlpm.pos,MAX(IF((_xlpm.rng&lt;&gt;0)*(_xlpm.rng&lt;&gt;""),COLUMN(_xlpm.rng)-COLUMN(Y325)+1)),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5" s="6" t="str" cm="1">
        <f t="array" ref="U325">IF(R325="Churn",
   MAX(IF((Y325:BF325&lt;&gt;"")*(Y325:BF325&lt;&gt;0), COLUMN(Y325:BF325)-COLUMN(Y325)+1))
   -MATCH(1, --((Y325:BF325&lt;&gt;"")*(Y325:BF325&lt;&gt;0)), 0)
   +1,
"")</f>
        <v/>
      </c>
      <c r="V325" s="6" t="str" cm="1">
        <f t="array" ref="V325">IFERROR(
    IF(
        MATCH(2,1/((Y325:BF325&lt;&gt;0)*(Y325:BF325&lt;&gt;"")))-MATCH(1,INDEX((Y325:BF325&lt;&gt;0)*(Y325:BF325&lt;&gt;""),0),0)+1 &lt;= 12,
        "No",
        "Yes"
    ),
    "No"
)</f>
        <v>No</v>
      </c>
      <c r="W325" s="6" t="str" cm="1">
        <f t="array" ref="W325">IFERROR(
    IF(
        MATCH(2,1/((Y325:BF325&lt;&gt;0)*(Y325:BF325&lt;&gt;"")))-MATCH(1,INDEX((Y325:BF325&lt;&gt;0)*(Y325:BF325&lt;&gt;""),0),0)+1 &lt;= 24,
        "No",
        "Yes"
    ),
    "No"
)</f>
        <v>No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129.999999</v>
      </c>
      <c r="AY325" s="8">
        <v>129.999999</v>
      </c>
      <c r="AZ325" s="8">
        <v>129.99999900000003</v>
      </c>
      <c r="BA325" s="8">
        <v>129.999999</v>
      </c>
      <c r="BB325" s="8">
        <v>129.999999</v>
      </c>
      <c r="BC325" s="8">
        <v>129.999999</v>
      </c>
      <c r="BD325" s="8">
        <v>129.999999</v>
      </c>
      <c r="BE325" s="8">
        <v>129.999999</v>
      </c>
      <c r="BF325" s="8">
        <v>129.999999</v>
      </c>
      <c r="BH325" s="8">
        <f t="shared" si="70"/>
        <v>0</v>
      </c>
      <c r="BI325" s="8">
        <f t="shared" si="71"/>
        <v>0</v>
      </c>
      <c r="BJ325" s="8">
        <f t="shared" si="72"/>
        <v>1169.9999910000001</v>
      </c>
    </row>
    <row r="326" spans="1:62" x14ac:dyDescent="0.25">
      <c r="A326" s="9" t="s">
        <v>505</v>
      </c>
      <c r="B326" s="9" t="s">
        <v>644</v>
      </c>
      <c r="C326" s="10">
        <f>VLOOKUP(A326,'[2]Revenue_Engine_2025 Oct.25'!$C$14:G$3937,5,0)</f>
        <v>45688</v>
      </c>
      <c r="D326" s="6" cm="1">
        <f t="array" ref="D326">_xlfn.LET(
  _xlpm.aralık, Y326:BF326,
  _xlpm.ilk, MATCH(TRUE, _xlpm.aralık&lt;&gt;0, 0),
  _xlpm.son, MIN(_xlpm.ilk+2, COLUMNS(_xlpm.aralık)),
  MAX(INDEX(_xlpm.aralık, _xlpm.ilk):INDEX(_xlpm.aralık, _xlpm.son))
)</f>
        <v>119.20000008333335</v>
      </c>
      <c r="E326" s="6">
        <f t="shared" si="65"/>
        <v>0</v>
      </c>
      <c r="F326" s="6">
        <f t="shared" si="66"/>
        <v>0</v>
      </c>
      <c r="G326" s="6">
        <f t="shared" si="73"/>
        <v>129.13782591666669</v>
      </c>
      <c r="H326" s="7">
        <f t="shared" si="67"/>
        <v>-1</v>
      </c>
      <c r="I326" s="7">
        <f t="shared" si="68"/>
        <v>-1</v>
      </c>
      <c r="J326" s="7" t="e">
        <f t="shared" si="69"/>
        <v>#DIV/0!</v>
      </c>
      <c r="K326" s="7">
        <f t="shared" si="74"/>
        <v>8.3371022033437492E-2</v>
      </c>
      <c r="L326" s="5" t="s">
        <v>694</v>
      </c>
      <c r="M326" s="7">
        <f>IF(R326="",(VLOOKUP(A326,[1]Export!$B$2:$H$680,7,0)),"CHURN")</f>
        <v>0.31976858993001311</v>
      </c>
      <c r="N326" s="5">
        <f t="shared" si="75"/>
        <v>87.843605416666676</v>
      </c>
      <c r="O326" s="5">
        <f t="shared" si="76"/>
        <v>0</v>
      </c>
      <c r="P326" s="5">
        <f t="shared" si="77"/>
        <v>0</v>
      </c>
      <c r="Q326" s="5" t="s">
        <v>430</v>
      </c>
      <c r="T326" s="6" t="str" cm="1">
        <f t="array" ref="T326">IF(R326&lt;&gt;"Churn","",
 _xlfn.LET(
   _xlpm.rng,Y326:BF326,
   _xlpm.pos,MAX(IF((_xlpm.rng&lt;&gt;0)*(_xlpm.rng&lt;&gt;""),COLUMN(_xlpm.rng)-COLUMN(Y326)+1)),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6" s="6" t="str" cm="1">
        <f t="array" ref="U326">IF(R326="Churn",
   MAX(IF((Y326:BF326&lt;&gt;"")*(Y326:BF326&lt;&gt;0), COLUMN(Y326:BF326)-COLUMN(Y326)+1))
   -MATCH(1, --((Y326:BF326&lt;&gt;"")*(Y326:BF326&lt;&gt;0)), 0)
   +1,
"")</f>
        <v/>
      </c>
      <c r="V326" s="14" t="s">
        <v>705</v>
      </c>
      <c r="W326" s="6" t="str" cm="1">
        <f t="array" ref="W326">IFERROR(
    IF(
        MATCH(2,1/((Y326:BF326&lt;&gt;0)*(Y326:BF326&lt;&gt;"")))-MATCH(1,INDEX((Y326:BF326&lt;&gt;0)*(Y326:BF326&lt;&gt;""),0),0)+1 &lt;= 24,
        "No",
        "Yes"
    ),
    "No"
)</f>
        <v>No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119.20000008333335</v>
      </c>
      <c r="AL326" s="8">
        <v>119.20000008333335</v>
      </c>
      <c r="AM326" s="8">
        <v>119.20000008333335</v>
      </c>
      <c r="AN326" s="8">
        <v>119.20000008333335</v>
      </c>
      <c r="AO326" s="8">
        <v>119.20000008333335</v>
      </c>
      <c r="AP326" s="8">
        <v>119.20000008333335</v>
      </c>
      <c r="AQ326" s="8">
        <v>119.20000008333335</v>
      </c>
      <c r="AR326" s="8">
        <v>119.20000008333335</v>
      </c>
      <c r="AS326" s="8">
        <v>119.20000008333335</v>
      </c>
      <c r="AT326" s="8">
        <v>119.20000008333335</v>
      </c>
      <c r="AU326" s="8">
        <v>119.20000008333335</v>
      </c>
      <c r="AV326" s="8">
        <v>119.20000008333335</v>
      </c>
      <c r="AW326" s="8">
        <v>119.20000008333335</v>
      </c>
      <c r="AX326" s="8">
        <v>129.13782591666669</v>
      </c>
      <c r="AY326" s="8">
        <v>129.13782591666669</v>
      </c>
      <c r="AZ326" s="8">
        <v>129.13782591666669</v>
      </c>
      <c r="BA326" s="8">
        <v>129.13782591666669</v>
      </c>
      <c r="BB326" s="8">
        <v>129.13782591666669</v>
      </c>
      <c r="BC326" s="8">
        <v>129.13782591666669</v>
      </c>
      <c r="BD326" s="8">
        <v>129.13782591666669</v>
      </c>
      <c r="BE326" s="8">
        <v>129.13782591666669</v>
      </c>
      <c r="BF326" s="8">
        <v>129.13782591666669</v>
      </c>
      <c r="BH326" s="8">
        <f t="shared" si="70"/>
        <v>0</v>
      </c>
      <c r="BI326" s="8">
        <f t="shared" si="71"/>
        <v>1430.4000010000007</v>
      </c>
      <c r="BJ326" s="8">
        <f t="shared" si="72"/>
        <v>1281.4404333333334</v>
      </c>
    </row>
    <row r="327" spans="1:62" x14ac:dyDescent="0.25">
      <c r="A327" s="9" t="s">
        <v>134</v>
      </c>
      <c r="B327" s="9" t="s">
        <v>644</v>
      </c>
      <c r="C327" s="10">
        <v>44927</v>
      </c>
      <c r="D327" s="6" cm="1">
        <f t="array" ref="D327">_xlfn.LET(
  _xlpm.aralık, Y327:BF327,
  _xlpm.ilk, MATCH(TRUE, _xlpm.aralık&lt;&gt;0, 0),
  _xlpm.son, MIN(_xlpm.ilk+2, COLUMNS(_xlpm.aralık)),
  MAX(INDEX(_xlpm.aralık, _xlpm.ilk):INDEX(_xlpm.aralık, _xlpm.son))
)</f>
        <v>120</v>
      </c>
      <c r="E327" s="6">
        <f t="shared" si="65"/>
        <v>146.74</v>
      </c>
      <c r="F327" s="6">
        <f t="shared" si="66"/>
        <v>227.74</v>
      </c>
      <c r="G327" s="6">
        <f t="shared" si="73"/>
        <v>127.76214000000002</v>
      </c>
      <c r="H327" s="7">
        <f t="shared" si="67"/>
        <v>0.22283333333333341</v>
      </c>
      <c r="I327" s="7">
        <f t="shared" si="68"/>
        <v>0.89783333333333337</v>
      </c>
      <c r="J327" s="7">
        <f t="shared" si="69"/>
        <v>0.55199672890827312</v>
      </c>
      <c r="K327" s="7">
        <f t="shared" si="74"/>
        <v>6.4684500000000131E-2</v>
      </c>
      <c r="L327" s="5" t="s">
        <v>416</v>
      </c>
      <c r="M327" s="7">
        <f>IF(R327="",(VLOOKUP(A327,[1]Export!$B$2:$H$680,7,0)),"CHURN")</f>
        <v>0.20681478879423898</v>
      </c>
      <c r="N327" s="5">
        <f t="shared" si="75"/>
        <v>101.33904000000003</v>
      </c>
      <c r="O327" s="5">
        <f t="shared" si="76"/>
        <v>116.39199789233338</v>
      </c>
      <c r="P327" s="5">
        <f t="shared" si="77"/>
        <v>180.64000000000001</v>
      </c>
      <c r="Q327" s="5" t="s">
        <v>430</v>
      </c>
      <c r="T327" s="6" t="str" cm="1">
        <f t="array" ref="T327">IF(R327&lt;&gt;"Churn","",
 _xlfn.LET(
   _xlpm.rng,Y327:BF327,
   _xlpm.pos,MAX(IF((_xlpm.rng&lt;&gt;0)*(_xlpm.rng&lt;&gt;""),COLUMN(_xlpm.rng)-COLUMN(Y327)+1)),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7" s="6" t="str" cm="1">
        <f t="array" ref="U327">IF(R327="Churn",
   MAX(IF((Y327:BF327&lt;&gt;"")*(Y327:BF327&lt;&gt;0), COLUMN(Y327:BF327)-COLUMN(Y327)+1))
   -MATCH(1, --((Y327:BF327&lt;&gt;"")*(Y327:BF327&lt;&gt;0)), 0)
   +1,
"")</f>
        <v/>
      </c>
      <c r="V327" s="6" t="str" cm="1">
        <f t="array" ref="V327">IFERROR(
    IF(
        MATCH(2,1/((Y327:BF327&lt;&gt;0)*(Y327:BF327&lt;&gt;"")))-MATCH(1,INDEX((Y327:BF327&lt;&gt;0)*(Y327:BF327&lt;&gt;""),0),0)+1 &lt;= 12,
        "No",
        "Yes"
    ),
    "No"
)</f>
        <v>Yes</v>
      </c>
      <c r="W327" s="6" t="str" cm="1">
        <f t="array" ref="W327">IFERROR(
    IF(
        MATCH(2,1/((Y327:BF327&lt;&gt;0)*(Y327:BF327&lt;&gt;"")))-MATCH(1,INDEX((Y327:BF327&lt;&gt;0)*(Y327:BF327&lt;&gt;""),0),0)+1 &lt;= 24,
        "No",
        "Yes"
    ),
    "No"
)</f>
        <v>Yes</v>
      </c>
      <c r="Y327" s="8">
        <v>120</v>
      </c>
      <c r="Z327" s="8">
        <v>120</v>
      </c>
      <c r="AA327" s="8">
        <v>120</v>
      </c>
      <c r="AB327" s="8">
        <v>120</v>
      </c>
      <c r="AC327" s="8">
        <v>129</v>
      </c>
      <c r="AD327" s="8">
        <v>129</v>
      </c>
      <c r="AE327" s="8">
        <v>129</v>
      </c>
      <c r="AF327" s="8">
        <v>136.74</v>
      </c>
      <c r="AG327" s="8">
        <v>136.74</v>
      </c>
      <c r="AH327" s="8">
        <v>136.74</v>
      </c>
      <c r="AI327" s="8">
        <v>136.74</v>
      </c>
      <c r="AJ327" s="8">
        <v>136.74</v>
      </c>
      <c r="AK327" s="8">
        <v>146.74</v>
      </c>
      <c r="AL327" s="8">
        <v>227.74</v>
      </c>
      <c r="AM327" s="8">
        <v>227.74</v>
      </c>
      <c r="AN327" s="8">
        <v>227.74</v>
      </c>
      <c r="AO327" s="8">
        <v>227.74</v>
      </c>
      <c r="AP327" s="8">
        <v>227.74</v>
      </c>
      <c r="AQ327" s="8">
        <v>227.74</v>
      </c>
      <c r="AR327" s="8">
        <v>227.74</v>
      </c>
      <c r="AS327" s="8">
        <v>227.74</v>
      </c>
      <c r="AT327" s="8">
        <v>227.74</v>
      </c>
      <c r="AU327" s="8">
        <v>227.74</v>
      </c>
      <c r="AV327" s="8">
        <v>227.74</v>
      </c>
      <c r="AW327" s="8">
        <v>227.74</v>
      </c>
      <c r="AX327" s="8">
        <v>227.74</v>
      </c>
      <c r="AY327" s="8">
        <v>127.76214000000002</v>
      </c>
      <c r="AZ327" s="8">
        <v>127.76214000000002</v>
      </c>
      <c r="BA327" s="8">
        <v>127.76214000000002</v>
      </c>
      <c r="BB327" s="8">
        <v>127.76214000000002</v>
      </c>
      <c r="BC327" s="8">
        <v>127.76214000000002</v>
      </c>
      <c r="BD327" s="8">
        <v>127.76214000000002</v>
      </c>
      <c r="BE327" s="8">
        <v>127.76214000000002</v>
      </c>
      <c r="BF327" s="8">
        <v>127.76214000000002</v>
      </c>
      <c r="BH327" s="8">
        <f t="shared" si="70"/>
        <v>1550.7</v>
      </c>
      <c r="BI327" s="8">
        <f t="shared" si="71"/>
        <v>2651.88</v>
      </c>
      <c r="BJ327" s="8">
        <f t="shared" si="72"/>
        <v>1477.5771200000004</v>
      </c>
    </row>
    <row r="328" spans="1:62" x14ac:dyDescent="0.25">
      <c r="A328" s="9" t="s">
        <v>693</v>
      </c>
      <c r="B328" s="9" t="s">
        <v>644</v>
      </c>
      <c r="C328" s="10">
        <f>VLOOKUP(A328,'[2]Revenue_Engine_2025 Oct.25'!$C$14:G$3937,5,0)</f>
        <v>45627</v>
      </c>
      <c r="D328" s="6" cm="1">
        <f t="array" ref="D328">_xlfn.LET(
  _xlpm.aralık, Y328:BF328,
  _xlpm.ilk, MATCH(TRUE, _xlpm.aralık&lt;&gt;0, 0),
  _xlpm.son, MIN(_xlpm.ilk+2, COLUMNS(_xlpm.aralık)),
  MAX(INDEX(_xlpm.aralık, _xlpm.ilk):INDEX(_xlpm.aralık, _xlpm.son))
)</f>
        <v>125</v>
      </c>
      <c r="E328" s="6">
        <f t="shared" si="65"/>
        <v>0</v>
      </c>
      <c r="F328" s="6">
        <f t="shared" si="66"/>
        <v>0</v>
      </c>
      <c r="G328" s="6">
        <f t="shared" si="73"/>
        <v>125</v>
      </c>
      <c r="H328" s="7">
        <f t="shared" si="67"/>
        <v>-1</v>
      </c>
      <c r="I328" s="7">
        <f t="shared" si="68"/>
        <v>-1</v>
      </c>
      <c r="J328" s="7" t="e">
        <f t="shared" si="69"/>
        <v>#DIV/0!</v>
      </c>
      <c r="K328" s="7">
        <f t="shared" si="74"/>
        <v>0</v>
      </c>
      <c r="L328" s="5" t="s">
        <v>423</v>
      </c>
      <c r="M328" s="7">
        <f>IF(R328="",(VLOOKUP(A328,[1]Export!$B$2:$H$680,7,0)),"CHURN")</f>
        <v>1</v>
      </c>
      <c r="N328" s="5">
        <f t="shared" si="75"/>
        <v>0</v>
      </c>
      <c r="O328" s="5">
        <f t="shared" si="76"/>
        <v>0</v>
      </c>
      <c r="P328" s="5">
        <f t="shared" si="77"/>
        <v>0</v>
      </c>
      <c r="Q328" s="5" t="str">
        <f>VLOOKUP(A328,[4]Sheet2!$A$1:$B$142,2,0)</f>
        <v>LOW RISK</v>
      </c>
      <c r="T328" s="6" t="str" cm="1">
        <f t="array" ref="T328">IF(R328&lt;&gt;"Churn","",
 _xlfn.LET(
   _xlpm.rng,Y328:BF328,
   _xlpm.pos,MAX(IF((_xlpm.rng&lt;&gt;0)*(_xlpm.rng&lt;&gt;""),COLUMN(_xlpm.rng)-COLUMN(Y328)+1)),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8" s="6" t="str" cm="1">
        <f t="array" ref="U328">IF(R328="Churn",
   MAX(IF((Y328:BF328&lt;&gt;"")*(Y328:BF328&lt;&gt;0), COLUMN(Y328:BF328)-COLUMN(Y328)+1))
   -MATCH(1, --((Y328:BF328&lt;&gt;"")*(Y328:BF328&lt;&gt;0)), 0)
   +1,
"")</f>
        <v/>
      </c>
      <c r="V328" s="6" t="str" cm="1">
        <f t="array" ref="V328">IFERROR(
    IF(
        MATCH(2,1/((Y328:BF328&lt;&gt;0)*(Y328:BF328&lt;&gt;"")))-MATCH(1,INDEX((Y328:BF328&lt;&gt;0)*(Y328:BF328&lt;&gt;""),0),0)+1 &lt;= 12,
        "No",
        "Yes"
    ),
    "No"
)</f>
        <v>No</v>
      </c>
      <c r="W328" s="6" t="str" cm="1">
        <f t="array" ref="W328">IFERROR(
    IF(
        MATCH(2,1/((Y328:BF328&lt;&gt;0)*(Y328:BF328&lt;&gt;"")))-MATCH(1,INDEX((Y328:BF328&lt;&gt;0)*(Y328:BF328&lt;&gt;""),0),0)+1 &lt;= 24,
        "No",
        "Yes"
    ),
    "No"
)</f>
        <v>No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125</v>
      </c>
      <c r="AW328" s="8">
        <v>125</v>
      </c>
      <c r="AX328" s="8">
        <v>125</v>
      </c>
      <c r="AY328" s="8">
        <v>125</v>
      </c>
      <c r="AZ328" s="8">
        <v>125</v>
      </c>
      <c r="BA328" s="8">
        <v>125</v>
      </c>
      <c r="BB328" s="8">
        <v>125</v>
      </c>
      <c r="BC328" s="8">
        <v>125</v>
      </c>
      <c r="BD328" s="8">
        <v>125</v>
      </c>
      <c r="BE328" s="8">
        <v>125</v>
      </c>
      <c r="BF328" s="8">
        <v>125</v>
      </c>
      <c r="BH328" s="8">
        <f t="shared" si="70"/>
        <v>0</v>
      </c>
      <c r="BI328" s="8">
        <f t="shared" si="71"/>
        <v>125</v>
      </c>
      <c r="BJ328" s="8">
        <f t="shared" si="72"/>
        <v>1250</v>
      </c>
    </row>
    <row r="329" spans="1:62" x14ac:dyDescent="0.25">
      <c r="A329" s="9" t="s">
        <v>506</v>
      </c>
      <c r="B329" s="9" t="s">
        <v>644</v>
      </c>
      <c r="C329" s="10">
        <f>VLOOKUP(A329,'[2]Revenue_Engine_2025 Oct.25'!$C$14:G$3937,5,0)</f>
        <v>45870</v>
      </c>
      <c r="D329" s="6" cm="1">
        <f t="array" ref="D329">_xlfn.LET(
  _xlpm.aralık, Y329:BF329,
  _xlpm.ilk, MATCH(TRUE, _xlpm.aralık&lt;&gt;0, 0),
  _xlpm.son, MIN(_xlpm.ilk+2, COLUMNS(_xlpm.aralık)),
  MAX(INDEX(_xlpm.aralık, _xlpm.ilk):INDEX(_xlpm.aralık, _xlpm.son))
)</f>
        <v>124.99833083333333</v>
      </c>
      <c r="E329" s="6">
        <f t="shared" si="65"/>
        <v>0</v>
      </c>
      <c r="F329" s="6">
        <f t="shared" si="66"/>
        <v>0</v>
      </c>
      <c r="G329" s="6">
        <f t="shared" si="73"/>
        <v>124.99833083333333</v>
      </c>
      <c r="H329" s="7">
        <f t="shared" si="67"/>
        <v>-1</v>
      </c>
      <c r="I329" s="7">
        <f t="shared" si="68"/>
        <v>-1</v>
      </c>
      <c r="J329" s="7" t="e">
        <f t="shared" si="69"/>
        <v>#DIV/0!</v>
      </c>
      <c r="K329" s="7">
        <f t="shared" si="74"/>
        <v>0</v>
      </c>
      <c r="L329" s="5" t="s">
        <v>694</v>
      </c>
      <c r="M329" s="7">
        <f>IF(R329="",(VLOOKUP(A329,[1]Export!$B$2:$H$680,7,0)),"CHURN")</f>
        <v>0.27702496654005326</v>
      </c>
      <c r="N329" s="5">
        <f t="shared" si="75"/>
        <v>90.37067241666665</v>
      </c>
      <c r="O329" s="5">
        <f t="shared" si="76"/>
        <v>0</v>
      </c>
      <c r="P329" s="5">
        <f t="shared" si="77"/>
        <v>0</v>
      </c>
      <c r="Q329" s="5" t="s">
        <v>430</v>
      </c>
      <c r="T329" s="6" t="str" cm="1">
        <f t="array" ref="T329">IF(R329&lt;&gt;"Churn","",
 _xlfn.LET(
   _xlpm.rng,Y329:BF329,
   _xlpm.pos,MAX(IF((_xlpm.rng&lt;&gt;0)*(_xlpm.rng&lt;&gt;""),COLUMN(_xlpm.rng)-COLUMN(Y329)+1)),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29" s="6" t="str" cm="1">
        <f t="array" ref="U329">IF(R329="Churn",
   MAX(IF((Y329:BF329&lt;&gt;"")*(Y329:BF329&lt;&gt;0), COLUMN(Y329:BF329)-COLUMN(Y329)+1))
   -MATCH(1, --((Y329:BF329&lt;&gt;"")*(Y329:BF329&lt;&gt;0)), 0)
   +1,
"")</f>
        <v/>
      </c>
      <c r="V329" s="6" t="str" cm="1">
        <f t="array" ref="V329">IFERROR(
    IF(
        MATCH(2,1/((Y329:BF329&lt;&gt;0)*(Y329:BF329&lt;&gt;"")))-MATCH(1,INDEX((Y329:BF329&lt;&gt;0)*(Y329:BF329&lt;&gt;""),0),0)+1 &lt;= 12,
        "No",
        "Yes"
    ),
    "No"
)</f>
        <v>No</v>
      </c>
      <c r="W329" s="6" t="str" cm="1">
        <f t="array" ref="W329">IFERROR(
    IF(
        MATCH(2,1/((Y329:BF329&lt;&gt;0)*(Y329:BF329&lt;&gt;"")))-MATCH(1,INDEX((Y329:BF329&lt;&gt;0)*(Y329:BF329&lt;&gt;""),0),0)+1 &lt;= 24,
        "No",
        "Yes"
    ),
    "No"
)</f>
        <v>No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124.99833083333333</v>
      </c>
      <c r="BE329" s="8">
        <v>124.99833083333333</v>
      </c>
      <c r="BF329" s="8">
        <v>124.99833083333333</v>
      </c>
      <c r="BH329" s="8">
        <f t="shared" si="70"/>
        <v>0</v>
      </c>
      <c r="BI329" s="8">
        <f t="shared" si="71"/>
        <v>0</v>
      </c>
      <c r="BJ329" s="8">
        <f t="shared" si="72"/>
        <v>374.99499249999997</v>
      </c>
    </row>
    <row r="330" spans="1:62" x14ac:dyDescent="0.25">
      <c r="A330" s="9" t="s">
        <v>265</v>
      </c>
      <c r="B330" s="9" t="s">
        <v>644</v>
      </c>
      <c r="C330" s="10">
        <f>VLOOKUP(A330,'[2]Revenue_Engine_2025 Oct.25'!$C$14:G$3937,5,0)</f>
        <v>45323</v>
      </c>
      <c r="D330" s="6" cm="1">
        <f t="array" ref="D330">_xlfn.LET(
  _xlpm.aralık, Y330:BF330,
  _xlpm.ilk, MATCH(TRUE, _xlpm.aralık&lt;&gt;0, 0),
  _xlpm.son, MIN(_xlpm.ilk+2, COLUMNS(_xlpm.aralık)),
  MAX(INDEX(_xlpm.aralık, _xlpm.ilk):INDEX(_xlpm.aralık, _xlpm.son))
)</f>
        <v>121.83333008333334</v>
      </c>
      <c r="E330" s="6">
        <f t="shared" si="65"/>
        <v>124.82970833333334</v>
      </c>
      <c r="F330" s="6">
        <f t="shared" si="66"/>
        <v>0</v>
      </c>
      <c r="G330" s="6">
        <f t="shared" si="73"/>
        <v>124.82970833333334</v>
      </c>
      <c r="H330" s="7">
        <f t="shared" si="67"/>
        <v>2.4594076579459005E-2</v>
      </c>
      <c r="I330" s="7">
        <f t="shared" si="68"/>
        <v>-1</v>
      </c>
      <c r="J330" s="7">
        <f t="shared" si="69"/>
        <v>-1</v>
      </c>
      <c r="K330" s="7">
        <f t="shared" si="74"/>
        <v>2.4594076579459005E-2</v>
      </c>
      <c r="L330" s="5" t="s">
        <v>694</v>
      </c>
      <c r="M330" s="7">
        <f>IF(R330="",(VLOOKUP(A330,[1]Export!$B$2:$H$680,7,0)),"CHURN")</f>
        <v>0.43450709082673622</v>
      </c>
      <c r="N330" s="5">
        <f t="shared" si="75"/>
        <v>70.590314916666685</v>
      </c>
      <c r="O330" s="5">
        <f t="shared" si="76"/>
        <v>70.590314916666685</v>
      </c>
      <c r="P330" s="5">
        <f t="shared" si="77"/>
        <v>0</v>
      </c>
      <c r="Q330" s="5" t="s">
        <v>430</v>
      </c>
      <c r="T330" s="6" t="str" cm="1">
        <f t="array" ref="T330">IF(R330&lt;&gt;"Churn","",
 _xlfn.LET(
   _xlpm.rng,Y330:BF330,
   _xlpm.pos,MAX(IF((_xlpm.rng&lt;&gt;0)*(_xlpm.rng&lt;&gt;""),COLUMN(_xlpm.rng)-COLUMN(Y330)+1)),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0" s="6" t="str" cm="1">
        <f t="array" ref="U330">IF(R330="Churn",
   MAX(IF((Y330:BF330&lt;&gt;"")*(Y330:BF330&lt;&gt;0), COLUMN(Y330:BF330)-COLUMN(Y330)+1))
   -MATCH(1, --((Y330:BF330&lt;&gt;"")*(Y330:BF330&lt;&gt;0)), 0)
   +1,
"")</f>
        <v/>
      </c>
      <c r="V330" s="6" t="str" cm="1">
        <f t="array" ref="V330">IFERROR(
    IF(
        MATCH(2,1/((Y330:BF330&lt;&gt;0)*(Y330:BF330&lt;&gt;"")))-MATCH(1,INDEX((Y330:BF330&lt;&gt;0)*(Y330:BF330&lt;&gt;""),0),0)+1 &lt;= 12,
        "No",
        "Yes"
    ),
    "No"
)</f>
        <v>Yes</v>
      </c>
      <c r="W330" s="6" t="str" cm="1">
        <f t="array" ref="W330">IFERROR(
    IF(
        MATCH(2,1/((Y330:BF330&lt;&gt;0)*(Y330:BF330&lt;&gt;"")))-MATCH(1,INDEX((Y330:BF330&lt;&gt;0)*(Y330:BF330&lt;&gt;""),0),0)+1 &lt;= 24,
        "No",
        "Yes"
    ),
    "No"
)</f>
        <v>No</v>
      </c>
      <c r="X330" s="6"/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99.333330083333337</v>
      </c>
      <c r="AL330" s="8">
        <v>121.83333008333334</v>
      </c>
      <c r="AM330" s="8">
        <v>121.83333008333334</v>
      </c>
      <c r="AN330" s="8">
        <v>121.83333008333334</v>
      </c>
      <c r="AO330" s="8">
        <v>121.83333008333334</v>
      </c>
      <c r="AP330" s="8">
        <v>121.83333008333334</v>
      </c>
      <c r="AQ330" s="8">
        <v>121.83333008333334</v>
      </c>
      <c r="AR330" s="8">
        <v>121.83333008333334</v>
      </c>
      <c r="AS330" s="8">
        <v>121.83333008333334</v>
      </c>
      <c r="AT330" s="8">
        <v>121.83333008333334</v>
      </c>
      <c r="AU330" s="8">
        <v>121.83333008333334</v>
      </c>
      <c r="AV330" s="8">
        <v>124.83333008333334</v>
      </c>
      <c r="AW330" s="8">
        <v>124.82970833333334</v>
      </c>
      <c r="AX330" s="8">
        <v>124.82970833333334</v>
      </c>
      <c r="AY330" s="8">
        <v>124.82970833333334</v>
      </c>
      <c r="AZ330" s="8">
        <v>124.82970833333334</v>
      </c>
      <c r="BA330" s="8">
        <v>124.82970833333334</v>
      </c>
      <c r="BB330" s="8">
        <v>124.82970833333334</v>
      </c>
      <c r="BC330" s="8">
        <v>124.82970833333334</v>
      </c>
      <c r="BD330" s="8">
        <v>124.82970833333334</v>
      </c>
      <c r="BE330" s="8">
        <v>124.82970833333334</v>
      </c>
      <c r="BF330" s="8">
        <v>124.82970833333334</v>
      </c>
      <c r="BH330" s="8">
        <f t="shared" si="70"/>
        <v>0</v>
      </c>
      <c r="BI330" s="8">
        <f t="shared" si="71"/>
        <v>1442.4999609999998</v>
      </c>
      <c r="BJ330" s="8">
        <f t="shared" si="72"/>
        <v>1248.2970833333334</v>
      </c>
    </row>
    <row r="331" spans="1:62" x14ac:dyDescent="0.25">
      <c r="A331" s="9" t="s">
        <v>155</v>
      </c>
      <c r="B331" s="9" t="s">
        <v>644</v>
      </c>
      <c r="C331" s="10">
        <v>44927</v>
      </c>
      <c r="D331" s="6" cm="1">
        <f t="array" ref="D331">_xlfn.LET(
  _xlpm.aralık, Y331:BF331,
  _xlpm.ilk, MATCH(TRUE, _xlpm.aralık&lt;&gt;0, 0),
  _xlpm.son, MIN(_xlpm.ilk+2, COLUMNS(_xlpm.aralık)),
  MAX(INDEX(_xlpm.aralık, _xlpm.ilk):INDEX(_xlpm.aralık, _xlpm.son))
)</f>
        <v>73.5</v>
      </c>
      <c r="E331" s="6">
        <f t="shared" si="65"/>
        <v>73.5</v>
      </c>
      <c r="F331" s="6">
        <f t="shared" si="66"/>
        <v>117.5</v>
      </c>
      <c r="G331" s="6">
        <f t="shared" si="73"/>
        <v>124</v>
      </c>
      <c r="H331" s="7">
        <f t="shared" si="67"/>
        <v>0</v>
      </c>
      <c r="I331" s="7">
        <f t="shared" si="68"/>
        <v>0.59863945578231292</v>
      </c>
      <c r="J331" s="7">
        <f t="shared" si="69"/>
        <v>0.59863945578231292</v>
      </c>
      <c r="K331" s="7">
        <f t="shared" si="74"/>
        <v>0.68707482993197277</v>
      </c>
      <c r="L331" s="5" t="s">
        <v>416</v>
      </c>
      <c r="M331" s="7">
        <f>IF(R331="",(VLOOKUP(A331,[1]Export!$B$2:$H$680,7,0)),"CHURN")</f>
        <v>1</v>
      </c>
      <c r="N331" s="5">
        <f t="shared" si="75"/>
        <v>0</v>
      </c>
      <c r="O331" s="5">
        <f t="shared" si="76"/>
        <v>0</v>
      </c>
      <c r="P331" s="5">
        <f t="shared" si="77"/>
        <v>0</v>
      </c>
      <c r="Q331" s="5" t="s">
        <v>430</v>
      </c>
      <c r="T331" s="6" t="str" cm="1">
        <f t="array" ref="T331">IF(R331&lt;&gt;"Churn","",
 _xlfn.LET(
   _xlpm.rng,Y331:BF331,
   _xlpm.pos,MAX(IF((_xlpm.rng&lt;&gt;0)*(_xlpm.rng&lt;&gt;""),COLUMN(_xlpm.rng)-COLUMN(Y331)+1)),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1" s="6" t="str" cm="1">
        <f t="array" ref="U331">IF(R331="Churn",
   MAX(IF((Y331:BF331&lt;&gt;"")*(Y331:BF331&lt;&gt;0), COLUMN(Y331:BF331)-COLUMN(Y331)+1))
   -MATCH(1, --((Y331:BF331&lt;&gt;"")*(Y331:BF331&lt;&gt;0)), 0)
   +1,
"")</f>
        <v/>
      </c>
      <c r="V331" s="6" t="str" cm="1">
        <f t="array" ref="V331">IFERROR(
    IF(
        MATCH(2,1/((Y331:BF331&lt;&gt;0)*(Y331:BF331&lt;&gt;"")))-MATCH(1,INDEX((Y331:BF331&lt;&gt;0)*(Y331:BF331&lt;&gt;""),0),0)+1 &lt;= 12,
        "No",
        "Yes"
    ),
    "No"
)</f>
        <v>Yes</v>
      </c>
      <c r="W331" s="6" t="str" cm="1">
        <f t="array" ref="W331">IFERROR(
    IF(
        MATCH(2,1/((Y331:BF331&lt;&gt;0)*(Y331:BF331&lt;&gt;"")))-MATCH(1,INDEX((Y331:BF331&lt;&gt;0)*(Y331:BF331&lt;&gt;""),0),0)+1 &lt;= 24,
        "No",
        "Yes"
    ),
    "No"
)</f>
        <v>Yes</v>
      </c>
      <c r="Y331" s="8">
        <v>73.5</v>
      </c>
      <c r="Z331" s="8">
        <v>73.5</v>
      </c>
      <c r="AA331" s="8">
        <v>73.5</v>
      </c>
      <c r="AB331" s="8">
        <v>73.5</v>
      </c>
      <c r="AC331" s="8">
        <v>73.5</v>
      </c>
      <c r="AD331" s="8">
        <v>73.5</v>
      </c>
      <c r="AE331" s="8">
        <v>73.5</v>
      </c>
      <c r="AF331" s="8">
        <v>73.5</v>
      </c>
      <c r="AG331" s="8">
        <v>73.5</v>
      </c>
      <c r="AH331" s="8">
        <v>73.5</v>
      </c>
      <c r="AI331" s="8">
        <v>73.5</v>
      </c>
      <c r="AJ331" s="8">
        <v>73.5</v>
      </c>
      <c r="AK331" s="8">
        <v>73.5</v>
      </c>
      <c r="AL331" s="8">
        <v>86</v>
      </c>
      <c r="AM331" s="8">
        <v>73.5</v>
      </c>
      <c r="AN331" s="8">
        <v>73.5</v>
      </c>
      <c r="AO331" s="8">
        <v>98.5</v>
      </c>
      <c r="AP331" s="8">
        <v>98.5</v>
      </c>
      <c r="AQ331" s="8">
        <v>98.5</v>
      </c>
      <c r="AR331" s="8">
        <v>98.5</v>
      </c>
      <c r="AS331" s="8">
        <v>111</v>
      </c>
      <c r="AT331" s="8">
        <v>117.5</v>
      </c>
      <c r="AU331" s="8">
        <v>117.5</v>
      </c>
      <c r="AV331" s="8">
        <v>117.5</v>
      </c>
      <c r="AW331" s="8">
        <v>117.5</v>
      </c>
      <c r="AX331" s="8">
        <v>117.5</v>
      </c>
      <c r="AY331" s="8">
        <v>117.5</v>
      </c>
      <c r="AZ331" s="8">
        <v>117.5</v>
      </c>
      <c r="BA331" s="8">
        <v>117.5</v>
      </c>
      <c r="BB331" s="8">
        <v>117.5</v>
      </c>
      <c r="BC331" s="8">
        <v>117.5</v>
      </c>
      <c r="BD331" s="8">
        <v>117.5</v>
      </c>
      <c r="BE331" s="8">
        <v>117.5</v>
      </c>
      <c r="BF331" s="8">
        <v>124</v>
      </c>
      <c r="BH331" s="8">
        <f t="shared" si="70"/>
        <v>882</v>
      </c>
      <c r="BI331" s="8">
        <f t="shared" si="71"/>
        <v>1164</v>
      </c>
      <c r="BJ331" s="8">
        <f t="shared" si="72"/>
        <v>1181.5</v>
      </c>
    </row>
    <row r="332" spans="1:62" x14ac:dyDescent="0.25">
      <c r="A332" s="9" t="s">
        <v>274</v>
      </c>
      <c r="B332" s="9" t="s">
        <v>644</v>
      </c>
      <c r="C332" s="10">
        <f>VLOOKUP(A332,'[2]Revenue_Engine_2025 Oct.25'!$C$14:G$3937,5,0)</f>
        <v>45352</v>
      </c>
      <c r="D332" s="6" cm="1">
        <f t="array" ref="D332">_xlfn.LET(
  _xlpm.aralık, Y332:BF332,
  _xlpm.ilk, MATCH(TRUE, _xlpm.aralık&lt;&gt;0, 0),
  _xlpm.son, MIN(_xlpm.ilk+2, COLUMNS(_xlpm.aralık)),
  MAX(INDEX(_xlpm.aralık, _xlpm.ilk):INDEX(_xlpm.aralık, _xlpm.son))
)</f>
        <v>86.000882333333337</v>
      </c>
      <c r="E332" s="6">
        <f t="shared" si="65"/>
        <v>103.2007965</v>
      </c>
      <c r="F332" s="6">
        <f t="shared" si="66"/>
        <v>0</v>
      </c>
      <c r="G332" s="6">
        <f t="shared" si="73"/>
        <v>123.2007965</v>
      </c>
      <c r="H332" s="7">
        <f t="shared" si="67"/>
        <v>0.19999695003129164</v>
      </c>
      <c r="I332" s="7">
        <f t="shared" si="68"/>
        <v>-1</v>
      </c>
      <c r="J332" s="7">
        <f t="shared" si="69"/>
        <v>-1</v>
      </c>
      <c r="K332" s="7">
        <f t="shared" si="74"/>
        <v>0.43255270361625386</v>
      </c>
      <c r="L332" s="5" t="s">
        <v>694</v>
      </c>
      <c r="M332" s="7">
        <f>IF(R332="",(VLOOKUP(A332,[1]Export!$B$2:$H$680,7,0)),"CHURN")</f>
        <v>0.41541389777730314</v>
      </c>
      <c r="N332" s="5">
        <f t="shared" si="75"/>
        <v>72.021473416666666</v>
      </c>
      <c r="O332" s="5">
        <f t="shared" si="76"/>
        <v>60.329751372212726</v>
      </c>
      <c r="P332" s="5">
        <f t="shared" si="77"/>
        <v>0</v>
      </c>
      <c r="Q332" s="5" t="s">
        <v>430</v>
      </c>
      <c r="T332" s="6" t="str" cm="1">
        <f t="array" ref="T332">IF(R332&lt;&gt;"Churn","",
 _xlfn.LET(
   _xlpm.rng,Y332:BF332,
   _xlpm.pos,MAX(IF((_xlpm.rng&lt;&gt;0)*(_xlpm.rng&lt;&gt;""),COLUMN(_xlpm.rng)-COLUMN(Y332)+1)),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2" s="6" t="str" cm="1">
        <f t="array" ref="U332">IF(R332="Churn",
   MAX(IF((Y332:BF332&lt;&gt;"")*(Y332:BF332&lt;&gt;0), COLUMN(Y332:BF332)-COLUMN(Y332)+1))
   -MATCH(1, --((Y332:BF332&lt;&gt;"")*(Y332:BF332&lt;&gt;0)), 0)
   +1,
"")</f>
        <v/>
      </c>
      <c r="V332" s="6" t="str" cm="1">
        <f t="array" ref="V332">IFERROR(
    IF(
        MATCH(2,1/((Y332:BF332&lt;&gt;0)*(Y332:BF332&lt;&gt;"")))-MATCH(1,INDEX((Y332:BF332&lt;&gt;0)*(Y332:BF332&lt;&gt;""),0),0)+1 &lt;= 12,
        "No",
        "Yes"
    ),
    "No"
)</f>
        <v>Yes</v>
      </c>
      <c r="W332" s="6" t="str" cm="1">
        <f t="array" ref="W332">IFERROR(
    IF(
        MATCH(2,1/((Y332:BF332&lt;&gt;0)*(Y332:BF332&lt;&gt;"")))-MATCH(1,INDEX((Y332:BF332&lt;&gt;0)*(Y332:BF332&lt;&gt;""),0),0)+1 &lt;= 24,
        "No",
        "Yes"
    ),
    "No"
)</f>
        <v>No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86.000882333333337</v>
      </c>
      <c r="AM332" s="8">
        <v>86.000882333333337</v>
      </c>
      <c r="AN332" s="8">
        <v>86.000882333333337</v>
      </c>
      <c r="AO332" s="8">
        <v>86.000882333333337</v>
      </c>
      <c r="AP332" s="8">
        <v>86.000882333333337</v>
      </c>
      <c r="AQ332" s="8">
        <v>86.000882333333337</v>
      </c>
      <c r="AR332" s="8">
        <v>86.000882333333337</v>
      </c>
      <c r="AS332" s="8">
        <v>86.000882333333337</v>
      </c>
      <c r="AT332" s="8">
        <v>86.000882333333337</v>
      </c>
      <c r="AU332" s="8">
        <v>86.000882333333337</v>
      </c>
      <c r="AV332" s="8">
        <v>86.000882333333337</v>
      </c>
      <c r="AW332" s="8">
        <v>86.000882333333337</v>
      </c>
      <c r="AX332" s="8">
        <v>86.000882333333337</v>
      </c>
      <c r="AY332" s="8">
        <v>103.2007965</v>
      </c>
      <c r="AZ332" s="8">
        <v>103.2007965</v>
      </c>
      <c r="BA332" s="8">
        <v>103.2007965</v>
      </c>
      <c r="BB332" s="8">
        <v>103.2007965</v>
      </c>
      <c r="BC332" s="8">
        <v>103.2007965</v>
      </c>
      <c r="BD332" s="8">
        <v>103.2007965</v>
      </c>
      <c r="BE332" s="8">
        <v>103.2007965</v>
      </c>
      <c r="BF332" s="8">
        <v>123.2007965</v>
      </c>
      <c r="BH332" s="8">
        <f t="shared" si="70"/>
        <v>0</v>
      </c>
      <c r="BI332" s="8">
        <f t="shared" si="71"/>
        <v>946.00970566666695</v>
      </c>
      <c r="BJ332" s="8">
        <f t="shared" si="72"/>
        <v>1017.6081366666668</v>
      </c>
    </row>
    <row r="333" spans="1:62" x14ac:dyDescent="0.25">
      <c r="A333" s="9" t="s">
        <v>507</v>
      </c>
      <c r="B333" s="9" t="s">
        <v>644</v>
      </c>
      <c r="C333" s="10">
        <f>VLOOKUP(A333,'[2]Revenue_Engine_2025 Oct.25'!$C$14:G$3937,5,0)</f>
        <v>45699</v>
      </c>
      <c r="D333" s="6" cm="1">
        <f t="array" ref="D333">_xlfn.LET(
  _xlpm.aralık, Y333:BF333,
  _xlpm.ilk, MATCH(TRUE, _xlpm.aralık&lt;&gt;0, 0),
  _xlpm.son, MIN(_xlpm.ilk+2, COLUMNS(_xlpm.aralık)),
  MAX(INDEX(_xlpm.aralık, _xlpm.ilk):INDEX(_xlpm.aralık, _xlpm.son))
)</f>
        <v>113.00000000000003</v>
      </c>
      <c r="E333" s="6">
        <f t="shared" si="65"/>
        <v>0</v>
      </c>
      <c r="F333" s="6">
        <f t="shared" si="66"/>
        <v>0</v>
      </c>
      <c r="G333" s="6">
        <f t="shared" si="73"/>
        <v>122.999</v>
      </c>
      <c r="H333" s="7">
        <f t="shared" si="67"/>
        <v>-1</v>
      </c>
      <c r="I333" s="7">
        <f t="shared" si="68"/>
        <v>-1</v>
      </c>
      <c r="J333" s="7" t="e">
        <f t="shared" si="69"/>
        <v>#DIV/0!</v>
      </c>
      <c r="K333" s="7">
        <f t="shared" si="74"/>
        <v>8.8486725663716501E-2</v>
      </c>
      <c r="L333" s="5" t="s">
        <v>694</v>
      </c>
      <c r="M333" s="7">
        <f>IF(R333="",(VLOOKUP(A333,[1]Export!$B$2:$H$680,7,0)),"CHURN")</f>
        <v>0.27796224359547639</v>
      </c>
      <c r="N333" s="5">
        <f t="shared" si="75"/>
        <v>88.809922</v>
      </c>
      <c r="O333" s="5">
        <f t="shared" si="76"/>
        <v>0</v>
      </c>
      <c r="P333" s="5">
        <f t="shared" si="77"/>
        <v>0</v>
      </c>
      <c r="Q333" s="5" t="s">
        <v>430</v>
      </c>
      <c r="T333" s="6" t="str" cm="1">
        <f t="array" ref="T333">IF(R333&lt;&gt;"Churn","",
 _xlfn.LET(
   _xlpm.rng,Y333:BF333,
   _xlpm.pos,MAX(IF((_xlpm.rng&lt;&gt;0)*(_xlpm.rng&lt;&gt;""),COLUMN(_xlpm.rng)-COLUMN(Y333)+1)),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3" s="6" t="str" cm="1">
        <f t="array" ref="U333">IF(R333="Churn",
   MAX(IF((Y333:BF333&lt;&gt;"")*(Y333:BF333&lt;&gt;0), COLUMN(Y333:BF333)-COLUMN(Y333)+1))
   -MATCH(1, --((Y333:BF333&lt;&gt;"")*(Y333:BF333&lt;&gt;0)), 0)
   +1,
"")</f>
        <v/>
      </c>
      <c r="V333" s="6" t="str" cm="1">
        <f t="array" ref="V333">IFERROR(
    IF(
        MATCH(2,1/((Y333:BF333&lt;&gt;0)*(Y333:BF333&lt;&gt;"")))-MATCH(1,INDEX((Y333:BF333&lt;&gt;0)*(Y333:BF333&lt;&gt;""),0),0)+1 &lt;= 12,
        "No",
        "Yes"
    ),
    "No"
)</f>
        <v>No</v>
      </c>
      <c r="W333" s="6" t="str" cm="1">
        <f t="array" ref="W333">IFERROR(
    IF(
        MATCH(2,1/((Y333:BF333&lt;&gt;0)*(Y333:BF333&lt;&gt;"")))-MATCH(1,INDEX((Y333:BF333&lt;&gt;0)*(Y333:BF333&lt;&gt;""),0),0)+1 &lt;= 24,
        "No",
        "Yes"
    ),
    "No"
)</f>
        <v>No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113</v>
      </c>
      <c r="AY333" s="8">
        <v>113</v>
      </c>
      <c r="AZ333" s="8">
        <v>113.00000000000003</v>
      </c>
      <c r="BA333" s="8">
        <v>113</v>
      </c>
      <c r="BB333" s="8">
        <v>113</v>
      </c>
      <c r="BC333" s="8">
        <v>122.999</v>
      </c>
      <c r="BD333" s="8">
        <v>122.999</v>
      </c>
      <c r="BE333" s="8">
        <v>122.999</v>
      </c>
      <c r="BF333" s="8">
        <v>122.999</v>
      </c>
      <c r="BH333" s="8">
        <f t="shared" si="70"/>
        <v>0</v>
      </c>
      <c r="BI333" s="8">
        <f t="shared" si="71"/>
        <v>0</v>
      </c>
      <c r="BJ333" s="8">
        <f t="shared" si="72"/>
        <v>1056.9960000000001</v>
      </c>
    </row>
    <row r="334" spans="1:62" x14ac:dyDescent="0.25">
      <c r="A334" s="9" t="s">
        <v>508</v>
      </c>
      <c r="B334" s="9" t="s">
        <v>644</v>
      </c>
      <c r="C334" s="10">
        <f>VLOOKUP(A334,'[2]Revenue_Engine_2025 Oct.25'!$C$14:G$3937,5,0)</f>
        <v>45870</v>
      </c>
      <c r="D334" s="6" cm="1">
        <f t="array" ref="D334">_xlfn.LET(
  _xlpm.aralık, Y334:BF334,
  _xlpm.ilk, MATCH(TRUE, _xlpm.aralık&lt;&gt;0, 0),
  _xlpm.son, MIN(_xlpm.ilk+2, COLUMNS(_xlpm.aralık)),
  MAX(INDEX(_xlpm.aralık, _xlpm.ilk):INDEX(_xlpm.aralık, _xlpm.son))
)</f>
        <v>120.00000366666666</v>
      </c>
      <c r="E334" s="6">
        <f t="shared" si="65"/>
        <v>0</v>
      </c>
      <c r="F334" s="6">
        <f t="shared" si="66"/>
        <v>0</v>
      </c>
      <c r="G334" s="6">
        <f t="shared" si="73"/>
        <v>120.00000366666666</v>
      </c>
      <c r="H334" s="7">
        <f t="shared" si="67"/>
        <v>-1</v>
      </c>
      <c r="I334" s="7">
        <f t="shared" si="68"/>
        <v>-1</v>
      </c>
      <c r="J334" s="7" t="e">
        <f t="shared" si="69"/>
        <v>#DIV/0!</v>
      </c>
      <c r="K334" s="7">
        <f t="shared" si="74"/>
        <v>0</v>
      </c>
      <c r="L334" s="5" t="s">
        <v>694</v>
      </c>
      <c r="M334" s="7">
        <f>IF(R334="",(VLOOKUP(A334,[1]Export!$B$2:$H$680,7,0)),"CHURN")</f>
        <v>0.31952408537565291</v>
      </c>
      <c r="N334" s="5">
        <f t="shared" si="75"/>
        <v>81.657112249999997</v>
      </c>
      <c r="O334" s="5">
        <f t="shared" si="76"/>
        <v>0</v>
      </c>
      <c r="P334" s="5">
        <f t="shared" si="77"/>
        <v>0</v>
      </c>
      <c r="Q334" s="5" t="s">
        <v>430</v>
      </c>
      <c r="T334" s="6" t="str" cm="1">
        <f t="array" ref="T334">IF(R334&lt;&gt;"Churn","",
 _xlfn.LET(
   _xlpm.rng,Y334:BF334,
   _xlpm.pos,MAX(IF((_xlpm.rng&lt;&gt;0)*(_xlpm.rng&lt;&gt;""),COLUMN(_xlpm.rng)-COLUMN(Y334)+1)),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4" s="6" t="str" cm="1">
        <f t="array" ref="U334">IF(R334="Churn",
   MAX(IF((Y334:BF334&lt;&gt;"")*(Y334:BF334&lt;&gt;0), COLUMN(Y334:BF334)-COLUMN(Y334)+1))
   -MATCH(1, --((Y334:BF334&lt;&gt;"")*(Y334:BF334&lt;&gt;0)), 0)
   +1,
"")</f>
        <v/>
      </c>
      <c r="V334" s="6" t="str" cm="1">
        <f t="array" ref="V334">IFERROR(
    IF(
        MATCH(2,1/((Y334:BF334&lt;&gt;0)*(Y334:BF334&lt;&gt;"")))-MATCH(1,INDEX((Y334:BF334&lt;&gt;0)*(Y334:BF334&lt;&gt;""),0),0)+1 &lt;= 12,
        "No",
        "Yes"
    ),
    "No"
)</f>
        <v>No</v>
      </c>
      <c r="W334" s="6" t="str" cm="1">
        <f t="array" ref="W334">IFERROR(
    IF(
        MATCH(2,1/((Y334:BF334&lt;&gt;0)*(Y334:BF334&lt;&gt;"")))-MATCH(1,INDEX((Y334:BF334&lt;&gt;0)*(Y334:BF334&lt;&gt;""),0),0)+1 &lt;= 24,
        "No",
        "Yes"
    ),
    "No"
)</f>
        <v>No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120.00000366666666</v>
      </c>
      <c r="BE334" s="8">
        <v>120.00000366666666</v>
      </c>
      <c r="BF334" s="8">
        <v>120.00000366666666</v>
      </c>
      <c r="BH334" s="8">
        <f t="shared" si="70"/>
        <v>0</v>
      </c>
      <c r="BI334" s="8">
        <f t="shared" si="71"/>
        <v>0</v>
      </c>
      <c r="BJ334" s="8">
        <f t="shared" si="72"/>
        <v>360.00001099999997</v>
      </c>
    </row>
    <row r="335" spans="1:62" x14ac:dyDescent="0.25">
      <c r="A335" s="9" t="s">
        <v>235</v>
      </c>
      <c r="B335" s="9" t="s">
        <v>644</v>
      </c>
      <c r="C335" s="10">
        <f>VLOOKUP(A335,'[2]Revenue_Engine_2025 Oct.25'!$C$14:G$3937,5,0)</f>
        <v>45214</v>
      </c>
      <c r="D335" s="6" cm="1">
        <f t="array" ref="D335">_xlfn.LET(
  _xlpm.aralık, Y335:BF335,
  _xlpm.ilk, MATCH(TRUE, _xlpm.aralık&lt;&gt;0, 0),
  _xlpm.son, MIN(_xlpm.ilk+2, COLUMNS(_xlpm.aralık)),
  MAX(INDEX(_xlpm.aralık, _xlpm.ilk):INDEX(_xlpm.aralık, _xlpm.son))
)</f>
        <v>475.00917900000002</v>
      </c>
      <c r="E335" s="6">
        <f t="shared" si="65"/>
        <v>286.47349922594509</v>
      </c>
      <c r="F335" s="6">
        <f t="shared" si="66"/>
        <v>119.99999799999999</v>
      </c>
      <c r="G335" s="6">
        <f t="shared" si="73"/>
        <v>119.99999799999999</v>
      </c>
      <c r="H335" s="7">
        <f t="shared" si="67"/>
        <v>-0.39690955061324179</v>
      </c>
      <c r="I335" s="7">
        <f t="shared" si="68"/>
        <v>-0.74737330707455651</v>
      </c>
      <c r="J335" s="7">
        <f t="shared" si="69"/>
        <v>-0.58111309309851877</v>
      </c>
      <c r="K335" s="7">
        <f t="shared" si="74"/>
        <v>-0.74737330707455651</v>
      </c>
      <c r="L335" s="5" t="s">
        <v>418</v>
      </c>
      <c r="M335" s="7">
        <f>IF(R335="",(VLOOKUP(A335,[1]Export!$B$2:$H$680,7,0)),"CHURN")</f>
        <v>3.5543667259061121E-2</v>
      </c>
      <c r="N335" s="5">
        <f t="shared" si="75"/>
        <v>115.734758</v>
      </c>
      <c r="O335" s="5">
        <f t="shared" si="76"/>
        <v>276.2911804909192</v>
      </c>
      <c r="P335" s="5">
        <f t="shared" si="77"/>
        <v>115.734758</v>
      </c>
      <c r="Q335" s="5" t="s">
        <v>430</v>
      </c>
      <c r="T335" s="6" t="str" cm="1">
        <f t="array" ref="T335">IF(R335&lt;&gt;"Churn","",
 _xlfn.LET(
   _xlpm.rng,Y335:BF335,
   _xlpm.pos,MAX(IF((_xlpm.rng&lt;&gt;0)*(_xlpm.rng&lt;&gt;""),COLUMN(_xlpm.rng)-COLUMN(Y335)+1)),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5" s="6" t="str" cm="1">
        <f t="array" ref="U335">IF(R335="Churn",
   MAX(IF((Y335:BF335&lt;&gt;"")*(Y335:BF335&lt;&gt;0), COLUMN(Y335:BF335)-COLUMN(Y335)+1))
   -MATCH(1, --((Y335:BF335&lt;&gt;"")*(Y335:BF335&lt;&gt;0)), 0)
   +1,
"")</f>
        <v/>
      </c>
      <c r="V335" s="6" t="str" cm="1">
        <f t="array" ref="V335">IFERROR(
    IF(
        MATCH(2,1/((Y335:BF335&lt;&gt;0)*(Y335:BF335&lt;&gt;"")))-MATCH(1,INDEX((Y335:BF335&lt;&gt;0)*(Y335:BF335&lt;&gt;""),0),0)+1 &lt;= 12,
        "No",
        "Yes"
    ),
    "No"
)</f>
        <v>Yes</v>
      </c>
      <c r="W335" s="6" t="str" cm="1">
        <f t="array" ref="W335">IFERROR(
    IF(
        MATCH(2,1/((Y335:BF335&lt;&gt;0)*(Y335:BF335&lt;&gt;"")))-MATCH(1,INDEX((Y335:BF335&lt;&gt;0)*(Y335:BF335&lt;&gt;""),0),0)+1 &lt;= 24,
        "No",
        "Yes"
    ),
    "No"
)</f>
        <v>Yes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475.00917900000002</v>
      </c>
      <c r="AI335" s="8">
        <v>189.41240508602459</v>
      </c>
      <c r="AJ335" s="8">
        <v>327.03008636613595</v>
      </c>
      <c r="AK335" s="8">
        <v>326.39900769900203</v>
      </c>
      <c r="AL335" s="8">
        <v>318.89940774428106</v>
      </c>
      <c r="AM335" s="8">
        <v>306.69022689249397</v>
      </c>
      <c r="AN335" s="8">
        <v>303.63562484297114</v>
      </c>
      <c r="AO335" s="8">
        <v>304.07703657684243</v>
      </c>
      <c r="AP335" s="8">
        <v>301.50243012991496</v>
      </c>
      <c r="AQ335" s="8">
        <v>298.0099184422748</v>
      </c>
      <c r="AR335" s="8">
        <v>291.59443084127184</v>
      </c>
      <c r="AS335" s="8">
        <v>288.2559762539974</v>
      </c>
      <c r="AT335" s="8">
        <v>286.47349922594509</v>
      </c>
      <c r="AU335" s="8">
        <v>284.89439786263716</v>
      </c>
      <c r="AV335" s="8">
        <v>280.46460455894658</v>
      </c>
      <c r="AW335" s="8">
        <v>396.23669975240568</v>
      </c>
      <c r="AX335" s="8">
        <v>391.36714619157874</v>
      </c>
      <c r="AY335" s="8">
        <v>384.59688576323862</v>
      </c>
      <c r="AZ335" s="8">
        <v>377.52868026027522</v>
      </c>
      <c r="BA335" s="8">
        <v>373.21137737991796</v>
      </c>
      <c r="BB335" s="8">
        <v>368.91232563158229</v>
      </c>
      <c r="BC335" s="8">
        <v>364.12445184354488</v>
      </c>
      <c r="BD335" s="8">
        <v>360.36478083929518</v>
      </c>
      <c r="BE335" s="8">
        <v>357.45530381254878</v>
      </c>
      <c r="BF335" s="8">
        <v>119.99999799999999</v>
      </c>
      <c r="BH335" s="8">
        <f t="shared" si="70"/>
        <v>991.45167045216056</v>
      </c>
      <c r="BI335" s="8">
        <f t="shared" si="71"/>
        <v>3590.8965610705782</v>
      </c>
      <c r="BJ335" s="8">
        <f t="shared" si="72"/>
        <v>3493.7976494743875</v>
      </c>
    </row>
    <row r="336" spans="1:62" x14ac:dyDescent="0.25">
      <c r="A336" s="9" t="s">
        <v>509</v>
      </c>
      <c r="B336" s="9" t="s">
        <v>644</v>
      </c>
      <c r="C336" s="10">
        <f>VLOOKUP(A336,'[2]Revenue_Engine_2025 Oct.25'!$C$14:G$3937,5,0)</f>
        <v>45442</v>
      </c>
      <c r="D336" s="6" cm="1">
        <f t="array" ref="D336">_xlfn.LET(
  _xlpm.aralık, Y336:BF336,
  _xlpm.ilk, MATCH(TRUE, _xlpm.aralık&lt;&gt;0, 0),
  _xlpm.son, MIN(_xlpm.ilk+2, COLUMNS(_xlpm.aralık)),
  MAX(INDEX(_xlpm.aralık, _xlpm.ilk):INDEX(_xlpm.aralık, _xlpm.son))
)</f>
        <v>119.20083333333334</v>
      </c>
      <c r="E336" s="6">
        <f t="shared" si="65"/>
        <v>119.20000533333334</v>
      </c>
      <c r="F336" s="6">
        <f t="shared" si="66"/>
        <v>0</v>
      </c>
      <c r="G336" s="6">
        <f t="shared" si="73"/>
        <v>119.20000533333334</v>
      </c>
      <c r="H336" s="7">
        <f t="shared" si="67"/>
        <v>-6.9462601631573875E-6</v>
      </c>
      <c r="I336" s="7">
        <f t="shared" si="68"/>
        <v>-1</v>
      </c>
      <c r="J336" s="7">
        <f t="shared" si="69"/>
        <v>-1</v>
      </c>
      <c r="K336" s="7">
        <f t="shared" si="74"/>
        <v>-6.9462601631573875E-6</v>
      </c>
      <c r="L336" s="5" t="s">
        <v>694</v>
      </c>
      <c r="M336" s="7">
        <v>0.319524078964247</v>
      </c>
      <c r="N336" s="5">
        <f t="shared" si="75"/>
        <v>81.112733416666671</v>
      </c>
      <c r="O336" s="5">
        <f t="shared" si="76"/>
        <v>81.112733416666671</v>
      </c>
      <c r="P336" s="5">
        <f t="shared" si="77"/>
        <v>0</v>
      </c>
      <c r="Q336" s="5" t="s">
        <v>430</v>
      </c>
      <c r="T336" s="6" t="str" cm="1">
        <f t="array" ref="T336">IF(R336&lt;&gt;"Churn","",
 _xlfn.LET(
   _xlpm.rng,Y336:BF336,
   _xlpm.pos,MAX(IF((_xlpm.rng&lt;&gt;0)*(_xlpm.rng&lt;&gt;""),COLUMN(_xlpm.rng)-COLUMN(Y336)+1)),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6" s="6" t="str" cm="1">
        <f t="array" ref="U336">IF(R336="Churn",
   MAX(IF((Y336:BF336&lt;&gt;"")*(Y336:BF336&lt;&gt;0), COLUMN(Y336:BF336)-COLUMN(Y336)+1))
   -MATCH(1, --((Y336:BF336&lt;&gt;"")*(Y336:BF336&lt;&gt;0)), 0)
   +1,
"")</f>
        <v/>
      </c>
      <c r="V336" s="6" t="str" cm="1">
        <f t="array" ref="V336">IFERROR(
    IF(
        MATCH(2,1/((Y336:BF336&lt;&gt;0)*(Y336:BF336&lt;&gt;"")))-MATCH(1,INDEX((Y336:BF336&lt;&gt;0)*(Y336:BF336&lt;&gt;""),0),0)+1 &lt;= 12,
        "No",
        "Yes"
    ),
    "No"
)</f>
        <v>Yes</v>
      </c>
      <c r="W336" s="6" t="str" cm="1">
        <f t="array" ref="W336">IFERROR(
    IF(
        MATCH(2,1/((Y336:BF336&lt;&gt;0)*(Y336:BF336&lt;&gt;"")))-MATCH(1,INDEX((Y336:BF336&lt;&gt;0)*(Y336:BF336&lt;&gt;""),0),0)+1 &lt;= 24,
        "No",
        "Yes"
    ),
    "No"
)</f>
        <v>No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119.20083333333334</v>
      </c>
      <c r="AP336" s="8">
        <v>119.20000533333334</v>
      </c>
      <c r="AQ336" s="8">
        <v>119.20000533333334</v>
      </c>
      <c r="AR336" s="8">
        <v>119.20000533333334</v>
      </c>
      <c r="AS336" s="8">
        <v>119.20000533333334</v>
      </c>
      <c r="AT336" s="8">
        <v>119.20000533333334</v>
      </c>
      <c r="AU336" s="8">
        <v>119.20000533333334</v>
      </c>
      <c r="AV336" s="8">
        <v>119.20000533333334</v>
      </c>
      <c r="AW336" s="8">
        <v>119.20000533333334</v>
      </c>
      <c r="AX336" s="8">
        <v>119.20000533333334</v>
      </c>
      <c r="AY336" s="8">
        <v>119.20000533333334</v>
      </c>
      <c r="AZ336" s="8">
        <v>119.20000533333334</v>
      </c>
      <c r="BA336" s="8">
        <v>119.20000533333334</v>
      </c>
      <c r="BB336" s="8">
        <v>119.20000533333334</v>
      </c>
      <c r="BC336" s="8">
        <v>119.20000533333334</v>
      </c>
      <c r="BD336" s="8">
        <v>119.20000533333334</v>
      </c>
      <c r="BE336" s="8">
        <v>119.20000533333334</v>
      </c>
      <c r="BF336" s="8">
        <v>119.20000533333334</v>
      </c>
      <c r="BH336" s="8">
        <f t="shared" si="70"/>
        <v>0</v>
      </c>
      <c r="BI336" s="8">
        <f t="shared" si="71"/>
        <v>953.60087066666688</v>
      </c>
      <c r="BJ336" s="8">
        <f t="shared" si="72"/>
        <v>1192.0000533333334</v>
      </c>
    </row>
    <row r="337" spans="1:62" x14ac:dyDescent="0.25">
      <c r="A337" s="9" t="s">
        <v>233</v>
      </c>
      <c r="B337" s="9" t="s">
        <v>644</v>
      </c>
      <c r="C337" s="10">
        <f>VLOOKUP(A337,'[2]Revenue_Engine_2025 Oct.25'!$C$14:G$3937,5,0)</f>
        <v>45590</v>
      </c>
      <c r="D337" s="6" cm="1">
        <f t="array" ref="D337">_xlfn.LET(
  _xlpm.aralık, Y337:BF337,
  _xlpm.ilk, MATCH(TRUE, _xlpm.aralık&lt;&gt;0, 0),
  _xlpm.son, MIN(_xlpm.ilk+2, COLUMNS(_xlpm.aralık)),
  MAX(INDEX(_xlpm.aralık, _xlpm.ilk):INDEX(_xlpm.aralık, _xlpm.son))
)</f>
        <v>99.333333333333329</v>
      </c>
      <c r="E337" s="6">
        <f t="shared" si="65"/>
        <v>119.2</v>
      </c>
      <c r="F337" s="6">
        <f t="shared" si="66"/>
        <v>0</v>
      </c>
      <c r="G337" s="6">
        <f t="shared" si="73"/>
        <v>119.2</v>
      </c>
      <c r="H337" s="7">
        <f t="shared" si="67"/>
        <v>0.20000000000000009</v>
      </c>
      <c r="I337" s="7">
        <f t="shared" si="68"/>
        <v>-1</v>
      </c>
      <c r="J337" s="7">
        <f t="shared" si="69"/>
        <v>-1</v>
      </c>
      <c r="K337" s="7">
        <f t="shared" si="74"/>
        <v>0.20000000000000009</v>
      </c>
      <c r="L337" s="5" t="s">
        <v>694</v>
      </c>
      <c r="M337" s="7">
        <f>IF(R337="",(VLOOKUP(A337,[1]Export!$B$2:$H$680,7,0)),"CHURN")</f>
        <v>0</v>
      </c>
      <c r="N337" s="5">
        <f t="shared" si="75"/>
        <v>119.2</v>
      </c>
      <c r="O337" s="5">
        <f t="shared" si="76"/>
        <v>119.2</v>
      </c>
      <c r="P337" s="5">
        <f t="shared" si="77"/>
        <v>0</v>
      </c>
      <c r="Q337" s="5" t="s">
        <v>430</v>
      </c>
      <c r="T337" s="6" t="str" cm="1">
        <f t="array" ref="T337">IF(R337&lt;&gt;"Churn","",
 _xlfn.LET(
   _xlpm.rng,Y337:BF337,
   _xlpm.pos,MAX(IF((_xlpm.rng&lt;&gt;0)*(_xlpm.rng&lt;&gt;""),COLUMN(_xlpm.rng)-COLUMN(Y337)+1)),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7" s="6" t="str" cm="1">
        <f t="array" ref="U337">IF(R337="Churn",
   MAX(IF((Y337:BF337&lt;&gt;"")*(Y337:BF337&lt;&gt;0), COLUMN(Y337:BF337)-COLUMN(Y337)+1))
   -MATCH(1, --((Y337:BF337&lt;&gt;"")*(Y337:BF337&lt;&gt;0)), 0)
   +1,
"")</f>
        <v/>
      </c>
      <c r="V337" s="6" t="str" cm="1">
        <f t="array" ref="V337">IFERROR(
    IF(
        MATCH(2,1/((Y337:BF337&lt;&gt;0)*(Y337:BF337&lt;&gt;"")))-MATCH(1,INDEX((Y337:BF337&lt;&gt;0)*(Y337:BF337&lt;&gt;""),0),0)+1 &lt;= 12,
        "No",
        "Yes"
    ),
    "No"
)</f>
        <v>Yes</v>
      </c>
      <c r="W337" s="14" t="s">
        <v>705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99.333333333333329</v>
      </c>
      <c r="AI337" s="8">
        <v>99.333333333333329</v>
      </c>
      <c r="AJ337" s="8">
        <v>99.333333333333329</v>
      </c>
      <c r="AK337" s="8">
        <v>99.333333333333329</v>
      </c>
      <c r="AL337" s="8">
        <v>99.333333333333329</v>
      </c>
      <c r="AM337" s="8">
        <v>99.333333333333329</v>
      </c>
      <c r="AN337" s="8">
        <v>99.333333333333329</v>
      </c>
      <c r="AO337" s="8">
        <v>99.333333333333329</v>
      </c>
      <c r="AP337" s="8">
        <v>99.333333333333329</v>
      </c>
      <c r="AQ337" s="8">
        <v>99.333333333333329</v>
      </c>
      <c r="AR337" s="8">
        <v>99.333333333333329</v>
      </c>
      <c r="AS337" s="8">
        <v>99.333333333333329</v>
      </c>
      <c r="AT337" s="8">
        <v>99.333333333333329</v>
      </c>
      <c r="AU337" s="8">
        <v>119.2</v>
      </c>
      <c r="AV337" s="8">
        <v>119.2</v>
      </c>
      <c r="AW337" s="8">
        <v>119.2</v>
      </c>
      <c r="AX337" s="8">
        <v>119.2</v>
      </c>
      <c r="AY337" s="8">
        <v>119.2</v>
      </c>
      <c r="AZ337" s="8">
        <v>119.2</v>
      </c>
      <c r="BA337" s="8">
        <v>119.2</v>
      </c>
      <c r="BB337" s="8">
        <v>119.2</v>
      </c>
      <c r="BC337" s="8">
        <v>119.2</v>
      </c>
      <c r="BD337" s="8">
        <v>119.2</v>
      </c>
      <c r="BE337" s="8">
        <v>119.2</v>
      </c>
      <c r="BF337" s="8">
        <v>119.2</v>
      </c>
      <c r="BH337" s="8">
        <f t="shared" si="70"/>
        <v>298</v>
      </c>
      <c r="BI337" s="8">
        <f t="shared" si="71"/>
        <v>1231.7333333333336</v>
      </c>
      <c r="BJ337" s="8">
        <f t="shared" si="72"/>
        <v>1192.0000000000002</v>
      </c>
    </row>
    <row r="338" spans="1:62" x14ac:dyDescent="0.25">
      <c r="A338" s="9" t="s">
        <v>300</v>
      </c>
      <c r="B338" s="9" t="s">
        <v>644</v>
      </c>
      <c r="C338" s="10">
        <f>VLOOKUP(A338,'[2]Revenue_Engine_2025 Oct.25'!$C$14:G$3937,5,0)</f>
        <v>45442</v>
      </c>
      <c r="D338" s="6" cm="1">
        <f t="array" ref="D338">_xlfn.LET(
  _xlpm.aralık, Y338:BF338,
  _xlpm.ilk, MATCH(TRUE, _xlpm.aralık&lt;&gt;0, 0),
  _xlpm.son, MIN(_xlpm.ilk+2, COLUMNS(_xlpm.aralık)),
  MAX(INDEX(_xlpm.aralık, _xlpm.ilk):INDEX(_xlpm.aralık, _xlpm.son))
)</f>
        <v>119.2</v>
      </c>
      <c r="E338" s="6">
        <f t="shared" si="65"/>
        <v>119.2</v>
      </c>
      <c r="F338" s="6">
        <f t="shared" si="66"/>
        <v>0</v>
      </c>
      <c r="G338" s="6">
        <f t="shared" si="73"/>
        <v>119.2</v>
      </c>
      <c r="H338" s="7">
        <f t="shared" si="67"/>
        <v>0</v>
      </c>
      <c r="I338" s="7">
        <f t="shared" si="68"/>
        <v>-1</v>
      </c>
      <c r="J338" s="7">
        <f t="shared" si="69"/>
        <v>-1</v>
      </c>
      <c r="K338" s="7">
        <f t="shared" si="74"/>
        <v>0</v>
      </c>
      <c r="L338" s="5" t="s">
        <v>694</v>
      </c>
      <c r="M338" s="7">
        <f>IF(R338="",(VLOOKUP(A338,[1]Export!$B$2:$H$680,7,0)),"CHURN")</f>
        <v>0.31952409395973153</v>
      </c>
      <c r="N338" s="5">
        <f t="shared" si="75"/>
        <v>81.112728000000004</v>
      </c>
      <c r="O338" s="5">
        <f t="shared" si="76"/>
        <v>81.112728000000004</v>
      </c>
      <c r="P338" s="5">
        <f t="shared" si="77"/>
        <v>0</v>
      </c>
      <c r="Q338" s="5" t="s">
        <v>430</v>
      </c>
      <c r="T338" s="6" t="str" cm="1">
        <f t="array" ref="T338">IF(R338&lt;&gt;"Churn","",
 _xlfn.LET(
   _xlpm.rng,Y338:BF338,
   _xlpm.pos,MAX(IF((_xlpm.rng&lt;&gt;0)*(_xlpm.rng&lt;&gt;""),COLUMN(_xlpm.rng)-COLUMN(Y338)+1)),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8" s="6" t="str" cm="1">
        <f t="array" ref="U338">IF(R338="Churn",
   MAX(IF((Y338:BF338&lt;&gt;"")*(Y338:BF338&lt;&gt;0), COLUMN(Y338:BF338)-COLUMN(Y338)+1))
   -MATCH(1, --((Y338:BF338&lt;&gt;"")*(Y338:BF338&lt;&gt;0)), 0)
   +1,
"")</f>
        <v/>
      </c>
      <c r="V338" s="6" t="str" cm="1">
        <f t="array" ref="V338">IFERROR(
    IF(
        MATCH(2,1/((Y338:BF338&lt;&gt;0)*(Y338:BF338&lt;&gt;"")))-MATCH(1,INDEX((Y338:BF338&lt;&gt;0)*(Y338:BF338&lt;&gt;""),0),0)+1 &lt;= 12,
        "No",
        "Yes"
    ),
    "No"
)</f>
        <v>Yes</v>
      </c>
      <c r="W338" s="6" t="str" cm="1">
        <f t="array" ref="W338">IFERROR(
    IF(
        MATCH(2,1/((Y338:BF338&lt;&gt;0)*(Y338:BF338&lt;&gt;"")))-MATCH(1,INDEX((Y338:BF338&lt;&gt;0)*(Y338:BF338&lt;&gt;""),0),0)+1 &lt;= 24,
        "No",
        "Yes"
    ),
    "No"
)</f>
        <v>No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119.2</v>
      </c>
      <c r="AP338" s="8">
        <v>119.2</v>
      </c>
      <c r="AQ338" s="8">
        <v>119.2</v>
      </c>
      <c r="AR338" s="8">
        <v>119.2</v>
      </c>
      <c r="AS338" s="8">
        <v>119.2</v>
      </c>
      <c r="AT338" s="8">
        <v>119.2</v>
      </c>
      <c r="AU338" s="8">
        <v>119.2</v>
      </c>
      <c r="AV338" s="8">
        <v>119.2</v>
      </c>
      <c r="AW338" s="8">
        <v>119.2</v>
      </c>
      <c r="AX338" s="8">
        <v>119.2</v>
      </c>
      <c r="AY338" s="8">
        <v>119.2</v>
      </c>
      <c r="AZ338" s="8">
        <v>119.2</v>
      </c>
      <c r="BA338" s="8">
        <v>119.2</v>
      </c>
      <c r="BB338" s="8">
        <v>119.2</v>
      </c>
      <c r="BC338" s="8">
        <v>119.2</v>
      </c>
      <c r="BD338" s="8">
        <v>119.2</v>
      </c>
      <c r="BE338" s="8">
        <v>119.2</v>
      </c>
      <c r="BF338" s="8">
        <v>119.2</v>
      </c>
      <c r="BH338" s="8">
        <f t="shared" si="70"/>
        <v>0</v>
      </c>
      <c r="BI338" s="8">
        <f t="shared" si="71"/>
        <v>953.60000000000014</v>
      </c>
      <c r="BJ338" s="8">
        <f t="shared" si="72"/>
        <v>1192.0000000000002</v>
      </c>
    </row>
    <row r="339" spans="1:62" x14ac:dyDescent="0.25">
      <c r="A339" s="9" t="s">
        <v>510</v>
      </c>
      <c r="B339" s="9" t="s">
        <v>644</v>
      </c>
      <c r="C339" s="10">
        <f>VLOOKUP(A339,'[2]Revenue_Engine_2025 Oct.25'!$C$14:G$3937,5,0)</f>
        <v>45524</v>
      </c>
      <c r="D339" s="6" cm="1">
        <f t="array" ref="D339">_xlfn.LET(
  _xlpm.aralık, Y339:BF339,
  _xlpm.ilk, MATCH(TRUE, _xlpm.aralık&lt;&gt;0, 0),
  _xlpm.son, MIN(_xlpm.ilk+2, COLUMNS(_xlpm.aralık)),
  MAX(INDEX(_xlpm.aralık, _xlpm.ilk):INDEX(_xlpm.aralık, _xlpm.son))
)</f>
        <v>119.2</v>
      </c>
      <c r="E339" s="6">
        <f t="shared" si="65"/>
        <v>119.2</v>
      </c>
      <c r="F339" s="6">
        <f t="shared" si="66"/>
        <v>0</v>
      </c>
      <c r="G339" s="6">
        <f t="shared" si="73"/>
        <v>119.2</v>
      </c>
      <c r="H339" s="7">
        <f t="shared" si="67"/>
        <v>0</v>
      </c>
      <c r="I339" s="7">
        <f t="shared" si="68"/>
        <v>-1</v>
      </c>
      <c r="J339" s="7">
        <f t="shared" si="69"/>
        <v>-1</v>
      </c>
      <c r="K339" s="7">
        <f t="shared" si="74"/>
        <v>0</v>
      </c>
      <c r="L339" s="5" t="s">
        <v>694</v>
      </c>
      <c r="M339" s="7">
        <f>IF(R339="",(VLOOKUP(A339,[1]Export!$B$2:$H$680,7,0)),"CHURN")</f>
        <v>0.31952409395973153</v>
      </c>
      <c r="N339" s="5">
        <f t="shared" si="75"/>
        <v>81.112728000000004</v>
      </c>
      <c r="O339" s="5">
        <f t="shared" si="76"/>
        <v>81.112728000000004</v>
      </c>
      <c r="P339" s="5">
        <f t="shared" si="77"/>
        <v>0</v>
      </c>
      <c r="Q339" s="5" t="s">
        <v>430</v>
      </c>
      <c r="T339" s="6" t="str" cm="1">
        <f t="array" ref="T339">IF(R339&lt;&gt;"Churn","",
 _xlfn.LET(
   _xlpm.rng,Y339:BF339,
   _xlpm.pos,MAX(IF((_xlpm.rng&lt;&gt;0)*(_xlpm.rng&lt;&gt;""),COLUMN(_xlpm.rng)-COLUMN(Y339)+1)),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39" s="6" t="str" cm="1">
        <f t="array" ref="U339">IF(R339="Churn",
   MAX(IF((Y339:BF339&lt;&gt;"")*(Y339:BF339&lt;&gt;0), COLUMN(Y339:BF339)-COLUMN(Y339)+1))
   -MATCH(1, --((Y339:BF339&lt;&gt;"")*(Y339:BF339&lt;&gt;0)), 0)
   +1,
"")</f>
        <v/>
      </c>
      <c r="V339" s="6" t="str" cm="1">
        <f t="array" ref="V339">IFERROR(
    IF(
        MATCH(2,1/((Y339:BF339&lt;&gt;0)*(Y339:BF339&lt;&gt;"")))-MATCH(1,INDEX((Y339:BF339&lt;&gt;0)*(Y339:BF339&lt;&gt;""),0),0)+1 &lt;= 12,
        "No",
        "Yes"
    ),
    "No"
)</f>
        <v>Yes</v>
      </c>
      <c r="W339" s="6" t="str" cm="1">
        <f t="array" ref="W339">IFERROR(
    IF(
        MATCH(2,1/((Y339:BF339&lt;&gt;0)*(Y339:BF339&lt;&gt;"")))-MATCH(1,INDEX((Y339:BF339&lt;&gt;0)*(Y339:BF339&lt;&gt;""),0),0)+1 &lt;= 24,
        "No",
        "Yes"
    ),
    "No"
)</f>
        <v>No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119.2</v>
      </c>
      <c r="AS339" s="8">
        <v>119.2</v>
      </c>
      <c r="AT339" s="8">
        <v>119.2</v>
      </c>
      <c r="AU339" s="8">
        <v>119.2</v>
      </c>
      <c r="AV339" s="8">
        <v>119.2</v>
      </c>
      <c r="AW339" s="8">
        <v>119.2</v>
      </c>
      <c r="AX339" s="8">
        <v>119.2</v>
      </c>
      <c r="AY339" s="8">
        <v>119.2</v>
      </c>
      <c r="AZ339" s="8">
        <v>119.19999999999999</v>
      </c>
      <c r="BA339" s="8">
        <v>119.2</v>
      </c>
      <c r="BB339" s="8">
        <v>119.2</v>
      </c>
      <c r="BC339" s="8">
        <v>119.2</v>
      </c>
      <c r="BD339" s="8">
        <v>119.2</v>
      </c>
      <c r="BE339" s="8">
        <v>119.2</v>
      </c>
      <c r="BF339" s="8">
        <v>119.2</v>
      </c>
      <c r="BH339" s="8">
        <f t="shared" si="70"/>
        <v>0</v>
      </c>
      <c r="BI339" s="8">
        <f t="shared" si="71"/>
        <v>596</v>
      </c>
      <c r="BJ339" s="8">
        <f t="shared" si="72"/>
        <v>1192.0000000000002</v>
      </c>
    </row>
    <row r="340" spans="1:62" x14ac:dyDescent="0.25">
      <c r="A340" s="9" t="s">
        <v>389</v>
      </c>
      <c r="B340" s="9" t="s">
        <v>644</v>
      </c>
      <c r="C340" s="10">
        <f>VLOOKUP(A340,'[2]Revenue_Engine_2025 Oct.25'!$C$14:G$3937,5,0)</f>
        <v>44986</v>
      </c>
      <c r="D340" s="6" cm="1">
        <f t="array" ref="D340">_xlfn.LET(
  _xlpm.aralık, Y340:BF340,
  _xlpm.ilk, MATCH(TRUE, _xlpm.aralık&lt;&gt;0, 0),
  _xlpm.son, MIN(_xlpm.ilk+2, COLUMNS(_xlpm.aralık)),
  MAX(INDEX(_xlpm.aralık, _xlpm.ilk):INDEX(_xlpm.aralık, _xlpm.son))
)</f>
        <v>96.01</v>
      </c>
      <c r="E340" s="6">
        <f t="shared" si="65"/>
        <v>107.99999999999999</v>
      </c>
      <c r="F340" s="6">
        <f t="shared" si="66"/>
        <v>112.4</v>
      </c>
      <c r="G340" s="6">
        <f t="shared" si="73"/>
        <v>112.39999999999999</v>
      </c>
      <c r="H340" s="7">
        <f t="shared" si="67"/>
        <v>0.12488282470575961</v>
      </c>
      <c r="I340" s="7">
        <f t="shared" si="68"/>
        <v>0.17071138423080928</v>
      </c>
      <c r="J340" s="7">
        <f t="shared" si="69"/>
        <v>4.0740740740740931E-2</v>
      </c>
      <c r="K340" s="7">
        <f t="shared" si="74"/>
        <v>0.17071138423080914</v>
      </c>
      <c r="L340" s="5" t="s">
        <v>416</v>
      </c>
      <c r="M340" s="7">
        <f>IF(R340="",(VLOOKUP(A340,[1]Export!$B$2:$H$680,7,0)),"CHURN")</f>
        <v>0.23487544483985762</v>
      </c>
      <c r="N340" s="5">
        <f t="shared" si="75"/>
        <v>86</v>
      </c>
      <c r="O340" s="5">
        <f t="shared" si="76"/>
        <v>82.633451957295378</v>
      </c>
      <c r="P340" s="5">
        <f t="shared" si="77"/>
        <v>86.000000000000014</v>
      </c>
      <c r="Q340" s="5" t="s">
        <v>430</v>
      </c>
      <c r="T340" s="6" t="str" cm="1">
        <f t="array" ref="T340">IF(R340&lt;&gt;"Churn","",
 _xlfn.LET(
   _xlpm.rng,Y340:BF340,
   _xlpm.pos,MAX(IF((_xlpm.rng&lt;&gt;0)*(_xlpm.rng&lt;&gt;""),COLUMN(_xlpm.rng)-COLUMN(Y340)+1)),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0" s="6" t="str" cm="1">
        <f t="array" ref="U340">IF(R340="Churn",
   MAX(IF((Y340:BF340&lt;&gt;"")*(Y340:BF340&lt;&gt;0), COLUMN(Y340:BF340)-COLUMN(Y340)+1))
   -MATCH(1, --((Y340:BF340&lt;&gt;"")*(Y340:BF340&lt;&gt;0)), 0)
   +1,
"")</f>
        <v/>
      </c>
      <c r="V340" s="6" t="str" cm="1">
        <f t="array" ref="V340">IFERROR(
    IF(
        MATCH(2,1/((Y340:BF340&lt;&gt;0)*(Y340:BF340&lt;&gt;"")))-MATCH(1,INDEX((Y340:BF340&lt;&gt;0)*(Y340:BF340&lt;&gt;""),0),0)+1 &lt;= 12,
        "No",
        "Yes"
    ),
    "No"
)</f>
        <v>Yes</v>
      </c>
      <c r="W340" s="6" t="str" cm="1">
        <f t="array" ref="W340">IFERROR(
    IF(
        MATCH(2,1/((Y340:BF340&lt;&gt;0)*(Y340:BF340&lt;&gt;"")))-MATCH(1,INDEX((Y340:BF340&lt;&gt;0)*(Y340:BF340&lt;&gt;""),0),0)+1 &lt;= 24,
        "No",
        "Yes"
    ),
    "No"
)</f>
        <v>Yes</v>
      </c>
      <c r="Y340" s="8">
        <v>0</v>
      </c>
      <c r="Z340" s="8">
        <v>0</v>
      </c>
      <c r="AA340" s="8">
        <v>87.01</v>
      </c>
      <c r="AB340" s="8">
        <v>96.01</v>
      </c>
      <c r="AC340" s="8">
        <v>95.999999999999986</v>
      </c>
      <c r="AD340" s="8">
        <v>95.999999999999986</v>
      </c>
      <c r="AE340" s="8">
        <v>95.999999999999986</v>
      </c>
      <c r="AF340" s="8">
        <v>95.999999999999986</v>
      </c>
      <c r="AG340" s="8">
        <v>95.999999999999986</v>
      </c>
      <c r="AH340" s="8">
        <v>95.999999999999986</v>
      </c>
      <c r="AI340" s="8">
        <v>95.999999999999986</v>
      </c>
      <c r="AJ340" s="8">
        <v>95.999999999999986</v>
      </c>
      <c r="AK340" s="8">
        <v>95.999999999999986</v>
      </c>
      <c r="AL340" s="8">
        <v>95.999999999999986</v>
      </c>
      <c r="AM340" s="8">
        <v>107.99999999999999</v>
      </c>
      <c r="AN340" s="8">
        <v>107.99999999999999</v>
      </c>
      <c r="AO340" s="8">
        <v>107.99999999999999</v>
      </c>
      <c r="AP340" s="8">
        <v>110.39999999999999</v>
      </c>
      <c r="AQ340" s="8">
        <v>110.39999999999999</v>
      </c>
      <c r="AR340" s="8">
        <v>110.39999999999999</v>
      </c>
      <c r="AS340" s="8">
        <v>110.39999999999999</v>
      </c>
      <c r="AT340" s="8">
        <v>112.39999999999999</v>
      </c>
      <c r="AU340" s="8">
        <v>112.39999999999999</v>
      </c>
      <c r="AV340" s="8">
        <v>112.39999999999999</v>
      </c>
      <c r="AW340" s="8">
        <v>112.4</v>
      </c>
      <c r="AX340" s="8">
        <v>112.4</v>
      </c>
      <c r="AY340" s="8">
        <v>112.4</v>
      </c>
      <c r="AZ340" s="8">
        <v>112.4</v>
      </c>
      <c r="BA340" s="8">
        <v>112.39999999999999</v>
      </c>
      <c r="BB340" s="8">
        <v>112.39999999999999</v>
      </c>
      <c r="BC340" s="8">
        <v>112.39999999999999</v>
      </c>
      <c r="BD340" s="8">
        <v>112.39999999999999</v>
      </c>
      <c r="BE340" s="8">
        <v>112.39999999999999</v>
      </c>
      <c r="BF340" s="8">
        <v>112.39999999999999</v>
      </c>
      <c r="BH340" s="8">
        <f t="shared" si="70"/>
        <v>951.02</v>
      </c>
      <c r="BI340" s="8">
        <f t="shared" si="71"/>
        <v>1294.8</v>
      </c>
      <c r="BJ340" s="8">
        <f t="shared" si="72"/>
        <v>1124</v>
      </c>
    </row>
    <row r="341" spans="1:62" x14ac:dyDescent="0.25">
      <c r="A341" s="9" t="s">
        <v>511</v>
      </c>
      <c r="B341" s="9" t="s">
        <v>644</v>
      </c>
      <c r="C341" s="10">
        <f>VLOOKUP(A341,'[2]Revenue_Engine_2025 Oct.25'!$C$14:G$3937,5,0)</f>
        <v>45573</v>
      </c>
      <c r="D341" s="6" cm="1">
        <f t="array" ref="D341">_xlfn.LET(
  _xlpm.aralık, Y341:BF341,
  _xlpm.ilk, MATCH(TRUE, _xlpm.aralık&lt;&gt;0, 0),
  _xlpm.son, MIN(_xlpm.ilk+2, COLUMNS(_xlpm.aralık)),
  MAX(INDEX(_xlpm.aralık, _xlpm.ilk):INDEX(_xlpm.aralık, _xlpm.son))
)</f>
        <v>86.998993999999982</v>
      </c>
      <c r="E341" s="6">
        <f t="shared" si="65"/>
        <v>111.83333333333333</v>
      </c>
      <c r="F341" s="6">
        <f t="shared" si="66"/>
        <v>0</v>
      </c>
      <c r="G341" s="6">
        <f t="shared" si="73"/>
        <v>111.83333333333333</v>
      </c>
      <c r="H341" s="7">
        <f t="shared" si="67"/>
        <v>0.28545547702923268</v>
      </c>
      <c r="I341" s="7">
        <f t="shared" si="68"/>
        <v>-1</v>
      </c>
      <c r="J341" s="7">
        <f t="shared" si="69"/>
        <v>-1</v>
      </c>
      <c r="K341" s="7">
        <f t="shared" si="74"/>
        <v>0.28545547702923268</v>
      </c>
      <c r="L341" s="5" t="s">
        <v>694</v>
      </c>
      <c r="M341" s="7">
        <f>IF(R341="",(VLOOKUP(A341,[1]Export!$B$2:$H$680,7,0)),"CHURN")</f>
        <v>0.44529802801153789</v>
      </c>
      <c r="N341" s="5">
        <f t="shared" si="75"/>
        <v>62.034170534043007</v>
      </c>
      <c r="O341" s="5">
        <f t="shared" si="76"/>
        <v>62.034170534043007</v>
      </c>
      <c r="P341" s="5">
        <f t="shared" si="77"/>
        <v>0</v>
      </c>
      <c r="Q341" s="5" t="s">
        <v>430</v>
      </c>
      <c r="T341" s="6" t="str" cm="1">
        <f t="array" ref="T341">IF(R341&lt;&gt;"Churn","",
 _xlfn.LET(
   _xlpm.rng,Y341:BF341,
   _xlpm.pos,MAX(IF((_xlpm.rng&lt;&gt;0)*(_xlpm.rng&lt;&gt;""),COLUMN(_xlpm.rng)-COLUMN(Y341)+1)),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1" s="6" t="str" cm="1">
        <f t="array" ref="U341">IF(R341="Churn",
   MAX(IF((Y341:BF341&lt;&gt;"")*(Y341:BF341&lt;&gt;0), COLUMN(Y341:BF341)-COLUMN(Y341)+1))
   -MATCH(1, --((Y341:BF341&lt;&gt;"")*(Y341:BF341&lt;&gt;0)), 0)
   +1,
"")</f>
        <v/>
      </c>
      <c r="V341" s="6" t="str" cm="1">
        <f t="array" ref="V341">IFERROR(
    IF(
        MATCH(2,1/((Y341:BF341&lt;&gt;0)*(Y341:BF341&lt;&gt;"")))-MATCH(1,INDEX((Y341:BF341&lt;&gt;0)*(Y341:BF341&lt;&gt;""),0),0)+1 &lt;= 12,
        "No",
        "Yes"
    ),
    "No"
)</f>
        <v>Yes</v>
      </c>
      <c r="W341" s="6" t="str" cm="1">
        <f t="array" ref="W341">IFERROR(
    IF(
        MATCH(2,1/((Y341:BF341&lt;&gt;0)*(Y341:BF341&lt;&gt;"")))-MATCH(1,INDEX((Y341:BF341&lt;&gt;0)*(Y341:BF341&lt;&gt;""),0),0)+1 &lt;= 24,
        "No",
        "Yes"
    ),
    "No"
)</f>
        <v>No</v>
      </c>
      <c r="X341" s="6"/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86.998993999999982</v>
      </c>
      <c r="AU341" s="8">
        <v>86.998993999999982</v>
      </c>
      <c r="AV341" s="8">
        <v>86.998993999999982</v>
      </c>
      <c r="AW341" s="8">
        <v>108.99899399999998</v>
      </c>
      <c r="AX341" s="8">
        <v>108.99899399999998</v>
      </c>
      <c r="AY341" s="8">
        <v>108.99899399999998</v>
      </c>
      <c r="AZ341" s="8">
        <v>142.99899399999998</v>
      </c>
      <c r="BA341" s="8">
        <v>142.99899399999998</v>
      </c>
      <c r="BB341" s="8">
        <v>108.99899399999998</v>
      </c>
      <c r="BC341" s="8">
        <v>108.99899399999998</v>
      </c>
      <c r="BD341" s="8">
        <v>108.99899399999998</v>
      </c>
      <c r="BE341" s="8">
        <v>108.99899399999998</v>
      </c>
      <c r="BF341" s="8">
        <v>111.83333333333333</v>
      </c>
      <c r="BH341" s="8">
        <f t="shared" si="70"/>
        <v>0</v>
      </c>
      <c r="BI341" s="8">
        <f t="shared" si="71"/>
        <v>260.99698199999995</v>
      </c>
      <c r="BJ341" s="8">
        <f t="shared" si="72"/>
        <v>1160.8242793333334</v>
      </c>
    </row>
    <row r="342" spans="1:62" x14ac:dyDescent="0.25">
      <c r="A342" s="9" t="s">
        <v>142</v>
      </c>
      <c r="B342" s="9" t="s">
        <v>644</v>
      </c>
      <c r="C342" s="10">
        <v>44927</v>
      </c>
      <c r="D342" s="6" cm="1">
        <f t="array" ref="D342">_xlfn.LET(
  _xlpm.aralık, Y342:BF342,
  _xlpm.ilk, MATCH(TRUE, _xlpm.aralık&lt;&gt;0, 0),
  _xlpm.son, MIN(_xlpm.ilk+2, COLUMNS(_xlpm.aralık)),
  MAX(INDEX(_xlpm.aralık, _xlpm.ilk):INDEX(_xlpm.aralık, _xlpm.son))
)</f>
        <v>1119.6261267444763</v>
      </c>
      <c r="E342" s="6">
        <f t="shared" si="65"/>
        <v>1115.65711820919</v>
      </c>
      <c r="F342" s="6">
        <f t="shared" si="66"/>
        <v>1077.3813669328667</v>
      </c>
      <c r="G342" s="6">
        <f t="shared" si="73"/>
        <v>0</v>
      </c>
      <c r="H342" s="7">
        <f t="shared" si="67"/>
        <v>-3.5449409767052864E-3</v>
      </c>
      <c r="I342" s="7">
        <f t="shared" si="68"/>
        <v>-3.7731130778846843E-2</v>
      </c>
      <c r="J342" s="7">
        <f t="shared" si="69"/>
        <v>-3.430780895994464E-2</v>
      </c>
      <c r="K342" s="7">
        <f t="shared" si="74"/>
        <v>0.13061713360031418</v>
      </c>
      <c r="L342" s="5" t="s">
        <v>416</v>
      </c>
      <c r="M342" s="7" t="str">
        <f>IF(R342="",(VLOOKUP(A342,[1]Export!$B$2:$H$680,7,0)),"CHURN")</f>
        <v>CHURN</v>
      </c>
      <c r="N342" s="5" t="e">
        <f t="shared" si="75"/>
        <v>#VALUE!</v>
      </c>
      <c r="O342" s="5" t="e">
        <f t="shared" si="76"/>
        <v>#VALUE!</v>
      </c>
      <c r="P342" s="5" t="e">
        <f t="shared" si="77"/>
        <v>#VALUE!</v>
      </c>
      <c r="Q342" s="5" t="str">
        <f>VLOOKUP(A342,[4]Sheet2!$A$1:$B$142,2,0)</f>
        <v>CHURN</v>
      </c>
      <c r="R342" s="5" t="s">
        <v>428</v>
      </c>
      <c r="S342" s="5" t="s">
        <v>679</v>
      </c>
      <c r="T342" s="6" cm="1">
        <f t="array" ref="T342">IF(R342&lt;&gt;"Churn","",
 _xlfn.LET(
   _xlpm.rng,Y342:BF342,
   _xlpm.pos,MAX(IF((_xlpm.rng&lt;&gt;0)*(_xlpm.rng&lt;&gt;""),COLUMN(_xlpm.rng)-COLUMN(Y342)+1)),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1265.8684821238619</v>
      </c>
      <c r="U342" s="6" cm="1">
        <f t="array" ref="U342">IF(R342="Churn",
   MAX(IF((Y342:BF342&lt;&gt;"")*(Y342:BF342&lt;&gt;0), COLUMN(Y342:BF342)-COLUMN(Y342)+1))
   -MATCH(1, --((Y342:BF342&lt;&gt;"")*(Y342:BF342&lt;&gt;0)), 0)
   +1,
"")</f>
        <v>32</v>
      </c>
      <c r="V342" s="6" t="str" cm="1">
        <f t="array" ref="V342">IFERROR(
    IF(
        MATCH(2,1/((Y342:BF342&lt;&gt;0)*(Y342:BF342&lt;&gt;"")))-MATCH(1,INDEX((Y342:BF342&lt;&gt;0)*(Y342:BF342&lt;&gt;""),0),0)+1 &lt;= 12,
        "No",
        "Yes"
    ),
    "No"
)</f>
        <v>Yes</v>
      </c>
      <c r="W342" s="6" t="str" cm="1">
        <f t="array" ref="W342">IFERROR(
    IF(
        MATCH(2,1/((Y342:BF342&lt;&gt;0)*(Y342:BF342&lt;&gt;"")))-MATCH(1,INDEX((Y342:BF342&lt;&gt;0)*(Y342:BF342&lt;&gt;""),0),0)+1 &lt;= 24,
        "No",
        "Yes"
    ),
    "No"
)</f>
        <v>Yes</v>
      </c>
      <c r="Y342" s="8">
        <v>1115.113989967108</v>
      </c>
      <c r="Z342" s="8">
        <v>1119.6261267444763</v>
      </c>
      <c r="AA342" s="8">
        <v>1119.0191733419113</v>
      </c>
      <c r="AB342" s="8">
        <v>1117.5630534390684</v>
      </c>
      <c r="AC342" s="8">
        <v>1127.7317876742959</v>
      </c>
      <c r="AD342" s="8">
        <v>1151.5015327681106</v>
      </c>
      <c r="AE342" s="8">
        <v>1171.1505581686872</v>
      </c>
      <c r="AF342" s="8">
        <v>1170.643538769353</v>
      </c>
      <c r="AG342" s="8">
        <v>1189.7066932140033</v>
      </c>
      <c r="AH342" s="8">
        <v>1186.8703980586436</v>
      </c>
      <c r="AI342" s="8">
        <v>1116.5424287423598</v>
      </c>
      <c r="AJ342" s="8">
        <v>1116.2486105016997</v>
      </c>
      <c r="AK342" s="8">
        <v>1115.65711820919</v>
      </c>
      <c r="AL342" s="8">
        <v>1126.9441767059116</v>
      </c>
      <c r="AM342" s="8">
        <v>1126.2719171820465</v>
      </c>
      <c r="AN342" s="8">
        <v>1126.1037252824967</v>
      </c>
      <c r="AO342" s="8">
        <v>1126.1280302088996</v>
      </c>
      <c r="AP342" s="8">
        <v>1125.9862677331723</v>
      </c>
      <c r="AQ342" s="8">
        <v>1018.4089637389303</v>
      </c>
      <c r="AR342" s="8">
        <v>1018.0557154176573</v>
      </c>
      <c r="AS342" s="8">
        <v>1024.8334422869664</v>
      </c>
      <c r="AT342" s="8">
        <v>1062.1922480370611</v>
      </c>
      <c r="AU342" s="8">
        <v>1062.0671636578472</v>
      </c>
      <c r="AV342" s="8">
        <v>1077.7162691818421</v>
      </c>
      <c r="AW342" s="8">
        <v>1077.3813669328667</v>
      </c>
      <c r="AX342" s="8">
        <v>1076.9956379997172</v>
      </c>
      <c r="AY342" s="8">
        <v>1101.4593495495446</v>
      </c>
      <c r="AZ342" s="8">
        <v>1100.8994601605311</v>
      </c>
      <c r="BA342" s="8">
        <v>1267.9474082198205</v>
      </c>
      <c r="BB342" s="8">
        <v>1265.8684821238619</v>
      </c>
      <c r="BC342" s="8">
        <v>873.55317252891223</v>
      </c>
      <c r="BD342" s="8">
        <v>871.73507900026846</v>
      </c>
      <c r="BE342" s="13">
        <v>0</v>
      </c>
      <c r="BF342" s="13">
        <v>0</v>
      </c>
      <c r="BH342" s="8">
        <f t="shared" si="70"/>
        <v>13701.717891389717</v>
      </c>
      <c r="BI342" s="8">
        <f t="shared" si="71"/>
        <v>13010.365037642019</v>
      </c>
      <c r="BJ342" s="8">
        <f t="shared" si="72"/>
        <v>8635.8399565155232</v>
      </c>
    </row>
    <row r="343" spans="1:62" x14ac:dyDescent="0.25">
      <c r="A343" s="9" t="s">
        <v>255</v>
      </c>
      <c r="B343" s="9" t="s">
        <v>644</v>
      </c>
      <c r="C343" s="10">
        <f>VLOOKUP(A343,'[2]Revenue_Engine_2025 Oct.25'!$C$14:G$3937,5,0)</f>
        <v>45291</v>
      </c>
      <c r="D343" s="6" cm="1">
        <f t="array" ref="D343">_xlfn.LET(
  _xlpm.aralık, Y343:BF343,
  _xlpm.ilk, MATCH(TRUE, _xlpm.aralık&lt;&gt;0, 0),
  _xlpm.son, MIN(_xlpm.ilk+2, COLUMNS(_xlpm.aralık)),
  MAX(INDEX(_xlpm.aralık, _xlpm.ilk):INDEX(_xlpm.aralık, _xlpm.son))
)</f>
        <v>110.00133041666665</v>
      </c>
      <c r="E343" s="6">
        <f t="shared" si="65"/>
        <v>110.00133041666665</v>
      </c>
      <c r="F343" s="6">
        <f t="shared" si="66"/>
        <v>0</v>
      </c>
      <c r="G343" s="6">
        <f t="shared" si="73"/>
        <v>110.00133041666665</v>
      </c>
      <c r="H343" s="7">
        <f t="shared" si="67"/>
        <v>0</v>
      </c>
      <c r="I343" s="7">
        <f t="shared" si="68"/>
        <v>-1</v>
      </c>
      <c r="J343" s="7">
        <f t="shared" si="69"/>
        <v>-1</v>
      </c>
      <c r="K343" s="7">
        <f t="shared" si="74"/>
        <v>0</v>
      </c>
      <c r="L343" s="5" t="s">
        <v>416</v>
      </c>
      <c r="M343" s="7">
        <f>IF(R343="",(VLOOKUP(A343,[1]Export!$B$2:$H$680,7,0)),"CHURN")</f>
        <v>8.9752107036358372E-2</v>
      </c>
      <c r="N343" s="5">
        <f t="shared" si="75"/>
        <v>100.12847923496815</v>
      </c>
      <c r="O343" s="5">
        <f t="shared" si="76"/>
        <v>100.12847923496815</v>
      </c>
      <c r="P343" s="5">
        <f t="shared" si="77"/>
        <v>0</v>
      </c>
      <c r="Q343" s="5" t="s">
        <v>430</v>
      </c>
      <c r="T343" s="6" t="str" cm="1">
        <f t="array" ref="T343">IF(R343&lt;&gt;"Churn","",
 _xlfn.LET(
   _xlpm.rng,Y343:BF343,
   _xlpm.pos,MAX(IF((_xlpm.rng&lt;&gt;0)*(_xlpm.rng&lt;&gt;""),COLUMN(_xlpm.rng)-COLUMN(Y343)+1)),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3" s="6" t="str" cm="1">
        <f t="array" ref="U343">IF(R343="Churn",
   MAX(IF((Y343:BF343&lt;&gt;"")*(Y343:BF343&lt;&gt;0), COLUMN(Y343:BF343)-COLUMN(Y343)+1))
   -MATCH(1, --((Y343:BF343&lt;&gt;"")*(Y343:BF343&lt;&gt;0)), 0)
   +1,
"")</f>
        <v/>
      </c>
      <c r="V343" s="6" t="str" cm="1">
        <f t="array" ref="V343">IFERROR(
    IF(
        MATCH(2,1/((Y343:BF343&lt;&gt;0)*(Y343:BF343&lt;&gt;"")))-MATCH(1,INDEX((Y343:BF343&lt;&gt;0)*(Y343:BF343&lt;&gt;""),0),0)+1 &lt;= 12,
        "No",
        "Yes"
    ),
    "No"
)</f>
        <v>Yes</v>
      </c>
      <c r="W343" s="6" t="str" cm="1">
        <f t="array" ref="W343">IFERROR(
    IF(
        MATCH(2,1/((Y343:BF343&lt;&gt;0)*(Y343:BF343&lt;&gt;"")))-MATCH(1,INDEX((Y343:BF343&lt;&gt;0)*(Y343:BF343&lt;&gt;""),0),0)+1 &lt;= 24,
        "No",
        "Yes"
    ),
    "No"
)</f>
        <v>No</v>
      </c>
      <c r="X343" s="6"/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110.00133041666665</v>
      </c>
      <c r="AK343" s="8">
        <v>110.00133041666665</v>
      </c>
      <c r="AL343" s="8">
        <v>110.00133041666665</v>
      </c>
      <c r="AM343" s="8">
        <v>110.00133041666665</v>
      </c>
      <c r="AN343" s="8">
        <v>110.00133041666665</v>
      </c>
      <c r="AO343" s="8">
        <v>110.00133041666665</v>
      </c>
      <c r="AP343" s="8">
        <v>110.00133041666665</v>
      </c>
      <c r="AQ343" s="8">
        <v>110.00133041666665</v>
      </c>
      <c r="AR343" s="8">
        <v>110.00133041666665</v>
      </c>
      <c r="AS343" s="8">
        <v>110.00133041666665</v>
      </c>
      <c r="AT343" s="8">
        <v>110.00133041666665</v>
      </c>
      <c r="AU343" s="8">
        <v>110.00133041666665</v>
      </c>
      <c r="AV343" s="8">
        <v>110.00133041666665</v>
      </c>
      <c r="AW343" s="8">
        <v>110.00133041666665</v>
      </c>
      <c r="AX343" s="8">
        <v>110.00133041666665</v>
      </c>
      <c r="AY343" s="8">
        <v>110.00133041666665</v>
      </c>
      <c r="AZ343" s="8">
        <v>110.00133041666665</v>
      </c>
      <c r="BA343" s="8">
        <v>110.00133041666665</v>
      </c>
      <c r="BB343" s="8">
        <v>110.00133041666665</v>
      </c>
      <c r="BC343" s="8">
        <v>110.00133041666665</v>
      </c>
      <c r="BD343" s="8">
        <v>110.00133041666665</v>
      </c>
      <c r="BE343" s="8">
        <v>110.00133041666665</v>
      </c>
      <c r="BF343" s="8">
        <v>110.00133041666665</v>
      </c>
      <c r="BH343" s="8">
        <f t="shared" si="70"/>
        <v>110.00133041666665</v>
      </c>
      <c r="BI343" s="8">
        <f t="shared" si="71"/>
        <v>1320.0159649999998</v>
      </c>
      <c r="BJ343" s="8">
        <f t="shared" si="72"/>
        <v>1100.0133041666666</v>
      </c>
    </row>
    <row r="344" spans="1:62" x14ac:dyDescent="0.25">
      <c r="A344" s="9" t="s">
        <v>512</v>
      </c>
      <c r="B344" s="9" t="s">
        <v>644</v>
      </c>
      <c r="C344" s="10">
        <f>VLOOKUP(A344,'[2]Revenue_Engine_2025 Oct.25'!$C$14:G$3937,5,0)</f>
        <v>45883</v>
      </c>
      <c r="D344" s="6" cm="1">
        <f t="array" ref="D344">_xlfn.LET(
  _xlpm.aralık, Y344:BF344,
  _xlpm.ilk, MATCH(TRUE, _xlpm.aralık&lt;&gt;0, 0),
  _xlpm.son, MIN(_xlpm.ilk+2, COLUMNS(_xlpm.aralık)),
  MAX(INDEX(_xlpm.aralık, _xlpm.ilk):INDEX(_xlpm.aralık, _xlpm.son))
)</f>
        <v>110.00074016666667</v>
      </c>
      <c r="E344" s="6">
        <f t="shared" si="65"/>
        <v>0</v>
      </c>
      <c r="F344" s="6">
        <f t="shared" si="66"/>
        <v>0</v>
      </c>
      <c r="G344" s="6">
        <f t="shared" si="73"/>
        <v>110.00074016666667</v>
      </c>
      <c r="H344" s="7">
        <f t="shared" si="67"/>
        <v>-1</v>
      </c>
      <c r="I344" s="7">
        <f t="shared" si="68"/>
        <v>-1</v>
      </c>
      <c r="J344" s="7" t="e">
        <f t="shared" si="69"/>
        <v>#DIV/0!</v>
      </c>
      <c r="K344" s="7">
        <f t="shared" si="74"/>
        <v>0</v>
      </c>
      <c r="L344" s="5" t="s">
        <v>694</v>
      </c>
      <c r="M344" s="7">
        <f>IF(R344="",(VLOOKUP(A344,[1]Export!$B$2:$H$680,7,0)),"CHURN")</f>
        <v>0.28569040037716958</v>
      </c>
      <c r="N344" s="5">
        <f t="shared" si="75"/>
        <v>78.574584666666667</v>
      </c>
      <c r="O344" s="5">
        <f t="shared" si="76"/>
        <v>0</v>
      </c>
      <c r="P344" s="5">
        <f t="shared" si="77"/>
        <v>0</v>
      </c>
      <c r="Q344" s="5" t="s">
        <v>430</v>
      </c>
      <c r="T344" s="6" t="str" cm="1">
        <f t="array" ref="T344">IF(R344&lt;&gt;"Churn","",
 _xlfn.LET(
   _xlpm.rng,Y344:BF344,
   _xlpm.pos,MAX(IF((_xlpm.rng&lt;&gt;0)*(_xlpm.rng&lt;&gt;""),COLUMN(_xlpm.rng)-COLUMN(Y344)+1)),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4" s="6" t="str" cm="1">
        <f t="array" ref="U344">IF(R344="Churn",
   MAX(IF((Y344:BF344&lt;&gt;"")*(Y344:BF344&lt;&gt;0), COLUMN(Y344:BF344)-COLUMN(Y344)+1))
   -MATCH(1, --((Y344:BF344&lt;&gt;"")*(Y344:BF344&lt;&gt;0)), 0)
   +1,
"")</f>
        <v/>
      </c>
      <c r="V344" s="6" t="str" cm="1">
        <f t="array" ref="V344">IFERROR(
    IF(
        MATCH(2,1/((Y344:BF344&lt;&gt;0)*(Y344:BF344&lt;&gt;"")))-MATCH(1,INDEX((Y344:BF344&lt;&gt;0)*(Y344:BF344&lt;&gt;""),0),0)+1 &lt;= 12,
        "No",
        "Yes"
    ),
    "No"
)</f>
        <v>No</v>
      </c>
      <c r="W344" s="6" t="str" cm="1">
        <f t="array" ref="W344">IFERROR(
    IF(
        MATCH(2,1/((Y344:BF344&lt;&gt;0)*(Y344:BF344&lt;&gt;"")))-MATCH(1,INDEX((Y344:BF344&lt;&gt;0)*(Y344:BF344&lt;&gt;""),0),0)+1 &lt;= 24,
        "No",
        "Yes"
    ),
    "No"
)</f>
        <v>No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110.00074016666667</v>
      </c>
      <c r="BE344" s="8">
        <v>110.00074016666667</v>
      </c>
      <c r="BF344" s="8">
        <v>110.00074016666667</v>
      </c>
      <c r="BH344" s="8">
        <f t="shared" si="70"/>
        <v>0</v>
      </c>
      <c r="BI344" s="8">
        <f t="shared" si="71"/>
        <v>0</v>
      </c>
      <c r="BJ344" s="8">
        <f t="shared" si="72"/>
        <v>330.00222050000002</v>
      </c>
    </row>
    <row r="345" spans="1:62" x14ac:dyDescent="0.25">
      <c r="A345" s="9" t="s">
        <v>513</v>
      </c>
      <c r="B345" s="9" t="s">
        <v>644</v>
      </c>
      <c r="C345" s="10">
        <f>VLOOKUP(A345,'[2]Revenue_Engine_2025 Oct.25'!$C$14:G$3937,5,0)</f>
        <v>45657</v>
      </c>
      <c r="D345" s="6" cm="1">
        <f t="array" ref="D345">_xlfn.LET(
  _xlpm.aralık, Y345:BF345,
  _xlpm.ilk, MATCH(TRUE, _xlpm.aralık&lt;&gt;0, 0),
  _xlpm.son, MIN(_xlpm.ilk+2, COLUMNS(_xlpm.aralık)),
  MAX(INDEX(_xlpm.aralık, _xlpm.ilk):INDEX(_xlpm.aralık, _xlpm.son))
)</f>
        <v>86.000833333333333</v>
      </c>
      <c r="E345" s="6">
        <f t="shared" si="65"/>
        <v>0</v>
      </c>
      <c r="F345" s="6">
        <f t="shared" si="66"/>
        <v>0</v>
      </c>
      <c r="G345" s="6">
        <f t="shared" si="73"/>
        <v>109.20697800000002</v>
      </c>
      <c r="H345" s="7">
        <f t="shared" si="67"/>
        <v>-1</v>
      </c>
      <c r="I345" s="7">
        <f t="shared" si="68"/>
        <v>-1</v>
      </c>
      <c r="J345" s="7" t="e">
        <f t="shared" si="69"/>
        <v>#DIV/0!</v>
      </c>
      <c r="K345" s="7">
        <f t="shared" si="74"/>
        <v>0.26983627678026401</v>
      </c>
      <c r="L345" s="5" t="s">
        <v>694</v>
      </c>
      <c r="M345" s="7">
        <f>IF(R345="",(VLOOKUP(A345,[1]Export!$B$2:$H$680,7,0)),"CHURN")</f>
        <v>0.30161732888533921</v>
      </c>
      <c r="N345" s="5">
        <f t="shared" si="75"/>
        <v>76.26826100000001</v>
      </c>
      <c r="O345" s="5">
        <f t="shared" si="76"/>
        <v>0</v>
      </c>
      <c r="P345" s="5">
        <f t="shared" si="77"/>
        <v>0</v>
      </c>
      <c r="Q345" s="5" t="s">
        <v>430</v>
      </c>
      <c r="T345" s="6" t="str" cm="1">
        <f t="array" ref="T345">IF(R345&lt;&gt;"Churn","",
 _xlfn.LET(
   _xlpm.rng,Y345:BF345,
   _xlpm.pos,MAX(IF((_xlpm.rng&lt;&gt;0)*(_xlpm.rng&lt;&gt;""),COLUMN(_xlpm.rng)-COLUMN(Y345)+1)),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5" s="6" t="str" cm="1">
        <f t="array" ref="U345">IF(R345="Churn",
   MAX(IF((Y345:BF345&lt;&gt;"")*(Y345:BF345&lt;&gt;0), COLUMN(Y345:BF345)-COLUMN(Y345)+1))
   -MATCH(1, --((Y345:BF345&lt;&gt;"")*(Y345:BF345&lt;&gt;0)), 0)
   +1,
"")</f>
        <v/>
      </c>
      <c r="V345" s="14" t="s">
        <v>705</v>
      </c>
      <c r="W345" s="6" t="str" cm="1">
        <f t="array" ref="W345">IFERROR(
    IF(
        MATCH(2,1/((Y345:BF345&lt;&gt;0)*(Y345:BF345&lt;&gt;"")))-MATCH(1,INDEX((Y345:BF345&lt;&gt;0)*(Y345:BF345&lt;&gt;""),0),0)+1 &lt;= 24,
        "No",
        "Yes"
    ),
    "No"
)</f>
        <v>No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86.000833333333333</v>
      </c>
      <c r="AK345" s="8">
        <v>86.000833333333333</v>
      </c>
      <c r="AL345" s="8">
        <v>86.000833333333333</v>
      </c>
      <c r="AM345" s="8">
        <v>86.000833333333333</v>
      </c>
      <c r="AN345" s="8">
        <v>86.000833333333333</v>
      </c>
      <c r="AO345" s="8">
        <v>86.000833333333333</v>
      </c>
      <c r="AP345" s="8">
        <v>86.000833333333333</v>
      </c>
      <c r="AQ345" s="8">
        <v>86.000833333333333</v>
      </c>
      <c r="AR345" s="8">
        <v>86.000833333333333</v>
      </c>
      <c r="AS345" s="8">
        <v>86.000833333333333</v>
      </c>
      <c r="AT345" s="8">
        <v>86.000833333333333</v>
      </c>
      <c r="AU345" s="8">
        <v>86.000833333333333</v>
      </c>
      <c r="AV345" s="8">
        <v>109.2</v>
      </c>
      <c r="AW345" s="8">
        <v>109.20697800000002</v>
      </c>
      <c r="AX345" s="8">
        <v>109.20697800000002</v>
      </c>
      <c r="AY345" s="8">
        <v>109.20697800000002</v>
      </c>
      <c r="AZ345" s="8">
        <v>109.20697800000002</v>
      </c>
      <c r="BA345" s="8">
        <v>109.20697800000002</v>
      </c>
      <c r="BB345" s="8">
        <v>109.20697800000002</v>
      </c>
      <c r="BC345" s="8">
        <v>109.20697800000002</v>
      </c>
      <c r="BD345" s="8">
        <v>109.20697800000002</v>
      </c>
      <c r="BE345" s="8">
        <v>109.20697800000002</v>
      </c>
      <c r="BF345" s="8">
        <v>109.20697800000002</v>
      </c>
      <c r="BH345" s="8">
        <f t="shared" si="70"/>
        <v>86.000833333333333</v>
      </c>
      <c r="BI345" s="8">
        <f t="shared" si="71"/>
        <v>1055.2091666666665</v>
      </c>
      <c r="BJ345" s="8">
        <f t="shared" si="72"/>
        <v>1092.0697800000003</v>
      </c>
    </row>
    <row r="346" spans="1:62" x14ac:dyDescent="0.25">
      <c r="A346" s="9" t="s">
        <v>514</v>
      </c>
      <c r="B346" s="9" t="s">
        <v>644</v>
      </c>
      <c r="C346" s="10">
        <f>VLOOKUP(A346,'[2]Revenue_Engine_2025 Oct.25'!$C$14:G$3937,5,0)</f>
        <v>45809</v>
      </c>
      <c r="D346" s="6" cm="1">
        <f t="array" ref="D346">_xlfn.LET(
  _xlpm.aralık, Y346:BF346,
  _xlpm.ilk, MATCH(TRUE, _xlpm.aralık&lt;&gt;0, 0),
  _xlpm.son, MIN(_xlpm.ilk+2, COLUMNS(_xlpm.aralık)),
  MAX(INDEX(_xlpm.aralık, _xlpm.ilk):INDEX(_xlpm.aralık, _xlpm.son))
)</f>
        <v>220.50000100105535</v>
      </c>
      <c r="E346" s="6">
        <f t="shared" si="65"/>
        <v>0</v>
      </c>
      <c r="F346" s="6">
        <f t="shared" si="66"/>
        <v>0</v>
      </c>
      <c r="G346" s="6">
        <f t="shared" si="73"/>
        <v>108.33388225</v>
      </c>
      <c r="H346" s="7">
        <f t="shared" si="67"/>
        <v>-1</v>
      </c>
      <c r="I346" s="7">
        <f t="shared" si="68"/>
        <v>-1</v>
      </c>
      <c r="J346" s="7" t="e">
        <f t="shared" si="69"/>
        <v>#DIV/0!</v>
      </c>
      <c r="K346" s="7">
        <f t="shared" si="74"/>
        <v>-0.50868987864774884</v>
      </c>
      <c r="L346" s="5" t="s">
        <v>694</v>
      </c>
      <c r="M346" s="7">
        <f>IF(R346="",(VLOOKUP(A346,[1]Export!$B$2:$H$680,7,0)),"CHURN")</f>
        <v>0.26433299218352346</v>
      </c>
      <c r="N346" s="5">
        <f t="shared" si="75"/>
        <v>79.697663000000006</v>
      </c>
      <c r="O346" s="5">
        <f t="shared" si="76"/>
        <v>0</v>
      </c>
      <c r="P346" s="5">
        <f t="shared" si="77"/>
        <v>0</v>
      </c>
      <c r="Q346" s="5" t="s">
        <v>430</v>
      </c>
      <c r="T346" s="6" t="str" cm="1">
        <f t="array" ref="T346">IF(R346&lt;&gt;"Churn","",
 _xlfn.LET(
   _xlpm.rng,Y346:BF346,
   _xlpm.pos,MAX(IF((_xlpm.rng&lt;&gt;0)*(_xlpm.rng&lt;&gt;""),COLUMN(_xlpm.rng)-COLUMN(Y346)+1)),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6" s="6" t="str" cm="1">
        <f t="array" ref="U346">IF(R346="Churn",
   MAX(IF((Y346:BF346&lt;&gt;"")*(Y346:BF346&lt;&gt;0), COLUMN(Y346:BF346)-COLUMN(Y346)+1))
   -MATCH(1, --((Y346:BF346&lt;&gt;"")*(Y346:BF346&lt;&gt;0)), 0)
   +1,
"")</f>
        <v/>
      </c>
      <c r="V346" s="14" t="s">
        <v>705</v>
      </c>
      <c r="W346" s="6" t="str" cm="1">
        <f t="array" ref="W346">IFERROR(
    IF(
        MATCH(2,1/((Y346:BF346&lt;&gt;0)*(Y346:BF346&lt;&gt;"")))-MATCH(1,INDEX((Y346:BF346&lt;&gt;0)*(Y346:BF346&lt;&gt;""),0),0)+1 &lt;= 24,
        "No",
        "Yes"
    ),
    "No"
)</f>
        <v>No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-217.33813804143574</v>
      </c>
      <c r="AL346" s="8">
        <v>-1.280568540096283E-9</v>
      </c>
      <c r="AM346" s="8">
        <v>220.50000100105535</v>
      </c>
      <c r="AN346" s="8">
        <v>50.499999999301508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108.33388225</v>
      </c>
      <c r="BC346" s="8">
        <v>108.33388225</v>
      </c>
      <c r="BD346" s="8">
        <v>108.33388225</v>
      </c>
      <c r="BE346" s="8">
        <v>108.33388225</v>
      </c>
      <c r="BF346" s="8">
        <v>108.33388225</v>
      </c>
      <c r="BH346" s="8">
        <f t="shared" si="70"/>
        <v>0</v>
      </c>
      <c r="BI346" s="8">
        <f t="shared" si="71"/>
        <v>53.661862957640551</v>
      </c>
      <c r="BJ346" s="8">
        <f t="shared" si="72"/>
        <v>541.66941125000005</v>
      </c>
    </row>
    <row r="347" spans="1:62" x14ac:dyDescent="0.25">
      <c r="A347" s="9" t="s">
        <v>515</v>
      </c>
      <c r="B347" s="9" t="s">
        <v>644</v>
      </c>
      <c r="C347" s="10">
        <f>VLOOKUP(A347,'[2]Revenue_Engine_2025 Oct.25'!$C$14:G$3937,5,0)</f>
        <v>45803</v>
      </c>
      <c r="D347" s="6" cm="1">
        <f t="array" ref="D347">_xlfn.LET(
  _xlpm.aralık, Y347:BF347,
  _xlpm.ilk, MATCH(TRUE, _xlpm.aralık&lt;&gt;0, 0),
  _xlpm.son, MIN(_xlpm.ilk+2, COLUMNS(_xlpm.aralık)),
  MAX(INDEX(_xlpm.aralık, _xlpm.ilk):INDEX(_xlpm.aralık, _xlpm.son))
)</f>
        <v>220.50000100105535</v>
      </c>
      <c r="E347" s="6">
        <f t="shared" si="65"/>
        <v>0</v>
      </c>
      <c r="F347" s="6">
        <f t="shared" si="66"/>
        <v>0</v>
      </c>
      <c r="G347" s="6">
        <f t="shared" si="73"/>
        <v>108.33267625000001</v>
      </c>
      <c r="H347" s="7">
        <f t="shared" si="67"/>
        <v>-1</v>
      </c>
      <c r="I347" s="7">
        <f t="shared" si="68"/>
        <v>-1</v>
      </c>
      <c r="J347" s="7" t="e">
        <f t="shared" si="69"/>
        <v>#DIV/0!</v>
      </c>
      <c r="K347" s="7">
        <f t="shared" si="74"/>
        <v>-0.50869534803547911</v>
      </c>
      <c r="L347" s="5" t="s">
        <v>694</v>
      </c>
      <c r="M347" s="7">
        <f>IF(R347="",(VLOOKUP(A347,[1]Export!$B$2:$H$680,7,0)),"CHURN")</f>
        <v>0.28727704706116619</v>
      </c>
      <c r="N347" s="5">
        <f t="shared" si="75"/>
        <v>77.211184916666667</v>
      </c>
      <c r="O347" s="5">
        <f t="shared" si="76"/>
        <v>0</v>
      </c>
      <c r="P347" s="5">
        <f t="shared" si="77"/>
        <v>0</v>
      </c>
      <c r="Q347" s="5" t="s">
        <v>430</v>
      </c>
      <c r="T347" s="6" t="str" cm="1">
        <f t="array" ref="T347">IF(R347&lt;&gt;"Churn","",
 _xlfn.LET(
   _xlpm.rng,Y347:BF347,
   _xlpm.pos,MAX(IF((_xlpm.rng&lt;&gt;0)*(_xlpm.rng&lt;&gt;""),COLUMN(_xlpm.rng)-COLUMN(Y347)+1)),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7" s="6" t="str" cm="1">
        <f t="array" ref="U347">IF(R347="Churn",
   MAX(IF((Y347:BF347&lt;&gt;"")*(Y347:BF347&lt;&gt;0), COLUMN(Y347:BF347)-COLUMN(Y347)+1))
   -MATCH(1, --((Y347:BF347&lt;&gt;"")*(Y347:BF347&lt;&gt;0)), 0)
   +1,
"")</f>
        <v/>
      </c>
      <c r="V347" s="14" t="s">
        <v>705</v>
      </c>
      <c r="W347" s="6" t="str" cm="1">
        <f t="array" ref="W347">IFERROR(
    IF(
        MATCH(2,1/((Y347:BF347&lt;&gt;0)*(Y347:BF347&lt;&gt;"")))-MATCH(1,INDEX((Y347:BF347&lt;&gt;0)*(Y347:BF347&lt;&gt;""),0),0)+1 &lt;= 24,
        "No",
        "Yes"
    ),
    "No"
)</f>
        <v>No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-217.33813804143574</v>
      </c>
      <c r="AL347" s="8">
        <v>-1.280568540096283E-9</v>
      </c>
      <c r="AM347" s="8">
        <v>220.50000100105535</v>
      </c>
      <c r="AN347" s="8">
        <v>50.499999999301508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108.33267625000001</v>
      </c>
      <c r="BB347" s="8">
        <v>108.33267625000001</v>
      </c>
      <c r="BC347" s="8">
        <v>108.33267625000001</v>
      </c>
      <c r="BD347" s="8">
        <v>108.33267625000001</v>
      </c>
      <c r="BE347" s="8">
        <v>108.33267625000001</v>
      </c>
      <c r="BF347" s="8">
        <v>108.33267625000001</v>
      </c>
      <c r="BH347" s="8">
        <f t="shared" si="70"/>
        <v>0</v>
      </c>
      <c r="BI347" s="8">
        <f t="shared" si="71"/>
        <v>53.661862957640551</v>
      </c>
      <c r="BJ347" s="8">
        <f t="shared" si="72"/>
        <v>649.99605750000001</v>
      </c>
    </row>
    <row r="348" spans="1:62" x14ac:dyDescent="0.25">
      <c r="A348" s="9" t="s">
        <v>516</v>
      </c>
      <c r="B348" s="9" t="s">
        <v>644</v>
      </c>
      <c r="C348" s="10">
        <f>VLOOKUP(A348,'[2]Revenue_Engine_2025 Oct.25'!$C$14:G$3937,5,0)</f>
        <v>45636</v>
      </c>
      <c r="D348" s="6" cm="1">
        <f t="array" ref="D348">_xlfn.LET(
  _xlpm.aralık, Y348:BF348,
  _xlpm.ilk, MATCH(TRUE, _xlpm.aralık&lt;&gt;0, 0),
  _xlpm.son, MIN(_xlpm.ilk+2, COLUMNS(_xlpm.aralık)),
  MAX(INDEX(_xlpm.aralık, _xlpm.ilk):INDEX(_xlpm.aralık, _xlpm.son))
)</f>
        <v>107.49944383333334</v>
      </c>
      <c r="E348" s="6">
        <f t="shared" si="65"/>
        <v>0</v>
      </c>
      <c r="F348" s="6">
        <f t="shared" si="66"/>
        <v>0</v>
      </c>
      <c r="G348" s="6">
        <f t="shared" si="73"/>
        <v>107.49944383333334</v>
      </c>
      <c r="H348" s="7">
        <f t="shared" si="67"/>
        <v>-1</v>
      </c>
      <c r="I348" s="7">
        <f t="shared" si="68"/>
        <v>-1</v>
      </c>
      <c r="J348" s="7" t="e">
        <f t="shared" si="69"/>
        <v>#DIV/0!</v>
      </c>
      <c r="K348" s="7">
        <f t="shared" si="74"/>
        <v>0</v>
      </c>
      <c r="L348" s="5" t="s">
        <v>694</v>
      </c>
      <c r="M348" s="7">
        <f>IF(R348="",(VLOOKUP(A348,[1]Export!$B$2:$H$680,7,0)),"CHURN")</f>
        <v>0.38329251325134372</v>
      </c>
      <c r="N348" s="5">
        <f t="shared" si="75"/>
        <v>66.295711833333343</v>
      </c>
      <c r="O348" s="5">
        <f t="shared" si="76"/>
        <v>0</v>
      </c>
      <c r="P348" s="5">
        <f t="shared" si="77"/>
        <v>0</v>
      </c>
      <c r="Q348" s="5" t="s">
        <v>430</v>
      </c>
      <c r="T348" s="6" t="str" cm="1">
        <f t="array" ref="T348">IF(R348&lt;&gt;"Churn","",
 _xlfn.LET(
   _xlpm.rng,Y348:BF348,
   _xlpm.pos,MAX(IF((_xlpm.rng&lt;&gt;0)*(_xlpm.rng&lt;&gt;""),COLUMN(_xlpm.rng)-COLUMN(Y348)+1)),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8" s="6" t="str" cm="1">
        <f t="array" ref="U348">IF(R348="Churn",
   MAX(IF((Y348:BF348&lt;&gt;"")*(Y348:BF348&lt;&gt;0), COLUMN(Y348:BF348)-COLUMN(Y348)+1))
   -MATCH(1, --((Y348:BF348&lt;&gt;"")*(Y348:BF348&lt;&gt;0)), 0)
   +1,
"")</f>
        <v/>
      </c>
      <c r="V348" s="6" t="str" cm="1">
        <f t="array" ref="V348">IFERROR(
    IF(
        MATCH(2,1/((Y348:BF348&lt;&gt;0)*(Y348:BF348&lt;&gt;"")))-MATCH(1,INDEX((Y348:BF348&lt;&gt;0)*(Y348:BF348&lt;&gt;""),0),0)+1 &lt;= 12,
        "No",
        "Yes"
    ),
    "No"
)</f>
        <v>No</v>
      </c>
      <c r="W348" s="6" t="str" cm="1">
        <f t="array" ref="W348">IFERROR(
    IF(
        MATCH(2,1/((Y348:BF348&lt;&gt;0)*(Y348:BF348&lt;&gt;"")))-MATCH(1,INDEX((Y348:BF348&lt;&gt;0)*(Y348:BF348&lt;&gt;""),0),0)+1 &lt;= 24,
        "No",
        "Yes"
    ),
    "No"
)</f>
        <v>No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107.49944383333334</v>
      </c>
      <c r="AW348" s="8">
        <v>107.49944383333334</v>
      </c>
      <c r="AX348" s="8">
        <v>107.49944383333334</v>
      </c>
      <c r="AY348" s="8">
        <v>107.49944383333334</v>
      </c>
      <c r="AZ348" s="8">
        <v>107.49944383333334</v>
      </c>
      <c r="BA348" s="8">
        <v>107.49944383333334</v>
      </c>
      <c r="BB348" s="8">
        <v>107.49944383333334</v>
      </c>
      <c r="BC348" s="8">
        <v>107.49944383333334</v>
      </c>
      <c r="BD348" s="8">
        <v>107.49944383333334</v>
      </c>
      <c r="BE348" s="8">
        <v>107.49944383333334</v>
      </c>
      <c r="BF348" s="8">
        <v>107.49944383333334</v>
      </c>
      <c r="BH348" s="8">
        <f t="shared" si="70"/>
        <v>0</v>
      </c>
      <c r="BI348" s="8">
        <f t="shared" si="71"/>
        <v>107.49944383333334</v>
      </c>
      <c r="BJ348" s="8">
        <f t="shared" si="72"/>
        <v>1074.9944383333334</v>
      </c>
    </row>
    <row r="349" spans="1:62" x14ac:dyDescent="0.25">
      <c r="A349" s="9" t="s">
        <v>303</v>
      </c>
      <c r="B349" s="9" t="s">
        <v>644</v>
      </c>
      <c r="C349" s="10">
        <f>VLOOKUP(A349,'[2]Revenue_Engine_2025 Oct.25'!$C$14:G$3937,5,0)</f>
        <v>45443</v>
      </c>
      <c r="D349" s="6" cm="1">
        <f t="array" ref="D349">_xlfn.LET(
  _xlpm.aralık, Y349:BF349,
  _xlpm.ilk, MATCH(TRUE, _xlpm.aralık&lt;&gt;0, 0),
  _xlpm.son, MIN(_xlpm.ilk+2, COLUMNS(_xlpm.aralık)),
  MAX(INDEX(_xlpm.aralık, _xlpm.ilk):INDEX(_xlpm.aralık, _xlpm.son))
)</f>
        <v>103.19999999999999</v>
      </c>
      <c r="E349" s="6">
        <f t="shared" si="65"/>
        <v>106.19999999999999</v>
      </c>
      <c r="F349" s="6">
        <f t="shared" si="66"/>
        <v>0</v>
      </c>
      <c r="G349" s="6">
        <f t="shared" si="73"/>
        <v>106.19999999999999</v>
      </c>
      <c r="H349" s="7">
        <f t="shared" si="67"/>
        <v>2.9069767441860468E-2</v>
      </c>
      <c r="I349" s="7">
        <f t="shared" si="68"/>
        <v>-1</v>
      </c>
      <c r="J349" s="7">
        <f t="shared" si="69"/>
        <v>-1</v>
      </c>
      <c r="K349" s="7">
        <f t="shared" si="74"/>
        <v>2.9069767441860468E-2</v>
      </c>
      <c r="L349" s="5" t="s">
        <v>694</v>
      </c>
      <c r="M349" s="7">
        <f>IF(R349="",(VLOOKUP(A349,[1]Export!$B$2:$H$680,7,0)),"CHURN")</f>
        <v>0.26714195150659126</v>
      </c>
      <c r="N349" s="5">
        <f t="shared" si="75"/>
        <v>77.829524750000004</v>
      </c>
      <c r="O349" s="5">
        <f t="shared" si="76"/>
        <v>77.829524750000004</v>
      </c>
      <c r="P349" s="5">
        <f t="shared" si="77"/>
        <v>0</v>
      </c>
      <c r="Q349" s="5" t="s">
        <v>430</v>
      </c>
      <c r="T349" s="6" t="str" cm="1">
        <f t="array" ref="T349">IF(R349&lt;&gt;"Churn","",
 _xlfn.LET(
   _xlpm.rng,Y349:BF349,
   _xlpm.pos,MAX(IF((_xlpm.rng&lt;&gt;0)*(_xlpm.rng&lt;&gt;""),COLUMN(_xlpm.rng)-COLUMN(Y349)+1)),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49" s="6" t="str" cm="1">
        <f t="array" ref="U349">IF(R349="Churn",
   MAX(IF((Y349:BF349&lt;&gt;"")*(Y349:BF349&lt;&gt;0), COLUMN(Y349:BF349)-COLUMN(Y349)+1))
   -MATCH(1, --((Y349:BF349&lt;&gt;"")*(Y349:BF349&lt;&gt;0)), 0)
   +1,
"")</f>
        <v/>
      </c>
      <c r="V349" s="6" t="str" cm="1">
        <f t="array" ref="V349">IFERROR(
    IF(
        MATCH(2,1/((Y349:BF349&lt;&gt;0)*(Y349:BF349&lt;&gt;"")))-MATCH(1,INDEX((Y349:BF349&lt;&gt;0)*(Y349:BF349&lt;&gt;""),0),0)+1 &lt;= 12,
        "No",
        "Yes"
    ),
    "No"
)</f>
        <v>Yes</v>
      </c>
      <c r="W349" s="6" t="str" cm="1">
        <f t="array" ref="W349">IFERROR(
    IF(
        MATCH(2,1/((Y349:BF349&lt;&gt;0)*(Y349:BF349&lt;&gt;"")))-MATCH(1,INDEX((Y349:BF349&lt;&gt;0)*(Y349:BF349&lt;&gt;""),0),0)+1 &lt;= 24,
        "No",
        "Yes"
    ),
    "No"
)</f>
        <v>No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103.19999999999999</v>
      </c>
      <c r="AP349" s="8">
        <v>103.19999999999999</v>
      </c>
      <c r="AQ349" s="8">
        <v>103.19999999999999</v>
      </c>
      <c r="AR349" s="8">
        <v>103.19999999999999</v>
      </c>
      <c r="AS349" s="8">
        <v>103.19999999999999</v>
      </c>
      <c r="AT349" s="8">
        <v>103.19999999999999</v>
      </c>
      <c r="AU349" s="8">
        <v>103.19999999999999</v>
      </c>
      <c r="AV349" s="8">
        <v>103.19999999999999</v>
      </c>
      <c r="AW349" s="8">
        <v>103.19999999999999</v>
      </c>
      <c r="AX349" s="8">
        <v>106.19999999999999</v>
      </c>
      <c r="AY349" s="8">
        <v>106.19999999999999</v>
      </c>
      <c r="AZ349" s="8">
        <v>106.19999999999999</v>
      </c>
      <c r="BA349" s="8">
        <v>106.19999999999999</v>
      </c>
      <c r="BB349" s="8">
        <v>106.19999999999999</v>
      </c>
      <c r="BC349" s="8">
        <v>106.19999999999999</v>
      </c>
      <c r="BD349" s="8">
        <v>106.19999999999999</v>
      </c>
      <c r="BE349" s="8">
        <v>106.19999999999999</v>
      </c>
      <c r="BF349" s="8">
        <v>106.19999999999999</v>
      </c>
      <c r="BH349" s="8">
        <f t="shared" si="70"/>
        <v>0</v>
      </c>
      <c r="BI349" s="8">
        <f t="shared" si="71"/>
        <v>825.60000000000014</v>
      </c>
      <c r="BJ349" s="8">
        <f t="shared" si="72"/>
        <v>1059.0000000000002</v>
      </c>
    </row>
    <row r="350" spans="1:62" x14ac:dyDescent="0.25">
      <c r="A350" s="9" t="s">
        <v>517</v>
      </c>
      <c r="B350" s="9" t="s">
        <v>644</v>
      </c>
      <c r="C350" s="10">
        <f>VLOOKUP(A350,'[2]Revenue_Engine_2025 Oct.25'!$C$14:G$3937,5,0)</f>
        <v>45714</v>
      </c>
      <c r="D350" s="6" cm="1">
        <f t="array" ref="D350">_xlfn.LET(
  _xlpm.aralık, Y350:BF350,
  _xlpm.ilk, MATCH(TRUE, _xlpm.aralık&lt;&gt;0, 0),
  _xlpm.son, MIN(_xlpm.ilk+2, COLUMNS(_xlpm.aralık)),
  MAX(INDEX(_xlpm.aralık, _xlpm.ilk):INDEX(_xlpm.aralık, _xlpm.son))
)</f>
        <v>103.185051</v>
      </c>
      <c r="E350" s="6">
        <f t="shared" si="65"/>
        <v>0</v>
      </c>
      <c r="F350" s="6">
        <f t="shared" si="66"/>
        <v>0</v>
      </c>
      <c r="G350" s="6">
        <f t="shared" si="73"/>
        <v>106.18505099999999</v>
      </c>
      <c r="H350" s="7">
        <f t="shared" si="67"/>
        <v>-1</v>
      </c>
      <c r="I350" s="7">
        <f t="shared" si="68"/>
        <v>-1</v>
      </c>
      <c r="J350" s="7" t="e">
        <f t="shared" si="69"/>
        <v>#DIV/0!</v>
      </c>
      <c r="K350" s="7">
        <f t="shared" si="74"/>
        <v>2.907397894293802E-2</v>
      </c>
      <c r="L350" s="5" t="s">
        <v>694</v>
      </c>
      <c r="M350" s="7">
        <f>IF(R350="",(VLOOKUP(A350,[1]Export!$B$2:$H$680,7,0)),"CHURN")</f>
        <v>3.4544467092641883E-2</v>
      </c>
      <c r="N350" s="5">
        <f t="shared" si="75"/>
        <v>102.51694499999998</v>
      </c>
      <c r="O350" s="5">
        <f t="shared" si="76"/>
        <v>0</v>
      </c>
      <c r="P350" s="5">
        <f t="shared" si="77"/>
        <v>0</v>
      </c>
      <c r="Q350" s="5" t="s">
        <v>430</v>
      </c>
      <c r="T350" s="6" t="str" cm="1">
        <f t="array" ref="T350">IF(R350&lt;&gt;"Churn","",
 _xlfn.LET(
   _xlpm.rng,Y350:BF350,
   _xlpm.pos,MAX(IF((_xlpm.rng&lt;&gt;0)*(_xlpm.rng&lt;&gt;""),COLUMN(_xlpm.rng)-COLUMN(Y350)+1)),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0" s="6" t="str" cm="1">
        <f t="array" ref="U350">IF(R350="Churn",
   MAX(IF((Y350:BF350&lt;&gt;"")*(Y350:BF350&lt;&gt;0), COLUMN(Y350:BF350)-COLUMN(Y350)+1))
   -MATCH(1, --((Y350:BF350&lt;&gt;"")*(Y350:BF350&lt;&gt;0)), 0)
   +1,
"")</f>
        <v/>
      </c>
      <c r="V350" s="6" t="str" cm="1">
        <f t="array" ref="V350">IFERROR(
    IF(
        MATCH(2,1/((Y350:BF350&lt;&gt;0)*(Y350:BF350&lt;&gt;"")))-MATCH(1,INDEX((Y350:BF350&lt;&gt;0)*(Y350:BF350&lt;&gt;""),0),0)+1 &lt;= 12,
        "No",
        "Yes"
    ),
    "No"
)</f>
        <v>No</v>
      </c>
      <c r="W350" s="6" t="str" cm="1">
        <f t="array" ref="W350">IFERROR(
    IF(
        MATCH(2,1/((Y350:BF350&lt;&gt;0)*(Y350:BF350&lt;&gt;"")))-MATCH(1,INDEX((Y350:BF350&lt;&gt;0)*(Y350:BF350&lt;&gt;""),0),0)+1 &lt;= 24,
        "No",
        "Yes"
    ),
    "No"
)</f>
        <v>No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103.18505099999999</v>
      </c>
      <c r="AY350" s="8">
        <v>103.18505099999999</v>
      </c>
      <c r="AZ350" s="8">
        <v>103.185051</v>
      </c>
      <c r="BA350" s="8">
        <v>103.18505099999999</v>
      </c>
      <c r="BB350" s="8">
        <v>103.18505099999999</v>
      </c>
      <c r="BC350" s="8">
        <v>103.18505099999999</v>
      </c>
      <c r="BD350" s="8">
        <v>103.18505099999999</v>
      </c>
      <c r="BE350" s="8">
        <v>106.18505099999999</v>
      </c>
      <c r="BF350" s="8">
        <v>106.18505099999999</v>
      </c>
      <c r="BH350" s="8">
        <f t="shared" si="70"/>
        <v>0</v>
      </c>
      <c r="BI350" s="8">
        <f t="shared" si="71"/>
        <v>0</v>
      </c>
      <c r="BJ350" s="8">
        <f t="shared" si="72"/>
        <v>934.6654589999996</v>
      </c>
    </row>
    <row r="351" spans="1:62" x14ac:dyDescent="0.25">
      <c r="A351" s="9" t="s">
        <v>374</v>
      </c>
      <c r="B351" s="9" t="s">
        <v>644</v>
      </c>
      <c r="C351" s="10">
        <f>VLOOKUP(A351,'[2]Revenue_Engine_2025 Oct.25'!$C$14:G$3937,5,0)</f>
        <v>44987</v>
      </c>
      <c r="D351" s="6" cm="1">
        <f t="array" ref="D351">_xlfn.LET(
  _xlpm.aralık, Y351:BF351,
  _xlpm.ilk, MATCH(TRUE, _xlpm.aralık&lt;&gt;0, 0),
  _xlpm.son, MIN(_xlpm.ilk+2, COLUMNS(_xlpm.aralık)),
  MAX(INDEX(_xlpm.aralık, _xlpm.ilk):INDEX(_xlpm.aralık, _xlpm.son))
)</f>
        <v>106</v>
      </c>
      <c r="E351" s="6">
        <f t="shared" si="65"/>
        <v>105.99999999999999</v>
      </c>
      <c r="F351" s="6">
        <f t="shared" si="66"/>
        <v>105.99999999999999</v>
      </c>
      <c r="G351" s="6">
        <f t="shared" si="73"/>
        <v>105.99999999999999</v>
      </c>
      <c r="H351" s="7">
        <f t="shared" si="67"/>
        <v>-1.340646671245472E-16</v>
      </c>
      <c r="I351" s="7">
        <f t="shared" si="68"/>
        <v>-1.340646671245472E-16</v>
      </c>
      <c r="J351" s="7">
        <f t="shared" si="69"/>
        <v>0</v>
      </c>
      <c r="K351" s="7">
        <f t="shared" si="74"/>
        <v>-1.340646671245472E-16</v>
      </c>
      <c r="L351" s="5" t="s">
        <v>416</v>
      </c>
      <c r="M351" s="7">
        <f>IF(R351="",(VLOOKUP(A351,[1]Export!$B$2:$H$680,7,0)),"CHURN")</f>
        <v>9.4339622641509455E-2</v>
      </c>
      <c r="N351" s="5">
        <f t="shared" si="75"/>
        <v>95.999999999999986</v>
      </c>
      <c r="O351" s="5">
        <f t="shared" si="76"/>
        <v>95.999999999999986</v>
      </c>
      <c r="P351" s="5">
        <f t="shared" si="77"/>
        <v>95.999999999999986</v>
      </c>
      <c r="Q351" s="5" t="s">
        <v>430</v>
      </c>
      <c r="T351" s="6" t="str" cm="1">
        <f t="array" ref="T351">IF(R351&lt;&gt;"Churn","",
 _xlfn.LET(
   _xlpm.rng,Y351:BF351,
   _xlpm.pos,MAX(IF((_xlpm.rng&lt;&gt;0)*(_xlpm.rng&lt;&gt;""),COLUMN(_xlpm.rng)-COLUMN(Y351)+1)),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1" s="6" t="str" cm="1">
        <f t="array" ref="U351">IF(R351="Churn",
   MAX(IF((Y351:BF351&lt;&gt;"")*(Y351:BF351&lt;&gt;0), COLUMN(Y351:BF351)-COLUMN(Y351)+1))
   -MATCH(1, --((Y351:BF351&lt;&gt;"")*(Y351:BF351&lt;&gt;0)), 0)
   +1,
"")</f>
        <v/>
      </c>
      <c r="V351" s="6" t="str" cm="1">
        <f t="array" ref="V351">IFERROR(
    IF(
        MATCH(2,1/((Y351:BF351&lt;&gt;0)*(Y351:BF351&lt;&gt;"")))-MATCH(1,INDEX((Y351:BF351&lt;&gt;0)*(Y351:BF351&lt;&gt;""),0),0)+1 &lt;= 12,
        "No",
        "Yes"
    ),
    "No"
)</f>
        <v>Yes</v>
      </c>
      <c r="W351" s="6" t="str" cm="1">
        <f t="array" ref="W351">IFERROR(
    IF(
        MATCH(2,1/((Y351:BF351&lt;&gt;0)*(Y351:BF351&lt;&gt;"")))-MATCH(1,INDEX((Y351:BF351&lt;&gt;0)*(Y351:BF351&lt;&gt;""),0),0)+1 &lt;= 24,
        "No",
        "Yes"
    ),
    "No"
)</f>
        <v>Yes</v>
      </c>
      <c r="Y351" s="8">
        <v>0</v>
      </c>
      <c r="Z351" s="8">
        <v>0</v>
      </c>
      <c r="AA351" s="8">
        <v>97</v>
      </c>
      <c r="AB351" s="8">
        <v>106</v>
      </c>
      <c r="AC351" s="8">
        <v>105.99999999999999</v>
      </c>
      <c r="AD351" s="8">
        <v>105.99999999999999</v>
      </c>
      <c r="AE351" s="8">
        <v>105.99999999999999</v>
      </c>
      <c r="AF351" s="8">
        <v>105.99999999999999</v>
      </c>
      <c r="AG351" s="8">
        <v>106</v>
      </c>
      <c r="AH351" s="8">
        <v>106</v>
      </c>
      <c r="AI351" s="8">
        <v>106</v>
      </c>
      <c r="AJ351" s="8">
        <v>106</v>
      </c>
      <c r="AK351" s="8">
        <v>105.99999999999999</v>
      </c>
      <c r="AL351" s="8">
        <v>105.99999999999999</v>
      </c>
      <c r="AM351" s="8">
        <v>105.99999999999999</v>
      </c>
      <c r="AN351" s="8">
        <v>105.99999999999999</v>
      </c>
      <c r="AO351" s="8">
        <v>105.99999999999999</v>
      </c>
      <c r="AP351" s="8">
        <v>105.99999999999999</v>
      </c>
      <c r="AQ351" s="8">
        <v>105.99999999999999</v>
      </c>
      <c r="AR351" s="8">
        <v>105.99999999999999</v>
      </c>
      <c r="AS351" s="8">
        <v>105.99999999999999</v>
      </c>
      <c r="AT351" s="8">
        <v>105.99999999999999</v>
      </c>
      <c r="AU351" s="8">
        <v>105.99999999999999</v>
      </c>
      <c r="AV351" s="8">
        <v>105.99999999999999</v>
      </c>
      <c r="AW351" s="8">
        <v>105.99999999999999</v>
      </c>
      <c r="AX351" s="8">
        <v>105.99999999999999</v>
      </c>
      <c r="AY351" s="8">
        <v>105.99999999999999</v>
      </c>
      <c r="AZ351" s="8">
        <v>106</v>
      </c>
      <c r="BA351" s="8">
        <v>105.99999999999999</v>
      </c>
      <c r="BB351" s="8">
        <v>105.99999999999999</v>
      </c>
      <c r="BC351" s="8">
        <v>105.99999999999999</v>
      </c>
      <c r="BD351" s="8">
        <v>105.99999999999999</v>
      </c>
      <c r="BE351" s="8">
        <v>105.99999999999999</v>
      </c>
      <c r="BF351" s="8">
        <v>105.99999999999999</v>
      </c>
      <c r="BH351" s="8">
        <f t="shared" si="70"/>
        <v>1051</v>
      </c>
      <c r="BI351" s="8">
        <f t="shared" si="71"/>
        <v>1271.9999999999998</v>
      </c>
      <c r="BJ351" s="8">
        <f t="shared" si="72"/>
        <v>1059.9999999999998</v>
      </c>
    </row>
    <row r="352" spans="1:62" x14ac:dyDescent="0.25">
      <c r="A352" s="9" t="s">
        <v>518</v>
      </c>
      <c r="B352" s="9" t="s">
        <v>644</v>
      </c>
      <c r="C352" s="10">
        <f>VLOOKUP(A352,'[2]Revenue_Engine_2025 Oct.25'!$C$14:G$3937,5,0)</f>
        <v>45734</v>
      </c>
      <c r="D352" s="6" cm="1">
        <f t="array" ref="D352">_xlfn.LET(
  _xlpm.aralık, Y352:BF352,
  _xlpm.ilk, MATCH(TRUE, _xlpm.aralık&lt;&gt;0, 0),
  _xlpm.son, MIN(_xlpm.ilk+2, COLUMNS(_xlpm.aralık)),
  MAX(INDEX(_xlpm.aralık, _xlpm.ilk):INDEX(_xlpm.aralık, _xlpm.son))
)</f>
        <v>105.00742299999999</v>
      </c>
      <c r="E352" s="6">
        <f t="shared" si="65"/>
        <v>0</v>
      </c>
      <c r="F352" s="6">
        <f t="shared" si="66"/>
        <v>0</v>
      </c>
      <c r="G352" s="6">
        <f t="shared" si="73"/>
        <v>105.00742299999999</v>
      </c>
      <c r="H352" s="7">
        <f t="shared" si="67"/>
        <v>-1</v>
      </c>
      <c r="I352" s="7">
        <f t="shared" si="68"/>
        <v>-1</v>
      </c>
      <c r="J352" s="7" t="e">
        <f t="shared" si="69"/>
        <v>#DIV/0!</v>
      </c>
      <c r="K352" s="7">
        <f t="shared" si="74"/>
        <v>0</v>
      </c>
      <c r="L352" s="5" t="s">
        <v>694</v>
      </c>
      <c r="M352" s="7">
        <f>IF(R352="",(VLOOKUP(A352,[1]Export!$B$2:$H$680,7,0)),"CHURN")</f>
        <v>0.30219973115614884</v>
      </c>
      <c r="N352" s="5">
        <f t="shared" si="75"/>
        <v>73.274207999999987</v>
      </c>
      <c r="O352" s="5">
        <f t="shared" si="76"/>
        <v>0</v>
      </c>
      <c r="P352" s="5">
        <f t="shared" si="77"/>
        <v>0</v>
      </c>
      <c r="Q352" s="5" t="s">
        <v>430</v>
      </c>
      <c r="T352" s="6" t="str" cm="1">
        <f t="array" ref="T352">IF(R352&lt;&gt;"Churn","",
 _xlfn.LET(
   _xlpm.rng,Y352:BF352,
   _xlpm.pos,MAX(IF((_xlpm.rng&lt;&gt;0)*(_xlpm.rng&lt;&gt;""),COLUMN(_xlpm.rng)-COLUMN(Y352)+1)),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2" s="6" t="str" cm="1">
        <f t="array" ref="U352">IF(R352="Churn",
   MAX(IF((Y352:BF352&lt;&gt;"")*(Y352:BF352&lt;&gt;0), COLUMN(Y352:BF352)-COLUMN(Y352)+1))
   -MATCH(1, --((Y352:BF352&lt;&gt;"")*(Y352:BF352&lt;&gt;0)), 0)
   +1,
"")</f>
        <v/>
      </c>
      <c r="V352" s="6" t="str" cm="1">
        <f t="array" ref="V352">IFERROR(
    IF(
        MATCH(2,1/((Y352:BF352&lt;&gt;0)*(Y352:BF352&lt;&gt;"")))-MATCH(1,INDEX((Y352:BF352&lt;&gt;0)*(Y352:BF352&lt;&gt;""),0),0)+1 &lt;= 12,
        "No",
        "Yes"
    ),
    "No"
)</f>
        <v>No</v>
      </c>
      <c r="W352" s="6" t="str" cm="1">
        <f t="array" ref="W352">IFERROR(
    IF(
        MATCH(2,1/((Y352:BF352&lt;&gt;0)*(Y352:BF352&lt;&gt;"")))-MATCH(1,INDEX((Y352:BF352&lt;&gt;0)*(Y352:BF352&lt;&gt;""),0),0)+1 &lt;= 24,
        "No",
        "Yes"
    ),
    "No"
)</f>
        <v>No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105.00742299999999</v>
      </c>
      <c r="AZ352" s="8">
        <v>105.00742299999999</v>
      </c>
      <c r="BA352" s="8">
        <v>105.00742299999999</v>
      </c>
      <c r="BB352" s="8">
        <v>105.00742299999999</v>
      </c>
      <c r="BC352" s="8">
        <v>105.00742299999999</v>
      </c>
      <c r="BD352" s="8">
        <v>105.00742299999999</v>
      </c>
      <c r="BE352" s="8">
        <v>105.00742299999999</v>
      </c>
      <c r="BF352" s="8">
        <v>105.00742299999999</v>
      </c>
      <c r="BH352" s="8">
        <f t="shared" si="70"/>
        <v>0</v>
      </c>
      <c r="BI352" s="8">
        <f t="shared" si="71"/>
        <v>0</v>
      </c>
      <c r="BJ352" s="8">
        <f t="shared" si="72"/>
        <v>840.05938400000002</v>
      </c>
    </row>
    <row r="353" spans="1:62" x14ac:dyDescent="0.25">
      <c r="A353" s="9" t="s">
        <v>519</v>
      </c>
      <c r="B353" s="9" t="s">
        <v>644</v>
      </c>
      <c r="C353" s="10">
        <f>VLOOKUP(A353,'[2]Revenue_Engine_2025 Oct.25'!$C$14:G$3937,5,0)</f>
        <v>45870</v>
      </c>
      <c r="D353" s="6" cm="1">
        <f t="array" ref="D353">_xlfn.LET(
  _xlpm.aralık, Y353:BF353,
  _xlpm.ilk, MATCH(TRUE, _xlpm.aralık&lt;&gt;0, 0),
  _xlpm.son, MIN(_xlpm.ilk+2, COLUMNS(_xlpm.aralık)),
  MAX(INDEX(_xlpm.aralık, _xlpm.ilk):INDEX(_xlpm.aralık, _xlpm.son))
)</f>
        <v>104.99957408333333</v>
      </c>
      <c r="E353" s="6">
        <f t="shared" si="65"/>
        <v>0</v>
      </c>
      <c r="F353" s="6">
        <f t="shared" si="66"/>
        <v>0</v>
      </c>
      <c r="G353" s="6">
        <f t="shared" si="73"/>
        <v>104.99957408333333</v>
      </c>
      <c r="H353" s="7">
        <f t="shared" si="67"/>
        <v>-1</v>
      </c>
      <c r="I353" s="7">
        <f t="shared" si="68"/>
        <v>-1</v>
      </c>
      <c r="J353" s="7" t="e">
        <f t="shared" si="69"/>
        <v>#DIV/0!</v>
      </c>
      <c r="K353" s="7">
        <f t="shared" si="74"/>
        <v>0</v>
      </c>
      <c r="L353" s="5" t="s">
        <v>694</v>
      </c>
      <c r="M353" s="7">
        <f>IF(R353="",(VLOOKUP(A353,[1]Export!$B$2:$H$680,7,0)),"CHURN")</f>
        <v>0.277022388778912</v>
      </c>
      <c r="N353" s="5">
        <f t="shared" si="75"/>
        <v>75.912341249999983</v>
      </c>
      <c r="O353" s="5">
        <f t="shared" si="76"/>
        <v>0</v>
      </c>
      <c r="P353" s="5">
        <f t="shared" si="77"/>
        <v>0</v>
      </c>
      <c r="Q353" s="5" t="s">
        <v>430</v>
      </c>
      <c r="T353" s="6" t="str" cm="1">
        <f t="array" ref="T353">IF(R353&lt;&gt;"Churn","",
 _xlfn.LET(
   _xlpm.rng,Y353:BF353,
   _xlpm.pos,MAX(IF((_xlpm.rng&lt;&gt;0)*(_xlpm.rng&lt;&gt;""),COLUMN(_xlpm.rng)-COLUMN(Y353)+1)),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3" s="6" t="str" cm="1">
        <f t="array" ref="U353">IF(R353="Churn",
   MAX(IF((Y353:BF353&lt;&gt;"")*(Y353:BF353&lt;&gt;0), COLUMN(Y353:BF353)-COLUMN(Y353)+1))
   -MATCH(1, --((Y353:BF353&lt;&gt;"")*(Y353:BF353&lt;&gt;0)), 0)
   +1,
"")</f>
        <v/>
      </c>
      <c r="V353" s="6" t="str" cm="1">
        <f t="array" ref="V353">IFERROR(
    IF(
        MATCH(2,1/((Y353:BF353&lt;&gt;0)*(Y353:BF353&lt;&gt;"")))-MATCH(1,INDEX((Y353:BF353&lt;&gt;0)*(Y353:BF353&lt;&gt;""),0),0)+1 &lt;= 12,
        "No",
        "Yes"
    ),
    "No"
)</f>
        <v>No</v>
      </c>
      <c r="W353" s="6" t="str" cm="1">
        <f t="array" ref="W353">IFERROR(
    IF(
        MATCH(2,1/((Y353:BF353&lt;&gt;0)*(Y353:BF353&lt;&gt;"")))-MATCH(1,INDEX((Y353:BF353&lt;&gt;0)*(Y353:BF353&lt;&gt;""),0),0)+1 &lt;= 24,
        "No",
        "Yes"
    ),
    "No"
)</f>
        <v>No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104.99957408333333</v>
      </c>
      <c r="BE353" s="8">
        <v>104.99957408333333</v>
      </c>
      <c r="BF353" s="8">
        <v>104.99957408333333</v>
      </c>
      <c r="BH353" s="8">
        <f t="shared" si="70"/>
        <v>0</v>
      </c>
      <c r="BI353" s="8">
        <f t="shared" si="71"/>
        <v>0</v>
      </c>
      <c r="BJ353" s="8">
        <f t="shared" si="72"/>
        <v>314.99872225000001</v>
      </c>
    </row>
    <row r="354" spans="1:62" x14ac:dyDescent="0.25">
      <c r="A354" s="9" t="s">
        <v>520</v>
      </c>
      <c r="B354" s="9" t="s">
        <v>644</v>
      </c>
      <c r="C354" s="10">
        <f>VLOOKUP(A354,'[2]Revenue_Engine_2025 Oct.25'!$C$14:G$3937,5,0)</f>
        <v>45890</v>
      </c>
      <c r="D354" s="6" cm="1">
        <f t="array" ref="D354">_xlfn.LET(
  _xlpm.aralık, Y354:BF354,
  _xlpm.ilk, MATCH(TRUE, _xlpm.aralık&lt;&gt;0, 0),
  _xlpm.son, MIN(_xlpm.ilk+2, COLUMNS(_xlpm.aralık)),
  MAX(INDEX(_xlpm.aralık, _xlpm.ilk):INDEX(_xlpm.aralık, _xlpm.son))
)</f>
        <v>104.99916675</v>
      </c>
      <c r="E354" s="6">
        <f t="shared" si="65"/>
        <v>0</v>
      </c>
      <c r="F354" s="6">
        <f t="shared" si="66"/>
        <v>0</v>
      </c>
      <c r="G354" s="6">
        <f t="shared" si="73"/>
        <v>104.99916675</v>
      </c>
      <c r="H354" s="7">
        <f t="shared" si="67"/>
        <v>-1</v>
      </c>
      <c r="I354" s="7">
        <f t="shared" si="68"/>
        <v>-1</v>
      </c>
      <c r="J354" s="7" t="e">
        <f t="shared" si="69"/>
        <v>#DIV/0!</v>
      </c>
      <c r="K354" s="7">
        <f t="shared" si="74"/>
        <v>0</v>
      </c>
      <c r="L354" s="5" t="s">
        <v>694</v>
      </c>
      <c r="M354" s="7">
        <f>IF(R354="",(VLOOKUP(A354,[1]Export!$B$2:$H$680,7,0)),"CHURN")</f>
        <v>0.27702346425207869</v>
      </c>
      <c r="N354" s="5">
        <f t="shared" si="75"/>
        <v>75.911933833333322</v>
      </c>
      <c r="O354" s="5">
        <f t="shared" si="76"/>
        <v>0</v>
      </c>
      <c r="P354" s="5">
        <f t="shared" si="77"/>
        <v>0</v>
      </c>
      <c r="Q354" s="5" t="s">
        <v>430</v>
      </c>
      <c r="T354" s="6" t="str" cm="1">
        <f t="array" ref="T354">IF(R354&lt;&gt;"Churn","",
 _xlfn.LET(
   _xlpm.rng,Y354:BF354,
   _xlpm.pos,MAX(IF((_xlpm.rng&lt;&gt;0)*(_xlpm.rng&lt;&gt;""),COLUMN(_xlpm.rng)-COLUMN(Y354)+1)),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4" s="6" t="str" cm="1">
        <f t="array" ref="U354">IF(R354="Churn",
   MAX(IF((Y354:BF354&lt;&gt;"")*(Y354:BF354&lt;&gt;0), COLUMN(Y354:BF354)-COLUMN(Y354)+1))
   -MATCH(1, --((Y354:BF354&lt;&gt;"")*(Y354:BF354&lt;&gt;0)), 0)
   +1,
"")</f>
        <v/>
      </c>
      <c r="V354" s="6" t="str" cm="1">
        <f t="array" ref="V354">IFERROR(
    IF(
        MATCH(2,1/((Y354:BF354&lt;&gt;0)*(Y354:BF354&lt;&gt;"")))-MATCH(1,INDEX((Y354:BF354&lt;&gt;0)*(Y354:BF354&lt;&gt;""),0),0)+1 &lt;= 12,
        "No",
        "Yes"
    ),
    "No"
)</f>
        <v>No</v>
      </c>
      <c r="W354" s="6" t="str" cm="1">
        <f t="array" ref="W354">IFERROR(
    IF(
        MATCH(2,1/((Y354:BF354&lt;&gt;0)*(Y354:BF354&lt;&gt;"")))-MATCH(1,INDEX((Y354:BF354&lt;&gt;0)*(Y354:BF354&lt;&gt;""),0),0)+1 &lt;= 24,
        "No",
        "Yes"
    ),
    "No"
)</f>
        <v>No</v>
      </c>
      <c r="X354" s="6"/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104.99916675</v>
      </c>
      <c r="BE354" s="8">
        <v>104.99916675</v>
      </c>
      <c r="BF354" s="8">
        <v>104.99916675</v>
      </c>
      <c r="BH354" s="8">
        <f t="shared" si="70"/>
        <v>0</v>
      </c>
      <c r="BI354" s="8">
        <f t="shared" si="71"/>
        <v>0</v>
      </c>
      <c r="BJ354" s="8">
        <f t="shared" si="72"/>
        <v>314.99750025000003</v>
      </c>
    </row>
    <row r="355" spans="1:62" x14ac:dyDescent="0.25">
      <c r="A355" s="9" t="s">
        <v>521</v>
      </c>
      <c r="B355" s="9" t="s">
        <v>644</v>
      </c>
      <c r="C355" s="10">
        <f>VLOOKUP(A355,'[2]Revenue_Engine_2025 Oct.25'!$C$14:G$3937,5,0)</f>
        <v>45847</v>
      </c>
      <c r="D355" s="6" cm="1">
        <f t="array" ref="D355">_xlfn.LET(
  _xlpm.aralık, Y355:BF355,
  _xlpm.ilk, MATCH(TRUE, _xlpm.aralık&lt;&gt;0, 0),
  _xlpm.son, MIN(_xlpm.ilk+2, COLUMNS(_xlpm.aralık)),
  MAX(INDEX(_xlpm.aralık, _xlpm.ilk):INDEX(_xlpm.aralık, _xlpm.son))
)</f>
        <v>104.99916466666666</v>
      </c>
      <c r="E355" s="6">
        <f t="shared" si="65"/>
        <v>0</v>
      </c>
      <c r="F355" s="6">
        <f t="shared" si="66"/>
        <v>0</v>
      </c>
      <c r="G355" s="6">
        <f t="shared" si="73"/>
        <v>104.99916466666666</v>
      </c>
      <c r="H355" s="7">
        <f t="shared" si="67"/>
        <v>-1</v>
      </c>
      <c r="I355" s="7">
        <f t="shared" si="68"/>
        <v>-1</v>
      </c>
      <c r="J355" s="7" t="e">
        <f t="shared" si="69"/>
        <v>#DIV/0!</v>
      </c>
      <c r="K355" s="7">
        <f t="shared" si="74"/>
        <v>0</v>
      </c>
      <c r="L355" s="5" t="s">
        <v>694</v>
      </c>
      <c r="M355" s="7">
        <f>IF(R355="",(VLOOKUP(A355,[1]Export!$B$2:$H$680,7,0)),"CHURN")</f>
        <v>0.27701553317754329</v>
      </c>
      <c r="N355" s="5">
        <f t="shared" si="75"/>
        <v>75.91276508333334</v>
      </c>
      <c r="O355" s="5">
        <f t="shared" si="76"/>
        <v>0</v>
      </c>
      <c r="P355" s="5">
        <f t="shared" si="77"/>
        <v>0</v>
      </c>
      <c r="Q355" s="5" t="s">
        <v>430</v>
      </c>
      <c r="T355" s="6" t="str" cm="1">
        <f t="array" ref="T355">IF(R355&lt;&gt;"Churn","",
 _xlfn.LET(
   _xlpm.rng,Y355:BF355,
   _xlpm.pos,MAX(IF((_xlpm.rng&lt;&gt;0)*(_xlpm.rng&lt;&gt;""),COLUMN(_xlpm.rng)-COLUMN(Y355)+1)),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5" s="6" t="str" cm="1">
        <f t="array" ref="U355">IF(R355="Churn",
   MAX(IF((Y355:BF355&lt;&gt;"")*(Y355:BF355&lt;&gt;0), COLUMN(Y355:BF355)-COLUMN(Y355)+1))
   -MATCH(1, --((Y355:BF355&lt;&gt;"")*(Y355:BF355&lt;&gt;0)), 0)
   +1,
"")</f>
        <v/>
      </c>
      <c r="V355" s="6" t="str" cm="1">
        <f t="array" ref="V355">IFERROR(
    IF(
        MATCH(2,1/((Y355:BF355&lt;&gt;0)*(Y355:BF355&lt;&gt;"")))-MATCH(1,INDEX((Y355:BF355&lt;&gt;0)*(Y355:BF355&lt;&gt;""),0),0)+1 &lt;= 12,
        "No",
        "Yes"
    ),
    "No"
)</f>
        <v>No</v>
      </c>
      <c r="W355" s="6" t="str" cm="1">
        <f t="array" ref="W355">IFERROR(
    IF(
        MATCH(2,1/((Y355:BF355&lt;&gt;0)*(Y355:BF355&lt;&gt;"")))-MATCH(1,INDEX((Y355:BF355&lt;&gt;0)*(Y355:BF355&lt;&gt;""),0),0)+1 &lt;= 24,
        "No",
        "Yes"
    ),
    "No"
)</f>
        <v>No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104.99916466666666</v>
      </c>
      <c r="BD355" s="8">
        <v>104.99916466666666</v>
      </c>
      <c r="BE355" s="8">
        <v>104.99916466666666</v>
      </c>
      <c r="BF355" s="8">
        <v>104.99916466666666</v>
      </c>
      <c r="BH355" s="8">
        <f t="shared" si="70"/>
        <v>0</v>
      </c>
      <c r="BI355" s="8">
        <f t="shared" si="71"/>
        <v>0</v>
      </c>
      <c r="BJ355" s="8">
        <f t="shared" si="72"/>
        <v>419.99665866666663</v>
      </c>
    </row>
    <row r="356" spans="1:62" x14ac:dyDescent="0.25">
      <c r="A356" s="9" t="s">
        <v>295</v>
      </c>
      <c r="B356" s="9" t="s">
        <v>644</v>
      </c>
      <c r="C356" s="10">
        <f>VLOOKUP(A356,'[2]Revenue_Engine_2025 Oct.25'!$C$14:G$3937,5,0)</f>
        <v>45425</v>
      </c>
      <c r="D356" s="6" cm="1">
        <f t="array" ref="D356">_xlfn.LET(
  _xlpm.aralık, Y356:BF356,
  _xlpm.ilk, MATCH(TRUE, _xlpm.aralık&lt;&gt;0, 0),
  _xlpm.son, MIN(_xlpm.ilk+2, COLUMNS(_xlpm.aralık)),
  MAX(INDEX(_xlpm.aralık, _xlpm.ilk):INDEX(_xlpm.aralık, _xlpm.son))
)</f>
        <v>86.000882333333337</v>
      </c>
      <c r="E356" s="6">
        <f t="shared" si="65"/>
        <v>103.20079458333333</v>
      </c>
      <c r="F356" s="6">
        <f t="shared" si="66"/>
        <v>0</v>
      </c>
      <c r="G356" s="6">
        <f t="shared" si="73"/>
        <v>103.20079458333333</v>
      </c>
      <c r="H356" s="7">
        <f t="shared" si="67"/>
        <v>0.19999692774469863</v>
      </c>
      <c r="I356" s="7">
        <f t="shared" si="68"/>
        <v>-1</v>
      </c>
      <c r="J356" s="7">
        <f t="shared" si="69"/>
        <v>-1</v>
      </c>
      <c r="K356" s="7">
        <f t="shared" si="74"/>
        <v>0.19999692774469863</v>
      </c>
      <c r="L356" s="5" t="s">
        <v>694</v>
      </c>
      <c r="M356" s="7">
        <f>IF(R356="",(VLOOKUP(A356,[1]Export!$B$2:$H$680,7,0)),"CHURN")</f>
        <v>0.30212289749529425</v>
      </c>
      <c r="N356" s="5">
        <f t="shared" si="75"/>
        <v>72.02147149999999</v>
      </c>
      <c r="O356" s="5">
        <f t="shared" si="76"/>
        <v>72.02147149999999</v>
      </c>
      <c r="P356" s="5">
        <f t="shared" si="77"/>
        <v>0</v>
      </c>
      <c r="Q356" s="5" t="s">
        <v>430</v>
      </c>
      <c r="T356" s="6" t="str" cm="1">
        <f t="array" ref="T356">IF(R356&lt;&gt;"Churn","",
 _xlfn.LET(
   _xlpm.rng,Y356:BF356,
   _xlpm.pos,MAX(IF((_xlpm.rng&lt;&gt;0)*(_xlpm.rng&lt;&gt;""),COLUMN(_xlpm.rng)-COLUMN(Y356)+1)),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6" s="6" t="str" cm="1">
        <f t="array" ref="U356">IF(R356="Churn",
   MAX(IF((Y356:BF356&lt;&gt;"")*(Y356:BF356&lt;&gt;0), COLUMN(Y356:BF356)-COLUMN(Y356)+1))
   -MATCH(1, --((Y356:BF356&lt;&gt;"")*(Y356:BF356&lt;&gt;0)), 0)
   +1,
"")</f>
        <v/>
      </c>
      <c r="V356" s="6" t="str" cm="1">
        <f t="array" ref="V356">IFERROR(
    IF(
        MATCH(2,1/((Y356:BF356&lt;&gt;0)*(Y356:BF356&lt;&gt;"")))-MATCH(1,INDEX((Y356:BF356&lt;&gt;0)*(Y356:BF356&lt;&gt;""),0),0)+1 &lt;= 12,
        "No",
        "Yes"
    ),
    "No"
)</f>
        <v>Yes</v>
      </c>
      <c r="W356" s="6" t="str" cm="1">
        <f t="array" ref="W356">IFERROR(
    IF(
        MATCH(2,1/((Y356:BF356&lt;&gt;0)*(Y356:BF356&lt;&gt;"")))-MATCH(1,INDEX((Y356:BF356&lt;&gt;0)*(Y356:BF356&lt;&gt;""),0),0)+1 &lt;= 24,
        "No",
        "Yes"
    ),
    "No"
)</f>
        <v>No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86.000882333333337</v>
      </c>
      <c r="AP356" s="8">
        <v>86.000882333333337</v>
      </c>
      <c r="AQ356" s="8">
        <v>86.000882333333337</v>
      </c>
      <c r="AR356" s="8">
        <v>86.000882333333337</v>
      </c>
      <c r="AS356" s="8">
        <v>86.000882333333337</v>
      </c>
      <c r="AT356" s="8">
        <v>86.000882333333337</v>
      </c>
      <c r="AU356" s="8">
        <v>86.000882333333337</v>
      </c>
      <c r="AV356" s="8">
        <v>86.000882333333337</v>
      </c>
      <c r="AW356" s="8">
        <v>86.000882333333337</v>
      </c>
      <c r="AX356" s="8">
        <v>86.000882333333337</v>
      </c>
      <c r="AY356" s="8">
        <v>86.000882333333337</v>
      </c>
      <c r="AZ356" s="8">
        <v>86.000882333333337</v>
      </c>
      <c r="BA356" s="8">
        <v>103.20079458333333</v>
      </c>
      <c r="BB356" s="8">
        <v>103.20079458333333</v>
      </c>
      <c r="BC356" s="8">
        <v>103.20079458333333</v>
      </c>
      <c r="BD356" s="8">
        <v>103.20079458333333</v>
      </c>
      <c r="BE356" s="8">
        <v>103.20079458333333</v>
      </c>
      <c r="BF356" s="8">
        <v>103.20079458333333</v>
      </c>
      <c r="BH356" s="8">
        <f t="shared" si="70"/>
        <v>0</v>
      </c>
      <c r="BI356" s="8">
        <f t="shared" si="71"/>
        <v>688.00705866666681</v>
      </c>
      <c r="BJ356" s="8">
        <f t="shared" si="72"/>
        <v>963.20829683333363</v>
      </c>
    </row>
    <row r="357" spans="1:62" x14ac:dyDescent="0.25">
      <c r="A357" s="9" t="s">
        <v>280</v>
      </c>
      <c r="B357" s="9" t="s">
        <v>644</v>
      </c>
      <c r="C357" s="10">
        <f>VLOOKUP(A357,'[2]Revenue_Engine_2025 Oct.25'!$C$14:G$3937,5,0)</f>
        <v>45365</v>
      </c>
      <c r="D357" s="6" cm="1">
        <f t="array" ref="D357">_xlfn.LET(
  _xlpm.aralık, Y357:BF357,
  _xlpm.ilk, MATCH(TRUE, _xlpm.aralık&lt;&gt;0, 0),
  _xlpm.son, MIN(_xlpm.ilk+2, COLUMNS(_xlpm.aralık)),
  MAX(INDEX(_xlpm.aralık, _xlpm.ilk):INDEX(_xlpm.aralık, _xlpm.son))
)</f>
        <v>86.000002000000009</v>
      </c>
      <c r="E357" s="6">
        <f t="shared" si="65"/>
        <v>103.19973758333333</v>
      </c>
      <c r="F357" s="6">
        <f t="shared" si="66"/>
        <v>0</v>
      </c>
      <c r="G357" s="6">
        <f t="shared" si="73"/>
        <v>103.19973758333333</v>
      </c>
      <c r="H357" s="7">
        <f t="shared" si="67"/>
        <v>0.19999692073650557</v>
      </c>
      <c r="I357" s="7">
        <f t="shared" si="68"/>
        <v>-1</v>
      </c>
      <c r="J357" s="7">
        <f t="shared" si="69"/>
        <v>-1</v>
      </c>
      <c r="K357" s="7">
        <f t="shared" si="74"/>
        <v>0.19999692073650557</v>
      </c>
      <c r="L357" s="5" t="s">
        <v>694</v>
      </c>
      <c r="M357" s="7">
        <f>IF(R357="",(VLOOKUP(A357,[1]Export!$B$2:$H$680,7,0)),"CHURN")</f>
        <v>0.27488549710467564</v>
      </c>
      <c r="N357" s="5">
        <f t="shared" si="75"/>
        <v>74.831626416666666</v>
      </c>
      <c r="O357" s="5">
        <f t="shared" si="76"/>
        <v>74.831626416666666</v>
      </c>
      <c r="P357" s="5">
        <f t="shared" si="77"/>
        <v>0</v>
      </c>
      <c r="Q357" s="5" t="s">
        <v>430</v>
      </c>
      <c r="T357" s="6" t="str" cm="1">
        <f t="array" ref="T357">IF(R357&lt;&gt;"Churn","",
 _xlfn.LET(
   _xlpm.rng,Y357:BF357,
   _xlpm.pos,MAX(IF((_xlpm.rng&lt;&gt;0)*(_xlpm.rng&lt;&gt;""),COLUMN(_xlpm.rng)-COLUMN(Y357)+1)),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7" s="6" t="str" cm="1">
        <f t="array" ref="U357">IF(R357="Churn",
   MAX(IF((Y357:BF357&lt;&gt;"")*(Y357:BF357&lt;&gt;0), COLUMN(Y357:BF357)-COLUMN(Y357)+1))
   -MATCH(1, --((Y357:BF357&lt;&gt;"")*(Y357:BF357&lt;&gt;0)), 0)
   +1,
"")</f>
        <v/>
      </c>
      <c r="V357" s="6" t="str" cm="1">
        <f t="array" ref="V357">IFERROR(
    IF(
        MATCH(2,1/((Y357:BF357&lt;&gt;0)*(Y357:BF357&lt;&gt;"")))-MATCH(1,INDEX((Y357:BF357&lt;&gt;0)*(Y357:BF357&lt;&gt;""),0),0)+1 &lt;= 12,
        "No",
        "Yes"
    ),
    "No"
)</f>
        <v>Yes</v>
      </c>
      <c r="W357" s="6" t="str" cm="1">
        <f t="array" ref="W357">IFERROR(
    IF(
        MATCH(2,1/((Y357:BF357&lt;&gt;0)*(Y357:BF357&lt;&gt;"")))-MATCH(1,INDEX((Y357:BF357&lt;&gt;0)*(Y357:BF357&lt;&gt;""),0),0)+1 &lt;= 24,
        "No",
        "Yes"
    ),
    "No"
)</f>
        <v>No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86.000002000000009</v>
      </c>
      <c r="AN357" s="8">
        <v>86.000002000000009</v>
      </c>
      <c r="AO357" s="8">
        <v>86.000002000000009</v>
      </c>
      <c r="AP357" s="8">
        <v>86.000002000000009</v>
      </c>
      <c r="AQ357" s="8">
        <v>86.000002000000009</v>
      </c>
      <c r="AR357" s="8">
        <v>86.000002000000009</v>
      </c>
      <c r="AS357" s="8">
        <v>86.000002000000009</v>
      </c>
      <c r="AT357" s="8">
        <v>86.000002000000009</v>
      </c>
      <c r="AU357" s="8">
        <v>86.000002000000009</v>
      </c>
      <c r="AV357" s="8">
        <v>86.000002000000009</v>
      </c>
      <c r="AW357" s="8">
        <v>86.000002000000009</v>
      </c>
      <c r="AX357" s="8">
        <v>86.000002000000009</v>
      </c>
      <c r="AY357" s="8">
        <v>103.19973758333333</v>
      </c>
      <c r="AZ357" s="8">
        <v>103.19973758333333</v>
      </c>
      <c r="BA357" s="8">
        <v>103.19973758333333</v>
      </c>
      <c r="BB357" s="8">
        <v>103.19973758333333</v>
      </c>
      <c r="BC357" s="8">
        <v>103.19973758333333</v>
      </c>
      <c r="BD357" s="8">
        <v>103.19973758333333</v>
      </c>
      <c r="BE357" s="8">
        <v>103.19973758333333</v>
      </c>
      <c r="BF357" s="8">
        <v>103.19973758333333</v>
      </c>
      <c r="BH357" s="8">
        <f t="shared" si="70"/>
        <v>0</v>
      </c>
      <c r="BI357" s="8">
        <f t="shared" si="71"/>
        <v>860.00002000000006</v>
      </c>
      <c r="BJ357" s="8">
        <f t="shared" si="72"/>
        <v>997.59790466666664</v>
      </c>
    </row>
    <row r="358" spans="1:62" x14ac:dyDescent="0.25">
      <c r="A358" s="9" t="s">
        <v>522</v>
      </c>
      <c r="B358" s="9" t="s">
        <v>644</v>
      </c>
      <c r="C358" s="10">
        <f>VLOOKUP(A358,'[2]Revenue_Engine_2025 Oct.25'!$C$14:G$3937,5,0)</f>
        <v>45483</v>
      </c>
      <c r="D358" s="6" cm="1">
        <f t="array" ref="D358">_xlfn.LET(
  _xlpm.aralık, Y358:BF358,
  _xlpm.ilk, MATCH(TRUE, _xlpm.aralık&lt;&gt;0, 0),
  _xlpm.son, MIN(_xlpm.ilk+2, COLUMNS(_xlpm.aralık)),
  MAX(INDEX(_xlpm.aralık, _xlpm.ilk):INDEX(_xlpm.aralık, _xlpm.son))
)</f>
        <v>103.19938716666665</v>
      </c>
      <c r="E358" s="6">
        <f t="shared" si="65"/>
        <v>103.19938716666665</v>
      </c>
      <c r="F358" s="6">
        <f t="shared" si="66"/>
        <v>0</v>
      </c>
      <c r="G358" s="6">
        <f t="shared" si="73"/>
        <v>103.19938716666665</v>
      </c>
      <c r="H358" s="7">
        <f t="shared" si="67"/>
        <v>0</v>
      </c>
      <c r="I358" s="7">
        <f t="shared" si="68"/>
        <v>-1</v>
      </c>
      <c r="J358" s="7">
        <f t="shared" si="69"/>
        <v>-1</v>
      </c>
      <c r="K358" s="7">
        <f t="shared" si="74"/>
        <v>0</v>
      </c>
      <c r="L358" s="5" t="s">
        <v>694</v>
      </c>
      <c r="M358" s="7">
        <f>IF(R358="",(VLOOKUP(A358,[1]Export!$B$2:$H$680,7,0)),"CHURN")</f>
        <v>0.30214625725417943</v>
      </c>
      <c r="N358" s="5">
        <f t="shared" si="75"/>
        <v>72.018078583333335</v>
      </c>
      <c r="O358" s="5">
        <f t="shared" si="76"/>
        <v>72.018078583333335</v>
      </c>
      <c r="P358" s="5">
        <f t="shared" si="77"/>
        <v>0</v>
      </c>
      <c r="Q358" s="5" t="s">
        <v>430</v>
      </c>
      <c r="T358" s="6" t="str" cm="1">
        <f t="array" ref="T358">IF(R358&lt;&gt;"Churn","",
 _xlfn.LET(
   _xlpm.rng,Y358:BF358,
   _xlpm.pos,MAX(IF((_xlpm.rng&lt;&gt;0)*(_xlpm.rng&lt;&gt;""),COLUMN(_xlpm.rng)-COLUMN(Y358)+1)),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8" s="6" t="str" cm="1">
        <f t="array" ref="U358">IF(R358="Churn",
   MAX(IF((Y358:BF358&lt;&gt;"")*(Y358:BF358&lt;&gt;0), COLUMN(Y358:BF358)-COLUMN(Y358)+1))
   -MATCH(1, --((Y358:BF358&lt;&gt;"")*(Y358:BF358&lt;&gt;0)), 0)
   +1,
"")</f>
        <v/>
      </c>
      <c r="V358" s="6" t="str" cm="1">
        <f t="array" ref="V358">IFERROR(
    IF(
        MATCH(2,1/((Y358:BF358&lt;&gt;0)*(Y358:BF358&lt;&gt;"")))-MATCH(1,INDEX((Y358:BF358&lt;&gt;0)*(Y358:BF358&lt;&gt;""),0),0)+1 &lt;= 12,
        "No",
        "Yes"
    ),
    "No"
)</f>
        <v>Yes</v>
      </c>
      <c r="W358" s="6" t="str" cm="1">
        <f t="array" ref="W358">IFERROR(
    IF(
        MATCH(2,1/((Y358:BF358&lt;&gt;0)*(Y358:BF358&lt;&gt;"")))-MATCH(1,INDEX((Y358:BF358&lt;&gt;0)*(Y358:BF358&lt;&gt;""),0),0)+1 &lt;= 24,
        "No",
        "Yes"
    ),
    "No"
)</f>
        <v>No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103.19938716666665</v>
      </c>
      <c r="AR358" s="8">
        <v>103.19938716666665</v>
      </c>
      <c r="AS358" s="8">
        <v>103.19938716666665</v>
      </c>
      <c r="AT358" s="8">
        <v>103.19938716666665</v>
      </c>
      <c r="AU358" s="8">
        <v>103.19938716666665</v>
      </c>
      <c r="AV358" s="8">
        <v>103.19938716666665</v>
      </c>
      <c r="AW358" s="8">
        <v>103.19938716666665</v>
      </c>
      <c r="AX358" s="8">
        <v>103.19938716666665</v>
      </c>
      <c r="AY358" s="8">
        <v>103.19938716666665</v>
      </c>
      <c r="AZ358" s="8">
        <v>103.19938716666665</v>
      </c>
      <c r="BA358" s="8">
        <v>103.19938716666665</v>
      </c>
      <c r="BB358" s="8">
        <v>103.19938716666665</v>
      </c>
      <c r="BC358" s="8">
        <v>103.19938716666665</v>
      </c>
      <c r="BD358" s="8">
        <v>103.19938716666665</v>
      </c>
      <c r="BE358" s="8">
        <v>103.19938716666665</v>
      </c>
      <c r="BF358" s="8">
        <v>103.19938716666665</v>
      </c>
      <c r="BH358" s="8">
        <f t="shared" si="70"/>
        <v>0</v>
      </c>
      <c r="BI358" s="8">
        <f t="shared" si="71"/>
        <v>619.19632299999989</v>
      </c>
      <c r="BJ358" s="8">
        <f t="shared" si="72"/>
        <v>1031.9938716666663</v>
      </c>
    </row>
    <row r="359" spans="1:62" x14ac:dyDescent="0.25">
      <c r="A359" s="9" t="s">
        <v>523</v>
      </c>
      <c r="B359" s="9" t="s">
        <v>644</v>
      </c>
      <c r="C359" s="10">
        <f>VLOOKUP(A359,'[2]Revenue_Engine_2025 Oct.25'!$C$14:G$3937,5,0)</f>
        <v>45478</v>
      </c>
      <c r="D359" s="6" cm="1">
        <f t="array" ref="D359">_xlfn.LET(
  _xlpm.aralık, Y359:BF359,
  _xlpm.ilk, MATCH(TRUE, _xlpm.aralık&lt;&gt;0, 0),
  _xlpm.son, MIN(_xlpm.ilk+2, COLUMNS(_xlpm.aralık)),
  MAX(INDEX(_xlpm.aralık, _xlpm.ilk):INDEX(_xlpm.aralık, _xlpm.son))
)</f>
        <v>103.19916674999999</v>
      </c>
      <c r="E359" s="6">
        <f t="shared" si="65"/>
        <v>0</v>
      </c>
      <c r="F359" s="6">
        <f t="shared" si="66"/>
        <v>0</v>
      </c>
      <c r="G359" s="6">
        <f t="shared" si="73"/>
        <v>103.19916674999999</v>
      </c>
      <c r="H359" s="7">
        <f t="shared" si="67"/>
        <v>-1</v>
      </c>
      <c r="I359" s="7">
        <f t="shared" si="68"/>
        <v>-1</v>
      </c>
      <c r="J359" s="7" t="e">
        <f t="shared" si="69"/>
        <v>#DIV/0!</v>
      </c>
      <c r="K359" s="7">
        <f t="shared" si="74"/>
        <v>0</v>
      </c>
      <c r="L359" s="5" t="s">
        <v>694</v>
      </c>
      <c r="M359" s="7">
        <f>IF(R359="",(VLOOKUP(A359,[1]Export!$B$2:$H$680,7,0)),"CHURN")</f>
        <v>0</v>
      </c>
      <c r="N359" s="5">
        <f t="shared" si="75"/>
        <v>103.19916674999999</v>
      </c>
      <c r="O359" s="5">
        <f t="shared" si="76"/>
        <v>0</v>
      </c>
      <c r="P359" s="5">
        <f t="shared" si="77"/>
        <v>0</v>
      </c>
      <c r="Q359" s="5" t="s">
        <v>430</v>
      </c>
      <c r="T359" s="6" t="str" cm="1">
        <f t="array" ref="T359">IF(R359&lt;&gt;"Churn","",
 _xlfn.LET(
   _xlpm.rng,Y359:BF359,
   _xlpm.pos,MAX(IF((_xlpm.rng&lt;&gt;0)*(_xlpm.rng&lt;&gt;""),COLUMN(_xlpm.rng)-COLUMN(Y359)+1)),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59" s="6" t="str" cm="1">
        <f t="array" ref="U359">IF(R359="Churn",
   MAX(IF((Y359:BF359&lt;&gt;"")*(Y359:BF359&lt;&gt;0), COLUMN(Y359:BF359)-COLUMN(Y359)+1))
   -MATCH(1, --((Y359:BF359&lt;&gt;"")*(Y359:BF359&lt;&gt;0)), 0)
   +1,
"")</f>
        <v/>
      </c>
      <c r="V359" s="14" t="s">
        <v>705</v>
      </c>
      <c r="W359" s="6" t="str" cm="1">
        <f t="array" ref="W359">IFERROR(
    IF(
        MATCH(2,1/((Y359:BF359&lt;&gt;0)*(Y359:BF359&lt;&gt;"")))-MATCH(1,INDEX((Y359:BF359&lt;&gt;0)*(Y359:BF359&lt;&gt;""),0),0)+1 &lt;= 24,
        "No",
        "Yes"
    ),
    "No"
)</f>
        <v>No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103.19916674999999</v>
      </c>
      <c r="AR359" s="8">
        <v>103.19916674999999</v>
      </c>
      <c r="AS359" s="8">
        <v>103.19916674999999</v>
      </c>
      <c r="AT359" s="8">
        <v>103.19916674999999</v>
      </c>
      <c r="AU359" s="8">
        <v>103.19916674999999</v>
      </c>
      <c r="AV359" s="8">
        <v>103.19916674999999</v>
      </c>
      <c r="AW359" s="8">
        <v>103.19916674999999</v>
      </c>
      <c r="AX359" s="8">
        <v>103.19916674999999</v>
      </c>
      <c r="AY359" s="8">
        <v>103.19916674999999</v>
      </c>
      <c r="AZ359" s="8">
        <v>103.19916674999999</v>
      </c>
      <c r="BA359" s="8">
        <v>103.19916674999999</v>
      </c>
      <c r="BB359" s="8">
        <v>103.19916674999999</v>
      </c>
      <c r="BC359" s="8">
        <v>0</v>
      </c>
      <c r="BD359" s="8">
        <v>103.19916674999999</v>
      </c>
      <c r="BE359" s="8">
        <v>103.19916674999999</v>
      </c>
      <c r="BF359" s="8">
        <v>103.19916674999999</v>
      </c>
      <c r="BH359" s="8">
        <f t="shared" si="70"/>
        <v>0</v>
      </c>
      <c r="BI359" s="8">
        <f t="shared" si="71"/>
        <v>619.19500049999999</v>
      </c>
      <c r="BJ359" s="8">
        <f t="shared" si="72"/>
        <v>928.79250075000004</v>
      </c>
    </row>
    <row r="360" spans="1:62" x14ac:dyDescent="0.25">
      <c r="A360" s="9" t="s">
        <v>524</v>
      </c>
      <c r="B360" s="9" t="s">
        <v>644</v>
      </c>
      <c r="C360" s="10">
        <f>VLOOKUP(A360,'[2]Revenue_Engine_2025 Oct.25'!$C$14:G$3937,5,0)</f>
        <v>45474</v>
      </c>
      <c r="D360" s="6" cm="1">
        <f t="array" ref="D360">_xlfn.LET(
  _xlpm.aralık, Y360:BF360,
  _xlpm.ilk, MATCH(TRUE, _xlpm.aralık&lt;&gt;0, 0),
  _xlpm.son, MIN(_xlpm.ilk+2, COLUMNS(_xlpm.aralık)),
  MAX(INDEX(_xlpm.aralık, _xlpm.ilk):INDEX(_xlpm.aralık, _xlpm.son))
)</f>
        <v>103.19903958333333</v>
      </c>
      <c r="E360" s="6">
        <f t="shared" si="65"/>
        <v>0</v>
      </c>
      <c r="F360" s="6">
        <f t="shared" si="66"/>
        <v>0</v>
      </c>
      <c r="G360" s="6">
        <f t="shared" si="73"/>
        <v>103.19903958333333</v>
      </c>
      <c r="H360" s="7">
        <f t="shared" si="67"/>
        <v>-1</v>
      </c>
      <c r="I360" s="7">
        <f t="shared" si="68"/>
        <v>-1</v>
      </c>
      <c r="J360" s="7" t="e">
        <f t="shared" si="69"/>
        <v>#DIV/0!</v>
      </c>
      <c r="K360" s="7">
        <f t="shared" si="74"/>
        <v>0</v>
      </c>
      <c r="L360" s="5" t="s">
        <v>694</v>
      </c>
      <c r="M360" s="7">
        <f>IF(R360="",(VLOOKUP(A360,[1]Export!$B$2:$H$680,7,0)),"CHURN")</f>
        <v>0</v>
      </c>
      <c r="N360" s="5">
        <f t="shared" si="75"/>
        <v>103.19903958333333</v>
      </c>
      <c r="O360" s="5">
        <f t="shared" si="76"/>
        <v>0</v>
      </c>
      <c r="P360" s="5">
        <f t="shared" si="77"/>
        <v>0</v>
      </c>
      <c r="Q360" s="5" t="s">
        <v>430</v>
      </c>
      <c r="T360" s="6" t="str" cm="1">
        <f t="array" ref="T360">IF(R360&lt;&gt;"Churn","",
 _xlfn.LET(
   _xlpm.rng,Y360:BF360,
   _xlpm.pos,MAX(IF((_xlpm.rng&lt;&gt;0)*(_xlpm.rng&lt;&gt;""),COLUMN(_xlpm.rng)-COLUMN(Y360)+1)),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0" s="6" t="str" cm="1">
        <f t="array" ref="U360">IF(R360="Churn",
   MAX(IF((Y360:BF360&lt;&gt;"")*(Y360:BF360&lt;&gt;0), COLUMN(Y360:BF360)-COLUMN(Y360)+1))
   -MATCH(1, --((Y360:BF360&lt;&gt;"")*(Y360:BF360&lt;&gt;0)), 0)
   +1,
"")</f>
        <v/>
      </c>
      <c r="V360" s="14" t="s">
        <v>705</v>
      </c>
      <c r="W360" s="6" t="str" cm="1">
        <f t="array" ref="W360">IFERROR(
    IF(
        MATCH(2,1/((Y360:BF360&lt;&gt;0)*(Y360:BF360&lt;&gt;"")))-MATCH(1,INDEX((Y360:BF360&lt;&gt;0)*(Y360:BF360&lt;&gt;""),0),0)+1 &lt;= 24,
        "No",
        "Yes"
    ),
    "No"
)</f>
        <v>No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103.19903958333333</v>
      </c>
      <c r="AQ360" s="8">
        <v>103.19903958333333</v>
      </c>
      <c r="AR360" s="8">
        <v>103.19903958333333</v>
      </c>
      <c r="AS360" s="8">
        <v>103.19903958333333</v>
      </c>
      <c r="AT360" s="8">
        <v>103.19903958333333</v>
      </c>
      <c r="AU360" s="8">
        <v>103.19903958333333</v>
      </c>
      <c r="AV360" s="8">
        <v>103.19903958333333</v>
      </c>
      <c r="AW360" s="8">
        <v>103.19903958333333</v>
      </c>
      <c r="AX360" s="8">
        <v>103.19903958333333</v>
      </c>
      <c r="AY360" s="8">
        <v>103.19903958333333</v>
      </c>
      <c r="AZ360" s="8">
        <v>103.19903958333333</v>
      </c>
      <c r="BA360" s="8">
        <v>103.19903958333333</v>
      </c>
      <c r="BB360" s="8">
        <v>0</v>
      </c>
      <c r="BC360" s="8">
        <v>0</v>
      </c>
      <c r="BD360" s="8">
        <v>103.19903958333333</v>
      </c>
      <c r="BE360" s="8">
        <v>103.19903958333333</v>
      </c>
      <c r="BF360" s="8">
        <v>103.19903958333333</v>
      </c>
      <c r="BH360" s="8">
        <f t="shared" si="70"/>
        <v>0</v>
      </c>
      <c r="BI360" s="8">
        <f t="shared" si="71"/>
        <v>722.39327708333349</v>
      </c>
      <c r="BJ360" s="8">
        <f t="shared" si="72"/>
        <v>825.59231666666687</v>
      </c>
    </row>
    <row r="361" spans="1:62" x14ac:dyDescent="0.25">
      <c r="A361" s="9" t="s">
        <v>525</v>
      </c>
      <c r="B361" s="9" t="s">
        <v>644</v>
      </c>
      <c r="C361" s="10">
        <f>VLOOKUP(A361,'[2]Revenue_Engine_2025 Oct.25'!$C$14:G$3937,5,0)</f>
        <v>45489</v>
      </c>
      <c r="D361" s="6" cm="1">
        <f t="array" ref="D361">_xlfn.LET(
  _xlpm.aralık, Y361:BF361,
  _xlpm.ilk, MATCH(TRUE, _xlpm.aralık&lt;&gt;0, 0),
  _xlpm.son, MIN(_xlpm.ilk+2, COLUMNS(_xlpm.aralık)),
  MAX(INDEX(_xlpm.aralık, _xlpm.ilk):INDEX(_xlpm.aralık, _xlpm.son))
)</f>
        <v>103.19855383333332</v>
      </c>
      <c r="E361" s="6">
        <f t="shared" si="65"/>
        <v>103.19855383333332</v>
      </c>
      <c r="F361" s="6">
        <f t="shared" si="66"/>
        <v>0</v>
      </c>
      <c r="G361" s="6">
        <f t="shared" si="73"/>
        <v>103.19855383333332</v>
      </c>
      <c r="H361" s="7">
        <f t="shared" si="67"/>
        <v>0</v>
      </c>
      <c r="I361" s="7">
        <f t="shared" si="68"/>
        <v>-1</v>
      </c>
      <c r="J361" s="7">
        <f t="shared" si="69"/>
        <v>-1</v>
      </c>
      <c r="K361" s="7">
        <f t="shared" si="74"/>
        <v>0</v>
      </c>
      <c r="L361" s="5" t="s">
        <v>694</v>
      </c>
      <c r="M361" s="7">
        <f>IF(R361="",(VLOOKUP(A361,[1]Export!$B$2:$H$680,7,0)),"CHURN")</f>
        <v>0.26714558933188731</v>
      </c>
      <c r="N361" s="5">
        <f t="shared" si="75"/>
        <v>75.629515351329005</v>
      </c>
      <c r="O361" s="5">
        <f t="shared" si="76"/>
        <v>75.629515351329005</v>
      </c>
      <c r="P361" s="5">
        <f t="shared" si="77"/>
        <v>0</v>
      </c>
      <c r="Q361" s="5" t="s">
        <v>430</v>
      </c>
      <c r="T361" s="6" t="str" cm="1">
        <f t="array" ref="T361">IF(R361&lt;&gt;"Churn","",
 _xlfn.LET(
   _xlpm.rng,Y361:BF361,
   _xlpm.pos,MAX(IF((_xlpm.rng&lt;&gt;0)*(_xlpm.rng&lt;&gt;""),COLUMN(_xlpm.rng)-COLUMN(Y361)+1)),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1" s="6" t="str" cm="1">
        <f t="array" ref="U361">IF(R361="Churn",
   MAX(IF((Y361:BF361&lt;&gt;"")*(Y361:BF361&lt;&gt;0), COLUMN(Y361:BF361)-COLUMN(Y361)+1))
   -MATCH(1, --((Y361:BF361&lt;&gt;"")*(Y361:BF361&lt;&gt;0)), 0)
   +1,
"")</f>
        <v/>
      </c>
      <c r="V361" s="6" t="str" cm="1">
        <f t="array" ref="V361">IFERROR(
    IF(
        MATCH(2,1/((Y361:BF361&lt;&gt;0)*(Y361:BF361&lt;&gt;"")))-MATCH(1,INDEX((Y361:BF361&lt;&gt;0)*(Y361:BF361&lt;&gt;""),0),0)+1 &lt;= 12,
        "No",
        "Yes"
    ),
    "No"
)</f>
        <v>Yes</v>
      </c>
      <c r="W361" s="6" t="str" cm="1">
        <f t="array" ref="W361">IFERROR(
    IF(
        MATCH(2,1/((Y361:BF361&lt;&gt;0)*(Y361:BF361&lt;&gt;"")))-MATCH(1,INDEX((Y361:BF361&lt;&gt;0)*(Y361:BF361&lt;&gt;""),0),0)+1 &lt;= 24,
        "No",
        "Yes"
    ),
    "No"
)</f>
        <v>No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103.19855383333332</v>
      </c>
      <c r="AR361" s="8">
        <v>103.19855383333332</v>
      </c>
      <c r="AS361" s="8">
        <v>103.19855383333332</v>
      </c>
      <c r="AT361" s="8">
        <v>103.19855383333332</v>
      </c>
      <c r="AU361" s="8">
        <v>103.19855383333332</v>
      </c>
      <c r="AV361" s="8">
        <v>103.19855383333332</v>
      </c>
      <c r="AW361" s="8">
        <v>103.19855383333332</v>
      </c>
      <c r="AX361" s="8">
        <v>103.19855383333332</v>
      </c>
      <c r="AY361" s="8">
        <v>103.19855383333332</v>
      </c>
      <c r="AZ361" s="8">
        <v>103.19855383333332</v>
      </c>
      <c r="BA361" s="8">
        <v>103.19855383333332</v>
      </c>
      <c r="BB361" s="8">
        <v>103.19855383333332</v>
      </c>
      <c r="BC361" s="8">
        <v>103.19855383333332</v>
      </c>
      <c r="BD361" s="8">
        <v>103.19855383333332</v>
      </c>
      <c r="BE361" s="8">
        <v>103.19855383333332</v>
      </c>
      <c r="BF361" s="8">
        <v>103.19855383333332</v>
      </c>
      <c r="BH361" s="8">
        <f t="shared" si="70"/>
        <v>0</v>
      </c>
      <c r="BI361" s="8">
        <f t="shared" si="71"/>
        <v>619.1913229999999</v>
      </c>
      <c r="BJ361" s="8">
        <f t="shared" si="72"/>
        <v>1031.9855383333331</v>
      </c>
    </row>
    <row r="362" spans="1:62" x14ac:dyDescent="0.25">
      <c r="A362" s="9" t="s">
        <v>234</v>
      </c>
      <c r="B362" s="9" t="s">
        <v>644</v>
      </c>
      <c r="C362" s="10">
        <f>VLOOKUP(A362,'[2]Revenue_Engine_2025 Oct.25'!$C$14:G$3937,5,0)</f>
        <v>45400</v>
      </c>
      <c r="D362" s="6" cm="1">
        <f t="array" ref="D362">_xlfn.LET(
  _xlpm.aralık, Y362:BF362,
  _xlpm.ilk, MATCH(TRUE, _xlpm.aralık&lt;&gt;0, 0),
  _xlpm.son, MIN(_xlpm.ilk+2, COLUMNS(_xlpm.aralık)),
  MAX(INDEX(_xlpm.aralık, _xlpm.ilk):INDEX(_xlpm.aralık, _xlpm.son))
)</f>
        <v>103.2</v>
      </c>
      <c r="E362" s="6">
        <f t="shared" si="65"/>
        <v>103.1978709166667</v>
      </c>
      <c r="F362" s="6">
        <f t="shared" si="66"/>
        <v>0</v>
      </c>
      <c r="G362" s="6">
        <f t="shared" si="73"/>
        <v>103.19787091666667</v>
      </c>
      <c r="H362" s="7">
        <f t="shared" si="67"/>
        <v>-2.0630652454468952E-5</v>
      </c>
      <c r="I362" s="7">
        <f t="shared" si="68"/>
        <v>-1</v>
      </c>
      <c r="J362" s="7">
        <f t="shared" si="69"/>
        <v>-1</v>
      </c>
      <c r="K362" s="7">
        <f t="shared" si="74"/>
        <v>-2.0630652454744357E-5</v>
      </c>
      <c r="L362" s="5" t="s">
        <v>694</v>
      </c>
      <c r="M362" s="7">
        <f>IF(R362="",(VLOOKUP(A362,[1]Export!$B$2:$H$680,7,0)),"CHURN")</f>
        <v>0.21457960537333468</v>
      </c>
      <c r="N362" s="5">
        <f t="shared" si="75"/>
        <v>81.053712500000003</v>
      </c>
      <c r="O362" s="5">
        <f t="shared" si="76"/>
        <v>81.053712500000032</v>
      </c>
      <c r="P362" s="5">
        <f t="shared" si="77"/>
        <v>0</v>
      </c>
      <c r="Q362" s="5" t="s">
        <v>430</v>
      </c>
      <c r="T362" s="6" t="str" cm="1">
        <f t="array" ref="T362">IF(R362&lt;&gt;"Churn","",
 _xlfn.LET(
   _xlpm.rng,Y362:BF362,
   _xlpm.pos,MAX(IF((_xlpm.rng&lt;&gt;0)*(_xlpm.rng&lt;&gt;""),COLUMN(_xlpm.rng)-COLUMN(Y362)+1)),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2" s="6" t="str" cm="1">
        <f t="array" ref="U362">IF(R362="Churn",
   MAX(IF((Y362:BF362&lt;&gt;"")*(Y362:BF362&lt;&gt;0), COLUMN(Y362:BF362)-COLUMN(Y362)+1))
   -MATCH(1, --((Y362:BF362&lt;&gt;"")*(Y362:BF362&lt;&gt;0)), 0)
   +1,
"")</f>
        <v/>
      </c>
      <c r="V362" s="6" t="str" cm="1">
        <f t="array" ref="V362">IFERROR(
    IF(
        MATCH(2,1/((Y362:BF362&lt;&gt;0)*(Y362:BF362&lt;&gt;"")))-MATCH(1,INDEX((Y362:BF362&lt;&gt;0)*(Y362:BF362&lt;&gt;""),0),0)+1 &lt;= 12,
        "No",
        "Yes"
    ),
    "No"
)</f>
        <v>Yes</v>
      </c>
      <c r="W362" s="14" t="s">
        <v>705</v>
      </c>
      <c r="X362" s="6"/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103.2</v>
      </c>
      <c r="AI362" s="8">
        <v>103.2</v>
      </c>
      <c r="AJ362" s="8">
        <v>103.2</v>
      </c>
      <c r="AK362" s="8">
        <v>103.2</v>
      </c>
      <c r="AL362" s="8">
        <v>103.2</v>
      </c>
      <c r="AM362" s="8">
        <v>103.2</v>
      </c>
      <c r="AN362" s="8">
        <v>103.2</v>
      </c>
      <c r="AO362" s="8">
        <v>103.2</v>
      </c>
      <c r="AP362" s="8">
        <v>103.2</v>
      </c>
      <c r="AQ362" s="8">
        <v>103.2</v>
      </c>
      <c r="AR362" s="8">
        <v>103.2</v>
      </c>
      <c r="AS362" s="8">
        <v>103.2</v>
      </c>
      <c r="AT362" s="8">
        <v>99.999557083333329</v>
      </c>
      <c r="AU362" s="8">
        <v>99.999557083333329</v>
      </c>
      <c r="AV362" s="8">
        <v>99.999557083333329</v>
      </c>
      <c r="AW362" s="8">
        <v>99.999557083333329</v>
      </c>
      <c r="AX362" s="8">
        <v>99.999557083333329</v>
      </c>
      <c r="AY362" s="8">
        <v>99.999557083333329</v>
      </c>
      <c r="AZ362" s="8">
        <v>103.1978709166667</v>
      </c>
      <c r="BA362" s="8">
        <v>103.19787091666667</v>
      </c>
      <c r="BB362" s="8">
        <v>103.19787091666667</v>
      </c>
      <c r="BC362" s="8">
        <v>103.19787091666667</v>
      </c>
      <c r="BD362" s="8">
        <v>103.19787091666667</v>
      </c>
      <c r="BE362" s="8">
        <v>103.19787091666667</v>
      </c>
      <c r="BF362" s="8">
        <v>103.19787091666667</v>
      </c>
      <c r="BH362" s="8">
        <f t="shared" si="70"/>
        <v>309.60000000000002</v>
      </c>
      <c r="BI362" s="8">
        <f t="shared" si="71"/>
        <v>1228.7986712499999</v>
      </c>
      <c r="BJ362" s="8">
        <f t="shared" si="72"/>
        <v>1022.3837676666669</v>
      </c>
    </row>
    <row r="363" spans="1:62" x14ac:dyDescent="0.25">
      <c r="A363" s="9" t="s">
        <v>526</v>
      </c>
      <c r="B363" s="9" t="s">
        <v>644</v>
      </c>
      <c r="C363" s="10">
        <f>VLOOKUP(A363,'[2]Revenue_Engine_2025 Oct.25'!$C$14:G$3937,5,0)</f>
        <v>45688</v>
      </c>
      <c r="D363" s="6" cm="1">
        <f t="array" ref="D363">_xlfn.LET(
  _xlpm.aralık, Y363:BF363,
  _xlpm.ilk, MATCH(TRUE, _xlpm.aralık&lt;&gt;0, 0),
  _xlpm.son, MIN(_xlpm.ilk+2, COLUMNS(_xlpm.aralık)),
  MAX(INDEX(_xlpm.aralık, _xlpm.ilk):INDEX(_xlpm.aralık, _xlpm.son))
)</f>
        <v>115.20000008333334</v>
      </c>
      <c r="E363" s="6">
        <f t="shared" si="65"/>
        <v>0</v>
      </c>
      <c r="F363" s="6">
        <f t="shared" si="66"/>
        <v>0</v>
      </c>
      <c r="G363" s="6">
        <f t="shared" si="73"/>
        <v>103.183211</v>
      </c>
      <c r="H363" s="7">
        <f t="shared" si="67"/>
        <v>-1</v>
      </c>
      <c r="I363" s="7">
        <f t="shared" si="68"/>
        <v>-1</v>
      </c>
      <c r="J363" s="7" t="e">
        <f t="shared" si="69"/>
        <v>#DIV/0!</v>
      </c>
      <c r="K363" s="7">
        <f t="shared" si="74"/>
        <v>-0.10431240516181108</v>
      </c>
      <c r="L363" s="5" t="s">
        <v>694</v>
      </c>
      <c r="M363" s="7">
        <f>IF(R363="",(VLOOKUP(A363,[1]Export!$B$2:$H$680,7,0)),"CHURN")</f>
        <v>0.27089166666852421</v>
      </c>
      <c r="N363" s="5">
        <f t="shared" si="75"/>
        <v>75.231739000000005</v>
      </c>
      <c r="O363" s="5">
        <f t="shared" si="76"/>
        <v>0</v>
      </c>
      <c r="P363" s="5">
        <f t="shared" si="77"/>
        <v>0</v>
      </c>
      <c r="Q363" s="5" t="s">
        <v>430</v>
      </c>
      <c r="T363" s="6" t="str" cm="1">
        <f t="array" ref="T363">IF(R363&lt;&gt;"Churn","",
 _xlfn.LET(
   _xlpm.rng,Y363:BF363,
   _xlpm.pos,MAX(IF((_xlpm.rng&lt;&gt;0)*(_xlpm.rng&lt;&gt;""),COLUMN(_xlpm.rng)-COLUMN(Y363)+1)),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3" s="6" t="str" cm="1">
        <f t="array" ref="U363">IF(R363="Churn",
   MAX(IF((Y363:BF363&lt;&gt;"")*(Y363:BF363&lt;&gt;0), COLUMN(Y363:BF363)-COLUMN(Y363)+1))
   -MATCH(1, --((Y363:BF363&lt;&gt;"")*(Y363:BF363&lt;&gt;0)), 0)
   +1,
"")</f>
        <v/>
      </c>
      <c r="V363" s="14" t="s">
        <v>705</v>
      </c>
      <c r="W363" s="6" t="str" cm="1">
        <f t="array" ref="W363">IFERROR(
    IF(
        MATCH(2,1/((Y363:BF363&lt;&gt;0)*(Y363:BF363&lt;&gt;"")))-MATCH(1,INDEX((Y363:BF363&lt;&gt;0)*(Y363:BF363&lt;&gt;""),0),0)+1 &lt;= 24,
        "No",
        "Yes"
    ),
    "No"
)</f>
        <v>No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115.20000008333334</v>
      </c>
      <c r="AL363" s="8">
        <v>115.20000008333334</v>
      </c>
      <c r="AM363" s="8">
        <v>115.20000008333334</v>
      </c>
      <c r="AN363" s="8">
        <v>115.20000008333334</v>
      </c>
      <c r="AO363" s="8">
        <v>115.20000008333334</v>
      </c>
      <c r="AP363" s="8">
        <v>115.20000008333334</v>
      </c>
      <c r="AQ363" s="8">
        <v>115.20000008333334</v>
      </c>
      <c r="AR363" s="8">
        <v>115.20000008333334</v>
      </c>
      <c r="AS363" s="8">
        <v>115.20000008333334</v>
      </c>
      <c r="AT363" s="8">
        <v>115.20000008333334</v>
      </c>
      <c r="AU363" s="8">
        <v>115.20000008333334</v>
      </c>
      <c r="AV363" s="8">
        <v>115.20000008333334</v>
      </c>
      <c r="AW363" s="8">
        <v>103.183211</v>
      </c>
      <c r="AX363" s="8">
        <v>103.183211</v>
      </c>
      <c r="AY363" s="8">
        <v>103.183211</v>
      </c>
      <c r="AZ363" s="8">
        <v>103.18321100000001</v>
      </c>
      <c r="BA363" s="8">
        <v>103.183211</v>
      </c>
      <c r="BB363" s="8">
        <v>103.183211</v>
      </c>
      <c r="BC363" s="8">
        <v>103.183211</v>
      </c>
      <c r="BD363" s="8">
        <v>103.183211</v>
      </c>
      <c r="BE363" s="8">
        <v>103.183211</v>
      </c>
      <c r="BF363" s="8">
        <v>103.183211</v>
      </c>
      <c r="BH363" s="8">
        <f t="shared" si="70"/>
        <v>0</v>
      </c>
      <c r="BI363" s="8">
        <f t="shared" si="71"/>
        <v>1382.4000010000002</v>
      </c>
      <c r="BJ363" s="8">
        <f t="shared" si="72"/>
        <v>1031.8321100000001</v>
      </c>
    </row>
    <row r="364" spans="1:62" x14ac:dyDescent="0.25">
      <c r="A364" s="9" t="s">
        <v>527</v>
      </c>
      <c r="B364" s="9" t="s">
        <v>644</v>
      </c>
      <c r="C364" s="10">
        <f>VLOOKUP(A364,'[2]Revenue_Engine_2025 Oct.25'!$C$14:G$3937,5,0)</f>
        <v>45707</v>
      </c>
      <c r="D364" s="6" cm="1">
        <f t="array" ref="D364">_xlfn.LET(
  _xlpm.aralık, Y364:BF364,
  _xlpm.ilk, MATCH(TRUE, _xlpm.aralık&lt;&gt;0, 0),
  _xlpm.son, MIN(_xlpm.ilk+2, COLUMNS(_xlpm.aralık)),
  MAX(INDEX(_xlpm.aralık, _xlpm.ilk):INDEX(_xlpm.aralık, _xlpm.son))
)</f>
        <v>103</v>
      </c>
      <c r="E364" s="6">
        <f t="shared" si="65"/>
        <v>0</v>
      </c>
      <c r="F364" s="6">
        <f t="shared" si="66"/>
        <v>0</v>
      </c>
      <c r="G364" s="6">
        <f t="shared" si="73"/>
        <v>103</v>
      </c>
      <c r="H364" s="7">
        <f t="shared" si="67"/>
        <v>-1</v>
      </c>
      <c r="I364" s="7">
        <f t="shared" si="68"/>
        <v>-1</v>
      </c>
      <c r="J364" s="7" t="e">
        <f t="shared" si="69"/>
        <v>#DIV/0!</v>
      </c>
      <c r="K364" s="7">
        <f t="shared" si="74"/>
        <v>0</v>
      </c>
      <c r="L364" s="5" t="s">
        <v>694</v>
      </c>
      <c r="M364" s="7">
        <f>IF(R364="",(VLOOKUP(A364,[1]Export!$B$2:$H$680,7,0)),"CHURN")</f>
        <v>0.30215039805825245</v>
      </c>
      <c r="N364" s="5">
        <f t="shared" si="75"/>
        <v>71.878508999999994</v>
      </c>
      <c r="O364" s="5">
        <f t="shared" si="76"/>
        <v>0</v>
      </c>
      <c r="P364" s="5">
        <f t="shared" si="77"/>
        <v>0</v>
      </c>
      <c r="Q364" s="5" t="s">
        <v>430</v>
      </c>
      <c r="T364" s="6" t="str" cm="1">
        <f t="array" ref="T364">IF(R364&lt;&gt;"Churn","",
 _xlfn.LET(
   _xlpm.rng,Y364:BF364,
   _xlpm.pos,MAX(IF((_xlpm.rng&lt;&gt;0)*(_xlpm.rng&lt;&gt;""),COLUMN(_xlpm.rng)-COLUMN(Y364)+1)),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4" s="6" t="str" cm="1">
        <f t="array" ref="U364">IF(R364="Churn",
   MAX(IF((Y364:BF364&lt;&gt;"")*(Y364:BF364&lt;&gt;0), COLUMN(Y364:BF364)-COLUMN(Y364)+1))
   -MATCH(1, --((Y364:BF364&lt;&gt;"")*(Y364:BF364&lt;&gt;0)), 0)
   +1,
"")</f>
        <v/>
      </c>
      <c r="V364" s="6" t="str" cm="1">
        <f t="array" ref="V364">IFERROR(
    IF(
        MATCH(2,1/((Y364:BF364&lt;&gt;0)*(Y364:BF364&lt;&gt;"")))-MATCH(1,INDEX((Y364:BF364&lt;&gt;0)*(Y364:BF364&lt;&gt;""),0),0)+1 &lt;= 12,
        "No",
        "Yes"
    ),
    "No"
)</f>
        <v>No</v>
      </c>
      <c r="W364" s="6" t="str" cm="1">
        <f t="array" ref="W364">IFERROR(
    IF(
        MATCH(2,1/((Y364:BF364&lt;&gt;0)*(Y364:BF364&lt;&gt;"")))-MATCH(1,INDEX((Y364:BF364&lt;&gt;0)*(Y364:BF364&lt;&gt;""),0),0)+1 &lt;= 24,
        "No",
        "Yes"
    ),
    "No"
)</f>
        <v>No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103</v>
      </c>
      <c r="AY364" s="8">
        <v>103</v>
      </c>
      <c r="AZ364" s="8">
        <v>103</v>
      </c>
      <c r="BA364" s="8">
        <v>103</v>
      </c>
      <c r="BB364" s="8">
        <v>103</v>
      </c>
      <c r="BC364" s="8">
        <v>103</v>
      </c>
      <c r="BD364" s="8">
        <v>103</v>
      </c>
      <c r="BE364" s="8">
        <v>103</v>
      </c>
      <c r="BF364" s="8">
        <v>103</v>
      </c>
      <c r="BH364" s="8">
        <f t="shared" si="70"/>
        <v>0</v>
      </c>
      <c r="BI364" s="8">
        <f t="shared" si="71"/>
        <v>0</v>
      </c>
      <c r="BJ364" s="8">
        <f t="shared" si="72"/>
        <v>927</v>
      </c>
    </row>
    <row r="365" spans="1:62" x14ac:dyDescent="0.25">
      <c r="A365" s="9" t="s">
        <v>287</v>
      </c>
      <c r="B365" s="9" t="s">
        <v>644</v>
      </c>
      <c r="C365" s="10">
        <f>VLOOKUP(A365,'[2]Revenue_Engine_2025 Oct.25'!$C$14:G$3937,5,0)</f>
        <v>45412</v>
      </c>
      <c r="D365" s="6" cm="1">
        <f t="array" ref="D365">_xlfn.LET(
  _xlpm.aralık, Y365:BF365,
  _xlpm.ilk, MATCH(TRUE, _xlpm.aralık&lt;&gt;0, 0),
  _xlpm.son, MIN(_xlpm.ilk+2, COLUMNS(_xlpm.aralık)),
  MAX(INDEX(_xlpm.aralık, _xlpm.ilk):INDEX(_xlpm.aralık, _xlpm.son))
)</f>
        <v>86.000461416666667</v>
      </c>
      <c r="E365" s="6">
        <f t="shared" si="65"/>
        <v>102.99941425</v>
      </c>
      <c r="F365" s="6">
        <f t="shared" si="66"/>
        <v>0</v>
      </c>
      <c r="G365" s="6">
        <f t="shared" si="73"/>
        <v>102.99941425</v>
      </c>
      <c r="H365" s="7">
        <f t="shared" si="67"/>
        <v>0.19766118173453173</v>
      </c>
      <c r="I365" s="7">
        <f t="shared" si="68"/>
        <v>-1</v>
      </c>
      <c r="J365" s="7">
        <f t="shared" si="69"/>
        <v>-1</v>
      </c>
      <c r="K365" s="7">
        <f t="shared" si="74"/>
        <v>0.19766118173453173</v>
      </c>
      <c r="L365" s="5" t="s">
        <v>694</v>
      </c>
      <c r="M365" s="7">
        <f>IF(R365="",(VLOOKUP(A365,[1]Export!$B$2:$H$680,7,0)),"CHURN")</f>
        <v>0.30213871256716068</v>
      </c>
      <c r="N365" s="5">
        <f t="shared" si="75"/>
        <v>71.879303833333339</v>
      </c>
      <c r="O365" s="5">
        <f t="shared" si="76"/>
        <v>71.879303833333339</v>
      </c>
      <c r="P365" s="5">
        <f t="shared" si="77"/>
        <v>0</v>
      </c>
      <c r="Q365" s="5" t="s">
        <v>430</v>
      </c>
      <c r="T365" s="6" t="str" cm="1">
        <f t="array" ref="T365">IF(R365&lt;&gt;"Churn","",
 _xlfn.LET(
   _xlpm.rng,Y365:BF365,
   _xlpm.pos,MAX(IF((_xlpm.rng&lt;&gt;0)*(_xlpm.rng&lt;&gt;""),COLUMN(_xlpm.rng)-COLUMN(Y365)+1)),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5" s="6" t="str" cm="1">
        <f t="array" ref="U365">IF(R365="Churn",
   MAX(IF((Y365:BF365&lt;&gt;"")*(Y365:BF365&lt;&gt;0), COLUMN(Y365:BF365)-COLUMN(Y365)+1))
   -MATCH(1, --((Y365:BF365&lt;&gt;"")*(Y365:BF365&lt;&gt;0)), 0)
   +1,
"")</f>
        <v/>
      </c>
      <c r="V365" s="6" t="str" cm="1">
        <f t="array" ref="V365">IFERROR(
    IF(
        MATCH(2,1/((Y365:BF365&lt;&gt;0)*(Y365:BF365&lt;&gt;"")))-MATCH(1,INDEX((Y365:BF365&lt;&gt;0)*(Y365:BF365&lt;&gt;""),0),0)+1 &lt;= 12,
        "No",
        "Yes"
    ),
    "No"
)</f>
        <v>Yes</v>
      </c>
      <c r="W365" s="6" t="str" cm="1">
        <f t="array" ref="W365">IFERROR(
    IF(
        MATCH(2,1/((Y365:BF365&lt;&gt;0)*(Y365:BF365&lt;&gt;"")))-MATCH(1,INDEX((Y365:BF365&lt;&gt;0)*(Y365:BF365&lt;&gt;""),0),0)+1 &lt;= 24,
        "No",
        "Yes"
    ),
    "No"
)</f>
        <v>No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86.000461416666667</v>
      </c>
      <c r="AO365" s="8">
        <v>86.000461416666667</v>
      </c>
      <c r="AP365" s="8">
        <v>86.000461416666667</v>
      </c>
      <c r="AQ365" s="8">
        <v>86.000461416666667</v>
      </c>
      <c r="AR365" s="8">
        <v>86.000461416666667</v>
      </c>
      <c r="AS365" s="8">
        <v>86.000461416666667</v>
      </c>
      <c r="AT365" s="8">
        <v>86.000461416666667</v>
      </c>
      <c r="AU365" s="8">
        <v>86.000461416666667</v>
      </c>
      <c r="AV365" s="8">
        <v>86.000461416666667</v>
      </c>
      <c r="AW365" s="8">
        <v>86.000461416666667</v>
      </c>
      <c r="AX365" s="8">
        <v>86.000461416666667</v>
      </c>
      <c r="AY365" s="8">
        <v>86.000461416666667</v>
      </c>
      <c r="AZ365" s="8">
        <v>102.99941425</v>
      </c>
      <c r="BA365" s="8">
        <v>102.99941425</v>
      </c>
      <c r="BB365" s="8">
        <v>102.99941425</v>
      </c>
      <c r="BC365" s="8">
        <v>102.99941425</v>
      </c>
      <c r="BD365" s="8">
        <v>102.99941425</v>
      </c>
      <c r="BE365" s="8">
        <v>102.99941425</v>
      </c>
      <c r="BF365" s="8">
        <v>102.99941425</v>
      </c>
      <c r="BH365" s="8">
        <f t="shared" si="70"/>
        <v>0</v>
      </c>
      <c r="BI365" s="8">
        <f t="shared" si="71"/>
        <v>774.00415275</v>
      </c>
      <c r="BJ365" s="8">
        <f t="shared" si="72"/>
        <v>978.99728399999981</v>
      </c>
    </row>
    <row r="366" spans="1:62" x14ac:dyDescent="0.25">
      <c r="A366" s="9" t="s">
        <v>528</v>
      </c>
      <c r="B366" s="9" t="s">
        <v>644</v>
      </c>
      <c r="C366" s="10">
        <f>VLOOKUP(A366,'[2]Revenue_Engine_2025 Oct.25'!$C$14:G$3937,5,0)</f>
        <v>45758</v>
      </c>
      <c r="D366" s="6" cm="1">
        <f t="array" ref="D366">_xlfn.LET(
  _xlpm.aralık, Y366:BF366,
  _xlpm.ilk, MATCH(TRUE, _xlpm.aralık&lt;&gt;0, 0),
  _xlpm.son, MIN(_xlpm.ilk+2, COLUMNS(_xlpm.aralık)),
  MAX(INDEX(_xlpm.aralık, _xlpm.ilk):INDEX(_xlpm.aralık, _xlpm.son))
)</f>
        <v>102.99921575</v>
      </c>
      <c r="E366" s="6">
        <f t="shared" si="65"/>
        <v>0</v>
      </c>
      <c r="F366" s="6">
        <f t="shared" si="66"/>
        <v>0</v>
      </c>
      <c r="G366" s="6">
        <f t="shared" si="73"/>
        <v>102.99921575</v>
      </c>
      <c r="H366" s="7">
        <f t="shared" si="67"/>
        <v>-1</v>
      </c>
      <c r="I366" s="7">
        <f t="shared" si="68"/>
        <v>-1</v>
      </c>
      <c r="J366" s="7" t="e">
        <f t="shared" si="69"/>
        <v>#DIV/0!</v>
      </c>
      <c r="K366" s="7">
        <f t="shared" si="74"/>
        <v>0</v>
      </c>
      <c r="L366" s="5" t="s">
        <v>694</v>
      </c>
      <c r="M366" s="7">
        <f>IF(R366="",(VLOOKUP(A366,[1]Export!$B$2:$H$680,7,0)),"CHURN")</f>
        <v>0.30215270190863885</v>
      </c>
      <c r="N366" s="5">
        <f t="shared" si="75"/>
        <v>71.877724416666666</v>
      </c>
      <c r="O366" s="5">
        <f t="shared" si="76"/>
        <v>0</v>
      </c>
      <c r="P366" s="5">
        <f t="shared" si="77"/>
        <v>0</v>
      </c>
      <c r="Q366" s="5" t="s">
        <v>430</v>
      </c>
      <c r="T366" s="6" t="str" cm="1">
        <f t="array" ref="T366">IF(R366&lt;&gt;"Churn","",
 _xlfn.LET(
   _xlpm.rng,Y366:BF366,
   _xlpm.pos,MAX(IF((_xlpm.rng&lt;&gt;0)*(_xlpm.rng&lt;&gt;""),COLUMN(_xlpm.rng)-COLUMN(Y366)+1)),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6" s="6" t="str" cm="1">
        <f t="array" ref="U366">IF(R366="Churn",
   MAX(IF((Y366:BF366&lt;&gt;"")*(Y366:BF366&lt;&gt;0), COLUMN(Y366:BF366)-COLUMN(Y366)+1))
   -MATCH(1, --((Y366:BF366&lt;&gt;"")*(Y366:BF366&lt;&gt;0)), 0)
   +1,
"")</f>
        <v/>
      </c>
      <c r="V366" s="6" t="str" cm="1">
        <f t="array" ref="V366">IFERROR(
    IF(
        MATCH(2,1/((Y366:BF366&lt;&gt;0)*(Y366:BF366&lt;&gt;"")))-MATCH(1,INDEX((Y366:BF366&lt;&gt;0)*(Y366:BF366&lt;&gt;""),0),0)+1 &lt;= 12,
        "No",
        "Yes"
    ),
    "No"
)</f>
        <v>No</v>
      </c>
      <c r="W366" s="6" t="str" cm="1">
        <f t="array" ref="W366">IFERROR(
    IF(
        MATCH(2,1/((Y366:BF366&lt;&gt;0)*(Y366:BF366&lt;&gt;"")))-MATCH(1,INDEX((Y366:BF366&lt;&gt;0)*(Y366:BF366&lt;&gt;""),0),0)+1 &lt;= 24,
        "No",
        "Yes"
    ),
    "No"
)</f>
        <v>No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102.99921575</v>
      </c>
      <c r="BA366" s="8">
        <v>102.99921575</v>
      </c>
      <c r="BB366" s="8">
        <v>102.99921575</v>
      </c>
      <c r="BC366" s="8">
        <v>102.99921575</v>
      </c>
      <c r="BD366" s="8">
        <v>102.99921575</v>
      </c>
      <c r="BE366" s="8">
        <v>102.99921575</v>
      </c>
      <c r="BF366" s="8">
        <v>102.99921575</v>
      </c>
      <c r="BH366" s="8">
        <f t="shared" si="70"/>
        <v>0</v>
      </c>
      <c r="BI366" s="8">
        <f t="shared" si="71"/>
        <v>0</v>
      </c>
      <c r="BJ366" s="8">
        <f t="shared" si="72"/>
        <v>720.99451024999996</v>
      </c>
    </row>
    <row r="367" spans="1:62" x14ac:dyDescent="0.25">
      <c r="A367" s="9" t="s">
        <v>529</v>
      </c>
      <c r="B367" s="9" t="s">
        <v>644</v>
      </c>
      <c r="C367" s="10">
        <f>VLOOKUP(A367,'[2]Revenue_Engine_2025 Oct.25'!$C$14:G$3937,5,0)</f>
        <v>45775</v>
      </c>
      <c r="D367" s="6" cm="1">
        <f t="array" ref="D367">_xlfn.LET(
  _xlpm.aralık, Y367:BF367,
  _xlpm.ilk, MATCH(TRUE, _xlpm.aralık&lt;&gt;0, 0),
  _xlpm.son, MIN(_xlpm.ilk+2, COLUMNS(_xlpm.aralık)),
  MAX(INDEX(_xlpm.aralık, _xlpm.ilk):INDEX(_xlpm.aralık, _xlpm.son))
)</f>
        <v>102.99908624999999</v>
      </c>
      <c r="E367" s="6">
        <f t="shared" si="65"/>
        <v>0</v>
      </c>
      <c r="F367" s="6">
        <f t="shared" si="66"/>
        <v>0</v>
      </c>
      <c r="G367" s="6">
        <f t="shared" si="73"/>
        <v>102.99908624999999</v>
      </c>
      <c r="H367" s="7">
        <f t="shared" si="67"/>
        <v>-1</v>
      </c>
      <c r="I367" s="7">
        <f t="shared" si="68"/>
        <v>-1</v>
      </c>
      <c r="J367" s="7" t="e">
        <f t="shared" si="69"/>
        <v>#DIV/0!</v>
      </c>
      <c r="K367" s="7">
        <f t="shared" si="74"/>
        <v>0</v>
      </c>
      <c r="L367" s="5" t="s">
        <v>694</v>
      </c>
      <c r="M367" s="7">
        <f>IF(R367="",(VLOOKUP(A367,[1]Export!$B$2:$H$680,7,0)),"CHURN")</f>
        <v>0.30215308180302747</v>
      </c>
      <c r="N367" s="5">
        <f t="shared" si="75"/>
        <v>71.877594916666666</v>
      </c>
      <c r="O367" s="5">
        <f t="shared" si="76"/>
        <v>0</v>
      </c>
      <c r="P367" s="5">
        <f t="shared" si="77"/>
        <v>0</v>
      </c>
      <c r="Q367" s="5" t="s">
        <v>430</v>
      </c>
      <c r="T367" s="6" t="str" cm="1">
        <f t="array" ref="T367">IF(R367&lt;&gt;"Churn","",
 _xlfn.LET(
   _xlpm.rng,Y367:BF367,
   _xlpm.pos,MAX(IF((_xlpm.rng&lt;&gt;0)*(_xlpm.rng&lt;&gt;""),COLUMN(_xlpm.rng)-COLUMN(Y367)+1)),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7" s="6" t="str" cm="1">
        <f t="array" ref="U367">IF(R367="Churn",
   MAX(IF((Y367:BF367&lt;&gt;"")*(Y367:BF367&lt;&gt;0), COLUMN(Y367:BF367)-COLUMN(Y367)+1))
   -MATCH(1, --((Y367:BF367&lt;&gt;"")*(Y367:BF367&lt;&gt;0)), 0)
   +1,
"")</f>
        <v/>
      </c>
      <c r="V367" s="6" t="str" cm="1">
        <f t="array" ref="V367">IFERROR(
    IF(
        MATCH(2,1/((Y367:BF367&lt;&gt;0)*(Y367:BF367&lt;&gt;"")))-MATCH(1,INDEX((Y367:BF367&lt;&gt;0)*(Y367:BF367&lt;&gt;""),0),0)+1 &lt;= 12,
        "No",
        "Yes"
    ),
    "No"
)</f>
        <v>No</v>
      </c>
      <c r="W367" s="6" t="str" cm="1">
        <f t="array" ref="W367">IFERROR(
    IF(
        MATCH(2,1/((Y367:BF367&lt;&gt;0)*(Y367:BF367&lt;&gt;"")))-MATCH(1,INDEX((Y367:BF367&lt;&gt;0)*(Y367:BF367&lt;&gt;""),0),0)+1 &lt;= 24,
        "No",
        "Yes"
    ),
    "No"
)</f>
        <v>No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102.99908624999999</v>
      </c>
      <c r="BA367" s="8">
        <v>102.99908624999999</v>
      </c>
      <c r="BB367" s="8">
        <v>102.99908624999999</v>
      </c>
      <c r="BC367" s="8">
        <v>102.99908624999999</v>
      </c>
      <c r="BD367" s="8">
        <v>102.99908624999999</v>
      </c>
      <c r="BE367" s="8">
        <v>102.99908624999999</v>
      </c>
      <c r="BF367" s="8">
        <v>102.99908624999999</v>
      </c>
      <c r="BH367" s="8">
        <f t="shared" si="70"/>
        <v>0</v>
      </c>
      <c r="BI367" s="8">
        <f t="shared" si="71"/>
        <v>0</v>
      </c>
      <c r="BJ367" s="8">
        <f t="shared" si="72"/>
        <v>720.99360374999992</v>
      </c>
    </row>
    <row r="368" spans="1:62" x14ac:dyDescent="0.25">
      <c r="A368" s="9" t="s">
        <v>339</v>
      </c>
      <c r="B368" s="9" t="s">
        <v>644</v>
      </c>
      <c r="C368" s="10">
        <f>VLOOKUP(A368,'[2]Revenue_Engine_2025 Oct.25'!$C$14:G$3937,5,0)</f>
        <v>45219</v>
      </c>
      <c r="D368" s="6" cm="1">
        <f t="array" ref="D368">_xlfn.LET(
  _xlpm.aralık, Y368:BF368,
  _xlpm.ilk, MATCH(TRUE, _xlpm.aralık&lt;&gt;0, 0),
  _xlpm.son, MIN(_xlpm.ilk+2, COLUMNS(_xlpm.aralık)),
  MAX(INDEX(_xlpm.aralık, _xlpm.ilk):INDEX(_xlpm.aralık, _xlpm.son))
)</f>
        <v>99.333333333333329</v>
      </c>
      <c r="E368" s="6">
        <f t="shared" si="65"/>
        <v>99.33</v>
      </c>
      <c r="F368" s="6">
        <f t="shared" si="66"/>
        <v>102.32954608333334</v>
      </c>
      <c r="G368" s="6">
        <f t="shared" si="73"/>
        <v>102.32954608333334</v>
      </c>
      <c r="H368" s="7">
        <f t="shared" si="67"/>
        <v>-3.3557046979835255E-5</v>
      </c>
      <c r="I368" s="7">
        <f t="shared" si="68"/>
        <v>3.0163215604026971E-2</v>
      </c>
      <c r="J368" s="7">
        <f t="shared" si="69"/>
        <v>3.0197785999530279E-2</v>
      </c>
      <c r="K368" s="7">
        <f t="shared" si="74"/>
        <v>3.0163215604026971E-2</v>
      </c>
      <c r="L368" s="5" t="s">
        <v>694</v>
      </c>
      <c r="M368" s="7">
        <f>IF(R368="",(VLOOKUP(A368,[1]Export!$B$2:$H$680,7,0)),"CHURN")</f>
        <v>0.31015355174956549</v>
      </c>
      <c r="N368" s="5">
        <f t="shared" si="75"/>
        <v>70.591673916666664</v>
      </c>
      <c r="O368" s="5">
        <f t="shared" si="76"/>
        <v>68.52244770471566</v>
      </c>
      <c r="P368" s="5">
        <f t="shared" si="77"/>
        <v>70.591673916666664</v>
      </c>
      <c r="Q368" s="5" t="s">
        <v>430</v>
      </c>
      <c r="T368" s="6" t="str" cm="1">
        <f t="array" ref="T368">IF(R368&lt;&gt;"Churn","",
 _xlfn.LET(
   _xlpm.rng,Y368:BF368,
   _xlpm.pos,MAX(IF((_xlpm.rng&lt;&gt;0)*(_xlpm.rng&lt;&gt;""),COLUMN(_xlpm.rng)-COLUMN(Y368)+1)),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8" s="6" t="str" cm="1">
        <f t="array" ref="U368">IF(R368="Churn",
   MAX(IF((Y368:BF368&lt;&gt;"")*(Y368:BF368&lt;&gt;0), COLUMN(Y368:BF368)-COLUMN(Y368)+1))
   -MATCH(1, --((Y368:BF368&lt;&gt;"")*(Y368:BF368&lt;&gt;0)), 0)
   +1,
"")</f>
        <v/>
      </c>
      <c r="V368" s="6" t="str" cm="1">
        <f t="array" ref="V368">IFERROR(
    IF(
        MATCH(2,1/((Y368:BF368&lt;&gt;0)*(Y368:BF368&lt;&gt;"")))-MATCH(1,INDEX((Y368:BF368&lt;&gt;0)*(Y368:BF368&lt;&gt;""),0),0)+1 &lt;= 12,
        "No",
        "Yes"
    ),
    "No"
)</f>
        <v>Yes</v>
      </c>
      <c r="W368" s="6" t="str" cm="1">
        <f t="array" ref="W368">IFERROR(
    IF(
        MATCH(2,1/((Y368:BF368&lt;&gt;0)*(Y368:BF368&lt;&gt;"")))-MATCH(1,INDEX((Y368:BF368&lt;&gt;0)*(Y368:BF368&lt;&gt;""),0),0)+1 &lt;= 24,
        "No",
        "Yes"
    ),
    "No"
)</f>
        <v>Yes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99.333333333333329</v>
      </c>
      <c r="AI368" s="8">
        <v>99.333333333333329</v>
      </c>
      <c r="AJ368" s="8">
        <v>99.333333333333329</v>
      </c>
      <c r="AK368" s="8">
        <v>99.333333333333329</v>
      </c>
      <c r="AL368" s="8">
        <v>99.333333333333329</v>
      </c>
      <c r="AM368" s="8">
        <v>99.333333333333329</v>
      </c>
      <c r="AN368" s="8">
        <v>99.333333333333329</v>
      </c>
      <c r="AO368" s="8">
        <v>99.333333333333329</v>
      </c>
      <c r="AP368" s="8">
        <v>99.333333333333329</v>
      </c>
      <c r="AQ368" s="8">
        <v>99.333333333333329</v>
      </c>
      <c r="AR368" s="8">
        <v>99.333333333333329</v>
      </c>
      <c r="AS368" s="8">
        <v>99.333333333333329</v>
      </c>
      <c r="AT368" s="8">
        <v>99.33</v>
      </c>
      <c r="AU368" s="8">
        <v>99.33</v>
      </c>
      <c r="AV368" s="8">
        <v>99.33</v>
      </c>
      <c r="AW368" s="8">
        <v>99.33</v>
      </c>
      <c r="AX368" s="8">
        <v>102.33</v>
      </c>
      <c r="AY368" s="8">
        <v>102.33</v>
      </c>
      <c r="AZ368" s="8">
        <v>102.33</v>
      </c>
      <c r="BA368" s="8">
        <v>102.33</v>
      </c>
      <c r="BB368" s="8">
        <v>102.33</v>
      </c>
      <c r="BC368" s="8">
        <v>102.33</v>
      </c>
      <c r="BD368" s="8">
        <v>102.33</v>
      </c>
      <c r="BE368" s="8">
        <v>102.33</v>
      </c>
      <c r="BF368" s="8">
        <v>102.32954608333334</v>
      </c>
      <c r="BH368" s="8">
        <f t="shared" si="70"/>
        <v>298</v>
      </c>
      <c r="BI368" s="8">
        <f t="shared" si="71"/>
        <v>1191.99</v>
      </c>
      <c r="BJ368" s="8">
        <f t="shared" si="72"/>
        <v>1020.2995460833334</v>
      </c>
    </row>
    <row r="369" spans="1:62" x14ac:dyDescent="0.25">
      <c r="A369" s="9" t="s">
        <v>264</v>
      </c>
      <c r="B369" s="9" t="s">
        <v>644</v>
      </c>
      <c r="C369" s="10">
        <f>VLOOKUP(A369,'[2]Revenue_Engine_2025 Oct.25'!$C$14:G$3937,5,0)</f>
        <v>45317</v>
      </c>
      <c r="D369" s="6" cm="1">
        <f t="array" ref="D369">_xlfn.LET(
  _xlpm.aralık, Y369:BF369,
  _xlpm.ilk, MATCH(TRUE, _xlpm.aralık&lt;&gt;0, 0),
  _xlpm.son, MIN(_xlpm.ilk+2, COLUMNS(_xlpm.aralık)),
  MAX(INDEX(_xlpm.aralık, _xlpm.ilk):INDEX(_xlpm.aralık, _xlpm.son))
)</f>
        <v>119.20039174999998</v>
      </c>
      <c r="E369" s="6">
        <f t="shared" si="65"/>
        <v>101.82819649999999</v>
      </c>
      <c r="F369" s="6">
        <f t="shared" si="66"/>
        <v>0</v>
      </c>
      <c r="G369" s="6">
        <f t="shared" si="73"/>
        <v>101.82819649999999</v>
      </c>
      <c r="H369" s="7">
        <f t="shared" si="67"/>
        <v>-0.14573941406530649</v>
      </c>
      <c r="I369" s="7">
        <f t="shared" si="68"/>
        <v>-1</v>
      </c>
      <c r="J369" s="7">
        <f t="shared" si="69"/>
        <v>-1</v>
      </c>
      <c r="K369" s="7">
        <f t="shared" si="74"/>
        <v>-0.14573941406530649</v>
      </c>
      <c r="L369" s="5" t="s">
        <v>694</v>
      </c>
      <c r="M369" s="7">
        <f>IF(R369="",(VLOOKUP(A369,[1]Export!$B$2:$H$680,7,0)),"CHURN")</f>
        <v>0.31150695246445481</v>
      </c>
      <c r="N369" s="5">
        <f t="shared" si="75"/>
        <v>70.108005333333324</v>
      </c>
      <c r="O369" s="5">
        <f t="shared" si="76"/>
        <v>70.108005333333324</v>
      </c>
      <c r="P369" s="5">
        <f t="shared" si="77"/>
        <v>0</v>
      </c>
      <c r="Q369" s="5" t="s">
        <v>430</v>
      </c>
      <c r="T369" s="6" t="str" cm="1">
        <f t="array" ref="T369">IF(R369&lt;&gt;"Churn","",
 _xlfn.LET(
   _xlpm.rng,Y369:BF369,
   _xlpm.pos,MAX(IF((_xlpm.rng&lt;&gt;0)*(_xlpm.rng&lt;&gt;""),COLUMN(_xlpm.rng)-COLUMN(Y369)+1)),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69" s="6" t="str" cm="1">
        <f t="array" ref="U369">IF(R369="Churn",
   MAX(IF((Y369:BF369&lt;&gt;"")*(Y369:BF369&lt;&gt;0), COLUMN(Y369:BF369)-COLUMN(Y369)+1))
   -MATCH(1, --((Y369:BF369&lt;&gt;"")*(Y369:BF369&lt;&gt;0)), 0)
   +1,
"")</f>
        <v/>
      </c>
      <c r="V369" s="6" t="str" cm="1">
        <f t="array" ref="V369">IFERROR(
    IF(
        MATCH(2,1/((Y369:BF369&lt;&gt;0)*(Y369:BF369&lt;&gt;"")))-MATCH(1,INDEX((Y369:BF369&lt;&gt;0)*(Y369:BF369&lt;&gt;""),0),0)+1 &lt;= 12,
        "No",
        "Yes"
    ),
    "No"
)</f>
        <v>Yes</v>
      </c>
      <c r="W369" s="6" t="str" cm="1">
        <f t="array" ref="W369">IFERROR(
    IF(
        MATCH(2,1/((Y369:BF369&lt;&gt;0)*(Y369:BF369&lt;&gt;"")))-MATCH(1,INDEX((Y369:BF369&lt;&gt;0)*(Y369:BF369&lt;&gt;""),0),0)+1 &lt;= 24,
        "No",
        "Yes"
    ),
    "No"
)</f>
        <v>No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119.20039174999998</v>
      </c>
      <c r="AL369" s="8">
        <v>119.20039174999998</v>
      </c>
      <c r="AM369" s="8">
        <v>119.20039174999998</v>
      </c>
      <c r="AN369" s="8">
        <v>119.20039174999998</v>
      </c>
      <c r="AO369" s="8">
        <v>119.20039174999998</v>
      </c>
      <c r="AP369" s="8">
        <v>119.20039174999998</v>
      </c>
      <c r="AQ369" s="8">
        <v>119.20039174999998</v>
      </c>
      <c r="AR369" s="8">
        <v>119.20039174999998</v>
      </c>
      <c r="AS369" s="8">
        <v>119.20039174999998</v>
      </c>
      <c r="AT369" s="8">
        <v>119.20039174999998</v>
      </c>
      <c r="AU369" s="8">
        <v>119.20039174999998</v>
      </c>
      <c r="AV369" s="8">
        <v>119.20039174999998</v>
      </c>
      <c r="AW369" s="8">
        <v>101.82819649999999</v>
      </c>
      <c r="AX369" s="8">
        <v>101.82819649999999</v>
      </c>
      <c r="AY369" s="8">
        <v>101.82819649999999</v>
      </c>
      <c r="AZ369" s="8">
        <v>101.82819649999999</v>
      </c>
      <c r="BA369" s="8">
        <v>101.82819649999999</v>
      </c>
      <c r="BB369" s="8">
        <v>101.82819649999999</v>
      </c>
      <c r="BC369" s="8">
        <v>101.82819649999999</v>
      </c>
      <c r="BD369" s="8">
        <v>101.82819649999999</v>
      </c>
      <c r="BE369" s="8">
        <v>101.82819649999999</v>
      </c>
      <c r="BF369" s="8">
        <v>101.82819649999999</v>
      </c>
      <c r="BH369" s="8">
        <f t="shared" si="70"/>
        <v>0</v>
      </c>
      <c r="BI369" s="8">
        <f t="shared" si="71"/>
        <v>1430.4047009999995</v>
      </c>
      <c r="BJ369" s="8">
        <f t="shared" si="72"/>
        <v>1018.2819649999999</v>
      </c>
    </row>
    <row r="370" spans="1:62" x14ac:dyDescent="0.25">
      <c r="A370" s="9" t="s">
        <v>530</v>
      </c>
      <c r="B370" s="9" t="s">
        <v>644</v>
      </c>
      <c r="C370" s="10">
        <f>VLOOKUP(A370,'[2]Revenue_Engine_2025 Oct.25'!$C$14:G$3937,5,0)</f>
        <v>45644</v>
      </c>
      <c r="D370" s="6" cm="1">
        <f t="array" ref="D370">_xlfn.LET(
  _xlpm.aralık, Y370:BF370,
  _xlpm.ilk, MATCH(TRUE, _xlpm.aralık&lt;&gt;0, 0),
  _xlpm.son, MIN(_xlpm.ilk+2, COLUMNS(_xlpm.aralık)),
  MAX(INDEX(_xlpm.aralık, _xlpm.ilk):INDEX(_xlpm.aralık, _xlpm.son))
)</f>
        <v>100.00088591666666</v>
      </c>
      <c r="E370" s="6">
        <f t="shared" si="65"/>
        <v>0</v>
      </c>
      <c r="F370" s="6">
        <f t="shared" si="66"/>
        <v>0</v>
      </c>
      <c r="G370" s="6">
        <f t="shared" si="73"/>
        <v>100.00088591666666</v>
      </c>
      <c r="H370" s="7">
        <f t="shared" si="67"/>
        <v>-1</v>
      </c>
      <c r="I370" s="7">
        <f t="shared" si="68"/>
        <v>-1</v>
      </c>
      <c r="J370" s="7" t="e">
        <f t="shared" si="69"/>
        <v>#DIV/0!</v>
      </c>
      <c r="K370" s="7">
        <f t="shared" si="74"/>
        <v>0</v>
      </c>
      <c r="L370" s="5" t="s">
        <v>694</v>
      </c>
      <c r="M370" s="7">
        <f>IF(R370="",(VLOOKUP(A370,[1]Export!$B$2:$H$680,7,0)),"CHURN")</f>
        <v>0.3195301217293966</v>
      </c>
      <c r="N370" s="5">
        <f t="shared" si="75"/>
        <v>68.04759066666665</v>
      </c>
      <c r="O370" s="5">
        <f t="shared" si="76"/>
        <v>0</v>
      </c>
      <c r="P370" s="5">
        <f t="shared" si="77"/>
        <v>0</v>
      </c>
      <c r="Q370" s="5" t="s">
        <v>430</v>
      </c>
      <c r="T370" s="6" t="str" cm="1">
        <f t="array" ref="T370">IF(R370&lt;&gt;"Churn","",
 _xlfn.LET(
   _xlpm.rng,Y370:BF370,
   _xlpm.pos,MAX(IF((_xlpm.rng&lt;&gt;0)*(_xlpm.rng&lt;&gt;""),COLUMN(_xlpm.rng)-COLUMN(Y370)+1)),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0" s="6" t="str" cm="1">
        <f t="array" ref="U370">IF(R370="Churn",
   MAX(IF((Y370:BF370&lt;&gt;"")*(Y370:BF370&lt;&gt;0), COLUMN(Y370:BF370)-COLUMN(Y370)+1))
   -MATCH(1, --((Y370:BF370&lt;&gt;"")*(Y370:BF370&lt;&gt;0)), 0)
   +1,
"")</f>
        <v/>
      </c>
      <c r="V370" s="6" t="str" cm="1">
        <f t="array" ref="V370">IFERROR(
    IF(
        MATCH(2,1/((Y370:BF370&lt;&gt;0)*(Y370:BF370&lt;&gt;"")))-MATCH(1,INDEX((Y370:BF370&lt;&gt;0)*(Y370:BF370&lt;&gt;""),0),0)+1 &lt;= 12,
        "No",
        "Yes"
    ),
    "No"
)</f>
        <v>No</v>
      </c>
      <c r="W370" s="6" t="str" cm="1">
        <f t="array" ref="W370">IFERROR(
    IF(
        MATCH(2,1/((Y370:BF370&lt;&gt;0)*(Y370:BF370&lt;&gt;"")))-MATCH(1,INDEX((Y370:BF370&lt;&gt;0)*(Y370:BF370&lt;&gt;""),0),0)+1 &lt;= 24,
        "No",
        "Yes"
    ),
    "No"
)</f>
        <v>No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100.00088591666666</v>
      </c>
      <c r="AW370" s="8">
        <v>100.00088591666666</v>
      </c>
      <c r="AX370" s="8">
        <v>100.00088591666666</v>
      </c>
      <c r="AY370" s="8">
        <v>100.00088591666666</v>
      </c>
      <c r="AZ370" s="8">
        <v>100.00088591666666</v>
      </c>
      <c r="BA370" s="8">
        <v>100.00088591666666</v>
      </c>
      <c r="BB370" s="8">
        <v>100.00088591666666</v>
      </c>
      <c r="BC370" s="8">
        <v>100.00088591666666</v>
      </c>
      <c r="BD370" s="8">
        <v>100.00088591666666</v>
      </c>
      <c r="BE370" s="8">
        <v>100.00088591666666</v>
      </c>
      <c r="BF370" s="8">
        <v>100.00088591666666</v>
      </c>
      <c r="BH370" s="8">
        <f t="shared" si="70"/>
        <v>0</v>
      </c>
      <c r="BI370" s="8">
        <f t="shared" si="71"/>
        <v>100.00088591666666</v>
      </c>
      <c r="BJ370" s="8">
        <f t="shared" si="72"/>
        <v>1000.0088591666666</v>
      </c>
    </row>
    <row r="371" spans="1:62" x14ac:dyDescent="0.25">
      <c r="A371" s="9" t="s">
        <v>210</v>
      </c>
      <c r="B371" s="9" t="s">
        <v>643</v>
      </c>
      <c r="C371" s="10">
        <f>VLOOKUP(A371,'[2]Revenue_Engine_2025 Oct.25'!$C$14:G$3937,5,0)</f>
        <v>45070</v>
      </c>
      <c r="D371" s="6" cm="1">
        <f t="array" ref="D371">_xlfn.LET(
  _xlpm.aralık, Y371:BF371,
  _xlpm.ilk, MATCH(TRUE, _xlpm.aralık&lt;&gt;0, 0),
  _xlpm.son, MIN(_xlpm.ilk+2, COLUMNS(_xlpm.aralık)),
  MAX(INDEX(_xlpm.aralık, _xlpm.ilk):INDEX(_xlpm.aralık, _xlpm.son))
)</f>
        <v>100</v>
      </c>
      <c r="E371" s="6">
        <f t="shared" si="65"/>
        <v>100</v>
      </c>
      <c r="F371" s="6">
        <f t="shared" si="66"/>
        <v>100</v>
      </c>
      <c r="G371" s="6">
        <f t="shared" si="73"/>
        <v>100</v>
      </c>
      <c r="H371" s="7">
        <f t="shared" si="67"/>
        <v>0</v>
      </c>
      <c r="I371" s="7">
        <f t="shared" si="68"/>
        <v>0</v>
      </c>
      <c r="J371" s="7">
        <f t="shared" si="69"/>
        <v>0</v>
      </c>
      <c r="K371" s="7">
        <f t="shared" si="74"/>
        <v>0</v>
      </c>
      <c r="L371" s="5" t="s">
        <v>419</v>
      </c>
      <c r="M371" s="7">
        <v>0</v>
      </c>
      <c r="N371" s="5">
        <f t="shared" si="75"/>
        <v>100</v>
      </c>
      <c r="O371" s="5">
        <f t="shared" si="76"/>
        <v>100</v>
      </c>
      <c r="P371" s="5">
        <f t="shared" si="77"/>
        <v>100</v>
      </c>
      <c r="Q371" s="5" t="s">
        <v>430</v>
      </c>
      <c r="T371" s="6" t="str" cm="1">
        <f t="array" ref="T371">IF(R371&lt;&gt;"Churn","",
 _xlfn.LET(
   _xlpm.rng,Y371:BF371,
   _xlpm.pos,MAX(IF((_xlpm.rng&lt;&gt;0)*(_xlpm.rng&lt;&gt;""),COLUMN(_xlpm.rng)-COLUMN(Y371)+1)),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1" s="6" t="str" cm="1">
        <f t="array" ref="U371">IF(R371="Churn",
   MAX(IF((Y371:BF371&lt;&gt;"")*(Y371:BF371&lt;&gt;0), COLUMN(Y371:BF371)-COLUMN(Y371)+1))
   -MATCH(1, --((Y371:BF371&lt;&gt;"")*(Y371:BF371&lt;&gt;0)), 0)
   +1,
"")</f>
        <v/>
      </c>
      <c r="V371" s="6" t="str" cm="1">
        <f t="array" ref="V371">IFERROR(
    IF(
        MATCH(2,1/((Y371:BF371&lt;&gt;0)*(Y371:BF371&lt;&gt;"")))-MATCH(1,INDEX((Y371:BF371&lt;&gt;0)*(Y371:BF371&lt;&gt;""),0),0)+1 &lt;= 12,
        "No",
        "Yes"
    ),
    "No"
)</f>
        <v>Yes</v>
      </c>
      <c r="W371" s="6" t="str" cm="1">
        <f t="array" ref="W371">IFERROR(
    IF(
        MATCH(2,1/((Y371:BF371&lt;&gt;0)*(Y371:BF371&lt;&gt;"")))-MATCH(1,INDEX((Y371:BF371&lt;&gt;0)*(Y371:BF371&lt;&gt;""),0),0)+1 &lt;= 24,
        "No",
        "Yes"
    ),
    "No"
)</f>
        <v>Yes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100</v>
      </c>
      <c r="AE371" s="8">
        <v>100</v>
      </c>
      <c r="AF371" s="8">
        <v>100</v>
      </c>
      <c r="AG371" s="8">
        <v>100</v>
      </c>
      <c r="AH371" s="8">
        <v>100</v>
      </c>
      <c r="AI371" s="8">
        <v>100</v>
      </c>
      <c r="AJ371" s="8">
        <v>100</v>
      </c>
      <c r="AK371" s="8">
        <v>100</v>
      </c>
      <c r="AL371" s="8">
        <v>100</v>
      </c>
      <c r="AM371" s="8">
        <v>100</v>
      </c>
      <c r="AN371" s="8">
        <v>100</v>
      </c>
      <c r="AO371" s="8">
        <v>100</v>
      </c>
      <c r="AP371" s="8">
        <v>100</v>
      </c>
      <c r="AQ371" s="8">
        <v>100</v>
      </c>
      <c r="AR371" s="8">
        <v>100</v>
      </c>
      <c r="AS371" s="8">
        <v>100</v>
      </c>
      <c r="AT371" s="8">
        <v>100</v>
      </c>
      <c r="AU371" s="8">
        <v>100</v>
      </c>
      <c r="AV371" s="8">
        <v>100</v>
      </c>
      <c r="AW371" s="8">
        <v>100</v>
      </c>
      <c r="AX371" s="8">
        <v>100</v>
      </c>
      <c r="AY371" s="8">
        <v>100</v>
      </c>
      <c r="AZ371" s="8">
        <v>100</v>
      </c>
      <c r="BA371" s="8">
        <v>100</v>
      </c>
      <c r="BB371" s="8">
        <v>100</v>
      </c>
      <c r="BC371" s="8">
        <v>100</v>
      </c>
      <c r="BD371" s="8">
        <v>100</v>
      </c>
      <c r="BE371" s="8">
        <v>100</v>
      </c>
      <c r="BF371" s="8">
        <v>100</v>
      </c>
      <c r="BH371" s="8">
        <f t="shared" si="70"/>
        <v>700</v>
      </c>
      <c r="BI371" s="8">
        <f t="shared" si="71"/>
        <v>1200</v>
      </c>
      <c r="BJ371" s="8">
        <f t="shared" si="72"/>
        <v>1000</v>
      </c>
    </row>
    <row r="372" spans="1:62" x14ac:dyDescent="0.25">
      <c r="A372" s="9" t="s">
        <v>202</v>
      </c>
      <c r="B372" s="9" t="s">
        <v>644</v>
      </c>
      <c r="C372" s="10">
        <f>VLOOKUP(A372,'[2]Revenue_Engine_2025 Oct.25'!$C$14:G$3937,5,0)</f>
        <v>45033</v>
      </c>
      <c r="D372" s="6" cm="1">
        <f t="array" ref="D372">_xlfn.LET(
  _xlpm.aralık, Y372:BF372,
  _xlpm.ilk, MATCH(TRUE, _xlpm.aralık&lt;&gt;0, 0),
  _xlpm.son, MIN(_xlpm.ilk+2, COLUMNS(_xlpm.aralık)),
  MAX(INDEX(_xlpm.aralık, _xlpm.ilk):INDEX(_xlpm.aralık, _xlpm.son))
)</f>
        <v>100</v>
      </c>
      <c r="E372" s="6">
        <f t="shared" si="65"/>
        <v>99.999821249999982</v>
      </c>
      <c r="F372" s="6">
        <f t="shared" si="66"/>
        <v>99.999821249999982</v>
      </c>
      <c r="G372" s="6">
        <f t="shared" si="73"/>
        <v>99.999821249999982</v>
      </c>
      <c r="H372" s="7">
        <f t="shared" si="67"/>
        <v>-1.7875000001765785E-6</v>
      </c>
      <c r="I372" s="7">
        <f t="shared" si="68"/>
        <v>-1.7875000001765785E-6</v>
      </c>
      <c r="J372" s="7">
        <f t="shared" si="69"/>
        <v>0</v>
      </c>
      <c r="K372" s="7">
        <f t="shared" si="74"/>
        <v>-1.7875000001765785E-6</v>
      </c>
      <c r="L372" s="5" t="s">
        <v>416</v>
      </c>
      <c r="M372" s="7">
        <f>IF(R372="",(VLOOKUP(A372,[1]Export!$B$2:$H$680,7,0)),"CHURN")</f>
        <v>0.10000017875031952</v>
      </c>
      <c r="N372" s="5">
        <f t="shared" si="75"/>
        <v>89.999821249999982</v>
      </c>
      <c r="O372" s="5">
        <f t="shared" si="76"/>
        <v>89.999821249999982</v>
      </c>
      <c r="P372" s="5">
        <f t="shared" si="77"/>
        <v>89.999821249999982</v>
      </c>
      <c r="Q372" s="5" t="s">
        <v>430</v>
      </c>
      <c r="T372" s="6" t="str" cm="1">
        <f t="array" ref="T372">IF(R372&lt;&gt;"Churn","",
 _xlfn.LET(
   _xlpm.rng,Y372:BF372,
   _xlpm.pos,MAX(IF((_xlpm.rng&lt;&gt;0)*(_xlpm.rng&lt;&gt;""),COLUMN(_xlpm.rng)-COLUMN(Y372)+1)),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2" s="6" t="str" cm="1">
        <f t="array" ref="U372">IF(R372="Churn",
   MAX(IF((Y372:BF372&lt;&gt;"")*(Y372:BF372&lt;&gt;0), COLUMN(Y372:BF372)-COLUMN(Y372)+1))
   -MATCH(1, --((Y372:BF372&lt;&gt;"")*(Y372:BF372&lt;&gt;0)), 0)
   +1,
"")</f>
        <v/>
      </c>
      <c r="V372" s="6" t="str" cm="1">
        <f t="array" ref="V372">IFERROR(
    IF(
        MATCH(2,1/((Y372:BF372&lt;&gt;0)*(Y372:BF372&lt;&gt;"")))-MATCH(1,INDEX((Y372:BF372&lt;&gt;0)*(Y372:BF372&lt;&gt;""),0),0)+1 &lt;= 12,
        "No",
        "Yes"
    ),
    "No"
)</f>
        <v>Yes</v>
      </c>
      <c r="W372" s="6" t="str" cm="1">
        <f t="array" ref="W372">IFERROR(
    IF(
        MATCH(2,1/((Y372:BF372&lt;&gt;0)*(Y372:BF372&lt;&gt;"")))-MATCH(1,INDEX((Y372:BF372&lt;&gt;0)*(Y372:BF372&lt;&gt;""),0),0)+1 &lt;= 24,
        "No",
        "Yes"
    ),
    "No"
)</f>
        <v>Yes</v>
      </c>
      <c r="Y372" s="8">
        <v>0</v>
      </c>
      <c r="Z372" s="8">
        <v>0</v>
      </c>
      <c r="AA372" s="8">
        <v>0</v>
      </c>
      <c r="AB372" s="8">
        <v>100</v>
      </c>
      <c r="AC372" s="8">
        <v>100</v>
      </c>
      <c r="AD372" s="8">
        <v>100</v>
      </c>
      <c r="AE372" s="8">
        <v>100</v>
      </c>
      <c r="AF372" s="8">
        <v>100</v>
      </c>
      <c r="AG372" s="8">
        <v>100</v>
      </c>
      <c r="AH372" s="8">
        <v>100</v>
      </c>
      <c r="AI372" s="8">
        <v>100</v>
      </c>
      <c r="AJ372" s="8">
        <v>100</v>
      </c>
      <c r="AK372" s="8">
        <v>100</v>
      </c>
      <c r="AL372" s="8">
        <v>100</v>
      </c>
      <c r="AM372" s="8">
        <v>100</v>
      </c>
      <c r="AN372" s="8">
        <v>99.999821249999982</v>
      </c>
      <c r="AO372" s="8">
        <v>99.999821249999982</v>
      </c>
      <c r="AP372" s="8">
        <v>99.999821249999982</v>
      </c>
      <c r="AQ372" s="8">
        <v>99.999821249999982</v>
      </c>
      <c r="AR372" s="8">
        <v>99.999821249999982</v>
      </c>
      <c r="AS372" s="8">
        <v>99.999821249999982</v>
      </c>
      <c r="AT372" s="8">
        <v>99.999821249999982</v>
      </c>
      <c r="AU372" s="8">
        <v>99.999821249999982</v>
      </c>
      <c r="AV372" s="8">
        <v>99.999821249999982</v>
      </c>
      <c r="AW372" s="8">
        <v>99.999821249999982</v>
      </c>
      <c r="AX372" s="8">
        <v>99.999821249999982</v>
      </c>
      <c r="AY372" s="8">
        <v>99.999821249999982</v>
      </c>
      <c r="AZ372" s="8">
        <v>99.999821249999982</v>
      </c>
      <c r="BA372" s="8">
        <v>99.999821249999982</v>
      </c>
      <c r="BB372" s="8">
        <v>99.999821249999982</v>
      </c>
      <c r="BC372" s="8">
        <v>99.999821249999982</v>
      </c>
      <c r="BD372" s="8">
        <v>99.999821249999982</v>
      </c>
      <c r="BE372" s="8">
        <v>99.999821249999982</v>
      </c>
      <c r="BF372" s="8">
        <v>99.999821249999982</v>
      </c>
      <c r="BH372" s="8">
        <f t="shared" si="70"/>
        <v>900</v>
      </c>
      <c r="BI372" s="8">
        <f t="shared" si="71"/>
        <v>1199.9983912499997</v>
      </c>
      <c r="BJ372" s="8">
        <f t="shared" si="72"/>
        <v>999.99821249999979</v>
      </c>
    </row>
    <row r="373" spans="1:62" x14ac:dyDescent="0.25">
      <c r="A373" s="9" t="s">
        <v>531</v>
      </c>
      <c r="B373" s="9" t="s">
        <v>644</v>
      </c>
      <c r="C373" s="10">
        <f>VLOOKUP(A373,'[2]Revenue_Engine_2025 Oct.25'!$C$14:G$3937,5,0)</f>
        <v>45716</v>
      </c>
      <c r="D373" s="6" cm="1">
        <f t="array" ref="D373">_xlfn.LET(
  _xlpm.aralık, Y373:BF373,
  _xlpm.ilk, MATCH(TRUE, _xlpm.aralık&lt;&gt;0, 0),
  _xlpm.son, MIN(_xlpm.ilk+2, COLUMNS(_xlpm.aralık)),
  MAX(INDEX(_xlpm.aralık, _xlpm.ilk):INDEX(_xlpm.aralık, _xlpm.son))
)</f>
        <v>115.50686233525259</v>
      </c>
      <c r="E373" s="6">
        <f t="shared" si="65"/>
        <v>0</v>
      </c>
      <c r="F373" s="6">
        <f t="shared" si="66"/>
        <v>0</v>
      </c>
      <c r="G373" s="6">
        <f t="shared" si="73"/>
        <v>99.857104376216739</v>
      </c>
      <c r="H373" s="7">
        <f t="shared" si="67"/>
        <v>-1</v>
      </c>
      <c r="I373" s="7">
        <f t="shared" si="68"/>
        <v>-1</v>
      </c>
      <c r="J373" s="7" t="e">
        <f t="shared" si="69"/>
        <v>#DIV/0!</v>
      </c>
      <c r="K373" s="7">
        <f t="shared" si="74"/>
        <v>-0.13548769001804631</v>
      </c>
      <c r="L373" s="5" t="s">
        <v>694</v>
      </c>
      <c r="M373" s="7">
        <f>IF(R373="",(VLOOKUP(A373,[1]Export!$B$2:$H$680,7,0)),"CHURN")</f>
        <v>0.12732585432799226</v>
      </c>
      <c r="N373" s="5">
        <f t="shared" si="75"/>
        <v>87.142713250795452</v>
      </c>
      <c r="O373" s="5">
        <f t="shared" si="76"/>
        <v>0</v>
      </c>
      <c r="P373" s="5">
        <f t="shared" si="77"/>
        <v>0</v>
      </c>
      <c r="Q373" s="5" t="s">
        <v>430</v>
      </c>
      <c r="T373" s="6" t="str" cm="1">
        <f t="array" ref="T373">IF(R373&lt;&gt;"Churn","",
 _xlfn.LET(
   _xlpm.rng,Y373:BF373,
   _xlpm.pos,MAX(IF((_xlpm.rng&lt;&gt;0)*(_xlpm.rng&lt;&gt;""),COLUMN(_xlpm.rng)-COLUMN(Y373)+1)),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3" s="6" t="str" cm="1">
        <f t="array" ref="U373">IF(R373="Churn",
   MAX(IF((Y373:BF373&lt;&gt;"")*(Y373:BF373&lt;&gt;0), COLUMN(Y373:BF373)-COLUMN(Y373)+1))
   -MATCH(1, --((Y373:BF373&lt;&gt;"")*(Y373:BF373&lt;&gt;0)), 0)
   +1,
"")</f>
        <v/>
      </c>
      <c r="V373" s="6" t="str" cm="1">
        <f t="array" ref="V373">IFERROR(
    IF(
        MATCH(2,1/((Y373:BF373&lt;&gt;0)*(Y373:BF373&lt;&gt;"")))-MATCH(1,INDEX((Y373:BF373&lt;&gt;0)*(Y373:BF373&lt;&gt;""),0),0)+1 &lt;= 12,
        "No",
        "Yes"
    ),
    "No"
)</f>
        <v>No</v>
      </c>
      <c r="W373" s="6" t="str" cm="1">
        <f t="array" ref="W373">IFERROR(
    IF(
        MATCH(2,1/((Y373:BF373&lt;&gt;0)*(Y373:BF373&lt;&gt;"")))-MATCH(1,INDEX((Y373:BF373&lt;&gt;0)*(Y373:BF373&lt;&gt;""),0),0)+1 &lt;= 24,
        "No",
        "Yes"
    ),
    "No"
)</f>
        <v>No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115.50686233525259</v>
      </c>
      <c r="AY373" s="8">
        <v>112.62511506229968</v>
      </c>
      <c r="AZ373" s="8">
        <v>109.61654808789315</v>
      </c>
      <c r="BA373" s="8">
        <v>107.77889709445395</v>
      </c>
      <c r="BB373" s="8">
        <v>105.94901465740756</v>
      </c>
      <c r="BC373" s="8">
        <v>103.91106613563966</v>
      </c>
      <c r="BD373" s="8">
        <v>102.31076999070198</v>
      </c>
      <c r="BE373" s="8">
        <v>101.07235714435878</v>
      </c>
      <c r="BF373" s="8">
        <v>99.857104376216739</v>
      </c>
      <c r="BH373" s="8">
        <f t="shared" si="70"/>
        <v>0</v>
      </c>
      <c r="BI373" s="8">
        <f t="shared" si="71"/>
        <v>0</v>
      </c>
      <c r="BJ373" s="8">
        <f t="shared" si="72"/>
        <v>958.62773488422408</v>
      </c>
    </row>
    <row r="374" spans="1:62" x14ac:dyDescent="0.25">
      <c r="A374" s="9" t="s">
        <v>532</v>
      </c>
      <c r="B374" s="9" t="s">
        <v>644</v>
      </c>
      <c r="C374" s="10">
        <f>VLOOKUP(A374,'[2]Revenue_Engine_2025 Oct.25'!$C$14:G$3937,5,0)</f>
        <v>45646</v>
      </c>
      <c r="D374" s="6" cm="1">
        <f t="array" ref="D374">_xlfn.LET(
  _xlpm.aralık, Y374:BF374,
  _xlpm.ilk, MATCH(TRUE, _xlpm.aralık&lt;&gt;0, 0),
  _xlpm.son, MIN(_xlpm.ilk+2, COLUMNS(_xlpm.aralık)),
  MAX(INDEX(_xlpm.aralık, _xlpm.ilk):INDEX(_xlpm.aralık, _xlpm.son))
)</f>
        <v>117.5607390016085</v>
      </c>
      <c r="E374" s="6">
        <f t="shared" si="65"/>
        <v>0</v>
      </c>
      <c r="F374" s="6">
        <f t="shared" si="66"/>
        <v>0</v>
      </c>
      <c r="G374" s="6">
        <f t="shared" si="73"/>
        <v>99.841105202234559</v>
      </c>
      <c r="H374" s="7">
        <f t="shared" si="67"/>
        <v>-1</v>
      </c>
      <c r="I374" s="7">
        <f t="shared" si="68"/>
        <v>-1</v>
      </c>
      <c r="J374" s="7" t="e">
        <f t="shared" si="69"/>
        <v>#DIV/0!</v>
      </c>
      <c r="K374" s="7">
        <f t="shared" si="74"/>
        <v>-0.15072747883229531</v>
      </c>
      <c r="L374" s="5" t="s">
        <v>418</v>
      </c>
      <c r="M374" s="7">
        <f>IF(R374="",(VLOOKUP(A374,[1]Export!$B$2:$H$680,7,0)),"CHURN")</f>
        <v>0</v>
      </c>
      <c r="N374" s="5">
        <f t="shared" si="75"/>
        <v>99.841105202234559</v>
      </c>
      <c r="O374" s="5">
        <f t="shared" si="76"/>
        <v>0</v>
      </c>
      <c r="P374" s="5">
        <f t="shared" si="77"/>
        <v>0</v>
      </c>
      <c r="Q374" s="5" t="str">
        <f>VLOOKUP(A374,[4]Sheet2!$A$1:$B$142,2,0)</f>
        <v>BOOKED CHURN</v>
      </c>
      <c r="T374" s="6" t="str" cm="1">
        <f t="array" ref="T374">IF(R374&lt;&gt;"Churn","",
 _xlfn.LET(
   _xlpm.rng,Y374:BF374,
   _xlpm.pos,MAX(IF((_xlpm.rng&lt;&gt;0)*(_xlpm.rng&lt;&gt;""),COLUMN(_xlpm.rng)-COLUMN(Y374)+1)),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4" s="6" t="str" cm="1">
        <f t="array" ref="U374">IF(R374="Churn",
   MAX(IF((Y374:BF374&lt;&gt;"")*(Y374:BF374&lt;&gt;0), COLUMN(Y374:BF374)-COLUMN(Y374)+1))
   -MATCH(1, --((Y374:BF374&lt;&gt;"")*(Y374:BF374&lt;&gt;0)), 0)
   +1,
"")</f>
        <v/>
      </c>
      <c r="V374" s="6" t="str" cm="1">
        <f t="array" ref="V374">IFERROR(
    IF(
        MATCH(2,1/((Y374:BF374&lt;&gt;0)*(Y374:BF374&lt;&gt;"")))-MATCH(1,INDEX((Y374:BF374&lt;&gt;0)*(Y374:BF374&lt;&gt;""),0),0)+1 &lt;= 12,
        "No",
        "Yes"
    ),
    "No"
)</f>
        <v>No</v>
      </c>
      <c r="W374" s="6" t="str" cm="1">
        <f t="array" ref="W374">IFERROR(
    IF(
        MATCH(2,1/((Y374:BF374&lt;&gt;0)*(Y374:BF374&lt;&gt;"")))-MATCH(1,INDEX((Y374:BF374&lt;&gt;0)*(Y374:BF374&lt;&gt;""),0),0)+1 &lt;= 24,
        "No",
        "Yes"
    ),
    "No"
)</f>
        <v>No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117.5607390016085</v>
      </c>
      <c r="AX374" s="8">
        <v>115.48835574628045</v>
      </c>
      <c r="AY374" s="8">
        <v>112.60707018885876</v>
      </c>
      <c r="AZ374" s="8">
        <v>109.59898524912329</v>
      </c>
      <c r="BA374" s="8">
        <v>107.76162868539087</v>
      </c>
      <c r="BB374" s="8">
        <v>105.93203943336782</v>
      </c>
      <c r="BC374" s="8">
        <v>103.89441743311454</v>
      </c>
      <c r="BD374" s="8">
        <v>102.2943776887265</v>
      </c>
      <c r="BE374" s="8">
        <v>101.05616326174176</v>
      </c>
      <c r="BF374" s="8">
        <v>99.841105202234559</v>
      </c>
      <c r="BH374" s="8">
        <f t="shared" si="70"/>
        <v>0</v>
      </c>
      <c r="BI374" s="8">
        <f t="shared" si="71"/>
        <v>0</v>
      </c>
      <c r="BJ374" s="8">
        <f t="shared" si="72"/>
        <v>1076.034881890447</v>
      </c>
    </row>
    <row r="375" spans="1:62" x14ac:dyDescent="0.25">
      <c r="A375" s="9" t="s">
        <v>533</v>
      </c>
      <c r="B375" s="9" t="s">
        <v>644</v>
      </c>
      <c r="C375" s="10">
        <f>VLOOKUP(A375,'[2]Revenue_Engine_2025 Oct.25'!$C$14:G$3937,5,0)</f>
        <v>45569</v>
      </c>
      <c r="D375" s="6" cm="1">
        <f t="array" ref="D375">_xlfn.LET(
  _xlpm.aralık, Y375:BF375,
  _xlpm.ilk, MATCH(TRUE, _xlpm.aralık&lt;&gt;0, 0),
  _xlpm.son, MIN(_xlpm.ilk+2, COLUMNS(_xlpm.aralık)),
  MAX(INDEX(_xlpm.aralık, _xlpm.ilk):INDEX(_xlpm.aralık, _xlpm.son))
)</f>
        <v>99.333333416666676</v>
      </c>
      <c r="E375" s="6">
        <f t="shared" si="65"/>
        <v>99.333333416666676</v>
      </c>
      <c r="F375" s="6">
        <f t="shared" si="66"/>
        <v>0</v>
      </c>
      <c r="G375" s="6">
        <f t="shared" si="73"/>
        <v>99.333333416666676</v>
      </c>
      <c r="H375" s="7">
        <f t="shared" si="67"/>
        <v>0</v>
      </c>
      <c r="I375" s="7">
        <f t="shared" si="68"/>
        <v>-1</v>
      </c>
      <c r="J375" s="7">
        <f t="shared" si="69"/>
        <v>-1</v>
      </c>
      <c r="K375" s="7">
        <f t="shared" si="74"/>
        <v>0</v>
      </c>
      <c r="L375" s="5" t="s">
        <v>694</v>
      </c>
      <c r="M375" s="7">
        <f>IF(R375="",(VLOOKUP(A375,[1]Export!$B$2:$H$680,7,0)),"CHURN")</f>
        <v>0.31952409369167439</v>
      </c>
      <c r="N375" s="5">
        <f t="shared" si="75"/>
        <v>67.593940083333351</v>
      </c>
      <c r="O375" s="5">
        <f t="shared" si="76"/>
        <v>67.593940083333351</v>
      </c>
      <c r="P375" s="5">
        <f t="shared" si="77"/>
        <v>0</v>
      </c>
      <c r="Q375" s="5" t="s">
        <v>430</v>
      </c>
      <c r="T375" s="6" t="str" cm="1">
        <f t="array" ref="T375">IF(R375&lt;&gt;"Churn","",
 _xlfn.LET(
   _xlpm.rng,Y375:BF375,
   _xlpm.pos,MAX(IF((_xlpm.rng&lt;&gt;0)*(_xlpm.rng&lt;&gt;""),COLUMN(_xlpm.rng)-COLUMN(Y375)+1)),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5" s="6" t="str" cm="1">
        <f t="array" ref="U375">IF(R375="Churn",
   MAX(IF((Y375:BF375&lt;&gt;"")*(Y375:BF375&lt;&gt;0), COLUMN(Y375:BF375)-COLUMN(Y375)+1))
   -MATCH(1, --((Y375:BF375&lt;&gt;"")*(Y375:BF375&lt;&gt;0)), 0)
   +1,
"")</f>
        <v/>
      </c>
      <c r="V375" s="6" t="str" cm="1">
        <f t="array" ref="V375">IFERROR(
    IF(
        MATCH(2,1/((Y375:BF375&lt;&gt;0)*(Y375:BF375&lt;&gt;"")))-MATCH(1,INDEX((Y375:BF375&lt;&gt;0)*(Y375:BF375&lt;&gt;""),0),0)+1 &lt;= 12,
        "No",
        "Yes"
    ),
    "No"
)</f>
        <v>Yes</v>
      </c>
      <c r="W375" s="6" t="str" cm="1">
        <f t="array" ref="W375">IFERROR(
    IF(
        MATCH(2,1/((Y375:BF375&lt;&gt;0)*(Y375:BF375&lt;&gt;"")))-MATCH(1,INDEX((Y375:BF375&lt;&gt;0)*(Y375:BF375&lt;&gt;""),0),0)+1 &lt;= 24,
        "No",
        "Yes"
    ),
    "No"
)</f>
        <v>No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99.333333416666676</v>
      </c>
      <c r="AU375" s="8">
        <v>99.333333416666676</v>
      </c>
      <c r="AV375" s="8">
        <v>99.333333416666676</v>
      </c>
      <c r="AW375" s="8">
        <v>99.333333416666676</v>
      </c>
      <c r="AX375" s="8">
        <v>99.333333416666676</v>
      </c>
      <c r="AY375" s="8">
        <v>99.333333416666676</v>
      </c>
      <c r="AZ375" s="8">
        <v>99.333333416666676</v>
      </c>
      <c r="BA375" s="8">
        <v>99.333333416666676</v>
      </c>
      <c r="BB375" s="8">
        <v>99.333333416666676</v>
      </c>
      <c r="BC375" s="8">
        <v>99.333333416666676</v>
      </c>
      <c r="BD375" s="8">
        <v>99.333333416666676</v>
      </c>
      <c r="BE375" s="8">
        <v>99.333333416666676</v>
      </c>
      <c r="BF375" s="8">
        <v>99.333333416666676</v>
      </c>
      <c r="BH375" s="8">
        <f t="shared" si="70"/>
        <v>0</v>
      </c>
      <c r="BI375" s="8">
        <f t="shared" si="71"/>
        <v>298.00000025000003</v>
      </c>
      <c r="BJ375" s="8">
        <f t="shared" si="72"/>
        <v>993.33333416666665</v>
      </c>
    </row>
    <row r="376" spans="1:62" x14ac:dyDescent="0.25">
      <c r="A376" s="9" t="s">
        <v>259</v>
      </c>
      <c r="B376" s="9" t="s">
        <v>644</v>
      </c>
      <c r="C376" s="10">
        <f>VLOOKUP(A376,'[2]Revenue_Engine_2025 Oct.25'!$C$14:G$3937,5,0)</f>
        <v>45287</v>
      </c>
      <c r="D376" s="6" cm="1">
        <f t="array" ref="D376">_xlfn.LET(
  _xlpm.aralık, Y376:BF376,
  _xlpm.ilk, MATCH(TRUE, _xlpm.aralık&lt;&gt;0, 0),
  _xlpm.son, MIN(_xlpm.ilk+2, COLUMNS(_xlpm.aralık)),
  MAX(INDEX(_xlpm.aralık, _xlpm.ilk):INDEX(_xlpm.aralık, _xlpm.son))
)</f>
        <v>99.333333416666676</v>
      </c>
      <c r="E376" s="6">
        <f t="shared" si="65"/>
        <v>99.330297000000002</v>
      </c>
      <c r="F376" s="6">
        <f t="shared" si="66"/>
        <v>0</v>
      </c>
      <c r="G376" s="6">
        <f t="shared" si="73"/>
        <v>99.330297000000002</v>
      </c>
      <c r="H376" s="7">
        <f t="shared" si="67"/>
        <v>-3.0567952994566949E-5</v>
      </c>
      <c r="I376" s="7">
        <f t="shared" si="68"/>
        <v>-1</v>
      </c>
      <c r="J376" s="7">
        <f t="shared" si="69"/>
        <v>-1</v>
      </c>
      <c r="K376" s="7">
        <f t="shared" si="74"/>
        <v>-3.0567952994566949E-5</v>
      </c>
      <c r="L376" s="5" t="s">
        <v>694</v>
      </c>
      <c r="M376" s="7">
        <f>IF(R376="",(VLOOKUP(A376,[1]Export!$B$2:$H$680,7,0)),"CHURN")</f>
        <v>0.3195032923003005</v>
      </c>
      <c r="N376" s="5">
        <f t="shared" si="75"/>
        <v>67.593940083333337</v>
      </c>
      <c r="O376" s="5">
        <f t="shared" si="76"/>
        <v>67.593940083333337</v>
      </c>
      <c r="P376" s="5">
        <f t="shared" si="77"/>
        <v>0</v>
      </c>
      <c r="Q376" s="5" t="s">
        <v>430</v>
      </c>
      <c r="T376" s="6" t="str" cm="1">
        <f t="array" ref="T376">IF(R376&lt;&gt;"Churn","",
 _xlfn.LET(
   _xlpm.rng,Y376:BF376,
   _xlpm.pos,MAX(IF((_xlpm.rng&lt;&gt;0)*(_xlpm.rng&lt;&gt;""),COLUMN(_xlpm.rng)-COLUMN(Y376)+1)),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6" s="6" t="str" cm="1">
        <f t="array" ref="U376">IF(R376="Churn",
   MAX(IF((Y376:BF376&lt;&gt;"")*(Y376:BF376&lt;&gt;0), COLUMN(Y376:BF376)-COLUMN(Y376)+1))
   -MATCH(1, --((Y376:BF376&lt;&gt;"")*(Y376:BF376&lt;&gt;0)), 0)
   +1,
"")</f>
        <v/>
      </c>
      <c r="V376" s="6" t="str" cm="1">
        <f t="array" ref="V376">IFERROR(
    IF(
        MATCH(2,1/((Y376:BF376&lt;&gt;0)*(Y376:BF376&lt;&gt;"")))-MATCH(1,INDEX((Y376:BF376&lt;&gt;0)*(Y376:BF376&lt;&gt;""),0),0)+1 &lt;= 12,
        "No",
        "Yes"
    ),
    "No"
)</f>
        <v>Yes</v>
      </c>
      <c r="W376" s="6" t="str" cm="1">
        <f t="array" ref="W376">IFERROR(
    IF(
        MATCH(2,1/((Y376:BF376&lt;&gt;0)*(Y376:BF376&lt;&gt;"")))-MATCH(1,INDEX((Y376:BF376&lt;&gt;0)*(Y376:BF376&lt;&gt;""),0),0)+1 &lt;= 24,
        "No",
        "Yes"
    ),
    "No"
)</f>
        <v>No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99.333333416666676</v>
      </c>
      <c r="AK376" s="8">
        <v>99.333333416666676</v>
      </c>
      <c r="AL376" s="8">
        <v>99.333333416666676</v>
      </c>
      <c r="AM376" s="8">
        <v>99.333333416666676</v>
      </c>
      <c r="AN376" s="8">
        <v>99.333333416666676</v>
      </c>
      <c r="AO376" s="8">
        <v>99.333333416666676</v>
      </c>
      <c r="AP376" s="8">
        <v>99.333333416666676</v>
      </c>
      <c r="AQ376" s="8">
        <v>99.333333416666676</v>
      </c>
      <c r="AR376" s="8">
        <v>99.333333416666676</v>
      </c>
      <c r="AS376" s="8">
        <v>99.333333416666676</v>
      </c>
      <c r="AT376" s="8">
        <v>99.333333416666676</v>
      </c>
      <c r="AU376" s="8">
        <v>99.333333416666676</v>
      </c>
      <c r="AV376" s="8">
        <v>99.330297000000002</v>
      </c>
      <c r="AW376" s="8">
        <v>99.330297000000002</v>
      </c>
      <c r="AX376" s="8">
        <v>99.330297000000002</v>
      </c>
      <c r="AY376" s="8">
        <v>99.330297000000002</v>
      </c>
      <c r="AZ376" s="8">
        <v>99.330297000000002</v>
      </c>
      <c r="BA376" s="8">
        <v>99.330297000000002</v>
      </c>
      <c r="BB376" s="8">
        <v>99.330297000000002</v>
      </c>
      <c r="BC376" s="8">
        <v>99.330297000000002</v>
      </c>
      <c r="BD376" s="8">
        <v>99.330297000000002</v>
      </c>
      <c r="BE376" s="8">
        <v>99.330297000000002</v>
      </c>
      <c r="BF376" s="8">
        <v>99.330297000000002</v>
      </c>
      <c r="BH376" s="8">
        <f t="shared" si="70"/>
        <v>99.333333416666676</v>
      </c>
      <c r="BI376" s="8">
        <f t="shared" si="71"/>
        <v>1191.9969645833332</v>
      </c>
      <c r="BJ376" s="8">
        <f t="shared" si="72"/>
        <v>993.30296999999985</v>
      </c>
    </row>
    <row r="377" spans="1:62" x14ac:dyDescent="0.25">
      <c r="A377" s="9" t="s">
        <v>251</v>
      </c>
      <c r="B377" s="9" t="s">
        <v>644</v>
      </c>
      <c r="C377" s="10">
        <f>VLOOKUP(A377,'[2]Revenue_Engine_2025 Oct.25'!$C$14:G$3937,5,0)</f>
        <v>45286</v>
      </c>
      <c r="D377" s="6" cm="1">
        <f t="array" ref="D377">_xlfn.LET(
  _xlpm.aralık, Y377:BF377,
  _xlpm.ilk, MATCH(TRUE, _xlpm.aralık&lt;&gt;0, 0),
  _xlpm.son, MIN(_xlpm.ilk+2, COLUMNS(_xlpm.aralık)),
  MAX(INDEX(_xlpm.aralık, _xlpm.ilk):INDEX(_xlpm.aralık, _xlpm.son))
)</f>
        <v>99.333333416666676</v>
      </c>
      <c r="E377" s="6">
        <f t="shared" si="65"/>
        <v>99.330196583333347</v>
      </c>
      <c r="F377" s="6">
        <f t="shared" si="66"/>
        <v>0</v>
      </c>
      <c r="G377" s="6">
        <f t="shared" si="73"/>
        <v>99.330196583333347</v>
      </c>
      <c r="H377" s="7">
        <f t="shared" si="67"/>
        <v>-3.1578859033867092E-5</v>
      </c>
      <c r="I377" s="7">
        <f t="shared" si="68"/>
        <v>-1</v>
      </c>
      <c r="J377" s="7">
        <f t="shared" si="69"/>
        <v>-1</v>
      </c>
      <c r="K377" s="7">
        <f t="shared" si="74"/>
        <v>-3.1578859033867092E-5</v>
      </c>
      <c r="L377" s="5" t="s">
        <v>694</v>
      </c>
      <c r="M377" s="7">
        <f>IF(R377="",(VLOOKUP(A377,[1]Export!$B$2:$H$680,7,0)),"CHURN")</f>
        <v>0.31953418505558689</v>
      </c>
      <c r="N377" s="5">
        <f t="shared" si="75"/>
        <v>67.590803166666689</v>
      </c>
      <c r="O377" s="5">
        <f t="shared" si="76"/>
        <v>67.590803166666689</v>
      </c>
      <c r="P377" s="5">
        <f t="shared" si="77"/>
        <v>0</v>
      </c>
      <c r="Q377" s="5" t="s">
        <v>430</v>
      </c>
      <c r="T377" s="6" t="str" cm="1">
        <f t="array" ref="T377">IF(R377&lt;&gt;"Churn","",
 _xlfn.LET(
   _xlpm.rng,Y377:BF377,
   _xlpm.pos,MAX(IF((_xlpm.rng&lt;&gt;0)*(_xlpm.rng&lt;&gt;""),COLUMN(_xlpm.rng)-COLUMN(Y377)+1)),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7" s="6" t="str" cm="1">
        <f t="array" ref="U377">IF(R377="Churn",
   MAX(IF((Y377:BF377&lt;&gt;"")*(Y377:BF377&lt;&gt;0), COLUMN(Y377:BF377)-COLUMN(Y377)+1))
   -MATCH(1, --((Y377:BF377&lt;&gt;"")*(Y377:BF377&lt;&gt;0)), 0)
   +1,
"")</f>
        <v/>
      </c>
      <c r="V377" s="6" t="str" cm="1">
        <f t="array" ref="V377">IFERROR(
    IF(
        MATCH(2,1/((Y377:BF377&lt;&gt;0)*(Y377:BF377&lt;&gt;"")))-MATCH(1,INDEX((Y377:BF377&lt;&gt;0)*(Y377:BF377&lt;&gt;""),0),0)+1 &lt;= 12,
        "No",
        "Yes"
    ),
    "No"
)</f>
        <v>Yes</v>
      </c>
      <c r="W377" s="6" t="str" cm="1">
        <f t="array" ref="W377">IFERROR(
    IF(
        MATCH(2,1/((Y377:BF377&lt;&gt;0)*(Y377:BF377&lt;&gt;"")))-MATCH(1,INDEX((Y377:BF377&lt;&gt;0)*(Y377:BF377&lt;&gt;""),0),0)+1 &lt;= 24,
        "No",
        "Yes"
    ),
    "No"
)</f>
        <v>No</v>
      </c>
      <c r="X377" s="6"/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99.333333416666676</v>
      </c>
      <c r="AK377" s="8">
        <v>99.333333416666676</v>
      </c>
      <c r="AL377" s="8">
        <v>99.333333416666676</v>
      </c>
      <c r="AM377" s="8">
        <v>99.333333416666676</v>
      </c>
      <c r="AN377" s="8">
        <v>99.333333416666676</v>
      </c>
      <c r="AO377" s="8">
        <v>99.333333416666676</v>
      </c>
      <c r="AP377" s="8">
        <v>99.333333416666676</v>
      </c>
      <c r="AQ377" s="8">
        <v>99.333333416666676</v>
      </c>
      <c r="AR377" s="8">
        <v>99.333333416666676</v>
      </c>
      <c r="AS377" s="8">
        <v>99.333333416666676</v>
      </c>
      <c r="AT377" s="8">
        <v>99.333333416666676</v>
      </c>
      <c r="AU377" s="8">
        <v>99.333333416666676</v>
      </c>
      <c r="AV377" s="8">
        <v>99.330196583333347</v>
      </c>
      <c r="AW377" s="8">
        <v>99.330196583333347</v>
      </c>
      <c r="AX377" s="8">
        <v>99.330196583333347</v>
      </c>
      <c r="AY377" s="8">
        <v>99.330196583333347</v>
      </c>
      <c r="AZ377" s="8">
        <v>99.330196583333347</v>
      </c>
      <c r="BA377" s="8">
        <v>99.330196583333347</v>
      </c>
      <c r="BB377" s="8">
        <v>99.330196583333347</v>
      </c>
      <c r="BC377" s="8">
        <v>99.330196583333347</v>
      </c>
      <c r="BD377" s="8">
        <v>99.330196583333347</v>
      </c>
      <c r="BE377" s="8">
        <v>99.330196583333347</v>
      </c>
      <c r="BF377" s="8">
        <v>99.330196583333347</v>
      </c>
      <c r="BH377" s="8">
        <f t="shared" si="70"/>
        <v>99.333333416666676</v>
      </c>
      <c r="BI377" s="8">
        <f t="shared" si="71"/>
        <v>1191.9968641666667</v>
      </c>
      <c r="BJ377" s="8">
        <f t="shared" si="72"/>
        <v>993.30196583333327</v>
      </c>
    </row>
    <row r="378" spans="1:62" x14ac:dyDescent="0.25">
      <c r="A378" s="9" t="s">
        <v>232</v>
      </c>
      <c r="B378" s="9" t="s">
        <v>644</v>
      </c>
      <c r="C378" s="10">
        <f>VLOOKUP(A378,'[2]Revenue_Engine_2025 Oct.25'!$C$14:G$3937,5,0)</f>
        <v>45230</v>
      </c>
      <c r="D378" s="6" cm="1">
        <f t="array" ref="D378">_xlfn.LET(
  _xlpm.aralık, Y378:BF378,
  _xlpm.ilk, MATCH(TRUE, _xlpm.aralık&lt;&gt;0, 0),
  _xlpm.son, MIN(_xlpm.ilk+2, COLUMNS(_xlpm.aralık)),
  MAX(INDEX(_xlpm.aralık, _xlpm.ilk):INDEX(_xlpm.aralık, _xlpm.son))
)</f>
        <v>86</v>
      </c>
      <c r="E378" s="6">
        <f t="shared" si="65"/>
        <v>99.33</v>
      </c>
      <c r="F378" s="6">
        <f t="shared" si="66"/>
        <v>99.33</v>
      </c>
      <c r="G378" s="6">
        <f t="shared" si="73"/>
        <v>99.33</v>
      </c>
      <c r="H378" s="7">
        <f t="shared" si="67"/>
        <v>0.15499999999999997</v>
      </c>
      <c r="I378" s="7">
        <f t="shared" si="68"/>
        <v>0.15499999999999997</v>
      </c>
      <c r="J378" s="7">
        <f t="shared" si="69"/>
        <v>0</v>
      </c>
      <c r="K378" s="7">
        <f t="shared" si="74"/>
        <v>0.15499999999999997</v>
      </c>
      <c r="L378" s="5" t="s">
        <v>694</v>
      </c>
      <c r="M378" s="7">
        <f>IF(R378="",(VLOOKUP(A378,[1]Export!$B$2:$H$680,7,0)),"CHURN")</f>
        <v>0</v>
      </c>
      <c r="N378" s="5">
        <f t="shared" si="75"/>
        <v>99.33</v>
      </c>
      <c r="O378" s="5">
        <f t="shared" si="76"/>
        <v>99.33</v>
      </c>
      <c r="P378" s="5">
        <f t="shared" si="77"/>
        <v>99.33</v>
      </c>
      <c r="Q378" s="5" t="s">
        <v>430</v>
      </c>
      <c r="T378" s="6" t="str" cm="1">
        <f t="array" ref="T378">IF(R378&lt;&gt;"Churn","",
 _xlfn.LET(
   _xlpm.rng,Y378:BF378,
   _xlpm.pos,MAX(IF((_xlpm.rng&lt;&gt;0)*(_xlpm.rng&lt;&gt;""),COLUMN(_xlpm.rng)-COLUMN(Y378)+1)),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8" s="6" t="str" cm="1">
        <f t="array" ref="U378">IF(R378="Churn",
   MAX(IF((Y378:BF378&lt;&gt;"")*(Y378:BF378&lt;&gt;0), COLUMN(Y378:BF378)-COLUMN(Y378)+1))
   -MATCH(1, --((Y378:BF378&lt;&gt;"")*(Y378:BF378&lt;&gt;0)), 0)
   +1,
"")</f>
        <v/>
      </c>
      <c r="V378" s="6" t="str" cm="1">
        <f t="array" ref="V378">IFERROR(
    IF(
        MATCH(2,1/((Y378:BF378&lt;&gt;0)*(Y378:BF378&lt;&gt;"")))-MATCH(1,INDEX((Y378:BF378&lt;&gt;0)*(Y378:BF378&lt;&gt;""),0),0)+1 &lt;= 12,
        "No",
        "Yes"
    ),
    "No"
)</f>
        <v>Yes</v>
      </c>
      <c r="W378" s="6" t="str" cm="1">
        <f t="array" ref="W378">IFERROR(
    IF(
        MATCH(2,1/((Y378:BF378&lt;&gt;0)*(Y378:BF378&lt;&gt;"")))-MATCH(1,INDEX((Y378:BF378&lt;&gt;0)*(Y378:BF378&lt;&gt;""),0),0)+1 &lt;= 24,
        "No",
        "Yes"
    ),
    "No"
)</f>
        <v>Yes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86</v>
      </c>
      <c r="AI378" s="8">
        <v>86</v>
      </c>
      <c r="AJ378" s="8">
        <v>86</v>
      </c>
      <c r="AK378" s="8">
        <v>86</v>
      </c>
      <c r="AL378" s="8">
        <v>86</v>
      </c>
      <c r="AM378" s="8">
        <v>86</v>
      </c>
      <c r="AN378" s="8">
        <v>86</v>
      </c>
      <c r="AO378" s="8">
        <v>86</v>
      </c>
      <c r="AP378" s="8">
        <v>86</v>
      </c>
      <c r="AQ378" s="8">
        <v>86</v>
      </c>
      <c r="AR378" s="8">
        <v>86</v>
      </c>
      <c r="AS378" s="8">
        <v>86</v>
      </c>
      <c r="AT378" s="8">
        <v>99.33</v>
      </c>
      <c r="AU378" s="8">
        <v>99.33</v>
      </c>
      <c r="AV378" s="8">
        <v>99.33</v>
      </c>
      <c r="AW378" s="8">
        <v>99.33</v>
      </c>
      <c r="AX378" s="8">
        <v>99.33</v>
      </c>
      <c r="AY378" s="8">
        <v>99.33</v>
      </c>
      <c r="AZ378" s="8">
        <v>99.33</v>
      </c>
      <c r="BA378" s="8">
        <v>99.33</v>
      </c>
      <c r="BB378" s="8">
        <v>99.33</v>
      </c>
      <c r="BC378" s="8">
        <v>99.33</v>
      </c>
      <c r="BD378" s="8">
        <v>99.33</v>
      </c>
      <c r="BE378" s="8">
        <v>99.33</v>
      </c>
      <c r="BF378" s="8">
        <v>99.33</v>
      </c>
      <c r="BH378" s="8">
        <f t="shared" si="70"/>
        <v>258</v>
      </c>
      <c r="BI378" s="8">
        <f t="shared" si="71"/>
        <v>1071.99</v>
      </c>
      <c r="BJ378" s="8">
        <f t="shared" si="72"/>
        <v>993.30000000000018</v>
      </c>
    </row>
    <row r="379" spans="1:62" x14ac:dyDescent="0.25">
      <c r="A379" s="9" t="s">
        <v>403</v>
      </c>
      <c r="B379" s="9" t="s">
        <v>644</v>
      </c>
      <c r="C379" s="10">
        <f>VLOOKUP(A379,'[2]Revenue_Engine_2025 Oct.25'!$C$14:G$3937,5,0)</f>
        <v>45230</v>
      </c>
      <c r="D379" s="6" cm="1">
        <f t="array" ref="D379">_xlfn.LET(
  _xlpm.aralık, Y379:BF379,
  _xlpm.ilk, MATCH(TRUE, _xlpm.aralık&lt;&gt;0, 0),
  _xlpm.son, MIN(_xlpm.ilk+2, COLUMNS(_xlpm.aralık)),
  MAX(INDEX(_xlpm.aralık, _xlpm.ilk):INDEX(_xlpm.aralık, _xlpm.son))
)</f>
        <v>124.16666666666667</v>
      </c>
      <c r="E379" s="6">
        <f t="shared" si="65"/>
        <v>99.33</v>
      </c>
      <c r="F379" s="6">
        <f t="shared" si="66"/>
        <v>99.33</v>
      </c>
      <c r="G379" s="6">
        <f t="shared" si="73"/>
        <v>99.33</v>
      </c>
      <c r="H379" s="7">
        <f t="shared" si="67"/>
        <v>-0.20002684563758394</v>
      </c>
      <c r="I379" s="7">
        <f t="shared" si="68"/>
        <v>-0.20002684563758394</v>
      </c>
      <c r="J379" s="7">
        <f t="shared" si="69"/>
        <v>0</v>
      </c>
      <c r="K379" s="7">
        <f t="shared" si="74"/>
        <v>-0.20002684563758394</v>
      </c>
      <c r="L379" s="5" t="s">
        <v>694</v>
      </c>
      <c r="M379" s="7">
        <f>IF(R379="",(VLOOKUP(A379,[1]Export!$B$2:$H$680,7,0)),"CHURN")</f>
        <v>0</v>
      </c>
      <c r="N379" s="5">
        <f t="shared" si="75"/>
        <v>99.33</v>
      </c>
      <c r="O379" s="5">
        <f t="shared" si="76"/>
        <v>99.33</v>
      </c>
      <c r="P379" s="5">
        <f t="shared" si="77"/>
        <v>99.33</v>
      </c>
      <c r="Q379" s="5" t="s">
        <v>430</v>
      </c>
      <c r="T379" s="6" t="str" cm="1">
        <f t="array" ref="T379">IF(R379&lt;&gt;"Churn","",
 _xlfn.LET(
   _xlpm.rng,Y379:BF379,
   _xlpm.pos,MAX(IF((_xlpm.rng&lt;&gt;0)*(_xlpm.rng&lt;&gt;""),COLUMN(_xlpm.rng)-COLUMN(Y379)+1)),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79" s="6" t="str" cm="1">
        <f t="array" ref="U379">IF(R379="Churn",
   MAX(IF((Y379:BF379&lt;&gt;"")*(Y379:BF379&lt;&gt;0), COLUMN(Y379:BF379)-COLUMN(Y379)+1))
   -MATCH(1, --((Y379:BF379&lt;&gt;"")*(Y379:BF379&lt;&gt;0)), 0)
   +1,
"")</f>
        <v/>
      </c>
      <c r="V379" s="6" t="str" cm="1">
        <f t="array" ref="V379">IFERROR(
    IF(
        MATCH(2,1/((Y379:BF379&lt;&gt;0)*(Y379:BF379&lt;&gt;"")))-MATCH(1,INDEX((Y379:BF379&lt;&gt;0)*(Y379:BF379&lt;&gt;""),0),0)+1 &lt;= 12,
        "No",
        "Yes"
    ),
    "No"
)</f>
        <v>Yes</v>
      </c>
      <c r="W379" s="6" t="str" cm="1">
        <f t="array" ref="W379">IFERROR(
    IF(
        MATCH(2,1/((Y379:BF379&lt;&gt;0)*(Y379:BF379&lt;&gt;"")))-MATCH(1,INDEX((Y379:BF379&lt;&gt;0)*(Y379:BF379&lt;&gt;""),0),0)+1 &lt;= 24,
        "No",
        "Yes"
    ),
    "No"
)</f>
        <v>Yes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124.16666666666667</v>
      </c>
      <c r="AI379" s="8">
        <v>124.16666666666667</v>
      </c>
      <c r="AJ379" s="8">
        <v>124.16666666666667</v>
      </c>
      <c r="AK379" s="8">
        <v>124.16666666666667</v>
      </c>
      <c r="AL379" s="8">
        <v>124.16666666666667</v>
      </c>
      <c r="AM379" s="8">
        <v>124.16666666666667</v>
      </c>
      <c r="AN379" s="8">
        <v>124.16666666666667</v>
      </c>
      <c r="AO379" s="8">
        <v>124.16666666666667</v>
      </c>
      <c r="AP379" s="8">
        <v>124.16666666666667</v>
      </c>
      <c r="AQ379" s="8">
        <v>124.16666666666667</v>
      </c>
      <c r="AR379" s="8">
        <v>124.16666666666667</v>
      </c>
      <c r="AS379" s="8">
        <v>124.16666666666667</v>
      </c>
      <c r="AT379" s="8">
        <v>99.33</v>
      </c>
      <c r="AU379" s="8">
        <v>99.33</v>
      </c>
      <c r="AV379" s="8">
        <v>99.33</v>
      </c>
      <c r="AW379" s="8">
        <v>99.33</v>
      </c>
      <c r="AX379" s="8">
        <v>99.33</v>
      </c>
      <c r="AY379" s="8">
        <v>99.33</v>
      </c>
      <c r="AZ379" s="8">
        <v>99.33</v>
      </c>
      <c r="BA379" s="8">
        <v>99.33</v>
      </c>
      <c r="BB379" s="8">
        <v>99.33</v>
      </c>
      <c r="BC379" s="8">
        <v>99.33</v>
      </c>
      <c r="BD379" s="8">
        <v>99.33</v>
      </c>
      <c r="BE379" s="8">
        <v>99.33</v>
      </c>
      <c r="BF379" s="8">
        <v>99.33</v>
      </c>
      <c r="BH379" s="8">
        <f t="shared" si="70"/>
        <v>372.5</v>
      </c>
      <c r="BI379" s="8">
        <f t="shared" si="71"/>
        <v>1415.4899999999998</v>
      </c>
      <c r="BJ379" s="8">
        <f t="shared" si="72"/>
        <v>993.30000000000018</v>
      </c>
    </row>
    <row r="380" spans="1:62" x14ac:dyDescent="0.25">
      <c r="A380" s="9" t="s">
        <v>399</v>
      </c>
      <c r="B380" s="9" t="s">
        <v>644</v>
      </c>
      <c r="C380" s="10">
        <f>VLOOKUP(A380,'[2]Revenue_Engine_2025 Oct.25'!$C$14:G$3937,5,0)</f>
        <v>45322</v>
      </c>
      <c r="D380" s="6" cm="1">
        <f t="array" ref="D380">_xlfn.LET(
  _xlpm.aralık, Y380:BF380,
  _xlpm.ilk, MATCH(TRUE, _xlpm.aralık&lt;&gt;0, 0),
  _xlpm.son, MIN(_xlpm.ilk+2, COLUMNS(_xlpm.aralık)),
  MAX(INDEX(_xlpm.aralık, _xlpm.ilk):INDEX(_xlpm.aralık, _xlpm.son))
)</f>
        <v>119.20000008333335</v>
      </c>
      <c r="E380" s="6">
        <f t="shared" si="65"/>
        <v>99.328718583333341</v>
      </c>
      <c r="F380" s="6">
        <f t="shared" si="66"/>
        <v>0</v>
      </c>
      <c r="G380" s="6">
        <f t="shared" si="73"/>
        <v>99.328718583333341</v>
      </c>
      <c r="H380" s="7">
        <f t="shared" si="67"/>
        <v>-0.16670538159486487</v>
      </c>
      <c r="I380" s="7">
        <f t="shared" si="68"/>
        <v>-1</v>
      </c>
      <c r="J380" s="7">
        <f t="shared" si="69"/>
        <v>-1</v>
      </c>
      <c r="K380" s="7">
        <f t="shared" si="74"/>
        <v>-0.16670538159486487</v>
      </c>
      <c r="L380" s="5" t="s">
        <v>694</v>
      </c>
      <c r="M380" s="7">
        <f>IF(R380="",(VLOOKUP(A380,[1]Export!$B$2:$H$680,7,0)),"CHURN")</f>
        <v>0.31952615553684155</v>
      </c>
      <c r="N380" s="5">
        <f t="shared" si="75"/>
        <v>67.590595000000008</v>
      </c>
      <c r="O380" s="5">
        <f t="shared" si="76"/>
        <v>67.590595000000008</v>
      </c>
      <c r="P380" s="5">
        <f t="shared" si="77"/>
        <v>0</v>
      </c>
      <c r="Q380" s="5" t="s">
        <v>430</v>
      </c>
      <c r="T380" s="6" t="str" cm="1">
        <f t="array" ref="T380">IF(R380&lt;&gt;"Churn","",
 _xlfn.LET(
   _xlpm.rng,Y380:BF380,
   _xlpm.pos,MAX(IF((_xlpm.rng&lt;&gt;0)*(_xlpm.rng&lt;&gt;""),COLUMN(_xlpm.rng)-COLUMN(Y380)+1)),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0" s="6" t="str" cm="1">
        <f t="array" ref="U380">IF(R380="Churn",
   MAX(IF((Y380:BF380&lt;&gt;"")*(Y380:BF380&lt;&gt;0), COLUMN(Y380:BF380)-COLUMN(Y380)+1))
   -MATCH(1, --((Y380:BF380&lt;&gt;"")*(Y380:BF380&lt;&gt;0)), 0)
   +1,
"")</f>
        <v/>
      </c>
      <c r="V380" s="6" t="str" cm="1">
        <f t="array" ref="V380">IFERROR(
    IF(
        MATCH(2,1/((Y380:BF380&lt;&gt;0)*(Y380:BF380&lt;&gt;"")))-MATCH(1,INDEX((Y380:BF380&lt;&gt;0)*(Y380:BF380&lt;&gt;""),0),0)+1 &lt;= 12,
        "No",
        "Yes"
    ),
    "No"
)</f>
        <v>Yes</v>
      </c>
      <c r="W380" s="6" t="str" cm="1">
        <f t="array" ref="W380">IFERROR(
    IF(
        MATCH(2,1/((Y380:BF380&lt;&gt;0)*(Y380:BF380&lt;&gt;"")))-MATCH(1,INDEX((Y380:BF380&lt;&gt;0)*(Y380:BF380&lt;&gt;""),0),0)+1 &lt;= 24,
        "No",
        "Yes"
    ),
    "No"
)</f>
        <v>No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119.20000008333335</v>
      </c>
      <c r="AL380" s="8">
        <v>119.20000008333335</v>
      </c>
      <c r="AM380" s="8">
        <v>119.20000008333335</v>
      </c>
      <c r="AN380" s="8">
        <v>119.20000008333335</v>
      </c>
      <c r="AO380" s="8">
        <v>119.20000008333335</v>
      </c>
      <c r="AP380" s="8">
        <v>119.20000008333335</v>
      </c>
      <c r="AQ380" s="8">
        <v>119.20000008333335</v>
      </c>
      <c r="AR380" s="8">
        <v>119.20000008333335</v>
      </c>
      <c r="AS380" s="8">
        <v>119.20000008333335</v>
      </c>
      <c r="AT380" s="8">
        <v>119.20000008333335</v>
      </c>
      <c r="AU380" s="8">
        <v>119.20000008333335</v>
      </c>
      <c r="AV380" s="8">
        <v>119.20000008333335</v>
      </c>
      <c r="AW380" s="8">
        <v>99.328718583333341</v>
      </c>
      <c r="AX380" s="8">
        <v>99.328718583333341</v>
      </c>
      <c r="AY380" s="8">
        <v>99.328718583333341</v>
      </c>
      <c r="AZ380" s="8">
        <v>99.328718583333341</v>
      </c>
      <c r="BA380" s="8">
        <v>99.328718583333341</v>
      </c>
      <c r="BB380" s="8">
        <v>99.328718583333341</v>
      </c>
      <c r="BC380" s="8">
        <v>99.328718583333341</v>
      </c>
      <c r="BD380" s="8">
        <v>99.328718583333341</v>
      </c>
      <c r="BE380" s="8">
        <v>99.328718583333341</v>
      </c>
      <c r="BF380" s="8">
        <v>99.328718583333341</v>
      </c>
      <c r="BH380" s="8">
        <f t="shared" si="70"/>
        <v>0</v>
      </c>
      <c r="BI380" s="8">
        <f t="shared" si="71"/>
        <v>1430.4000010000007</v>
      </c>
      <c r="BJ380" s="8">
        <f t="shared" si="72"/>
        <v>993.2871858333333</v>
      </c>
    </row>
    <row r="381" spans="1:62" x14ac:dyDescent="0.25">
      <c r="A381" s="9" t="s">
        <v>534</v>
      </c>
      <c r="B381" s="9" t="s">
        <v>644</v>
      </c>
      <c r="C381" s="10">
        <f>VLOOKUP(A381,'[2]Revenue_Engine_2025 Oct.25'!$C$14:G$3937,5,0)</f>
        <v>45636</v>
      </c>
      <c r="D381" s="6" cm="1">
        <f t="array" ref="D381">_xlfn.LET(
  _xlpm.aralık, Y381:BF381,
  _xlpm.ilk, MATCH(TRUE, _xlpm.aralık&lt;&gt;0, 0),
  _xlpm.son, MIN(_xlpm.ilk+2, COLUMNS(_xlpm.aralık)),
  MAX(INDEX(_xlpm.aralık, _xlpm.ilk):INDEX(_xlpm.aralık, _xlpm.son))
)</f>
        <v>98.999135416666661</v>
      </c>
      <c r="E381" s="6">
        <f t="shared" si="65"/>
        <v>0</v>
      </c>
      <c r="F381" s="6">
        <f t="shared" si="66"/>
        <v>0</v>
      </c>
      <c r="G381" s="6">
        <f t="shared" si="73"/>
        <v>98.999135416666661</v>
      </c>
      <c r="H381" s="7">
        <f t="shared" si="67"/>
        <v>-1</v>
      </c>
      <c r="I381" s="7">
        <f t="shared" si="68"/>
        <v>-1</v>
      </c>
      <c r="J381" s="7" t="e">
        <f t="shared" si="69"/>
        <v>#DIV/0!</v>
      </c>
      <c r="K381" s="7">
        <f t="shared" si="74"/>
        <v>0</v>
      </c>
      <c r="L381" s="5" t="s">
        <v>694</v>
      </c>
      <c r="M381" s="7">
        <f>IF(R381="",(VLOOKUP(A381,[1]Export!$B$2:$H$680,7,0)),"CHURN")</f>
        <v>0.31951814983232707</v>
      </c>
      <c r="N381" s="5">
        <f t="shared" si="75"/>
        <v>67.367114833333332</v>
      </c>
      <c r="O381" s="5">
        <f t="shared" si="76"/>
        <v>0</v>
      </c>
      <c r="P381" s="5">
        <f t="shared" si="77"/>
        <v>0</v>
      </c>
      <c r="Q381" s="5" t="s">
        <v>430</v>
      </c>
      <c r="T381" s="6" t="str" cm="1">
        <f t="array" ref="T381">IF(R381&lt;&gt;"Churn","",
 _xlfn.LET(
   _xlpm.rng,Y381:BF381,
   _xlpm.pos,MAX(IF((_xlpm.rng&lt;&gt;0)*(_xlpm.rng&lt;&gt;""),COLUMN(_xlpm.rng)-COLUMN(Y381)+1)),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1" s="6" t="str" cm="1">
        <f t="array" ref="U381">IF(R381="Churn",
   MAX(IF((Y381:BF381&lt;&gt;"")*(Y381:BF381&lt;&gt;0), COLUMN(Y381:BF381)-COLUMN(Y381)+1))
   -MATCH(1, --((Y381:BF381&lt;&gt;"")*(Y381:BF381&lt;&gt;0)), 0)
   +1,
"")</f>
        <v/>
      </c>
      <c r="V381" s="6" t="str" cm="1">
        <f t="array" ref="V381">IFERROR(
    IF(
        MATCH(2,1/((Y381:BF381&lt;&gt;0)*(Y381:BF381&lt;&gt;"")))-MATCH(1,INDEX((Y381:BF381&lt;&gt;0)*(Y381:BF381&lt;&gt;""),0),0)+1 &lt;= 12,
        "No",
        "Yes"
    ),
    "No"
)</f>
        <v>No</v>
      </c>
      <c r="W381" s="6" t="str" cm="1">
        <f t="array" ref="W381">IFERROR(
    IF(
        MATCH(2,1/((Y381:BF381&lt;&gt;0)*(Y381:BF381&lt;&gt;"")))-MATCH(1,INDEX((Y381:BF381&lt;&gt;0)*(Y381:BF381&lt;&gt;""),0),0)+1 &lt;= 24,
        "No",
        "Yes"
    ),
    "No"
)</f>
        <v>No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98.999135416666661</v>
      </c>
      <c r="AW381" s="8">
        <v>98.999135416666661</v>
      </c>
      <c r="AX381" s="8">
        <v>98.999135416666661</v>
      </c>
      <c r="AY381" s="8">
        <v>98.999135416666661</v>
      </c>
      <c r="AZ381" s="8">
        <v>98.999135416666661</v>
      </c>
      <c r="BA381" s="8">
        <v>98.999135416666661</v>
      </c>
      <c r="BB381" s="8">
        <v>98.999135416666661</v>
      </c>
      <c r="BC381" s="8">
        <v>98.999135416666661</v>
      </c>
      <c r="BD381" s="8">
        <v>98.999135416666661</v>
      </c>
      <c r="BE381" s="8">
        <v>98.999135416666661</v>
      </c>
      <c r="BF381" s="8">
        <v>98.999135416666661</v>
      </c>
      <c r="BH381" s="8">
        <f t="shared" si="70"/>
        <v>0</v>
      </c>
      <c r="BI381" s="8">
        <f t="shared" si="71"/>
        <v>98.999135416666661</v>
      </c>
      <c r="BJ381" s="8">
        <f t="shared" si="72"/>
        <v>989.9913541666665</v>
      </c>
    </row>
    <row r="382" spans="1:62" x14ac:dyDescent="0.25">
      <c r="A382" s="9" t="s">
        <v>98</v>
      </c>
      <c r="B382" s="9" t="s">
        <v>644</v>
      </c>
      <c r="C382" s="10">
        <f>VLOOKUP(A382,'[2]Revenue_Engine_2025 Oct.25'!$C$14:G$3937,5,0)</f>
        <v>44927</v>
      </c>
      <c r="D382" s="6" cm="1">
        <f t="array" ref="D382">_xlfn.LET(
  _xlpm.aralık, Y382:BF382,
  _xlpm.ilk, MATCH(TRUE, _xlpm.aralık&lt;&gt;0, 0),
  _xlpm.son, MIN(_xlpm.ilk+2, COLUMNS(_xlpm.aralık)),
  MAX(INDEX(_xlpm.aralık, _xlpm.ilk):INDEX(_xlpm.aralık, _xlpm.son))
)</f>
        <v>71.5</v>
      </c>
      <c r="E382" s="6">
        <f t="shared" si="65"/>
        <v>80.5</v>
      </c>
      <c r="F382" s="6">
        <f t="shared" si="66"/>
        <v>96.23</v>
      </c>
      <c r="G382" s="6">
        <f t="shared" si="73"/>
        <v>96.23</v>
      </c>
      <c r="H382" s="7">
        <f t="shared" si="67"/>
        <v>0.12587412587412589</v>
      </c>
      <c r="I382" s="7">
        <f t="shared" si="68"/>
        <v>0.34587412587412592</v>
      </c>
      <c r="J382" s="7">
        <f t="shared" si="69"/>
        <v>0.19540372670807457</v>
      </c>
      <c r="K382" s="7">
        <f t="shared" si="74"/>
        <v>0.34587412587412592</v>
      </c>
      <c r="L382" s="5" t="s">
        <v>424</v>
      </c>
      <c r="M382" s="7">
        <f>IF(R382="",(VLOOKUP(A382,[1]Export!$B$2:$H$680,7,0)),"CHURN")</f>
        <v>0.29793203782604177</v>
      </c>
      <c r="N382" s="5">
        <f t="shared" si="75"/>
        <v>67.56</v>
      </c>
      <c r="O382" s="5">
        <f t="shared" si="76"/>
        <v>56.516470955003641</v>
      </c>
      <c r="P382" s="5">
        <f t="shared" si="77"/>
        <v>67.56</v>
      </c>
      <c r="Q382" s="5" t="s">
        <v>430</v>
      </c>
      <c r="T382" s="6" t="str" cm="1">
        <f t="array" ref="T382">IF(R382&lt;&gt;"Churn","",
 _xlfn.LET(
   _xlpm.rng,Y382:BF382,
   _xlpm.pos,MAX(IF((_xlpm.rng&lt;&gt;0)*(_xlpm.rng&lt;&gt;""),COLUMN(_xlpm.rng)-COLUMN(Y382)+1)),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2" s="6" t="str" cm="1">
        <f t="array" ref="U382">IF(R382="Churn",
   MAX(IF((Y382:BF382&lt;&gt;"")*(Y382:BF382&lt;&gt;0), COLUMN(Y382:BF382)-COLUMN(Y382)+1))
   -MATCH(1, --((Y382:BF382&lt;&gt;"")*(Y382:BF382&lt;&gt;0)), 0)
   +1,
"")</f>
        <v/>
      </c>
      <c r="V382" s="6" t="str" cm="1">
        <f t="array" ref="V382">IFERROR(
    IF(
        MATCH(2,1/((Y382:BF382&lt;&gt;0)*(Y382:BF382&lt;&gt;"")))-MATCH(1,INDEX((Y382:BF382&lt;&gt;0)*(Y382:BF382&lt;&gt;""),0),0)+1 &lt;= 12,
        "No",
        "Yes"
    ),
    "No"
)</f>
        <v>Yes</v>
      </c>
      <c r="W382" s="6" t="str" cm="1">
        <f t="array" ref="W382">IFERROR(
    IF(
        MATCH(2,1/((Y382:BF382&lt;&gt;0)*(Y382:BF382&lt;&gt;"")))-MATCH(1,INDEX((Y382:BF382&lt;&gt;0)*(Y382:BF382&lt;&gt;""),0),0)+1 &lt;= 24,
        "No",
        "Yes"
    ),
    "No"
)</f>
        <v>Yes</v>
      </c>
      <c r="Y382" s="8">
        <v>71.5</v>
      </c>
      <c r="Z382" s="8">
        <v>71.5</v>
      </c>
      <c r="AA382" s="8">
        <v>71.5</v>
      </c>
      <c r="AB382" s="8">
        <v>80.5</v>
      </c>
      <c r="AC382" s="8">
        <v>80.5</v>
      </c>
      <c r="AD382" s="8">
        <v>80.5</v>
      </c>
      <c r="AE382" s="8">
        <v>80.5</v>
      </c>
      <c r="AF382" s="8">
        <v>80.5</v>
      </c>
      <c r="AG382" s="8">
        <v>80.5</v>
      </c>
      <c r="AH382" s="8">
        <v>80.5</v>
      </c>
      <c r="AI382" s="8">
        <v>80.5</v>
      </c>
      <c r="AJ382" s="8">
        <v>80.5</v>
      </c>
      <c r="AK382" s="8">
        <v>80.5</v>
      </c>
      <c r="AL382" s="8">
        <v>80.5</v>
      </c>
      <c r="AM382" s="8">
        <v>80.5</v>
      </c>
      <c r="AN382" s="8">
        <v>80.5</v>
      </c>
      <c r="AO382" s="8">
        <v>80.5</v>
      </c>
      <c r="AP382" s="8">
        <v>80.5</v>
      </c>
      <c r="AQ382" s="8">
        <v>80.5</v>
      </c>
      <c r="AR382" s="8">
        <v>80.5</v>
      </c>
      <c r="AS382" s="8">
        <v>80.5</v>
      </c>
      <c r="AT382" s="8">
        <v>80.5</v>
      </c>
      <c r="AU382" s="8">
        <v>80.5</v>
      </c>
      <c r="AV382" s="8">
        <v>80.5</v>
      </c>
      <c r="AW382" s="8">
        <v>96.23</v>
      </c>
      <c r="AX382" s="8">
        <v>96.23</v>
      </c>
      <c r="AY382" s="8">
        <v>96.23</v>
      </c>
      <c r="AZ382" s="8">
        <v>96.23</v>
      </c>
      <c r="BA382" s="8">
        <v>96.23</v>
      </c>
      <c r="BB382" s="8">
        <v>96.23</v>
      </c>
      <c r="BC382" s="8">
        <v>96.23</v>
      </c>
      <c r="BD382" s="8">
        <v>96.23</v>
      </c>
      <c r="BE382" s="8">
        <v>96.23</v>
      </c>
      <c r="BF382" s="8">
        <v>96.23</v>
      </c>
      <c r="BH382" s="8">
        <f t="shared" si="70"/>
        <v>939</v>
      </c>
      <c r="BI382" s="8">
        <f t="shared" si="71"/>
        <v>966</v>
      </c>
      <c r="BJ382" s="8">
        <f t="shared" si="72"/>
        <v>962.30000000000007</v>
      </c>
    </row>
    <row r="383" spans="1:62" x14ac:dyDescent="0.25">
      <c r="A383" s="9" t="s">
        <v>535</v>
      </c>
      <c r="B383" s="9" t="s">
        <v>644</v>
      </c>
      <c r="C383" s="10">
        <f>VLOOKUP(A383,'[2]Revenue_Engine_2025 Oct.25'!$C$14:G$3937,5,0)</f>
        <v>45688</v>
      </c>
      <c r="D383" s="6" cm="1">
        <f t="array" ref="D383">_xlfn.LET(
  _xlpm.aralık, Y383:BF383,
  _xlpm.ilk, MATCH(TRUE, _xlpm.aralık&lt;&gt;0, 0),
  _xlpm.son, MIN(_xlpm.ilk+2, COLUMNS(_xlpm.aralık)),
  MAX(INDEX(_xlpm.aralık, _xlpm.ilk):INDEX(_xlpm.aralık, _xlpm.son))
)</f>
        <v>91.712051725597547</v>
      </c>
      <c r="E383" s="6">
        <f t="shared" si="65"/>
        <v>0</v>
      </c>
      <c r="F383" s="6">
        <f t="shared" si="66"/>
        <v>0</v>
      </c>
      <c r="G383" s="6">
        <f t="shared" si="73"/>
        <v>96.221858723794497</v>
      </c>
      <c r="H383" s="7">
        <f t="shared" si="67"/>
        <v>-1</v>
      </c>
      <c r="I383" s="7">
        <f t="shared" si="68"/>
        <v>-1</v>
      </c>
      <c r="J383" s="7" t="e">
        <f t="shared" si="69"/>
        <v>#DIV/0!</v>
      </c>
      <c r="K383" s="7">
        <f t="shared" si="74"/>
        <v>4.9173548223414437E-2</v>
      </c>
      <c r="L383" s="5" t="s">
        <v>694</v>
      </c>
      <c r="M383" s="7">
        <f>IF(R383="",(VLOOKUP(A383,[1]Export!$B$2:$H$680,7,0)),"CHURN")</f>
        <v>0.2526960818606252</v>
      </c>
      <c r="N383" s="5">
        <f t="shared" si="75"/>
        <v>71.906972034945014</v>
      </c>
      <c r="O383" s="5">
        <f t="shared" si="76"/>
        <v>0</v>
      </c>
      <c r="P383" s="5">
        <f t="shared" si="77"/>
        <v>0</v>
      </c>
      <c r="Q383" s="5" t="s">
        <v>430</v>
      </c>
      <c r="T383" s="6" t="str" cm="1">
        <f t="array" ref="T383">IF(R383&lt;&gt;"Churn","",
 _xlfn.LET(
   _xlpm.rng,Y383:BF383,
   _xlpm.pos,MAX(IF((_xlpm.rng&lt;&gt;0)*(_xlpm.rng&lt;&gt;""),COLUMN(_xlpm.rng)-COLUMN(Y383)+1)),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3" s="6" t="str" cm="1">
        <f t="array" ref="U383">IF(R383="Churn",
   MAX(IF((Y383:BF383&lt;&gt;"")*(Y383:BF383&lt;&gt;0), COLUMN(Y383:BF383)-COLUMN(Y383)+1))
   -MATCH(1, --((Y383:BF383&lt;&gt;"")*(Y383:BF383&lt;&gt;0)), 0)
   +1,
"")</f>
        <v/>
      </c>
      <c r="V383" s="6" t="str" cm="1">
        <f t="array" ref="V383">IFERROR(
    IF(
        MATCH(2,1/((Y383:BF383&lt;&gt;0)*(Y383:BF383&lt;&gt;"")))-MATCH(1,INDEX((Y383:BF383&lt;&gt;0)*(Y383:BF383&lt;&gt;""),0),0)+1 &lt;= 12,
        "No",
        "Yes"
    ),
    "No"
)</f>
        <v>No</v>
      </c>
      <c r="W383" s="6" t="str" cm="1">
        <f t="array" ref="W383">IFERROR(
    IF(
        MATCH(2,1/((Y383:BF383&lt;&gt;0)*(Y383:BF383&lt;&gt;"")))-MATCH(1,INDEX((Y383:BF383&lt;&gt;0)*(Y383:BF383&lt;&gt;""),0),0)+1 &lt;= 24,
        "No",
        "Yes"
    ),
    "No"
)</f>
        <v>No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91.712051725597547</v>
      </c>
      <c r="AX383" s="8">
        <v>90.095334087361991</v>
      </c>
      <c r="AY383" s="8">
        <v>87.847571676861492</v>
      </c>
      <c r="AZ383" s="8">
        <v>85.500889919576551</v>
      </c>
      <c r="BA383" s="8">
        <v>84.067522439561927</v>
      </c>
      <c r="BB383" s="8">
        <v>82.640214432287152</v>
      </c>
      <c r="BC383" s="8">
        <v>81.050614912315709</v>
      </c>
      <c r="BD383" s="8">
        <v>79.802384176046516</v>
      </c>
      <c r="BE383" s="8">
        <v>78.836422354613504</v>
      </c>
      <c r="BF383" s="8">
        <v>96.221858723794497</v>
      </c>
      <c r="BH383" s="8">
        <f t="shared" si="70"/>
        <v>0</v>
      </c>
      <c r="BI383" s="8">
        <f t="shared" si="71"/>
        <v>0</v>
      </c>
      <c r="BJ383" s="8">
        <f t="shared" si="72"/>
        <v>857.77486444801696</v>
      </c>
    </row>
    <row r="384" spans="1:62" x14ac:dyDescent="0.25">
      <c r="A384" s="9" t="s">
        <v>362</v>
      </c>
      <c r="B384" s="9" t="s">
        <v>644</v>
      </c>
      <c r="C384" s="10">
        <v>44927</v>
      </c>
      <c r="D384" s="6" cm="1">
        <f t="array" ref="D384">_xlfn.LET(
  _xlpm.aralık, Y384:BF384,
  _xlpm.ilk, MATCH(TRUE, _xlpm.aralık&lt;&gt;0, 0),
  _xlpm.son, MIN(_xlpm.ilk+2, COLUMNS(_xlpm.aralık)),
  MAX(INDEX(_xlpm.aralık, _xlpm.ilk):INDEX(_xlpm.aralık, _xlpm.son))
)</f>
        <v>75</v>
      </c>
      <c r="E384" s="6">
        <f t="shared" si="65"/>
        <v>96.057199999999995</v>
      </c>
      <c r="F384" s="6">
        <f t="shared" si="66"/>
        <v>96.057199999999995</v>
      </c>
      <c r="G384" s="6">
        <f t="shared" si="73"/>
        <v>96.057199999999995</v>
      </c>
      <c r="H384" s="7">
        <f t="shared" si="67"/>
        <v>0.2807626666666666</v>
      </c>
      <c r="I384" s="7">
        <f t="shared" si="68"/>
        <v>0.2807626666666666</v>
      </c>
      <c r="J384" s="7">
        <f t="shared" si="69"/>
        <v>0</v>
      </c>
      <c r="K384" s="7">
        <f t="shared" si="74"/>
        <v>0.2807626666666666</v>
      </c>
      <c r="L384" s="5" t="s">
        <v>415</v>
      </c>
      <c r="M384" s="7">
        <f>IF(R384="",(VLOOKUP(A384,[1]Export!$B$2:$H$680,7,0)),"CHURN")</f>
        <v>0.36614433899801369</v>
      </c>
      <c r="N384" s="5">
        <f t="shared" si="75"/>
        <v>60.886399999999995</v>
      </c>
      <c r="O384" s="5">
        <f t="shared" si="76"/>
        <v>60.886399999999995</v>
      </c>
      <c r="P384" s="5">
        <f t="shared" si="77"/>
        <v>60.886399999999995</v>
      </c>
      <c r="Q384" s="5" t="s">
        <v>430</v>
      </c>
      <c r="T384" s="6" t="str" cm="1">
        <f t="array" ref="T384">IF(R384&lt;&gt;"Churn","",
 _xlfn.LET(
   _xlpm.rng,Y384:BF384,
   _xlpm.pos,MAX(IF((_xlpm.rng&lt;&gt;0)*(_xlpm.rng&lt;&gt;""),COLUMN(_xlpm.rng)-COLUMN(Y384)+1)),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4" s="6" t="str" cm="1">
        <f t="array" ref="U384">IF(R384="Churn",
   MAX(IF((Y384:BF384&lt;&gt;"")*(Y384:BF384&lt;&gt;0), COLUMN(Y384:BF384)-COLUMN(Y384)+1))
   -MATCH(1, --((Y384:BF384&lt;&gt;"")*(Y384:BF384&lt;&gt;0)), 0)
   +1,
"")</f>
        <v/>
      </c>
      <c r="V384" s="6" t="str" cm="1">
        <f t="array" ref="V384">IFERROR(
    IF(
        MATCH(2,1/((Y384:BF384&lt;&gt;0)*(Y384:BF384&lt;&gt;"")))-MATCH(1,INDEX((Y384:BF384&lt;&gt;0)*(Y384:BF384&lt;&gt;""),0),0)+1 &lt;= 12,
        "No",
        "Yes"
    ),
    "No"
)</f>
        <v>Yes</v>
      </c>
      <c r="W384" s="6" t="str" cm="1">
        <f t="array" ref="W384">IFERROR(
    IF(
        MATCH(2,1/((Y384:BF384&lt;&gt;0)*(Y384:BF384&lt;&gt;"")))-MATCH(1,INDEX((Y384:BF384&lt;&gt;0)*(Y384:BF384&lt;&gt;""),0),0)+1 &lt;= 24,
        "No",
        "Yes"
    ),
    "No"
)</f>
        <v>Yes</v>
      </c>
      <c r="Y384" s="8">
        <v>75</v>
      </c>
      <c r="Z384" s="8">
        <v>75</v>
      </c>
      <c r="AA384" s="8">
        <v>75</v>
      </c>
      <c r="AB384" s="8">
        <v>84</v>
      </c>
      <c r="AC384" s="8">
        <v>84</v>
      </c>
      <c r="AD384" s="8">
        <v>84</v>
      </c>
      <c r="AE384" s="8">
        <v>89.057199999999995</v>
      </c>
      <c r="AF384" s="8">
        <v>89.057199999999995</v>
      </c>
      <c r="AG384" s="8">
        <v>96.057199999999995</v>
      </c>
      <c r="AH384" s="8">
        <v>96.057199999999995</v>
      </c>
      <c r="AI384" s="8">
        <v>96.057199999999995</v>
      </c>
      <c r="AJ384" s="8">
        <v>96.057199999999995</v>
      </c>
      <c r="AK384" s="8">
        <v>96.057199999999995</v>
      </c>
      <c r="AL384" s="8">
        <v>96.057199999999995</v>
      </c>
      <c r="AM384" s="8">
        <v>96.057199999999995</v>
      </c>
      <c r="AN384" s="8">
        <v>96.057199999999995</v>
      </c>
      <c r="AO384" s="8">
        <v>96.057199999999995</v>
      </c>
      <c r="AP384" s="8">
        <v>96.057199999999995</v>
      </c>
      <c r="AQ384" s="8">
        <v>96.057199999999995</v>
      </c>
      <c r="AR384" s="8">
        <v>96.057199999999995</v>
      </c>
      <c r="AS384" s="8">
        <v>96.057199999999995</v>
      </c>
      <c r="AT384" s="8">
        <v>96.057199999999995</v>
      </c>
      <c r="AU384" s="8">
        <v>96.057199999999995</v>
      </c>
      <c r="AV384" s="8">
        <v>96.057199999999995</v>
      </c>
      <c r="AW384" s="8">
        <v>96.057199999999995</v>
      </c>
      <c r="AX384" s="8">
        <v>96.057199999999995</v>
      </c>
      <c r="AY384" s="8">
        <v>96.057199999999995</v>
      </c>
      <c r="AZ384" s="8">
        <v>96.057199999999995</v>
      </c>
      <c r="BA384" s="8">
        <v>96.057199999999995</v>
      </c>
      <c r="BB384" s="8">
        <v>96.057199999999995</v>
      </c>
      <c r="BC384" s="8">
        <v>96.057199999999995</v>
      </c>
      <c r="BD384" s="8">
        <v>96.057199999999995</v>
      </c>
      <c r="BE384" s="8">
        <v>96.057199999999995</v>
      </c>
      <c r="BF384" s="8">
        <v>96.057199999999995</v>
      </c>
      <c r="BH384" s="8">
        <f t="shared" si="70"/>
        <v>1039.3431999999998</v>
      </c>
      <c r="BI384" s="8">
        <f t="shared" si="71"/>
        <v>1152.6863999999998</v>
      </c>
      <c r="BJ384" s="8">
        <f t="shared" si="72"/>
        <v>960.57199999999978</v>
      </c>
    </row>
    <row r="385" spans="1:62" x14ac:dyDescent="0.25">
      <c r="A385" s="9" t="s">
        <v>536</v>
      </c>
      <c r="B385" s="9" t="s">
        <v>644</v>
      </c>
      <c r="C385" s="10">
        <f>VLOOKUP(A385,'[2]Revenue_Engine_2025 Oct.25'!$C$14:G$3937,5,0)</f>
        <v>45602</v>
      </c>
      <c r="D385" s="6" cm="1">
        <f t="array" ref="D385">_xlfn.LET(
  _xlpm.aralık, Y385:BF385,
  _xlpm.ilk, MATCH(TRUE, _xlpm.aralık&lt;&gt;0, 0),
  _xlpm.son, MIN(_xlpm.ilk+2, COLUMNS(_xlpm.aralık)),
  MAX(INDEX(_xlpm.aralık, _xlpm.ilk):INDEX(_xlpm.aralık, _xlpm.son))
)</f>
        <v>94.998424916666664</v>
      </c>
      <c r="E385" s="6">
        <f t="shared" si="65"/>
        <v>0</v>
      </c>
      <c r="F385" s="6">
        <f t="shared" si="66"/>
        <v>0</v>
      </c>
      <c r="G385" s="6">
        <f t="shared" si="73"/>
        <v>94.998424916666664</v>
      </c>
      <c r="H385" s="7">
        <f t="shared" si="67"/>
        <v>-1</v>
      </c>
      <c r="I385" s="7">
        <f t="shared" si="68"/>
        <v>-1</v>
      </c>
      <c r="J385" s="7" t="e">
        <f t="shared" si="69"/>
        <v>#DIV/0!</v>
      </c>
      <c r="K385" s="7">
        <f t="shared" si="74"/>
        <v>0</v>
      </c>
      <c r="L385" s="5" t="s">
        <v>694</v>
      </c>
      <c r="M385" s="7">
        <f>IF(R385="",(VLOOKUP(A385,[1]Export!$B$2:$H$680,7,0)),"CHURN")</f>
        <v>0.31951281150144756</v>
      </c>
      <c r="N385" s="5">
        <f t="shared" si="75"/>
        <v>64.645211083333322</v>
      </c>
      <c r="O385" s="5">
        <f t="shared" si="76"/>
        <v>0</v>
      </c>
      <c r="P385" s="5">
        <f t="shared" si="77"/>
        <v>0</v>
      </c>
      <c r="Q385" s="5" t="s">
        <v>430</v>
      </c>
      <c r="T385" s="6" t="str" cm="1">
        <f t="array" ref="T385">IF(R385&lt;&gt;"Churn","",
 _xlfn.LET(
   _xlpm.rng,Y385:BF385,
   _xlpm.pos,MAX(IF((_xlpm.rng&lt;&gt;0)*(_xlpm.rng&lt;&gt;""),COLUMN(_xlpm.rng)-COLUMN(Y385)+1)),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5" s="6" t="str" cm="1">
        <f t="array" ref="U385">IF(R385="Churn",
   MAX(IF((Y385:BF385&lt;&gt;"")*(Y385:BF385&lt;&gt;0), COLUMN(Y385:BF385)-COLUMN(Y385)+1))
   -MATCH(1, --((Y385:BF385&lt;&gt;"")*(Y385:BF385&lt;&gt;0)), 0)
   +1,
"")</f>
        <v/>
      </c>
      <c r="V385" s="6" t="str" cm="1">
        <f t="array" ref="V385">IFERROR(
    IF(
        MATCH(2,1/((Y385:BF385&lt;&gt;0)*(Y385:BF385&lt;&gt;"")))-MATCH(1,INDEX((Y385:BF385&lt;&gt;0)*(Y385:BF385&lt;&gt;""),0),0)+1 &lt;= 12,
        "No",
        "Yes"
    ),
    "No"
)</f>
        <v>No</v>
      </c>
      <c r="W385" s="6" t="str" cm="1">
        <f t="array" ref="W385">IFERROR(
    IF(
        MATCH(2,1/((Y385:BF385&lt;&gt;0)*(Y385:BF385&lt;&gt;"")))-MATCH(1,INDEX((Y385:BF385&lt;&gt;0)*(Y385:BF385&lt;&gt;""),0),0)+1 &lt;= 24,
        "No",
        "Yes"
    ),
    "No"
)</f>
        <v>No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94.998424916666664</v>
      </c>
      <c r="AV385" s="8">
        <v>94.998424916666664</v>
      </c>
      <c r="AW385" s="8">
        <v>94.998424916666664</v>
      </c>
      <c r="AX385" s="8">
        <v>94.998424916666664</v>
      </c>
      <c r="AY385" s="8">
        <v>94.998424916666664</v>
      </c>
      <c r="AZ385" s="8">
        <v>94.998424916666664</v>
      </c>
      <c r="BA385" s="8">
        <v>94.998424916666664</v>
      </c>
      <c r="BB385" s="8">
        <v>94.998424916666664</v>
      </c>
      <c r="BC385" s="8">
        <v>94.998424916666664</v>
      </c>
      <c r="BD385" s="8">
        <v>94.998424916666664</v>
      </c>
      <c r="BE385" s="8">
        <v>94.998424916666664</v>
      </c>
      <c r="BF385" s="8">
        <v>94.998424916666664</v>
      </c>
      <c r="BH385" s="8">
        <f t="shared" si="70"/>
        <v>0</v>
      </c>
      <c r="BI385" s="8">
        <f t="shared" si="71"/>
        <v>189.99684983333333</v>
      </c>
      <c r="BJ385" s="8">
        <f t="shared" si="72"/>
        <v>949.98424916666647</v>
      </c>
    </row>
    <row r="386" spans="1:62" x14ac:dyDescent="0.25">
      <c r="A386" s="9" t="s">
        <v>344</v>
      </c>
      <c r="B386" s="9" t="s">
        <v>644</v>
      </c>
      <c r="C386" s="10">
        <f>VLOOKUP(A386,'[2]Revenue_Engine_2025 Oct.25'!$C$14:G$3937,5,0)</f>
        <v>45273</v>
      </c>
      <c r="D386" s="6" cm="1">
        <f t="array" ref="D386">_xlfn.LET(
  _xlpm.aralık, Y386:BF386,
  _xlpm.ilk, MATCH(TRUE, _xlpm.aralık&lt;&gt;0, 0),
  _xlpm.son, MIN(_xlpm.ilk+2, COLUMNS(_xlpm.aralık)),
  MAX(INDEX(_xlpm.aralık, _xlpm.ilk):INDEX(_xlpm.aralık, _xlpm.son))
)</f>
        <v>99.333333333333329</v>
      </c>
      <c r="E386" s="6">
        <f t="shared" ref="E386:E449" si="78">IFERROR(INDEX($Y386:$BF386,MATCH(TEXT(EDATE($C386,12),"mmm.yy"),$Y$1:$BF$1,0)),0)</f>
        <v>99.376666666666665</v>
      </c>
      <c r="F386" s="6">
        <f t="shared" ref="F386:F449" si="79">IFERROR(INDEX($Y386:$BF386,MATCH(TEXT(EDATE($C386,24),"mmm.yy"),$Y$1:$BF$1,0)),0)</f>
        <v>0</v>
      </c>
      <c r="G386" s="6">
        <f t="shared" si="73"/>
        <v>94.876666666666665</v>
      </c>
      <c r="H386" s="7">
        <f t="shared" ref="H386:H449" si="80">(E386-D386)/D386</f>
        <v>4.362416107382875E-4</v>
      </c>
      <c r="I386" s="7">
        <f t="shared" ref="I386:I449" si="81">(F386-D386)/D386</f>
        <v>-1</v>
      </c>
      <c r="J386" s="7">
        <f t="shared" ref="J386:J449" si="82">(F386-E386)/E386</f>
        <v>-1</v>
      </c>
      <c r="K386" s="7">
        <f t="shared" si="74"/>
        <v>-4.4865771812080506E-2</v>
      </c>
      <c r="L386" s="5" t="s">
        <v>694</v>
      </c>
      <c r="M386" s="7">
        <f>IF(R386="",(VLOOKUP(A386,[1]Export!$B$2:$H$680,7,0)),"CHURN")</f>
        <v>0.3144186174933471</v>
      </c>
      <c r="N386" s="5">
        <f t="shared" si="75"/>
        <v>65.045676300956202</v>
      </c>
      <c r="O386" s="5">
        <f t="shared" si="76"/>
        <v>68.130792522236149</v>
      </c>
      <c r="P386" s="5">
        <f t="shared" si="77"/>
        <v>0</v>
      </c>
      <c r="Q386" s="5" t="str">
        <f>VLOOKUP(A386,[4]Sheet2!$A$1:$B$142,2,0)</f>
        <v>NO RISK</v>
      </c>
      <c r="T386" s="6" t="str" cm="1">
        <f t="array" ref="T386">IF(R386&lt;&gt;"Churn","",
 _xlfn.LET(
   _xlpm.rng,Y386:BF386,
   _xlpm.pos,MAX(IF((_xlpm.rng&lt;&gt;0)*(_xlpm.rng&lt;&gt;""),COLUMN(_xlpm.rng)-COLUMN(Y386)+1)),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6" s="6" t="str" cm="1">
        <f t="array" ref="U386">IF(R386="Churn",
   MAX(IF((Y386:BF386&lt;&gt;"")*(Y386:BF386&lt;&gt;0), COLUMN(Y386:BF386)-COLUMN(Y386)+1))
   -MATCH(1, --((Y386:BF386&lt;&gt;"")*(Y386:BF386&lt;&gt;0)), 0)
   +1,
"")</f>
        <v/>
      </c>
      <c r="V386" s="6" t="str" cm="1">
        <f t="array" ref="V386">IFERROR(
    IF(
        MATCH(2,1/((Y386:BF386&lt;&gt;0)*(Y386:BF386&lt;&gt;"")))-MATCH(1,INDEX((Y386:BF386&lt;&gt;0)*(Y386:BF386&lt;&gt;""),0),0)+1 &lt;= 12,
        "No",
        "Yes"
    ),
    "No"
)</f>
        <v>Yes</v>
      </c>
      <c r="W386" s="6" t="str" cm="1">
        <f t="array" ref="W386">IFERROR(
    IF(
        MATCH(2,1/((Y386:BF386&lt;&gt;0)*(Y386:BF386&lt;&gt;"")))-MATCH(1,INDEX((Y386:BF386&lt;&gt;0)*(Y386:BF386&lt;&gt;""),0),0)+1 &lt;= 24,
        "No",
        "Yes"
    ),
    "No"
)</f>
        <v>No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99.333333333333329</v>
      </c>
      <c r="AK386" s="8">
        <v>99.333333333333329</v>
      </c>
      <c r="AL386" s="8">
        <v>99.333333333333329</v>
      </c>
      <c r="AM386" s="8">
        <v>99.333333333333329</v>
      </c>
      <c r="AN386" s="8">
        <v>99.333333333333329</v>
      </c>
      <c r="AO386" s="8">
        <v>99.333333333333329</v>
      </c>
      <c r="AP386" s="8">
        <v>99.333333333333329</v>
      </c>
      <c r="AQ386" s="8">
        <v>99.333333333333329</v>
      </c>
      <c r="AR386" s="8">
        <v>99.333333333333329</v>
      </c>
      <c r="AS386" s="8">
        <v>99.333333333333329</v>
      </c>
      <c r="AT386" s="8">
        <v>99.333333333333329</v>
      </c>
      <c r="AU386" s="8">
        <v>99.333333333333329</v>
      </c>
      <c r="AV386" s="8">
        <v>99.376666666666665</v>
      </c>
      <c r="AW386" s="8">
        <v>93.376666666666665</v>
      </c>
      <c r="AX386" s="8">
        <v>93.376666666666665</v>
      </c>
      <c r="AY386" s="8">
        <v>94.876666666666665</v>
      </c>
      <c r="AZ386" s="8">
        <v>94.876666666666665</v>
      </c>
      <c r="BA386" s="8">
        <v>94.876666666666665</v>
      </c>
      <c r="BB386" s="8">
        <v>94.876666666666665</v>
      </c>
      <c r="BC386" s="8">
        <v>94.876666666666665</v>
      </c>
      <c r="BD386" s="8">
        <v>94.876666666666665</v>
      </c>
      <c r="BE386" s="8">
        <v>94.876666666666665</v>
      </c>
      <c r="BF386" s="8">
        <v>94.876666666666665</v>
      </c>
      <c r="BH386" s="8">
        <f t="shared" ref="BH386:BH449" si="83">SUM(Y386:AJ386)</f>
        <v>99.333333333333329</v>
      </c>
      <c r="BI386" s="8">
        <f t="shared" ref="BI386:BI449" si="84">SUM(AK386:AV386)</f>
        <v>1192.0433333333335</v>
      </c>
      <c r="BJ386" s="8">
        <f t="shared" ref="BJ386:BJ449" si="85">SUM(AW386:BF386)</f>
        <v>945.76666666666665</v>
      </c>
    </row>
    <row r="387" spans="1:62" x14ac:dyDescent="0.25">
      <c r="A387" s="9" t="s">
        <v>358</v>
      </c>
      <c r="B387" s="9" t="s">
        <v>644</v>
      </c>
      <c r="C387" s="10">
        <f>VLOOKUP(A387,'[2]Revenue_Engine_2025 Oct.25'!$C$14:G$3937,5,0)</f>
        <v>45230</v>
      </c>
      <c r="D387" s="6" cm="1">
        <f t="array" ref="D387">_xlfn.LET(
  _xlpm.aralık, Y387:BF387,
  _xlpm.ilk, MATCH(TRUE, _xlpm.aralık&lt;&gt;0, 0),
  _xlpm.son, MIN(_xlpm.ilk+2, COLUMNS(_xlpm.aralık)),
  MAX(INDEX(_xlpm.aralık, _xlpm.ilk):INDEX(_xlpm.aralık, _xlpm.son))
)</f>
        <v>99.333333333333329</v>
      </c>
      <c r="E387" s="6">
        <f t="shared" si="78"/>
        <v>91.083333333333329</v>
      </c>
      <c r="F387" s="6">
        <f t="shared" si="79"/>
        <v>94.083333333333329</v>
      </c>
      <c r="G387" s="6">
        <f t="shared" ref="G387:G450" si="86">BF387</f>
        <v>94.083333333333329</v>
      </c>
      <c r="H387" s="7">
        <f t="shared" si="80"/>
        <v>-8.305369127516779E-2</v>
      </c>
      <c r="I387" s="7">
        <f t="shared" si="81"/>
        <v>-5.2852348993288591E-2</v>
      </c>
      <c r="J387" s="7">
        <f t="shared" si="82"/>
        <v>3.2936870997255265E-2</v>
      </c>
      <c r="K387" s="7">
        <f t="shared" ref="K387:K450" si="87">IF(R387="",((BF387-D387)/D387),((T387-D387)/D387))</f>
        <v>-5.2852348993288591E-2</v>
      </c>
      <c r="L387" s="5" t="s">
        <v>694</v>
      </c>
      <c r="M387" s="7">
        <f>IF(R387="",(VLOOKUP(A387,[1]Export!$B$2:$H$680,7,0)),"CHURN")</f>
        <v>0</v>
      </c>
      <c r="N387" s="5">
        <f t="shared" ref="N387:N450" si="88">(1-M387)*G387</f>
        <v>94.083333333333329</v>
      </c>
      <c r="O387" s="5">
        <f t="shared" ref="O387:O450" si="89">(1-M387)*E387</f>
        <v>91.083333333333329</v>
      </c>
      <c r="P387" s="5">
        <f t="shared" ref="P387:P450" si="90">(1-M387)*F387</f>
        <v>94.083333333333329</v>
      </c>
      <c r="Q387" s="5" t="s">
        <v>430</v>
      </c>
      <c r="T387" s="6" t="str" cm="1">
        <f t="array" ref="T387">IF(R387&lt;&gt;"Churn","",
 _xlfn.LET(
   _xlpm.rng,Y387:BF387,
   _xlpm.pos,MAX(IF((_xlpm.rng&lt;&gt;0)*(_xlpm.rng&lt;&gt;""),COLUMN(_xlpm.rng)-COLUMN(Y387)+1)),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7" s="6" t="str" cm="1">
        <f t="array" ref="U387">IF(R387="Churn",
   MAX(IF((Y387:BF387&lt;&gt;"")*(Y387:BF387&lt;&gt;0), COLUMN(Y387:BF387)-COLUMN(Y387)+1))
   -MATCH(1, --((Y387:BF387&lt;&gt;"")*(Y387:BF387&lt;&gt;0)), 0)
   +1,
"")</f>
        <v/>
      </c>
      <c r="V387" s="6" t="str" cm="1">
        <f t="array" ref="V387">IFERROR(
    IF(
        MATCH(2,1/((Y387:BF387&lt;&gt;0)*(Y387:BF387&lt;&gt;"")))-MATCH(1,INDEX((Y387:BF387&lt;&gt;0)*(Y387:BF387&lt;&gt;""),0),0)+1 &lt;= 12,
        "No",
        "Yes"
    ),
    "No"
)</f>
        <v>Yes</v>
      </c>
      <c r="W387" s="6" t="str" cm="1">
        <f t="array" ref="W387">IFERROR(
    IF(
        MATCH(2,1/((Y387:BF387&lt;&gt;0)*(Y387:BF387&lt;&gt;"")))-MATCH(1,INDEX((Y387:BF387&lt;&gt;0)*(Y387:BF387&lt;&gt;""),0),0)+1 &lt;= 24,
        "No",
        "Yes"
    ),
    "No"
)</f>
        <v>Yes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99.333333333333329</v>
      </c>
      <c r="AI387" s="8">
        <v>99.333333333333329</v>
      </c>
      <c r="AJ387" s="8">
        <v>99.333333333333329</v>
      </c>
      <c r="AK387" s="8">
        <v>99.333333333333329</v>
      </c>
      <c r="AL387" s="8">
        <v>99.333333333333329</v>
      </c>
      <c r="AM387" s="8">
        <v>99.333333333333329</v>
      </c>
      <c r="AN387" s="8">
        <v>99.333333333333329</v>
      </c>
      <c r="AO387" s="8">
        <v>99.333333333333329</v>
      </c>
      <c r="AP387" s="8">
        <v>99.333333333333329</v>
      </c>
      <c r="AQ387" s="8">
        <v>99.333333333333329</v>
      </c>
      <c r="AR387" s="8">
        <v>99.333333333333329</v>
      </c>
      <c r="AS387" s="8">
        <v>99.333333333333329</v>
      </c>
      <c r="AT387" s="8">
        <v>91.083333333333329</v>
      </c>
      <c r="AU387" s="8">
        <v>91.083333333333329</v>
      </c>
      <c r="AV387" s="8">
        <v>91.083333333333329</v>
      </c>
      <c r="AW387" s="8">
        <v>91.083333333333329</v>
      </c>
      <c r="AX387" s="8">
        <v>91.083333333333329</v>
      </c>
      <c r="AY387" s="8">
        <v>94.083333333333329</v>
      </c>
      <c r="AZ387" s="8">
        <v>94.083333333333329</v>
      </c>
      <c r="BA387" s="8">
        <v>94.083333333333329</v>
      </c>
      <c r="BB387" s="8">
        <v>94.083333333333329</v>
      </c>
      <c r="BC387" s="8">
        <v>94.083333333333329</v>
      </c>
      <c r="BD387" s="8">
        <v>94.083333333333329</v>
      </c>
      <c r="BE387" s="8">
        <v>94.083333333333329</v>
      </c>
      <c r="BF387" s="8">
        <v>94.083333333333329</v>
      </c>
      <c r="BH387" s="8">
        <f t="shared" si="83"/>
        <v>298</v>
      </c>
      <c r="BI387" s="8">
        <f t="shared" si="84"/>
        <v>1167.25</v>
      </c>
      <c r="BJ387" s="8">
        <f t="shared" si="85"/>
        <v>934.83333333333348</v>
      </c>
    </row>
    <row r="388" spans="1:62" x14ac:dyDescent="0.25">
      <c r="A388" s="9" t="s">
        <v>346</v>
      </c>
      <c r="B388" s="9" t="s">
        <v>644</v>
      </c>
      <c r="C388" s="10">
        <f>VLOOKUP(A388,'[2]Revenue_Engine_2025 Oct.25'!$C$14:G$3937,5,0)</f>
        <v>45286</v>
      </c>
      <c r="D388" s="6" cm="1">
        <f t="array" ref="D388">_xlfn.LET(
  _xlpm.aralık, Y388:BF388,
  _xlpm.ilk, MATCH(TRUE, _xlpm.aralık&lt;&gt;0, 0),
  _xlpm.son, MIN(_xlpm.ilk+2, COLUMNS(_xlpm.aralık)),
  MAX(INDEX(_xlpm.aralık, _xlpm.ilk):INDEX(_xlpm.aralık, _xlpm.son))
)</f>
        <v>99.333333416666676</v>
      </c>
      <c r="E388" s="6">
        <f t="shared" si="78"/>
        <v>93.333596916666664</v>
      </c>
      <c r="F388" s="6">
        <f t="shared" si="79"/>
        <v>0</v>
      </c>
      <c r="G388" s="6">
        <f t="shared" si="86"/>
        <v>93.333596916666664</v>
      </c>
      <c r="H388" s="7">
        <f t="shared" si="80"/>
        <v>-6.0400031828523576E-2</v>
      </c>
      <c r="I388" s="7">
        <f t="shared" si="81"/>
        <v>-1</v>
      </c>
      <c r="J388" s="7">
        <f t="shared" si="82"/>
        <v>-1</v>
      </c>
      <c r="K388" s="7">
        <f t="shared" si="87"/>
        <v>-6.0400031828523576E-2</v>
      </c>
      <c r="L388" s="5" t="s">
        <v>694</v>
      </c>
      <c r="M388" s="7">
        <f>IF(R388="",(VLOOKUP(A388,[1]Export!$B$2:$H$680,7,0)),"CHURN")</f>
        <v>0.31952410477255055</v>
      </c>
      <c r="N388" s="5">
        <f t="shared" si="88"/>
        <v>63.511262916666666</v>
      </c>
      <c r="O388" s="5">
        <f t="shared" si="89"/>
        <v>63.511262916666666</v>
      </c>
      <c r="P388" s="5">
        <f t="shared" si="90"/>
        <v>0</v>
      </c>
      <c r="Q388" s="5" t="s">
        <v>430</v>
      </c>
      <c r="T388" s="6" t="str" cm="1">
        <f t="array" ref="T388">IF(R388&lt;&gt;"Churn","",
 _xlfn.LET(
   _xlpm.rng,Y388:BF388,
   _xlpm.pos,MAX(IF((_xlpm.rng&lt;&gt;0)*(_xlpm.rng&lt;&gt;""),COLUMN(_xlpm.rng)-COLUMN(Y388)+1)),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8" s="6" t="str" cm="1">
        <f t="array" ref="U388">IF(R388="Churn",
   MAX(IF((Y388:BF388&lt;&gt;"")*(Y388:BF388&lt;&gt;0), COLUMN(Y388:BF388)-COLUMN(Y388)+1))
   -MATCH(1, --((Y388:BF388&lt;&gt;"")*(Y388:BF388&lt;&gt;0)), 0)
   +1,
"")</f>
        <v/>
      </c>
      <c r="V388" s="6" t="str" cm="1">
        <f t="array" ref="V388">IFERROR(
    IF(
        MATCH(2,1/((Y388:BF388&lt;&gt;0)*(Y388:BF388&lt;&gt;"")))-MATCH(1,INDEX((Y388:BF388&lt;&gt;0)*(Y388:BF388&lt;&gt;""),0),0)+1 &lt;= 12,
        "No",
        "Yes"
    ),
    "No"
)</f>
        <v>Yes</v>
      </c>
      <c r="W388" s="6" t="str" cm="1">
        <f t="array" ref="W388">IFERROR(
    IF(
        MATCH(2,1/((Y388:BF388&lt;&gt;0)*(Y388:BF388&lt;&gt;"")))-MATCH(1,INDEX((Y388:BF388&lt;&gt;0)*(Y388:BF388&lt;&gt;""),0),0)+1 &lt;= 24,
        "No",
        "Yes"
    ),
    "No"
)</f>
        <v>No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99.333333416666676</v>
      </c>
      <c r="AK388" s="8">
        <v>99.333333416666676</v>
      </c>
      <c r="AL388" s="8">
        <v>99.333333416666676</v>
      </c>
      <c r="AM388" s="8">
        <v>99.333333416666676</v>
      </c>
      <c r="AN388" s="8">
        <v>99.333333416666676</v>
      </c>
      <c r="AO388" s="8">
        <v>99.333333416666676</v>
      </c>
      <c r="AP388" s="8">
        <v>99.333333416666676</v>
      </c>
      <c r="AQ388" s="8">
        <v>99.333333416666676</v>
      </c>
      <c r="AR388" s="8">
        <v>99.333333416666676</v>
      </c>
      <c r="AS388" s="8">
        <v>99.333333416666676</v>
      </c>
      <c r="AT388" s="8">
        <v>99.333333416666676</v>
      </c>
      <c r="AU388" s="8">
        <v>99.333333416666676</v>
      </c>
      <c r="AV388" s="8">
        <v>93.333596916666664</v>
      </c>
      <c r="AW388" s="8">
        <v>93.333596916666664</v>
      </c>
      <c r="AX388" s="8">
        <v>93.333596916666664</v>
      </c>
      <c r="AY388" s="8">
        <v>93.333596916666664</v>
      </c>
      <c r="AZ388" s="8">
        <v>93.333596916666664</v>
      </c>
      <c r="BA388" s="8">
        <v>93.333596916666664</v>
      </c>
      <c r="BB388" s="8">
        <v>93.333596916666664</v>
      </c>
      <c r="BC388" s="8">
        <v>93.333596916666664</v>
      </c>
      <c r="BD388" s="8">
        <v>93.333596916666664</v>
      </c>
      <c r="BE388" s="8">
        <v>93.333596916666664</v>
      </c>
      <c r="BF388" s="8">
        <v>93.333596916666664</v>
      </c>
      <c r="BH388" s="8">
        <f t="shared" si="83"/>
        <v>99.333333416666676</v>
      </c>
      <c r="BI388" s="8">
        <f t="shared" si="84"/>
        <v>1186.0002645</v>
      </c>
      <c r="BJ388" s="8">
        <f t="shared" si="85"/>
        <v>933.33596916666681</v>
      </c>
    </row>
    <row r="389" spans="1:62" x14ac:dyDescent="0.25">
      <c r="A389" s="9" t="s">
        <v>400</v>
      </c>
      <c r="B389" s="9" t="s">
        <v>644</v>
      </c>
      <c r="C389" s="10">
        <f>VLOOKUP(A389,'[2]Revenue_Engine_2025 Oct.25'!$C$14:G$3937,5,0)</f>
        <v>45293</v>
      </c>
      <c r="D389" s="6" cm="1">
        <f t="array" ref="D389">_xlfn.LET(
  _xlpm.aralık, Y389:BF389,
  _xlpm.ilk, MATCH(TRUE, _xlpm.aralık&lt;&gt;0, 0),
  _xlpm.son, MIN(_xlpm.ilk+2, COLUMNS(_xlpm.aralık)),
  MAX(INDEX(_xlpm.aralık, _xlpm.ilk):INDEX(_xlpm.aralık, _xlpm.son))
)</f>
        <v>86.000833249999999</v>
      </c>
      <c r="E389" s="6">
        <f t="shared" si="78"/>
        <v>88.500833416666666</v>
      </c>
      <c r="F389" s="6">
        <f t="shared" si="79"/>
        <v>0</v>
      </c>
      <c r="G389" s="6">
        <f t="shared" si="86"/>
        <v>88.500833416666666</v>
      </c>
      <c r="H389" s="7">
        <f t="shared" si="80"/>
        <v>2.9069487726930441E-2</v>
      </c>
      <c r="I389" s="7">
        <f t="shared" si="81"/>
        <v>-1</v>
      </c>
      <c r="J389" s="7">
        <f t="shared" si="82"/>
        <v>-1</v>
      </c>
      <c r="K389" s="7">
        <f t="shared" si="87"/>
        <v>2.9069487726930441E-2</v>
      </c>
      <c r="L389" s="5" t="s">
        <v>694</v>
      </c>
      <c r="M389" s="7">
        <f>IF(R389="",(VLOOKUP(A389,[1]Export!$B$2:$H$680,7,0)),"CHURN")</f>
        <v>0.29361231599173993</v>
      </c>
      <c r="N389" s="5">
        <f t="shared" si="88"/>
        <v>62.515898749999998</v>
      </c>
      <c r="O389" s="5">
        <f t="shared" si="89"/>
        <v>62.515898749999998</v>
      </c>
      <c r="P389" s="5">
        <f t="shared" si="90"/>
        <v>0</v>
      </c>
      <c r="Q389" s="5" t="s">
        <v>430</v>
      </c>
      <c r="T389" s="6" t="str" cm="1">
        <f t="array" ref="T389">IF(R389&lt;&gt;"Churn","",
 _xlfn.LET(
   _xlpm.rng,Y389:BF389,
   _xlpm.pos,MAX(IF((_xlpm.rng&lt;&gt;0)*(_xlpm.rng&lt;&gt;""),COLUMN(_xlpm.rng)-COLUMN(Y389)+1)),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89" s="6" t="str" cm="1">
        <f t="array" ref="U389">IF(R389="Churn",
   MAX(IF((Y389:BF389&lt;&gt;"")*(Y389:BF389&lt;&gt;0), COLUMN(Y389:BF389)-COLUMN(Y389)+1))
   -MATCH(1, --((Y389:BF389&lt;&gt;"")*(Y389:BF389&lt;&gt;0)), 0)
   +1,
"")</f>
        <v/>
      </c>
      <c r="V389" s="6" t="str" cm="1">
        <f t="array" ref="V389">IFERROR(
    IF(
        MATCH(2,1/((Y389:BF389&lt;&gt;0)*(Y389:BF389&lt;&gt;"")))-MATCH(1,INDEX((Y389:BF389&lt;&gt;0)*(Y389:BF389&lt;&gt;""),0),0)+1 &lt;= 12,
        "No",
        "Yes"
    ),
    "No"
)</f>
        <v>Yes</v>
      </c>
      <c r="W389" s="6" t="str" cm="1">
        <f t="array" ref="W389">IFERROR(
    IF(
        MATCH(2,1/((Y389:BF389&lt;&gt;0)*(Y389:BF389&lt;&gt;"")))-MATCH(1,INDEX((Y389:BF389&lt;&gt;0)*(Y389:BF389&lt;&gt;""),0),0)+1 &lt;= 24,
        "No",
        "Yes"
    ),
    "No"
)</f>
        <v>No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86.000833249999999</v>
      </c>
      <c r="AL389" s="8">
        <v>86.000833249999999</v>
      </c>
      <c r="AM389" s="8">
        <v>86.000833249999999</v>
      </c>
      <c r="AN389" s="8">
        <v>86.000833249999999</v>
      </c>
      <c r="AO389" s="8">
        <v>86.000833249999999</v>
      </c>
      <c r="AP389" s="8">
        <v>86.000833249999999</v>
      </c>
      <c r="AQ389" s="8">
        <v>86.000833249999999</v>
      </c>
      <c r="AR389" s="8">
        <v>86.000833249999999</v>
      </c>
      <c r="AS389" s="8">
        <v>86.000833249999999</v>
      </c>
      <c r="AT389" s="8">
        <v>86.000833249999999</v>
      </c>
      <c r="AU389" s="8">
        <v>86.000833249999999</v>
      </c>
      <c r="AV389" s="8">
        <v>86.000833249999999</v>
      </c>
      <c r="AW389" s="8">
        <v>88.500833416666666</v>
      </c>
      <c r="AX389" s="8">
        <v>88.500833416666666</v>
      </c>
      <c r="AY389" s="8">
        <v>88.500833416666666</v>
      </c>
      <c r="AZ389" s="8">
        <v>88.500833416666666</v>
      </c>
      <c r="BA389" s="8">
        <v>88.500833416666666</v>
      </c>
      <c r="BB389" s="8">
        <v>88.500833416666666</v>
      </c>
      <c r="BC389" s="8">
        <v>88.500833416666666</v>
      </c>
      <c r="BD389" s="8">
        <v>88.500833416666666</v>
      </c>
      <c r="BE389" s="8">
        <v>88.500833416666666</v>
      </c>
      <c r="BF389" s="8">
        <v>88.500833416666666</v>
      </c>
      <c r="BH389" s="8">
        <f t="shared" si="83"/>
        <v>0</v>
      </c>
      <c r="BI389" s="8">
        <f t="shared" si="84"/>
        <v>1032.0099990000001</v>
      </c>
      <c r="BJ389" s="8">
        <f t="shared" si="85"/>
        <v>885.00833416666649</v>
      </c>
    </row>
    <row r="390" spans="1:62" x14ac:dyDescent="0.25">
      <c r="A390" s="9" t="s">
        <v>398</v>
      </c>
      <c r="B390" s="9" t="s">
        <v>644</v>
      </c>
      <c r="C390" s="10">
        <f>VLOOKUP(A390,'[2]Revenue_Engine_2025 Oct.25'!$C$14:G$3937,5,0)</f>
        <v>45322</v>
      </c>
      <c r="D390" s="6" cm="1">
        <f t="array" ref="D390">_xlfn.LET(
  _xlpm.aralık, Y390:BF390,
  _xlpm.ilk, MATCH(TRUE, _xlpm.aralık&lt;&gt;0, 0),
  _xlpm.son, MIN(_xlpm.ilk+2, COLUMNS(_xlpm.aralık)),
  MAX(INDEX(_xlpm.aralık, _xlpm.ilk):INDEX(_xlpm.aralık, _xlpm.son))
)</f>
        <v>103.19916674999999</v>
      </c>
      <c r="E390" s="6">
        <f t="shared" si="78"/>
        <v>86</v>
      </c>
      <c r="F390" s="6">
        <f t="shared" si="79"/>
        <v>0</v>
      </c>
      <c r="G390" s="6">
        <f t="shared" si="86"/>
        <v>86.001364833333341</v>
      </c>
      <c r="H390" s="7">
        <f t="shared" si="80"/>
        <v>-0.16665993817241737</v>
      </c>
      <c r="I390" s="7">
        <f t="shared" si="81"/>
        <v>-1</v>
      </c>
      <c r="J390" s="7">
        <f t="shared" si="82"/>
        <v>-1</v>
      </c>
      <c r="K390" s="7">
        <f t="shared" si="87"/>
        <v>-0.1666467129364361</v>
      </c>
      <c r="L390" s="5" t="s">
        <v>694</v>
      </c>
      <c r="M390" s="7">
        <f>IF(R390="",(VLOOKUP(A390,[1]Export!$B$2:$H$680,7,0)),"CHURN")</f>
        <v>0.30339604842976625</v>
      </c>
      <c r="N390" s="5">
        <f t="shared" si="88"/>
        <v>59.908890583333346</v>
      </c>
      <c r="O390" s="5">
        <f t="shared" si="89"/>
        <v>59.907939835040111</v>
      </c>
      <c r="P390" s="5">
        <f t="shared" si="90"/>
        <v>0</v>
      </c>
      <c r="Q390" s="5" t="s">
        <v>698</v>
      </c>
      <c r="T390" s="6" t="str" cm="1">
        <f t="array" ref="T390">IF(R390&lt;&gt;"Churn","",
 _xlfn.LET(
   _xlpm.rng,Y390:BF390,
   _xlpm.pos,MAX(IF((_xlpm.rng&lt;&gt;0)*(_xlpm.rng&lt;&gt;""),COLUMN(_xlpm.rng)-COLUMN(Y390)+1)),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0" s="6" t="str" cm="1">
        <f t="array" ref="U390">IF(R390="Churn",
   MAX(IF((Y390:BF390&lt;&gt;"")*(Y390:BF390&lt;&gt;0), COLUMN(Y390:BF390)-COLUMN(Y390)+1))
   -MATCH(1, --((Y390:BF390&lt;&gt;"")*(Y390:BF390&lt;&gt;0)), 0)
   +1,
"")</f>
        <v/>
      </c>
      <c r="V390" s="6" t="str" cm="1">
        <f t="array" ref="V390">IFERROR(
    IF(
        MATCH(2,1/((Y390:BF390&lt;&gt;0)*(Y390:BF390&lt;&gt;"")))-MATCH(1,INDEX((Y390:BF390&lt;&gt;0)*(Y390:BF390&lt;&gt;""),0),0)+1 &lt;= 12,
        "No",
        "Yes"
    ),
    "No"
)</f>
        <v>Yes</v>
      </c>
      <c r="W390" s="6" t="str" cm="1">
        <f t="array" ref="W390">IFERROR(
    IF(
        MATCH(2,1/((Y390:BF390&lt;&gt;0)*(Y390:BF390&lt;&gt;"")))-MATCH(1,INDEX((Y390:BF390&lt;&gt;0)*(Y390:BF390&lt;&gt;""),0),0)+1 &lt;= 24,
        "No",
        "Yes"
    ),
    "No"
)</f>
        <v>No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103.19916674999999</v>
      </c>
      <c r="AL390" s="8">
        <v>103.19916674999999</v>
      </c>
      <c r="AM390" s="8">
        <v>103.19916674999999</v>
      </c>
      <c r="AN390" s="8">
        <v>103.19916674999999</v>
      </c>
      <c r="AO390" s="8">
        <v>103.19916674999999</v>
      </c>
      <c r="AP390" s="8">
        <v>103.19916674999999</v>
      </c>
      <c r="AQ390" s="8">
        <v>103.19916674999999</v>
      </c>
      <c r="AR390" s="8">
        <v>103.19916674999999</v>
      </c>
      <c r="AS390" s="8">
        <v>103.19916674999999</v>
      </c>
      <c r="AT390" s="8">
        <v>103.19916674999999</v>
      </c>
      <c r="AU390" s="8">
        <v>103.19916674999999</v>
      </c>
      <c r="AV390" s="8">
        <v>103.19916674999999</v>
      </c>
      <c r="AW390" s="8">
        <v>86</v>
      </c>
      <c r="AX390" s="8">
        <v>86.001364833333341</v>
      </c>
      <c r="AY390" s="8">
        <v>86.001364833333341</v>
      </c>
      <c r="AZ390" s="8">
        <v>86.001364833333341</v>
      </c>
      <c r="BA390" s="8">
        <v>86.001364833333341</v>
      </c>
      <c r="BB390" s="8">
        <v>86.001364833333341</v>
      </c>
      <c r="BC390" s="8">
        <v>86.001364833333341</v>
      </c>
      <c r="BD390" s="8">
        <v>86.001364833333341</v>
      </c>
      <c r="BE390" s="8">
        <v>86.001364833333341</v>
      </c>
      <c r="BF390" s="8">
        <v>86.001364833333341</v>
      </c>
      <c r="BH390" s="8">
        <f t="shared" si="83"/>
        <v>0</v>
      </c>
      <c r="BI390" s="8">
        <f t="shared" si="84"/>
        <v>1238.3900009999998</v>
      </c>
      <c r="BJ390" s="8">
        <f t="shared" si="85"/>
        <v>860.01228350000019</v>
      </c>
    </row>
    <row r="391" spans="1:62" x14ac:dyDescent="0.25">
      <c r="A391" s="9" t="s">
        <v>537</v>
      </c>
      <c r="B391" s="9" t="s">
        <v>644</v>
      </c>
      <c r="C391" s="10">
        <f>VLOOKUP(A391,'[2]Revenue_Engine_2025 Oct.25'!$C$14:G$3937,5,0)</f>
        <v>45693</v>
      </c>
      <c r="D391" s="6" cm="1">
        <f t="array" ref="D391">_xlfn.LET(
  _xlpm.aralık, Y391:BF391,
  _xlpm.ilk, MATCH(TRUE, _xlpm.aralık&lt;&gt;0, 0),
  _xlpm.son, MIN(_xlpm.ilk+2, COLUMNS(_xlpm.aralık)),
  MAX(INDEX(_xlpm.aralık, _xlpm.ilk):INDEX(_xlpm.aralık, _xlpm.son))
)</f>
        <v>86.000904750000004</v>
      </c>
      <c r="E391" s="6">
        <f t="shared" si="78"/>
        <v>0</v>
      </c>
      <c r="F391" s="6">
        <f t="shared" si="79"/>
        <v>0</v>
      </c>
      <c r="G391" s="6">
        <f t="shared" si="86"/>
        <v>86.000904750000004</v>
      </c>
      <c r="H391" s="7">
        <f t="shared" si="80"/>
        <v>-1</v>
      </c>
      <c r="I391" s="7">
        <f t="shared" si="81"/>
        <v>-1</v>
      </c>
      <c r="J391" s="7" t="e">
        <f t="shared" si="82"/>
        <v>#DIV/0!</v>
      </c>
      <c r="K391" s="7">
        <f t="shared" si="87"/>
        <v>0</v>
      </c>
      <c r="L391" s="5" t="s">
        <v>694</v>
      </c>
      <c r="M391" s="7">
        <f>IF(R391="",(VLOOKUP(A391,[1]Export!$B$2:$H$680,7,0)),"CHURN")</f>
        <v>0.30214722246861014</v>
      </c>
      <c r="N391" s="5">
        <f t="shared" si="88"/>
        <v>60.015970250000002</v>
      </c>
      <c r="O391" s="5">
        <f t="shared" si="89"/>
        <v>0</v>
      </c>
      <c r="P391" s="5">
        <f t="shared" si="90"/>
        <v>0</v>
      </c>
      <c r="Q391" s="5" t="s">
        <v>430</v>
      </c>
      <c r="T391" s="6" t="str" cm="1">
        <f t="array" ref="T391">IF(R391&lt;&gt;"Churn","",
 _xlfn.LET(
   _xlpm.rng,Y391:BF391,
   _xlpm.pos,MAX(IF((_xlpm.rng&lt;&gt;0)*(_xlpm.rng&lt;&gt;""),COLUMN(_xlpm.rng)-COLUMN(Y391)+1)),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1" s="6" t="str" cm="1">
        <f t="array" ref="U391">IF(R391="Churn",
   MAX(IF((Y391:BF391&lt;&gt;"")*(Y391:BF391&lt;&gt;0), COLUMN(Y391:BF391)-COLUMN(Y391)+1))
   -MATCH(1, --((Y391:BF391&lt;&gt;"")*(Y391:BF391&lt;&gt;0)), 0)
   +1,
"")</f>
        <v/>
      </c>
      <c r="V391" s="6" t="str" cm="1">
        <f t="array" ref="V391">IFERROR(
    IF(
        MATCH(2,1/((Y391:BF391&lt;&gt;0)*(Y391:BF391&lt;&gt;"")))-MATCH(1,INDEX((Y391:BF391&lt;&gt;0)*(Y391:BF391&lt;&gt;""),0),0)+1 &lt;= 12,
        "No",
        "Yes"
    ),
    "No"
)</f>
        <v>No</v>
      </c>
      <c r="W391" s="6" t="str" cm="1">
        <f t="array" ref="W391">IFERROR(
    IF(
        MATCH(2,1/((Y391:BF391&lt;&gt;0)*(Y391:BF391&lt;&gt;"")))-MATCH(1,INDEX((Y391:BF391&lt;&gt;0)*(Y391:BF391&lt;&gt;""),0),0)+1 &lt;= 24,
        "No",
        "Yes"
    ),
    "No"
)</f>
        <v>No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86.000904750000004</v>
      </c>
      <c r="AY391" s="8">
        <v>86.000904750000004</v>
      </c>
      <c r="AZ391" s="8">
        <v>86.000904750000004</v>
      </c>
      <c r="BA391" s="8">
        <v>86.000904750000004</v>
      </c>
      <c r="BB391" s="8">
        <v>86.000904750000004</v>
      </c>
      <c r="BC391" s="8">
        <v>86.000904750000004</v>
      </c>
      <c r="BD391" s="8">
        <v>86.000904750000004</v>
      </c>
      <c r="BE391" s="8">
        <v>86.000904750000004</v>
      </c>
      <c r="BF391" s="8">
        <v>86.000904750000004</v>
      </c>
      <c r="BH391" s="8">
        <f t="shared" si="83"/>
        <v>0</v>
      </c>
      <c r="BI391" s="8">
        <f t="shared" si="84"/>
        <v>0</v>
      </c>
      <c r="BJ391" s="8">
        <f t="shared" si="85"/>
        <v>774.00814275000005</v>
      </c>
    </row>
    <row r="392" spans="1:62" x14ac:dyDescent="0.25">
      <c r="A392" s="9" t="s">
        <v>340</v>
      </c>
      <c r="B392" s="9" t="s">
        <v>644</v>
      </c>
      <c r="C392" s="10">
        <f>VLOOKUP(A392,'[2]Revenue_Engine_2025 Oct.25'!$C$14:G$3937,5,0)</f>
        <v>45322</v>
      </c>
      <c r="D392" s="6" cm="1">
        <f t="array" ref="D392">_xlfn.LET(
  _xlpm.aralık, Y392:BF392,
  _xlpm.ilk, MATCH(TRUE, _xlpm.aralık&lt;&gt;0, 0),
  _xlpm.son, MIN(_xlpm.ilk+2, COLUMNS(_xlpm.aralık)),
  MAX(INDEX(_xlpm.aralık, _xlpm.ilk):INDEX(_xlpm.aralık, _xlpm.son))
)</f>
        <v>86.000882333333337</v>
      </c>
      <c r="E392" s="6">
        <f t="shared" si="78"/>
        <v>86.000882333333337</v>
      </c>
      <c r="F392" s="6">
        <f t="shared" si="79"/>
        <v>0</v>
      </c>
      <c r="G392" s="6">
        <f t="shared" si="86"/>
        <v>86.000882333333337</v>
      </c>
      <c r="H392" s="7">
        <f t="shared" si="80"/>
        <v>0</v>
      </c>
      <c r="I392" s="7">
        <f t="shared" si="81"/>
        <v>-1</v>
      </c>
      <c r="J392" s="7">
        <f t="shared" si="82"/>
        <v>-1</v>
      </c>
      <c r="K392" s="7">
        <f t="shared" si="87"/>
        <v>0</v>
      </c>
      <c r="L392" s="5" t="s">
        <v>694</v>
      </c>
      <c r="M392" s="7">
        <f>IF(R392="",(VLOOKUP(A392,[1]Export!$B$2:$H$680,7,0)),"CHURN")</f>
        <v>0.30214730122516925</v>
      </c>
      <c r="N392" s="5">
        <f t="shared" si="88"/>
        <v>60.015947833333335</v>
      </c>
      <c r="O392" s="5">
        <f t="shared" si="89"/>
        <v>60.015947833333335</v>
      </c>
      <c r="P392" s="5">
        <f t="shared" si="90"/>
        <v>0</v>
      </c>
      <c r="Q392" s="5" t="s">
        <v>430</v>
      </c>
      <c r="T392" s="6" t="str" cm="1">
        <f t="array" ref="T392">IF(R392&lt;&gt;"Churn","",
 _xlfn.LET(
   _xlpm.rng,Y392:BF392,
   _xlpm.pos,MAX(IF((_xlpm.rng&lt;&gt;0)*(_xlpm.rng&lt;&gt;""),COLUMN(_xlpm.rng)-COLUMN(Y392)+1)),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2" s="6" t="str" cm="1">
        <f t="array" ref="U392">IF(R392="Churn",
   MAX(IF((Y392:BF392&lt;&gt;"")*(Y392:BF392&lt;&gt;0), COLUMN(Y392:BF392)-COLUMN(Y392)+1))
   -MATCH(1, --((Y392:BF392&lt;&gt;"")*(Y392:BF392&lt;&gt;0)), 0)
   +1,
"")</f>
        <v/>
      </c>
      <c r="V392" s="6" t="str" cm="1">
        <f t="array" ref="V392">IFERROR(
    IF(
        MATCH(2,1/((Y392:BF392&lt;&gt;0)*(Y392:BF392&lt;&gt;"")))-MATCH(1,INDEX((Y392:BF392&lt;&gt;0)*(Y392:BF392&lt;&gt;""),0),0)+1 &lt;= 12,
        "No",
        "Yes"
    ),
    "No"
)</f>
        <v>Yes</v>
      </c>
      <c r="W392" s="6" t="str" cm="1">
        <f t="array" ref="W392">IFERROR(
    IF(
        MATCH(2,1/((Y392:BF392&lt;&gt;0)*(Y392:BF392&lt;&gt;"")))-MATCH(1,INDEX((Y392:BF392&lt;&gt;0)*(Y392:BF392&lt;&gt;""),0),0)+1 &lt;= 24,
        "No",
        "Yes"
    ),
    "No"
)</f>
        <v>No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86.000882333333337</v>
      </c>
      <c r="AL392" s="8">
        <v>86.000882333333337</v>
      </c>
      <c r="AM392" s="8">
        <v>86.000882333333337</v>
      </c>
      <c r="AN392" s="8">
        <v>86.000882333333337</v>
      </c>
      <c r="AO392" s="8">
        <v>86.000882333333337</v>
      </c>
      <c r="AP392" s="8">
        <v>86.000882333333337</v>
      </c>
      <c r="AQ392" s="8">
        <v>86.000882333333337</v>
      </c>
      <c r="AR392" s="8">
        <v>86.000882333333337</v>
      </c>
      <c r="AS392" s="8">
        <v>86.000882333333337</v>
      </c>
      <c r="AT392" s="8">
        <v>86.000882333333337</v>
      </c>
      <c r="AU392" s="8">
        <v>86.000882333333337</v>
      </c>
      <c r="AV392" s="8">
        <v>86.000882333333337</v>
      </c>
      <c r="AW392" s="8">
        <v>86.000882333333337</v>
      </c>
      <c r="AX392" s="8">
        <v>86.000882333333337</v>
      </c>
      <c r="AY392" s="8">
        <v>86.000882333333337</v>
      </c>
      <c r="AZ392" s="8">
        <v>86.000882333333337</v>
      </c>
      <c r="BA392" s="8">
        <v>86.000882333333337</v>
      </c>
      <c r="BB392" s="8">
        <v>86.000882333333337</v>
      </c>
      <c r="BC392" s="8">
        <v>86.000882333333337</v>
      </c>
      <c r="BD392" s="8">
        <v>86.000882333333337</v>
      </c>
      <c r="BE392" s="8">
        <v>86.000882333333337</v>
      </c>
      <c r="BF392" s="8">
        <v>86.000882333333337</v>
      </c>
      <c r="BH392" s="8">
        <f t="shared" si="83"/>
        <v>0</v>
      </c>
      <c r="BI392" s="8">
        <f t="shared" si="84"/>
        <v>1032.0105880000003</v>
      </c>
      <c r="BJ392" s="8">
        <f t="shared" si="85"/>
        <v>860.00882333333357</v>
      </c>
    </row>
    <row r="393" spans="1:62" x14ac:dyDescent="0.25">
      <c r="A393" s="9" t="s">
        <v>401</v>
      </c>
      <c r="B393" s="9" t="s">
        <v>644</v>
      </c>
      <c r="C393" s="10">
        <f>VLOOKUP(A393,'[2]Revenue_Engine_2025 Oct.25'!$C$14:G$3937,5,0)</f>
        <v>45293</v>
      </c>
      <c r="D393" s="6" cm="1">
        <f t="array" ref="D393">_xlfn.LET(
  _xlpm.aralık, Y393:BF393,
  _xlpm.ilk, MATCH(TRUE, _xlpm.aralık&lt;&gt;0, 0),
  _xlpm.son, MIN(_xlpm.ilk+2, COLUMNS(_xlpm.aralık)),
  MAX(INDEX(_xlpm.aralık, _xlpm.ilk):INDEX(_xlpm.aralık, _xlpm.son))
)</f>
        <v>86.000461416666667</v>
      </c>
      <c r="E393" s="6">
        <f t="shared" si="78"/>
        <v>86.000461583333333</v>
      </c>
      <c r="F393" s="6">
        <f t="shared" si="79"/>
        <v>0</v>
      </c>
      <c r="G393" s="6">
        <f t="shared" si="86"/>
        <v>86.000461583333333</v>
      </c>
      <c r="H393" s="7">
        <f t="shared" si="80"/>
        <v>1.9379740933991572E-9</v>
      </c>
      <c r="I393" s="7">
        <f t="shared" si="81"/>
        <v>-1</v>
      </c>
      <c r="J393" s="7">
        <f t="shared" si="82"/>
        <v>-1</v>
      </c>
      <c r="K393" s="7">
        <f t="shared" si="87"/>
        <v>1.9379740933991572E-9</v>
      </c>
      <c r="L393" s="5" t="s">
        <v>694</v>
      </c>
      <c r="M393" s="7">
        <f>IF(R393="",(VLOOKUP(A393,[1]Export!$B$2:$H$680,7,0)),"CHURN")</f>
        <v>0.30215414764358162</v>
      </c>
      <c r="N393" s="5">
        <f t="shared" si="88"/>
        <v>60.015065416666665</v>
      </c>
      <c r="O393" s="5">
        <f t="shared" si="89"/>
        <v>60.015065416666665</v>
      </c>
      <c r="P393" s="5">
        <f t="shared" si="90"/>
        <v>0</v>
      </c>
      <c r="Q393" s="5" t="s">
        <v>430</v>
      </c>
      <c r="T393" s="6" t="str" cm="1">
        <f t="array" ref="T393">IF(R393&lt;&gt;"Churn","",
 _xlfn.LET(
   _xlpm.rng,Y393:BF393,
   _xlpm.pos,MAX(IF((_xlpm.rng&lt;&gt;0)*(_xlpm.rng&lt;&gt;""),COLUMN(_xlpm.rng)-COLUMN(Y393)+1)),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3" s="6" t="str" cm="1">
        <f t="array" ref="U393">IF(R393="Churn",
   MAX(IF((Y393:BF393&lt;&gt;"")*(Y393:BF393&lt;&gt;0), COLUMN(Y393:BF393)-COLUMN(Y393)+1))
   -MATCH(1, --((Y393:BF393&lt;&gt;"")*(Y393:BF393&lt;&gt;0)), 0)
   +1,
"")</f>
        <v/>
      </c>
      <c r="V393" s="6" t="str" cm="1">
        <f t="array" ref="V393">IFERROR(
    IF(
        MATCH(2,1/((Y393:BF393&lt;&gt;0)*(Y393:BF393&lt;&gt;"")))-MATCH(1,INDEX((Y393:BF393&lt;&gt;0)*(Y393:BF393&lt;&gt;""),0),0)+1 &lt;= 12,
        "No",
        "Yes"
    ),
    "No"
)</f>
        <v>Yes</v>
      </c>
      <c r="W393" s="6" t="str" cm="1">
        <f t="array" ref="W393">IFERROR(
    IF(
        MATCH(2,1/((Y393:BF393&lt;&gt;0)*(Y393:BF393&lt;&gt;"")))-MATCH(1,INDEX((Y393:BF393&lt;&gt;0)*(Y393:BF393&lt;&gt;""),0),0)+1 &lt;= 24,
        "No",
        "Yes"
    ),
    "No"
)</f>
        <v>No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86.000461416666667</v>
      </c>
      <c r="AL393" s="8">
        <v>86.000461416666667</v>
      </c>
      <c r="AM393" s="8">
        <v>86.000461416666667</v>
      </c>
      <c r="AN393" s="8">
        <v>86.000461416666667</v>
      </c>
      <c r="AO393" s="8">
        <v>86.000461416666667</v>
      </c>
      <c r="AP393" s="8">
        <v>86.000461416666667</v>
      </c>
      <c r="AQ393" s="8">
        <v>86.000461416666667</v>
      </c>
      <c r="AR393" s="8">
        <v>86.000461416666667</v>
      </c>
      <c r="AS393" s="8">
        <v>86.000461416666667</v>
      </c>
      <c r="AT393" s="8">
        <v>86.000461416666667</v>
      </c>
      <c r="AU393" s="8">
        <v>86.000461416666667</v>
      </c>
      <c r="AV393" s="8">
        <v>86.000461416666667</v>
      </c>
      <c r="AW393" s="8">
        <v>86.000461583333333</v>
      </c>
      <c r="AX393" s="8">
        <v>86.000461583333333</v>
      </c>
      <c r="AY393" s="8">
        <v>86.000461583333333</v>
      </c>
      <c r="AZ393" s="8">
        <v>86.000461583333333</v>
      </c>
      <c r="BA393" s="8">
        <v>86.000461583333333</v>
      </c>
      <c r="BB393" s="8">
        <v>86.000461583333333</v>
      </c>
      <c r="BC393" s="8">
        <v>86.000461583333333</v>
      </c>
      <c r="BD393" s="8">
        <v>86.000461583333333</v>
      </c>
      <c r="BE393" s="8">
        <v>86.000461583333333</v>
      </c>
      <c r="BF393" s="8">
        <v>86.000461583333333</v>
      </c>
      <c r="BH393" s="8">
        <f t="shared" si="83"/>
        <v>0</v>
      </c>
      <c r="BI393" s="8">
        <f t="shared" si="84"/>
        <v>1032.005537</v>
      </c>
      <c r="BJ393" s="8">
        <f t="shared" si="85"/>
        <v>860.00461583333345</v>
      </c>
    </row>
    <row r="394" spans="1:62" x14ac:dyDescent="0.25">
      <c r="A394" s="9" t="s">
        <v>276</v>
      </c>
      <c r="B394" s="9" t="s">
        <v>644</v>
      </c>
      <c r="C394" s="10">
        <f>VLOOKUP(A394,'[2]Revenue_Engine_2025 Oct.25'!$C$14:G$3937,5,0)</f>
        <v>45330</v>
      </c>
      <c r="D394" s="6" cm="1">
        <f t="array" ref="D394">_xlfn.LET(
  _xlpm.aralık, Y394:BF394,
  _xlpm.ilk, MATCH(TRUE, _xlpm.aralık&lt;&gt;0, 0),
  _xlpm.son, MIN(_xlpm.ilk+2, COLUMNS(_xlpm.aralık)),
  MAX(INDEX(_xlpm.aralık, _xlpm.ilk):INDEX(_xlpm.aralık, _xlpm.son))
)</f>
        <v>86.000461416666667</v>
      </c>
      <c r="E394" s="6">
        <f t="shared" si="78"/>
        <v>86.000461416666667</v>
      </c>
      <c r="F394" s="6">
        <f t="shared" si="79"/>
        <v>0</v>
      </c>
      <c r="G394" s="6">
        <f t="shared" si="86"/>
        <v>86.000461416666667</v>
      </c>
      <c r="H394" s="7">
        <f t="shared" si="80"/>
        <v>0</v>
      </c>
      <c r="I394" s="7">
        <f t="shared" si="81"/>
        <v>-1</v>
      </c>
      <c r="J394" s="7">
        <f t="shared" si="82"/>
        <v>-1</v>
      </c>
      <c r="K394" s="7">
        <f t="shared" si="87"/>
        <v>0</v>
      </c>
      <c r="L394" s="5" t="s">
        <v>694</v>
      </c>
      <c r="M394" s="7">
        <f>IF(R394="",(VLOOKUP(A394,[1]Export!$B$2:$H$680,7,0)),"CHURN")</f>
        <v>0.30215414629117443</v>
      </c>
      <c r="N394" s="5">
        <f t="shared" si="88"/>
        <v>60.015065416666665</v>
      </c>
      <c r="O394" s="5">
        <f t="shared" si="89"/>
        <v>60.015065416666665</v>
      </c>
      <c r="P394" s="5">
        <f t="shared" si="90"/>
        <v>0</v>
      </c>
      <c r="Q394" s="5" t="s">
        <v>430</v>
      </c>
      <c r="T394" s="6" t="str" cm="1">
        <f t="array" ref="T394">IF(R394&lt;&gt;"Churn","",
 _xlfn.LET(
   _xlpm.rng,Y394:BF394,
   _xlpm.pos,MAX(IF((_xlpm.rng&lt;&gt;0)*(_xlpm.rng&lt;&gt;""),COLUMN(_xlpm.rng)-COLUMN(Y394)+1)),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4" s="6" t="str" cm="1">
        <f t="array" ref="U394">IF(R394="Churn",
   MAX(IF((Y394:BF394&lt;&gt;"")*(Y394:BF394&lt;&gt;0), COLUMN(Y394:BF394)-COLUMN(Y394)+1))
   -MATCH(1, --((Y394:BF394&lt;&gt;"")*(Y394:BF394&lt;&gt;0)), 0)
   +1,
"")</f>
        <v/>
      </c>
      <c r="V394" s="6" t="str" cm="1">
        <f t="array" ref="V394">IFERROR(
    IF(
        MATCH(2,1/((Y394:BF394&lt;&gt;0)*(Y394:BF394&lt;&gt;"")))-MATCH(1,INDEX((Y394:BF394&lt;&gt;0)*(Y394:BF394&lt;&gt;""),0),0)+1 &lt;= 12,
        "No",
        "Yes"
    ),
    "No"
)</f>
        <v>Yes</v>
      </c>
      <c r="W394" s="6" t="str" cm="1">
        <f t="array" ref="W394">IFERROR(
    IF(
        MATCH(2,1/((Y394:BF394&lt;&gt;0)*(Y394:BF394&lt;&gt;"")))-MATCH(1,INDEX((Y394:BF394&lt;&gt;0)*(Y394:BF394&lt;&gt;""),0),0)+1 &lt;= 24,
        "No",
        "Yes"
    ),
    "No"
)</f>
        <v>No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86.000461416666667</v>
      </c>
      <c r="AM394" s="8">
        <v>86.000461416666667</v>
      </c>
      <c r="AN394" s="8">
        <v>86.000461416666667</v>
      </c>
      <c r="AO394" s="8">
        <v>86.000461416666667</v>
      </c>
      <c r="AP394" s="8">
        <v>86.000461416666667</v>
      </c>
      <c r="AQ394" s="8">
        <v>86.000461416666667</v>
      </c>
      <c r="AR394" s="8">
        <v>86.000461416666667</v>
      </c>
      <c r="AS394" s="8">
        <v>86.000461416666667</v>
      </c>
      <c r="AT394" s="8">
        <v>86.000461416666667</v>
      </c>
      <c r="AU394" s="8">
        <v>86.000461416666667</v>
      </c>
      <c r="AV394" s="8">
        <v>86.000461416666667</v>
      </c>
      <c r="AW394" s="8">
        <v>86.000461416666667</v>
      </c>
      <c r="AX394" s="8">
        <v>86.000461416666667</v>
      </c>
      <c r="AY394" s="8">
        <v>86.000461416666667</v>
      </c>
      <c r="AZ394" s="8">
        <v>86.000461416666667</v>
      </c>
      <c r="BA394" s="8">
        <v>86.000461416666667</v>
      </c>
      <c r="BB394" s="8">
        <v>86.000461416666667</v>
      </c>
      <c r="BC394" s="8">
        <v>86.000461416666667</v>
      </c>
      <c r="BD394" s="8">
        <v>86.000461416666667</v>
      </c>
      <c r="BE394" s="8">
        <v>86.000461416666667</v>
      </c>
      <c r="BF394" s="8">
        <v>86.000461416666667</v>
      </c>
      <c r="BH394" s="8">
        <f t="shared" si="83"/>
        <v>0</v>
      </c>
      <c r="BI394" s="8">
        <f t="shared" si="84"/>
        <v>946.00507558333334</v>
      </c>
      <c r="BJ394" s="8">
        <f t="shared" si="85"/>
        <v>860.00461416666667</v>
      </c>
    </row>
    <row r="395" spans="1:62" x14ac:dyDescent="0.25">
      <c r="A395" s="9" t="s">
        <v>538</v>
      </c>
      <c r="B395" s="9" t="s">
        <v>644</v>
      </c>
      <c r="C395" s="10">
        <f>VLOOKUP(A395,'[2]Revenue_Engine_2025 Oct.25'!$C$14:G$3937,5,0)</f>
        <v>45621</v>
      </c>
      <c r="D395" s="6" cm="1">
        <f t="array" ref="D395">_xlfn.LET(
  _xlpm.aralık, Y395:BF395,
  _xlpm.ilk, MATCH(TRUE, _xlpm.aralık&lt;&gt;0, 0),
  _xlpm.son, MIN(_xlpm.ilk+2, COLUMNS(_xlpm.aralık)),
  MAX(INDEX(_xlpm.aralık, _xlpm.ilk):INDEX(_xlpm.aralık, _xlpm.son))
)</f>
        <v>86.000461416666667</v>
      </c>
      <c r="E395" s="6">
        <f t="shared" si="78"/>
        <v>0</v>
      </c>
      <c r="F395" s="6">
        <f t="shared" si="79"/>
        <v>0</v>
      </c>
      <c r="G395" s="6">
        <f t="shared" si="86"/>
        <v>86.000461416666667</v>
      </c>
      <c r="H395" s="7">
        <f t="shared" si="80"/>
        <v>-1</v>
      </c>
      <c r="I395" s="7">
        <f t="shared" si="81"/>
        <v>-1</v>
      </c>
      <c r="J395" s="7" t="e">
        <f t="shared" si="82"/>
        <v>#DIV/0!</v>
      </c>
      <c r="K395" s="7">
        <f t="shared" si="87"/>
        <v>0</v>
      </c>
      <c r="L395" s="5" t="s">
        <v>694</v>
      </c>
      <c r="M395" s="7">
        <f>IF(R395="",(VLOOKUP(A395,[1]Export!$B$2:$H$680,7,0)),"CHURN")</f>
        <v>0.30215414629117449</v>
      </c>
      <c r="N395" s="5">
        <f t="shared" si="88"/>
        <v>60.015065416666658</v>
      </c>
      <c r="O395" s="5">
        <f t="shared" si="89"/>
        <v>0</v>
      </c>
      <c r="P395" s="5">
        <f t="shared" si="90"/>
        <v>0</v>
      </c>
      <c r="Q395" s="5" t="s">
        <v>430</v>
      </c>
      <c r="T395" s="6" t="str" cm="1">
        <f t="array" ref="T395">IF(R395&lt;&gt;"Churn","",
 _xlfn.LET(
   _xlpm.rng,Y395:BF395,
   _xlpm.pos,MAX(IF((_xlpm.rng&lt;&gt;0)*(_xlpm.rng&lt;&gt;""),COLUMN(_xlpm.rng)-COLUMN(Y395)+1)),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5" s="6" t="str" cm="1">
        <f t="array" ref="U395">IF(R395="Churn",
   MAX(IF((Y395:BF395&lt;&gt;"")*(Y395:BF395&lt;&gt;0), COLUMN(Y395:BF395)-COLUMN(Y395)+1))
   -MATCH(1, --((Y395:BF395&lt;&gt;"")*(Y395:BF395&lt;&gt;0)), 0)
   +1,
"")</f>
        <v/>
      </c>
      <c r="V395" s="6" t="str" cm="1">
        <f t="array" ref="V395">IFERROR(
    IF(
        MATCH(2,1/((Y395:BF395&lt;&gt;0)*(Y395:BF395&lt;&gt;"")))-MATCH(1,INDEX((Y395:BF395&lt;&gt;0)*(Y395:BF395&lt;&gt;""),0),0)+1 &lt;= 12,
        "No",
        "Yes"
    ),
    "No"
)</f>
        <v>No</v>
      </c>
      <c r="W395" s="6" t="str" cm="1">
        <f t="array" ref="W395">IFERROR(
    IF(
        MATCH(2,1/((Y395:BF395&lt;&gt;0)*(Y395:BF395&lt;&gt;"")))-MATCH(1,INDEX((Y395:BF395&lt;&gt;0)*(Y395:BF395&lt;&gt;""),0),0)+1 &lt;= 24,
        "No",
        "Yes"
    ),
    "No"
)</f>
        <v>No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86.000461416666667</v>
      </c>
      <c r="AV395" s="8">
        <v>86.000461416666667</v>
      </c>
      <c r="AW395" s="8">
        <v>86.000461416666667</v>
      </c>
      <c r="AX395" s="8">
        <v>86.000461416666667</v>
      </c>
      <c r="AY395" s="8">
        <v>86.000461416666667</v>
      </c>
      <c r="AZ395" s="8">
        <v>86.000461416666667</v>
      </c>
      <c r="BA395" s="8">
        <v>86.000461416666667</v>
      </c>
      <c r="BB395" s="8">
        <v>86.000461416666667</v>
      </c>
      <c r="BC395" s="8">
        <v>86.000461416666667</v>
      </c>
      <c r="BD395" s="8">
        <v>86.000461416666667</v>
      </c>
      <c r="BE395" s="8">
        <v>86.000461416666667</v>
      </c>
      <c r="BF395" s="8">
        <v>86.000461416666667</v>
      </c>
      <c r="BH395" s="8">
        <f t="shared" si="83"/>
        <v>0</v>
      </c>
      <c r="BI395" s="8">
        <f t="shared" si="84"/>
        <v>172.00092283333333</v>
      </c>
      <c r="BJ395" s="8">
        <f t="shared" si="85"/>
        <v>860.00461416666667</v>
      </c>
    </row>
    <row r="396" spans="1:62" x14ac:dyDescent="0.25">
      <c r="A396" s="9" t="s">
        <v>539</v>
      </c>
      <c r="B396" s="9" t="s">
        <v>644</v>
      </c>
      <c r="C396" s="10">
        <f>VLOOKUP(A396,'[2]Revenue_Engine_2025 Oct.25'!$C$14:G$3937,5,0)</f>
        <v>45700</v>
      </c>
      <c r="D396" s="6" cm="1">
        <f t="array" ref="D396">_xlfn.LET(
  _xlpm.aralık, Y396:BF396,
  _xlpm.ilk, MATCH(TRUE, _xlpm.aralık&lt;&gt;0, 0),
  _xlpm.son, MIN(_xlpm.ilk+2, COLUMNS(_xlpm.aralık)),
  MAX(INDEX(_xlpm.aralık, _xlpm.ilk):INDEX(_xlpm.aralık, _xlpm.son))
)</f>
        <v>103.2</v>
      </c>
      <c r="E396" s="6">
        <f t="shared" si="78"/>
        <v>0</v>
      </c>
      <c r="F396" s="6">
        <f t="shared" si="79"/>
        <v>0</v>
      </c>
      <c r="G396" s="6">
        <f t="shared" si="86"/>
        <v>86</v>
      </c>
      <c r="H396" s="7">
        <f t="shared" si="80"/>
        <v>-1</v>
      </c>
      <c r="I396" s="7">
        <f t="shared" si="81"/>
        <v>-1</v>
      </c>
      <c r="J396" s="7" t="e">
        <f t="shared" si="82"/>
        <v>#DIV/0!</v>
      </c>
      <c r="K396" s="7">
        <f t="shared" si="87"/>
        <v>-0.16666666666666669</v>
      </c>
      <c r="L396" s="5" t="s">
        <v>694</v>
      </c>
      <c r="M396" s="7">
        <f>IF(R396="",(VLOOKUP(A396,[1]Export!$B$2:$H$680,7,0)),"CHURN")</f>
        <v>0</v>
      </c>
      <c r="N396" s="5">
        <f t="shared" si="88"/>
        <v>86</v>
      </c>
      <c r="O396" s="5">
        <f t="shared" si="89"/>
        <v>0</v>
      </c>
      <c r="P396" s="5">
        <f t="shared" si="90"/>
        <v>0</v>
      </c>
      <c r="Q396" s="5" t="s">
        <v>430</v>
      </c>
      <c r="T396" s="6" t="str" cm="1">
        <f t="array" ref="T396">IF(R396&lt;&gt;"Churn","",
 _xlfn.LET(
   _xlpm.rng,Y396:BF396,
   _xlpm.pos,MAX(IF((_xlpm.rng&lt;&gt;0)*(_xlpm.rng&lt;&gt;""),COLUMN(_xlpm.rng)-COLUMN(Y396)+1)),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6" s="6" t="str" cm="1">
        <f t="array" ref="U396">IF(R396="Churn",
   MAX(IF((Y396:BF396&lt;&gt;"")*(Y396:BF396&lt;&gt;0), COLUMN(Y396:BF396)-COLUMN(Y396)+1))
   -MATCH(1, --((Y396:BF396&lt;&gt;"")*(Y396:BF396&lt;&gt;0)), 0)
   +1,
"")</f>
        <v/>
      </c>
      <c r="V396" s="14" t="s">
        <v>705</v>
      </c>
      <c r="W396" s="6" t="str" cm="1">
        <f t="array" ref="W396">IFERROR(
    IF(
        MATCH(2,1/((Y396:BF396&lt;&gt;0)*(Y396:BF396&lt;&gt;"")))-MATCH(1,INDEX((Y396:BF396&lt;&gt;0)*(Y396:BF396&lt;&gt;""),0),0)+1 &lt;= 24,
        "No",
        "Yes"
    ),
    "No"
)</f>
        <v>No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103.2</v>
      </c>
      <c r="AJ396" s="8">
        <v>103.2</v>
      </c>
      <c r="AK396" s="8">
        <v>103.2</v>
      </c>
      <c r="AL396" s="8">
        <v>103.2</v>
      </c>
      <c r="AM396" s="8">
        <v>103.2</v>
      </c>
      <c r="AN396" s="8">
        <v>103.2</v>
      </c>
      <c r="AO396" s="8">
        <v>103.2</v>
      </c>
      <c r="AP396" s="8">
        <v>103.2</v>
      </c>
      <c r="AQ396" s="8">
        <v>103.2</v>
      </c>
      <c r="AR396" s="8">
        <v>103.2</v>
      </c>
      <c r="AS396" s="8">
        <v>103.2</v>
      </c>
      <c r="AT396" s="8">
        <v>103.2</v>
      </c>
      <c r="AU396" s="8">
        <v>103.2</v>
      </c>
      <c r="AV396" s="8">
        <v>0</v>
      </c>
      <c r="AW396" s="8">
        <v>0</v>
      </c>
      <c r="AX396" s="8">
        <v>86</v>
      </c>
      <c r="AY396" s="8">
        <v>86</v>
      </c>
      <c r="AZ396" s="8">
        <v>86</v>
      </c>
      <c r="BA396" s="8">
        <v>86</v>
      </c>
      <c r="BB396" s="8">
        <v>86</v>
      </c>
      <c r="BC396" s="8">
        <v>86</v>
      </c>
      <c r="BD396" s="8">
        <v>86</v>
      </c>
      <c r="BE396" s="8">
        <v>86</v>
      </c>
      <c r="BF396" s="8">
        <v>86</v>
      </c>
      <c r="BH396" s="8">
        <f t="shared" si="83"/>
        <v>206.4</v>
      </c>
      <c r="BI396" s="8">
        <f t="shared" si="84"/>
        <v>1135.2000000000003</v>
      </c>
      <c r="BJ396" s="8">
        <f t="shared" si="85"/>
        <v>774</v>
      </c>
    </row>
    <row r="397" spans="1:62" x14ac:dyDescent="0.25">
      <c r="A397" s="9" t="s">
        <v>540</v>
      </c>
      <c r="B397" s="9" t="s">
        <v>644</v>
      </c>
      <c r="C397" s="10">
        <f>VLOOKUP(A397,'[2]Revenue_Engine_2025 Oct.25'!$C$14:G$3937,5,0)</f>
        <v>45503</v>
      </c>
      <c r="D397" s="6" cm="1">
        <f t="array" ref="D397">_xlfn.LET(
  _xlpm.aralık, Y397:BF397,
  _xlpm.ilk, MATCH(TRUE, _xlpm.aralık&lt;&gt;0, 0),
  _xlpm.son, MIN(_xlpm.ilk+2, COLUMNS(_xlpm.aralık)),
  MAX(INDEX(_xlpm.aralık, _xlpm.ilk):INDEX(_xlpm.aralık, _xlpm.son))
)</f>
        <v>85.999999916666667</v>
      </c>
      <c r="E397" s="14">
        <v>86</v>
      </c>
      <c r="F397" s="6">
        <f t="shared" si="79"/>
        <v>0</v>
      </c>
      <c r="G397" s="6">
        <f t="shared" si="86"/>
        <v>85.999999916666667</v>
      </c>
      <c r="H397" s="7">
        <f t="shared" si="80"/>
        <v>9.6899224655449132E-10</v>
      </c>
      <c r="I397" s="7">
        <f t="shared" si="81"/>
        <v>-1</v>
      </c>
      <c r="J397" s="7">
        <f t="shared" si="82"/>
        <v>-1</v>
      </c>
      <c r="K397" s="7">
        <f t="shared" si="87"/>
        <v>0</v>
      </c>
      <c r="L397" s="5" t="s">
        <v>694</v>
      </c>
      <c r="M397" s="7">
        <f>IF(R397="",(VLOOKUP(A397,[1]Export!$B$2:$H$680,7,0)),"CHURN")</f>
        <v>0.27490770569274009</v>
      </c>
      <c r="N397" s="5">
        <f t="shared" si="88"/>
        <v>62.357937249999999</v>
      </c>
      <c r="O397" s="5">
        <f t="shared" si="89"/>
        <v>62.357937310424354</v>
      </c>
      <c r="P397" s="5">
        <f t="shared" si="90"/>
        <v>0</v>
      </c>
      <c r="Q397" s="5" t="s">
        <v>430</v>
      </c>
      <c r="T397" s="6" t="str" cm="1">
        <f t="array" ref="T397">IF(R397&lt;&gt;"Churn","",
 _xlfn.LET(
   _xlpm.rng,Y397:BF397,
   _xlpm.pos,MAX(IF((_xlpm.rng&lt;&gt;0)*(_xlpm.rng&lt;&gt;""),COLUMN(_xlpm.rng)-COLUMN(Y397)+1)),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7" s="6" t="str" cm="1">
        <f t="array" ref="U397">IF(R397="Churn",
   MAX(IF((Y397:BF397&lt;&gt;"")*(Y397:BF397&lt;&gt;0), COLUMN(Y397:BF397)-COLUMN(Y397)+1))
   -MATCH(1, --((Y397:BF397&lt;&gt;"")*(Y397:BF397&lt;&gt;0)), 0)
   +1,
"")</f>
        <v/>
      </c>
      <c r="V397" s="6" t="str" cm="1">
        <f t="array" ref="V397">IFERROR(
    IF(
        MATCH(2,1/((Y397:BF397&lt;&gt;0)*(Y397:BF397&lt;&gt;"")))-MATCH(1,INDEX((Y397:BF397&lt;&gt;0)*(Y397:BF397&lt;&gt;""),0),0)+1 &lt;= 12,
        "No",
        "Yes"
    ),
    "No"
)</f>
        <v>Yes</v>
      </c>
      <c r="W397" s="6" t="str" cm="1">
        <f t="array" ref="W397">IFERROR(
    IF(
        MATCH(2,1/((Y397:BF397&lt;&gt;0)*(Y397:BF397&lt;&gt;"")))-MATCH(1,INDEX((Y397:BF397&lt;&gt;0)*(Y397:BF397&lt;&gt;""),0),0)+1 &lt;= 24,
        "No",
        "Yes"
    ),
    "No"
)</f>
        <v>No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85.999999916666667</v>
      </c>
      <c r="AR397" s="8">
        <v>85.999999916666667</v>
      </c>
      <c r="AS397" s="8">
        <v>85.999999916666667</v>
      </c>
      <c r="AT397" s="8">
        <v>85.999999916666667</v>
      </c>
      <c r="AU397" s="8">
        <v>85.999999916666667</v>
      </c>
      <c r="AV397" s="8">
        <v>85.999999916666667</v>
      </c>
      <c r="AW397" s="8">
        <v>85.999999916666667</v>
      </c>
      <c r="AX397" s="8">
        <v>85.999999916666667</v>
      </c>
      <c r="AY397" s="8">
        <v>85.999999916666667</v>
      </c>
      <c r="AZ397" s="8">
        <v>85.999999916666667</v>
      </c>
      <c r="BA397" s="8">
        <v>85.999999916666667</v>
      </c>
      <c r="BB397" s="8">
        <v>85.999999916666667</v>
      </c>
      <c r="BC397" s="8">
        <v>0</v>
      </c>
      <c r="BD397" s="8">
        <v>85.999999916666667</v>
      </c>
      <c r="BE397" s="8">
        <v>85.999999916666667</v>
      </c>
      <c r="BF397" s="8">
        <v>85.999999916666667</v>
      </c>
      <c r="BH397" s="8">
        <f t="shared" si="83"/>
        <v>0</v>
      </c>
      <c r="BI397" s="8">
        <f t="shared" si="84"/>
        <v>515.99999949999994</v>
      </c>
      <c r="BJ397" s="8">
        <f t="shared" si="85"/>
        <v>773.99999924999986</v>
      </c>
    </row>
    <row r="398" spans="1:62" x14ac:dyDescent="0.25">
      <c r="A398" s="9" t="s">
        <v>307</v>
      </c>
      <c r="B398" s="9" t="s">
        <v>644</v>
      </c>
      <c r="C398" s="10">
        <f>VLOOKUP(A398,'[2]Revenue_Engine_2025 Oct.25'!$C$14:G$3937,5,0)</f>
        <v>45468</v>
      </c>
      <c r="D398" s="6" cm="1">
        <f t="array" ref="D398">_xlfn.LET(
  _xlpm.aralık, Y398:BF398,
  _xlpm.ilk, MATCH(TRUE, _xlpm.aralık&lt;&gt;0, 0),
  _xlpm.son, MIN(_xlpm.ilk+2, COLUMNS(_xlpm.aralık)),
  MAX(INDEX(_xlpm.aralık, _xlpm.ilk):INDEX(_xlpm.aralık, _xlpm.son))
)</f>
        <v>85.967129</v>
      </c>
      <c r="E398" s="6">
        <f t="shared" si="78"/>
        <v>85.967129</v>
      </c>
      <c r="F398" s="6">
        <f t="shared" si="79"/>
        <v>0</v>
      </c>
      <c r="G398" s="6">
        <f t="shared" si="86"/>
        <v>85.967129</v>
      </c>
      <c r="H398" s="7">
        <f t="shared" si="80"/>
        <v>0</v>
      </c>
      <c r="I398" s="7">
        <f t="shared" si="81"/>
        <v>-1</v>
      </c>
      <c r="J398" s="7">
        <f t="shared" si="82"/>
        <v>-1</v>
      </c>
      <c r="K398" s="7">
        <f t="shared" si="87"/>
        <v>0</v>
      </c>
      <c r="L398" s="5" t="s">
        <v>694</v>
      </c>
      <c r="M398" s="7">
        <f>IF(R398="",(VLOOKUP(A398,[1]Export!$B$2:$H$680,7,0)),"CHURN")</f>
        <v>0.30188356063397215</v>
      </c>
      <c r="N398" s="5">
        <f t="shared" si="88"/>
        <v>60.015065999999997</v>
      </c>
      <c r="O398" s="5">
        <f t="shared" si="89"/>
        <v>60.015065999999997</v>
      </c>
      <c r="P398" s="5">
        <f t="shared" si="90"/>
        <v>0</v>
      </c>
      <c r="Q398" s="5" t="s">
        <v>430</v>
      </c>
      <c r="T398" s="6" t="str" cm="1">
        <f t="array" ref="T398">IF(R398&lt;&gt;"Churn","",
 _xlfn.LET(
   _xlpm.rng,Y398:BF398,
   _xlpm.pos,MAX(IF((_xlpm.rng&lt;&gt;0)*(_xlpm.rng&lt;&gt;""),COLUMN(_xlpm.rng)-COLUMN(Y398)+1)),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8" s="6" t="str" cm="1">
        <f t="array" ref="U398">IF(R398="Churn",
   MAX(IF((Y398:BF398&lt;&gt;"")*(Y398:BF398&lt;&gt;0), COLUMN(Y398:BF398)-COLUMN(Y398)+1))
   -MATCH(1, --((Y398:BF398&lt;&gt;"")*(Y398:BF398&lt;&gt;0)), 0)
   +1,
"")</f>
        <v/>
      </c>
      <c r="V398" s="6" t="str" cm="1">
        <f t="array" ref="V398">IFERROR(
    IF(
        MATCH(2,1/((Y398:BF398&lt;&gt;0)*(Y398:BF398&lt;&gt;"")))-MATCH(1,INDEX((Y398:BF398&lt;&gt;0)*(Y398:BF398&lt;&gt;""),0),0)+1 &lt;= 12,
        "No",
        "Yes"
    ),
    "No"
)</f>
        <v>Yes</v>
      </c>
      <c r="W398" s="6" t="str" cm="1">
        <f t="array" ref="W398">IFERROR(
    IF(
        MATCH(2,1/((Y398:BF398&lt;&gt;0)*(Y398:BF398&lt;&gt;"")))-MATCH(1,INDEX((Y398:BF398&lt;&gt;0)*(Y398:BF398&lt;&gt;""),0),0)+1 &lt;= 24,
        "No",
        "Yes"
    ),
    "No"
)</f>
        <v>No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85.967129</v>
      </c>
      <c r="AQ398" s="8">
        <v>85.967129</v>
      </c>
      <c r="AR398" s="8">
        <v>85.967129</v>
      </c>
      <c r="AS398" s="8">
        <v>85.967129</v>
      </c>
      <c r="AT398" s="8">
        <v>85.967129</v>
      </c>
      <c r="AU398" s="8">
        <v>85.967129</v>
      </c>
      <c r="AV398" s="8">
        <v>85.967129</v>
      </c>
      <c r="AW398" s="8">
        <v>85.967129</v>
      </c>
      <c r="AX398" s="8">
        <v>85.967129</v>
      </c>
      <c r="AY398" s="8">
        <v>85.967129</v>
      </c>
      <c r="AZ398" s="8">
        <v>85.967129</v>
      </c>
      <c r="BA398" s="8">
        <v>85.967129</v>
      </c>
      <c r="BB398" s="8">
        <v>85.967129</v>
      </c>
      <c r="BC398" s="8">
        <v>85.967129</v>
      </c>
      <c r="BD398" s="8">
        <v>85.967129</v>
      </c>
      <c r="BE398" s="8">
        <v>85.967129</v>
      </c>
      <c r="BF398" s="8">
        <v>85.967129</v>
      </c>
      <c r="BH398" s="8">
        <f t="shared" si="83"/>
        <v>0</v>
      </c>
      <c r="BI398" s="8">
        <f t="shared" si="84"/>
        <v>601.769903</v>
      </c>
      <c r="BJ398" s="8">
        <f t="shared" si="85"/>
        <v>859.67129</v>
      </c>
    </row>
    <row r="399" spans="1:62" x14ac:dyDescent="0.25">
      <c r="A399" s="9" t="s">
        <v>541</v>
      </c>
      <c r="B399" s="9" t="s">
        <v>644</v>
      </c>
      <c r="C399" s="10">
        <f>VLOOKUP(A399,'[2]Revenue_Engine_2025 Oct.25'!$C$14:G$3937,5,0)</f>
        <v>45545</v>
      </c>
      <c r="D399" s="6" cm="1">
        <f t="array" ref="D399">_xlfn.LET(
  _xlpm.aralık, Y399:BF399,
  _xlpm.ilk, MATCH(TRUE, _xlpm.aralık&lt;&gt;0, 0),
  _xlpm.son, MIN(_xlpm.ilk+2, COLUMNS(_xlpm.aralık)),
  MAX(INDEX(_xlpm.aralık, _xlpm.ilk):INDEX(_xlpm.aralık, _xlpm.son))
)</f>
        <v>85.967129</v>
      </c>
      <c r="E399" s="6">
        <f t="shared" si="78"/>
        <v>85.967129</v>
      </c>
      <c r="F399" s="6">
        <f t="shared" si="79"/>
        <v>0</v>
      </c>
      <c r="G399" s="6">
        <f t="shared" si="86"/>
        <v>85.967129</v>
      </c>
      <c r="H399" s="7">
        <f t="shared" si="80"/>
        <v>0</v>
      </c>
      <c r="I399" s="7">
        <f t="shared" si="81"/>
        <v>-1</v>
      </c>
      <c r="J399" s="7">
        <f t="shared" si="82"/>
        <v>-1</v>
      </c>
      <c r="K399" s="7">
        <f t="shared" si="87"/>
        <v>0</v>
      </c>
      <c r="L399" s="5" t="s">
        <v>694</v>
      </c>
      <c r="M399" s="7">
        <f>IF(R399="",(VLOOKUP(A399,[1]Export!$B$2:$H$680,7,0)),"CHURN")</f>
        <v>0.30188356063397215</v>
      </c>
      <c r="N399" s="5">
        <f t="shared" si="88"/>
        <v>60.015065999999997</v>
      </c>
      <c r="O399" s="5">
        <f t="shared" si="89"/>
        <v>60.015065999999997</v>
      </c>
      <c r="P399" s="5">
        <f t="shared" si="90"/>
        <v>0</v>
      </c>
      <c r="Q399" s="5" t="s">
        <v>430</v>
      </c>
      <c r="T399" s="6" t="str" cm="1">
        <f t="array" ref="T399">IF(R399&lt;&gt;"Churn","",
 _xlfn.LET(
   _xlpm.rng,Y399:BF399,
   _xlpm.pos,MAX(IF((_xlpm.rng&lt;&gt;0)*(_xlpm.rng&lt;&gt;""),COLUMN(_xlpm.rng)-COLUMN(Y399)+1)),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399" s="6" t="str" cm="1">
        <f t="array" ref="U399">IF(R399="Churn",
   MAX(IF((Y399:BF399&lt;&gt;"")*(Y399:BF399&lt;&gt;0), COLUMN(Y399:BF399)-COLUMN(Y399)+1))
   -MATCH(1, --((Y399:BF399&lt;&gt;"")*(Y399:BF399&lt;&gt;0)), 0)
   +1,
"")</f>
        <v/>
      </c>
      <c r="V399" s="6" t="str" cm="1">
        <f t="array" ref="V399">IFERROR(
    IF(
        MATCH(2,1/((Y399:BF399&lt;&gt;0)*(Y399:BF399&lt;&gt;"")))-MATCH(1,INDEX((Y399:BF399&lt;&gt;0)*(Y399:BF399&lt;&gt;""),0),0)+1 &lt;= 12,
        "No",
        "Yes"
    ),
    "No"
)</f>
        <v>Yes</v>
      </c>
      <c r="W399" s="6" t="str" cm="1">
        <f t="array" ref="W399">IFERROR(
    IF(
        MATCH(2,1/((Y399:BF399&lt;&gt;0)*(Y399:BF399&lt;&gt;"")))-MATCH(1,INDEX((Y399:BF399&lt;&gt;0)*(Y399:BF399&lt;&gt;""),0),0)+1 &lt;= 24,
        "No",
        "Yes"
    ),
    "No"
)</f>
        <v>No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85.967129</v>
      </c>
      <c r="AT399" s="8">
        <v>85.967129</v>
      </c>
      <c r="AU399" s="8">
        <v>85.967129</v>
      </c>
      <c r="AV399" s="8">
        <v>85.967129</v>
      </c>
      <c r="AW399" s="8">
        <v>85.967129</v>
      </c>
      <c r="AX399" s="8">
        <v>85.967129</v>
      </c>
      <c r="AY399" s="8">
        <v>85.967129</v>
      </c>
      <c r="AZ399" s="8">
        <v>85.967129</v>
      </c>
      <c r="BA399" s="8">
        <v>85.967129</v>
      </c>
      <c r="BB399" s="8">
        <v>85.967129</v>
      </c>
      <c r="BC399" s="8">
        <v>85.967129</v>
      </c>
      <c r="BD399" s="8">
        <v>85.967129</v>
      </c>
      <c r="BE399" s="8">
        <v>85.967129</v>
      </c>
      <c r="BF399" s="8">
        <v>85.967129</v>
      </c>
      <c r="BH399" s="8">
        <f t="shared" si="83"/>
        <v>0</v>
      </c>
      <c r="BI399" s="8">
        <f t="shared" si="84"/>
        <v>343.868516</v>
      </c>
      <c r="BJ399" s="8">
        <f t="shared" si="85"/>
        <v>859.67129</v>
      </c>
    </row>
    <row r="400" spans="1:62" x14ac:dyDescent="0.25">
      <c r="A400" s="9" t="s">
        <v>186</v>
      </c>
      <c r="B400" s="9" t="s">
        <v>644</v>
      </c>
      <c r="C400" s="10">
        <v>44927</v>
      </c>
      <c r="D400" s="6" cm="1">
        <f t="array" ref="D400">_xlfn.LET(
  _xlpm.aralık, Y400:BF400,
  _xlpm.ilk, MATCH(TRUE, _xlpm.aralık&lt;&gt;0, 0),
  _xlpm.son, MIN(_xlpm.ilk+2, COLUMNS(_xlpm.aralık)),
  MAX(INDEX(_xlpm.aralık, _xlpm.ilk):INDEX(_xlpm.aralık, _xlpm.son))
)</f>
        <v>85.6</v>
      </c>
      <c r="E400" s="6">
        <f t="shared" si="78"/>
        <v>85.6</v>
      </c>
      <c r="F400" s="6">
        <f t="shared" si="79"/>
        <v>85.6</v>
      </c>
      <c r="G400" s="6">
        <f t="shared" si="86"/>
        <v>85.6</v>
      </c>
      <c r="H400" s="7">
        <f t="shared" si="80"/>
        <v>0</v>
      </c>
      <c r="I400" s="7">
        <f t="shared" si="81"/>
        <v>0</v>
      </c>
      <c r="J400" s="7">
        <f t="shared" si="82"/>
        <v>0</v>
      </c>
      <c r="K400" s="7">
        <f t="shared" si="87"/>
        <v>0</v>
      </c>
      <c r="L400" s="5" t="s">
        <v>418</v>
      </c>
      <c r="M400" s="7">
        <f>IF(R400="",(VLOOKUP(A400,[1]Export!$B$2:$H$680,7,0)),"CHURN")</f>
        <v>0.30568948891031827</v>
      </c>
      <c r="N400" s="5">
        <f t="shared" si="88"/>
        <v>59.432979749276747</v>
      </c>
      <c r="O400" s="5">
        <f t="shared" si="89"/>
        <v>59.432979749276747</v>
      </c>
      <c r="P400" s="5">
        <f t="shared" si="90"/>
        <v>59.432979749276747</v>
      </c>
      <c r="Q400" s="5" t="s">
        <v>430</v>
      </c>
      <c r="T400" s="6" t="str" cm="1">
        <f t="array" ref="T400">IF(R400&lt;&gt;"Churn","",
 _xlfn.LET(
   _xlpm.rng,Y400:BF400,
   _xlpm.pos,MAX(IF((_xlpm.rng&lt;&gt;0)*(_xlpm.rng&lt;&gt;""),COLUMN(_xlpm.rng)-COLUMN(Y400)+1)),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0" s="6" t="str" cm="1">
        <f t="array" ref="U400">IF(R400="Churn",
   MAX(IF((Y400:BF400&lt;&gt;"")*(Y400:BF400&lt;&gt;0), COLUMN(Y400:BF400)-COLUMN(Y400)+1))
   -MATCH(1, --((Y400:BF400&lt;&gt;"")*(Y400:BF400&lt;&gt;0)), 0)
   +1,
"")</f>
        <v/>
      </c>
      <c r="V400" s="6" t="str" cm="1">
        <f t="array" ref="V400">IFERROR(
    IF(
        MATCH(2,1/((Y400:BF400&lt;&gt;0)*(Y400:BF400&lt;&gt;"")))-MATCH(1,INDEX((Y400:BF400&lt;&gt;0)*(Y400:BF400&lt;&gt;""),0),0)+1 &lt;= 12,
        "No",
        "Yes"
    ),
    "No"
)</f>
        <v>Yes</v>
      </c>
      <c r="W400" s="6" t="str" cm="1">
        <f t="array" ref="W400">IFERROR(
    IF(
        MATCH(2,1/((Y400:BF400&lt;&gt;0)*(Y400:BF400&lt;&gt;"")))-MATCH(1,INDEX((Y400:BF400&lt;&gt;0)*(Y400:BF400&lt;&gt;""),0),0)+1 &lt;= 24,
        "No",
        "Yes"
    ),
    "No"
)</f>
        <v>Yes</v>
      </c>
      <c r="Y400" s="8">
        <v>85.6</v>
      </c>
      <c r="Z400" s="8">
        <v>85.6</v>
      </c>
      <c r="AA400" s="8">
        <v>85.6</v>
      </c>
      <c r="AB400" s="8">
        <v>85.6</v>
      </c>
      <c r="AC400" s="8">
        <v>85.6</v>
      </c>
      <c r="AD400" s="8">
        <v>85.6</v>
      </c>
      <c r="AE400" s="8">
        <v>85.6</v>
      </c>
      <c r="AF400" s="8">
        <v>85.6</v>
      </c>
      <c r="AG400" s="8">
        <v>85.6</v>
      </c>
      <c r="AH400" s="8">
        <v>183.6</v>
      </c>
      <c r="AI400" s="8">
        <v>183.6</v>
      </c>
      <c r="AJ400" s="8">
        <v>85.6</v>
      </c>
      <c r="AK400" s="8">
        <v>85.6</v>
      </c>
      <c r="AL400" s="8">
        <v>85.6</v>
      </c>
      <c r="AM400" s="8">
        <v>85.6</v>
      </c>
      <c r="AN400" s="8">
        <v>85.6</v>
      </c>
      <c r="AO400" s="8">
        <v>85.6</v>
      </c>
      <c r="AP400" s="8">
        <v>85.6</v>
      </c>
      <c r="AQ400" s="8">
        <v>85.6</v>
      </c>
      <c r="AR400" s="8">
        <v>85.6</v>
      </c>
      <c r="AS400" s="8">
        <v>85.6</v>
      </c>
      <c r="AT400" s="8">
        <v>85.6</v>
      </c>
      <c r="AU400" s="8">
        <v>85.6</v>
      </c>
      <c r="AV400" s="8">
        <v>85.6</v>
      </c>
      <c r="AW400" s="8">
        <v>85.6</v>
      </c>
      <c r="AX400" s="8">
        <v>85.6</v>
      </c>
      <c r="AY400" s="8">
        <v>85.6</v>
      </c>
      <c r="AZ400" s="8">
        <v>85.6</v>
      </c>
      <c r="BA400" s="8">
        <v>85.6</v>
      </c>
      <c r="BB400" s="8">
        <v>85.6</v>
      </c>
      <c r="BC400" s="8">
        <v>85.6</v>
      </c>
      <c r="BD400" s="8">
        <v>85.6</v>
      </c>
      <c r="BE400" s="8">
        <v>85.6</v>
      </c>
      <c r="BF400" s="8">
        <v>85.6</v>
      </c>
      <c r="BH400" s="8">
        <f t="shared" si="83"/>
        <v>1223.2</v>
      </c>
      <c r="BI400" s="8">
        <f t="shared" si="84"/>
        <v>1027.2</v>
      </c>
      <c r="BJ400" s="8">
        <f t="shared" si="85"/>
        <v>856.00000000000011</v>
      </c>
    </row>
    <row r="401" spans="1:62" x14ac:dyDescent="0.25">
      <c r="A401" s="9" t="s">
        <v>542</v>
      </c>
      <c r="B401" s="9" t="s">
        <v>644</v>
      </c>
      <c r="C401" s="10">
        <f>VLOOKUP(A401,'[2]Revenue_Engine_2025 Oct.25'!$C$14:G$3937,5,0)</f>
        <v>45554</v>
      </c>
      <c r="D401" s="6" cm="1">
        <f t="array" ref="D401">_xlfn.LET(
  _xlpm.aralık, Y401:BF401,
  _xlpm.ilk, MATCH(TRUE, _xlpm.aralık&lt;&gt;0, 0),
  _xlpm.son, MIN(_xlpm.ilk+2, COLUMNS(_xlpm.aralık)),
  MAX(INDEX(_xlpm.aralık, _xlpm.ilk):INDEX(_xlpm.aralık, _xlpm.son))
)</f>
        <v>80.010002000000014</v>
      </c>
      <c r="E401" s="6">
        <f t="shared" si="78"/>
        <v>80.010002000000014</v>
      </c>
      <c r="F401" s="6">
        <f t="shared" si="79"/>
        <v>0</v>
      </c>
      <c r="G401" s="6">
        <f t="shared" si="86"/>
        <v>80.010002000000014</v>
      </c>
      <c r="H401" s="7">
        <f t="shared" si="80"/>
        <v>0</v>
      </c>
      <c r="I401" s="7">
        <f t="shared" si="81"/>
        <v>-1</v>
      </c>
      <c r="J401" s="7">
        <f t="shared" si="82"/>
        <v>-1</v>
      </c>
      <c r="K401" s="7">
        <f t="shared" si="87"/>
        <v>0</v>
      </c>
      <c r="L401" s="5" t="s">
        <v>416</v>
      </c>
      <c r="M401" s="7">
        <f>IF(R401="",(VLOOKUP(A401,[1]Export!$B$2:$H$680,7,0)),"CHURN")</f>
        <v>0.15620618282199267</v>
      </c>
      <c r="N401" s="5">
        <f t="shared" si="88"/>
        <v>67.511945000000011</v>
      </c>
      <c r="O401" s="5">
        <f t="shared" si="89"/>
        <v>67.511945000000011</v>
      </c>
      <c r="P401" s="5">
        <f t="shared" si="90"/>
        <v>0</v>
      </c>
      <c r="Q401" s="5" t="s">
        <v>430</v>
      </c>
      <c r="T401" s="6" t="str" cm="1">
        <f t="array" ref="T401">IF(R401&lt;&gt;"Churn","",
 _xlfn.LET(
   _xlpm.rng,Y401:BF401,
   _xlpm.pos,MAX(IF((_xlpm.rng&lt;&gt;0)*(_xlpm.rng&lt;&gt;""),COLUMN(_xlpm.rng)-COLUMN(Y401)+1)),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1" s="6" t="str" cm="1">
        <f t="array" ref="U401">IF(R401="Churn",
   MAX(IF((Y401:BF401&lt;&gt;"")*(Y401:BF401&lt;&gt;0), COLUMN(Y401:BF401)-COLUMN(Y401)+1))
   -MATCH(1, --((Y401:BF401&lt;&gt;"")*(Y401:BF401&lt;&gt;0)), 0)
   +1,
"")</f>
        <v/>
      </c>
      <c r="V401" s="6" t="str" cm="1">
        <f t="array" ref="V401">IFERROR(
    IF(
        MATCH(2,1/((Y401:BF401&lt;&gt;0)*(Y401:BF401&lt;&gt;"")))-MATCH(1,INDEX((Y401:BF401&lt;&gt;0)*(Y401:BF401&lt;&gt;""),0),0)+1 &lt;= 12,
        "No",
        "Yes"
    ),
    "No"
)</f>
        <v>Yes</v>
      </c>
      <c r="W401" s="6" t="str" cm="1">
        <f t="array" ref="W401">IFERROR(
    IF(
        MATCH(2,1/((Y401:BF401&lt;&gt;0)*(Y401:BF401&lt;&gt;"")))-MATCH(1,INDEX((Y401:BF401&lt;&gt;0)*(Y401:BF401&lt;&gt;""),0),0)+1 &lt;= 24,
        "No",
        "Yes"
    ),
    "No"
)</f>
        <v>No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80.010002000000014</v>
      </c>
      <c r="AT401" s="8">
        <v>80.010002000000014</v>
      </c>
      <c r="AU401" s="8">
        <v>80.010002000000014</v>
      </c>
      <c r="AV401" s="8">
        <v>80.010002000000014</v>
      </c>
      <c r="AW401" s="8">
        <v>80.010002000000014</v>
      </c>
      <c r="AX401" s="8">
        <v>80.010002000000014</v>
      </c>
      <c r="AY401" s="8">
        <v>80.010002000000014</v>
      </c>
      <c r="AZ401" s="8">
        <v>80.010002000000014</v>
      </c>
      <c r="BA401" s="8">
        <v>80.010002000000014</v>
      </c>
      <c r="BB401" s="8">
        <v>80.010002000000014</v>
      </c>
      <c r="BC401" s="8">
        <v>80.010002000000014</v>
      </c>
      <c r="BD401" s="8">
        <v>80.010002000000014</v>
      </c>
      <c r="BE401" s="8">
        <v>80.010002000000014</v>
      </c>
      <c r="BF401" s="8">
        <v>80.010002000000014</v>
      </c>
      <c r="BH401" s="8">
        <f t="shared" si="83"/>
        <v>0</v>
      </c>
      <c r="BI401" s="8">
        <f t="shared" si="84"/>
        <v>320.04000800000006</v>
      </c>
      <c r="BJ401" s="8">
        <f t="shared" si="85"/>
        <v>800.10001999999997</v>
      </c>
    </row>
    <row r="402" spans="1:62" x14ac:dyDescent="0.25">
      <c r="A402" s="9" t="s">
        <v>543</v>
      </c>
      <c r="B402" s="9" t="s">
        <v>644</v>
      </c>
      <c r="C402" s="10">
        <f>VLOOKUP(A402,'[2]Revenue_Engine_2025 Oct.25'!$C$14:G$3937,5,0)</f>
        <v>45712</v>
      </c>
      <c r="D402" s="6" cm="1">
        <f t="array" ref="D402">_xlfn.LET(
  _xlpm.aralık, Y402:BF402,
  _xlpm.ilk, MATCH(TRUE, _xlpm.aralık&lt;&gt;0, 0),
  _xlpm.son, MIN(_xlpm.ilk+2, COLUMNS(_xlpm.aralık)),
  MAX(INDEX(_xlpm.aralık, _xlpm.ilk):INDEX(_xlpm.aralık, _xlpm.son))
)</f>
        <v>90.095334724959741</v>
      </c>
      <c r="E402" s="6">
        <f t="shared" si="78"/>
        <v>0</v>
      </c>
      <c r="F402" s="6">
        <f t="shared" si="79"/>
        <v>0</v>
      </c>
      <c r="G402" s="6">
        <f t="shared" si="86"/>
        <v>77.888525941672285</v>
      </c>
      <c r="H402" s="7">
        <f t="shared" si="80"/>
        <v>-1</v>
      </c>
      <c r="I402" s="7">
        <f t="shared" si="81"/>
        <v>-1</v>
      </c>
      <c r="J402" s="7" t="e">
        <f t="shared" si="82"/>
        <v>#DIV/0!</v>
      </c>
      <c r="K402" s="7">
        <f t="shared" si="87"/>
        <v>-0.13548769001804617</v>
      </c>
      <c r="L402" s="5" t="s">
        <v>694</v>
      </c>
      <c r="M402" s="7">
        <f>IF(R402="",(VLOOKUP(A402,[1]Export!$B$2:$H$680,7,0)),"CHURN")</f>
        <v>0.2230914033943677</v>
      </c>
      <c r="N402" s="5">
        <f t="shared" si="88"/>
        <v>60.512265381025998</v>
      </c>
      <c r="O402" s="5">
        <f t="shared" si="89"/>
        <v>0</v>
      </c>
      <c r="P402" s="5">
        <f t="shared" si="90"/>
        <v>0</v>
      </c>
      <c r="Q402" s="5" t="s">
        <v>430</v>
      </c>
      <c r="T402" s="6" t="str" cm="1">
        <f t="array" ref="T402">IF(R402&lt;&gt;"Churn","",
 _xlfn.LET(
   _xlpm.rng,Y402:BF402,
   _xlpm.pos,MAX(IF((_xlpm.rng&lt;&gt;0)*(_xlpm.rng&lt;&gt;""),COLUMN(_xlpm.rng)-COLUMN(Y402)+1)),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2" s="6" t="str" cm="1">
        <f t="array" ref="U402">IF(R402="Churn",
   MAX(IF((Y402:BF402&lt;&gt;"")*(Y402:BF402&lt;&gt;0), COLUMN(Y402:BF402)-COLUMN(Y402)+1))
   -MATCH(1, --((Y402:BF402&lt;&gt;"")*(Y402:BF402&lt;&gt;0)), 0)
   +1,
"")</f>
        <v/>
      </c>
      <c r="V402" s="6" t="str" cm="1">
        <f t="array" ref="V402">IFERROR(
    IF(
        MATCH(2,1/((Y402:BF402&lt;&gt;0)*(Y402:BF402&lt;&gt;"")))-MATCH(1,INDEX((Y402:BF402&lt;&gt;0)*(Y402:BF402&lt;&gt;""),0),0)+1 &lt;= 12,
        "No",
        "Yes"
    ),
    "No"
)</f>
        <v>No</v>
      </c>
      <c r="W402" s="6" t="str" cm="1">
        <f t="array" ref="W402">IFERROR(
    IF(
        MATCH(2,1/((Y402:BF402&lt;&gt;0)*(Y402:BF402&lt;&gt;"")))-MATCH(1,INDEX((Y402:BF402&lt;&gt;0)*(Y402:BF402&lt;&gt;""),0),0)+1 &lt;= 24,
        "No",
        "Yes"
    ),
    "No"
)</f>
        <v>No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90.095334724959741</v>
      </c>
      <c r="AY402" s="8">
        <v>87.847572298552024</v>
      </c>
      <c r="AZ402" s="8">
        <v>85.500890524659781</v>
      </c>
      <c r="BA402" s="8">
        <v>84.067523034501335</v>
      </c>
      <c r="BB402" s="8">
        <v>82.640215017125598</v>
      </c>
      <c r="BC402" s="8">
        <v>81.050615485904686</v>
      </c>
      <c r="BD402" s="8">
        <v>79.80238474080187</v>
      </c>
      <c r="BE402" s="8">
        <v>78.836422912532811</v>
      </c>
      <c r="BF402" s="8">
        <v>77.888525941672285</v>
      </c>
      <c r="BH402" s="8">
        <f t="shared" si="83"/>
        <v>0</v>
      </c>
      <c r="BI402" s="8">
        <f t="shared" si="84"/>
        <v>0</v>
      </c>
      <c r="BJ402" s="8">
        <f t="shared" si="85"/>
        <v>747.72948468071024</v>
      </c>
    </row>
    <row r="403" spans="1:62" x14ac:dyDescent="0.25">
      <c r="A403" s="9" t="s">
        <v>141</v>
      </c>
      <c r="B403" s="9" t="s">
        <v>644</v>
      </c>
      <c r="C403" s="10">
        <f>VLOOKUP(A403,'[2]Revenue_Engine_2025 Oct.25'!$C$14:G$3937,5,0)</f>
        <v>45163</v>
      </c>
      <c r="D403" s="6" cm="1">
        <f t="array" ref="D403">_xlfn.LET(
  _xlpm.aralık, Y403:BF403,
  _xlpm.ilk, MATCH(TRUE, _xlpm.aralık&lt;&gt;0, 0),
  _xlpm.son, MIN(_xlpm.ilk+2, COLUMNS(_xlpm.aralık)),
  MAX(INDEX(_xlpm.aralık, _xlpm.ilk):INDEX(_xlpm.aralık, _xlpm.son))
)</f>
        <v>75</v>
      </c>
      <c r="E403" s="6">
        <f t="shared" si="78"/>
        <v>75</v>
      </c>
      <c r="F403" s="6">
        <f t="shared" si="79"/>
        <v>75</v>
      </c>
      <c r="G403" s="6">
        <f t="shared" si="86"/>
        <v>75</v>
      </c>
      <c r="H403" s="7">
        <f t="shared" si="80"/>
        <v>0</v>
      </c>
      <c r="I403" s="7">
        <f t="shared" si="81"/>
        <v>0</v>
      </c>
      <c r="J403" s="7">
        <f t="shared" si="82"/>
        <v>0</v>
      </c>
      <c r="K403" s="7">
        <f t="shared" si="87"/>
        <v>0</v>
      </c>
      <c r="L403" s="5" t="s">
        <v>417</v>
      </c>
      <c r="M403" s="7">
        <f>IF(R403="",(VLOOKUP(A403,[1]Export!$B$2:$H$680,7,0)),"CHURN")</f>
        <v>1</v>
      </c>
      <c r="N403" s="5">
        <f t="shared" si="88"/>
        <v>0</v>
      </c>
      <c r="O403" s="5">
        <f t="shared" si="89"/>
        <v>0</v>
      </c>
      <c r="P403" s="5">
        <f t="shared" si="90"/>
        <v>0</v>
      </c>
      <c r="Q403" s="5" t="str">
        <f>VLOOKUP(A403,[4]Sheet2!$A$1:$B$142,2,0)</f>
        <v>LOW RISK</v>
      </c>
      <c r="T403" s="6" t="str" cm="1">
        <f t="array" ref="T403">IF(R403&lt;&gt;"Churn","",
 _xlfn.LET(
   _xlpm.rng,Y403:BF403,
   _xlpm.pos,MAX(IF((_xlpm.rng&lt;&gt;0)*(_xlpm.rng&lt;&gt;""),COLUMN(_xlpm.rng)-COLUMN(Y403)+1)),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3" s="6" t="str" cm="1">
        <f t="array" ref="U403">IF(R403="Churn",
   MAX(IF((Y403:BF403&lt;&gt;"")*(Y403:BF403&lt;&gt;0), COLUMN(Y403:BF403)-COLUMN(Y403)+1))
   -MATCH(1, --((Y403:BF403&lt;&gt;"")*(Y403:BF403&lt;&gt;0)), 0)
   +1,
"")</f>
        <v/>
      </c>
      <c r="V403" s="6" t="str" cm="1">
        <f t="array" ref="V403">IFERROR(
    IF(
        MATCH(2,1/((Y403:BF403&lt;&gt;0)*(Y403:BF403&lt;&gt;"")))-MATCH(1,INDEX((Y403:BF403&lt;&gt;0)*(Y403:BF403&lt;&gt;""),0),0)+1 &lt;= 12,
        "No",
        "Yes"
    ),
    "No"
)</f>
        <v>Yes</v>
      </c>
      <c r="W403" s="6" t="str" cm="1">
        <f t="array" ref="W403">IFERROR(
    IF(
        MATCH(2,1/((Y403:BF403&lt;&gt;0)*(Y403:BF403&lt;&gt;"")))-MATCH(1,INDEX((Y403:BF403&lt;&gt;0)*(Y403:BF403&lt;&gt;""),0),0)+1 &lt;= 24,
        "No",
        "Yes"
    ),
    "No"
)</f>
        <v>Yes</v>
      </c>
      <c r="Y403" s="8">
        <v>75</v>
      </c>
      <c r="Z403" s="8">
        <v>75</v>
      </c>
      <c r="AA403" s="8">
        <v>75</v>
      </c>
      <c r="AB403" s="8">
        <v>75</v>
      </c>
      <c r="AC403" s="8">
        <v>75</v>
      </c>
      <c r="AD403" s="8">
        <v>75</v>
      </c>
      <c r="AE403" s="8">
        <v>75</v>
      </c>
      <c r="AF403" s="8">
        <v>75</v>
      </c>
      <c r="AG403" s="8">
        <v>75</v>
      </c>
      <c r="AH403" s="8">
        <v>75</v>
      </c>
      <c r="AI403" s="8">
        <v>75</v>
      </c>
      <c r="AJ403" s="8">
        <v>75</v>
      </c>
      <c r="AK403" s="8">
        <v>75</v>
      </c>
      <c r="AL403" s="8">
        <v>75</v>
      </c>
      <c r="AM403" s="8">
        <v>75</v>
      </c>
      <c r="AN403" s="8">
        <v>75</v>
      </c>
      <c r="AO403" s="8">
        <v>75</v>
      </c>
      <c r="AP403" s="8">
        <v>75</v>
      </c>
      <c r="AQ403" s="8">
        <v>75</v>
      </c>
      <c r="AR403" s="8">
        <v>75</v>
      </c>
      <c r="AS403" s="8">
        <v>75</v>
      </c>
      <c r="AT403" s="8">
        <v>75</v>
      </c>
      <c r="AU403" s="8">
        <v>75</v>
      </c>
      <c r="AV403" s="8">
        <v>75</v>
      </c>
      <c r="AW403" s="8">
        <v>75</v>
      </c>
      <c r="AX403" s="8">
        <v>75</v>
      </c>
      <c r="AY403" s="8">
        <v>75</v>
      </c>
      <c r="AZ403" s="8">
        <v>75</v>
      </c>
      <c r="BA403" s="8">
        <v>75</v>
      </c>
      <c r="BB403" s="8">
        <v>75</v>
      </c>
      <c r="BC403" s="8">
        <v>75</v>
      </c>
      <c r="BD403" s="8">
        <v>75</v>
      </c>
      <c r="BE403" s="8">
        <v>75</v>
      </c>
      <c r="BF403" s="8">
        <v>75</v>
      </c>
      <c r="BH403" s="8">
        <f t="shared" si="83"/>
        <v>900</v>
      </c>
      <c r="BI403" s="8">
        <f t="shared" si="84"/>
        <v>900</v>
      </c>
      <c r="BJ403" s="8">
        <f t="shared" si="85"/>
        <v>750</v>
      </c>
    </row>
    <row r="404" spans="1:62" x14ac:dyDescent="0.25">
      <c r="A404" s="9" t="s">
        <v>544</v>
      </c>
      <c r="B404" s="9" t="s">
        <v>644</v>
      </c>
      <c r="C404" s="10">
        <f>VLOOKUP(A404,'[2]Revenue_Engine_2025 Oct.25'!$C$14:G$3937,5,0)</f>
        <v>45600</v>
      </c>
      <c r="D404" s="6" cm="1">
        <f t="array" ref="D404">_xlfn.LET(
  _xlpm.aralık, Y404:BF404,
  _xlpm.ilk, MATCH(TRUE, _xlpm.aralık&lt;&gt;0, 0),
  _xlpm.son, MIN(_xlpm.ilk+2, COLUMNS(_xlpm.aralık)),
  MAX(INDEX(_xlpm.aralık, _xlpm.ilk):INDEX(_xlpm.aralık, _xlpm.son))
)</f>
        <v>74.999999916666667</v>
      </c>
      <c r="E404" s="6">
        <f t="shared" si="78"/>
        <v>0</v>
      </c>
      <c r="F404" s="6">
        <f t="shared" si="79"/>
        <v>0</v>
      </c>
      <c r="G404" s="6">
        <f t="shared" si="86"/>
        <v>74.999999916666667</v>
      </c>
      <c r="H404" s="7">
        <f t="shared" si="80"/>
        <v>-1</v>
      </c>
      <c r="I404" s="7">
        <f t="shared" si="81"/>
        <v>-1</v>
      </c>
      <c r="J404" s="7" t="e">
        <f t="shared" si="82"/>
        <v>#DIV/0!</v>
      </c>
      <c r="K404" s="7">
        <f t="shared" si="87"/>
        <v>0</v>
      </c>
      <c r="L404" s="5" t="s">
        <v>694</v>
      </c>
      <c r="M404" s="7">
        <f>IF(R404="",(VLOOKUP(A404,[1]Export!$B$2:$H$680,7,0)),"CHURN")</f>
        <v>0</v>
      </c>
      <c r="N404" s="5">
        <f t="shared" si="88"/>
        <v>74.999999916666667</v>
      </c>
      <c r="O404" s="5">
        <f t="shared" si="89"/>
        <v>0</v>
      </c>
      <c r="P404" s="5">
        <f t="shared" si="90"/>
        <v>0</v>
      </c>
      <c r="Q404" s="5" t="s">
        <v>430</v>
      </c>
      <c r="T404" s="6" t="str" cm="1">
        <f t="array" ref="T404">IF(R404&lt;&gt;"Churn","",
 _xlfn.LET(
   _xlpm.rng,Y404:BF404,
   _xlpm.pos,MAX(IF((_xlpm.rng&lt;&gt;0)*(_xlpm.rng&lt;&gt;""),COLUMN(_xlpm.rng)-COLUMN(Y404)+1)),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4" s="6" t="str" cm="1">
        <f t="array" ref="U404">IF(R404="Churn",
   MAX(IF((Y404:BF404&lt;&gt;"")*(Y404:BF404&lt;&gt;0), COLUMN(Y404:BF404)-COLUMN(Y404)+1))
   -MATCH(1, --((Y404:BF404&lt;&gt;"")*(Y404:BF404&lt;&gt;0)), 0)
   +1,
"")</f>
        <v/>
      </c>
      <c r="V404" s="6" t="str" cm="1">
        <f t="array" ref="V404">IFERROR(
    IF(
        MATCH(2,1/((Y404:BF404&lt;&gt;0)*(Y404:BF404&lt;&gt;"")))-MATCH(1,INDEX((Y404:BF404&lt;&gt;0)*(Y404:BF404&lt;&gt;""),0),0)+1 &lt;= 12,
        "No",
        "Yes"
    ),
    "No"
)</f>
        <v>No</v>
      </c>
      <c r="W404" s="6" t="str" cm="1">
        <f t="array" ref="W404">IFERROR(
    IF(
        MATCH(2,1/((Y404:BF404&lt;&gt;0)*(Y404:BF404&lt;&gt;"")))-MATCH(1,INDEX((Y404:BF404&lt;&gt;0)*(Y404:BF404&lt;&gt;""),0),0)+1 &lt;= 24,
        "No",
        "Yes"
    ),
    "No"
)</f>
        <v>No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74.999999916666667</v>
      </c>
      <c r="AV404" s="8">
        <v>74.999999916666667</v>
      </c>
      <c r="AW404" s="8">
        <v>74.999999916666667</v>
      </c>
      <c r="AX404" s="8">
        <v>74.999999916666667</v>
      </c>
      <c r="AY404" s="8">
        <v>74.999999916666667</v>
      </c>
      <c r="AZ404" s="8">
        <v>74.999999916666667</v>
      </c>
      <c r="BA404" s="8">
        <v>74.999999916666667</v>
      </c>
      <c r="BB404" s="8">
        <v>74.999999916666667</v>
      </c>
      <c r="BC404" s="8">
        <v>74.999999916666667</v>
      </c>
      <c r="BD404" s="8">
        <v>74.999999916666667</v>
      </c>
      <c r="BE404" s="8">
        <v>74.999999916666667</v>
      </c>
      <c r="BF404" s="8">
        <v>74.999999916666667</v>
      </c>
      <c r="BH404" s="8">
        <f t="shared" si="83"/>
        <v>0</v>
      </c>
      <c r="BI404" s="8">
        <f t="shared" si="84"/>
        <v>149.99999983333333</v>
      </c>
      <c r="BJ404" s="8">
        <f t="shared" si="85"/>
        <v>749.9999991666665</v>
      </c>
    </row>
    <row r="405" spans="1:62" x14ac:dyDescent="0.25">
      <c r="A405" s="9" t="s">
        <v>545</v>
      </c>
      <c r="B405" s="9" t="s">
        <v>644</v>
      </c>
      <c r="C405" s="10">
        <f>VLOOKUP(A405,'[2]Revenue_Engine_2025 Oct.25'!$C$14:G$3937,5,0)</f>
        <v>45666</v>
      </c>
      <c r="D405" s="6" cm="1">
        <f t="array" ref="D405">_xlfn.LET(
  _xlpm.aralık, Y405:BF405,
  _xlpm.ilk, MATCH(TRUE, _xlpm.aralık&lt;&gt;0, 0),
  _xlpm.son, MIN(_xlpm.ilk+2, COLUMNS(_xlpm.aralık)),
  MAX(INDEX(_xlpm.aralık, _xlpm.ilk):INDEX(_xlpm.aralık, _xlpm.son))
)</f>
        <v>75</v>
      </c>
      <c r="E405" s="6">
        <f t="shared" si="78"/>
        <v>0</v>
      </c>
      <c r="F405" s="6">
        <f t="shared" si="79"/>
        <v>0</v>
      </c>
      <c r="G405" s="6">
        <f t="shared" si="86"/>
        <v>74.99832825</v>
      </c>
      <c r="H405" s="7">
        <f t="shared" si="80"/>
        <v>-1</v>
      </c>
      <c r="I405" s="7">
        <f t="shared" si="81"/>
        <v>-1</v>
      </c>
      <c r="J405" s="7" t="e">
        <f t="shared" si="82"/>
        <v>#DIV/0!</v>
      </c>
      <c r="K405" s="7">
        <f t="shared" si="87"/>
        <v>-2.2289999999998145E-5</v>
      </c>
      <c r="L405" s="5" t="s">
        <v>694</v>
      </c>
      <c r="M405" s="7">
        <f>IF(R405="",(VLOOKUP(A405,[1]Export!$B$2:$H$680,7,0)),"CHURN")</f>
        <v>0.30190533724774504</v>
      </c>
      <c r="N405" s="5">
        <f t="shared" si="88"/>
        <v>52.355932666666668</v>
      </c>
      <c r="O405" s="5">
        <f t="shared" si="89"/>
        <v>0</v>
      </c>
      <c r="P405" s="5">
        <f t="shared" si="90"/>
        <v>0</v>
      </c>
      <c r="Q405" s="5" t="s">
        <v>430</v>
      </c>
      <c r="T405" s="6" t="str" cm="1">
        <f t="array" ref="T405">IF(R405&lt;&gt;"Churn","",
 _xlfn.LET(
   _xlpm.rng,Y405:BF405,
   _xlpm.pos,MAX(IF((_xlpm.rng&lt;&gt;0)*(_xlpm.rng&lt;&gt;""),COLUMN(_xlpm.rng)-COLUMN(Y405)+1)),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5" s="6" t="str" cm="1">
        <f t="array" ref="U405">IF(R405="Churn",
   MAX(IF((Y405:BF405&lt;&gt;"")*(Y405:BF405&lt;&gt;0), COLUMN(Y405:BF405)-COLUMN(Y405)+1))
   -MATCH(1, --((Y405:BF405&lt;&gt;"")*(Y405:BF405&lt;&gt;0)), 0)
   +1,
"")</f>
        <v/>
      </c>
      <c r="V405" s="6" t="str" cm="1">
        <f t="array" ref="V405">IFERROR(
    IF(
        MATCH(2,1/((Y405:BF405&lt;&gt;0)*(Y405:BF405&lt;&gt;"")))-MATCH(1,INDEX((Y405:BF405&lt;&gt;0)*(Y405:BF405&lt;&gt;""),0),0)+1 &lt;= 12,
        "No",
        "Yes"
    ),
    "No"
)</f>
        <v>No</v>
      </c>
      <c r="W405" s="6" t="str" cm="1">
        <f t="array" ref="W405">IFERROR(
    IF(
        MATCH(2,1/((Y405:BF405&lt;&gt;0)*(Y405:BF405&lt;&gt;"")))-MATCH(1,INDEX((Y405:BF405&lt;&gt;0)*(Y405:BF405&lt;&gt;""),0),0)+1 &lt;= 24,
        "No",
        "Yes"
    ),
    "No"
)</f>
        <v>No</v>
      </c>
      <c r="X405" s="6"/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75</v>
      </c>
      <c r="AW405" s="8">
        <v>74.99832825</v>
      </c>
      <c r="AX405" s="8">
        <v>74.99832825</v>
      </c>
      <c r="AY405" s="8">
        <v>74.99832825</v>
      </c>
      <c r="AZ405" s="8">
        <v>74.99832825</v>
      </c>
      <c r="BA405" s="8">
        <v>74.99832825</v>
      </c>
      <c r="BB405" s="8">
        <v>74.99832825</v>
      </c>
      <c r="BC405" s="8">
        <v>74.99832825</v>
      </c>
      <c r="BD405" s="8">
        <v>74.99832825</v>
      </c>
      <c r="BE405" s="8">
        <v>74.99832825</v>
      </c>
      <c r="BF405" s="8">
        <v>74.99832825</v>
      </c>
      <c r="BH405" s="8">
        <f t="shared" si="83"/>
        <v>0</v>
      </c>
      <c r="BI405" s="8">
        <f t="shared" si="84"/>
        <v>75</v>
      </c>
      <c r="BJ405" s="8">
        <f t="shared" si="85"/>
        <v>749.98328249999997</v>
      </c>
    </row>
    <row r="406" spans="1:62" x14ac:dyDescent="0.25">
      <c r="A406" s="9" t="s">
        <v>546</v>
      </c>
      <c r="B406" s="9" t="s">
        <v>644</v>
      </c>
      <c r="C406" s="10">
        <f>VLOOKUP(A406,'[2]Revenue_Engine_2025 Oct.25'!$C$14:G$3937,5,0)</f>
        <v>45565</v>
      </c>
      <c r="D406" s="6" cm="1">
        <f t="array" ref="D406">_xlfn.LET(
  _xlpm.aralık, Y406:BF406,
  _xlpm.ilk, MATCH(TRUE, _xlpm.aralık&lt;&gt;0, 0),
  _xlpm.son, MIN(_xlpm.ilk+2, COLUMNS(_xlpm.aralık)),
  MAX(INDEX(_xlpm.aralık, _xlpm.ilk):INDEX(_xlpm.aralık, _xlpm.son))
)</f>
        <v>74.16666808333332</v>
      </c>
      <c r="E406" s="6">
        <f t="shared" si="78"/>
        <v>74.16666808333332</v>
      </c>
      <c r="F406" s="6">
        <f t="shared" si="79"/>
        <v>0</v>
      </c>
      <c r="G406" s="6">
        <f t="shared" si="86"/>
        <v>74.16666808333332</v>
      </c>
      <c r="H406" s="7">
        <f t="shared" si="80"/>
        <v>0</v>
      </c>
      <c r="I406" s="7">
        <f t="shared" si="81"/>
        <v>-1</v>
      </c>
      <c r="J406" s="7">
        <f t="shared" si="82"/>
        <v>-1</v>
      </c>
      <c r="K406" s="7">
        <f t="shared" si="87"/>
        <v>0</v>
      </c>
      <c r="L406" s="5" t="s">
        <v>694</v>
      </c>
      <c r="M406" s="7">
        <f>IF(R406="",(VLOOKUP(A406,[1]Export!$B$2:$H$680,7,0)),"CHURN")</f>
        <v>0.30215039310499253</v>
      </c>
      <c r="N406" s="5">
        <f t="shared" si="88"/>
        <v>51.757180166666657</v>
      </c>
      <c r="O406" s="5">
        <f t="shared" si="89"/>
        <v>51.757180166666657</v>
      </c>
      <c r="P406" s="5">
        <f t="shared" si="90"/>
        <v>0</v>
      </c>
      <c r="Q406" s="5" t="s">
        <v>430</v>
      </c>
      <c r="T406" s="6" t="str" cm="1">
        <f t="array" ref="T406">IF(R406&lt;&gt;"Churn","",
 _xlfn.LET(
   _xlpm.rng,Y406:BF406,
   _xlpm.pos,MAX(IF((_xlpm.rng&lt;&gt;0)*(_xlpm.rng&lt;&gt;""),COLUMN(_xlpm.rng)-COLUMN(Y406)+1)),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6" s="6" t="str" cm="1">
        <f t="array" ref="U406">IF(R406="Churn",
   MAX(IF((Y406:BF406&lt;&gt;"")*(Y406:BF406&lt;&gt;0), COLUMN(Y406:BF406)-COLUMN(Y406)+1))
   -MATCH(1, --((Y406:BF406&lt;&gt;"")*(Y406:BF406&lt;&gt;0)), 0)
   +1,
"")</f>
        <v/>
      </c>
      <c r="V406" s="6" t="str" cm="1">
        <f t="array" ref="V406">IFERROR(
    IF(
        MATCH(2,1/((Y406:BF406&lt;&gt;0)*(Y406:BF406&lt;&gt;"")))-MATCH(1,INDEX((Y406:BF406&lt;&gt;0)*(Y406:BF406&lt;&gt;""),0),0)+1 &lt;= 12,
        "No",
        "Yes"
    ),
    "No"
)</f>
        <v>Yes</v>
      </c>
      <c r="W406" s="6" t="str" cm="1">
        <f t="array" ref="W406">IFERROR(
    IF(
        MATCH(2,1/((Y406:BF406&lt;&gt;0)*(Y406:BF406&lt;&gt;"")))-MATCH(1,INDEX((Y406:BF406&lt;&gt;0)*(Y406:BF406&lt;&gt;""),0),0)+1 &lt;= 24,
        "No",
        "Yes"
    ),
    "No"
)</f>
        <v>No</v>
      </c>
      <c r="X406" s="6"/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74.16666808333332</v>
      </c>
      <c r="AT406" s="8">
        <v>74.16666808333332</v>
      </c>
      <c r="AU406" s="8">
        <v>74.16666808333332</v>
      </c>
      <c r="AV406" s="8">
        <v>74.16666808333332</v>
      </c>
      <c r="AW406" s="8">
        <v>74.16666808333332</v>
      </c>
      <c r="AX406" s="8">
        <v>74.16666808333332</v>
      </c>
      <c r="AY406" s="8">
        <v>74.16666808333332</v>
      </c>
      <c r="AZ406" s="8">
        <v>74.16666808333332</v>
      </c>
      <c r="BA406" s="8">
        <v>74.16666808333332</v>
      </c>
      <c r="BB406" s="8">
        <v>74.16666808333332</v>
      </c>
      <c r="BC406" s="8">
        <v>74.16666808333332</v>
      </c>
      <c r="BD406" s="8">
        <v>74.16666808333332</v>
      </c>
      <c r="BE406" s="8">
        <v>74.16666808333332</v>
      </c>
      <c r="BF406" s="8">
        <v>74.16666808333332</v>
      </c>
      <c r="BH406" s="8">
        <f t="shared" si="83"/>
        <v>0</v>
      </c>
      <c r="BI406" s="8">
        <f t="shared" si="84"/>
        <v>296.66667233333328</v>
      </c>
      <c r="BJ406" s="8">
        <f t="shared" si="85"/>
        <v>741.6666808333332</v>
      </c>
    </row>
    <row r="407" spans="1:62" x14ac:dyDescent="0.25">
      <c r="A407" s="9" t="s">
        <v>52</v>
      </c>
      <c r="B407" s="9" t="s">
        <v>644</v>
      </c>
      <c r="C407" s="10">
        <v>44927</v>
      </c>
      <c r="D407" s="6" cm="1">
        <f t="array" ref="D407">_xlfn.LET(
  _xlpm.aralık, Y407:BF407,
  _xlpm.ilk, MATCH(TRUE, _xlpm.aralık&lt;&gt;0, 0),
  _xlpm.son, MIN(_xlpm.ilk+2, COLUMNS(_xlpm.aralık)),
  MAX(INDEX(_xlpm.aralık, _xlpm.ilk):INDEX(_xlpm.aralık, _xlpm.son))
)</f>
        <v>70.5</v>
      </c>
      <c r="E407" s="6">
        <f t="shared" si="78"/>
        <v>70.5</v>
      </c>
      <c r="F407" s="6">
        <f t="shared" si="79"/>
        <v>72.49166666666666</v>
      </c>
      <c r="G407" s="6">
        <f t="shared" si="86"/>
        <v>73.44</v>
      </c>
      <c r="H407" s="7">
        <f t="shared" si="80"/>
        <v>0</v>
      </c>
      <c r="I407" s="7">
        <f t="shared" si="81"/>
        <v>2.8250591016548369E-2</v>
      </c>
      <c r="J407" s="7">
        <f t="shared" si="82"/>
        <v>2.8250591016548369E-2</v>
      </c>
      <c r="K407" s="7">
        <f t="shared" si="87"/>
        <v>4.1702127659574435E-2</v>
      </c>
      <c r="L407" s="5" t="s">
        <v>416</v>
      </c>
      <c r="M407" s="7">
        <f>IF(R407="",(VLOOKUP(A407,[1]Export!$B$2:$H$680,7,0)),"CHURN")</f>
        <v>1</v>
      </c>
      <c r="N407" s="5">
        <f t="shared" si="88"/>
        <v>0</v>
      </c>
      <c r="O407" s="5">
        <f t="shared" si="89"/>
        <v>0</v>
      </c>
      <c r="P407" s="5">
        <f t="shared" si="90"/>
        <v>0</v>
      </c>
      <c r="Q407" s="5" t="s">
        <v>430</v>
      </c>
      <c r="T407" s="6" t="str" cm="1">
        <f t="array" ref="T407">IF(R407&lt;&gt;"Churn","",
 _xlfn.LET(
   _xlpm.rng,Y407:BF407,
   _xlpm.pos,MAX(IF((_xlpm.rng&lt;&gt;0)*(_xlpm.rng&lt;&gt;""),COLUMN(_xlpm.rng)-COLUMN(Y407)+1)),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7" s="6" t="str" cm="1">
        <f t="array" ref="U407">IF(R407="Churn",
   MAX(IF((Y407:BF407&lt;&gt;"")*(Y407:BF407&lt;&gt;0), COLUMN(Y407:BF407)-COLUMN(Y407)+1))
   -MATCH(1, --((Y407:BF407&lt;&gt;"")*(Y407:BF407&lt;&gt;0)), 0)
   +1,
"")</f>
        <v/>
      </c>
      <c r="V407" s="6" t="str" cm="1">
        <f t="array" ref="V407">IFERROR(
    IF(
        MATCH(2,1/((Y407:BF407&lt;&gt;0)*(Y407:BF407&lt;&gt;"")))-MATCH(1,INDEX((Y407:BF407&lt;&gt;0)*(Y407:BF407&lt;&gt;""),0),0)+1 &lt;= 12,
        "No",
        "Yes"
    ),
    "No"
)</f>
        <v>Yes</v>
      </c>
      <c r="W407" s="6" t="str" cm="1">
        <f t="array" ref="W407">IFERROR(
    IF(
        MATCH(2,1/((Y407:BF407&lt;&gt;0)*(Y407:BF407&lt;&gt;"")))-MATCH(1,INDEX((Y407:BF407&lt;&gt;0)*(Y407:BF407&lt;&gt;""),0),0)+1 &lt;= 24,
        "No",
        "Yes"
    ),
    "No"
)</f>
        <v>Yes</v>
      </c>
      <c r="Y407" s="8">
        <v>64.5</v>
      </c>
      <c r="Z407" s="8">
        <v>64.5</v>
      </c>
      <c r="AA407" s="8">
        <v>70.5</v>
      </c>
      <c r="AB407" s="8">
        <v>70.5</v>
      </c>
      <c r="AC407" s="8">
        <v>70.5</v>
      </c>
      <c r="AD407" s="8">
        <v>70.5</v>
      </c>
      <c r="AE407" s="8">
        <v>70.5</v>
      </c>
      <c r="AF407" s="8">
        <v>70.5</v>
      </c>
      <c r="AG407" s="8">
        <v>70.5</v>
      </c>
      <c r="AH407" s="8">
        <v>70.5</v>
      </c>
      <c r="AI407" s="8">
        <v>70.5</v>
      </c>
      <c r="AJ407" s="8">
        <v>70.5</v>
      </c>
      <c r="AK407" s="8">
        <v>70.5</v>
      </c>
      <c r="AL407" s="8">
        <v>70.5</v>
      </c>
      <c r="AM407" s="8">
        <v>70.5</v>
      </c>
      <c r="AN407" s="8">
        <v>70.5</v>
      </c>
      <c r="AO407" s="8">
        <v>72.49166666666666</v>
      </c>
      <c r="AP407" s="8">
        <v>72.49166666666666</v>
      </c>
      <c r="AQ407" s="8">
        <v>72.49166666666666</v>
      </c>
      <c r="AR407" s="8">
        <v>72.49166666666666</v>
      </c>
      <c r="AS407" s="8">
        <v>72.49166666666666</v>
      </c>
      <c r="AT407" s="8">
        <v>72.49166666666666</v>
      </c>
      <c r="AU407" s="8">
        <v>72.49166666666666</v>
      </c>
      <c r="AV407" s="8">
        <v>72.49166666666666</v>
      </c>
      <c r="AW407" s="8">
        <v>72.49166666666666</v>
      </c>
      <c r="AX407" s="8">
        <v>72.49166666666666</v>
      </c>
      <c r="AY407" s="8">
        <v>72.49166666666666</v>
      </c>
      <c r="AZ407" s="8">
        <v>72.49166666666666</v>
      </c>
      <c r="BA407" s="8">
        <v>72.5</v>
      </c>
      <c r="BB407" s="8">
        <v>73.44</v>
      </c>
      <c r="BC407" s="8">
        <v>73.44</v>
      </c>
      <c r="BD407" s="8">
        <v>73.44</v>
      </c>
      <c r="BE407" s="8">
        <v>73.44</v>
      </c>
      <c r="BF407" s="8">
        <v>73.44</v>
      </c>
      <c r="BH407" s="8">
        <f t="shared" si="83"/>
        <v>834</v>
      </c>
      <c r="BI407" s="8">
        <f t="shared" si="84"/>
        <v>861.93333333333339</v>
      </c>
      <c r="BJ407" s="8">
        <f t="shared" si="85"/>
        <v>729.66666666666674</v>
      </c>
    </row>
    <row r="408" spans="1:62" x14ac:dyDescent="0.25">
      <c r="A408" s="9" t="s">
        <v>301</v>
      </c>
      <c r="B408" s="9" t="s">
        <v>644</v>
      </c>
      <c r="C408" s="10">
        <f>VLOOKUP(A408,'[2]Revenue_Engine_2025 Oct.25'!$C$14:G$3937,5,0)</f>
        <v>45435</v>
      </c>
      <c r="D408" s="6" cm="1">
        <f t="array" ref="D408">_xlfn.LET(
  _xlpm.aralık, Y408:BF408,
  _xlpm.ilk, MATCH(TRUE, _xlpm.aralık&lt;&gt;0, 0),
  _xlpm.son, MIN(_xlpm.ilk+2, COLUMNS(_xlpm.aralık)),
  MAX(INDEX(_xlpm.aralık, _xlpm.ilk):INDEX(_xlpm.aralık, _xlpm.son))
)</f>
        <v>70</v>
      </c>
      <c r="E408" s="6">
        <f t="shared" si="78"/>
        <v>70</v>
      </c>
      <c r="F408" s="6">
        <f t="shared" si="79"/>
        <v>0</v>
      </c>
      <c r="G408" s="6">
        <f t="shared" si="86"/>
        <v>70</v>
      </c>
      <c r="H408" s="7">
        <f t="shared" si="80"/>
        <v>0</v>
      </c>
      <c r="I408" s="7">
        <f t="shared" si="81"/>
        <v>-1</v>
      </c>
      <c r="J408" s="7">
        <f t="shared" si="82"/>
        <v>-1</v>
      </c>
      <c r="K408" s="7">
        <f t="shared" si="87"/>
        <v>0</v>
      </c>
      <c r="L408" s="5" t="s">
        <v>418</v>
      </c>
      <c r="M408" s="7">
        <f>IF(R408="",(VLOOKUP(A408,[1]Export!$B$2:$H$680,7,0)),"CHURN")</f>
        <v>0.21428571428571427</v>
      </c>
      <c r="N408" s="5">
        <f t="shared" si="88"/>
        <v>55</v>
      </c>
      <c r="O408" s="5">
        <f t="shared" si="89"/>
        <v>55</v>
      </c>
      <c r="P408" s="5">
        <f t="shared" si="90"/>
        <v>0</v>
      </c>
      <c r="Q408" s="5" t="s">
        <v>430</v>
      </c>
      <c r="T408" s="6" t="str" cm="1">
        <f t="array" ref="T408">IF(R408&lt;&gt;"Churn","",
 _xlfn.LET(
   _xlpm.rng,Y408:BF408,
   _xlpm.pos,MAX(IF((_xlpm.rng&lt;&gt;0)*(_xlpm.rng&lt;&gt;""),COLUMN(_xlpm.rng)-COLUMN(Y408)+1)),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8" s="6" t="str" cm="1">
        <f t="array" ref="U408">IF(R408="Churn",
   MAX(IF((Y408:BF408&lt;&gt;"")*(Y408:BF408&lt;&gt;0), COLUMN(Y408:BF408)-COLUMN(Y408)+1))
   -MATCH(1, --((Y408:BF408&lt;&gt;"")*(Y408:BF408&lt;&gt;0)), 0)
   +1,
"")</f>
        <v/>
      </c>
      <c r="V408" s="6" t="str" cm="1">
        <f t="array" ref="V408">IFERROR(
    IF(
        MATCH(2,1/((Y408:BF408&lt;&gt;0)*(Y408:BF408&lt;&gt;"")))-MATCH(1,INDEX((Y408:BF408&lt;&gt;0)*(Y408:BF408&lt;&gt;""),0),0)+1 &lt;= 12,
        "No",
        "Yes"
    ),
    "No"
)</f>
        <v>Yes</v>
      </c>
      <c r="W408" s="6" t="str" cm="1">
        <f t="array" ref="W408">IFERROR(
    IF(
        MATCH(2,1/((Y408:BF408&lt;&gt;0)*(Y408:BF408&lt;&gt;"")))-MATCH(1,INDEX((Y408:BF408&lt;&gt;0)*(Y408:BF408&lt;&gt;""),0),0)+1 &lt;= 24,
        "No",
        "Yes"
    ),
    "No"
)</f>
        <v>No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70</v>
      </c>
      <c r="AP408" s="8">
        <v>70</v>
      </c>
      <c r="AQ408" s="8">
        <v>70</v>
      </c>
      <c r="AR408" s="8">
        <v>70</v>
      </c>
      <c r="AS408" s="8">
        <v>70</v>
      </c>
      <c r="AT408" s="8">
        <v>70</v>
      </c>
      <c r="AU408" s="8">
        <v>70</v>
      </c>
      <c r="AV408" s="8">
        <v>70</v>
      </c>
      <c r="AW408" s="8">
        <v>70</v>
      </c>
      <c r="AX408" s="8">
        <v>70</v>
      </c>
      <c r="AY408" s="8">
        <v>70</v>
      </c>
      <c r="AZ408" s="8">
        <v>70</v>
      </c>
      <c r="BA408" s="8">
        <v>70</v>
      </c>
      <c r="BB408" s="8">
        <v>70</v>
      </c>
      <c r="BC408" s="8">
        <v>70</v>
      </c>
      <c r="BD408" s="8">
        <v>70</v>
      </c>
      <c r="BE408" s="8">
        <v>70</v>
      </c>
      <c r="BF408" s="8">
        <v>70</v>
      </c>
      <c r="BH408" s="8">
        <f t="shared" si="83"/>
        <v>0</v>
      </c>
      <c r="BI408" s="8">
        <f t="shared" si="84"/>
        <v>560</v>
      </c>
      <c r="BJ408" s="8">
        <f t="shared" si="85"/>
        <v>700</v>
      </c>
    </row>
    <row r="409" spans="1:62" x14ac:dyDescent="0.25">
      <c r="A409" s="9" t="s">
        <v>139</v>
      </c>
      <c r="B409" s="9" t="s">
        <v>644</v>
      </c>
      <c r="C409" s="10">
        <v>44927</v>
      </c>
      <c r="D409" s="6" cm="1">
        <f t="array" ref="D409">_xlfn.LET(
  _xlpm.aralık, Y409:BF409,
  _xlpm.ilk, MATCH(TRUE, _xlpm.aralık&lt;&gt;0, 0),
  _xlpm.son, MIN(_xlpm.ilk+2, COLUMNS(_xlpm.aralık)),
  MAX(INDEX(_xlpm.aralık, _xlpm.ilk):INDEX(_xlpm.aralık, _xlpm.son))
)</f>
        <v>54.95444661825686</v>
      </c>
      <c r="E409" s="6">
        <f t="shared" si="78"/>
        <v>46.824679497225276</v>
      </c>
      <c r="F409" s="6">
        <f t="shared" si="79"/>
        <v>62.864793273979174</v>
      </c>
      <c r="G409" s="6">
        <f t="shared" si="86"/>
        <v>69.444567359195517</v>
      </c>
      <c r="H409" s="7">
        <f t="shared" si="80"/>
        <v>-0.14793647505005952</v>
      </c>
      <c r="I409" s="7">
        <f t="shared" si="81"/>
        <v>0.14394370505942561</v>
      </c>
      <c r="J409" s="7">
        <f t="shared" si="82"/>
        <v>0.34255683005164828</v>
      </c>
      <c r="K409" s="7">
        <f t="shared" si="87"/>
        <v>0.26367512790356762</v>
      </c>
      <c r="L409" s="5" t="s">
        <v>416</v>
      </c>
      <c r="M409" s="7">
        <f>IF(R409="",(VLOOKUP(A409,[1]Export!$B$2:$H$680,7,0)),"CHURN")</f>
        <v>0.55309516386628022</v>
      </c>
      <c r="N409" s="5">
        <f t="shared" si="88"/>
        <v>31.03511299603834</v>
      </c>
      <c r="O409" s="5">
        <f t="shared" si="89"/>
        <v>20.92617571772141</v>
      </c>
      <c r="P409" s="5">
        <f t="shared" si="90"/>
        <v>28.094580136687831</v>
      </c>
      <c r="Q409" s="5" t="str">
        <f>VLOOKUP(A409,[4]Sheet2!$A$1:$B$142,2,0)</f>
        <v>NO RISK</v>
      </c>
      <c r="T409" s="6" t="str" cm="1">
        <f t="array" ref="T409">IF(R409&lt;&gt;"Churn","",
 _xlfn.LET(
   _xlpm.rng,Y409:BF409,
   _xlpm.pos,MAX(IF((_xlpm.rng&lt;&gt;0)*(_xlpm.rng&lt;&gt;""),COLUMN(_xlpm.rng)-COLUMN(Y409)+1)),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09" s="6" t="str" cm="1">
        <f t="array" ref="U409">IF(R409="Churn",
   MAX(IF((Y409:BF409&lt;&gt;"")*(Y409:BF409&lt;&gt;0), COLUMN(Y409:BF409)-COLUMN(Y409)+1))
   -MATCH(1, --((Y409:BF409&lt;&gt;"")*(Y409:BF409&lt;&gt;0)), 0)
   +1,
"")</f>
        <v/>
      </c>
      <c r="V409" s="6" t="str" cm="1">
        <f t="array" ref="V409">IFERROR(
    IF(
        MATCH(2,1/((Y409:BF409&lt;&gt;0)*(Y409:BF409&lt;&gt;"")))-MATCH(1,INDEX((Y409:BF409&lt;&gt;0)*(Y409:BF409&lt;&gt;""),0),0)+1 &lt;= 12,
        "No",
        "Yes"
    ),
    "No"
)</f>
        <v>Yes</v>
      </c>
      <c r="W409" s="6" t="str" cm="1">
        <f t="array" ref="W409">IFERROR(
    IF(
        MATCH(2,1/((Y409:BF409&lt;&gt;0)*(Y409:BF409&lt;&gt;"")))-MATCH(1,INDEX((Y409:BF409&lt;&gt;0)*(Y409:BF409&lt;&gt;""),0),0)+1 &lt;= 24,
        "No",
        "Yes"
    ),
    "No"
)</f>
        <v>Yes</v>
      </c>
      <c r="X409" s="6"/>
      <c r="Y409" s="8">
        <v>39.371371606169006</v>
      </c>
      <c r="Z409" s="8">
        <v>39.234581936601202</v>
      </c>
      <c r="AA409" s="8">
        <v>54.95444661825686</v>
      </c>
      <c r="AB409" s="8">
        <v>62.978103639091614</v>
      </c>
      <c r="AC409" s="8">
        <v>61.954722769895795</v>
      </c>
      <c r="AD409" s="8">
        <v>53.532946751108227</v>
      </c>
      <c r="AE409" s="8">
        <v>51.961252952396826</v>
      </c>
      <c r="AF409" s="8">
        <v>51.148455666070952</v>
      </c>
      <c r="AG409" s="8">
        <v>51.109341383530136</v>
      </c>
      <c r="AH409" s="8">
        <v>49.811446106992022</v>
      </c>
      <c r="AI409" s="8">
        <v>48.687931607126416</v>
      </c>
      <c r="AJ409" s="8">
        <v>48.069552590582269</v>
      </c>
      <c r="AK409" s="8">
        <v>46.824679497225276</v>
      </c>
      <c r="AL409" s="8">
        <v>45.955589953588174</v>
      </c>
      <c r="AM409" s="8">
        <v>64.862570046243206</v>
      </c>
      <c r="AN409" s="8">
        <v>64.306184788441442</v>
      </c>
      <c r="AO409" s="8">
        <v>64.386586417643855</v>
      </c>
      <c r="AP409" s="8">
        <v>63.917630708033286</v>
      </c>
      <c r="AQ409" s="8">
        <v>63.281481715726116</v>
      </c>
      <c r="AR409" s="8">
        <v>62.112922713624421</v>
      </c>
      <c r="AS409" s="8">
        <v>61.504834692309046</v>
      </c>
      <c r="AT409" s="8">
        <v>61.180162632021002</v>
      </c>
      <c r="AU409" s="8">
        <v>60.892534749607833</v>
      </c>
      <c r="AV409" s="8">
        <v>60.08566313447632</v>
      </c>
      <c r="AW409" s="8">
        <v>62.864793273979174</v>
      </c>
      <c r="AX409" s="8">
        <v>61.91525436685157</v>
      </c>
      <c r="AY409" s="8">
        <v>77.17318002805716</v>
      </c>
      <c r="AZ409" s="8">
        <v>75.352062439327256</v>
      </c>
      <c r="BA409" s="8">
        <v>74.239712747740526</v>
      </c>
      <c r="BB409" s="8">
        <v>73.132065445964741</v>
      </c>
      <c r="BC409" s="8">
        <v>71.898473530115922</v>
      </c>
      <c r="BD409" s="8">
        <v>70.929797252833595</v>
      </c>
      <c r="BE409" s="8">
        <v>70.180172785181654</v>
      </c>
      <c r="BF409" s="8">
        <v>69.444567359195517</v>
      </c>
      <c r="BH409" s="8">
        <f t="shared" si="83"/>
        <v>612.81415362782127</v>
      </c>
      <c r="BI409" s="8">
        <f t="shared" si="84"/>
        <v>719.31084104894012</v>
      </c>
      <c r="BJ409" s="8">
        <f t="shared" si="85"/>
        <v>707.13007922924703</v>
      </c>
    </row>
    <row r="410" spans="1:62" x14ac:dyDescent="0.25">
      <c r="A410" s="9" t="s">
        <v>342</v>
      </c>
      <c r="B410" s="9" t="s">
        <v>644</v>
      </c>
      <c r="C410" s="10">
        <f>VLOOKUP(A410,'[2]Revenue_Engine_2025 Oct.25'!$C$14:G$3937,5,0)</f>
        <v>45128</v>
      </c>
      <c r="D410" s="6" cm="1">
        <f t="array" ref="D410">_xlfn.LET(
  _xlpm.aralık, Y410:BF410,
  _xlpm.ilk, MATCH(TRUE, _xlpm.aralık&lt;&gt;0, 0),
  _xlpm.son, MIN(_xlpm.ilk+2, COLUMNS(_xlpm.aralık)),
  MAX(INDEX(_xlpm.aralık, _xlpm.ilk):INDEX(_xlpm.aralık, _xlpm.son))
)</f>
        <v>65</v>
      </c>
      <c r="E410" s="6">
        <f t="shared" si="78"/>
        <v>65</v>
      </c>
      <c r="F410" s="6">
        <f t="shared" si="79"/>
        <v>65</v>
      </c>
      <c r="G410" s="6">
        <f t="shared" si="86"/>
        <v>65</v>
      </c>
      <c r="H410" s="7">
        <f t="shared" si="80"/>
        <v>0</v>
      </c>
      <c r="I410" s="7">
        <f t="shared" si="81"/>
        <v>0</v>
      </c>
      <c r="J410" s="7">
        <f t="shared" si="82"/>
        <v>0</v>
      </c>
      <c r="K410" s="7">
        <f t="shared" si="87"/>
        <v>0</v>
      </c>
      <c r="L410" s="5" t="s">
        <v>419</v>
      </c>
      <c r="M410" s="7">
        <f>IF(R410="",(VLOOKUP(A410,[1]Export!$B$2:$H$680,7,0)),"CHURN")</f>
        <v>0.46153846153846156</v>
      </c>
      <c r="N410" s="5">
        <f t="shared" si="88"/>
        <v>35</v>
      </c>
      <c r="O410" s="5">
        <f t="shared" si="89"/>
        <v>35</v>
      </c>
      <c r="P410" s="5">
        <f t="shared" si="90"/>
        <v>35</v>
      </c>
      <c r="Q410" s="5" t="s">
        <v>430</v>
      </c>
      <c r="T410" s="6" t="str" cm="1">
        <f t="array" ref="T410">IF(R410&lt;&gt;"Churn","",
 _xlfn.LET(
   _xlpm.rng,Y410:BF410,
   _xlpm.pos,MAX(IF((_xlpm.rng&lt;&gt;0)*(_xlpm.rng&lt;&gt;""),COLUMN(_xlpm.rng)-COLUMN(Y410)+1)),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0" s="6" t="str" cm="1">
        <f t="array" ref="U410">IF(R410="Churn",
   MAX(IF((Y410:BF410&lt;&gt;"")*(Y410:BF410&lt;&gt;0), COLUMN(Y410:BF410)-COLUMN(Y410)+1))
   -MATCH(1, --((Y410:BF410&lt;&gt;"")*(Y410:BF410&lt;&gt;0)), 0)
   +1,
"")</f>
        <v/>
      </c>
      <c r="V410" s="6" t="str" cm="1">
        <f t="array" ref="V410">IFERROR(
    IF(
        MATCH(2,1/((Y410:BF410&lt;&gt;0)*(Y410:BF410&lt;&gt;"")))-MATCH(1,INDEX((Y410:BF410&lt;&gt;0)*(Y410:BF410&lt;&gt;""),0),0)+1 &lt;= 12,
        "No",
        "Yes"
    ),
    "No"
)</f>
        <v>Yes</v>
      </c>
      <c r="W410" s="6" t="str" cm="1">
        <f t="array" ref="W410">IFERROR(
    IF(
        MATCH(2,1/((Y410:BF410&lt;&gt;0)*(Y410:BF410&lt;&gt;"")))-MATCH(1,INDEX((Y410:BF410&lt;&gt;0)*(Y410:BF410&lt;&gt;""),0),0)+1 &lt;= 24,
        "No",
        "Yes"
    ),
    "No"
)</f>
        <v>Yes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50</v>
      </c>
      <c r="AF410" s="8">
        <v>65</v>
      </c>
      <c r="AG410" s="8">
        <v>65</v>
      </c>
      <c r="AH410" s="8">
        <v>65</v>
      </c>
      <c r="AI410" s="8">
        <v>65</v>
      </c>
      <c r="AJ410" s="8">
        <v>65</v>
      </c>
      <c r="AK410" s="8">
        <v>65</v>
      </c>
      <c r="AL410" s="8">
        <v>65</v>
      </c>
      <c r="AM410" s="8">
        <v>65</v>
      </c>
      <c r="AN410" s="8">
        <v>65</v>
      </c>
      <c r="AO410" s="8">
        <v>65</v>
      </c>
      <c r="AP410" s="8">
        <v>65</v>
      </c>
      <c r="AQ410" s="8">
        <v>65</v>
      </c>
      <c r="AR410" s="8">
        <v>65</v>
      </c>
      <c r="AS410" s="8">
        <v>65</v>
      </c>
      <c r="AT410" s="8">
        <v>65</v>
      </c>
      <c r="AU410" s="8">
        <v>65</v>
      </c>
      <c r="AV410" s="8">
        <v>65</v>
      </c>
      <c r="AW410" s="8">
        <v>65</v>
      </c>
      <c r="AX410" s="8">
        <v>65</v>
      </c>
      <c r="AY410" s="8">
        <v>65</v>
      </c>
      <c r="AZ410" s="8">
        <v>65</v>
      </c>
      <c r="BA410" s="8">
        <v>65</v>
      </c>
      <c r="BB410" s="8">
        <v>65</v>
      </c>
      <c r="BC410" s="8">
        <v>65</v>
      </c>
      <c r="BD410" s="8">
        <v>65</v>
      </c>
      <c r="BE410" s="8">
        <v>65</v>
      </c>
      <c r="BF410" s="8">
        <v>65</v>
      </c>
      <c r="BH410" s="8">
        <f t="shared" si="83"/>
        <v>375</v>
      </c>
      <c r="BI410" s="8">
        <f t="shared" si="84"/>
        <v>780</v>
      </c>
      <c r="BJ410" s="8">
        <f t="shared" si="85"/>
        <v>650</v>
      </c>
    </row>
    <row r="411" spans="1:62" x14ac:dyDescent="0.25">
      <c r="A411" s="9" t="s">
        <v>547</v>
      </c>
      <c r="B411" s="9" t="s">
        <v>644</v>
      </c>
      <c r="C411" s="10">
        <f>VLOOKUP(A411,'[2]Revenue_Engine_2025 Oct.25'!$C$14:G$3937,5,0)</f>
        <v>45715</v>
      </c>
      <c r="D411" s="6" cm="1">
        <f t="array" ref="D411">_xlfn.LET(
  _xlpm.aralık, Y411:BF411,
  _xlpm.ilk, MATCH(TRUE, _xlpm.aralık&lt;&gt;0, 0),
  _xlpm.son, MIN(_xlpm.ilk+2, COLUMNS(_xlpm.aralık)),
  MAX(INDEX(_xlpm.aralık, _xlpm.ilk):INDEX(_xlpm.aralık, _xlpm.son))
)</f>
        <v>62.997877000000003</v>
      </c>
      <c r="E411" s="6">
        <f t="shared" si="78"/>
        <v>0</v>
      </c>
      <c r="F411" s="6">
        <f t="shared" si="79"/>
        <v>0</v>
      </c>
      <c r="G411" s="6">
        <f t="shared" si="86"/>
        <v>62.997877000000003</v>
      </c>
      <c r="H411" s="7">
        <f t="shared" si="80"/>
        <v>-1</v>
      </c>
      <c r="I411" s="7">
        <f t="shared" si="81"/>
        <v>-1</v>
      </c>
      <c r="J411" s="7" t="e">
        <f t="shared" si="82"/>
        <v>#DIV/0!</v>
      </c>
      <c r="K411" s="7">
        <f t="shared" si="87"/>
        <v>0</v>
      </c>
      <c r="L411" s="5" t="s">
        <v>694</v>
      </c>
      <c r="M411" s="7">
        <f>IF(R411="",(VLOOKUP(A411,[1]Export!$B$2:$H$680,7,0)),"CHURN")</f>
        <v>0.30212688225456663</v>
      </c>
      <c r="N411" s="5">
        <f t="shared" si="88"/>
        <v>43.964524833333329</v>
      </c>
      <c r="O411" s="5">
        <f t="shared" si="89"/>
        <v>0</v>
      </c>
      <c r="P411" s="5">
        <f t="shared" si="90"/>
        <v>0</v>
      </c>
      <c r="Q411" s="5" t="s">
        <v>430</v>
      </c>
      <c r="T411" s="6" t="str" cm="1">
        <f t="array" ref="T411">IF(R411&lt;&gt;"Churn","",
 _xlfn.LET(
   _xlpm.rng,Y411:BF411,
   _xlpm.pos,MAX(IF((_xlpm.rng&lt;&gt;0)*(_xlpm.rng&lt;&gt;""),COLUMN(_xlpm.rng)-COLUMN(Y411)+1)),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1" s="6" t="str" cm="1">
        <f t="array" ref="U411">IF(R411="Churn",
   MAX(IF((Y411:BF411&lt;&gt;"")*(Y411:BF411&lt;&gt;0), COLUMN(Y411:BF411)-COLUMN(Y411)+1))
   -MATCH(1, --((Y411:BF411&lt;&gt;"")*(Y411:BF411&lt;&gt;0)), 0)
   +1,
"")</f>
        <v/>
      </c>
      <c r="V411" s="6" t="str" cm="1">
        <f t="array" ref="V411">IFERROR(
    IF(
        MATCH(2,1/((Y411:BF411&lt;&gt;0)*(Y411:BF411&lt;&gt;"")))-MATCH(1,INDEX((Y411:BF411&lt;&gt;0)*(Y411:BF411&lt;&gt;""),0),0)+1 &lt;= 12,
        "No",
        "Yes"
    ),
    "No"
)</f>
        <v>No</v>
      </c>
      <c r="W411" s="6" t="str" cm="1">
        <f t="array" ref="W411">IFERROR(
    IF(
        MATCH(2,1/((Y411:BF411&lt;&gt;0)*(Y411:BF411&lt;&gt;"")))-MATCH(1,INDEX((Y411:BF411&lt;&gt;0)*(Y411:BF411&lt;&gt;""),0),0)+1 &lt;= 24,
        "No",
        "Yes"
    ),
    "No"
)</f>
        <v>No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62.997877000000003</v>
      </c>
      <c r="AY411" s="8">
        <v>62.997877000000003</v>
      </c>
      <c r="AZ411" s="8">
        <v>62.997877000000003</v>
      </c>
      <c r="BA411" s="8">
        <v>62.997877000000003</v>
      </c>
      <c r="BB411" s="8">
        <v>62.997877000000003</v>
      </c>
      <c r="BC411" s="8">
        <v>62.997877000000003</v>
      </c>
      <c r="BD411" s="8">
        <v>62.997877000000003</v>
      </c>
      <c r="BE411" s="8">
        <v>62.997877000000003</v>
      </c>
      <c r="BF411" s="8">
        <v>62.997877000000003</v>
      </c>
      <c r="BH411" s="8">
        <f t="shared" si="83"/>
        <v>0</v>
      </c>
      <c r="BI411" s="8">
        <f t="shared" si="84"/>
        <v>0</v>
      </c>
      <c r="BJ411" s="8">
        <f t="shared" si="85"/>
        <v>566.98089300000004</v>
      </c>
    </row>
    <row r="412" spans="1:62" x14ac:dyDescent="0.25">
      <c r="A412" s="9" t="s">
        <v>406</v>
      </c>
      <c r="B412" s="9" t="s">
        <v>644</v>
      </c>
      <c r="C412" s="10">
        <f>VLOOKUP(A412,'[2]Revenue_Engine_2025 Oct.25'!$C$14:G$3937,5,0)</f>
        <v>45199</v>
      </c>
      <c r="D412" s="6" cm="1">
        <f t="array" ref="D412">_xlfn.LET(
  _xlpm.aralık, Y412:BF412,
  _xlpm.ilk, MATCH(TRUE, _xlpm.aralık&lt;&gt;0, 0),
  _xlpm.son, MIN(_xlpm.ilk+2, COLUMNS(_xlpm.aralık)),
  MAX(INDEX(_xlpm.aralık, _xlpm.ilk):INDEX(_xlpm.aralık, _xlpm.son))
)</f>
        <v>119.16666666666667</v>
      </c>
      <c r="E412" s="6">
        <f t="shared" si="78"/>
        <v>119.20039466666667</v>
      </c>
      <c r="F412" s="6">
        <f t="shared" si="79"/>
        <v>62.584356916666664</v>
      </c>
      <c r="G412" s="6">
        <f t="shared" si="86"/>
        <v>62.584356916666664</v>
      </c>
      <c r="H412" s="7">
        <f t="shared" si="80"/>
        <v>2.8303216783213785E-4</v>
      </c>
      <c r="I412" s="7">
        <f t="shared" si="81"/>
        <v>-0.47481658531468535</v>
      </c>
      <c r="J412" s="7">
        <f t="shared" si="82"/>
        <v>-0.47496518705598023</v>
      </c>
      <c r="K412" s="7">
        <f t="shared" si="87"/>
        <v>-0.47481658531468535</v>
      </c>
      <c r="L412" s="5" t="s">
        <v>416</v>
      </c>
      <c r="M412" s="7">
        <f>IF(R412="",(VLOOKUP(A412,[1]Export!$B$2:$H$680,7,0)),"CHURN")</f>
        <v>0.30419749206685082</v>
      </c>
      <c r="N412" s="5">
        <f t="shared" si="88"/>
        <v>43.54635249999999</v>
      </c>
      <c r="O412" s="5">
        <f t="shared" si="89"/>
        <v>82.939933555687844</v>
      </c>
      <c r="P412" s="5">
        <f t="shared" si="90"/>
        <v>43.54635249999999</v>
      </c>
      <c r="Q412" s="5" t="s">
        <v>430</v>
      </c>
      <c r="T412" s="6" t="str" cm="1">
        <f t="array" ref="T412">IF(R412&lt;&gt;"Churn","",
 _xlfn.LET(
   _xlpm.rng,Y412:BF412,
   _xlpm.pos,MAX(IF((_xlpm.rng&lt;&gt;0)*(_xlpm.rng&lt;&gt;""),COLUMN(_xlpm.rng)-COLUMN(Y412)+1)),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2" s="6" t="str" cm="1">
        <f t="array" ref="U412">IF(R412="Churn",
   MAX(IF((Y412:BF412&lt;&gt;"")*(Y412:BF412&lt;&gt;0), COLUMN(Y412:BF412)-COLUMN(Y412)+1))
   -MATCH(1, --((Y412:BF412&lt;&gt;"")*(Y412:BF412&lt;&gt;0)), 0)
   +1,
"")</f>
        <v/>
      </c>
      <c r="V412" s="6" t="str" cm="1">
        <f t="array" ref="V412">IFERROR(
    IF(
        MATCH(2,1/((Y412:BF412&lt;&gt;0)*(Y412:BF412&lt;&gt;"")))-MATCH(1,INDEX((Y412:BF412&lt;&gt;0)*(Y412:BF412&lt;&gt;""),0),0)+1 &lt;= 12,
        "No",
        "Yes"
    ),
    "No"
)</f>
        <v>Yes</v>
      </c>
      <c r="W412" s="6" t="str" cm="1">
        <f t="array" ref="W412">IFERROR(
    IF(
        MATCH(2,1/((Y412:BF412&lt;&gt;0)*(Y412:BF412&lt;&gt;"")))-MATCH(1,INDEX((Y412:BF412&lt;&gt;0)*(Y412:BF412&lt;&gt;""),0),0)+1 &lt;= 24,
        "No",
        "Yes"
    ),
    "No"
)</f>
        <v>Yes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119.16666666666667</v>
      </c>
      <c r="AH412" s="8">
        <v>119.16666666666667</v>
      </c>
      <c r="AI412" s="8">
        <v>119.16666666666667</v>
      </c>
      <c r="AJ412" s="8">
        <v>119.16666666666667</v>
      </c>
      <c r="AK412" s="8">
        <v>238.36706133333334</v>
      </c>
      <c r="AL412" s="8">
        <v>238.36706133333334</v>
      </c>
      <c r="AM412" s="8">
        <v>238.36706133333334</v>
      </c>
      <c r="AN412" s="8">
        <v>238.36706133333334</v>
      </c>
      <c r="AO412" s="8">
        <v>238.36706133333334</v>
      </c>
      <c r="AP412" s="8">
        <v>238.36706133333334</v>
      </c>
      <c r="AQ412" s="8">
        <v>238.36706133333334</v>
      </c>
      <c r="AR412" s="8">
        <v>238.36706133333334</v>
      </c>
      <c r="AS412" s="8">
        <v>119.20039466666667</v>
      </c>
      <c r="AT412" s="8">
        <v>119.20039466666667</v>
      </c>
      <c r="AU412" s="8">
        <v>119.20039466666667</v>
      </c>
      <c r="AV412" s="8">
        <v>119.20039466666667</v>
      </c>
      <c r="AW412" s="8">
        <v>0</v>
      </c>
      <c r="AX412" s="8">
        <v>0</v>
      </c>
      <c r="AY412" s="8">
        <v>62.584356916666664</v>
      </c>
      <c r="AZ412" s="8">
        <v>62.584356916666664</v>
      </c>
      <c r="BA412" s="8">
        <v>62.584356916666664</v>
      </c>
      <c r="BB412" s="8">
        <v>62.584356916666664</v>
      </c>
      <c r="BC412" s="8">
        <v>62.584356916666664</v>
      </c>
      <c r="BD412" s="8">
        <v>62.584356916666664</v>
      </c>
      <c r="BE412" s="8">
        <v>62.584356916666664</v>
      </c>
      <c r="BF412" s="8">
        <v>62.584356916666664</v>
      </c>
      <c r="BH412" s="8">
        <f t="shared" si="83"/>
        <v>476.66666666666669</v>
      </c>
      <c r="BI412" s="8">
        <f t="shared" si="84"/>
        <v>2383.7380693333339</v>
      </c>
      <c r="BJ412" s="8">
        <f t="shared" si="85"/>
        <v>500.67485533333326</v>
      </c>
    </row>
    <row r="413" spans="1:62" x14ac:dyDescent="0.25">
      <c r="A413" s="9" t="s">
        <v>177</v>
      </c>
      <c r="B413" s="9" t="s">
        <v>644</v>
      </c>
      <c r="C413" s="10">
        <v>44927</v>
      </c>
      <c r="D413" s="6" cm="1">
        <f t="array" ref="D413">_xlfn.LET(
  _xlpm.aralık, Y413:BF413,
  _xlpm.ilk, MATCH(TRUE, _xlpm.aralık&lt;&gt;0, 0),
  _xlpm.son, MIN(_xlpm.ilk+2, COLUMNS(_xlpm.aralık)),
  MAX(INDEX(_xlpm.aralık, _xlpm.ilk):INDEX(_xlpm.aralık, _xlpm.son))
)</f>
        <v>49</v>
      </c>
      <c r="E413" s="6">
        <f t="shared" si="78"/>
        <v>49</v>
      </c>
      <c r="F413" s="6">
        <f t="shared" si="79"/>
        <v>61.5</v>
      </c>
      <c r="G413" s="6">
        <f t="shared" si="86"/>
        <v>61.5</v>
      </c>
      <c r="H413" s="7">
        <f t="shared" si="80"/>
        <v>0</v>
      </c>
      <c r="I413" s="7">
        <f t="shared" si="81"/>
        <v>0.25510204081632654</v>
      </c>
      <c r="J413" s="7">
        <f t="shared" si="82"/>
        <v>0.25510204081632654</v>
      </c>
      <c r="K413" s="7">
        <f t="shared" si="87"/>
        <v>0.25510204081632654</v>
      </c>
      <c r="L413" s="5" t="s">
        <v>421</v>
      </c>
      <c r="M413" s="7">
        <f>IF(R413="",(VLOOKUP(A413,[1]Export!$B$2:$H$680,7,0)),"CHURN")</f>
        <v>1</v>
      </c>
      <c r="N413" s="5">
        <f t="shared" si="88"/>
        <v>0</v>
      </c>
      <c r="O413" s="5">
        <f t="shared" si="89"/>
        <v>0</v>
      </c>
      <c r="P413" s="5">
        <f t="shared" si="90"/>
        <v>0</v>
      </c>
      <c r="Q413" s="5" t="s">
        <v>430</v>
      </c>
      <c r="T413" s="6" t="str" cm="1">
        <f t="array" ref="T413">IF(R413&lt;&gt;"Churn","",
 _xlfn.LET(
   _xlpm.rng,Y413:BF413,
   _xlpm.pos,MAX(IF((_xlpm.rng&lt;&gt;0)*(_xlpm.rng&lt;&gt;""),COLUMN(_xlpm.rng)-COLUMN(Y413)+1)),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3" s="6" t="str" cm="1">
        <f t="array" ref="U413">IF(R413="Churn",
   MAX(IF((Y413:BF413&lt;&gt;"")*(Y413:BF413&lt;&gt;0), COLUMN(Y413:BF413)-COLUMN(Y413)+1))
   -MATCH(1, --((Y413:BF413&lt;&gt;"")*(Y413:BF413&lt;&gt;0)), 0)
   +1,
"")</f>
        <v/>
      </c>
      <c r="V413" s="6" t="str" cm="1">
        <f t="array" ref="V413">IFERROR(
    IF(
        MATCH(2,1/((Y413:BF413&lt;&gt;0)*(Y413:BF413&lt;&gt;"")))-MATCH(1,INDEX((Y413:BF413&lt;&gt;0)*(Y413:BF413&lt;&gt;""),0),0)+1 &lt;= 12,
        "No",
        "Yes"
    ),
    "No"
)</f>
        <v>Yes</v>
      </c>
      <c r="W413" s="6" t="str" cm="1">
        <f t="array" ref="W413">IFERROR(
    IF(
        MATCH(2,1/((Y413:BF413&lt;&gt;0)*(Y413:BF413&lt;&gt;"")))-MATCH(1,INDEX((Y413:BF413&lt;&gt;0)*(Y413:BF413&lt;&gt;""),0),0)+1 &lt;= 24,
        "No",
        "Yes"
    ),
    "No"
)</f>
        <v>Yes</v>
      </c>
      <c r="Y413" s="8">
        <v>36</v>
      </c>
      <c r="Z413" s="8">
        <v>49</v>
      </c>
      <c r="AA413" s="8">
        <v>49</v>
      </c>
      <c r="AB413" s="8">
        <v>49</v>
      </c>
      <c r="AC413" s="8">
        <v>49</v>
      </c>
      <c r="AD413" s="8">
        <v>49</v>
      </c>
      <c r="AE413" s="8">
        <v>49</v>
      </c>
      <c r="AF413" s="8">
        <v>49</v>
      </c>
      <c r="AG413" s="8">
        <v>49</v>
      </c>
      <c r="AH413" s="8">
        <v>49</v>
      </c>
      <c r="AI413" s="8">
        <v>49</v>
      </c>
      <c r="AJ413" s="8">
        <v>49</v>
      </c>
      <c r="AK413" s="8">
        <v>49</v>
      </c>
      <c r="AL413" s="8">
        <v>49</v>
      </c>
      <c r="AM413" s="8">
        <v>49</v>
      </c>
      <c r="AN413" s="8">
        <v>49</v>
      </c>
      <c r="AO413" s="8">
        <v>49</v>
      </c>
      <c r="AP413" s="8">
        <v>49</v>
      </c>
      <c r="AQ413" s="8">
        <v>49</v>
      </c>
      <c r="AR413" s="8">
        <v>49</v>
      </c>
      <c r="AS413" s="8">
        <v>49</v>
      </c>
      <c r="AT413" s="8">
        <v>49</v>
      </c>
      <c r="AU413" s="8">
        <v>49</v>
      </c>
      <c r="AV413" s="8">
        <v>61.5</v>
      </c>
      <c r="AW413" s="8">
        <v>61.5</v>
      </c>
      <c r="AX413" s="8">
        <v>61.5</v>
      </c>
      <c r="AY413" s="8">
        <v>61.5</v>
      </c>
      <c r="AZ413" s="8">
        <v>61.5</v>
      </c>
      <c r="BA413" s="8">
        <v>61.5</v>
      </c>
      <c r="BB413" s="8">
        <v>61.5</v>
      </c>
      <c r="BC413" s="8">
        <v>61.5</v>
      </c>
      <c r="BD413" s="8">
        <v>61.5</v>
      </c>
      <c r="BE413" s="8">
        <v>61.5</v>
      </c>
      <c r="BF413" s="8">
        <v>61.5</v>
      </c>
      <c r="BH413" s="8">
        <f t="shared" si="83"/>
        <v>575</v>
      </c>
      <c r="BI413" s="8">
        <f t="shared" si="84"/>
        <v>600.5</v>
      </c>
      <c r="BJ413" s="8">
        <f t="shared" si="85"/>
        <v>615</v>
      </c>
    </row>
    <row r="414" spans="1:62" x14ac:dyDescent="0.25">
      <c r="A414" s="9" t="s">
        <v>187</v>
      </c>
      <c r="B414" s="9" t="s">
        <v>644</v>
      </c>
      <c r="C414" s="10">
        <v>44927</v>
      </c>
      <c r="D414" s="6" cm="1">
        <f t="array" ref="D414">_xlfn.LET(
  _xlpm.aralık, Y414:BF414,
  _xlpm.ilk, MATCH(TRUE, _xlpm.aralık&lt;&gt;0, 0),
  _xlpm.son, MIN(_xlpm.ilk+2, COLUMNS(_xlpm.aralık)),
  MAX(INDEX(_xlpm.aralık, _xlpm.ilk):INDEX(_xlpm.aralık, _xlpm.son))
)</f>
        <v>85</v>
      </c>
      <c r="E414" s="6">
        <f t="shared" si="78"/>
        <v>60</v>
      </c>
      <c r="F414" s="6">
        <f t="shared" si="79"/>
        <v>130.01110199999999</v>
      </c>
      <c r="G414" s="6">
        <f t="shared" si="86"/>
        <v>60</v>
      </c>
      <c r="H414" s="7">
        <f t="shared" si="80"/>
        <v>-0.29411764705882354</v>
      </c>
      <c r="I414" s="7">
        <f t="shared" si="81"/>
        <v>0.52954237647058822</v>
      </c>
      <c r="J414" s="7">
        <f t="shared" si="82"/>
        <v>1.1668516999999998</v>
      </c>
      <c r="K414" s="7">
        <f t="shared" si="87"/>
        <v>-0.29411764705882354</v>
      </c>
      <c r="L414" s="5" t="s">
        <v>416</v>
      </c>
      <c r="M414" s="7">
        <f>IF(R414="",(VLOOKUP(A414,[1]Export!$B$2:$H$680,7,0)),"CHURN")</f>
        <v>0.5</v>
      </c>
      <c r="N414" s="5">
        <f t="shared" si="88"/>
        <v>30</v>
      </c>
      <c r="O414" s="5">
        <f t="shared" si="89"/>
        <v>30</v>
      </c>
      <c r="P414" s="5">
        <f t="shared" si="90"/>
        <v>65.005550999999997</v>
      </c>
      <c r="Q414" s="5" t="str">
        <f>VLOOKUP(A414,[4]Sheet2!$A$1:$B$142,2,0)</f>
        <v xml:space="preserve">BOOKED CHURN </v>
      </c>
      <c r="T414" s="6" t="str" cm="1">
        <f t="array" ref="T414">IF(R414&lt;&gt;"Churn","",
 _xlfn.LET(
   _xlpm.rng,Y414:BF414,
   _xlpm.pos,MAX(IF((_xlpm.rng&lt;&gt;0)*(_xlpm.rng&lt;&gt;""),COLUMN(_xlpm.rng)-COLUMN(Y414)+1)),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4" s="6" t="str" cm="1">
        <f t="array" ref="U414">IF(R414="Churn",
   MAX(IF((Y414:BF414&lt;&gt;"")*(Y414:BF414&lt;&gt;0), COLUMN(Y414:BF414)-COLUMN(Y414)+1))
   -MATCH(1, --((Y414:BF414&lt;&gt;"")*(Y414:BF414&lt;&gt;0)), 0)
   +1,
"")</f>
        <v/>
      </c>
      <c r="V414" s="6" t="str" cm="1">
        <f t="array" ref="V414">IFERROR(
    IF(
        MATCH(2,1/((Y414:BF414&lt;&gt;0)*(Y414:BF414&lt;&gt;"")))-MATCH(1,INDEX((Y414:BF414&lt;&gt;0)*(Y414:BF414&lt;&gt;""),0),0)+1 &lt;= 12,
        "No",
        "Yes"
    ),
    "No"
)</f>
        <v>Yes</v>
      </c>
      <c r="W414" s="6" t="str" cm="1">
        <f t="array" ref="W414">IFERROR(
    IF(
        MATCH(2,1/((Y414:BF414&lt;&gt;0)*(Y414:BF414&lt;&gt;"")))-MATCH(1,INDEX((Y414:BF414&lt;&gt;0)*(Y414:BF414&lt;&gt;""),0),0)+1 &lt;= 24,
        "No",
        "Yes"
    ),
    "No"
)</f>
        <v>Yes</v>
      </c>
      <c r="Y414" s="8">
        <v>85</v>
      </c>
      <c r="Z414" s="8">
        <v>85</v>
      </c>
      <c r="AA414" s="8">
        <v>85</v>
      </c>
      <c r="AB414" s="8">
        <v>85</v>
      </c>
      <c r="AC414" s="8">
        <v>84.998999999999995</v>
      </c>
      <c r="AD414" s="8">
        <v>84.998999999999995</v>
      </c>
      <c r="AE414" s="8">
        <v>84.998999999999995</v>
      </c>
      <c r="AF414" s="8">
        <v>60</v>
      </c>
      <c r="AG414" s="8">
        <v>60</v>
      </c>
      <c r="AH414" s="8">
        <v>60</v>
      </c>
      <c r="AI414" s="8">
        <v>60</v>
      </c>
      <c r="AJ414" s="8">
        <v>60</v>
      </c>
      <c r="AK414" s="8">
        <v>60</v>
      </c>
      <c r="AL414" s="8">
        <v>60</v>
      </c>
      <c r="AM414" s="8">
        <v>60</v>
      </c>
      <c r="AN414" s="8">
        <v>60</v>
      </c>
      <c r="AO414" s="8">
        <v>60</v>
      </c>
      <c r="AP414" s="8">
        <v>60</v>
      </c>
      <c r="AQ414" s="8">
        <v>60</v>
      </c>
      <c r="AR414" s="8">
        <v>60</v>
      </c>
      <c r="AS414" s="8">
        <v>60</v>
      </c>
      <c r="AT414" s="8">
        <v>130.01110199999999</v>
      </c>
      <c r="AU414" s="8">
        <v>130.01110199999999</v>
      </c>
      <c r="AV414" s="8">
        <v>130.01110199999999</v>
      </c>
      <c r="AW414" s="8">
        <v>130.01110199999999</v>
      </c>
      <c r="AX414" s="8">
        <v>130.01110199999999</v>
      </c>
      <c r="AY414" s="8">
        <v>130.01110199999999</v>
      </c>
      <c r="AZ414" s="8">
        <v>59.999999999999993</v>
      </c>
      <c r="BA414" s="8">
        <v>60</v>
      </c>
      <c r="BB414" s="8">
        <v>60</v>
      </c>
      <c r="BC414" s="8">
        <v>60</v>
      </c>
      <c r="BD414" s="8">
        <v>60</v>
      </c>
      <c r="BE414" s="8">
        <v>60</v>
      </c>
      <c r="BF414" s="8">
        <v>60</v>
      </c>
      <c r="BH414" s="8">
        <f t="shared" si="83"/>
        <v>894.99700000000007</v>
      </c>
      <c r="BI414" s="8">
        <f t="shared" si="84"/>
        <v>930.03330599999981</v>
      </c>
      <c r="BJ414" s="8">
        <f t="shared" si="85"/>
        <v>810.03330600000004</v>
      </c>
    </row>
    <row r="415" spans="1:62" x14ac:dyDescent="0.25">
      <c r="A415" s="9" t="s">
        <v>221</v>
      </c>
      <c r="B415" s="9" t="s">
        <v>644</v>
      </c>
      <c r="C415" s="10">
        <f>VLOOKUP(A415,'[2]Revenue_Engine_2025 Oct.25'!$C$14:G$3937,5,0)</f>
        <v>45146</v>
      </c>
      <c r="D415" s="6" cm="1">
        <f t="array" ref="D415">_xlfn.LET(
  _xlpm.aralık, Y415:BF415,
  _xlpm.ilk, MATCH(TRUE, _xlpm.aralık&lt;&gt;0, 0),
  _xlpm.son, MIN(_xlpm.ilk+2, COLUMNS(_xlpm.aralık)),
  MAX(INDEX(_xlpm.aralık, _xlpm.ilk):INDEX(_xlpm.aralık, _xlpm.son))
)</f>
        <v>36</v>
      </c>
      <c r="E415" s="6">
        <f t="shared" si="78"/>
        <v>36</v>
      </c>
      <c r="F415" s="6">
        <f t="shared" si="79"/>
        <v>60</v>
      </c>
      <c r="G415" s="6">
        <f t="shared" si="86"/>
        <v>60</v>
      </c>
      <c r="H415" s="7">
        <f t="shared" si="80"/>
        <v>0</v>
      </c>
      <c r="I415" s="7">
        <f t="shared" si="81"/>
        <v>0.66666666666666663</v>
      </c>
      <c r="J415" s="7">
        <f t="shared" si="82"/>
        <v>0.66666666666666663</v>
      </c>
      <c r="K415" s="7">
        <f t="shared" si="87"/>
        <v>0.66666666666666663</v>
      </c>
      <c r="L415" s="5" t="s">
        <v>418</v>
      </c>
      <c r="M415" s="7">
        <f>IF(R415="",(VLOOKUP(A415,[1]Export!$B$2:$H$680,7,0)),"CHURN")</f>
        <v>0</v>
      </c>
      <c r="N415" s="5">
        <f t="shared" si="88"/>
        <v>60</v>
      </c>
      <c r="O415" s="5">
        <f t="shared" si="89"/>
        <v>36</v>
      </c>
      <c r="P415" s="5">
        <f t="shared" si="90"/>
        <v>60</v>
      </c>
      <c r="Q415" s="5" t="s">
        <v>430</v>
      </c>
      <c r="T415" s="6" t="str" cm="1">
        <f t="array" ref="T415">IF(R415&lt;&gt;"Churn","",
 _xlfn.LET(
   _xlpm.rng,Y415:BF415,
   _xlpm.pos,MAX(IF((_xlpm.rng&lt;&gt;0)*(_xlpm.rng&lt;&gt;""),COLUMN(_xlpm.rng)-COLUMN(Y415)+1)),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5" s="6" t="str" cm="1">
        <f t="array" ref="U415">IF(R415="Churn",
   MAX(IF((Y415:BF415&lt;&gt;"")*(Y415:BF415&lt;&gt;0), COLUMN(Y415:BF415)-COLUMN(Y415)+1))
   -MATCH(1, --((Y415:BF415&lt;&gt;"")*(Y415:BF415&lt;&gt;0)), 0)
   +1,
"")</f>
        <v/>
      </c>
      <c r="V415" s="6" t="str" cm="1">
        <f t="array" ref="V415">IFERROR(
    IF(
        MATCH(2,1/((Y415:BF415&lt;&gt;0)*(Y415:BF415&lt;&gt;"")))-MATCH(1,INDEX((Y415:BF415&lt;&gt;0)*(Y415:BF415&lt;&gt;""),0),0)+1 &lt;= 12,
        "No",
        "Yes"
    ),
    "No"
)</f>
        <v>Yes</v>
      </c>
      <c r="W415" s="6" t="str" cm="1">
        <f t="array" ref="W415">IFERROR(
    IF(
        MATCH(2,1/((Y415:BF415&lt;&gt;0)*(Y415:BF415&lt;&gt;"")))-MATCH(1,INDEX((Y415:BF415&lt;&gt;0)*(Y415:BF415&lt;&gt;""),0),0)+1 &lt;= 24,
        "No",
        "Yes"
    ),
    "No"
)</f>
        <v>Yes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36</v>
      </c>
      <c r="AG415" s="8">
        <v>36</v>
      </c>
      <c r="AH415" s="8">
        <v>36</v>
      </c>
      <c r="AI415" s="8">
        <v>36</v>
      </c>
      <c r="AJ415" s="8">
        <v>36</v>
      </c>
      <c r="AK415" s="8">
        <v>36</v>
      </c>
      <c r="AL415" s="8">
        <v>36</v>
      </c>
      <c r="AM415" s="8">
        <v>36</v>
      </c>
      <c r="AN415" s="8">
        <v>36</v>
      </c>
      <c r="AO415" s="8">
        <v>36</v>
      </c>
      <c r="AP415" s="8">
        <v>36</v>
      </c>
      <c r="AQ415" s="8">
        <v>36</v>
      </c>
      <c r="AR415" s="8">
        <v>36</v>
      </c>
      <c r="AS415" s="8">
        <v>36</v>
      </c>
      <c r="AT415" s="8">
        <v>36</v>
      </c>
      <c r="AU415" s="8">
        <v>36</v>
      </c>
      <c r="AV415" s="8">
        <v>36</v>
      </c>
      <c r="AW415" s="8">
        <v>36</v>
      </c>
      <c r="AX415" s="8">
        <v>36</v>
      </c>
      <c r="AY415" s="8">
        <v>60</v>
      </c>
      <c r="AZ415" s="8">
        <v>60</v>
      </c>
      <c r="BA415" s="8">
        <v>60</v>
      </c>
      <c r="BB415" s="8">
        <v>60</v>
      </c>
      <c r="BC415" s="8">
        <v>60</v>
      </c>
      <c r="BD415" s="8">
        <v>60</v>
      </c>
      <c r="BE415" s="8">
        <v>60</v>
      </c>
      <c r="BF415" s="8">
        <v>60</v>
      </c>
      <c r="BH415" s="8">
        <f t="shared" si="83"/>
        <v>180</v>
      </c>
      <c r="BI415" s="8">
        <f t="shared" si="84"/>
        <v>432</v>
      </c>
      <c r="BJ415" s="8">
        <f t="shared" si="85"/>
        <v>552</v>
      </c>
    </row>
    <row r="416" spans="1:62" x14ac:dyDescent="0.25">
      <c r="A416" s="9" t="s">
        <v>548</v>
      </c>
      <c r="B416" s="9" t="s">
        <v>644</v>
      </c>
      <c r="C416" s="10">
        <f>VLOOKUP(A416,'[2]Revenue_Engine_2025 Oct.25'!$C$14:G$3937,5,0)</f>
        <v>45588</v>
      </c>
      <c r="D416" s="6" cm="1">
        <f t="array" ref="D416">_xlfn.LET(
  _xlpm.aralık, Y416:BF416,
  _xlpm.ilk, MATCH(TRUE, _xlpm.aralık&lt;&gt;0, 0),
  _xlpm.son, MIN(_xlpm.ilk+2, COLUMNS(_xlpm.aralık)),
  MAX(INDEX(_xlpm.aralık, _xlpm.ilk):INDEX(_xlpm.aralık, _xlpm.son))
)</f>
        <v>58.999418916666663</v>
      </c>
      <c r="E416" s="6">
        <f t="shared" si="78"/>
        <v>58.999418916666663</v>
      </c>
      <c r="F416" s="6">
        <f t="shared" si="79"/>
        <v>0</v>
      </c>
      <c r="G416" s="6">
        <f t="shared" si="86"/>
        <v>58.999418916666663</v>
      </c>
      <c r="H416" s="7">
        <f t="shared" si="80"/>
        <v>0</v>
      </c>
      <c r="I416" s="7">
        <f t="shared" si="81"/>
        <v>-1</v>
      </c>
      <c r="J416" s="7">
        <f t="shared" si="82"/>
        <v>-1</v>
      </c>
      <c r="K416" s="7">
        <f t="shared" si="87"/>
        <v>0</v>
      </c>
      <c r="L416" s="5" t="s">
        <v>694</v>
      </c>
      <c r="M416" s="7">
        <f>IF(R416="",(VLOOKUP(A416,[1]Export!$B$2:$H$680,7,0)),"CHURN")</f>
        <v>0.30215337841173406</v>
      </c>
      <c r="N416" s="5">
        <f t="shared" si="88"/>
        <v>41.172545166666659</v>
      </c>
      <c r="O416" s="5">
        <f t="shared" si="89"/>
        <v>41.172545166666659</v>
      </c>
      <c r="P416" s="5">
        <f t="shared" si="90"/>
        <v>0</v>
      </c>
      <c r="Q416" s="5" t="s">
        <v>430</v>
      </c>
      <c r="T416" s="6" t="str" cm="1">
        <f t="array" ref="T416">IF(R416&lt;&gt;"Churn","",
 _xlfn.LET(
   _xlpm.rng,Y416:BF416,
   _xlpm.pos,MAX(IF((_xlpm.rng&lt;&gt;0)*(_xlpm.rng&lt;&gt;""),COLUMN(_xlpm.rng)-COLUMN(Y416)+1)),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6" s="6" t="str" cm="1">
        <f t="array" ref="U416">IF(R416="Churn",
   MAX(IF((Y416:BF416&lt;&gt;"")*(Y416:BF416&lt;&gt;0), COLUMN(Y416:BF416)-COLUMN(Y416)+1))
   -MATCH(1, --((Y416:BF416&lt;&gt;"")*(Y416:BF416&lt;&gt;0)), 0)
   +1,
"")</f>
        <v/>
      </c>
      <c r="V416" s="6" t="str" cm="1">
        <f t="array" ref="V416">IFERROR(
    IF(
        MATCH(2,1/((Y416:BF416&lt;&gt;0)*(Y416:BF416&lt;&gt;"")))-MATCH(1,INDEX((Y416:BF416&lt;&gt;0)*(Y416:BF416&lt;&gt;""),0),0)+1 &lt;= 12,
        "No",
        "Yes"
    ),
    "No"
)</f>
        <v>Yes</v>
      </c>
      <c r="W416" s="6" t="str" cm="1">
        <f t="array" ref="W416">IFERROR(
    IF(
        MATCH(2,1/((Y416:BF416&lt;&gt;0)*(Y416:BF416&lt;&gt;"")))-MATCH(1,INDEX((Y416:BF416&lt;&gt;0)*(Y416:BF416&lt;&gt;""),0),0)+1 &lt;= 24,
        "No",
        "Yes"
    ),
    "No"
)</f>
        <v>No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58.999418916666663</v>
      </c>
      <c r="AU416" s="8">
        <v>58.999418916666663</v>
      </c>
      <c r="AV416" s="8">
        <v>58.999418916666663</v>
      </c>
      <c r="AW416" s="8">
        <v>58.999418916666663</v>
      </c>
      <c r="AX416" s="8">
        <v>58.999418916666663</v>
      </c>
      <c r="AY416" s="8">
        <v>58.999418916666663</v>
      </c>
      <c r="AZ416" s="8">
        <v>58.999418916666663</v>
      </c>
      <c r="BA416" s="8">
        <v>58.999418916666663</v>
      </c>
      <c r="BB416" s="8">
        <v>58.999418916666663</v>
      </c>
      <c r="BC416" s="8">
        <v>58.999418916666663</v>
      </c>
      <c r="BD416" s="8">
        <v>58.999418916666663</v>
      </c>
      <c r="BE416" s="8">
        <v>58.999418916666663</v>
      </c>
      <c r="BF416" s="8">
        <v>58.999418916666663</v>
      </c>
      <c r="BH416" s="8">
        <f t="shared" si="83"/>
        <v>0</v>
      </c>
      <c r="BI416" s="8">
        <f t="shared" si="84"/>
        <v>176.99825675</v>
      </c>
      <c r="BJ416" s="8">
        <f t="shared" si="85"/>
        <v>589.99418916666662</v>
      </c>
    </row>
    <row r="417" spans="1:62" x14ac:dyDescent="0.25">
      <c r="A417" s="9" t="s">
        <v>549</v>
      </c>
      <c r="B417" s="9" t="s">
        <v>644</v>
      </c>
      <c r="C417" s="10">
        <f>VLOOKUP(A417,'[2]Revenue_Engine_2025 Oct.25'!$C$14:G$3937,5,0)</f>
        <v>45565</v>
      </c>
      <c r="D417" s="6" cm="1">
        <f t="array" ref="D417">_xlfn.LET(
  _xlpm.aralık, Y417:BF417,
  _xlpm.ilk, MATCH(TRUE, _xlpm.aralık&lt;&gt;0, 0),
  _xlpm.son, MIN(_xlpm.ilk+2, COLUMNS(_xlpm.aralık)),
  MAX(INDEX(_xlpm.aralık, _xlpm.ilk):INDEX(_xlpm.aralık, _xlpm.son))
)</f>
        <v>57.499999916666674</v>
      </c>
      <c r="E417" s="6">
        <f t="shared" si="78"/>
        <v>57.499999916666674</v>
      </c>
      <c r="F417" s="6">
        <f t="shared" si="79"/>
        <v>0</v>
      </c>
      <c r="G417" s="6">
        <f t="shared" si="86"/>
        <v>57.499999916666674</v>
      </c>
      <c r="H417" s="7">
        <f t="shared" si="80"/>
        <v>0</v>
      </c>
      <c r="I417" s="7">
        <f t="shared" si="81"/>
        <v>-1</v>
      </c>
      <c r="J417" s="7">
        <f t="shared" si="82"/>
        <v>-1</v>
      </c>
      <c r="K417" s="7">
        <f t="shared" si="87"/>
        <v>0</v>
      </c>
      <c r="L417" s="5" t="s">
        <v>694</v>
      </c>
      <c r="M417" s="7">
        <f>IF(R417="",(VLOOKUP(A417,[1]Export!$B$2:$H$680,7,0)),"CHURN")</f>
        <v>0.30214548174836764</v>
      </c>
      <c r="N417" s="5">
        <f t="shared" si="88"/>
        <v>40.126634741314319</v>
      </c>
      <c r="O417" s="5">
        <f t="shared" si="89"/>
        <v>40.126634741314319</v>
      </c>
      <c r="P417" s="5">
        <f t="shared" si="90"/>
        <v>0</v>
      </c>
      <c r="Q417" s="5" t="s">
        <v>430</v>
      </c>
      <c r="T417" s="6" t="str" cm="1">
        <f t="array" ref="T417">IF(R417&lt;&gt;"Churn","",
 _xlfn.LET(
   _xlpm.rng,Y417:BF417,
   _xlpm.pos,MAX(IF((_xlpm.rng&lt;&gt;0)*(_xlpm.rng&lt;&gt;""),COLUMN(_xlpm.rng)-COLUMN(Y417)+1)),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7" s="6" t="str" cm="1">
        <f t="array" ref="U417">IF(R417="Churn",
   MAX(IF((Y417:BF417&lt;&gt;"")*(Y417:BF417&lt;&gt;0), COLUMN(Y417:BF417)-COLUMN(Y417)+1))
   -MATCH(1, --((Y417:BF417&lt;&gt;"")*(Y417:BF417&lt;&gt;0)), 0)
   +1,
"")</f>
        <v/>
      </c>
      <c r="V417" s="6" t="str" cm="1">
        <f t="array" ref="V417">IFERROR(
    IF(
        MATCH(2,1/((Y417:BF417&lt;&gt;0)*(Y417:BF417&lt;&gt;"")))-MATCH(1,INDEX((Y417:BF417&lt;&gt;0)*(Y417:BF417&lt;&gt;""),0),0)+1 &lt;= 12,
        "No",
        "Yes"
    ),
    "No"
)</f>
        <v>Yes</v>
      </c>
      <c r="W417" s="6" t="str" cm="1">
        <f t="array" ref="W417">IFERROR(
    IF(
        MATCH(2,1/((Y417:BF417&lt;&gt;0)*(Y417:BF417&lt;&gt;"")))-MATCH(1,INDEX((Y417:BF417&lt;&gt;0)*(Y417:BF417&lt;&gt;""),0),0)+1 &lt;= 24,
        "No",
        "Yes"
    ),
    "No"
)</f>
        <v>No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51.999999916666674</v>
      </c>
      <c r="AT417" s="8">
        <v>51.999999916666674</v>
      </c>
      <c r="AU417" s="8">
        <v>57.499999916666674</v>
      </c>
      <c r="AV417" s="8">
        <v>57.499999916666674</v>
      </c>
      <c r="AW417" s="8">
        <v>57.499999916666674</v>
      </c>
      <c r="AX417" s="8">
        <v>57.499999916666674</v>
      </c>
      <c r="AY417" s="8">
        <v>57.499999916666674</v>
      </c>
      <c r="AZ417" s="8">
        <v>57.499999916666674</v>
      </c>
      <c r="BA417" s="8">
        <v>57.499999916666674</v>
      </c>
      <c r="BB417" s="8">
        <v>57.499999916666674</v>
      </c>
      <c r="BC417" s="8">
        <v>57.499999916666674</v>
      </c>
      <c r="BD417" s="8">
        <v>57.499999916666674</v>
      </c>
      <c r="BE417" s="8">
        <v>57.499999916666674</v>
      </c>
      <c r="BF417" s="8">
        <v>57.499999916666674</v>
      </c>
      <c r="BH417" s="8">
        <f t="shared" si="83"/>
        <v>0</v>
      </c>
      <c r="BI417" s="8">
        <f t="shared" si="84"/>
        <v>218.9999996666667</v>
      </c>
      <c r="BJ417" s="8">
        <f t="shared" si="85"/>
        <v>574.99999916666673</v>
      </c>
    </row>
    <row r="418" spans="1:62" x14ac:dyDescent="0.25">
      <c r="A418" s="9" t="s">
        <v>282</v>
      </c>
      <c r="B418" s="9" t="s">
        <v>644</v>
      </c>
      <c r="C418" s="10">
        <f>VLOOKUP(A418,'[2]Revenue_Engine_2025 Oct.25'!$C$14:G$3937,5,0)</f>
        <v>45380</v>
      </c>
      <c r="D418" s="6" cm="1">
        <f t="array" ref="D418">_xlfn.LET(
  _xlpm.aralık, Y418:BF418,
  _xlpm.ilk, MATCH(TRUE, _xlpm.aralık&lt;&gt;0, 0),
  _xlpm.son, MIN(_xlpm.ilk+2, COLUMNS(_xlpm.aralık)),
  MAX(INDEX(_xlpm.aralık, _xlpm.ilk):INDEX(_xlpm.aralık, _xlpm.son))
)</f>
        <v>103.20083333333334</v>
      </c>
      <c r="E418" s="6">
        <f t="shared" si="78"/>
        <v>54.998576833333331</v>
      </c>
      <c r="F418" s="6">
        <f t="shared" si="79"/>
        <v>0</v>
      </c>
      <c r="G418" s="6">
        <f t="shared" si="86"/>
        <v>54.999376833333336</v>
      </c>
      <c r="H418" s="7">
        <f t="shared" si="80"/>
        <v>-0.46707235729685648</v>
      </c>
      <c r="I418" s="7">
        <f t="shared" si="81"/>
        <v>-1</v>
      </c>
      <c r="J418" s="7">
        <f t="shared" si="82"/>
        <v>-1</v>
      </c>
      <c r="K418" s="7">
        <f t="shared" si="87"/>
        <v>-0.46706460542146783</v>
      </c>
      <c r="L418" s="5" t="s">
        <v>694</v>
      </c>
      <c r="M418" s="7">
        <f>IF(R418="",(VLOOKUP(A418,[1]Export!$B$2:$H$680,7,0)),"CHURN")</f>
        <v>0.27493881210975296</v>
      </c>
      <c r="N418" s="5">
        <f t="shared" si="88"/>
        <v>39.877913500000005</v>
      </c>
      <c r="O418" s="5">
        <f t="shared" si="89"/>
        <v>39.877333451049687</v>
      </c>
      <c r="P418" s="5">
        <f t="shared" si="90"/>
        <v>0</v>
      </c>
      <c r="Q418" s="5" t="s">
        <v>430</v>
      </c>
      <c r="T418" s="6" t="str" cm="1">
        <f t="array" ref="T418">IF(R418&lt;&gt;"Churn","",
 _xlfn.LET(
   _xlpm.rng,Y418:BF418,
   _xlpm.pos,MAX(IF((_xlpm.rng&lt;&gt;0)*(_xlpm.rng&lt;&gt;""),COLUMN(_xlpm.rng)-COLUMN(Y418)+1)),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8" s="6" t="str" cm="1">
        <f t="array" ref="U418">IF(R418="Churn",
   MAX(IF((Y418:BF418&lt;&gt;"")*(Y418:BF418&lt;&gt;0), COLUMN(Y418:BF418)-COLUMN(Y418)+1))
   -MATCH(1, --((Y418:BF418&lt;&gt;"")*(Y418:BF418&lt;&gt;0)), 0)
   +1,
"")</f>
        <v/>
      </c>
      <c r="V418" s="6" t="str" cm="1">
        <f t="array" ref="V418">IFERROR(
    IF(
        MATCH(2,1/((Y418:BF418&lt;&gt;0)*(Y418:BF418&lt;&gt;"")))-MATCH(1,INDEX((Y418:BF418&lt;&gt;0)*(Y418:BF418&lt;&gt;""),0),0)+1 &lt;= 12,
        "No",
        "Yes"
    ),
    "No"
)</f>
        <v>Yes</v>
      </c>
      <c r="W418" s="6" t="str" cm="1">
        <f t="array" ref="W418">IFERROR(
    IF(
        MATCH(2,1/((Y418:BF418&lt;&gt;0)*(Y418:BF418&lt;&gt;"")))-MATCH(1,INDEX((Y418:BF418&lt;&gt;0)*(Y418:BF418&lt;&gt;""),0),0)+1 &lt;= 24,
        "No",
        "Yes"
    ),
    "No"
)</f>
        <v>No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103.20083333333334</v>
      </c>
      <c r="AN418" s="8">
        <v>103.20083333333334</v>
      </c>
      <c r="AO418" s="8">
        <v>103.19999999999999</v>
      </c>
      <c r="AP418" s="8">
        <v>103.19999999999999</v>
      </c>
      <c r="AQ418" s="8">
        <v>103.19999999999999</v>
      </c>
      <c r="AR418" s="8">
        <v>103.19999999999999</v>
      </c>
      <c r="AS418" s="8">
        <v>103.19999999999999</v>
      </c>
      <c r="AT418" s="8">
        <v>103.19999999999999</v>
      </c>
      <c r="AU418" s="8">
        <v>103.19999999999999</v>
      </c>
      <c r="AV418" s="8">
        <v>103.19999999999999</v>
      </c>
      <c r="AW418" s="8">
        <v>103.19999999999999</v>
      </c>
      <c r="AX418" s="8">
        <v>103.19999999999999</v>
      </c>
      <c r="AY418" s="8">
        <v>54.998576833333331</v>
      </c>
      <c r="AZ418" s="8">
        <v>54.999376833333336</v>
      </c>
      <c r="BA418" s="8">
        <v>54.999376833333336</v>
      </c>
      <c r="BB418" s="8">
        <v>54.999376833333336</v>
      </c>
      <c r="BC418" s="8">
        <v>54.999376833333336</v>
      </c>
      <c r="BD418" s="8">
        <v>54.999376833333336</v>
      </c>
      <c r="BE418" s="8">
        <v>54.999376833333336</v>
      </c>
      <c r="BF418" s="8">
        <v>54.999376833333336</v>
      </c>
      <c r="BH418" s="8">
        <f t="shared" si="83"/>
        <v>0</v>
      </c>
      <c r="BI418" s="8">
        <f t="shared" si="84"/>
        <v>1032.0016666666668</v>
      </c>
      <c r="BJ418" s="8">
        <f t="shared" si="85"/>
        <v>646.3942146666667</v>
      </c>
    </row>
    <row r="419" spans="1:62" x14ac:dyDescent="0.25">
      <c r="A419" s="9" t="s">
        <v>322</v>
      </c>
      <c r="B419" s="9" t="s">
        <v>644</v>
      </c>
      <c r="C419" s="10">
        <v>44927</v>
      </c>
      <c r="D419" s="6" cm="1">
        <f t="array" ref="D419">_xlfn.LET(
  _xlpm.aralık, Y419:BF419,
  _xlpm.ilk, MATCH(TRUE, _xlpm.aralık&lt;&gt;0, 0),
  _xlpm.son, MIN(_xlpm.ilk+2, COLUMNS(_xlpm.aralık)),
  MAX(INDEX(_xlpm.aralık, _xlpm.ilk):INDEX(_xlpm.aralık, _xlpm.son))
)</f>
        <v>54</v>
      </c>
      <c r="E419" s="6">
        <f t="shared" si="78"/>
        <v>54</v>
      </c>
      <c r="F419" s="6">
        <f t="shared" si="79"/>
        <v>54</v>
      </c>
      <c r="G419" s="6">
        <f t="shared" si="86"/>
        <v>54</v>
      </c>
      <c r="H419" s="7">
        <f t="shared" si="80"/>
        <v>0</v>
      </c>
      <c r="I419" s="7">
        <f t="shared" si="81"/>
        <v>0</v>
      </c>
      <c r="J419" s="7">
        <f t="shared" si="82"/>
        <v>0</v>
      </c>
      <c r="K419" s="7">
        <f t="shared" si="87"/>
        <v>0</v>
      </c>
      <c r="L419" s="5" t="s">
        <v>416</v>
      </c>
      <c r="M419" s="7">
        <f>IF(R419="",(VLOOKUP(A419,[1]Export!$B$2:$H$680,7,0)),"CHURN")</f>
        <v>0</v>
      </c>
      <c r="N419" s="5">
        <f t="shared" si="88"/>
        <v>54</v>
      </c>
      <c r="O419" s="5">
        <f t="shared" si="89"/>
        <v>54</v>
      </c>
      <c r="P419" s="5">
        <f t="shared" si="90"/>
        <v>54</v>
      </c>
      <c r="Q419" s="5" t="s">
        <v>430</v>
      </c>
      <c r="T419" s="6" t="str" cm="1">
        <f t="array" ref="T419">IF(R419&lt;&gt;"Churn","",
 _xlfn.LET(
   _xlpm.rng,Y419:BF419,
   _xlpm.pos,MAX(IF((_xlpm.rng&lt;&gt;0)*(_xlpm.rng&lt;&gt;""),COLUMN(_xlpm.rng)-COLUMN(Y419)+1)),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19" s="6" t="str" cm="1">
        <f t="array" ref="U419">IF(R419="Churn",
   MAX(IF((Y419:BF419&lt;&gt;"")*(Y419:BF419&lt;&gt;0), COLUMN(Y419:BF419)-COLUMN(Y419)+1))
   -MATCH(1, --((Y419:BF419&lt;&gt;"")*(Y419:BF419&lt;&gt;0)), 0)
   +1,
"")</f>
        <v/>
      </c>
      <c r="V419" s="6" t="str" cm="1">
        <f t="array" ref="V419">IFERROR(
    IF(
        MATCH(2,1/((Y419:BF419&lt;&gt;0)*(Y419:BF419&lt;&gt;"")))-MATCH(1,INDEX((Y419:BF419&lt;&gt;0)*(Y419:BF419&lt;&gt;""),0),0)+1 &lt;= 12,
        "No",
        "Yes"
    ),
    "No"
)</f>
        <v>Yes</v>
      </c>
      <c r="W419" s="6" t="str" cm="1">
        <f t="array" ref="W419">IFERROR(
    IF(
        MATCH(2,1/((Y419:BF419&lt;&gt;0)*(Y419:BF419&lt;&gt;"")))-MATCH(1,INDEX((Y419:BF419&lt;&gt;0)*(Y419:BF419&lt;&gt;""),0),0)+1 &lt;= 24,
        "No",
        "Yes"
    ),
    "No"
)</f>
        <v>Yes</v>
      </c>
      <c r="Y419" s="8">
        <v>54</v>
      </c>
      <c r="Z419" s="8">
        <v>54</v>
      </c>
      <c r="AA419" s="8">
        <v>54</v>
      </c>
      <c r="AB419" s="8">
        <v>54</v>
      </c>
      <c r="AC419" s="8">
        <v>54</v>
      </c>
      <c r="AD419" s="8">
        <v>54</v>
      </c>
      <c r="AE419" s="8">
        <v>54</v>
      </c>
      <c r="AF419" s="8">
        <v>54</v>
      </c>
      <c r="AG419" s="8">
        <v>54</v>
      </c>
      <c r="AH419" s="8">
        <v>54</v>
      </c>
      <c r="AI419" s="8">
        <v>54</v>
      </c>
      <c r="AJ419" s="8">
        <v>54</v>
      </c>
      <c r="AK419" s="8">
        <v>54</v>
      </c>
      <c r="AL419" s="8">
        <v>54</v>
      </c>
      <c r="AM419" s="8">
        <v>54</v>
      </c>
      <c r="AN419" s="8">
        <v>54</v>
      </c>
      <c r="AO419" s="8">
        <v>54</v>
      </c>
      <c r="AP419" s="8">
        <v>54</v>
      </c>
      <c r="AQ419" s="8">
        <v>54</v>
      </c>
      <c r="AR419" s="8">
        <v>54</v>
      </c>
      <c r="AS419" s="8">
        <v>54</v>
      </c>
      <c r="AT419" s="8">
        <v>54</v>
      </c>
      <c r="AU419" s="8">
        <v>54</v>
      </c>
      <c r="AV419" s="8">
        <v>54</v>
      </c>
      <c r="AW419" s="8">
        <v>54</v>
      </c>
      <c r="AX419" s="8">
        <v>54</v>
      </c>
      <c r="AY419" s="8">
        <v>54</v>
      </c>
      <c r="AZ419" s="8">
        <v>54</v>
      </c>
      <c r="BA419" s="8">
        <v>54</v>
      </c>
      <c r="BB419" s="8">
        <v>54</v>
      </c>
      <c r="BC419" s="8">
        <v>54</v>
      </c>
      <c r="BD419" s="8">
        <v>54</v>
      </c>
      <c r="BE419" s="8">
        <v>54</v>
      </c>
      <c r="BF419" s="8">
        <v>54</v>
      </c>
      <c r="BH419" s="8">
        <f t="shared" si="83"/>
        <v>648</v>
      </c>
      <c r="BI419" s="8">
        <f t="shared" si="84"/>
        <v>648</v>
      </c>
      <c r="BJ419" s="8">
        <f t="shared" si="85"/>
        <v>540</v>
      </c>
    </row>
    <row r="420" spans="1:62" x14ac:dyDescent="0.25">
      <c r="A420" s="9" t="s">
        <v>297</v>
      </c>
      <c r="B420" s="9" t="s">
        <v>644</v>
      </c>
      <c r="C420" s="10">
        <f>VLOOKUP(A420,'[2]Revenue_Engine_2025 Oct.25'!$C$14:G$3937,5,0)</f>
        <v>45415</v>
      </c>
      <c r="D420" s="6" cm="1">
        <f t="array" ref="D420">_xlfn.LET(
  _xlpm.aralık, Y420:BF420,
  _xlpm.ilk, MATCH(TRUE, _xlpm.aralık&lt;&gt;0, 0),
  _xlpm.son, MIN(_xlpm.ilk+2, COLUMNS(_xlpm.aralık)),
  MAX(INDEX(_xlpm.aralık, _xlpm.ilk):INDEX(_xlpm.aralık, _xlpm.son))
)</f>
        <v>61.083333333333336</v>
      </c>
      <c r="E420" s="6">
        <f t="shared" si="78"/>
        <v>48.5</v>
      </c>
      <c r="F420" s="6">
        <f t="shared" si="79"/>
        <v>0</v>
      </c>
      <c r="G420" s="6">
        <f t="shared" si="86"/>
        <v>48.5</v>
      </c>
      <c r="H420" s="7">
        <f t="shared" si="80"/>
        <v>-0.20600272851296048</v>
      </c>
      <c r="I420" s="7">
        <f t="shared" si="81"/>
        <v>-1</v>
      </c>
      <c r="J420" s="7">
        <f t="shared" si="82"/>
        <v>-1</v>
      </c>
      <c r="K420" s="7">
        <f t="shared" si="87"/>
        <v>-0.20600272851296048</v>
      </c>
      <c r="L420" s="5" t="s">
        <v>416</v>
      </c>
      <c r="M420" s="7">
        <f>IF(R420="",(VLOOKUP(A420,[1]Export!$B$2:$H$680,7,0)),"CHURN")</f>
        <v>1</v>
      </c>
      <c r="N420" s="5">
        <f t="shared" si="88"/>
        <v>0</v>
      </c>
      <c r="O420" s="5">
        <f t="shared" si="89"/>
        <v>0</v>
      </c>
      <c r="P420" s="5">
        <f t="shared" si="90"/>
        <v>0</v>
      </c>
      <c r="Q420" s="5" t="str">
        <f>VLOOKUP(A420,[4]Sheet2!$A$1:$B$142,2,0)</f>
        <v xml:space="preserve">NO RISK </v>
      </c>
      <c r="T420" s="6" t="str" cm="1">
        <f t="array" ref="T420">IF(R420&lt;&gt;"Churn","",
 _xlfn.LET(
   _xlpm.rng,Y420:BF420,
   _xlpm.pos,MAX(IF((_xlpm.rng&lt;&gt;0)*(_xlpm.rng&lt;&gt;""),COLUMN(_xlpm.rng)-COLUMN(Y420)+1)),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0" s="6" t="str" cm="1">
        <f t="array" ref="U420">IF(R420="Churn",
   MAX(IF((Y420:BF420&lt;&gt;"")*(Y420:BF420&lt;&gt;0), COLUMN(Y420:BF420)-COLUMN(Y420)+1))
   -MATCH(1, --((Y420:BF420&lt;&gt;"")*(Y420:BF420&lt;&gt;0)), 0)
   +1,
"")</f>
        <v/>
      </c>
      <c r="V420" s="6" t="str" cm="1">
        <f t="array" ref="V420">IFERROR(
    IF(
        MATCH(2,1/((Y420:BF420&lt;&gt;0)*(Y420:BF420&lt;&gt;"")))-MATCH(1,INDEX((Y420:BF420&lt;&gt;0)*(Y420:BF420&lt;&gt;""),0),0)+1 &lt;= 12,
        "No",
        "Yes"
    ),
    "No"
)</f>
        <v>Yes</v>
      </c>
      <c r="W420" s="6" t="str" cm="1">
        <f t="array" ref="W420">IFERROR(
    IF(
        MATCH(2,1/((Y420:BF420&lt;&gt;0)*(Y420:BF420&lt;&gt;"")))-MATCH(1,INDEX((Y420:BF420&lt;&gt;0)*(Y420:BF420&lt;&gt;""),0),0)+1 &lt;= 24,
        "No",
        "Yes"
    ),
    "No"
)</f>
        <v>No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61.083333333333336</v>
      </c>
      <c r="AP420" s="8">
        <v>61.083333333333336</v>
      </c>
      <c r="AQ420" s="8">
        <v>61.083333333333336</v>
      </c>
      <c r="AR420" s="8">
        <v>67.083333333333329</v>
      </c>
      <c r="AS420" s="8">
        <v>67.083333333333329</v>
      </c>
      <c r="AT420" s="8">
        <v>62.583333333333336</v>
      </c>
      <c r="AU420" s="8">
        <v>62.583333333333336</v>
      </c>
      <c r="AV420" s="8">
        <v>74.583333333333343</v>
      </c>
      <c r="AW420" s="8">
        <v>78.583333333333343</v>
      </c>
      <c r="AX420" s="8">
        <v>78.583333333333343</v>
      </c>
      <c r="AY420" s="8">
        <v>78.583333333333343</v>
      </c>
      <c r="AZ420" s="8">
        <v>49.583333333333329</v>
      </c>
      <c r="BA420" s="8">
        <v>48.5</v>
      </c>
      <c r="BB420" s="8">
        <v>48.5</v>
      </c>
      <c r="BC420" s="8">
        <v>48.5</v>
      </c>
      <c r="BD420" s="8">
        <v>48.5</v>
      </c>
      <c r="BE420" s="8">
        <v>48.5</v>
      </c>
      <c r="BF420" s="8">
        <v>48.5</v>
      </c>
      <c r="BH420" s="8">
        <f t="shared" si="83"/>
        <v>0</v>
      </c>
      <c r="BI420" s="8">
        <f t="shared" si="84"/>
        <v>517.16666666666663</v>
      </c>
      <c r="BJ420" s="8">
        <f t="shared" si="85"/>
        <v>576.33333333333337</v>
      </c>
    </row>
    <row r="421" spans="1:62" x14ac:dyDescent="0.25">
      <c r="A421" s="9" t="s">
        <v>129</v>
      </c>
      <c r="B421" s="9" t="s">
        <v>644</v>
      </c>
      <c r="C421" s="10">
        <v>44927</v>
      </c>
      <c r="D421" s="6" cm="1">
        <f t="array" ref="D421">_xlfn.LET(
  _xlpm.aralık, Y421:BF421,
  _xlpm.ilk, MATCH(TRUE, _xlpm.aralık&lt;&gt;0, 0),
  _xlpm.son, MIN(_xlpm.ilk+2, COLUMNS(_xlpm.aralık)),
  MAX(INDEX(_xlpm.aralık, _xlpm.ilk):INDEX(_xlpm.aralık, _xlpm.son))
)</f>
        <v>63.972748063523888</v>
      </c>
      <c r="E421" s="6">
        <f t="shared" si="78"/>
        <v>40.012383756406116</v>
      </c>
      <c r="F421" s="6">
        <f t="shared" si="79"/>
        <v>42.328439766345909</v>
      </c>
      <c r="G421" s="6">
        <f t="shared" si="86"/>
        <v>43.857046970375997</v>
      </c>
      <c r="H421" s="7">
        <f t="shared" si="80"/>
        <v>-0.37454017581557575</v>
      </c>
      <c r="I421" s="7">
        <f t="shared" si="81"/>
        <v>-0.33833638466938354</v>
      </c>
      <c r="J421" s="7">
        <f t="shared" si="82"/>
        <v>5.7883479875626864E-2</v>
      </c>
      <c r="K421" s="7">
        <f t="shared" si="87"/>
        <v>-0.31444172248428864</v>
      </c>
      <c r="L421" s="5" t="s">
        <v>416</v>
      </c>
      <c r="M421" s="7">
        <f>IF(R421="",(VLOOKUP(A421,[1]Export!$B$2:$H$680,7,0)),"CHURN")</f>
        <v>0.55491839640796214</v>
      </c>
      <c r="N421" s="5">
        <f t="shared" si="88"/>
        <v>19.519964794386276</v>
      </c>
      <c r="O421" s="5">
        <f t="shared" si="89"/>
        <v>17.808775925841243</v>
      </c>
      <c r="P421" s="5">
        <f t="shared" si="90"/>
        <v>18.839609848754222</v>
      </c>
      <c r="Q421" s="5" t="s">
        <v>430</v>
      </c>
      <c r="T421" s="6" t="str" cm="1">
        <f t="array" ref="T421">IF(R421&lt;&gt;"Churn","",
 _xlfn.LET(
   _xlpm.rng,Y421:BF421,
   _xlpm.pos,MAX(IF((_xlpm.rng&lt;&gt;0)*(_xlpm.rng&lt;&gt;""),COLUMN(_xlpm.rng)-COLUMN(Y421)+1)),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1" s="6" t="str" cm="1">
        <f t="array" ref="U421">IF(R421="Churn",
   MAX(IF((Y421:BF421&lt;&gt;"")*(Y421:BF421&lt;&gt;0), COLUMN(Y421:BF421)-COLUMN(Y421)+1))
   -MATCH(1, --((Y421:BF421&lt;&gt;"")*(Y421:BF421&lt;&gt;0)), 0)
   +1,
"")</f>
        <v/>
      </c>
      <c r="V421" s="6" t="str" cm="1">
        <f t="array" ref="V421">IFERROR(
    IF(
        MATCH(2,1/((Y421:BF421&lt;&gt;0)*(Y421:BF421&lt;&gt;"")))-MATCH(1,INDEX((Y421:BF421&lt;&gt;0)*(Y421:BF421&lt;&gt;""),0),0)+1 &lt;= 12,
        "No",
        "Yes"
    ),
    "No"
)</f>
        <v>Yes</v>
      </c>
      <c r="W421" s="6" t="str" cm="1">
        <f t="array" ref="W421">IFERROR(
    IF(
        MATCH(2,1/((Y421:BF421&lt;&gt;0)*(Y421:BF421&lt;&gt;"")))-MATCH(1,INDEX((Y421:BF421&lt;&gt;0)*(Y421:BF421&lt;&gt;""),0),0)+1 &lt;= 24,
        "No",
        "Yes"
    ),
    "No"
)</f>
        <v>Yes</v>
      </c>
      <c r="Y421" s="8">
        <v>63.972748063523888</v>
      </c>
      <c r="Z421" s="8">
        <v>63.750484761231853</v>
      </c>
      <c r="AA421" s="8">
        <v>63.281847377274808</v>
      </c>
      <c r="AB421" s="8">
        <v>71.157556419991607</v>
      </c>
      <c r="AC421" s="8">
        <v>69.978464571730569</v>
      </c>
      <c r="AD421" s="8">
        <v>60.280614337971357</v>
      </c>
      <c r="AE421" s="8">
        <v>45.446046407701552</v>
      </c>
      <c r="AF421" s="8">
        <v>44.586238542336233</v>
      </c>
      <c r="AG421" s="8">
        <v>44.544861967460186</v>
      </c>
      <c r="AH421" s="8">
        <v>43.171899008599439</v>
      </c>
      <c r="AI421" s="8">
        <v>41.983402663830482</v>
      </c>
      <c r="AJ421" s="8">
        <v>41.329257834429136</v>
      </c>
      <c r="AK421" s="8">
        <v>40.012383756406116</v>
      </c>
      <c r="AL421" s="8">
        <v>48.865752764185793</v>
      </c>
      <c r="AM421" s="8">
        <v>46.994909487377107</v>
      </c>
      <c r="AN421" s="8">
        <v>46.5268451858446</v>
      </c>
      <c r="AO421" s="8">
        <v>46.594483808340442</v>
      </c>
      <c r="AP421" s="8">
        <v>46.199970431879365</v>
      </c>
      <c r="AQ421" s="8">
        <v>45.664804142730581</v>
      </c>
      <c r="AR421" s="8">
        <v>44.681742953655878</v>
      </c>
      <c r="AS421" s="8">
        <v>44.170183218784778</v>
      </c>
      <c r="AT421" s="8">
        <v>43.897049811680766</v>
      </c>
      <c r="AU421" s="8">
        <v>43.655080165657253</v>
      </c>
      <c r="AV421" s="8">
        <v>42.976291873431357</v>
      </c>
      <c r="AW421" s="8">
        <v>42.328439766345909</v>
      </c>
      <c r="AX421" s="8">
        <v>41.582265911529156</v>
      </c>
      <c r="AY421" s="8">
        <v>40.544841996004962</v>
      </c>
      <c r="AZ421" s="8">
        <v>39.461763212518385</v>
      </c>
      <c r="BA421" s="8">
        <v>38.800212108827346</v>
      </c>
      <c r="BB421" s="8">
        <v>38.141457671681863</v>
      </c>
      <c r="BC421" s="8">
        <v>45.637539128743292</v>
      </c>
      <c r="BD421" s="8">
        <v>44.934692159231538</v>
      </c>
      <c r="BE421" s="8">
        <v>44.39078363404375</v>
      </c>
      <c r="BF421" s="8">
        <v>43.857046970375997</v>
      </c>
      <c r="BH421" s="8">
        <f t="shared" si="83"/>
        <v>653.48342195608109</v>
      </c>
      <c r="BI421" s="8">
        <f t="shared" si="84"/>
        <v>540.2394975999739</v>
      </c>
      <c r="BJ421" s="8">
        <f t="shared" si="85"/>
        <v>419.67904255930222</v>
      </c>
    </row>
    <row r="422" spans="1:62" x14ac:dyDescent="0.25">
      <c r="A422" s="9" t="s">
        <v>550</v>
      </c>
      <c r="B422" s="9" t="s">
        <v>644</v>
      </c>
      <c r="C422" s="10">
        <f>VLOOKUP(A422,'[2]Revenue_Engine_2025 Oct.25'!$C$14:G$3937,5,0)</f>
        <v>45631</v>
      </c>
      <c r="D422" s="6" cm="1">
        <f t="array" ref="D422">_xlfn.LET(
  _xlpm.aralık, Y422:BF422,
  _xlpm.ilk, MATCH(TRUE, _xlpm.aralık&lt;&gt;0, 0),
  _xlpm.son, MIN(_xlpm.ilk+2, COLUMNS(_xlpm.aralık)),
  MAX(INDEX(_xlpm.aralık, _xlpm.ilk):INDEX(_xlpm.aralık, _xlpm.son))
)</f>
        <v>86.000503166666661</v>
      </c>
      <c r="E422" s="6">
        <f t="shared" si="78"/>
        <v>0</v>
      </c>
      <c r="F422" s="6">
        <f t="shared" si="79"/>
        <v>0</v>
      </c>
      <c r="G422" s="6">
        <f t="shared" si="86"/>
        <v>43.000251583333352</v>
      </c>
      <c r="H422" s="7">
        <f t="shared" si="80"/>
        <v>-1</v>
      </c>
      <c r="I422" s="7">
        <f t="shared" si="81"/>
        <v>-1</v>
      </c>
      <c r="J422" s="7" t="e">
        <f t="shared" si="82"/>
        <v>#DIV/0!</v>
      </c>
      <c r="K422" s="7">
        <f t="shared" si="87"/>
        <v>-0.49999999999999978</v>
      </c>
      <c r="L422" s="5" t="s">
        <v>694</v>
      </c>
      <c r="M422" s="7">
        <f>IF(R422="",(VLOOKUP(A422,[1]Export!$B$2:$H$680,7,0)),"CHURN")</f>
        <v>0.31952807431151869</v>
      </c>
      <c r="N422" s="5">
        <f t="shared" si="88"/>
        <v>29.26046400000001</v>
      </c>
      <c r="O422" s="5">
        <f t="shared" si="89"/>
        <v>0</v>
      </c>
      <c r="P422" s="5">
        <f t="shared" si="90"/>
        <v>0</v>
      </c>
      <c r="Q422" s="5" t="s">
        <v>430</v>
      </c>
      <c r="T422" s="6" t="str" cm="1">
        <f t="array" ref="T422">IF(R422&lt;&gt;"Churn","",
 _xlfn.LET(
   _xlpm.rng,Y422:BF422,
   _xlpm.pos,MAX(IF((_xlpm.rng&lt;&gt;0)*(_xlpm.rng&lt;&gt;""),COLUMN(_xlpm.rng)-COLUMN(Y422)+1)),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2" s="6" t="str" cm="1">
        <f t="array" ref="U422">IF(R422="Churn",
   MAX(IF((Y422:BF422&lt;&gt;"")*(Y422:BF422&lt;&gt;0), COLUMN(Y422:BF422)-COLUMN(Y422)+1))
   -MATCH(1, --((Y422:BF422&lt;&gt;"")*(Y422:BF422&lt;&gt;0)), 0)
   +1,
"")</f>
        <v/>
      </c>
      <c r="V422" s="6" t="str" cm="1">
        <f t="array" ref="V422">IFERROR(
    IF(
        MATCH(2,1/((Y422:BF422&lt;&gt;0)*(Y422:BF422&lt;&gt;"")))-MATCH(1,INDEX((Y422:BF422&lt;&gt;0)*(Y422:BF422&lt;&gt;""),0),0)+1 &lt;= 12,
        "No",
        "Yes"
    ),
    "No"
)</f>
        <v>No</v>
      </c>
      <c r="W422" s="6" t="str" cm="1">
        <f t="array" ref="W422">IFERROR(
    IF(
        MATCH(2,1/((Y422:BF422&lt;&gt;0)*(Y422:BF422&lt;&gt;"")))-MATCH(1,INDEX((Y422:BF422&lt;&gt;0)*(Y422:BF422&lt;&gt;""),0),0)+1 &lt;= 24,
        "No",
        "Yes"
    ),
    "No"
)</f>
        <v>No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86.000503166666661</v>
      </c>
      <c r="AW422" s="8">
        <v>43.000251583333352</v>
      </c>
      <c r="AX422" s="8">
        <v>43.000251583333352</v>
      </c>
      <c r="AY422" s="8">
        <v>43.000251583333352</v>
      </c>
      <c r="AZ422" s="8">
        <v>43.000251583333352</v>
      </c>
      <c r="BA422" s="8">
        <v>43.000251583333352</v>
      </c>
      <c r="BB422" s="8">
        <v>43.000251583333352</v>
      </c>
      <c r="BC422" s="8">
        <v>43.000251583333352</v>
      </c>
      <c r="BD422" s="8">
        <v>43.000251583333352</v>
      </c>
      <c r="BE422" s="8">
        <v>43.000251583333352</v>
      </c>
      <c r="BF422" s="8">
        <v>43.000251583333352</v>
      </c>
      <c r="BH422" s="8">
        <f t="shared" si="83"/>
        <v>0</v>
      </c>
      <c r="BI422" s="8">
        <f t="shared" si="84"/>
        <v>86.000503166666661</v>
      </c>
      <c r="BJ422" s="8">
        <f t="shared" si="85"/>
        <v>430.00251583333352</v>
      </c>
    </row>
    <row r="423" spans="1:62" x14ac:dyDescent="0.25">
      <c r="A423" s="9" t="s">
        <v>551</v>
      </c>
      <c r="B423" s="9" t="s">
        <v>644</v>
      </c>
      <c r="C423" s="10">
        <f>VLOOKUP(A423,'[2]Revenue_Engine_2025 Oct.25'!$C$14:G$3937,5,0)</f>
        <v>45663</v>
      </c>
      <c r="D423" s="6" cm="1">
        <f t="array" ref="D423">_xlfn.LET(
  _xlpm.aralık, Y423:BF423,
  _xlpm.ilk, MATCH(TRUE, _xlpm.aralık&lt;&gt;0, 0),
  _xlpm.son, MIN(_xlpm.ilk+2, COLUMNS(_xlpm.aralık)),
  MAX(INDEX(_xlpm.aralık, _xlpm.ilk):INDEX(_xlpm.aralık, _xlpm.son))
)</f>
        <v>42.918033206024987</v>
      </c>
      <c r="E423" s="6">
        <f t="shared" si="78"/>
        <v>0</v>
      </c>
      <c r="F423" s="6">
        <f t="shared" si="79"/>
        <v>0</v>
      </c>
      <c r="G423" s="6">
        <f t="shared" si="86"/>
        <v>42.918033206024987</v>
      </c>
      <c r="H423" s="7">
        <f t="shared" si="80"/>
        <v>-1</v>
      </c>
      <c r="I423" s="7">
        <f t="shared" si="81"/>
        <v>-1</v>
      </c>
      <c r="J423" s="7" t="e">
        <f t="shared" si="82"/>
        <v>#DIV/0!</v>
      </c>
      <c r="K423" s="7">
        <f t="shared" si="87"/>
        <v>0</v>
      </c>
      <c r="L423" s="5" t="s">
        <v>694</v>
      </c>
      <c r="M423" s="7">
        <f>IF(R423="",(VLOOKUP(A423,[1]Export!$B$2:$H$680,7,0)),"CHURN")</f>
        <v>0.30234640473727109</v>
      </c>
      <c r="N423" s="5">
        <f t="shared" si="88"/>
        <v>29.941920167788517</v>
      </c>
      <c r="O423" s="5">
        <f t="shared" si="89"/>
        <v>0</v>
      </c>
      <c r="P423" s="5">
        <f t="shared" si="90"/>
        <v>0</v>
      </c>
      <c r="Q423" s="5" t="s">
        <v>430</v>
      </c>
      <c r="T423" s="6" t="str" cm="1">
        <f t="array" ref="T423">IF(R423&lt;&gt;"Churn","",
 _xlfn.LET(
   _xlpm.rng,Y423:BF423,
   _xlpm.pos,MAX(IF((_xlpm.rng&lt;&gt;0)*(_xlpm.rng&lt;&gt;""),COLUMN(_xlpm.rng)-COLUMN(Y423)+1)),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3" s="6" t="str" cm="1">
        <f t="array" ref="U423">IF(R423="Churn",
   MAX(IF((Y423:BF423&lt;&gt;"")*(Y423:BF423&lt;&gt;0), COLUMN(Y423:BF423)-COLUMN(Y423)+1))
   -MATCH(1, --((Y423:BF423&lt;&gt;"")*(Y423:BF423&lt;&gt;0)), 0)
   +1,
"")</f>
        <v/>
      </c>
      <c r="V423" s="6" t="str" cm="1">
        <f t="array" ref="V423">IFERROR(
    IF(
        MATCH(2,1/((Y423:BF423&lt;&gt;0)*(Y423:BF423&lt;&gt;"")))-MATCH(1,INDEX((Y423:BF423&lt;&gt;0)*(Y423:BF423&lt;&gt;""),0),0)+1 &lt;= 12,
        "No",
        "Yes"
    ),
    "No"
)</f>
        <v>No</v>
      </c>
      <c r="W423" s="6" t="str" cm="1">
        <f t="array" ref="W423">IFERROR(
    IF(
        MATCH(2,1/((Y423:BF423&lt;&gt;0)*(Y423:BF423&lt;&gt;"")))-MATCH(1,INDEX((Y423:BF423&lt;&gt;0)*(Y423:BF423&lt;&gt;""),0),0)+1 &lt;= 24,
        "No",
        "Yes"
    ),
    "No"
)</f>
        <v>No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42.918033206024987</v>
      </c>
      <c r="AX423" s="8">
        <v>42.918033206024987</v>
      </c>
      <c r="AY423" s="8">
        <v>42.918033206024987</v>
      </c>
      <c r="AZ423" s="8">
        <v>42.918033206024987</v>
      </c>
      <c r="BA423" s="8">
        <v>42.918033206024987</v>
      </c>
      <c r="BB423" s="8">
        <v>42.918033206024987</v>
      </c>
      <c r="BC423" s="8">
        <v>42.918033206024987</v>
      </c>
      <c r="BD423" s="8">
        <v>42.918033206024987</v>
      </c>
      <c r="BE423" s="8">
        <v>42.918033206024987</v>
      </c>
      <c r="BF423" s="8">
        <v>42.918033206024987</v>
      </c>
      <c r="BH423" s="8">
        <f t="shared" si="83"/>
        <v>0</v>
      </c>
      <c r="BI423" s="8">
        <f t="shared" si="84"/>
        <v>0</v>
      </c>
      <c r="BJ423" s="8">
        <f t="shared" si="85"/>
        <v>429.18033206024978</v>
      </c>
    </row>
    <row r="424" spans="1:62" x14ac:dyDescent="0.25">
      <c r="A424" s="9" t="s">
        <v>552</v>
      </c>
      <c r="B424" s="9" t="s">
        <v>644</v>
      </c>
      <c r="C424" s="10">
        <f>VLOOKUP(A424,'[2]Revenue_Engine_2025 Oct.25'!$C$14:G$3937,5,0)</f>
        <v>45685</v>
      </c>
      <c r="D424" s="6" cm="1">
        <f t="array" ref="D424">_xlfn.LET(
  _xlpm.aralık, Y424:BF424,
  _xlpm.ilk, MATCH(TRUE, _xlpm.aralık&lt;&gt;0, 0),
  _xlpm.son, MIN(_xlpm.ilk+2, COLUMNS(_xlpm.aralık)),
  MAX(INDEX(_xlpm.aralık, _xlpm.ilk):INDEX(_xlpm.aralık, _xlpm.son))
)</f>
        <v>42.917008613455145</v>
      </c>
      <c r="E424" s="6">
        <f t="shared" si="78"/>
        <v>0</v>
      </c>
      <c r="F424" s="6">
        <f t="shared" si="79"/>
        <v>0</v>
      </c>
      <c r="G424" s="6">
        <f t="shared" si="86"/>
        <v>42.917008613455145</v>
      </c>
      <c r="H424" s="7">
        <f t="shared" si="80"/>
        <v>-1</v>
      </c>
      <c r="I424" s="7">
        <f t="shared" si="81"/>
        <v>-1</v>
      </c>
      <c r="J424" s="7" t="e">
        <f t="shared" si="82"/>
        <v>#DIV/0!</v>
      </c>
      <c r="K424" s="7">
        <f t="shared" si="87"/>
        <v>0</v>
      </c>
      <c r="L424" s="5" t="s">
        <v>694</v>
      </c>
      <c r="M424" s="7">
        <f>IF(R424="",(VLOOKUP(A424,[1]Export!$B$2:$H$680,7,0)),"CHURN")</f>
        <v>0.25877459030100924</v>
      </c>
      <c r="N424" s="5">
        <f t="shared" si="88"/>
        <v>31.811177292563407</v>
      </c>
      <c r="O424" s="5">
        <f t="shared" si="89"/>
        <v>0</v>
      </c>
      <c r="P424" s="5">
        <f t="shared" si="90"/>
        <v>0</v>
      </c>
      <c r="Q424" s="5" t="s">
        <v>430</v>
      </c>
      <c r="T424" s="6" t="str" cm="1">
        <f t="array" ref="T424">IF(R424&lt;&gt;"Churn","",
 _xlfn.LET(
   _xlpm.rng,Y424:BF424,
   _xlpm.pos,MAX(IF((_xlpm.rng&lt;&gt;0)*(_xlpm.rng&lt;&gt;""),COLUMN(_xlpm.rng)-COLUMN(Y424)+1)),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4" s="6" t="str" cm="1">
        <f t="array" ref="U424">IF(R424="Churn",
   MAX(IF((Y424:BF424&lt;&gt;"")*(Y424:BF424&lt;&gt;0), COLUMN(Y424:BF424)-COLUMN(Y424)+1))
   -MATCH(1, --((Y424:BF424&lt;&gt;"")*(Y424:BF424&lt;&gt;0)), 0)
   +1,
"")</f>
        <v/>
      </c>
      <c r="V424" s="6" t="str" cm="1">
        <f t="array" ref="V424">IFERROR(
    IF(
        MATCH(2,1/((Y424:BF424&lt;&gt;0)*(Y424:BF424&lt;&gt;"")))-MATCH(1,INDEX((Y424:BF424&lt;&gt;0)*(Y424:BF424&lt;&gt;""),0),0)+1 &lt;= 12,
        "No",
        "Yes"
    ),
    "No"
)</f>
        <v>No</v>
      </c>
      <c r="W424" s="6" t="str" cm="1">
        <f t="array" ref="W424">IFERROR(
    IF(
        MATCH(2,1/((Y424:BF424&lt;&gt;0)*(Y424:BF424&lt;&gt;"")))-MATCH(1,INDEX((Y424:BF424&lt;&gt;0)*(Y424:BF424&lt;&gt;""),0),0)+1 &lt;= 24,
        "No",
        "Yes"
    ),
    "No"
)</f>
        <v>No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42.917008613455145</v>
      </c>
      <c r="AX424" s="8">
        <v>42.917008613455145</v>
      </c>
      <c r="AY424" s="8">
        <v>42.917008613455145</v>
      </c>
      <c r="AZ424" s="8">
        <v>42.917008613455145</v>
      </c>
      <c r="BA424" s="8">
        <v>42.917008613455145</v>
      </c>
      <c r="BB424" s="8">
        <v>42.917008613455145</v>
      </c>
      <c r="BC424" s="8">
        <v>42.917008613455145</v>
      </c>
      <c r="BD424" s="8">
        <v>42.917008613455145</v>
      </c>
      <c r="BE424" s="8">
        <v>42.917008613455145</v>
      </c>
      <c r="BF424" s="8">
        <v>42.917008613455145</v>
      </c>
      <c r="BH424" s="8">
        <f t="shared" si="83"/>
        <v>0</v>
      </c>
      <c r="BI424" s="8">
        <f t="shared" si="84"/>
        <v>0</v>
      </c>
      <c r="BJ424" s="8">
        <f t="shared" si="85"/>
        <v>429.17008613455147</v>
      </c>
    </row>
    <row r="425" spans="1:62" x14ac:dyDescent="0.25">
      <c r="A425" s="9" t="s">
        <v>553</v>
      </c>
      <c r="B425" s="9" t="s">
        <v>644</v>
      </c>
      <c r="C425" s="10">
        <f>VLOOKUP(A425,'[2]Revenue_Engine_2025 Oct.25'!$C$14:G$3937,5,0)</f>
        <v>45688</v>
      </c>
      <c r="D425" s="6" cm="1">
        <f t="array" ref="D425">_xlfn.LET(
  _xlpm.aralık, Y425:BF425,
  _xlpm.ilk, MATCH(TRUE, _xlpm.aralık&lt;&gt;0, 0),
  _xlpm.son, MIN(_xlpm.ilk+2, COLUMNS(_xlpm.aralık)),
  MAX(INDEX(_xlpm.aralık, _xlpm.ilk):INDEX(_xlpm.aralık, _xlpm.son))
)</f>
        <v>42.914696193061324</v>
      </c>
      <c r="E425" s="6">
        <f t="shared" si="78"/>
        <v>0</v>
      </c>
      <c r="F425" s="6">
        <f t="shared" si="79"/>
        <v>0</v>
      </c>
      <c r="G425" s="6">
        <f t="shared" si="86"/>
        <v>42.914696193061324</v>
      </c>
      <c r="H425" s="7">
        <f t="shared" si="80"/>
        <v>-1</v>
      </c>
      <c r="I425" s="7">
        <f t="shared" si="81"/>
        <v>-1</v>
      </c>
      <c r="J425" s="7" t="e">
        <f t="shared" si="82"/>
        <v>#DIV/0!</v>
      </c>
      <c r="K425" s="7">
        <f t="shared" si="87"/>
        <v>0</v>
      </c>
      <c r="L425" s="5" t="s">
        <v>694</v>
      </c>
      <c r="M425" s="7">
        <f>IF(R425="",(VLOOKUP(A425,[1]Export!$B$2:$H$680,7,0)),"CHURN")</f>
        <v>0.30215038676076034</v>
      </c>
      <c r="N425" s="5">
        <f t="shared" si="88"/>
        <v>29.948004140607317</v>
      </c>
      <c r="O425" s="5">
        <f t="shared" si="89"/>
        <v>0</v>
      </c>
      <c r="P425" s="5">
        <f t="shared" si="90"/>
        <v>0</v>
      </c>
      <c r="Q425" s="5" t="s">
        <v>430</v>
      </c>
      <c r="T425" s="6" t="str" cm="1">
        <f t="array" ref="T425">IF(R425&lt;&gt;"Churn","",
 _xlfn.LET(
   _xlpm.rng,Y425:BF425,
   _xlpm.pos,MAX(IF((_xlpm.rng&lt;&gt;0)*(_xlpm.rng&lt;&gt;""),COLUMN(_xlpm.rng)-COLUMN(Y425)+1)),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5" s="6" t="str" cm="1">
        <f t="array" ref="U425">IF(R425="Churn",
   MAX(IF((Y425:BF425&lt;&gt;"")*(Y425:BF425&lt;&gt;0), COLUMN(Y425:BF425)-COLUMN(Y425)+1))
   -MATCH(1, --((Y425:BF425&lt;&gt;"")*(Y425:BF425&lt;&gt;0)), 0)
   +1,
"")</f>
        <v/>
      </c>
      <c r="V425" s="6" t="str" cm="1">
        <f t="array" ref="V425">IFERROR(
    IF(
        MATCH(2,1/((Y425:BF425&lt;&gt;0)*(Y425:BF425&lt;&gt;"")))-MATCH(1,INDEX((Y425:BF425&lt;&gt;0)*(Y425:BF425&lt;&gt;""),0),0)+1 &lt;= 12,
        "No",
        "Yes"
    ),
    "No"
)</f>
        <v>No</v>
      </c>
      <c r="W425" s="6" t="str" cm="1">
        <f t="array" ref="W425">IFERROR(
    IF(
        MATCH(2,1/((Y425:BF425&lt;&gt;0)*(Y425:BF425&lt;&gt;"")))-MATCH(1,INDEX((Y425:BF425&lt;&gt;0)*(Y425:BF425&lt;&gt;""),0),0)+1 &lt;= 24,
        "No",
        "Yes"
    ),
    "No"
)</f>
        <v>No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42.914696193061324</v>
      </c>
      <c r="AX425" s="8">
        <v>42.914696193061324</v>
      </c>
      <c r="AY425" s="8">
        <v>42.914696193061324</v>
      </c>
      <c r="AZ425" s="8">
        <v>42.914696193061324</v>
      </c>
      <c r="BA425" s="8">
        <v>42.914696193061324</v>
      </c>
      <c r="BB425" s="8">
        <v>42.914696193061324</v>
      </c>
      <c r="BC425" s="8">
        <v>42.914696193061324</v>
      </c>
      <c r="BD425" s="8">
        <v>42.914696193061324</v>
      </c>
      <c r="BE425" s="8">
        <v>42.914696193061324</v>
      </c>
      <c r="BF425" s="8">
        <v>42.914696193061324</v>
      </c>
      <c r="BH425" s="8">
        <f t="shared" si="83"/>
        <v>0</v>
      </c>
      <c r="BI425" s="8">
        <f t="shared" si="84"/>
        <v>0</v>
      </c>
      <c r="BJ425" s="8">
        <f t="shared" si="85"/>
        <v>429.14696193061326</v>
      </c>
    </row>
    <row r="426" spans="1:62" x14ac:dyDescent="0.25">
      <c r="A426" s="9" t="s">
        <v>190</v>
      </c>
      <c r="B426" s="9" t="s">
        <v>644</v>
      </c>
      <c r="C426" s="10">
        <v>44927</v>
      </c>
      <c r="D426" s="6" cm="1">
        <f t="array" ref="D426">_xlfn.LET(
  _xlpm.aralık, Y426:BF426,
  _xlpm.ilk, MATCH(TRUE, _xlpm.aralık&lt;&gt;0, 0),
  _xlpm.son, MIN(_xlpm.ilk+2, COLUMNS(_xlpm.aralık)),
  MAX(INDEX(_xlpm.aralık, _xlpm.ilk):INDEX(_xlpm.aralık, _xlpm.son))
)</f>
        <v>67.5</v>
      </c>
      <c r="E426" s="6">
        <f t="shared" si="78"/>
        <v>43</v>
      </c>
      <c r="F426" s="6">
        <f t="shared" si="79"/>
        <v>35.416666666666671</v>
      </c>
      <c r="G426" s="6">
        <f t="shared" si="86"/>
        <v>37.5</v>
      </c>
      <c r="H426" s="7">
        <f t="shared" si="80"/>
        <v>-0.36296296296296299</v>
      </c>
      <c r="I426" s="7">
        <f t="shared" si="81"/>
        <v>-0.47530864197530859</v>
      </c>
      <c r="J426" s="7">
        <f t="shared" si="82"/>
        <v>-0.17635658914728672</v>
      </c>
      <c r="K426" s="7">
        <f t="shared" si="87"/>
        <v>-0.44444444444444442</v>
      </c>
      <c r="L426" s="5" t="s">
        <v>419</v>
      </c>
      <c r="M426" s="7">
        <f>IF(R426="",(VLOOKUP(A426,[1]Export!$B$2:$H$680,7,0)),"CHURN")</f>
        <v>1</v>
      </c>
      <c r="N426" s="5">
        <f t="shared" si="88"/>
        <v>0</v>
      </c>
      <c r="O426" s="5">
        <f t="shared" si="89"/>
        <v>0</v>
      </c>
      <c r="P426" s="5">
        <f t="shared" si="90"/>
        <v>0</v>
      </c>
      <c r="Q426" s="5" t="s">
        <v>430</v>
      </c>
      <c r="T426" s="6" t="str" cm="1">
        <f t="array" ref="T426">IF(R426&lt;&gt;"Churn","",
 _xlfn.LET(
   _xlpm.rng,Y426:BF426,
   _xlpm.pos,MAX(IF((_xlpm.rng&lt;&gt;0)*(_xlpm.rng&lt;&gt;""),COLUMN(_xlpm.rng)-COLUMN(Y426)+1)),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6" s="6" t="str" cm="1">
        <f t="array" ref="U426">IF(R426="Churn",
   MAX(IF((Y426:BF426&lt;&gt;"")*(Y426:BF426&lt;&gt;0), COLUMN(Y426:BF426)-COLUMN(Y426)+1))
   -MATCH(1, --((Y426:BF426&lt;&gt;"")*(Y426:BF426&lt;&gt;0)), 0)
   +1,
"")</f>
        <v/>
      </c>
      <c r="V426" s="6" t="str" cm="1">
        <f t="array" ref="V426">IFERROR(
    IF(
        MATCH(2,1/((Y426:BF426&lt;&gt;0)*(Y426:BF426&lt;&gt;"")))-MATCH(1,INDEX((Y426:BF426&lt;&gt;0)*(Y426:BF426&lt;&gt;""),0),0)+1 &lt;= 12,
        "No",
        "Yes"
    ),
    "No"
)</f>
        <v>Yes</v>
      </c>
      <c r="W426" s="6" t="str" cm="1">
        <f t="array" ref="W426">IFERROR(
    IF(
        MATCH(2,1/((Y426:BF426&lt;&gt;0)*(Y426:BF426&lt;&gt;"")))-MATCH(1,INDEX((Y426:BF426&lt;&gt;0)*(Y426:BF426&lt;&gt;""),0),0)+1 &lt;= 24,
        "No",
        "Yes"
    ),
    "No"
)</f>
        <v>Yes</v>
      </c>
      <c r="Y426" s="8">
        <v>67.5</v>
      </c>
      <c r="Z426" s="8">
        <v>67.5</v>
      </c>
      <c r="AA426" s="8">
        <v>67.5</v>
      </c>
      <c r="AB426" s="8">
        <v>67.5</v>
      </c>
      <c r="AC426" s="8">
        <v>67.5</v>
      </c>
      <c r="AD426" s="8">
        <v>67.5</v>
      </c>
      <c r="AE426" s="8">
        <v>67.5</v>
      </c>
      <c r="AF426" s="8">
        <v>67.5</v>
      </c>
      <c r="AG426" s="8">
        <v>67.5</v>
      </c>
      <c r="AH426" s="8">
        <v>67.5</v>
      </c>
      <c r="AI426" s="8">
        <v>67.5</v>
      </c>
      <c r="AJ426" s="8">
        <v>43</v>
      </c>
      <c r="AK426" s="8">
        <v>43</v>
      </c>
      <c r="AL426" s="8">
        <v>43</v>
      </c>
      <c r="AM426" s="8">
        <v>49.5</v>
      </c>
      <c r="AN426" s="8">
        <v>49.5</v>
      </c>
      <c r="AO426" s="8">
        <v>49.5</v>
      </c>
      <c r="AP426" s="8">
        <v>49.5</v>
      </c>
      <c r="AQ426" s="8">
        <v>49.5</v>
      </c>
      <c r="AR426" s="8">
        <v>49.5</v>
      </c>
      <c r="AS426" s="8">
        <v>49.5</v>
      </c>
      <c r="AT426" s="8">
        <v>49.5</v>
      </c>
      <c r="AU426" s="8">
        <v>49.5</v>
      </c>
      <c r="AV426" s="8">
        <v>49.5</v>
      </c>
      <c r="AW426" s="8">
        <v>35.416666666666671</v>
      </c>
      <c r="AX426" s="8">
        <v>37.5</v>
      </c>
      <c r="AY426" s="8">
        <v>37.5</v>
      </c>
      <c r="AZ426" s="8">
        <v>37.5</v>
      </c>
      <c r="BA426" s="8">
        <v>37.5</v>
      </c>
      <c r="BB426" s="8">
        <v>37.5</v>
      </c>
      <c r="BC426" s="8">
        <v>37.5</v>
      </c>
      <c r="BD426" s="8">
        <v>37.5</v>
      </c>
      <c r="BE426" s="8">
        <v>37.5</v>
      </c>
      <c r="BF426" s="8">
        <v>37.5</v>
      </c>
      <c r="BH426" s="8">
        <f t="shared" si="83"/>
        <v>785.5</v>
      </c>
      <c r="BI426" s="8">
        <f t="shared" si="84"/>
        <v>581</v>
      </c>
      <c r="BJ426" s="8">
        <f t="shared" si="85"/>
        <v>372.91666666666669</v>
      </c>
    </row>
    <row r="427" spans="1:62" x14ac:dyDescent="0.25">
      <c r="A427" s="9" t="s">
        <v>12</v>
      </c>
      <c r="B427" s="9" t="s">
        <v>644</v>
      </c>
      <c r="C427" s="10">
        <f>VLOOKUP(A427,'[2]Revenue_Engine_2025 Oct.25'!$C$14:G$3937,5,0)</f>
        <v>45099</v>
      </c>
      <c r="D427" s="6" cm="1">
        <f t="array" ref="D427">_xlfn.LET(
  _xlpm.aralık, Y427:BF427,
  _xlpm.ilk, MATCH(TRUE, _xlpm.aralık&lt;&gt;0, 0),
  _xlpm.son, MIN(_xlpm.ilk+2, COLUMNS(_xlpm.aralık)),
  MAX(INDEX(_xlpm.aralık, _xlpm.ilk):INDEX(_xlpm.aralık, _xlpm.son))
)</f>
        <v>196.82963228586041</v>
      </c>
      <c r="E427" s="6">
        <f t="shared" si="78"/>
        <v>192.66732057386795</v>
      </c>
      <c r="F427" s="6">
        <f t="shared" si="79"/>
        <v>32.208494041004798</v>
      </c>
      <c r="G427" s="6">
        <f t="shared" si="86"/>
        <v>30.356553684366929</v>
      </c>
      <c r="H427" s="7">
        <f t="shared" si="80"/>
        <v>-2.114677380460394E-2</v>
      </c>
      <c r="I427" s="7">
        <f t="shared" si="81"/>
        <v>-0.83636359186899445</v>
      </c>
      <c r="J427" s="7">
        <f t="shared" si="82"/>
        <v>-0.83282845297754493</v>
      </c>
      <c r="K427" s="7">
        <f t="shared" si="87"/>
        <v>-0.84577244121312301</v>
      </c>
      <c r="L427" s="5" t="s">
        <v>412</v>
      </c>
      <c r="M427" s="7">
        <f>IF(R427="",(VLOOKUP(A427,[1]Export!$B$2:$H$680,7,0)),"CHURN")</f>
        <v>0</v>
      </c>
      <c r="N427" s="5">
        <f t="shared" si="88"/>
        <v>30.356553684366929</v>
      </c>
      <c r="O427" s="5">
        <f t="shared" si="89"/>
        <v>192.66732057386795</v>
      </c>
      <c r="P427" s="5">
        <f t="shared" si="90"/>
        <v>32.208494041004798</v>
      </c>
      <c r="Q427" s="5" t="s">
        <v>430</v>
      </c>
      <c r="T427" s="6" t="str" cm="1">
        <f t="array" ref="T427">IF(R427&lt;&gt;"Churn","",
 _xlfn.LET(
   _xlpm.rng,Y427:BF427,
   _xlpm.pos,MAX(IF((_xlpm.rng&lt;&gt;0)*(_xlpm.rng&lt;&gt;""),COLUMN(_xlpm.rng)-COLUMN(Y427)+1)),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7" s="6" t="str" cm="1">
        <f t="array" ref="U427">IF(R427="Churn",
   MAX(IF((Y427:BF427&lt;&gt;"")*(Y427:BF427&lt;&gt;0), COLUMN(Y427:BF427)-COLUMN(Y427)+1))
   -MATCH(1, --((Y427:BF427&lt;&gt;"")*(Y427:BF427&lt;&gt;0)), 0)
   +1,
"")</f>
        <v/>
      </c>
      <c r="V427" s="6" t="str" cm="1">
        <f t="array" ref="V427">IFERROR(
    IF(
        MATCH(2,1/((Y427:BF427&lt;&gt;0)*(Y427:BF427&lt;&gt;"")))-MATCH(1,INDEX((Y427:BF427&lt;&gt;0)*(Y427:BF427&lt;&gt;""),0),0)+1 &lt;= 12,
        "No",
        "Yes"
    ),
    "No"
)</f>
        <v>Yes</v>
      </c>
      <c r="W427" s="6" t="str" cm="1">
        <f t="array" ref="W427">IFERROR(
    IF(
        MATCH(2,1/((Y427:BF427&lt;&gt;0)*(Y427:BF427&lt;&gt;"")))-MATCH(1,INDEX((Y427:BF427&lt;&gt;0)*(Y427:BF427&lt;&gt;""),0),0)+1 &lt;= 24,
        "No",
        "Yes"
    ),
    "No"
)</f>
        <v>Yes</v>
      </c>
      <c r="Y427" s="8">
        <v>119.94850279609561</v>
      </c>
      <c r="Z427" s="8">
        <v>119.53176049342055</v>
      </c>
      <c r="AA427" s="8">
        <v>196.82963228586041</v>
      </c>
      <c r="AB427" s="8">
        <v>193.33267723672827</v>
      </c>
      <c r="AC427" s="8">
        <v>189.66725092144668</v>
      </c>
      <c r="AD427" s="8">
        <v>172.50308384043851</v>
      </c>
      <c r="AE427" s="8">
        <v>154.35525956475581</v>
      </c>
      <c r="AF427" s="8">
        <v>151.68091551083748</v>
      </c>
      <c r="AG427" s="8">
        <v>151.55221792449447</v>
      </c>
      <c r="AH427" s="8">
        <v>147.28175765867766</v>
      </c>
      <c r="AI427" s="8">
        <v>143.58506184933418</v>
      </c>
      <c r="AJ427" s="8">
        <v>141.55041154502737</v>
      </c>
      <c r="AK427" s="8">
        <v>137.45440998213905</v>
      </c>
      <c r="AL427" s="8">
        <v>134.59484771187749</v>
      </c>
      <c r="AM427" s="8">
        <v>195.75864127676374</v>
      </c>
      <c r="AN427" s="8">
        <v>193.93850561271492</v>
      </c>
      <c r="AO427" s="8">
        <v>194.20154582589112</v>
      </c>
      <c r="AP427" s="8">
        <v>192.66732057386795</v>
      </c>
      <c r="AQ427" s="8">
        <v>190.58610943165317</v>
      </c>
      <c r="AR427" s="8">
        <v>186.76307733552574</v>
      </c>
      <c r="AS427" s="8">
        <v>184.77366985282424</v>
      </c>
      <c r="AT427" s="8">
        <v>183.71147983506339</v>
      </c>
      <c r="AU427" s="8">
        <v>182.77048274015499</v>
      </c>
      <c r="AV427" s="8">
        <v>180.13073919570922</v>
      </c>
      <c r="AW427" s="8">
        <v>177.61130355278382</v>
      </c>
      <c r="AX427" s="8">
        <v>174.7095039212262</v>
      </c>
      <c r="AY427" s="8">
        <v>81.304870107228098</v>
      </c>
      <c r="AZ427" s="8">
        <v>13</v>
      </c>
      <c r="BA427" s="8">
        <v>32.764778191073837</v>
      </c>
      <c r="BB427" s="8">
        <v>32.208494041004798</v>
      </c>
      <c r="BC427" s="8">
        <v>31.588957813778105</v>
      </c>
      <c r="BD427" s="8">
        <v>31.10246788260946</v>
      </c>
      <c r="BE427" s="8">
        <v>30.725990452302746</v>
      </c>
      <c r="BF427" s="8">
        <v>30.356553684366929</v>
      </c>
      <c r="BH427" s="8">
        <f t="shared" si="83"/>
        <v>1881.818531627117</v>
      </c>
      <c r="BI427" s="8">
        <f t="shared" si="84"/>
        <v>2157.3508293741852</v>
      </c>
      <c r="BJ427" s="8">
        <f t="shared" si="85"/>
        <v>635.37291964637393</v>
      </c>
    </row>
    <row r="428" spans="1:62" x14ac:dyDescent="0.25">
      <c r="A428" s="9" t="s">
        <v>84</v>
      </c>
      <c r="B428" s="9" t="s">
        <v>644</v>
      </c>
      <c r="C428" s="10">
        <v>44927</v>
      </c>
      <c r="D428" s="6" cm="1">
        <f t="array" ref="D428">_xlfn.LET(
  _xlpm.aralık, Y428:BF428,
  _xlpm.ilk, MATCH(TRUE, _xlpm.aralık&lt;&gt;0, 0),
  _xlpm.son, MIN(_xlpm.ilk+2, COLUMNS(_xlpm.aralık)),
  MAX(INDEX(_xlpm.aralık, _xlpm.ilk):INDEX(_xlpm.aralık, _xlpm.son))
)</f>
        <v>134.44</v>
      </c>
      <c r="E428" s="6">
        <f t="shared" si="78"/>
        <v>131.4478</v>
      </c>
      <c r="F428" s="6">
        <f t="shared" si="79"/>
        <v>157.131608</v>
      </c>
      <c r="G428" s="6">
        <f t="shared" si="86"/>
        <v>28.8</v>
      </c>
      <c r="H428" s="7">
        <f t="shared" si="80"/>
        <v>-2.2256768818803903E-2</v>
      </c>
      <c r="I428" s="7">
        <f t="shared" si="81"/>
        <v>0.1687861350788456</v>
      </c>
      <c r="J428" s="7">
        <f t="shared" si="82"/>
        <v>0.19539169160685838</v>
      </c>
      <c r="K428" s="7">
        <f t="shared" si="87"/>
        <v>-0.78577804224933057</v>
      </c>
      <c r="L428" s="5" t="s">
        <v>412</v>
      </c>
      <c r="M428" s="7">
        <f>IF(R428="",(VLOOKUP(A428,[1]Export!$B$2:$H$680,7,0)),"CHURN")</f>
        <v>1</v>
      </c>
      <c r="N428" s="5">
        <f t="shared" si="88"/>
        <v>0</v>
      </c>
      <c r="O428" s="5">
        <f t="shared" si="89"/>
        <v>0</v>
      </c>
      <c r="P428" s="5">
        <f t="shared" si="90"/>
        <v>0</v>
      </c>
      <c r="Q428" s="5" t="str">
        <f>VLOOKUP(A428,[4]Sheet2!$A$1:$B$142,2,0)</f>
        <v xml:space="preserve">BOOKED CHURN </v>
      </c>
      <c r="T428" s="6" t="str" cm="1">
        <f t="array" ref="T428">IF(R428&lt;&gt;"Churn","",
 _xlfn.LET(
   _xlpm.rng,Y428:BF428,
   _xlpm.pos,MAX(IF((_xlpm.rng&lt;&gt;0)*(_xlpm.rng&lt;&gt;""),COLUMN(_xlpm.rng)-COLUMN(Y428)+1)),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8" s="6" t="str" cm="1">
        <f t="array" ref="U428">IF(R428="Churn",
   MAX(IF((Y428:BF428&lt;&gt;"")*(Y428:BF428&lt;&gt;0), COLUMN(Y428:BF428)-COLUMN(Y428)+1))
   -MATCH(1, --((Y428:BF428&lt;&gt;"")*(Y428:BF428&lt;&gt;0)), 0)
   +1,
"")</f>
        <v/>
      </c>
      <c r="V428" s="6" t="str" cm="1">
        <f t="array" ref="V428">IFERROR(
    IF(
        MATCH(2,1/((Y428:BF428&lt;&gt;0)*(Y428:BF428&lt;&gt;"")))-MATCH(1,INDEX((Y428:BF428&lt;&gt;0)*(Y428:BF428&lt;&gt;""),0),0)+1 &lt;= 12,
        "No",
        "Yes"
    ),
    "No"
)</f>
        <v>Yes</v>
      </c>
      <c r="W428" s="6" t="str" cm="1">
        <f t="array" ref="W428">IFERROR(
    IF(
        MATCH(2,1/((Y428:BF428&lt;&gt;0)*(Y428:BF428&lt;&gt;"")))-MATCH(1,INDEX((Y428:BF428&lt;&gt;0)*(Y428:BF428&lt;&gt;""),0),0)+1 &lt;= 24,
        "No",
        "Yes"
    ),
    "No"
)</f>
        <v>Yes</v>
      </c>
      <c r="Y428" s="8">
        <v>134.44</v>
      </c>
      <c r="Z428" s="8">
        <v>134.44</v>
      </c>
      <c r="AA428" s="8">
        <v>134.44</v>
      </c>
      <c r="AB428" s="8">
        <v>144.44</v>
      </c>
      <c r="AC428" s="8">
        <v>144.4478</v>
      </c>
      <c r="AD428" s="8">
        <v>169.4478</v>
      </c>
      <c r="AE428" s="8">
        <v>169.4478</v>
      </c>
      <c r="AF428" s="8">
        <v>169.4478</v>
      </c>
      <c r="AG428" s="8">
        <v>143.9478</v>
      </c>
      <c r="AH428" s="8">
        <v>131.4478</v>
      </c>
      <c r="AI428" s="8">
        <v>131.4478</v>
      </c>
      <c r="AJ428" s="8">
        <v>131.4478</v>
      </c>
      <c r="AK428" s="8">
        <v>131.4478</v>
      </c>
      <c r="AL428" s="8">
        <v>131.4478</v>
      </c>
      <c r="AM428" s="8">
        <v>131.4478</v>
      </c>
      <c r="AN428" s="8">
        <v>131.4478</v>
      </c>
      <c r="AO428" s="8">
        <v>135.4478</v>
      </c>
      <c r="AP428" s="8">
        <v>135.4478</v>
      </c>
      <c r="AQ428" s="8">
        <v>135.4478</v>
      </c>
      <c r="AR428" s="8">
        <v>135.4478</v>
      </c>
      <c r="AS428" s="8">
        <v>135.4478</v>
      </c>
      <c r="AT428" s="8">
        <v>172.9478</v>
      </c>
      <c r="AU428" s="8">
        <v>135.4478</v>
      </c>
      <c r="AV428" s="8">
        <v>135.4478</v>
      </c>
      <c r="AW428" s="8">
        <v>157.131608</v>
      </c>
      <c r="AX428" s="8">
        <v>165.131608</v>
      </c>
      <c r="AY428" s="8">
        <v>165.131608</v>
      </c>
      <c r="AZ428" s="8">
        <v>165.13160799999997</v>
      </c>
      <c r="BA428" s="8">
        <v>156.72</v>
      </c>
      <c r="BB428" s="8">
        <v>156.73160799999999</v>
      </c>
      <c r="BC428" s="8">
        <v>156.73160799999999</v>
      </c>
      <c r="BD428" s="8">
        <v>156.73160799999999</v>
      </c>
      <c r="BE428" s="8">
        <v>156.73160799999999</v>
      </c>
      <c r="BF428" s="8">
        <v>28.8</v>
      </c>
      <c r="BH428" s="8">
        <f t="shared" si="83"/>
        <v>1738.8423999999995</v>
      </c>
      <c r="BI428" s="8">
        <f t="shared" si="84"/>
        <v>1646.8735999999997</v>
      </c>
      <c r="BJ428" s="8">
        <f t="shared" si="85"/>
        <v>1464.9728640000001</v>
      </c>
    </row>
    <row r="429" spans="1:62" x14ac:dyDescent="0.25">
      <c r="A429" s="9" t="s">
        <v>243</v>
      </c>
      <c r="B429" s="9" t="s">
        <v>644</v>
      </c>
      <c r="C429" s="10">
        <f>VLOOKUP(A429,'[2]Revenue_Engine_2025 Oct.25'!$C$14:G$3937,5,0)</f>
        <v>45258</v>
      </c>
      <c r="D429" s="6" cm="1">
        <f t="array" ref="D429">_xlfn.LET(
  _xlpm.aralık, Y429:BF429,
  _xlpm.ilk, MATCH(TRUE, _xlpm.aralık&lt;&gt;0, 0),
  _xlpm.son, MIN(_xlpm.ilk+2, COLUMNS(_xlpm.aralık)),
  MAX(INDEX(_xlpm.aralık, _xlpm.ilk):INDEX(_xlpm.aralık, _xlpm.son))
)</f>
        <v>35</v>
      </c>
      <c r="E429" s="6">
        <f t="shared" si="78"/>
        <v>42</v>
      </c>
      <c r="F429" s="6">
        <f t="shared" si="79"/>
        <v>0</v>
      </c>
      <c r="G429" s="6">
        <f t="shared" si="86"/>
        <v>28</v>
      </c>
      <c r="H429" s="7">
        <f t="shared" si="80"/>
        <v>0.2</v>
      </c>
      <c r="I429" s="7">
        <f t="shared" si="81"/>
        <v>-1</v>
      </c>
      <c r="J429" s="7">
        <f t="shared" si="82"/>
        <v>-1</v>
      </c>
      <c r="K429" s="7">
        <f t="shared" si="87"/>
        <v>-0.2</v>
      </c>
      <c r="L429" s="5" t="s">
        <v>414</v>
      </c>
      <c r="M429" s="7">
        <f>IF(R429="",(VLOOKUP(A429,[1]Export!$B$2:$H$680,7,0)),"CHURN")</f>
        <v>0</v>
      </c>
      <c r="N429" s="5">
        <f t="shared" si="88"/>
        <v>28</v>
      </c>
      <c r="O429" s="5">
        <f t="shared" si="89"/>
        <v>42</v>
      </c>
      <c r="P429" s="5">
        <f t="shared" si="90"/>
        <v>0</v>
      </c>
      <c r="Q429" s="5" t="s">
        <v>430</v>
      </c>
      <c r="T429" s="6" t="str" cm="1">
        <f t="array" ref="T429">IF(R429&lt;&gt;"Churn","",
 _xlfn.LET(
   _xlpm.rng,Y429:BF429,
   _xlpm.pos,MAX(IF((_xlpm.rng&lt;&gt;0)*(_xlpm.rng&lt;&gt;""),COLUMN(_xlpm.rng)-COLUMN(Y429)+1)),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29" s="6" t="str" cm="1">
        <f t="array" ref="U429">IF(R429="Churn",
   MAX(IF((Y429:BF429&lt;&gt;"")*(Y429:BF429&lt;&gt;0), COLUMN(Y429:BF429)-COLUMN(Y429)+1))
   -MATCH(1, --((Y429:BF429&lt;&gt;"")*(Y429:BF429&lt;&gt;0)), 0)
   +1,
"")</f>
        <v/>
      </c>
      <c r="V429" s="6" t="str" cm="1">
        <f t="array" ref="V429">IFERROR(
    IF(
        MATCH(2,1/((Y429:BF429&lt;&gt;0)*(Y429:BF429&lt;&gt;"")))-MATCH(1,INDEX((Y429:BF429&lt;&gt;0)*(Y429:BF429&lt;&gt;""),0),0)+1 &lt;= 12,
        "No",
        "Yes"
    ),
    "No"
)</f>
        <v>Yes</v>
      </c>
      <c r="W429" s="6" t="str" cm="1">
        <f t="array" ref="W429">IFERROR(
    IF(
        MATCH(2,1/((Y429:BF429&lt;&gt;0)*(Y429:BF429&lt;&gt;"")))-MATCH(1,INDEX((Y429:BF429&lt;&gt;0)*(Y429:BF429&lt;&gt;""),0),0)+1 &lt;= 24,
        "No",
        "Yes"
    ),
    "No"
)</f>
        <v>No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35</v>
      </c>
      <c r="AJ429" s="8">
        <v>35</v>
      </c>
      <c r="AK429" s="8">
        <v>35</v>
      </c>
      <c r="AL429" s="8">
        <v>35</v>
      </c>
      <c r="AM429" s="8">
        <v>35</v>
      </c>
      <c r="AN429" s="8">
        <v>35</v>
      </c>
      <c r="AO429" s="8">
        <v>35</v>
      </c>
      <c r="AP429" s="8">
        <v>35</v>
      </c>
      <c r="AQ429" s="8">
        <v>35</v>
      </c>
      <c r="AR429" s="8">
        <v>35</v>
      </c>
      <c r="AS429" s="8">
        <v>35</v>
      </c>
      <c r="AT429" s="8">
        <v>42</v>
      </c>
      <c r="AU429" s="8">
        <v>42</v>
      </c>
      <c r="AV429" s="8">
        <v>56</v>
      </c>
      <c r="AW429" s="8">
        <v>56</v>
      </c>
      <c r="AX429" s="8">
        <v>56</v>
      </c>
      <c r="AY429" s="8">
        <v>56</v>
      </c>
      <c r="AZ429" s="8">
        <v>42</v>
      </c>
      <c r="BA429" s="8">
        <v>42</v>
      </c>
      <c r="BB429" s="8">
        <v>28</v>
      </c>
      <c r="BC429" s="8">
        <v>28</v>
      </c>
      <c r="BD429" s="8">
        <v>28</v>
      </c>
      <c r="BE429" s="8">
        <v>28</v>
      </c>
      <c r="BF429" s="8">
        <v>28</v>
      </c>
      <c r="BH429" s="8">
        <f t="shared" si="83"/>
        <v>70</v>
      </c>
      <c r="BI429" s="8">
        <f t="shared" si="84"/>
        <v>455</v>
      </c>
      <c r="BJ429" s="8">
        <f t="shared" si="85"/>
        <v>392</v>
      </c>
    </row>
    <row r="430" spans="1:62" x14ac:dyDescent="0.25">
      <c r="A430" s="9" t="s">
        <v>175</v>
      </c>
      <c r="B430" s="9" t="s">
        <v>644</v>
      </c>
      <c r="C430" s="10">
        <v>44927</v>
      </c>
      <c r="D430" s="6" cm="1">
        <f t="array" ref="D430">_xlfn.LET(
  _xlpm.aralık, Y430:BF430,
  _xlpm.ilk, MATCH(TRUE, _xlpm.aralık&lt;&gt;0, 0),
  _xlpm.son, MIN(_xlpm.ilk+2, COLUMNS(_xlpm.aralık)),
  MAX(INDEX(_xlpm.aralık, _xlpm.ilk):INDEX(_xlpm.aralık, _xlpm.son))
)</f>
        <v>22.323333333333334</v>
      </c>
      <c r="E430" s="6">
        <f t="shared" si="78"/>
        <v>22.323333333333331</v>
      </c>
      <c r="F430" s="6">
        <f t="shared" si="79"/>
        <v>23.973333333333329</v>
      </c>
      <c r="G430" s="6">
        <f t="shared" si="86"/>
        <v>27.234466666666666</v>
      </c>
      <c r="H430" s="7">
        <f t="shared" si="80"/>
        <v>-1.5914799218159626E-16</v>
      </c>
      <c r="I430" s="7">
        <f t="shared" si="81"/>
        <v>7.3913692698222858E-2</v>
      </c>
      <c r="J430" s="7">
        <f t="shared" si="82"/>
        <v>7.3913692698223024E-2</v>
      </c>
      <c r="K430" s="7">
        <f t="shared" si="87"/>
        <v>0.21999999999999995</v>
      </c>
      <c r="L430" s="5" t="s">
        <v>412</v>
      </c>
      <c r="M430" s="7">
        <f>IF(R430="",(VLOOKUP(A430,[1]Export!$B$2:$H$680,7,0)),"CHURN")</f>
        <v>1</v>
      </c>
      <c r="N430" s="5">
        <f t="shared" si="88"/>
        <v>0</v>
      </c>
      <c r="O430" s="5">
        <f t="shared" si="89"/>
        <v>0</v>
      </c>
      <c r="P430" s="5">
        <f t="shared" si="90"/>
        <v>0</v>
      </c>
      <c r="Q430" s="5" t="s">
        <v>430</v>
      </c>
      <c r="T430" s="6" t="str" cm="1">
        <f t="array" ref="T430">IF(R430&lt;&gt;"Churn","",
 _xlfn.LET(
   _xlpm.rng,Y430:BF430,
   _xlpm.pos,MAX(IF((_xlpm.rng&lt;&gt;0)*(_xlpm.rng&lt;&gt;""),COLUMN(_xlpm.rng)-COLUMN(Y430)+1)),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0" s="6" t="str" cm="1">
        <f t="array" ref="U430">IF(R430="Churn",
   MAX(IF((Y430:BF430&lt;&gt;"")*(Y430:BF430&lt;&gt;0), COLUMN(Y430:BF430)-COLUMN(Y430)+1))
   -MATCH(1, --((Y430:BF430&lt;&gt;"")*(Y430:BF430&lt;&gt;0)), 0)
   +1,
"")</f>
        <v/>
      </c>
      <c r="V430" s="6" t="str" cm="1">
        <f t="array" ref="V430">IFERROR(
    IF(
        MATCH(2,1/((Y430:BF430&lt;&gt;0)*(Y430:BF430&lt;&gt;"")))-MATCH(1,INDEX((Y430:BF430&lt;&gt;0)*(Y430:BF430&lt;&gt;""),0),0)+1 &lt;= 12,
        "No",
        "Yes"
    ),
    "No"
)</f>
        <v>Yes</v>
      </c>
      <c r="W430" s="6" t="str" cm="1">
        <f t="array" ref="W430">IFERROR(
    IF(
        MATCH(2,1/((Y430:BF430&lt;&gt;0)*(Y430:BF430&lt;&gt;"")))-MATCH(1,INDEX((Y430:BF430&lt;&gt;0)*(Y430:BF430&lt;&gt;""),0),0)+1 &lt;= 24,
        "No",
        "Yes"
    ),
    "No"
)</f>
        <v>Yes</v>
      </c>
      <c r="Y430" s="8">
        <v>22.323333333333334</v>
      </c>
      <c r="Z430" s="8">
        <v>22.323333333333334</v>
      </c>
      <c r="AA430" s="8">
        <v>22.323333333333334</v>
      </c>
      <c r="AB430" s="8">
        <v>22.323333333333334</v>
      </c>
      <c r="AC430" s="8">
        <v>22.323333333333331</v>
      </c>
      <c r="AD430" s="8">
        <v>22.323333333333331</v>
      </c>
      <c r="AE430" s="8">
        <v>22.323333333333331</v>
      </c>
      <c r="AF430" s="8">
        <v>22.323333333333331</v>
      </c>
      <c r="AG430" s="8">
        <v>22.323333333333331</v>
      </c>
      <c r="AH430" s="8">
        <v>22.323333333333331</v>
      </c>
      <c r="AI430" s="8">
        <v>22.323333333333331</v>
      </c>
      <c r="AJ430" s="8">
        <v>22.323333333333331</v>
      </c>
      <c r="AK430" s="8">
        <v>22.323333333333331</v>
      </c>
      <c r="AL430" s="8">
        <v>22.323333333333331</v>
      </c>
      <c r="AM430" s="8">
        <v>23.973333333333329</v>
      </c>
      <c r="AN430" s="8">
        <v>23.973333333333329</v>
      </c>
      <c r="AO430" s="8">
        <v>23.973333333333329</v>
      </c>
      <c r="AP430" s="8">
        <v>23.973333333333329</v>
      </c>
      <c r="AQ430" s="8">
        <v>23.973333333333329</v>
      </c>
      <c r="AR430" s="8">
        <v>23.973333333333329</v>
      </c>
      <c r="AS430" s="8">
        <v>23.973333333333329</v>
      </c>
      <c r="AT430" s="8">
        <v>23.973333333333329</v>
      </c>
      <c r="AU430" s="8">
        <v>23.973333333333329</v>
      </c>
      <c r="AV430" s="8">
        <v>23.973333333333329</v>
      </c>
      <c r="AW430" s="8">
        <v>23.973333333333329</v>
      </c>
      <c r="AX430" s="8">
        <v>28.884466666666665</v>
      </c>
      <c r="AY430" s="8">
        <v>28.884466666666665</v>
      </c>
      <c r="AZ430" s="8">
        <v>28.884466666666665</v>
      </c>
      <c r="BA430" s="8">
        <v>27.234466666666666</v>
      </c>
      <c r="BB430" s="8">
        <v>27.234466666666666</v>
      </c>
      <c r="BC430" s="8">
        <v>27.234466666666666</v>
      </c>
      <c r="BD430" s="8">
        <v>27.234466666666666</v>
      </c>
      <c r="BE430" s="8">
        <v>27.234466666666666</v>
      </c>
      <c r="BF430" s="8">
        <v>27.234466666666666</v>
      </c>
      <c r="BH430" s="8">
        <f t="shared" si="83"/>
        <v>267.87999999999994</v>
      </c>
      <c r="BI430" s="8">
        <f t="shared" si="84"/>
        <v>284.38</v>
      </c>
      <c r="BJ430" s="8">
        <f t="shared" si="85"/>
        <v>274.03353333333331</v>
      </c>
    </row>
    <row r="431" spans="1:62" x14ac:dyDescent="0.25">
      <c r="A431" s="9" t="s">
        <v>256</v>
      </c>
      <c r="B431" s="9" t="s">
        <v>644</v>
      </c>
      <c r="C431" s="10">
        <f>VLOOKUP(A431,'[2]Revenue_Engine_2025 Oct.25'!$C$14:G$3937,5,0)</f>
        <v>45287</v>
      </c>
      <c r="D431" s="6" cm="1">
        <f t="array" ref="D431">_xlfn.LET(
  _xlpm.aralık, Y431:BF431,
  _xlpm.ilk, MATCH(TRUE, _xlpm.aralık&lt;&gt;0, 0),
  _xlpm.son, MIN(_xlpm.ilk+2, COLUMNS(_xlpm.aralık)),
  MAX(INDEX(_xlpm.aralık, _xlpm.ilk):INDEX(_xlpm.aralık, _xlpm.son))
)</f>
        <v>24</v>
      </c>
      <c r="E431" s="6">
        <f t="shared" si="78"/>
        <v>24</v>
      </c>
      <c r="F431" s="6">
        <f t="shared" si="79"/>
        <v>0</v>
      </c>
      <c r="G431" s="6">
        <f t="shared" si="86"/>
        <v>24</v>
      </c>
      <c r="H431" s="7">
        <f t="shared" si="80"/>
        <v>0</v>
      </c>
      <c r="I431" s="7">
        <f t="shared" si="81"/>
        <v>-1</v>
      </c>
      <c r="J431" s="7">
        <f t="shared" si="82"/>
        <v>-1</v>
      </c>
      <c r="K431" s="7">
        <f t="shared" si="87"/>
        <v>0</v>
      </c>
      <c r="L431" s="5" t="s">
        <v>419</v>
      </c>
      <c r="M431" s="7">
        <f>IF(R431="",(VLOOKUP(A431,[1]Export!$B$2:$H$680,7,0)),"CHURN")</f>
        <v>0</v>
      </c>
      <c r="N431" s="5">
        <f t="shared" si="88"/>
        <v>24</v>
      </c>
      <c r="O431" s="5">
        <f t="shared" si="89"/>
        <v>24</v>
      </c>
      <c r="P431" s="5">
        <f t="shared" si="90"/>
        <v>0</v>
      </c>
      <c r="Q431" s="5" t="s">
        <v>430</v>
      </c>
      <c r="T431" s="6" t="str" cm="1">
        <f t="array" ref="T431">IF(R431&lt;&gt;"Churn","",
 _xlfn.LET(
   _xlpm.rng,Y431:BF431,
   _xlpm.pos,MAX(IF((_xlpm.rng&lt;&gt;0)*(_xlpm.rng&lt;&gt;""),COLUMN(_xlpm.rng)-COLUMN(Y431)+1)),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1" s="6" t="str" cm="1">
        <f t="array" ref="U431">IF(R431="Churn",
   MAX(IF((Y431:BF431&lt;&gt;"")*(Y431:BF431&lt;&gt;0), COLUMN(Y431:BF431)-COLUMN(Y431)+1))
   -MATCH(1, --((Y431:BF431&lt;&gt;"")*(Y431:BF431&lt;&gt;0)), 0)
   +1,
"")</f>
        <v/>
      </c>
      <c r="V431" s="6" t="str" cm="1">
        <f t="array" ref="V431">IFERROR(
    IF(
        MATCH(2,1/((Y431:BF431&lt;&gt;0)*(Y431:BF431&lt;&gt;"")))-MATCH(1,INDEX((Y431:BF431&lt;&gt;0)*(Y431:BF431&lt;&gt;""),0),0)+1 &lt;= 12,
        "No",
        "Yes"
    ),
    "No"
)</f>
        <v>Yes</v>
      </c>
      <c r="W431" s="6" t="str" cm="1">
        <f t="array" ref="W431">IFERROR(
    IF(
        MATCH(2,1/((Y431:BF431&lt;&gt;0)*(Y431:BF431&lt;&gt;"")))-MATCH(1,INDEX((Y431:BF431&lt;&gt;0)*(Y431:BF431&lt;&gt;""),0),0)+1 &lt;= 24,
        "No",
        "Yes"
    ),
    "No"
)</f>
        <v>No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24</v>
      </c>
      <c r="AK431" s="8">
        <v>24</v>
      </c>
      <c r="AL431" s="8">
        <v>24</v>
      </c>
      <c r="AM431" s="8">
        <v>24</v>
      </c>
      <c r="AN431" s="8">
        <v>24</v>
      </c>
      <c r="AO431" s="8">
        <v>24</v>
      </c>
      <c r="AP431" s="8">
        <v>24</v>
      </c>
      <c r="AQ431" s="8">
        <v>24</v>
      </c>
      <c r="AR431" s="8">
        <v>24</v>
      </c>
      <c r="AS431" s="8">
        <v>24</v>
      </c>
      <c r="AT431" s="8">
        <v>24</v>
      </c>
      <c r="AU431" s="8">
        <v>24</v>
      </c>
      <c r="AV431" s="8">
        <v>24</v>
      </c>
      <c r="AW431" s="8">
        <v>24</v>
      </c>
      <c r="AX431" s="8">
        <v>24</v>
      </c>
      <c r="AY431" s="8">
        <v>24</v>
      </c>
      <c r="AZ431" s="8">
        <v>24</v>
      </c>
      <c r="BA431" s="8">
        <v>24</v>
      </c>
      <c r="BB431" s="8">
        <v>24</v>
      </c>
      <c r="BC431" s="8">
        <v>24</v>
      </c>
      <c r="BD431" s="8">
        <v>24</v>
      </c>
      <c r="BE431" s="8">
        <v>24</v>
      </c>
      <c r="BF431" s="8">
        <v>24</v>
      </c>
      <c r="BH431" s="8">
        <f t="shared" si="83"/>
        <v>24</v>
      </c>
      <c r="BI431" s="8">
        <f t="shared" si="84"/>
        <v>288</v>
      </c>
      <c r="BJ431" s="8">
        <f t="shared" si="85"/>
        <v>240</v>
      </c>
    </row>
    <row r="432" spans="1:62" x14ac:dyDescent="0.25">
      <c r="A432" s="9" t="s">
        <v>226</v>
      </c>
      <c r="B432" s="9" t="s">
        <v>644</v>
      </c>
      <c r="C432" s="10">
        <f>VLOOKUP(A432,'[2]Revenue_Engine_2025 Oct.25'!$C$14:G$3937,5,0)</f>
        <v>45155</v>
      </c>
      <c r="D432" s="6" cm="1">
        <f t="array" ref="D432">_xlfn.LET(
  _xlpm.aralık, Y432:BF432,
  _xlpm.ilk, MATCH(TRUE, _xlpm.aralık&lt;&gt;0, 0),
  _xlpm.son, MIN(_xlpm.ilk+2, COLUMNS(_xlpm.aralık)),
  MAX(INDEX(_xlpm.aralık, _xlpm.ilk):INDEX(_xlpm.aralık, _xlpm.son))
)</f>
        <v>16</v>
      </c>
      <c r="E432" s="6">
        <f t="shared" si="78"/>
        <v>16</v>
      </c>
      <c r="F432" s="6">
        <f t="shared" si="79"/>
        <v>16</v>
      </c>
      <c r="G432" s="6">
        <f t="shared" si="86"/>
        <v>16</v>
      </c>
      <c r="H432" s="7">
        <f t="shared" si="80"/>
        <v>0</v>
      </c>
      <c r="I432" s="7">
        <f t="shared" si="81"/>
        <v>0</v>
      </c>
      <c r="J432" s="7">
        <f t="shared" si="82"/>
        <v>0</v>
      </c>
      <c r="K432" s="7">
        <f t="shared" si="87"/>
        <v>0</v>
      </c>
      <c r="L432" s="5" t="s">
        <v>416</v>
      </c>
      <c r="M432" s="11">
        <v>0.05</v>
      </c>
      <c r="N432" s="5">
        <f t="shared" si="88"/>
        <v>15.2</v>
      </c>
      <c r="O432" s="5">
        <f t="shared" si="89"/>
        <v>15.2</v>
      </c>
      <c r="P432" s="5">
        <f t="shared" si="90"/>
        <v>15.2</v>
      </c>
      <c r="Q432" s="5" t="s">
        <v>697</v>
      </c>
      <c r="T432" s="6" t="str" cm="1">
        <f t="array" ref="T432">IF(R432&lt;&gt;"Churn","",
 _xlfn.LET(
   _xlpm.rng,Y432:BF432,
   _xlpm.pos,MAX(IF((_xlpm.rng&lt;&gt;0)*(_xlpm.rng&lt;&gt;""),COLUMN(_xlpm.rng)-COLUMN(Y432)+1)),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2" s="6" t="str" cm="1">
        <f t="array" ref="U432">IF(R432="Churn",
   MAX(IF((Y432:BF432&lt;&gt;"")*(Y432:BF432&lt;&gt;0), COLUMN(Y432:BF432)-COLUMN(Y432)+1))
   -MATCH(1, --((Y432:BF432&lt;&gt;"")*(Y432:BF432&lt;&gt;0)), 0)
   +1,
"")</f>
        <v/>
      </c>
      <c r="V432" s="6" t="str" cm="1">
        <f t="array" ref="V432">IFERROR(
    IF(
        MATCH(2,1/((Y432:BF432&lt;&gt;0)*(Y432:BF432&lt;&gt;"")))-MATCH(1,INDEX((Y432:BF432&lt;&gt;0)*(Y432:BF432&lt;&gt;""),0),0)+1 &lt;= 12,
        "No",
        "Yes"
    ),
    "No"
)</f>
        <v>Yes</v>
      </c>
      <c r="W432" s="6" t="str" cm="1">
        <f t="array" ref="W432">IFERROR(
    IF(
        MATCH(2,1/((Y432:BF432&lt;&gt;0)*(Y432:BF432&lt;&gt;"")))-MATCH(1,INDEX((Y432:BF432&lt;&gt;0)*(Y432:BF432&lt;&gt;""),0),0)+1 &lt;= 24,
        "No",
        "Yes"
    ),
    "No"
)</f>
        <v>Yes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16</v>
      </c>
      <c r="AG432" s="8">
        <v>16</v>
      </c>
      <c r="AH432" s="8">
        <v>16</v>
      </c>
      <c r="AI432" s="8">
        <v>16</v>
      </c>
      <c r="AJ432" s="8">
        <v>16</v>
      </c>
      <c r="AK432" s="8">
        <v>16</v>
      </c>
      <c r="AL432" s="8">
        <v>16</v>
      </c>
      <c r="AM432" s="8">
        <v>16</v>
      </c>
      <c r="AN432" s="8">
        <v>16</v>
      </c>
      <c r="AO432" s="8">
        <v>16</v>
      </c>
      <c r="AP432" s="8">
        <v>16</v>
      </c>
      <c r="AQ432" s="8">
        <v>16</v>
      </c>
      <c r="AR432" s="8">
        <v>16</v>
      </c>
      <c r="AS432" s="8">
        <v>16</v>
      </c>
      <c r="AT432" s="8">
        <v>16</v>
      </c>
      <c r="AU432" s="8">
        <v>16</v>
      </c>
      <c r="AV432" s="8">
        <v>16</v>
      </c>
      <c r="AW432" s="8">
        <v>16</v>
      </c>
      <c r="AX432" s="8">
        <v>16</v>
      </c>
      <c r="AY432" s="8">
        <v>16</v>
      </c>
      <c r="AZ432" s="8">
        <v>16</v>
      </c>
      <c r="BA432" s="8">
        <v>16</v>
      </c>
      <c r="BB432" s="8">
        <v>16</v>
      </c>
      <c r="BC432" s="8">
        <v>16</v>
      </c>
      <c r="BD432" s="8">
        <v>16</v>
      </c>
      <c r="BE432" s="8">
        <v>16</v>
      </c>
      <c r="BF432" s="8">
        <v>16</v>
      </c>
      <c r="BH432" s="8">
        <f t="shared" si="83"/>
        <v>80</v>
      </c>
      <c r="BI432" s="8">
        <f t="shared" si="84"/>
        <v>192</v>
      </c>
      <c r="BJ432" s="8">
        <f t="shared" si="85"/>
        <v>160</v>
      </c>
    </row>
    <row r="433" spans="1:62" x14ac:dyDescent="0.25">
      <c r="A433" s="9" t="s">
        <v>236</v>
      </c>
      <c r="B433" s="9" t="s">
        <v>644</v>
      </c>
      <c r="C433" s="10">
        <f>VLOOKUP(A433,'[2]Revenue_Engine_2025 Oct.25'!$C$14:G$3937,5,0)</f>
        <v>45211</v>
      </c>
      <c r="D433" s="6" cm="1">
        <f t="array" ref="D433">_xlfn.LET(
  _xlpm.aralık, Y433:BF433,
  _xlpm.ilk, MATCH(TRUE, _xlpm.aralık&lt;&gt;0, 0),
  _xlpm.son, MIN(_xlpm.ilk+2, COLUMNS(_xlpm.aralık)),
  MAX(INDEX(_xlpm.aralık, _xlpm.ilk):INDEX(_xlpm.aralık, _xlpm.son))
)</f>
        <v>130.00065441666666</v>
      </c>
      <c r="E433" s="6">
        <f t="shared" si="78"/>
        <v>88.050936913788718</v>
      </c>
      <c r="F433" s="6">
        <f t="shared" si="79"/>
        <v>272</v>
      </c>
      <c r="G433" s="6">
        <f t="shared" si="86"/>
        <v>272</v>
      </c>
      <c r="H433" s="7">
        <f t="shared" si="80"/>
        <v>-0.3226885102318362</v>
      </c>
      <c r="I433" s="7">
        <f t="shared" si="81"/>
        <v>1.0922971597374389</v>
      </c>
      <c r="J433" s="7">
        <f t="shared" si="82"/>
        <v>2.0891210194198964</v>
      </c>
      <c r="K433" s="7">
        <f t="shared" si="87"/>
        <v>1.0922971597374389</v>
      </c>
      <c r="L433" s="5" t="s">
        <v>422</v>
      </c>
      <c r="M433" s="7">
        <f>IF(R433="",(VLOOKUP(A433,[1]Export!$B$2:$H$680,7,0)),"CHURN")</f>
        <v>0.20601983583592157</v>
      </c>
      <c r="N433" s="5">
        <f t="shared" si="88"/>
        <v>215.96260465262935</v>
      </c>
      <c r="O433" s="5">
        <f t="shared" si="89"/>
        <v>69.910697345610885</v>
      </c>
      <c r="P433" s="5">
        <f t="shared" si="90"/>
        <v>215.96260465262935</v>
      </c>
      <c r="Q433" s="5" t="s">
        <v>430</v>
      </c>
      <c r="T433" s="6" t="str" cm="1">
        <f t="array" ref="T433">IF(R433&lt;&gt;"Churn","",
 _xlfn.LET(
   _xlpm.rng,Y433:BF433,
   _xlpm.pos,MAX(IF((_xlpm.rng&lt;&gt;0)*(_xlpm.rng&lt;&gt;""),COLUMN(_xlpm.rng)-COLUMN(Y433)+1)),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3" s="6" t="str" cm="1">
        <f t="array" ref="U433">IF(R433="Churn",
   MAX(IF((Y433:BF433&lt;&gt;"")*(Y433:BF433&lt;&gt;0), COLUMN(Y433:BF433)-COLUMN(Y433)+1))
   -MATCH(1, --((Y433:BF433&lt;&gt;"")*(Y433:BF433&lt;&gt;0)), 0)
   +1,
"")</f>
        <v/>
      </c>
      <c r="V433" s="6" t="str" cm="1">
        <f t="array" ref="V433">IFERROR(
    IF(
        MATCH(2,1/((Y433:BF433&lt;&gt;0)*(Y433:BF433&lt;&gt;"")))-MATCH(1,INDEX((Y433:BF433&lt;&gt;0)*(Y433:BF433&lt;&gt;""),0),0)+1 &lt;= 12,
        "No",
        "Yes"
    ),
    "No"
)</f>
        <v>Yes</v>
      </c>
      <c r="W433" s="6" t="str" cm="1">
        <f t="array" ref="W433">IFERROR(
    IF(
        MATCH(2,1/((Y433:BF433&lt;&gt;0)*(Y433:BF433&lt;&gt;"")))-MATCH(1,INDEX((Y433:BF433&lt;&gt;0)*(Y433:BF433&lt;&gt;""),0),0)+1 &lt;= 24,
        "No",
        "Yes"
    ),
    "No"
)</f>
        <v>Yes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130.00065441666666</v>
      </c>
      <c r="AI433" s="8">
        <v>63.836300545915861</v>
      </c>
      <c r="AJ433" s="8">
        <v>101.50187358146808</v>
      </c>
      <c r="AK433" s="8">
        <v>98.650075522908608</v>
      </c>
      <c r="AL433" s="8">
        <v>96.659135332712182</v>
      </c>
      <c r="AM433" s="8">
        <v>93.417929269194374</v>
      </c>
      <c r="AN433" s="8">
        <v>92.60701535082957</v>
      </c>
      <c r="AO433" s="8">
        <v>92.724198182806546</v>
      </c>
      <c r="AP433" s="8">
        <v>92.040710066097077</v>
      </c>
      <c r="AQ433" s="8">
        <v>91.113543027103702</v>
      </c>
      <c r="AR433" s="8">
        <v>89.410405235533474</v>
      </c>
      <c r="AS433" s="8">
        <v>88.524136174372913</v>
      </c>
      <c r="AT433" s="8">
        <v>88.050936913788718</v>
      </c>
      <c r="AU433" s="8">
        <v>87.631728370988441</v>
      </c>
      <c r="AV433" s="8">
        <v>86.455738508085304</v>
      </c>
      <c r="AW433" s="8">
        <v>85.333345091288763</v>
      </c>
      <c r="AX433" s="8">
        <v>84.040610818647792</v>
      </c>
      <c r="AY433" s="8">
        <v>82.243290472728063</v>
      </c>
      <c r="AZ433" s="8">
        <v>80.366873798054783</v>
      </c>
      <c r="BA433" s="8">
        <v>79.220747088677015</v>
      </c>
      <c r="BB433" s="8">
        <v>78.079465559372537</v>
      </c>
      <c r="BC433" s="8">
        <v>76.808415048979512</v>
      </c>
      <c r="BD433" s="8">
        <v>75.810324464219065</v>
      </c>
      <c r="BE433" s="8">
        <v>75.037937299573542</v>
      </c>
      <c r="BF433" s="8">
        <v>272</v>
      </c>
      <c r="BH433" s="8">
        <f t="shared" si="83"/>
        <v>295.33882854405061</v>
      </c>
      <c r="BI433" s="8">
        <f t="shared" si="84"/>
        <v>1097.285551954421</v>
      </c>
      <c r="BJ433" s="8">
        <f t="shared" si="85"/>
        <v>988.94100964154109</v>
      </c>
    </row>
    <row r="434" spans="1:62" x14ac:dyDescent="0.25">
      <c r="A434" s="9" t="s">
        <v>72</v>
      </c>
      <c r="B434" s="9" t="s">
        <v>644</v>
      </c>
      <c r="C434" s="10">
        <v>44927</v>
      </c>
      <c r="D434" s="6" cm="1">
        <f t="array" ref="D434">_xlfn.LET(
  _xlpm.aralık, Y434:BF434,
  _xlpm.ilk, MATCH(TRUE, _xlpm.aralık&lt;&gt;0, 0),
  _xlpm.son, MIN(_xlpm.ilk+2, COLUMNS(_xlpm.aralık)),
  MAX(INDEX(_xlpm.aralık, _xlpm.ilk):INDEX(_xlpm.aralık, _xlpm.son))
)</f>
        <v>1316.5843980678264</v>
      </c>
      <c r="E434" s="6">
        <f t="shared" si="78"/>
        <v>1101.4072678885582</v>
      </c>
      <c r="F434" s="6">
        <f t="shared" si="79"/>
        <v>345.77333124999996</v>
      </c>
      <c r="G434" s="6">
        <f t="shared" si="86"/>
        <v>9.9999979166666666</v>
      </c>
      <c r="H434" s="7">
        <f t="shared" si="80"/>
        <v>-0.16343588036973153</v>
      </c>
      <c r="I434" s="7">
        <f t="shared" si="81"/>
        <v>-0.73737093363900952</v>
      </c>
      <c r="J434" s="7">
        <f t="shared" si="82"/>
        <v>-0.68606223934506871</v>
      </c>
      <c r="K434" s="7">
        <f t="shared" si="87"/>
        <v>-0.99240459029338168</v>
      </c>
      <c r="L434" s="5" t="s">
        <v>421</v>
      </c>
      <c r="M434" s="7">
        <f>IF(R434="",(VLOOKUP(A434,[1]Export!$B$2:$H$680,7,0)),"CHURN")</f>
        <v>0</v>
      </c>
      <c r="N434" s="5">
        <f t="shared" si="88"/>
        <v>9.9999979166666666</v>
      </c>
      <c r="O434" s="5">
        <f t="shared" si="89"/>
        <v>1101.4072678885582</v>
      </c>
      <c r="P434" s="5">
        <f t="shared" si="90"/>
        <v>345.77333124999996</v>
      </c>
      <c r="Q434" s="5" t="s">
        <v>430</v>
      </c>
      <c r="T434" s="6" t="str" cm="1">
        <f t="array" ref="T434">IF(R434&lt;&gt;"Churn","",
 _xlfn.LET(
   _xlpm.rng,Y434:BF434,
   _xlpm.pos,MAX(IF((_xlpm.rng&lt;&gt;0)*(_xlpm.rng&lt;&gt;""),COLUMN(_xlpm.rng)-COLUMN(Y434)+1)),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4" s="6" t="str" cm="1">
        <f t="array" ref="U434">IF(R434="Churn",
   MAX(IF((Y434:BF434&lt;&gt;"")*(Y434:BF434&lt;&gt;0), COLUMN(Y434:BF434)-COLUMN(Y434)+1))
   -MATCH(1, --((Y434:BF434&lt;&gt;"")*(Y434:BF434&lt;&gt;0)), 0)
   +1,
"")</f>
        <v/>
      </c>
      <c r="V434" s="6" t="str" cm="1">
        <f t="array" ref="V434">IFERROR(
    IF(
        MATCH(2,1/((Y434:BF434&lt;&gt;0)*(Y434:BF434&lt;&gt;"")))-MATCH(1,INDEX((Y434:BF434&lt;&gt;0)*(Y434:BF434&lt;&gt;""),0),0)+1 &lt;= 12,
        "No",
        "Yes"
    ),
    "No"
)</f>
        <v>Yes</v>
      </c>
      <c r="W434" s="6" t="str" cm="1">
        <f t="array" ref="W434">IFERROR(
    IF(
        MATCH(2,1/((Y434:BF434&lt;&gt;0)*(Y434:BF434&lt;&gt;"")))-MATCH(1,INDEX((Y434:BF434&lt;&gt;0)*(Y434:BF434&lt;&gt;""),0),0)+1 &lt;= 24,
        "No",
        "Yes"
    ),
    "No"
)</f>
        <v>Yes</v>
      </c>
      <c r="Y434" s="8">
        <v>832.17834821563429</v>
      </c>
      <c r="Z434" s="8">
        <v>937.77922103518449</v>
      </c>
      <c r="AA434" s="8">
        <v>1316.5843980678264</v>
      </c>
      <c r="AB434" s="8">
        <v>1234.8914316718549</v>
      </c>
      <c r="AC434" s="8">
        <v>1218.4424424265212</v>
      </c>
      <c r="AD434" s="8">
        <v>1083.0774579074218</v>
      </c>
      <c r="AE434" s="8">
        <v>1160.204972675733</v>
      </c>
      <c r="AF434" s="8">
        <v>1153.2036530394623</v>
      </c>
      <c r="AG434" s="8">
        <v>1172.5268039258631</v>
      </c>
      <c r="AH434" s="8">
        <v>1147.9543492613875</v>
      </c>
      <c r="AI434" s="8">
        <v>1136.6833656836779</v>
      </c>
      <c r="AJ434" s="8">
        <v>1124.9758779316828</v>
      </c>
      <c r="AK434" s="8">
        <v>1101.4072678885582</v>
      </c>
      <c r="AL434" s="8">
        <v>1032.4531950550745</v>
      </c>
      <c r="AM434" s="8">
        <v>1359.8526536741967</v>
      </c>
      <c r="AN434" s="8">
        <v>1337.3672362251905</v>
      </c>
      <c r="AO434" s="8">
        <v>1339.7935334399508</v>
      </c>
      <c r="AP434" s="8">
        <v>1331.3772095710235</v>
      </c>
      <c r="AQ434" s="8">
        <v>1319.9602765037298</v>
      </c>
      <c r="AR434" s="8">
        <v>1298.9882085235665</v>
      </c>
      <c r="AS434" s="8">
        <v>1174.0890624172173</v>
      </c>
      <c r="AT434" s="8">
        <v>1168.9670393390938</v>
      </c>
      <c r="AU434" s="8">
        <v>1164.4294248294714</v>
      </c>
      <c r="AV434" s="8">
        <v>345.77333124999996</v>
      </c>
      <c r="AW434" s="8">
        <v>345.77333124999996</v>
      </c>
      <c r="AX434" s="8">
        <v>97.983331250000006</v>
      </c>
      <c r="AY434" s="8">
        <v>10.983331249999999</v>
      </c>
      <c r="AZ434" s="8">
        <v>10.983331249999999</v>
      </c>
      <c r="BA434" s="8">
        <v>9.9999979166666666</v>
      </c>
      <c r="BB434" s="8">
        <v>9.9999979166666666</v>
      </c>
      <c r="BC434" s="8">
        <v>9.9999979166666666</v>
      </c>
      <c r="BD434" s="8">
        <v>9.9999979166666666</v>
      </c>
      <c r="BE434" s="8">
        <v>9.9999979166666666</v>
      </c>
      <c r="BF434" s="8">
        <v>9.9999979166666666</v>
      </c>
      <c r="BH434" s="8">
        <f t="shared" si="83"/>
        <v>13518.50232184225</v>
      </c>
      <c r="BI434" s="8">
        <f t="shared" si="84"/>
        <v>13974.458438717073</v>
      </c>
      <c r="BJ434" s="8">
        <f t="shared" si="85"/>
        <v>525.72331249999979</v>
      </c>
    </row>
    <row r="435" spans="1:62" x14ac:dyDescent="0.25">
      <c r="A435" s="9" t="s">
        <v>396</v>
      </c>
      <c r="B435" s="9" t="s">
        <v>644</v>
      </c>
      <c r="C435" s="10">
        <f>VLOOKUP(A435,'[2]Revenue_Engine_2025 Oct.25'!$C$14:G$3937,5,0)</f>
        <v>45169</v>
      </c>
      <c r="D435" s="6" cm="1">
        <f t="array" ref="D435">_xlfn.LET(
  _xlpm.aralık, Y435:BF435,
  _xlpm.ilk, MATCH(TRUE, _xlpm.aralık&lt;&gt;0, 0),
  _xlpm.son, MIN(_xlpm.ilk+2, COLUMNS(_xlpm.aralık)),
  MAX(INDEX(_xlpm.aralık, _xlpm.ilk):INDEX(_xlpm.aralık, _xlpm.son))
)</f>
        <v>35</v>
      </c>
      <c r="E435" s="6">
        <f t="shared" si="78"/>
        <v>35</v>
      </c>
      <c r="F435" s="6">
        <f t="shared" si="79"/>
        <v>8</v>
      </c>
      <c r="G435" s="6">
        <f t="shared" si="86"/>
        <v>8</v>
      </c>
      <c r="H435" s="7">
        <f t="shared" si="80"/>
        <v>0</v>
      </c>
      <c r="I435" s="7">
        <f t="shared" si="81"/>
        <v>-0.77142857142857146</v>
      </c>
      <c r="J435" s="7">
        <f t="shared" si="82"/>
        <v>-0.77142857142857146</v>
      </c>
      <c r="K435" s="7">
        <f t="shared" si="87"/>
        <v>-0.77142857142857146</v>
      </c>
      <c r="L435" s="5" t="s">
        <v>416</v>
      </c>
      <c r="M435" s="7">
        <f>IF(R435="",(VLOOKUP(A435,[1]Export!$B$2:$H$680,7,0)),"CHURN")</f>
        <v>1</v>
      </c>
      <c r="N435" s="5">
        <f t="shared" si="88"/>
        <v>0</v>
      </c>
      <c r="O435" s="5">
        <f t="shared" si="89"/>
        <v>0</v>
      </c>
      <c r="P435" s="5">
        <f t="shared" si="90"/>
        <v>0</v>
      </c>
      <c r="Q435" s="5" t="s">
        <v>430</v>
      </c>
      <c r="T435" s="6" t="str" cm="1">
        <f t="array" ref="T435">IF(R435&lt;&gt;"Churn","",
 _xlfn.LET(
   _xlpm.rng,Y435:BF435,
   _xlpm.pos,MAX(IF((_xlpm.rng&lt;&gt;0)*(_xlpm.rng&lt;&gt;""),COLUMN(_xlpm.rng)-COLUMN(Y435)+1)),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5" s="6" t="str" cm="1">
        <f t="array" ref="U435">IF(R435="Churn",
   MAX(IF((Y435:BF435&lt;&gt;"")*(Y435:BF435&lt;&gt;0), COLUMN(Y435:BF435)-COLUMN(Y435)+1))
   -MATCH(1, --((Y435:BF435&lt;&gt;"")*(Y435:BF435&lt;&gt;0)), 0)
   +1,
"")</f>
        <v/>
      </c>
      <c r="V435" s="6" t="str" cm="1">
        <f t="array" ref="V435">IFERROR(
    IF(
        MATCH(2,1/((Y435:BF435&lt;&gt;0)*(Y435:BF435&lt;&gt;"")))-MATCH(1,INDEX((Y435:BF435&lt;&gt;0)*(Y435:BF435&lt;&gt;""),0),0)+1 &lt;= 12,
        "No",
        "Yes"
    ),
    "No"
)</f>
        <v>Yes</v>
      </c>
      <c r="W435" s="6" t="str" cm="1">
        <f t="array" ref="W435">IFERROR(
    IF(
        MATCH(2,1/((Y435:BF435&lt;&gt;0)*(Y435:BF435&lt;&gt;"")))-MATCH(1,INDEX((Y435:BF435&lt;&gt;0)*(Y435:BF435&lt;&gt;""),0),0)+1 &lt;= 24,
        "No",
        "Yes"
    ),
    "No"
)</f>
        <v>Yes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35</v>
      </c>
      <c r="AG435" s="8">
        <v>35</v>
      </c>
      <c r="AH435" s="8">
        <v>35</v>
      </c>
      <c r="AI435" s="8">
        <v>35</v>
      </c>
      <c r="AJ435" s="8">
        <v>35</v>
      </c>
      <c r="AK435" s="8">
        <v>35</v>
      </c>
      <c r="AL435" s="8">
        <v>35</v>
      </c>
      <c r="AM435" s="8">
        <v>35</v>
      </c>
      <c r="AN435" s="8">
        <v>35</v>
      </c>
      <c r="AO435" s="8">
        <v>35</v>
      </c>
      <c r="AP435" s="8">
        <v>35</v>
      </c>
      <c r="AQ435" s="8">
        <v>35</v>
      </c>
      <c r="AR435" s="8">
        <v>35</v>
      </c>
      <c r="AS435" s="8">
        <v>35</v>
      </c>
      <c r="AT435" s="8">
        <v>8</v>
      </c>
      <c r="AU435" s="8">
        <v>8</v>
      </c>
      <c r="AV435" s="8">
        <v>8</v>
      </c>
      <c r="AW435" s="8">
        <v>8</v>
      </c>
      <c r="AX435" s="8">
        <v>8</v>
      </c>
      <c r="AY435" s="8">
        <v>8</v>
      </c>
      <c r="AZ435" s="8">
        <v>8</v>
      </c>
      <c r="BA435" s="8">
        <v>8</v>
      </c>
      <c r="BB435" s="8">
        <v>8</v>
      </c>
      <c r="BC435" s="8">
        <v>8</v>
      </c>
      <c r="BD435" s="8">
        <v>8</v>
      </c>
      <c r="BE435" s="8">
        <v>8</v>
      </c>
      <c r="BF435" s="8">
        <v>8</v>
      </c>
      <c r="BH435" s="8">
        <f t="shared" si="83"/>
        <v>175</v>
      </c>
      <c r="BI435" s="8">
        <f t="shared" si="84"/>
        <v>339</v>
      </c>
      <c r="BJ435" s="8">
        <f t="shared" si="85"/>
        <v>80</v>
      </c>
    </row>
    <row r="436" spans="1:62" x14ac:dyDescent="0.25">
      <c r="A436" s="9" t="s">
        <v>554</v>
      </c>
      <c r="B436" s="9" t="s">
        <v>644</v>
      </c>
      <c r="C436" s="10">
        <f>VLOOKUP(A436,'[2]Revenue_Engine_2025 Oct.25'!$C$14:G$3937,5,0)</f>
        <v>45483</v>
      </c>
      <c r="D436" s="6" cm="1">
        <f t="array" ref="D436">_xlfn.LET(
  _xlpm.aralık, Y436:BF436,
  _xlpm.ilk, MATCH(TRUE, _xlpm.aralık&lt;&gt;0, 0),
  _xlpm.son, MIN(_xlpm.ilk+2, COLUMNS(_xlpm.aralık)),
  MAX(INDEX(_xlpm.aralık, _xlpm.ilk):INDEX(_xlpm.aralık, _xlpm.son))
)</f>
        <v>171.66666666666666</v>
      </c>
      <c r="E436" s="6">
        <f t="shared" si="78"/>
        <v>6</v>
      </c>
      <c r="F436" s="6">
        <f t="shared" si="79"/>
        <v>0</v>
      </c>
      <c r="G436" s="6">
        <f t="shared" si="86"/>
        <v>6</v>
      </c>
      <c r="H436" s="7">
        <f t="shared" si="80"/>
        <v>-0.96504854368932036</v>
      </c>
      <c r="I436" s="7">
        <f t="shared" si="81"/>
        <v>-1</v>
      </c>
      <c r="J436" s="7">
        <f t="shared" si="82"/>
        <v>-1</v>
      </c>
      <c r="K436" s="7">
        <f t="shared" si="87"/>
        <v>-0.96504854368932036</v>
      </c>
      <c r="L436" s="5" t="s">
        <v>694</v>
      </c>
      <c r="M436" s="7">
        <f>IF(R436="",(VLOOKUP(A436,[1]Export!$B$2:$H$680,7,0)),"CHURN")</f>
        <v>0</v>
      </c>
      <c r="N436" s="5">
        <f t="shared" si="88"/>
        <v>6</v>
      </c>
      <c r="O436" s="5">
        <f t="shared" si="89"/>
        <v>6</v>
      </c>
      <c r="P436" s="5">
        <f t="shared" si="90"/>
        <v>0</v>
      </c>
      <c r="Q436" s="5" t="s">
        <v>430</v>
      </c>
      <c r="T436" s="6" t="str" cm="1">
        <f t="array" ref="T436">IF(R436&lt;&gt;"Churn","",
 _xlfn.LET(
   _xlpm.rng,Y436:BF436,
   _xlpm.pos,MAX(IF((_xlpm.rng&lt;&gt;0)*(_xlpm.rng&lt;&gt;""),COLUMN(_xlpm.rng)-COLUMN(Y436)+1)),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36" s="6" t="str" cm="1">
        <f t="array" ref="U436">IF(R436="Churn",
   MAX(IF((Y436:BF436&lt;&gt;"")*(Y436:BF436&lt;&gt;0), COLUMN(Y436:BF436)-COLUMN(Y436)+1))
   -MATCH(1, --((Y436:BF436&lt;&gt;"")*(Y436:BF436&lt;&gt;0)), 0)
   +1,
"")</f>
        <v/>
      </c>
      <c r="V436" s="6" t="str" cm="1">
        <f t="array" ref="V436">IFERROR(
    IF(
        MATCH(2,1/((Y436:BF436&lt;&gt;0)*(Y436:BF436&lt;&gt;"")))-MATCH(1,INDEX((Y436:BF436&lt;&gt;0)*(Y436:BF436&lt;&gt;""),0),0)+1 &lt;= 12,
        "No",
        "Yes"
    ),
    "No"
)</f>
        <v>Yes</v>
      </c>
      <c r="W436" s="6" t="str" cm="1">
        <f t="array" ref="W436">IFERROR(
    IF(
        MATCH(2,1/((Y436:BF436&lt;&gt;0)*(Y436:BF436&lt;&gt;"")))-MATCH(1,INDEX((Y436:BF436&lt;&gt;0)*(Y436:BF436&lt;&gt;""),0),0)+1 &lt;= 24,
        "No",
        "Yes"
    ),
    "No"
)</f>
        <v>No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171.66666666666666</v>
      </c>
      <c r="AR436" s="8">
        <v>171.66666666666666</v>
      </c>
      <c r="AS436" s="8">
        <v>171.66666666666666</v>
      </c>
      <c r="AT436" s="8">
        <v>171.66666666666666</v>
      </c>
      <c r="AU436" s="8">
        <v>171.66666666666666</v>
      </c>
      <c r="AV436" s="8">
        <v>177.66666666666666</v>
      </c>
      <c r="AW436" s="8">
        <v>177.66666666666666</v>
      </c>
      <c r="AX436" s="8">
        <v>177.66666666666666</v>
      </c>
      <c r="AY436" s="8">
        <v>177.66666666666666</v>
      </c>
      <c r="AZ436" s="8">
        <v>177.66666666666666</v>
      </c>
      <c r="BA436" s="8">
        <v>177.66666666666666</v>
      </c>
      <c r="BB436" s="8">
        <v>177.66666666666666</v>
      </c>
      <c r="BC436" s="8">
        <v>6</v>
      </c>
      <c r="BD436" s="8">
        <v>6</v>
      </c>
      <c r="BE436" s="8">
        <v>6</v>
      </c>
      <c r="BF436" s="8">
        <v>6</v>
      </c>
      <c r="BH436" s="8">
        <f t="shared" si="83"/>
        <v>0</v>
      </c>
      <c r="BI436" s="8">
        <f t="shared" si="84"/>
        <v>1036</v>
      </c>
      <c r="BJ436" s="8">
        <f t="shared" si="85"/>
        <v>1090</v>
      </c>
    </row>
    <row r="437" spans="1:62" x14ac:dyDescent="0.25">
      <c r="A437" s="9" t="s">
        <v>209</v>
      </c>
      <c r="B437" s="9" t="s">
        <v>643</v>
      </c>
      <c r="C437" s="10">
        <f>VLOOKUP(A437,'[2]Revenue_Engine_2025 Oct.25'!$C$14:G$3937,5,0)</f>
        <v>45070</v>
      </c>
      <c r="D437" s="6" cm="1">
        <f t="array" ref="D437">_xlfn.LET(
  _xlpm.aralık, Y437:BF437,
  _xlpm.ilk, MATCH(TRUE, _xlpm.aralık&lt;&gt;0, 0),
  _xlpm.son, MIN(_xlpm.ilk+2, COLUMNS(_xlpm.aralık)),
  MAX(INDEX(_xlpm.aralık, _xlpm.ilk):INDEX(_xlpm.aralık, _xlpm.son))
)</f>
        <v>2709</v>
      </c>
      <c r="E437" s="6">
        <f t="shared" si="78"/>
        <v>12757.324889648211</v>
      </c>
      <c r="F437" s="6">
        <f t="shared" si="79"/>
        <v>16921.416020739074</v>
      </c>
      <c r="G437" s="6">
        <f t="shared" si="86"/>
        <v>0</v>
      </c>
      <c r="H437" s="7">
        <f t="shared" si="80"/>
        <v>3.7092376853629423</v>
      </c>
      <c r="I437" s="7">
        <f t="shared" si="81"/>
        <v>5.2463698858394512</v>
      </c>
      <c r="J437" s="7">
        <f t="shared" si="82"/>
        <v>0.3264078611394281</v>
      </c>
      <c r="K437" s="7">
        <f t="shared" si="87"/>
        <v>5.2463698858394512</v>
      </c>
      <c r="L437" s="5" t="s">
        <v>419</v>
      </c>
      <c r="M437" s="7" t="str">
        <f>IF(R437="",(VLOOKUP(A437,[1]Export!$B$2:$H$680,7,0)),"CHURN")</f>
        <v>CHURN</v>
      </c>
      <c r="N437" s="5" t="e">
        <f t="shared" si="88"/>
        <v>#VALUE!</v>
      </c>
      <c r="O437" s="5" t="e">
        <f t="shared" si="89"/>
        <v>#VALUE!</v>
      </c>
      <c r="P437" s="5" t="e">
        <f t="shared" si="90"/>
        <v>#VALUE!</v>
      </c>
      <c r="Q437" s="5" t="str">
        <f>VLOOKUP(A437,[4]Sheet2!$A$1:$B$142,2,0)</f>
        <v>CHURN</v>
      </c>
      <c r="R437" s="5" t="s">
        <v>428</v>
      </c>
      <c r="S437" s="5" t="str">
        <f>VLOOKUP(A437,[3]Sheet1!$A$1:$C$191,3,0)</f>
        <v>Aug.25</v>
      </c>
      <c r="T437" s="6" cm="1">
        <f t="array" ref="T437">IF(R437&lt;&gt;"Churn","",
 _xlfn.LET(
   _xlpm.rng,Y437:BF437,
   _xlpm.pos,MAX(IF((_xlpm.rng&lt;&gt;0)*(_xlpm.rng&lt;&gt;""),COLUMN(_xlpm.rng)-COLUMN(Y437)+1)),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16921.416020739074</v>
      </c>
      <c r="U437" s="6" cm="1">
        <f t="array" ref="U437">IF(R437="Churn",
   MAX(IF((Y437:BF437&lt;&gt;"")*(Y437:BF437&lt;&gt;0), COLUMN(Y437:BF437)-COLUMN(Y437)+1))
   -MATCH(1, --((Y437:BF437&lt;&gt;"")*(Y437:BF437&lt;&gt;0)), 0)
   +1,
"")</f>
        <v>26</v>
      </c>
      <c r="V437" s="6" t="str" cm="1">
        <f t="array" ref="V437">IFERROR(
    IF(
        MATCH(2,1/((Y437:BF437&lt;&gt;0)*(Y437:BF437&lt;&gt;"")))-MATCH(1,INDEX((Y437:BF437&lt;&gt;0)*(Y437:BF437&lt;&gt;""),0),0)+1 &lt;= 12,
        "No",
        "Yes"
    ),
    "No"
)</f>
        <v>Yes</v>
      </c>
      <c r="W437" s="6" t="str" cm="1">
        <f t="array" ref="W437">IFERROR(
    IF(
        MATCH(2,1/((Y437:BF437&lt;&gt;0)*(Y437:BF437&lt;&gt;"")))-MATCH(1,INDEX((Y437:BF437&lt;&gt;0)*(Y437:BF437&lt;&gt;""),0),0)+1 &lt;= 24,
        "No",
        "Yes"
    ),
    "No"
)</f>
        <v>Yes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2700</v>
      </c>
      <c r="AE437" s="8">
        <v>2700</v>
      </c>
      <c r="AF437" s="8">
        <v>2709</v>
      </c>
      <c r="AG437" s="8">
        <v>2709</v>
      </c>
      <c r="AH437" s="8">
        <v>11750.148983505918</v>
      </c>
      <c r="AI437" s="8">
        <v>11714.494313033318</v>
      </c>
      <c r="AJ437" s="8">
        <v>11694.870089167325</v>
      </c>
      <c r="AK437" s="8">
        <v>11655.364110446837</v>
      </c>
      <c r="AL437" s="8">
        <v>11627.78360187906</v>
      </c>
      <c r="AM437" s="8">
        <v>11582.883151305525</v>
      </c>
      <c r="AN437" s="8">
        <v>11571.649555046171</v>
      </c>
      <c r="AO437" s="8">
        <v>12757.324889648211</v>
      </c>
      <c r="AP437" s="8">
        <v>12975.856523922459</v>
      </c>
      <c r="AQ437" s="8">
        <v>13163.012472358963</v>
      </c>
      <c r="AR437" s="8">
        <v>13799.836892459476</v>
      </c>
      <c r="AS437" s="8">
        <v>14071.90940087281</v>
      </c>
      <c r="AT437" s="8">
        <v>14499.819953176262</v>
      </c>
      <c r="AU437" s="8">
        <v>14491.617439471947</v>
      </c>
      <c r="AV437" s="8">
        <v>14468.608223294408</v>
      </c>
      <c r="AW437" s="8">
        <v>17041.014065998817</v>
      </c>
      <c r="AX437" s="8">
        <v>17015.720648701936</v>
      </c>
      <c r="AY437" s="8">
        <v>16980.55458674502</v>
      </c>
      <c r="AZ437" s="8">
        <v>16943.840939571128</v>
      </c>
      <c r="BA437" s="8">
        <v>16921.416020739074</v>
      </c>
      <c r="BB437" s="8">
        <v>16899.085901870214</v>
      </c>
      <c r="BC437" s="8">
        <v>16150.995868706985</v>
      </c>
      <c r="BD437" s="8">
        <v>0</v>
      </c>
      <c r="BE437" s="8">
        <v>0</v>
      </c>
      <c r="BF437" s="8">
        <v>0</v>
      </c>
      <c r="BH437" s="8">
        <f t="shared" si="83"/>
        <v>45977.513385706567</v>
      </c>
      <c r="BI437" s="8">
        <f t="shared" si="84"/>
        <v>156665.66621388213</v>
      </c>
      <c r="BJ437" s="8">
        <f t="shared" si="85"/>
        <v>117952.62803233319</v>
      </c>
    </row>
    <row r="438" spans="1:62" x14ac:dyDescent="0.25">
      <c r="A438" s="9" t="s">
        <v>268</v>
      </c>
      <c r="B438" s="9" t="s">
        <v>643</v>
      </c>
      <c r="C438" s="10">
        <f>VLOOKUP(A438,'[2]Revenue_Engine_2025 Oct.25'!$C$14:G$3937,5,0)</f>
        <v>45330</v>
      </c>
      <c r="D438" s="6" cm="1">
        <f t="array" ref="D438">_xlfn.LET(
  _xlpm.aralık, Y438:BF438,
  _xlpm.ilk, MATCH(TRUE, _xlpm.aralık&lt;&gt;0, 0),
  _xlpm.son, MIN(_xlpm.ilk+2, COLUMNS(_xlpm.aralık)),
  MAX(INDEX(_xlpm.aralık, _xlpm.ilk):INDEX(_xlpm.aralık, _xlpm.son))
)</f>
        <v>4406</v>
      </c>
      <c r="E438" s="6">
        <f t="shared" si="78"/>
        <v>4417.4513999999999</v>
      </c>
      <c r="F438" s="6">
        <f t="shared" si="79"/>
        <v>0</v>
      </c>
      <c r="G438" s="6">
        <f t="shared" si="86"/>
        <v>0</v>
      </c>
      <c r="H438" s="7">
        <f t="shared" si="80"/>
        <v>2.5990467544257652E-3</v>
      </c>
      <c r="I438" s="7">
        <f t="shared" si="81"/>
        <v>-1</v>
      </c>
      <c r="J438" s="7">
        <f t="shared" si="82"/>
        <v>-1</v>
      </c>
      <c r="K438" s="7">
        <f t="shared" si="87"/>
        <v>1.1620835224693375E-2</v>
      </c>
      <c r="L438" s="5" t="s">
        <v>413</v>
      </c>
      <c r="M438" s="7" t="str">
        <f>IF(R438="",(VLOOKUP(A438,[1]Export!$B$2:$H$680,7,0)),"CHURN")</f>
        <v>CHURN</v>
      </c>
      <c r="N438" s="5" t="e">
        <f t="shared" si="88"/>
        <v>#VALUE!</v>
      </c>
      <c r="O438" s="5" t="e">
        <f t="shared" si="89"/>
        <v>#VALUE!</v>
      </c>
      <c r="P438" s="5" t="e">
        <f t="shared" si="90"/>
        <v>#VALUE!</v>
      </c>
      <c r="Q438" s="15" t="s">
        <v>698</v>
      </c>
      <c r="R438" s="5" t="s">
        <v>428</v>
      </c>
      <c r="S438" s="5" t="str">
        <f>VLOOKUP(A438,[3]Sheet1!$A$1:$C$191,3,0)</f>
        <v>Oct.25</v>
      </c>
      <c r="T438" s="6" cm="1">
        <f t="array" ref="T438">IF(R438&lt;&gt;"Churn","",
 _xlfn.LET(
   _xlpm.rng,Y438:BF438,
   _xlpm.pos,MAX(IF((_xlpm.rng&lt;&gt;0)*(_xlpm.rng&lt;&gt;""),COLUMN(_xlpm.rng)-COLUMN(Y438)+1)),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4457.201399999999</v>
      </c>
      <c r="U438" s="6" cm="1">
        <f t="array" ref="U438">IF(R438="Churn",
   MAX(IF((Y438:BF438&lt;&gt;"")*(Y438:BF438&lt;&gt;0), COLUMN(Y438:BF438)-COLUMN(Y438)+1))
   -MATCH(1, --((Y438:BF438&lt;&gt;"")*(Y438:BF438&lt;&gt;0)), 0)
   +1,
"")</f>
        <v>15</v>
      </c>
      <c r="V438" s="6" t="str" cm="1">
        <f t="array" ref="V438">IFERROR(
    IF(
        MATCH(2,1/((Y438:BF438&lt;&gt;0)*(Y438:BF438&lt;&gt;"")))-MATCH(1,INDEX((Y438:BF438&lt;&gt;0)*(Y438:BF438&lt;&gt;""),0),0)+1 &lt;= 12,
        "No",
        "Yes"
    ),
    "No"
)</f>
        <v>Yes</v>
      </c>
      <c r="W438" s="6" t="str" cm="1">
        <f t="array" ref="W438">IFERROR(
    IF(
        MATCH(2,1/((Y438:BF438&lt;&gt;0)*(Y438:BF438&lt;&gt;"")))-MATCH(1,INDEX((Y438:BF438&lt;&gt;0)*(Y438:BF438&lt;&gt;""),0),0)+1 &lt;= 24,
        "No",
        "Yes"
    ),
    "No"
)</f>
        <v>No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4406</v>
      </c>
      <c r="AR438" s="8">
        <v>4406</v>
      </c>
      <c r="AS438" s="8">
        <v>4406</v>
      </c>
      <c r="AT438" s="8">
        <v>4409</v>
      </c>
      <c r="AU438" s="8">
        <v>4409</v>
      </c>
      <c r="AV438" s="8">
        <v>4409</v>
      </c>
      <c r="AW438" s="8">
        <v>4409</v>
      </c>
      <c r="AX438" s="8">
        <v>4417.4513999999999</v>
      </c>
      <c r="AY438" s="8">
        <v>4417.4513999999999</v>
      </c>
      <c r="AZ438" s="8">
        <v>4425.1180666666669</v>
      </c>
      <c r="BA438" s="8">
        <v>4448.034733333333</v>
      </c>
      <c r="BB438" s="8">
        <v>4457.201399999999</v>
      </c>
      <c r="BC438" s="8">
        <v>4457.201399999999</v>
      </c>
      <c r="BD438" s="8">
        <v>4457.201399999999</v>
      </c>
      <c r="BE438" s="8">
        <v>2395.7485770000008</v>
      </c>
      <c r="BF438" s="8">
        <v>0</v>
      </c>
      <c r="BH438" s="8">
        <f t="shared" si="83"/>
        <v>0</v>
      </c>
      <c r="BI438" s="8">
        <f t="shared" si="84"/>
        <v>26445</v>
      </c>
      <c r="BJ438" s="8">
        <f t="shared" si="85"/>
        <v>37884.408376999992</v>
      </c>
    </row>
    <row r="439" spans="1:62" x14ac:dyDescent="0.25">
      <c r="A439" s="9" t="s">
        <v>555</v>
      </c>
      <c r="B439" s="9" t="s">
        <v>643</v>
      </c>
      <c r="C439" s="10">
        <v>44927</v>
      </c>
      <c r="D439" s="6" cm="1">
        <f t="array" ref="D439">_xlfn.LET(
  _xlpm.aralık, Y439:BF439,
  _xlpm.ilk, MATCH(TRUE, _xlpm.aralık&lt;&gt;0, 0),
  _xlpm.son, MIN(_xlpm.ilk+2, COLUMNS(_xlpm.aralık)),
  MAX(INDEX(_xlpm.aralık, _xlpm.ilk):INDEX(_xlpm.aralık, _xlpm.son))
)</f>
        <v>1779.0166839999999</v>
      </c>
      <c r="E439" s="6">
        <f t="shared" si="78"/>
        <v>0</v>
      </c>
      <c r="F439" s="6">
        <f t="shared" si="79"/>
        <v>2134.8000000000002</v>
      </c>
      <c r="G439" s="6">
        <f t="shared" si="86"/>
        <v>0</v>
      </c>
      <c r="H439" s="7">
        <f t="shared" si="80"/>
        <v>-1</v>
      </c>
      <c r="I439" s="7">
        <f t="shared" si="81"/>
        <v>0.19998874614264173</v>
      </c>
      <c r="J439" s="7" t="e">
        <f t="shared" si="82"/>
        <v>#DIV/0!</v>
      </c>
      <c r="K439" s="7">
        <f t="shared" si="87"/>
        <v>0.1999888119093097</v>
      </c>
      <c r="L439" s="5" t="s">
        <v>424</v>
      </c>
      <c r="M439" s="7" t="str">
        <f>IF(R439="",(VLOOKUP(A439,[1]Export!$B$2:$H$680,7,0)),"CHURN")</f>
        <v>CHURN</v>
      </c>
      <c r="N439" s="5" t="e">
        <f t="shared" si="88"/>
        <v>#VALUE!</v>
      </c>
      <c r="O439" s="5" t="e">
        <f t="shared" si="89"/>
        <v>#VALUE!</v>
      </c>
      <c r="P439" s="5" t="e">
        <f t="shared" si="90"/>
        <v>#VALUE!</v>
      </c>
      <c r="Q439" s="5" t="str">
        <f>VLOOKUP(A439,[4]Sheet2!$A$1:$B$142,2,0)</f>
        <v>CHURN</v>
      </c>
      <c r="R439" s="5" t="s">
        <v>428</v>
      </c>
      <c r="S439" s="5" t="str">
        <f>VLOOKUP(A439,[3]Sheet1!$A$1:$C$191,3,0)</f>
        <v>Sep.25</v>
      </c>
      <c r="T439" s="6" cm="1">
        <f t="array" ref="T439">IF(R439&lt;&gt;"Churn","",
 _xlfn.LET(
   _xlpm.rng,Y439:BF439,
   _xlpm.pos,MAX(IF((_xlpm.rng&lt;&gt;0)*(_xlpm.rng&lt;&gt;""),COLUMN(_xlpm.rng)-COLUMN(Y439)+1)),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2134.8001169999998</v>
      </c>
      <c r="U439" s="6" cm="1">
        <f t="array" ref="U439">IF(R439="Churn",
   MAX(IF((Y439:BF439&lt;&gt;"")*(Y439:BF439&lt;&gt;0), COLUMN(Y439:BF439)-COLUMN(Y439)+1))
   -MATCH(1, --((Y439:BF439&lt;&gt;"")*(Y439:BF439&lt;&gt;0)), 0)
   +1,
"")</f>
        <v>18</v>
      </c>
      <c r="V439" s="6" t="str" cm="1">
        <f t="array" ref="V439">IFERROR(
    IF(
        MATCH(2,1/((Y439:BF439&lt;&gt;0)*(Y439:BF439&lt;&gt;"")))-MATCH(1,INDEX((Y439:BF439&lt;&gt;0)*(Y439:BF439&lt;&gt;""),0),0)+1 &lt;= 12,
        "No",
        "Yes"
    ),
    "No"
)</f>
        <v>Yes</v>
      </c>
      <c r="W439" s="6" t="str" cm="1">
        <f t="array" ref="W439">IFERROR(
    IF(
        MATCH(2,1/((Y439:BF439&lt;&gt;0)*(Y439:BF439&lt;&gt;"")))-MATCH(1,INDEX((Y439:BF439&lt;&gt;0)*(Y439:BF439&lt;&gt;""),0),0)+1 &lt;= 24,
        "No",
        "Yes"
    ),
    "No"
)</f>
        <v>No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1779.0166839999999</v>
      </c>
      <c r="AN439" s="8">
        <v>1779.0166839999999</v>
      </c>
      <c r="AO439" s="8">
        <v>1779.0166839999999</v>
      </c>
      <c r="AP439" s="8">
        <v>1779.0166839999999</v>
      </c>
      <c r="AQ439" s="8">
        <v>1779.0166839999999</v>
      </c>
      <c r="AR439" s="8">
        <v>1779.0166839999999</v>
      </c>
      <c r="AS439" s="8">
        <v>1779.0166839999999</v>
      </c>
      <c r="AT439" s="8">
        <v>1779.0166839999999</v>
      </c>
      <c r="AU439" s="8">
        <v>1779.0166839999999</v>
      </c>
      <c r="AV439" s="8">
        <v>1779.0166839999999</v>
      </c>
      <c r="AW439" s="8">
        <v>2134.8000000000002</v>
      </c>
      <c r="AX439" s="8">
        <v>2134.8001169999998</v>
      </c>
      <c r="AY439" s="8">
        <v>2134.8001169999998</v>
      </c>
      <c r="AZ439" s="8">
        <v>2134.8001169999998</v>
      </c>
      <c r="BA439" s="8">
        <v>2134.8001169999998</v>
      </c>
      <c r="BB439" s="8">
        <v>2134.8001169999998</v>
      </c>
      <c r="BC439" s="8">
        <v>2134.8001169999998</v>
      </c>
      <c r="BD439" s="8">
        <v>2134.8001169999998</v>
      </c>
      <c r="BE439" s="8">
        <v>0</v>
      </c>
      <c r="BF439" s="8">
        <v>0</v>
      </c>
      <c r="BH439" s="8">
        <f t="shared" si="83"/>
        <v>0</v>
      </c>
      <c r="BI439" s="8">
        <f t="shared" si="84"/>
        <v>17790.166839999998</v>
      </c>
      <c r="BJ439" s="8">
        <f t="shared" si="85"/>
        <v>17078.400818999995</v>
      </c>
    </row>
    <row r="440" spans="1:62" x14ac:dyDescent="0.25">
      <c r="A440" s="9" t="s">
        <v>315</v>
      </c>
      <c r="B440" s="9" t="s">
        <v>643</v>
      </c>
      <c r="C440" s="10">
        <v>44927</v>
      </c>
      <c r="D440" s="6" cm="1">
        <f t="array" ref="D440">_xlfn.LET(
  _xlpm.aralık, Y440:BF440,
  _xlpm.ilk, MATCH(TRUE, _xlpm.aralık&lt;&gt;0, 0),
  _xlpm.son, MIN(_xlpm.ilk+2, COLUMNS(_xlpm.aralık)),
  MAX(INDEX(_xlpm.aralık, _xlpm.ilk):INDEX(_xlpm.aralık, _xlpm.son))
)</f>
        <v>2595.6897870073985</v>
      </c>
      <c r="E440" s="6">
        <f t="shared" si="78"/>
        <v>1167.0207296880053</v>
      </c>
      <c r="F440" s="6">
        <f t="shared" si="79"/>
        <v>1396.8450009030112</v>
      </c>
      <c r="G440" s="6">
        <f t="shared" si="86"/>
        <v>0</v>
      </c>
      <c r="H440" s="7">
        <f t="shared" si="80"/>
        <v>-0.55040053879725082</v>
      </c>
      <c r="I440" s="7">
        <f t="shared" si="81"/>
        <v>-0.4618598077879521</v>
      </c>
      <c r="J440" s="7">
        <f t="shared" si="82"/>
        <v>0.19693246689495203</v>
      </c>
      <c r="K440" s="7">
        <f t="shared" si="87"/>
        <v>-0.3387032527411849</v>
      </c>
      <c r="L440" s="5" t="s">
        <v>423</v>
      </c>
      <c r="M440" s="7" t="str">
        <f>IF(R440="",(VLOOKUP(A440,[1]Export!$B$2:$H$680,7,0)),"CHURN")</f>
        <v>CHURN</v>
      </c>
      <c r="N440" s="5" t="e">
        <f t="shared" si="88"/>
        <v>#VALUE!</v>
      </c>
      <c r="O440" s="5" t="e">
        <f t="shared" si="89"/>
        <v>#VALUE!</v>
      </c>
      <c r="P440" s="5" t="e">
        <f t="shared" si="90"/>
        <v>#VALUE!</v>
      </c>
      <c r="Q440" s="5" t="s">
        <v>696</v>
      </c>
      <c r="R440" s="5" t="s">
        <v>428</v>
      </c>
      <c r="S440" s="5" t="str">
        <f>VLOOKUP(A440,[3]Sheet1!$A$1:$C$191,3,0)</f>
        <v>Oct.25</v>
      </c>
      <c r="T440" s="6" cm="1">
        <f t="array" ref="T440">IF(R440&lt;&gt;"Churn","",
 _xlfn.LET(
   _xlpm.rng,Y440:BF440,
   _xlpm.pos,MAX(IF((_xlpm.rng&lt;&gt;0)*(_xlpm.rng&lt;&gt;""),COLUMN(_xlpm.rng)-COLUMN(Y440)+1)),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1716.5212130409193</v>
      </c>
      <c r="U440" s="6" cm="1">
        <f t="array" ref="U440">IF(R440="Churn",
   MAX(IF((Y440:BF440&lt;&gt;"")*(Y440:BF440&lt;&gt;0), COLUMN(Y440:BF440)-COLUMN(Y440)+1))
   -MATCH(1, --((Y440:BF440&lt;&gt;"")*(Y440:BF440&lt;&gt;0)), 0)
   +1,
"")</f>
        <v>33</v>
      </c>
      <c r="V440" s="6" t="str" cm="1">
        <f t="array" ref="V440">IFERROR(
    IF(
        MATCH(2,1/((Y440:BF440&lt;&gt;0)*(Y440:BF440&lt;&gt;"")))-MATCH(1,INDEX((Y440:BF440&lt;&gt;0)*(Y440:BF440&lt;&gt;""),0),0)+1 &lt;= 12,
        "No",
        "Yes"
    ),
    "No"
)</f>
        <v>Yes</v>
      </c>
      <c r="W440" s="6" t="str" cm="1">
        <f t="array" ref="W440">IFERROR(
    IF(
        MATCH(2,1/((Y440:BF440&lt;&gt;0)*(Y440:BF440&lt;&gt;"")))-MATCH(1,INDEX((Y440:BF440&lt;&gt;0)*(Y440:BF440&lt;&gt;""),0),0)+1 &lt;= 24,
        "No",
        "Yes"
    ),
    "No"
)</f>
        <v>Yes</v>
      </c>
      <c r="Y440" s="8">
        <v>750</v>
      </c>
      <c r="Z440" s="8">
        <v>750</v>
      </c>
      <c r="AA440" s="8">
        <v>2595.6897870073985</v>
      </c>
      <c r="AB440" s="8">
        <v>2562.8985139411898</v>
      </c>
      <c r="AC440" s="8">
        <v>2528.5276841538271</v>
      </c>
      <c r="AD440" s="8">
        <v>2245.6754470787323</v>
      </c>
      <c r="AE440" s="8">
        <v>1325.501588783985</v>
      </c>
      <c r="AF440" s="8">
        <v>1300.4240125881038</v>
      </c>
      <c r="AG440" s="8">
        <v>1299.2172031938469</v>
      </c>
      <c r="AH440" s="8">
        <v>1259.17269487765</v>
      </c>
      <c r="AI440" s="8">
        <v>1224.5084299353809</v>
      </c>
      <c r="AJ440" s="8">
        <v>1205.4293223076738</v>
      </c>
      <c r="AK440" s="8">
        <v>1167.0207296880053</v>
      </c>
      <c r="AL440" s="8">
        <v>1140.2063448244407</v>
      </c>
      <c r="AM440" s="8">
        <v>1550.8393330450965</v>
      </c>
      <c r="AN440" s="8">
        <v>1535.3931381884843</v>
      </c>
      <c r="AO440" s="8">
        <v>1537.6250140250054</v>
      </c>
      <c r="AP440" s="8">
        <v>1524.6060129237326</v>
      </c>
      <c r="AQ440" s="8">
        <v>1506.945536761863</v>
      </c>
      <c r="AR440" s="8">
        <v>1474.5043668269261</v>
      </c>
      <c r="AS440" s="8">
        <v>1457.6228171581361</v>
      </c>
      <c r="AT440" s="8">
        <v>1448.6093728545218</v>
      </c>
      <c r="AU440" s="8">
        <v>1440.6243374437211</v>
      </c>
      <c r="AV440" s="8">
        <v>1418.2242197474129</v>
      </c>
      <c r="AW440" s="8">
        <v>1396.8450009030112</v>
      </c>
      <c r="AX440" s="8">
        <v>1372.2211493115333</v>
      </c>
      <c r="AY440" s="8">
        <v>1860.4697874359049</v>
      </c>
      <c r="AZ440" s="8">
        <v>1810.7708552193692</v>
      </c>
      <c r="BA440" s="8">
        <v>1780.4144453612832</v>
      </c>
      <c r="BB440" s="8">
        <v>1750.1863653562045</v>
      </c>
      <c r="BC440" s="8">
        <v>1716.5212130409193</v>
      </c>
      <c r="BD440" s="8">
        <v>1690.0857006158287</v>
      </c>
      <c r="BE440" s="8">
        <v>1669.6281882419717</v>
      </c>
      <c r="BF440" s="8">
        <v>0</v>
      </c>
      <c r="BH440" s="8">
        <f t="shared" si="83"/>
        <v>19047.044683867789</v>
      </c>
      <c r="BI440" s="8">
        <f t="shared" si="84"/>
        <v>17202.221223487348</v>
      </c>
      <c r="BJ440" s="8">
        <f t="shared" si="85"/>
        <v>15047.142705486027</v>
      </c>
    </row>
    <row r="441" spans="1:62" x14ac:dyDescent="0.25">
      <c r="A441" s="9" t="s">
        <v>309</v>
      </c>
      <c r="B441" s="9" t="s">
        <v>643</v>
      </c>
      <c r="C441" s="10">
        <f>VLOOKUP(A441,'[2]Revenue_Engine_2025 Oct.25'!$C$14:G$3937,5,0)</f>
        <v>45449</v>
      </c>
      <c r="D441" s="6" cm="1">
        <f t="array" ref="D441">_xlfn.LET(
  _xlpm.aralık, Y441:BF441,
  _xlpm.ilk, MATCH(TRUE, _xlpm.aralık&lt;&gt;0, 0),
  _xlpm.son, MIN(_xlpm.ilk+2, COLUMNS(_xlpm.aralık)),
  MAX(INDEX(_xlpm.aralık, _xlpm.ilk):INDEX(_xlpm.aralık, _xlpm.son))
)</f>
        <v>1506.9456494935748</v>
      </c>
      <c r="E441" s="6">
        <f t="shared" si="78"/>
        <v>1258.6740464209158</v>
      </c>
      <c r="F441" s="6">
        <f t="shared" si="79"/>
        <v>0</v>
      </c>
      <c r="G441" s="6">
        <f t="shared" si="86"/>
        <v>0</v>
      </c>
      <c r="H441" s="7">
        <f t="shared" si="80"/>
        <v>-0.16475153112263427</v>
      </c>
      <c r="I441" s="7">
        <f t="shared" si="81"/>
        <v>-1</v>
      </c>
      <c r="J441" s="7">
        <f t="shared" si="82"/>
        <v>-1</v>
      </c>
      <c r="K441" s="7">
        <f t="shared" si="87"/>
        <v>6.3298642297550375E-2</v>
      </c>
      <c r="L441" s="5" t="s">
        <v>423</v>
      </c>
      <c r="M441" s="7" t="str">
        <f>IF(R441="",(VLOOKUP(A441,[1]Export!$B$2:$H$680,7,0)),"CHURN")</f>
        <v>CHURN</v>
      </c>
      <c r="N441" s="5" t="e">
        <f t="shared" si="88"/>
        <v>#VALUE!</v>
      </c>
      <c r="O441" s="5" t="e">
        <f t="shared" si="89"/>
        <v>#VALUE!</v>
      </c>
      <c r="P441" s="5" t="e">
        <f t="shared" si="90"/>
        <v>#VALUE!</v>
      </c>
      <c r="Q441" s="15" t="str">
        <f>VLOOKUP(A441,[4]Sheet2!$A$1:$B$142,2,0)</f>
        <v>BOOKED CHURN</v>
      </c>
      <c r="R441" s="5" t="s">
        <v>428</v>
      </c>
      <c r="S441" s="5" t="str">
        <f>VLOOKUP(A441,[3]Sheet1!$A$1:$C$191,3,0)</f>
        <v>Oct.25</v>
      </c>
      <c r="T441" s="6" cm="1">
        <f t="array" ref="T441">IF(R441&lt;&gt;"Churn","",
 _xlfn.LET(
   _xlpm.rng,Y441:BF441,
   _xlpm.pos,MAX(IF((_xlpm.rng&lt;&gt;0)*(_xlpm.rng&lt;&gt;""),COLUMN(_xlpm.rng)-COLUMN(Y441)+1)),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1602.3332631227183</v>
      </c>
      <c r="U441" s="6" cm="1">
        <f t="array" ref="U441">IF(R441="Churn",
   MAX(IF((Y441:BF441&lt;&gt;"")*(Y441:BF441&lt;&gt;0), COLUMN(Y441:BF441)-COLUMN(Y441)+1))
   -MATCH(1, --((Y441:BF441&lt;&gt;"")*(Y441:BF441&lt;&gt;0)), 0)
   +1,
"")</f>
        <v>15</v>
      </c>
      <c r="V441" s="6" t="str" cm="1">
        <f t="array" ref="V441">IFERROR(
    IF(
        MATCH(2,1/((Y441:BF441&lt;&gt;0)*(Y441:BF441&lt;&gt;"")))-MATCH(1,INDEX((Y441:BF441&lt;&gt;0)*(Y441:BF441&lt;&gt;""),0),0)+1 &lt;= 12,
        "No",
        "Yes"
    ),
    "No"
)</f>
        <v>Yes</v>
      </c>
      <c r="W441" s="6" t="str" cm="1">
        <f t="array" ref="W441">IFERROR(
    IF(
        MATCH(2,1/((Y441:BF441&lt;&gt;0)*(Y441:BF441&lt;&gt;"")))-MATCH(1,INDEX((Y441:BF441&lt;&gt;0)*(Y441:BF441&lt;&gt;""),0),0)+1 &lt;= 24,
        "No",
        "Yes"
    ),
    "No"
)</f>
        <v>No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1506.9456494935748</v>
      </c>
      <c r="AR441" s="8">
        <v>1474.504477131776</v>
      </c>
      <c r="AS441" s="8">
        <v>1457.6229262001095</v>
      </c>
      <c r="AT441" s="8">
        <v>1448.6094812222168</v>
      </c>
      <c r="AU441" s="8">
        <v>1440.6244452140709</v>
      </c>
      <c r="AV441" s="8">
        <v>1418.2243284492936</v>
      </c>
      <c r="AW441" s="8">
        <v>1396.84510796625</v>
      </c>
      <c r="AX441" s="8">
        <v>1372.2212544874408</v>
      </c>
      <c r="AY441" s="8">
        <v>1337.9861036222933</v>
      </c>
      <c r="AZ441" s="8">
        <v>1302.2443350003816</v>
      </c>
      <c r="BA441" s="8">
        <v>1280.4130454947569</v>
      </c>
      <c r="BB441" s="8">
        <v>1258.6740464209158</v>
      </c>
      <c r="BC441" s="8">
        <v>1602.3332631227183</v>
      </c>
      <c r="BD441" s="8">
        <v>1577.6563173532129</v>
      </c>
      <c r="BE441" s="8">
        <v>1558.5596978017979</v>
      </c>
      <c r="BF441" s="8">
        <v>0</v>
      </c>
      <c r="BH441" s="8">
        <f t="shared" si="83"/>
        <v>0</v>
      </c>
      <c r="BI441" s="8">
        <f t="shared" si="84"/>
        <v>8746.5313077110422</v>
      </c>
      <c r="BJ441" s="8">
        <f t="shared" si="85"/>
        <v>12686.933171269768</v>
      </c>
    </row>
    <row r="442" spans="1:62" x14ac:dyDescent="0.25">
      <c r="A442" s="9" t="s">
        <v>34</v>
      </c>
      <c r="B442" s="9" t="s">
        <v>644</v>
      </c>
      <c r="C442" s="10">
        <f>VLOOKUP(A442,'[2]Revenue_Engine_2025 Oct.25'!$C$14:G$3937,5,0)</f>
        <v>45016</v>
      </c>
      <c r="D442" s="6" cm="1">
        <f t="array" ref="D442">_xlfn.LET(
  _xlpm.aralık, Y442:BF442,
  _xlpm.ilk, MATCH(TRUE, _xlpm.aralık&lt;&gt;0, 0),
  _xlpm.son, MIN(_xlpm.ilk+2, COLUMNS(_xlpm.aralık)),
  MAX(INDEX(_xlpm.aralık, _xlpm.ilk):INDEX(_xlpm.aralık, _xlpm.son))
)</f>
        <v>1112.99</v>
      </c>
      <c r="E442" s="6">
        <f t="shared" si="78"/>
        <v>1051.9999970000001</v>
      </c>
      <c r="F442" s="6">
        <f t="shared" si="79"/>
        <v>1051.9999970000001</v>
      </c>
      <c r="G442" s="6">
        <f t="shared" si="86"/>
        <v>1051.9999970000001</v>
      </c>
      <c r="H442" s="7">
        <f t="shared" si="80"/>
        <v>-5.4798338709242569E-2</v>
      </c>
      <c r="I442" s="7">
        <f t="shared" si="81"/>
        <v>-5.4798338709242569E-2</v>
      </c>
      <c r="J442" s="7">
        <f t="shared" si="82"/>
        <v>0</v>
      </c>
      <c r="K442" s="7">
        <f t="shared" si="87"/>
        <v>-5.4798338709242569E-2</v>
      </c>
      <c r="L442" s="5" t="s">
        <v>414</v>
      </c>
      <c r="M442" s="7">
        <f>IF(R442="",(VLOOKUP(A442,[1]Export!$B$2:$H$680,7,0)),"CHURN")</f>
        <v>0</v>
      </c>
      <c r="N442" s="5">
        <f t="shared" si="88"/>
        <v>1051.9999970000001</v>
      </c>
      <c r="O442" s="5">
        <f t="shared" si="89"/>
        <v>1051.9999970000001</v>
      </c>
      <c r="P442" s="5">
        <f t="shared" si="90"/>
        <v>1051.9999970000001</v>
      </c>
      <c r="Q442" s="5" t="s">
        <v>430</v>
      </c>
      <c r="T442" s="6" t="str" cm="1">
        <f t="array" ref="T442">IF(R442&lt;&gt;"Churn","",
 _xlfn.LET(
   _xlpm.rng,Y442:BF442,
   _xlpm.pos,MAX(IF((_xlpm.rng&lt;&gt;0)*(_xlpm.rng&lt;&gt;""),COLUMN(_xlpm.rng)-COLUMN(Y442)+1)),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42" s="6" t="str" cm="1">
        <f t="array" ref="U442">IF(R442="Churn",
   MAX(IF((Y442:BF442&lt;&gt;"")*(Y442:BF442&lt;&gt;0), COLUMN(Y442:BF442)-COLUMN(Y442)+1))
   -MATCH(1, --((Y442:BF442&lt;&gt;"")*(Y442:BF442&lt;&gt;0)), 0)
   +1,
"")</f>
        <v/>
      </c>
      <c r="V442" s="6" t="str" cm="1">
        <f t="array" ref="V442">IFERROR(
    IF(
        MATCH(2,1/((Y442:BF442&lt;&gt;0)*(Y442:BF442&lt;&gt;"")))-MATCH(1,INDEX((Y442:BF442&lt;&gt;0)*(Y442:BF442&lt;&gt;""),0),0)+1 &lt;= 12,
        "No",
        "Yes"
    ),
    "No"
)</f>
        <v>Yes</v>
      </c>
      <c r="W442" s="6" t="str" cm="1">
        <f t="array" ref="W442">IFERROR(
    IF(
        MATCH(2,1/((Y442:BF442&lt;&gt;0)*(Y442:BF442&lt;&gt;"")))-MATCH(1,INDEX((Y442:BF442&lt;&gt;0)*(Y442:BF442&lt;&gt;""),0),0)+1 &lt;= 24,
        "No",
        "Yes"
    ),
    "No"
)</f>
        <v>Yes</v>
      </c>
      <c r="Y442" s="8">
        <v>733.01525191515236</v>
      </c>
      <c r="Z442" s="8">
        <v>730.4685051291724</v>
      </c>
      <c r="AA442" s="8">
        <v>1112.99</v>
      </c>
      <c r="AB442" s="8">
        <v>1112.99</v>
      </c>
      <c r="AC442" s="8">
        <v>1112.99</v>
      </c>
      <c r="AD442" s="8">
        <v>916</v>
      </c>
      <c r="AE442" s="8">
        <v>915.99999900000012</v>
      </c>
      <c r="AF442" s="8">
        <v>915.99999900000012</v>
      </c>
      <c r="AG442" s="8">
        <v>915.99999900000012</v>
      </c>
      <c r="AH442" s="8">
        <v>953.99999700000012</v>
      </c>
      <c r="AI442" s="8">
        <v>1031.9999970000001</v>
      </c>
      <c r="AJ442" s="8">
        <v>1031.9999970000001</v>
      </c>
      <c r="AK442" s="8">
        <v>1031.9999970000001</v>
      </c>
      <c r="AL442" s="8">
        <v>1051.9999970000001</v>
      </c>
      <c r="AM442" s="8">
        <v>1051.9999970000001</v>
      </c>
      <c r="AN442" s="8">
        <v>1051.9999970000001</v>
      </c>
      <c r="AO442" s="8">
        <v>1051.9999970000001</v>
      </c>
      <c r="AP442" s="8">
        <v>1051.9999970000001</v>
      </c>
      <c r="AQ442" s="8">
        <v>1051.9999970000001</v>
      </c>
      <c r="AR442" s="8">
        <v>1051.9999970000001</v>
      </c>
      <c r="AS442" s="8">
        <v>1051.9999970000001</v>
      </c>
      <c r="AT442" s="8">
        <v>1051.9999970000001</v>
      </c>
      <c r="AU442" s="8">
        <v>1051.9999970000001</v>
      </c>
      <c r="AV442" s="8">
        <v>1051.9999970000001</v>
      </c>
      <c r="AW442" s="8">
        <v>1051.9999970000001</v>
      </c>
      <c r="AX442" s="8">
        <v>1051.9999970000001</v>
      </c>
      <c r="AY442" s="8">
        <v>1051.9999970000001</v>
      </c>
      <c r="AZ442" s="8">
        <v>1051.9999969999999</v>
      </c>
      <c r="BA442" s="8">
        <v>1051.9999970000001</v>
      </c>
      <c r="BB442" s="8">
        <v>1051.9999970000001</v>
      </c>
      <c r="BC442" s="8">
        <v>1051.9999970000001</v>
      </c>
      <c r="BD442" s="8">
        <v>1051.9999970000001</v>
      </c>
      <c r="BE442" s="8">
        <v>1051.9999970000001</v>
      </c>
      <c r="BF442" s="8">
        <v>1051.9999970000001</v>
      </c>
      <c r="BH442" s="8">
        <f t="shared" si="83"/>
        <v>11484.453745044326</v>
      </c>
      <c r="BI442" s="8">
        <f t="shared" si="84"/>
        <v>12603.999964000004</v>
      </c>
      <c r="BJ442" s="8">
        <f t="shared" si="85"/>
        <v>10519.999970000003</v>
      </c>
    </row>
    <row r="443" spans="1:62" x14ac:dyDescent="0.25">
      <c r="A443" s="9" t="s">
        <v>331</v>
      </c>
      <c r="B443" s="9" t="s">
        <v>643</v>
      </c>
      <c r="C443" s="10">
        <f>VLOOKUP(A443,'[2]Revenue_Engine_2025 Oct.25'!$C$14:G$3937,5,0)</f>
        <v>45070</v>
      </c>
      <c r="D443" s="6" cm="1">
        <f t="array" ref="D443">_xlfn.LET(
  _xlpm.aralık, Y443:BF443,
  _xlpm.ilk, MATCH(TRUE, _xlpm.aralık&lt;&gt;0, 0),
  _xlpm.son, MIN(_xlpm.ilk+2, COLUMNS(_xlpm.aralık)),
  MAX(INDEX(_xlpm.aralık, _xlpm.ilk):INDEX(_xlpm.aralık, _xlpm.son))
)</f>
        <v>600.00096400000007</v>
      </c>
      <c r="E443" s="6">
        <f t="shared" si="78"/>
        <v>667.00096400000007</v>
      </c>
      <c r="F443" s="6">
        <f t="shared" si="79"/>
        <v>800.4011569999999</v>
      </c>
      <c r="G443" s="6">
        <f t="shared" si="86"/>
        <v>0</v>
      </c>
      <c r="H443" s="7">
        <f t="shared" si="80"/>
        <v>0.1116664872558438</v>
      </c>
      <c r="I443" s="7">
        <f t="shared" si="81"/>
        <v>0.33399978504034505</v>
      </c>
      <c r="J443" s="7">
        <f t="shared" si="82"/>
        <v>0.20000000029984938</v>
      </c>
      <c r="K443" s="7">
        <f t="shared" si="87"/>
        <v>0.33399978504034505</v>
      </c>
      <c r="L443" s="5" t="s">
        <v>416</v>
      </c>
      <c r="M443" s="7" t="str">
        <f>IF(R443="",(VLOOKUP(A443,[1]Export!$B$2:$H$680,7,0)),"CHURN")</f>
        <v>CHURN</v>
      </c>
      <c r="N443" s="5" t="e">
        <f t="shared" si="88"/>
        <v>#VALUE!</v>
      </c>
      <c r="O443" s="5" t="e">
        <f t="shared" si="89"/>
        <v>#VALUE!</v>
      </c>
      <c r="P443" s="5" t="e">
        <f t="shared" si="90"/>
        <v>#VALUE!</v>
      </c>
      <c r="Q443" s="15" t="str">
        <f>VLOOKUP(A443,[4]Sheet2!$A$1:$B$142,2,0)</f>
        <v>BOOKED CHURN</v>
      </c>
      <c r="R443" s="5" t="s">
        <v>428</v>
      </c>
      <c r="S443" s="5" t="str">
        <f>VLOOKUP(A443,[3]Sheet1!$A$1:$C$191,3,0)</f>
        <v>Oct.25</v>
      </c>
      <c r="T443" s="6" cm="1">
        <f t="array" ref="T443">IF(R443&lt;&gt;"Churn","",
 _xlfn.LET(
   _xlpm.rng,Y443:BF443,
   _xlpm.pos,MAX(IF((_xlpm.rng&lt;&gt;0)*(_xlpm.rng&lt;&gt;""),COLUMN(_xlpm.rng)-COLUMN(Y443)+1)),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800.4011569999999</v>
      </c>
      <c r="U443" s="6" cm="1">
        <f t="array" ref="U443">IF(R443="Churn",
   MAX(IF((Y443:BF443&lt;&gt;"")*(Y443:BF443&lt;&gt;0), COLUMN(Y443:BF443)-COLUMN(Y443)+1))
   -MATCH(1, --((Y443:BF443&lt;&gt;"")*(Y443:BF443&lt;&gt;0)), 0)
   +1,
"")</f>
        <v>28</v>
      </c>
      <c r="V443" s="6" t="str" cm="1">
        <f t="array" ref="V443">IFERROR(
    IF(
        MATCH(2,1/((Y443:BF443&lt;&gt;0)*(Y443:BF443&lt;&gt;"")))-MATCH(1,INDEX((Y443:BF443&lt;&gt;0)*(Y443:BF443&lt;&gt;""),0),0)+1 &lt;= 12,
        "No",
        "Yes"
    ),
    "No"
)</f>
        <v>Yes</v>
      </c>
      <c r="W443" s="6" t="str" cm="1">
        <f t="array" ref="W443">IFERROR(
    IF(
        MATCH(2,1/((Y443:BF443&lt;&gt;0)*(Y443:BF443&lt;&gt;"")))-MATCH(1,INDEX((Y443:BF443&lt;&gt;0)*(Y443:BF443&lt;&gt;""),0),0)+1 &lt;= 24,
        "No",
        "Yes"
    ),
    "No"
)</f>
        <v>Yes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600.00096400000007</v>
      </c>
      <c r="AE443" s="8">
        <v>600.00096400000007</v>
      </c>
      <c r="AF443" s="8">
        <v>600.00096400000007</v>
      </c>
      <c r="AG443" s="8">
        <v>650.00096400000007</v>
      </c>
      <c r="AH443" s="8">
        <v>667.00096400000007</v>
      </c>
      <c r="AI443" s="8">
        <v>667.00096400000007</v>
      </c>
      <c r="AJ443" s="8">
        <v>667.00096400000007</v>
      </c>
      <c r="AK443" s="8">
        <v>667.00096400000007</v>
      </c>
      <c r="AL443" s="8">
        <v>667.00096400000007</v>
      </c>
      <c r="AM443" s="8">
        <v>667.00096400000007</v>
      </c>
      <c r="AN443" s="8">
        <v>667.00096400000007</v>
      </c>
      <c r="AO443" s="8">
        <v>667.00096400000007</v>
      </c>
      <c r="AP443" s="8">
        <v>667.00096400000007</v>
      </c>
      <c r="AQ443" s="8">
        <v>667.00096400000007</v>
      </c>
      <c r="AR443" s="8">
        <v>667.00096400000007</v>
      </c>
      <c r="AS443" s="8">
        <v>667.00096400000007</v>
      </c>
      <c r="AT443" s="8">
        <v>667.00096400000007</v>
      </c>
      <c r="AU443" s="8">
        <v>667.00096400000007</v>
      </c>
      <c r="AV443" s="8">
        <v>667.00096400000007</v>
      </c>
      <c r="AW443" s="8">
        <v>800.4011569999999</v>
      </c>
      <c r="AX443" s="8">
        <v>800.4011569999999</v>
      </c>
      <c r="AY443" s="8">
        <v>800.4011569999999</v>
      </c>
      <c r="AZ443" s="8">
        <v>800.4011569999999</v>
      </c>
      <c r="BA443" s="8">
        <v>800.4011569999999</v>
      </c>
      <c r="BB443" s="8">
        <v>800.4011569999999</v>
      </c>
      <c r="BC443" s="8">
        <v>800.4011569999999</v>
      </c>
      <c r="BD443" s="8">
        <v>800.4011569999999</v>
      </c>
      <c r="BE443" s="8">
        <v>800.4011569999999</v>
      </c>
      <c r="BF443" s="8">
        <v>0</v>
      </c>
      <c r="BH443" s="8">
        <f t="shared" si="83"/>
        <v>4451.0067479999998</v>
      </c>
      <c r="BI443" s="8">
        <f t="shared" si="84"/>
        <v>8004.011567999999</v>
      </c>
      <c r="BJ443" s="8">
        <f t="shared" si="85"/>
        <v>7203.6104130000003</v>
      </c>
    </row>
    <row r="444" spans="1:62" x14ac:dyDescent="0.25">
      <c r="A444" s="9" t="s">
        <v>330</v>
      </c>
      <c r="B444" s="9" t="s">
        <v>644</v>
      </c>
      <c r="C444" s="10">
        <v>44927</v>
      </c>
      <c r="D444" s="6" cm="1">
        <f t="array" ref="D444">_xlfn.LET(
  _xlpm.aralık, Y444:BF444,
  _xlpm.ilk, MATCH(TRUE, _xlpm.aralık&lt;&gt;0, 0),
  _xlpm.son, MIN(_xlpm.ilk+2, COLUMNS(_xlpm.aralık)),
  MAX(INDEX(_xlpm.aralık, _xlpm.ilk):INDEX(_xlpm.aralık, _xlpm.son))
)</f>
        <v>531.24518559050557</v>
      </c>
      <c r="E444" s="6">
        <f t="shared" si="78"/>
        <v>500.15181651767699</v>
      </c>
      <c r="F444" s="6">
        <f t="shared" si="79"/>
        <v>691.36772334001193</v>
      </c>
      <c r="G444" s="6">
        <f t="shared" si="86"/>
        <v>587.15960945494805</v>
      </c>
      <c r="H444" s="7">
        <f t="shared" si="80"/>
        <v>-5.8529225141620338E-2</v>
      </c>
      <c r="I444" s="7">
        <f t="shared" si="81"/>
        <v>0.30140986138353831</v>
      </c>
      <c r="J444" s="7">
        <f t="shared" si="82"/>
        <v>0.38231572995911883</v>
      </c>
      <c r="K444" s="7">
        <f t="shared" si="87"/>
        <v>0.10525163404971059</v>
      </c>
      <c r="L444" s="5" t="s">
        <v>414</v>
      </c>
      <c r="M444" s="7">
        <f>IF(R444="",(VLOOKUP(A444,[1]Export!$B$2:$H$680,7,0)),"CHURN")</f>
        <v>0.30292288172288523</v>
      </c>
      <c r="N444" s="5">
        <f t="shared" si="88"/>
        <v>409.29552852757132</v>
      </c>
      <c r="O444" s="5">
        <f t="shared" si="89"/>
        <v>348.64438695920649</v>
      </c>
      <c r="P444" s="5">
        <f t="shared" si="90"/>
        <v>481.93662025566505</v>
      </c>
      <c r="Q444" s="5" t="s">
        <v>430</v>
      </c>
      <c r="T444" s="6" t="str" cm="1">
        <f t="array" ref="T444">IF(R444&lt;&gt;"Churn","",
 _xlfn.LET(
   _xlpm.rng,Y444:BF444,
   _xlpm.pos,MAX(IF((_xlpm.rng&lt;&gt;0)*(_xlpm.rng&lt;&gt;""),COLUMN(_xlpm.rng)-COLUMN(Y444)+1)),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/>
      </c>
      <c r="U444" s="6" t="str" cm="1">
        <f t="array" ref="U444">IF(R444="Churn",
   MAX(IF((Y444:BF444&lt;&gt;"")*(Y444:BF444&lt;&gt;0), COLUMN(Y444:BF444)-COLUMN(Y444)+1))
   -MATCH(1, --((Y444:BF444&lt;&gt;"")*(Y444:BF444&lt;&gt;0)), 0)
   +1,
"")</f>
        <v/>
      </c>
      <c r="V444" s="6" t="str" cm="1">
        <f t="array" ref="V444">IFERROR(
    IF(
        MATCH(2,1/((Y444:BF444&lt;&gt;0)*(Y444:BF444&lt;&gt;"")))-MATCH(1,INDEX((Y444:BF444&lt;&gt;0)*(Y444:BF444&lt;&gt;""),0),0)+1 &lt;= 12,
        "No",
        "Yes"
    ),
    "No"
)</f>
        <v>Yes</v>
      </c>
      <c r="W444" s="6" t="str" cm="1">
        <f t="array" ref="W444">IFERROR(
    IF(
        MATCH(2,1/((Y444:BF444&lt;&gt;0)*(Y444:BF444&lt;&gt;"")))-MATCH(1,INDEX((Y444:BF444&lt;&gt;0)*(Y444:BF444&lt;&gt;""),0),0)+1 &lt;= 24,
        "No",
        "Yes"
    ),
    "No"
)</f>
        <v>Yes</v>
      </c>
      <c r="Y444" s="8">
        <v>375.35864124147713</v>
      </c>
      <c r="Z444" s="8">
        <v>531.24518559050557</v>
      </c>
      <c r="AA444" s="8">
        <v>527.33993914497103</v>
      </c>
      <c r="AB444" s="8">
        <v>517.97100398319697</v>
      </c>
      <c r="AC444" s="8">
        <v>508.15073783487128</v>
      </c>
      <c r="AD444" s="8">
        <v>427.33581757888618</v>
      </c>
      <c r="AE444" s="8">
        <v>378.71471799008526</v>
      </c>
      <c r="AF444" s="8">
        <v>371.54969662967267</v>
      </c>
      <c r="AG444" s="8">
        <v>371.20489396532207</v>
      </c>
      <c r="AH444" s="8">
        <v>366.9588786600101</v>
      </c>
      <c r="AI444" s="8">
        <v>354.75756483771767</v>
      </c>
      <c r="AJ444" s="8">
        <v>351.29652526407511</v>
      </c>
      <c r="AK444" s="8">
        <v>500.15181651767699</v>
      </c>
      <c r="AL444" s="8">
        <v>488.65993556205649</v>
      </c>
      <c r="AM444" s="8">
        <v>469.95141060586121</v>
      </c>
      <c r="AN444" s="8">
        <v>434.25260474017733</v>
      </c>
      <c r="AO444" s="8">
        <v>403.82073576143506</v>
      </c>
      <c r="AP444" s="8">
        <v>431.20172961185682</v>
      </c>
      <c r="AQ444" s="8">
        <v>426.20682101443316</v>
      </c>
      <c r="AR444" s="8">
        <v>417.03154057419289</v>
      </c>
      <c r="AS444" s="8">
        <v>412.25696084147535</v>
      </c>
      <c r="AT444" s="8">
        <v>409.70770385154538</v>
      </c>
      <c r="AU444" s="8">
        <v>407.44930998454595</v>
      </c>
      <c r="AV444" s="8">
        <v>401.1139231236462</v>
      </c>
      <c r="AW444" s="8">
        <v>691.36772334001193</v>
      </c>
      <c r="AX444" s="8">
        <v>679.18016050830408</v>
      </c>
      <c r="AY444" s="8">
        <v>662.23549128416937</v>
      </c>
      <c r="AZ444" s="8">
        <v>644.54512242412125</v>
      </c>
      <c r="BA444" s="8">
        <v>633.73973760586046</v>
      </c>
      <c r="BB444" s="8">
        <v>622.98003188640905</v>
      </c>
      <c r="BC444" s="8">
        <v>610.99689793108951</v>
      </c>
      <c r="BD444" s="8">
        <v>601.58715923153989</v>
      </c>
      <c r="BE444" s="8">
        <v>594.30529373238301</v>
      </c>
      <c r="BF444" s="8">
        <v>587.15960945494805</v>
      </c>
      <c r="BH444" s="8">
        <f t="shared" si="83"/>
        <v>5081.8836027207917</v>
      </c>
      <c r="BI444" s="8">
        <f t="shared" si="84"/>
        <v>5201.8044921889032</v>
      </c>
      <c r="BJ444" s="8">
        <f t="shared" si="85"/>
        <v>6328.0972273988364</v>
      </c>
    </row>
    <row r="445" spans="1:62" x14ac:dyDescent="0.25">
      <c r="A445" s="9" t="s">
        <v>161</v>
      </c>
      <c r="B445" s="9" t="s">
        <v>644</v>
      </c>
      <c r="C445" s="10">
        <v>44927</v>
      </c>
      <c r="D445" s="6" cm="1">
        <f t="array" ref="D445">_xlfn.LET(
  _xlpm.aralık, Y445:BF445,
  _xlpm.ilk, MATCH(TRUE, _xlpm.aralık&lt;&gt;0, 0),
  _xlpm.son, MIN(_xlpm.ilk+2, COLUMNS(_xlpm.aralık)),
  MAX(INDEX(_xlpm.aralık, _xlpm.ilk):INDEX(_xlpm.aralık, _xlpm.son))
)</f>
        <v>441.36373557305302</v>
      </c>
      <c r="E445" s="6">
        <f t="shared" si="78"/>
        <v>422.37772079930903</v>
      </c>
      <c r="F445" s="6">
        <f t="shared" si="79"/>
        <v>469.58725163717764</v>
      </c>
      <c r="G445" s="6">
        <f t="shared" si="86"/>
        <v>0</v>
      </c>
      <c r="H445" s="7">
        <f t="shared" si="80"/>
        <v>-4.3016707634788195E-2</v>
      </c>
      <c r="I445" s="7">
        <f t="shared" si="81"/>
        <v>6.3946160024860407E-2</v>
      </c>
      <c r="J445" s="7">
        <f t="shared" si="82"/>
        <v>0.11177088305824734</v>
      </c>
      <c r="K445" s="7">
        <f t="shared" si="87"/>
        <v>0.14082449382862189</v>
      </c>
      <c r="L445" s="5" t="s">
        <v>424</v>
      </c>
      <c r="M445" s="7" t="str">
        <f>IF(R445="",(VLOOKUP(A445,[1]Export!$B$2:$H$680,7,0)),"CHURN")</f>
        <v>CHURN</v>
      </c>
      <c r="N445" s="5" t="e">
        <f t="shared" si="88"/>
        <v>#VALUE!</v>
      </c>
      <c r="O445" s="5" t="e">
        <f t="shared" si="89"/>
        <v>#VALUE!</v>
      </c>
      <c r="P445" s="5" t="e">
        <f t="shared" si="90"/>
        <v>#VALUE!</v>
      </c>
      <c r="Q445" s="5" t="s">
        <v>696</v>
      </c>
      <c r="R445" s="5" t="s">
        <v>428</v>
      </c>
      <c r="S445" s="5" t="str">
        <f>VLOOKUP(A445,[3]Sheet1!$A$1:$C$191,3,0)</f>
        <v>Oct.25</v>
      </c>
      <c r="T445" s="6" cm="1">
        <f t="array" ref="T445">IF(R445&lt;&gt;"Churn","",
 _xlfn.LET(
   _xlpm.rng,Y445:BF445,
   _xlpm.pos,MAX(IF((_xlpm.rng&lt;&gt;0)*(_xlpm.rng&lt;&gt;""),COLUMN(_xlpm.rng)-COLUMN(Y445)+1)),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503.51856022943792</v>
      </c>
      <c r="U445" s="6" cm="1">
        <f t="array" ref="U445">IF(R445="Churn",
   MAX(IF((Y445:BF445&lt;&gt;"")*(Y445:BF445&lt;&gt;0), COLUMN(Y445:BF445)-COLUMN(Y445)+1))
   -MATCH(1, --((Y445:BF445&lt;&gt;"")*(Y445:BF445&lt;&gt;0)), 0)
   +1,
"")</f>
        <v>33</v>
      </c>
      <c r="V445" s="6" t="str" cm="1">
        <f t="array" ref="V445">IFERROR(
    IF(
        MATCH(2,1/((Y445:BF445&lt;&gt;0)*(Y445:BF445&lt;&gt;"")))-MATCH(1,INDEX((Y445:BF445&lt;&gt;0)*(Y445:BF445&lt;&gt;""),0),0)+1 &lt;= 12,
        "No",
        "Yes"
    ),
    "No"
)</f>
        <v>Yes</v>
      </c>
      <c r="W445" s="6" t="str" cm="1">
        <f t="array" ref="W445">IFERROR(
    IF(
        MATCH(2,1/((Y445:BF445&lt;&gt;0)*(Y445:BF445&lt;&gt;"")))-MATCH(1,INDEX((Y445:BF445&lt;&gt;0)*(Y445:BF445&lt;&gt;""),0),0)+1 &lt;= 24,
        "No",
        "Yes"
    ),
    "No"
)</f>
        <v>Yes</v>
      </c>
      <c r="Y445" s="8">
        <v>441.36373557305302</v>
      </c>
      <c r="Z445" s="8">
        <v>440.84364811381397</v>
      </c>
      <c r="AA445" s="8">
        <v>439.74705491190787</v>
      </c>
      <c r="AB445" s="8">
        <v>437.11625791848172</v>
      </c>
      <c r="AC445" s="8">
        <v>434.34952718403184</v>
      </c>
      <c r="AD445" s="8">
        <v>411.65669757615126</v>
      </c>
      <c r="AE445" s="8">
        <v>438.90682065510066</v>
      </c>
      <c r="AF445" s="8">
        <v>436.29130125769564</v>
      </c>
      <c r="AG445" s="8">
        <v>436.16543449310109</v>
      </c>
      <c r="AH445" s="8">
        <v>431.98890692750001</v>
      </c>
      <c r="AI445" s="8">
        <v>428.37352334157833</v>
      </c>
      <c r="AJ445" s="8">
        <v>426.38362704156657</v>
      </c>
      <c r="AK445" s="8">
        <v>422.37772079930903</v>
      </c>
      <c r="AL445" s="8">
        <v>419.5810572305366</v>
      </c>
      <c r="AM445" s="8">
        <v>415.02815154238016</v>
      </c>
      <c r="AN445" s="8">
        <v>413.88906488168163</v>
      </c>
      <c r="AO445" s="8">
        <v>414.05367101032846</v>
      </c>
      <c r="AP445" s="8">
        <v>413.09357872573713</v>
      </c>
      <c r="AQ445" s="8">
        <v>475.71004211288994</v>
      </c>
      <c r="AR445" s="8">
        <v>478.60828976783256</v>
      </c>
      <c r="AS445" s="8">
        <v>476.64730152829549</v>
      </c>
      <c r="AT445" s="8">
        <v>475.6002851924797</v>
      </c>
      <c r="AU445" s="8">
        <v>474.67273050466474</v>
      </c>
      <c r="AV445" s="8">
        <v>472.07069643619803</v>
      </c>
      <c r="AW445" s="8">
        <v>469.58725163717764</v>
      </c>
      <c r="AX445" s="8">
        <v>466.72690502621077</v>
      </c>
      <c r="AY445" s="8">
        <v>462.75009457948937</v>
      </c>
      <c r="AZ445" s="8">
        <v>458.59827297952626</v>
      </c>
      <c r="BA445" s="8">
        <v>456.06231511232278</v>
      </c>
      <c r="BB445" s="8">
        <v>453.5370778508119</v>
      </c>
      <c r="BC445" s="8">
        <v>450.72470944942103</v>
      </c>
      <c r="BD445" s="8">
        <v>503.51856022943792</v>
      </c>
      <c r="BE445" s="8">
        <v>501.14378022701652</v>
      </c>
      <c r="BF445" s="8">
        <v>0</v>
      </c>
      <c r="BH445" s="8">
        <f t="shared" si="83"/>
        <v>5203.1865349939817</v>
      </c>
      <c r="BI445" s="8">
        <f t="shared" si="84"/>
        <v>5351.3325897323339</v>
      </c>
      <c r="BJ445" s="8">
        <f t="shared" si="85"/>
        <v>4222.6489670914134</v>
      </c>
    </row>
    <row r="446" spans="1:62" x14ac:dyDescent="0.25">
      <c r="A446" s="9" t="s">
        <v>278</v>
      </c>
      <c r="B446" s="9" t="s">
        <v>644</v>
      </c>
      <c r="C446" s="10">
        <f>VLOOKUP(A446,'[2]Revenue_Engine_2025 Oct.25'!$C$14:G$3937,5,0)</f>
        <v>45383</v>
      </c>
      <c r="D446" s="6" cm="1">
        <f t="array" ref="D446">_xlfn.LET(
  _xlpm.aralık, Y446:BF446,
  _xlpm.ilk, MATCH(TRUE, _xlpm.aralık&lt;&gt;0, 0),
  _xlpm.son, MIN(_xlpm.ilk+2, COLUMNS(_xlpm.aralık)),
  MAX(INDEX(_xlpm.aralık, _xlpm.ilk):INDEX(_xlpm.aralık, _xlpm.son))
)</f>
        <v>170.01087599999997</v>
      </c>
      <c r="E446" s="6">
        <f t="shared" si="78"/>
        <v>169.99943433333331</v>
      </c>
      <c r="F446" s="6">
        <f t="shared" si="79"/>
        <v>0</v>
      </c>
      <c r="G446" s="6">
        <f t="shared" si="86"/>
        <v>0</v>
      </c>
      <c r="H446" s="7">
        <f t="shared" si="80"/>
        <v>-6.7299615976660772E-5</v>
      </c>
      <c r="I446" s="7">
        <f t="shared" si="81"/>
        <v>-1</v>
      </c>
      <c r="J446" s="7">
        <f t="shared" si="82"/>
        <v>-1</v>
      </c>
      <c r="K446" s="7">
        <f t="shared" si="87"/>
        <v>-6.7299615976660772E-5</v>
      </c>
      <c r="L446" s="5" t="s">
        <v>417</v>
      </c>
      <c r="M446" s="7" t="str">
        <f>IF(R446="",(VLOOKUP(A446,[1]Export!$B$2:$H$680,7,0)),"CHURN")</f>
        <v>CHURN</v>
      </c>
      <c r="N446" s="5" t="e">
        <f t="shared" si="88"/>
        <v>#VALUE!</v>
      </c>
      <c r="O446" s="5" t="e">
        <f t="shared" si="89"/>
        <v>#VALUE!</v>
      </c>
      <c r="P446" s="5" t="e">
        <f t="shared" si="90"/>
        <v>#VALUE!</v>
      </c>
      <c r="Q446" s="5" t="str">
        <f>VLOOKUP(A446,[4]Sheet2!$A$1:$B$142,2,0)</f>
        <v>CHURN</v>
      </c>
      <c r="R446" s="5" t="s">
        <v>428</v>
      </c>
      <c r="S446" s="5" t="str">
        <f>VLOOKUP(A446,[3]Sheet1!$A$1:$C$191,3,0)</f>
        <v>Jul.25</v>
      </c>
      <c r="T446" s="6" cm="1">
        <f t="array" ref="T446">IF(R446&lt;&gt;"Churn","",
 _xlfn.LET(
   _xlpm.rng,Y446:BF446,
   _xlpm.pos,MAX(IF((_xlpm.rng&lt;&gt;0)*(_xlpm.rng&lt;&gt;""),COLUMN(_xlpm.rng)-COLUMN(Y446)+1)),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169.99943433333331</v>
      </c>
      <c r="U446" s="6" cm="1">
        <f t="array" ref="U446">IF(R446="Churn",
   MAX(IF((Y446:BF446&lt;&gt;"")*(Y446:BF446&lt;&gt;0), COLUMN(Y446:BF446)-COLUMN(Y446)+1))
   -MATCH(1, --((Y446:BF446&lt;&gt;"")*(Y446:BF446&lt;&gt;0)), 0)
   +1,
"")</f>
        <v>16</v>
      </c>
      <c r="V446" s="6" t="str" cm="1">
        <f t="array" ref="V446">IFERROR(
    IF(
        MATCH(2,1/((Y446:BF446&lt;&gt;0)*(Y446:BF446&lt;&gt;"")))-MATCH(1,INDEX((Y446:BF446&lt;&gt;0)*(Y446:BF446&lt;&gt;""),0),0)+1 &lt;= 12,
        "No",
        "Yes"
    ),
    "No"
)</f>
        <v>Yes</v>
      </c>
      <c r="W446" s="6" t="str" cm="1">
        <f t="array" ref="W446">IFERROR(
    IF(
        MATCH(2,1/((Y446:BF446&lt;&gt;0)*(Y446:BF446&lt;&gt;"")))-MATCH(1,INDEX((Y446:BF446&lt;&gt;0)*(Y446:BF446&lt;&gt;""),0),0)+1 &lt;= 24,
        "No",
        "Yes"
    ),
    "No"
)</f>
        <v>No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170.01087599999997</v>
      </c>
      <c r="AN446" s="8">
        <v>170.01087599999997</v>
      </c>
      <c r="AO446" s="8">
        <v>170</v>
      </c>
      <c r="AP446" s="8">
        <v>169.99943433333331</v>
      </c>
      <c r="AQ446" s="8">
        <v>169.99943433333331</v>
      </c>
      <c r="AR446" s="8">
        <v>169.99943433333331</v>
      </c>
      <c r="AS446" s="8">
        <v>169.99943433333331</v>
      </c>
      <c r="AT446" s="8">
        <v>169.99943433333331</v>
      </c>
      <c r="AU446" s="8">
        <v>169.99943433333331</v>
      </c>
      <c r="AV446" s="8">
        <v>169.99943433333331</v>
      </c>
      <c r="AW446" s="8">
        <v>169.99943433333331</v>
      </c>
      <c r="AX446" s="8">
        <v>169.99943433333331</v>
      </c>
      <c r="AY446" s="8">
        <v>169.99943433333331</v>
      </c>
      <c r="AZ446" s="8">
        <v>169.99943433333331</v>
      </c>
      <c r="BA446" s="8">
        <v>169.99943433333331</v>
      </c>
      <c r="BB446" s="8">
        <v>169.99943433333331</v>
      </c>
      <c r="BC446" s="8">
        <v>0</v>
      </c>
      <c r="BD446" s="8">
        <v>0</v>
      </c>
      <c r="BE446" s="8">
        <v>0</v>
      </c>
      <c r="BF446" s="8">
        <v>0</v>
      </c>
      <c r="BH446" s="8">
        <f t="shared" si="83"/>
        <v>0</v>
      </c>
      <c r="BI446" s="8">
        <f t="shared" si="84"/>
        <v>1700.0177923333331</v>
      </c>
      <c r="BJ446" s="8">
        <f t="shared" si="85"/>
        <v>1019.9966059999998</v>
      </c>
    </row>
    <row r="447" spans="1:62" x14ac:dyDescent="0.25">
      <c r="A447" s="9" t="s">
        <v>260</v>
      </c>
      <c r="B447" s="9" t="s">
        <v>644</v>
      </c>
      <c r="C447" s="10">
        <f>VLOOKUP(A447,'[2]Revenue_Engine_2025 Oct.25'!$C$14:G$3937,5,0)</f>
        <v>45287</v>
      </c>
      <c r="D447" s="6" cm="1">
        <f t="array" ref="D447">_xlfn.LET(
  _xlpm.aralık, Y447:BF447,
  _xlpm.ilk, MATCH(TRUE, _xlpm.aralık&lt;&gt;0, 0),
  _xlpm.son, MIN(_xlpm.ilk+2, COLUMNS(_xlpm.aralık)),
  MAX(INDEX(_xlpm.aralık, _xlpm.ilk):INDEX(_xlpm.aralık, _xlpm.son))
)</f>
        <v>99.333333416666676</v>
      </c>
      <c r="E447" s="6">
        <f t="shared" si="78"/>
        <v>99.330000166666679</v>
      </c>
      <c r="F447" s="6">
        <f t="shared" si="79"/>
        <v>0</v>
      </c>
      <c r="G447" s="6">
        <f t="shared" si="86"/>
        <v>0</v>
      </c>
      <c r="H447" s="7">
        <f t="shared" si="80"/>
        <v>-3.3556208025511688E-5</v>
      </c>
      <c r="I447" s="7">
        <f t="shared" si="81"/>
        <v>-1</v>
      </c>
      <c r="J447" s="7">
        <f t="shared" si="82"/>
        <v>-1</v>
      </c>
      <c r="K447" s="7">
        <f t="shared" si="87"/>
        <v>0</v>
      </c>
      <c r="L447" s="5" t="s">
        <v>694</v>
      </c>
      <c r="M447" s="7" t="str">
        <f>IF(R447="",(VLOOKUP(A447,[1]Export!$B$2:$H$680,7,0)),"CHURN")</f>
        <v>CHURN</v>
      </c>
      <c r="N447" s="5" t="e">
        <f t="shared" si="88"/>
        <v>#VALUE!</v>
      </c>
      <c r="O447" s="5" t="e">
        <f t="shared" si="89"/>
        <v>#VALUE!</v>
      </c>
      <c r="P447" s="5" t="e">
        <f t="shared" si="90"/>
        <v>#VALUE!</v>
      </c>
      <c r="Q447" s="5" t="s">
        <v>696</v>
      </c>
      <c r="R447" s="5" t="s">
        <v>428</v>
      </c>
      <c r="S447" s="5" t="str">
        <f>VLOOKUP(A447,[3]Sheet1!$A$1:$C$191,3,0)</f>
        <v>Jan.25</v>
      </c>
      <c r="T447" s="6" cm="1">
        <f t="array" ref="T447">IF(R447&lt;&gt;"Churn","",
 _xlfn.LET(
   _xlpm.rng,Y447:BF447,
   _xlpm.pos,MAX(IF((_xlpm.rng&lt;&gt;0)*(_xlpm.rng&lt;&gt;""),COLUMN(_xlpm.rng)-COLUMN(Y447)+1)),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99.333333416666676</v>
      </c>
      <c r="U447" s="6" cm="1">
        <f t="array" ref="U447">IF(R447="Churn",
   MAX(IF((Y447:BF447&lt;&gt;"")*(Y447:BF447&lt;&gt;0), COLUMN(Y447:BF447)-COLUMN(Y447)+1))
   -MATCH(1, --((Y447:BF447&lt;&gt;"")*(Y447:BF447&lt;&gt;0)), 0)
   +1,
"")</f>
        <v>13</v>
      </c>
      <c r="V447" s="6" t="str" cm="1">
        <f t="array" ref="V447">IFERROR(
    IF(
        MATCH(2,1/((Y447:BF447&lt;&gt;0)*(Y447:BF447&lt;&gt;"")))-MATCH(1,INDEX((Y447:BF447&lt;&gt;0)*(Y447:BF447&lt;&gt;""),0),0)+1 &lt;= 12,
        "No",
        "Yes"
    ),
    "No"
)</f>
        <v>Yes</v>
      </c>
      <c r="W447" s="6" t="str" cm="1">
        <f t="array" ref="W447">IFERROR(
    IF(
        MATCH(2,1/((Y447:BF447&lt;&gt;0)*(Y447:BF447&lt;&gt;"")))-MATCH(1,INDEX((Y447:BF447&lt;&gt;0)*(Y447:BF447&lt;&gt;""),0),0)+1 &lt;= 24,
        "No",
        "Yes"
    ),
    "No"
)</f>
        <v>No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99.333333416666676</v>
      </c>
      <c r="AK447" s="8">
        <v>99.333333416666676</v>
      </c>
      <c r="AL447" s="8">
        <v>99.333333416666676</v>
      </c>
      <c r="AM447" s="8">
        <v>99.333333416666676</v>
      </c>
      <c r="AN447" s="8">
        <v>99.333333416666676</v>
      </c>
      <c r="AO447" s="8">
        <v>99.333333416666676</v>
      </c>
      <c r="AP447" s="8">
        <v>99.333333416666676</v>
      </c>
      <c r="AQ447" s="8">
        <v>99.333333416666676</v>
      </c>
      <c r="AR447" s="8">
        <v>99.333333416666676</v>
      </c>
      <c r="AS447" s="8">
        <v>99.333333416666676</v>
      </c>
      <c r="AT447" s="8">
        <v>99.333333416666676</v>
      </c>
      <c r="AU447" s="8">
        <v>99.333333416666676</v>
      </c>
      <c r="AV447" s="8">
        <v>99.330000166666679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H447" s="8">
        <f t="shared" si="83"/>
        <v>99.333333416666676</v>
      </c>
      <c r="BI447" s="8">
        <f t="shared" si="84"/>
        <v>1191.9966677499999</v>
      </c>
      <c r="BJ447" s="8">
        <f t="shared" si="85"/>
        <v>0</v>
      </c>
    </row>
    <row r="448" spans="1:62" x14ac:dyDescent="0.25">
      <c r="A448" s="9" t="s">
        <v>357</v>
      </c>
      <c r="B448" s="9" t="s">
        <v>644</v>
      </c>
      <c r="C448" s="10">
        <f>VLOOKUP(A448,'[2]Revenue_Engine_2025 Oct.25'!$C$14:G$3937,5,0)</f>
        <v>45205</v>
      </c>
      <c r="D448" s="6" cm="1">
        <f t="array" ref="D448">_xlfn.LET(
  _xlpm.aralık, Y448:BF448,
  _xlpm.ilk, MATCH(TRUE, _xlpm.aralık&lt;&gt;0, 0),
  _xlpm.son, MIN(_xlpm.ilk+2, COLUMNS(_xlpm.aralık)),
  MAX(INDEX(_xlpm.aralık, _xlpm.ilk):INDEX(_xlpm.aralık, _xlpm.son))
)</f>
        <v>86</v>
      </c>
      <c r="E448" s="6">
        <f t="shared" si="78"/>
        <v>79.666666666666671</v>
      </c>
      <c r="F448" s="6">
        <f t="shared" si="79"/>
        <v>0</v>
      </c>
      <c r="G448" s="6">
        <f t="shared" si="86"/>
        <v>0</v>
      </c>
      <c r="H448" s="7">
        <f t="shared" si="80"/>
        <v>-7.3643410852713129E-2</v>
      </c>
      <c r="I448" s="7">
        <f t="shared" si="81"/>
        <v>-1</v>
      </c>
      <c r="J448" s="7">
        <f t="shared" si="82"/>
        <v>-1</v>
      </c>
      <c r="K448" s="7">
        <f t="shared" si="87"/>
        <v>-7.3643410852713129E-2</v>
      </c>
      <c r="L448" s="5" t="s">
        <v>694</v>
      </c>
      <c r="M448" s="7" t="str">
        <f>IF(R448="",(VLOOKUP(A448,[1]Export!$B$2:$H$680,7,0)),"CHURN")</f>
        <v>CHURN</v>
      </c>
      <c r="N448" s="5" t="e">
        <f t="shared" si="88"/>
        <v>#VALUE!</v>
      </c>
      <c r="O448" s="5" t="e">
        <f t="shared" si="89"/>
        <v>#VALUE!</v>
      </c>
      <c r="P448" s="5" t="e">
        <f t="shared" si="90"/>
        <v>#VALUE!</v>
      </c>
      <c r="Q448" s="5" t="s">
        <v>696</v>
      </c>
      <c r="R448" s="5" t="s">
        <v>428</v>
      </c>
      <c r="S448" s="5" t="str">
        <f>VLOOKUP(A448,[3]Sheet1!$A$1:$C$191,3,0)</f>
        <v>Oct.25</v>
      </c>
      <c r="T448" s="6" cm="1">
        <f t="array" ref="T448">IF(R448&lt;&gt;"Churn","",
 _xlfn.LET(
   _xlpm.rng,Y448:BF448,
   _xlpm.pos,MAX(IF((_xlpm.rng&lt;&gt;0)*(_xlpm.rng&lt;&gt;""),COLUMN(_xlpm.rng)-COLUMN(Y448)+1)),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79.666666666666671</v>
      </c>
      <c r="U448" s="6" cm="1">
        <f t="array" ref="U448">IF(R448="Churn",
   MAX(IF((Y448:BF448&lt;&gt;"")*(Y448:BF448&lt;&gt;0), COLUMN(Y448:BF448)-COLUMN(Y448)+1))
   -MATCH(1, --((Y448:BF448&lt;&gt;"")*(Y448:BF448&lt;&gt;0)), 0)
   +1,
"")</f>
        <v>24</v>
      </c>
      <c r="V448" s="6" t="str" cm="1">
        <f t="array" ref="V448">IFERROR(
    IF(
        MATCH(2,1/((Y448:BF448&lt;&gt;0)*(Y448:BF448&lt;&gt;"")))-MATCH(1,INDEX((Y448:BF448&lt;&gt;0)*(Y448:BF448&lt;&gt;""),0),0)+1 &lt;= 12,
        "No",
        "Yes"
    ),
    "No"
)</f>
        <v>Yes</v>
      </c>
      <c r="W448" s="6" t="str" cm="1">
        <f t="array" ref="W448">IFERROR(
    IF(
        MATCH(2,1/((Y448:BF448&lt;&gt;0)*(Y448:BF448&lt;&gt;"")))-MATCH(1,INDEX((Y448:BF448&lt;&gt;0)*(Y448:BF448&lt;&gt;""),0),0)+1 &lt;= 24,
        "No",
        "Yes"
    ),
    "No"
)</f>
        <v>No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86</v>
      </c>
      <c r="AI448" s="8">
        <v>86</v>
      </c>
      <c r="AJ448" s="8">
        <v>86</v>
      </c>
      <c r="AK448" s="8">
        <v>86</v>
      </c>
      <c r="AL448" s="8">
        <v>86</v>
      </c>
      <c r="AM448" s="8">
        <v>86</v>
      </c>
      <c r="AN448" s="8">
        <v>86</v>
      </c>
      <c r="AO448" s="8">
        <v>86</v>
      </c>
      <c r="AP448" s="8">
        <v>86</v>
      </c>
      <c r="AQ448" s="8">
        <v>86</v>
      </c>
      <c r="AR448" s="8">
        <v>86</v>
      </c>
      <c r="AS448" s="8">
        <v>86</v>
      </c>
      <c r="AT448" s="8">
        <v>79.666666666666671</v>
      </c>
      <c r="AU448" s="8">
        <v>79.666666666666671</v>
      </c>
      <c r="AV448" s="8">
        <v>79.666666666666671</v>
      </c>
      <c r="AW448" s="8">
        <v>79.666666666666671</v>
      </c>
      <c r="AX448" s="8">
        <v>79.666666666666671</v>
      </c>
      <c r="AY448" s="8">
        <v>79.666666666666671</v>
      </c>
      <c r="AZ448" s="8">
        <v>79.666666666666671</v>
      </c>
      <c r="BA448" s="8">
        <v>79.666666666666671</v>
      </c>
      <c r="BB448" s="8">
        <v>79.666666666666671</v>
      </c>
      <c r="BC448" s="8">
        <v>79.666666666666671</v>
      </c>
      <c r="BD448" s="8">
        <v>79.666666666666671</v>
      </c>
      <c r="BE448" s="8">
        <v>79.666666666666671</v>
      </c>
      <c r="BF448" s="8">
        <v>0</v>
      </c>
      <c r="BH448" s="8">
        <f t="shared" si="83"/>
        <v>258</v>
      </c>
      <c r="BI448" s="8">
        <f t="shared" si="84"/>
        <v>1012.9999999999999</v>
      </c>
      <c r="BJ448" s="8">
        <f t="shared" si="85"/>
        <v>717</v>
      </c>
    </row>
    <row r="449" spans="1:62" x14ac:dyDescent="0.25">
      <c r="A449" s="9" t="s">
        <v>42</v>
      </c>
      <c r="B449" s="9" t="s">
        <v>644</v>
      </c>
      <c r="C449" s="10">
        <v>44927</v>
      </c>
      <c r="D449" s="6" cm="1">
        <f t="array" ref="D449">_xlfn.LET(
  _xlpm.aralık, Y449:BF449,
  _xlpm.ilk, MATCH(TRUE, _xlpm.aralık&lt;&gt;0, 0),
  _xlpm.son, MIN(_xlpm.ilk+2, COLUMNS(_xlpm.aralık)),
  MAX(INDEX(_xlpm.aralık, _xlpm.ilk):INDEX(_xlpm.aralık, _xlpm.son))
)</f>
        <v>1795.6337724317227</v>
      </c>
      <c r="E449" s="6">
        <f t="shared" si="78"/>
        <v>2642.8238572233577</v>
      </c>
      <c r="F449" s="6">
        <f t="shared" si="79"/>
        <v>2895.3063449784122</v>
      </c>
      <c r="G449" s="6">
        <f t="shared" si="86"/>
        <v>0</v>
      </c>
      <c r="H449" s="7">
        <f t="shared" si="80"/>
        <v>0.47180560858149517</v>
      </c>
      <c r="I449" s="7">
        <f t="shared" si="81"/>
        <v>0.61241473034752891</v>
      </c>
      <c r="J449" s="7">
        <f t="shared" si="82"/>
        <v>9.5535117508860914E-2</v>
      </c>
      <c r="K449" s="7">
        <f t="shared" si="87"/>
        <v>0.60030371375932501</v>
      </c>
      <c r="L449" s="5" t="s">
        <v>418</v>
      </c>
      <c r="M449" s="7" t="str">
        <f>IF(R449="",(VLOOKUP(A449,[1]Export!$B$2:$H$680,7,0)),"CHURN")</f>
        <v>CHURN</v>
      </c>
      <c r="N449" s="5" t="e">
        <f t="shared" si="88"/>
        <v>#VALUE!</v>
      </c>
      <c r="O449" s="5" t="e">
        <f t="shared" si="89"/>
        <v>#VALUE!</v>
      </c>
      <c r="P449" s="5" t="e">
        <f t="shared" si="90"/>
        <v>#VALUE!</v>
      </c>
      <c r="Q449" s="15" t="str">
        <f>VLOOKUP(A449,[4]Sheet2!$A$1:$B$142,2,0)</f>
        <v>BOOKED CHURN</v>
      </c>
      <c r="R449" s="5" t="s">
        <v>428</v>
      </c>
      <c r="S449" s="5" t="str">
        <f>VLOOKUP(A449,[3]Sheet1!$A$1:$C$191,3,0)</f>
        <v>Aug.25</v>
      </c>
      <c r="T449" s="6" cm="1">
        <f t="array" ref="T449">IF(R449&lt;&gt;"Churn","",
 _xlfn.LET(
   _xlpm.rng,Y449:BF449,
   _xlpm.pos,MAX(IF((_xlpm.rng&lt;&gt;0)*(_xlpm.rng&lt;&gt;""),COLUMN(_xlpm.rng)-COLUMN(Y449)+1)),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2873.5593945741525</v>
      </c>
      <c r="U449" s="6" cm="1">
        <f t="array" ref="U449">IF(R449="Churn",
   MAX(IF((Y449:BF449&lt;&gt;"")*(Y449:BF449&lt;&gt;0), COLUMN(Y449:BF449)-COLUMN(Y449)+1))
   -MATCH(1, --((Y449:BF449&lt;&gt;"")*(Y449:BF449&lt;&gt;0)), 0)
   +1,
"")</f>
        <v>31</v>
      </c>
      <c r="V449" s="6" t="str" cm="1">
        <f t="array" ref="V449">IFERROR(
    IF(
        MATCH(2,1/((Y449:BF449&lt;&gt;0)*(Y449:BF449&lt;&gt;"")))-MATCH(1,INDEX((Y449:BF449&lt;&gt;0)*(Y449:BF449&lt;&gt;""),0),0)+1 &lt;= 12,
        "No",
        "Yes"
    ),
    "No"
)</f>
        <v>Yes</v>
      </c>
      <c r="W449" s="6" t="str" cm="1">
        <f t="array" ref="W449">IFERROR(
    IF(
        MATCH(2,1/((Y449:BF449&lt;&gt;0)*(Y449:BF449&lt;&gt;"")))-MATCH(1,INDEX((Y449:BF449&lt;&gt;0)*(Y449:BF449&lt;&gt;""),0),0)+1 &lt;= 24,
        "No",
        "Yes"
    ),
    "No"
)</f>
        <v>Yes</v>
      </c>
      <c r="Y449" s="8">
        <v>1778.6965567242235</v>
      </c>
      <c r="Z449" s="8">
        <v>1777.8721069715307</v>
      </c>
      <c r="AA449" s="8">
        <v>1795.6337724317227</v>
      </c>
      <c r="AB449" s="8">
        <v>1848.8545843023708</v>
      </c>
      <c r="AC449" s="8">
        <v>1876.3951725679904</v>
      </c>
      <c r="AD449" s="8">
        <v>1881.4679036614132</v>
      </c>
      <c r="AE449" s="8">
        <v>1889.800004430962</v>
      </c>
      <c r="AF449" s="8">
        <v>1983.7817458823001</v>
      </c>
      <c r="AG449" s="8">
        <v>2243.1235060005265</v>
      </c>
      <c r="AH449" s="8">
        <v>2234.8450328705212</v>
      </c>
      <c r="AI449" s="8">
        <v>2227.6788271169121</v>
      </c>
      <c r="AJ449" s="8">
        <v>2664.8183875902778</v>
      </c>
      <c r="AK449" s="8">
        <v>2642.8238572233577</v>
      </c>
      <c r="AL449" s="8">
        <v>2627.4687045888413</v>
      </c>
      <c r="AM449" s="8">
        <v>2602.4708598166562</v>
      </c>
      <c r="AN449" s="8">
        <v>2596.2166754613154</v>
      </c>
      <c r="AO449" s="8">
        <v>2597.1204496078276</v>
      </c>
      <c r="AP449" s="8">
        <v>2591.8490384385564</v>
      </c>
      <c r="AQ449" s="8">
        <v>2584.6982503478148</v>
      </c>
      <c r="AR449" s="8">
        <v>2571.5627775315302</v>
      </c>
      <c r="AS449" s="8">
        <v>2699.7274156374961</v>
      </c>
      <c r="AT449" s="8">
        <v>2749.4410135818111</v>
      </c>
      <c r="AU449" s="8">
        <v>2745.9137133593904</v>
      </c>
      <c r="AV449" s="8">
        <v>2907.3328754197369</v>
      </c>
      <c r="AW449" s="8">
        <v>2895.3063449784122</v>
      </c>
      <c r="AX449" s="8">
        <v>2925.2045993696097</v>
      </c>
      <c r="AY449" s="8">
        <v>2905.9461757816407</v>
      </c>
      <c r="AZ449" s="8">
        <v>2885.840229042416</v>
      </c>
      <c r="BA449" s="8">
        <v>2873.5593945741525</v>
      </c>
      <c r="BB449" s="8">
        <v>2861.33047657722</v>
      </c>
      <c r="BC449" s="8">
        <v>2847.7110741226579</v>
      </c>
      <c r="BD449" s="8">
        <v>0</v>
      </c>
      <c r="BE449" s="8">
        <v>0</v>
      </c>
      <c r="BF449" s="8">
        <v>0</v>
      </c>
      <c r="BH449" s="8">
        <f t="shared" si="83"/>
        <v>24202.967600550757</v>
      </c>
      <c r="BI449" s="8">
        <f t="shared" si="84"/>
        <v>31916.625631014333</v>
      </c>
      <c r="BJ449" s="8">
        <f t="shared" si="85"/>
        <v>20194.89829444611</v>
      </c>
    </row>
    <row r="450" spans="1:62" x14ac:dyDescent="0.25">
      <c r="A450" s="9" t="s">
        <v>556</v>
      </c>
      <c r="B450" s="9" t="s">
        <v>643</v>
      </c>
      <c r="C450" s="10">
        <f>VLOOKUP(A450,'[2]Revenue_Engine_2025 Oct.25'!$C$14:G$3937,5,0)</f>
        <v>45688</v>
      </c>
      <c r="D450" s="6" cm="1">
        <f t="array" ref="D450">_xlfn.LET(
  _xlpm.aralık, Y450:BF450,
  _xlpm.ilk, MATCH(TRUE, _xlpm.aralık&lt;&gt;0, 0),
  _xlpm.son, MIN(_xlpm.ilk+2, COLUMNS(_xlpm.aralık)),
  MAX(INDEX(_xlpm.aralık, _xlpm.ilk):INDEX(_xlpm.aralık, _xlpm.son))
)</f>
        <v>1800</v>
      </c>
      <c r="E450" s="6">
        <f t="shared" ref="E450:E513" si="91">IFERROR(INDEX($Y450:$BF450,MATCH(TEXT(EDATE($C450,12),"mmm.yy"),$Y$1:$BF$1,0)),0)</f>
        <v>0</v>
      </c>
      <c r="F450" s="6">
        <f t="shared" ref="F450:F513" si="92">IFERROR(INDEX($Y450:$BF450,MATCH(TEXT(EDATE($C450,24),"mmm.yy"),$Y$1:$BF$1,0)),0)</f>
        <v>0</v>
      </c>
      <c r="G450" s="6">
        <f t="shared" si="86"/>
        <v>0</v>
      </c>
      <c r="H450" s="7">
        <f t="shared" ref="H450:H513" si="93">(E450-D450)/D450</f>
        <v>-1</v>
      </c>
      <c r="I450" s="7">
        <f t="shared" ref="I450:I513" si="94">(F450-D450)/D450</f>
        <v>-1</v>
      </c>
      <c r="J450" s="7" t="e">
        <f t="shared" ref="J450:J513" si="95">(F450-E450)/E450</f>
        <v>#DIV/0!</v>
      </c>
      <c r="K450" s="7">
        <f t="shared" si="87"/>
        <v>0</v>
      </c>
      <c r="L450" s="5" t="s">
        <v>417</v>
      </c>
      <c r="M450" s="7" t="str">
        <f>IF(R450="",(VLOOKUP(A450,[1]Export!$B$2:$H$680,7,0)),"CHURN")</f>
        <v>CHURN</v>
      </c>
      <c r="N450" s="5" t="e">
        <f t="shared" si="88"/>
        <v>#VALUE!</v>
      </c>
      <c r="O450" s="5" t="e">
        <f t="shared" si="89"/>
        <v>#VALUE!</v>
      </c>
      <c r="P450" s="5" t="e">
        <f t="shared" si="90"/>
        <v>#VALUE!</v>
      </c>
      <c r="Q450" s="15" t="s">
        <v>696</v>
      </c>
      <c r="R450" s="5" t="s">
        <v>428</v>
      </c>
      <c r="S450" s="5" t="str">
        <f>VLOOKUP(A450,[3]Sheet1!$A$1:$C$191,3,0)</f>
        <v>Sep.25</v>
      </c>
      <c r="T450" s="6" cm="1">
        <f t="array" ref="T450">IF(R450&lt;&gt;"Churn","",
 _xlfn.LET(
   _xlpm.rng,Y450:BF450,
   _xlpm.pos,MAX(IF((_xlpm.rng&lt;&gt;0)*(_xlpm.rng&lt;&gt;""),COLUMN(_xlpm.rng)-COLUMN(Y450)+1)),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1800</v>
      </c>
      <c r="U450" s="6" cm="1">
        <f t="array" ref="U450">IF(R450="Churn",
   MAX(IF((Y450:BF450&lt;&gt;"")*(Y450:BF450&lt;&gt;0), COLUMN(Y450:BF450)-COLUMN(Y450)+1))
   -MATCH(1, --((Y450:BF450&lt;&gt;"")*(Y450:BF450&lt;&gt;0)), 0)
   +1,
"")</f>
        <v>8</v>
      </c>
      <c r="V450" s="6" t="str" cm="1">
        <f t="array" ref="V450">IFERROR(
    IF(
        MATCH(2,1/((Y450:BF450&lt;&gt;0)*(Y450:BF450&lt;&gt;"")))-MATCH(1,INDEX((Y450:BF450&lt;&gt;0)*(Y450:BF450&lt;&gt;""),0),0)+1 &lt;= 12,
        "No",
        "Yes"
    ),
    "No"
)</f>
        <v>No</v>
      </c>
      <c r="W450" s="6" t="str" cm="1">
        <f t="array" ref="W450">IFERROR(
    IF(
        MATCH(2,1/((Y450:BF450&lt;&gt;0)*(Y450:BF450&lt;&gt;"")))-MATCH(1,INDEX((Y450:BF450&lt;&gt;0)*(Y450:BF450&lt;&gt;""),0),0)+1 &lt;= 24,
        "No",
        "Yes"
    ),
    "No"
)</f>
        <v>No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1800</v>
      </c>
      <c r="AX450" s="8">
        <v>1800</v>
      </c>
      <c r="AY450" s="8">
        <v>1800</v>
      </c>
      <c r="AZ450" s="8">
        <v>1800</v>
      </c>
      <c r="BA450" s="8">
        <v>1800</v>
      </c>
      <c r="BB450" s="8">
        <v>1800</v>
      </c>
      <c r="BC450" s="8">
        <v>1800</v>
      </c>
      <c r="BD450" s="8">
        <v>1800</v>
      </c>
      <c r="BE450" s="8">
        <v>0</v>
      </c>
      <c r="BF450" s="8">
        <v>0</v>
      </c>
      <c r="BH450" s="8">
        <f t="shared" ref="BH450:BH513" si="96">SUM(Y450:AJ450)</f>
        <v>0</v>
      </c>
      <c r="BI450" s="8">
        <f t="shared" ref="BI450:BI513" si="97">SUM(AK450:AV450)</f>
        <v>0</v>
      </c>
      <c r="BJ450" s="8">
        <f t="shared" ref="BJ450:BJ513" si="98">SUM(AW450:BF450)</f>
        <v>14400</v>
      </c>
    </row>
    <row r="451" spans="1:62" x14ac:dyDescent="0.25">
      <c r="A451" s="9" t="s">
        <v>313</v>
      </c>
      <c r="B451" s="9" t="s">
        <v>644</v>
      </c>
      <c r="C451" s="10">
        <v>44927</v>
      </c>
      <c r="D451" s="6" cm="1">
        <f t="array" ref="D451">_xlfn.LET(
  _xlpm.aralık, Y451:BF451,
  _xlpm.ilk, MATCH(TRUE, _xlpm.aralık&lt;&gt;0, 0),
  _xlpm.son, MIN(_xlpm.ilk+2, COLUMNS(_xlpm.aralık)),
  MAX(INDEX(_xlpm.aralık, _xlpm.ilk):INDEX(_xlpm.aralık, _xlpm.son))
)</f>
        <v>544.94336373765213</v>
      </c>
      <c r="E451" s="6">
        <f t="shared" si="91"/>
        <v>667.02904453723636</v>
      </c>
      <c r="F451" s="6">
        <f t="shared" si="92"/>
        <v>703.1699354565568</v>
      </c>
      <c r="G451" s="6">
        <f t="shared" ref="G451:G514" si="99">BF451</f>
        <v>0</v>
      </c>
      <c r="H451" s="7">
        <f t="shared" si="93"/>
        <v>0.22403370501151562</v>
      </c>
      <c r="I451" s="7">
        <f t="shared" si="94"/>
        <v>0.29035415833612843</v>
      </c>
      <c r="J451" s="7">
        <f t="shared" si="95"/>
        <v>5.4181884904867743E-2</v>
      </c>
      <c r="K451" s="7">
        <f t="shared" ref="K451:K514" si="100">IF(R451="",((BF451-D451)/D451),((T451-D451)/D451))</f>
        <v>0.2656367548933371</v>
      </c>
      <c r="L451" s="5" t="s">
        <v>416</v>
      </c>
      <c r="M451" s="7" t="str">
        <f>IF(R451="",(VLOOKUP(A451,[1]Export!$B$2:$H$680,7,0)),"CHURN")</f>
        <v>CHURN</v>
      </c>
      <c r="N451" s="5" t="e">
        <f t="shared" ref="N451:N514" si="101">(1-M451)*G451</f>
        <v>#VALUE!</v>
      </c>
      <c r="O451" s="5" t="e">
        <f t="shared" ref="O451:O514" si="102">(1-M451)*E451</f>
        <v>#VALUE!</v>
      </c>
      <c r="P451" s="5" t="e">
        <f t="shared" ref="P451:P514" si="103">(1-M451)*F451</f>
        <v>#VALUE!</v>
      </c>
      <c r="Q451" s="5" t="s">
        <v>696</v>
      </c>
      <c r="R451" s="5" t="s">
        <v>428</v>
      </c>
      <c r="S451" s="5" t="str">
        <f>VLOOKUP(A451,[3]Sheet1!$A$1:$C$191,3,0)</f>
        <v>Sep.25</v>
      </c>
      <c r="T451" s="6" cm="1">
        <f t="array" ref="T451">IF(R451&lt;&gt;"Churn","",
 _xlfn.LET(
   _xlpm.rng,Y451:BF451,
   _xlpm.pos,MAX(IF((_xlpm.rng&lt;&gt;0)*(_xlpm.rng&lt;&gt;""),COLUMN(_xlpm.rng)-COLUMN(Y451)+1)),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689.70035048158149</v>
      </c>
      <c r="U451" s="6" cm="1">
        <f t="array" ref="U451">IF(R451="Churn",
   MAX(IF((Y451:BF451&lt;&gt;"")*(Y451:BF451&lt;&gt;0), COLUMN(Y451:BF451)-COLUMN(Y451)+1))
   -MATCH(1, --((Y451:BF451&lt;&gt;"")*(Y451:BF451&lt;&gt;0)), 0)
   +1,
"")</f>
        <v>32</v>
      </c>
      <c r="V451" s="6" t="str" cm="1">
        <f t="array" ref="V451">IFERROR(
    IF(
        MATCH(2,1/((Y451:BF451&lt;&gt;0)*(Y451:BF451&lt;&gt;"")))-MATCH(1,INDEX((Y451:BF451&lt;&gt;0)*(Y451:BF451&lt;&gt;""),0),0)+1 &lt;= 12,
        "No",
        "Yes"
    ),
    "No"
)</f>
        <v>Yes</v>
      </c>
      <c r="W451" s="6" t="str" cm="1">
        <f t="array" ref="W451">IFERROR(
    IF(
        MATCH(2,1/((Y451:BF451&lt;&gt;0)*(Y451:BF451&lt;&gt;"")))-MATCH(1,INDEX((Y451:BF451&lt;&gt;0)*(Y451:BF451&lt;&gt;""),0),0)+1 &lt;= 24,
        "No",
        "Yes"
    ),
    "No"
)</f>
        <v>Yes</v>
      </c>
      <c r="Y451" s="8">
        <v>544.94336373765213</v>
      </c>
      <c r="Z451" s="8">
        <v>544.49884454172138</v>
      </c>
      <c r="AA451" s="8">
        <v>543.56158539479304</v>
      </c>
      <c r="AB451" s="8">
        <v>541.31304095596727</v>
      </c>
      <c r="AC451" s="8">
        <v>538.9548770803691</v>
      </c>
      <c r="AD451" s="8">
        <v>519.55929621893267</v>
      </c>
      <c r="AE451" s="8">
        <v>530.61311539702558</v>
      </c>
      <c r="AF451" s="8">
        <v>528.4636089889018</v>
      </c>
      <c r="AG451" s="8">
        <v>528.36016818959661</v>
      </c>
      <c r="AH451" s="8">
        <v>524.92778195882647</v>
      </c>
      <c r="AI451" s="8">
        <v>521.95655941944312</v>
      </c>
      <c r="AJ451" s="8">
        <v>670.32120943061045</v>
      </c>
      <c r="AK451" s="8">
        <v>667.02904453723636</v>
      </c>
      <c r="AL451" s="8">
        <v>664.73066882325509</v>
      </c>
      <c r="AM451" s="8">
        <v>660.98896460879382</v>
      </c>
      <c r="AN451" s="8">
        <v>660.052831587181</v>
      </c>
      <c r="AO451" s="8">
        <v>660.18810947068425</v>
      </c>
      <c r="AP451" s="8">
        <v>659.3990789935383</v>
      </c>
      <c r="AQ451" s="8">
        <v>713.90307031578277</v>
      </c>
      <c r="AR451" s="8">
        <v>710.74054754342205</v>
      </c>
      <c r="AS451" s="8">
        <v>709.09485210865921</v>
      </c>
      <c r="AT451" s="8">
        <v>708.21617779066287</v>
      </c>
      <c r="AU451" s="8">
        <v>707.43775776526263</v>
      </c>
      <c r="AV451" s="8">
        <v>705.25408552223894</v>
      </c>
      <c r="AW451" s="8">
        <v>703.1699354565568</v>
      </c>
      <c r="AX451" s="8">
        <v>700.76948283547495</v>
      </c>
      <c r="AY451" s="8">
        <v>697.43207434666556</v>
      </c>
      <c r="AZ451" s="8">
        <v>693.94779345438337</v>
      </c>
      <c r="BA451" s="8">
        <v>691.81957350861126</v>
      </c>
      <c r="BB451" s="8">
        <v>689.70035048158149</v>
      </c>
      <c r="BC451" s="8">
        <v>687.34016200837948</v>
      </c>
      <c r="BD451" s="8">
        <v>685.48682740515062</v>
      </c>
      <c r="BE451" s="8">
        <v>0</v>
      </c>
      <c r="BF451" s="8">
        <v>0</v>
      </c>
      <c r="BH451" s="8">
        <f t="shared" si="96"/>
        <v>6537.4734513138392</v>
      </c>
      <c r="BI451" s="8">
        <f t="shared" si="97"/>
        <v>8227.0351890667171</v>
      </c>
      <c r="BJ451" s="8">
        <f t="shared" si="98"/>
        <v>5549.6661994968035</v>
      </c>
    </row>
    <row r="452" spans="1:62" x14ac:dyDescent="0.25">
      <c r="A452" s="9" t="s">
        <v>557</v>
      </c>
      <c r="B452" s="9" t="s">
        <v>644</v>
      </c>
      <c r="C452" s="10">
        <f>VLOOKUP(A452,'[2]Revenue_Engine_2025 Oct.25'!$C$14:G$3937,5,0)</f>
        <v>45597</v>
      </c>
      <c r="D452" s="6" cm="1">
        <f t="array" ref="D452">_xlfn.LET(
  _xlpm.aralık, Y452:BF452,
  _xlpm.ilk, MATCH(TRUE, _xlpm.aralık&lt;&gt;0, 0),
  _xlpm.son, MIN(_xlpm.ilk+2, COLUMNS(_xlpm.aralık)),
  MAX(INDEX(_xlpm.aralık, _xlpm.ilk):INDEX(_xlpm.aralık, _xlpm.son))
)</f>
        <v>99.999999999999986</v>
      </c>
      <c r="E452" s="6">
        <f t="shared" si="91"/>
        <v>0</v>
      </c>
      <c r="F452" s="6">
        <f t="shared" si="92"/>
        <v>0</v>
      </c>
      <c r="G452" s="6">
        <f t="shared" si="99"/>
        <v>0</v>
      </c>
      <c r="H452" s="7">
        <f t="shared" si="93"/>
        <v>-1</v>
      </c>
      <c r="I452" s="7">
        <f t="shared" si="94"/>
        <v>-1</v>
      </c>
      <c r="J452" s="7" t="e">
        <f t="shared" si="95"/>
        <v>#DIV/0!</v>
      </c>
      <c r="K452" s="7">
        <f t="shared" si="100"/>
        <v>0.99991777000000037</v>
      </c>
      <c r="L452" s="5" t="s">
        <v>416</v>
      </c>
      <c r="M452" s="7" t="str">
        <f>IF(R452="",(VLOOKUP(A452,[1]Export!$B$2:$H$680,7,0)),"CHURN")</f>
        <v>CHURN</v>
      </c>
      <c r="N452" s="5" t="e">
        <f t="shared" si="101"/>
        <v>#VALUE!</v>
      </c>
      <c r="O452" s="5" t="e">
        <f t="shared" si="102"/>
        <v>#VALUE!</v>
      </c>
      <c r="P452" s="5" t="e">
        <f t="shared" si="103"/>
        <v>#VALUE!</v>
      </c>
      <c r="Q452" s="5" t="str">
        <f>VLOOKUP(A452,[4]Sheet2!$A$1:$B$142,2,0)</f>
        <v>CHURN</v>
      </c>
      <c r="R452" s="5" t="s">
        <v>428</v>
      </c>
      <c r="S452" s="5" t="str">
        <f>VLOOKUP(A452,[3]Sheet1!$A$1:$C$191,3,0)</f>
        <v>Jul.25</v>
      </c>
      <c r="T452" s="6" cm="1">
        <f t="array" ref="T452">IF(R452&lt;&gt;"Churn","",
 _xlfn.LET(
   _xlpm.rng,Y452:BF452,
   _xlpm.pos,MAX(IF((_xlpm.rng&lt;&gt;0)*(_xlpm.rng&lt;&gt;""),COLUMN(_xlpm.rng)-COLUMN(Y452)+1)),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199.99177700000001</v>
      </c>
      <c r="U452" s="6" cm="1">
        <f t="array" ref="U452">IF(R452="Churn",
   MAX(IF((Y452:BF452&lt;&gt;"")*(Y452:BF452&lt;&gt;0), COLUMN(Y452:BF452)-COLUMN(Y452)+1))
   -MATCH(1, --((Y452:BF452&lt;&gt;"")*(Y452:BF452&lt;&gt;0)), 0)
   +1,
"")</f>
        <v>22</v>
      </c>
      <c r="V452" s="6" t="str" cm="1">
        <f t="array" ref="V452">IFERROR(
    IF(
        MATCH(2,1/((Y452:BF452&lt;&gt;0)*(Y452:BF452&lt;&gt;"")))-MATCH(1,INDEX((Y452:BF452&lt;&gt;0)*(Y452:BF452&lt;&gt;""),0),0)+1 &lt;= 12,
        "No",
        "Yes"
    ),
    "No"
)</f>
        <v>Yes</v>
      </c>
      <c r="W452" s="6" t="str" cm="1">
        <f t="array" ref="W452">IFERROR(
    IF(
        MATCH(2,1/((Y452:BF452&lt;&gt;0)*(Y452:BF452&lt;&gt;"")))-MATCH(1,INDEX((Y452:BF452&lt;&gt;0)*(Y452:BF452&lt;&gt;""),0),0)+1 &lt;= 24,
        "No",
        "Yes"
    ),
    "No"
)</f>
        <v>No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99.999999999999986</v>
      </c>
      <c r="AH452" s="8">
        <v>99.999999999999986</v>
      </c>
      <c r="AI452" s="8">
        <v>99.999999999999986</v>
      </c>
      <c r="AJ452" s="8">
        <v>99.999999999999986</v>
      </c>
      <c r="AK452" s="8">
        <v>99.999999999999986</v>
      </c>
      <c r="AL452" s="8">
        <v>99.999999999999986</v>
      </c>
      <c r="AM452" s="8">
        <v>99.999999999999986</v>
      </c>
      <c r="AN452" s="8">
        <v>99.999999999999986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199.99177699999998</v>
      </c>
      <c r="AV452" s="8">
        <v>199.99177699999998</v>
      </c>
      <c r="AW452" s="8">
        <v>199.99177699999998</v>
      </c>
      <c r="AX452" s="8">
        <v>199.99177699999998</v>
      </c>
      <c r="AY452" s="8">
        <v>199.99177699999998</v>
      </c>
      <c r="AZ452" s="8">
        <v>199.99177700000001</v>
      </c>
      <c r="BA452" s="8">
        <v>199.99177699999998</v>
      </c>
      <c r="BB452" s="8">
        <v>199.99177699999998</v>
      </c>
      <c r="BC452" s="8">
        <v>0</v>
      </c>
      <c r="BD452" s="8">
        <v>0</v>
      </c>
      <c r="BE452" s="8">
        <v>0</v>
      </c>
      <c r="BF452" s="8">
        <v>0</v>
      </c>
      <c r="BH452" s="8">
        <f t="shared" si="96"/>
        <v>399.99999999999994</v>
      </c>
      <c r="BI452" s="8">
        <f t="shared" si="97"/>
        <v>799.98355399999991</v>
      </c>
      <c r="BJ452" s="8">
        <f t="shared" si="98"/>
        <v>1199.950662</v>
      </c>
    </row>
    <row r="453" spans="1:62" x14ac:dyDescent="0.25">
      <c r="A453" s="9" t="s">
        <v>281</v>
      </c>
      <c r="B453" s="9" t="s">
        <v>644</v>
      </c>
      <c r="C453" s="10">
        <f>VLOOKUP(A453,'[2]Revenue_Engine_2025 Oct.25'!$C$14:G$3937,5,0)</f>
        <v>45381</v>
      </c>
      <c r="D453" s="6" cm="1">
        <f t="array" ref="D453">_xlfn.LET(
  _xlpm.aralık, Y453:BF453,
  _xlpm.ilk, MATCH(TRUE, _xlpm.aralık&lt;&gt;0, 0),
  _xlpm.son, MIN(_xlpm.ilk+2, COLUMNS(_xlpm.aralık)),
  MAX(INDEX(_xlpm.aralık, _xlpm.ilk):INDEX(_xlpm.aralık, _xlpm.son))
)</f>
        <v>103.21337500000001</v>
      </c>
      <c r="E453" s="6">
        <f t="shared" si="91"/>
        <v>103.21337500000001</v>
      </c>
      <c r="F453" s="6">
        <f t="shared" si="92"/>
        <v>0</v>
      </c>
      <c r="G453" s="6">
        <f t="shared" si="99"/>
        <v>0</v>
      </c>
      <c r="H453" s="7">
        <f t="shared" si="93"/>
        <v>0</v>
      </c>
      <c r="I453" s="7">
        <f t="shared" si="94"/>
        <v>-1</v>
      </c>
      <c r="J453" s="7">
        <f t="shared" si="95"/>
        <v>-1</v>
      </c>
      <c r="K453" s="7">
        <f t="shared" si="100"/>
        <v>0</v>
      </c>
      <c r="L453" s="5" t="s">
        <v>694</v>
      </c>
      <c r="M453" s="7" t="str">
        <f>IF(R453="",(VLOOKUP(A453,[1]Export!$B$2:$H$680,7,0)),"CHURN")</f>
        <v>CHURN</v>
      </c>
      <c r="N453" s="5" t="e">
        <f t="shared" si="101"/>
        <v>#VALUE!</v>
      </c>
      <c r="O453" s="5" t="e">
        <f t="shared" si="102"/>
        <v>#VALUE!</v>
      </c>
      <c r="P453" s="5" t="e">
        <f t="shared" si="103"/>
        <v>#VALUE!</v>
      </c>
      <c r="Q453" s="5" t="s">
        <v>696</v>
      </c>
      <c r="R453" s="5" t="s">
        <v>428</v>
      </c>
      <c r="S453" s="5" t="str">
        <f>VLOOKUP(A453,[3]Sheet1!$A$1:$C$191,3,0)</f>
        <v>Sep.25</v>
      </c>
      <c r="T453" s="6" cm="1">
        <f t="array" ref="T453">IF(R453&lt;&gt;"Churn","",
 _xlfn.LET(
   _xlpm.rng,Y453:BF453,
   _xlpm.pos,MAX(IF((_xlpm.rng&lt;&gt;0)*(_xlpm.rng&lt;&gt;""),COLUMN(_xlpm.rng)-COLUMN(Y453)+1)),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103.21337500000001</v>
      </c>
      <c r="U453" s="6" cm="1">
        <f t="array" ref="U453">IF(R453="Churn",
   MAX(IF((Y453:BF453&lt;&gt;"")*(Y453:BF453&lt;&gt;0), COLUMN(Y453:BF453)-COLUMN(Y453)+1))
   -MATCH(1, --((Y453:BF453&lt;&gt;"")*(Y453:BF453&lt;&gt;0)), 0)
   +1,
"")</f>
        <v>18</v>
      </c>
      <c r="V453" s="6" t="str" cm="1">
        <f t="array" ref="V453">IFERROR(
    IF(
        MATCH(2,1/((Y453:BF453&lt;&gt;0)*(Y453:BF453&lt;&gt;"")))-MATCH(1,INDEX((Y453:BF453&lt;&gt;0)*(Y453:BF453&lt;&gt;""),0),0)+1 &lt;= 12,
        "No",
        "Yes"
    ),
    "No"
)</f>
        <v>Yes</v>
      </c>
      <c r="W453" s="6" t="str" cm="1">
        <f t="array" ref="W453">IFERROR(
    IF(
        MATCH(2,1/((Y453:BF453&lt;&gt;0)*(Y453:BF453&lt;&gt;"")))-MATCH(1,INDEX((Y453:BF453&lt;&gt;0)*(Y453:BF453&lt;&gt;""),0),0)+1 &lt;= 24,
        "No",
        "Yes"
    ),
    "No"
)</f>
        <v>No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103.20000008333332</v>
      </c>
      <c r="AN453" s="8">
        <v>103.20000008333332</v>
      </c>
      <c r="AO453" s="8">
        <v>103.21337500000001</v>
      </c>
      <c r="AP453" s="8">
        <v>103.21337500000001</v>
      </c>
      <c r="AQ453" s="8">
        <v>103.21337500000001</v>
      </c>
      <c r="AR453" s="8">
        <v>103.21337500000001</v>
      </c>
      <c r="AS453" s="8">
        <v>103.21337500000001</v>
      </c>
      <c r="AT453" s="8">
        <v>103.21337500000001</v>
      </c>
      <c r="AU453" s="8">
        <v>103.21337500000001</v>
      </c>
      <c r="AV453" s="8">
        <v>103.21337500000001</v>
      </c>
      <c r="AW453" s="8">
        <v>103.21337500000001</v>
      </c>
      <c r="AX453" s="8">
        <v>103.21337500000001</v>
      </c>
      <c r="AY453" s="8">
        <v>103.21337500000001</v>
      </c>
      <c r="AZ453" s="8">
        <v>103.213375</v>
      </c>
      <c r="BA453" s="8">
        <v>103.21337500000001</v>
      </c>
      <c r="BB453" s="8">
        <v>103.21337500000001</v>
      </c>
      <c r="BC453" s="8">
        <v>103.21337500000001</v>
      </c>
      <c r="BD453" s="8">
        <v>103.21337500000001</v>
      </c>
      <c r="BE453" s="8">
        <v>0</v>
      </c>
      <c r="BF453" s="8">
        <v>0</v>
      </c>
      <c r="BH453" s="8">
        <f t="shared" si="96"/>
        <v>0</v>
      </c>
      <c r="BI453" s="8">
        <f t="shared" si="97"/>
        <v>1032.1070001666669</v>
      </c>
      <c r="BJ453" s="8">
        <f t="shared" si="98"/>
        <v>825.70700000000011</v>
      </c>
    </row>
    <row r="454" spans="1:62" x14ac:dyDescent="0.25">
      <c r="A454" s="9" t="s">
        <v>405</v>
      </c>
      <c r="B454" s="9" t="s">
        <v>644</v>
      </c>
      <c r="C454" s="10">
        <f>VLOOKUP(A454,'[2]Revenue_Engine_2025 Oct.25'!$C$14:G$3937,5,0)</f>
        <v>45194</v>
      </c>
      <c r="D454" s="6" cm="1">
        <f t="array" ref="D454">_xlfn.LET(
  _xlpm.aralık, Y454:BF454,
  _xlpm.ilk, MATCH(TRUE, _xlpm.aralık&lt;&gt;0, 0),
  _xlpm.son, MIN(_xlpm.ilk+2, COLUMNS(_xlpm.aralık)),
  MAX(INDEX(_xlpm.aralık, _xlpm.ilk):INDEX(_xlpm.aralık, _xlpm.son))
)</f>
        <v>119.16666666666667</v>
      </c>
      <c r="E454" s="6">
        <f t="shared" si="91"/>
        <v>86.00333333333333</v>
      </c>
      <c r="F454" s="6">
        <f t="shared" si="92"/>
        <v>0</v>
      </c>
      <c r="G454" s="6">
        <f t="shared" si="99"/>
        <v>0</v>
      </c>
      <c r="H454" s="7">
        <f t="shared" si="93"/>
        <v>-0.27829370629370637</v>
      </c>
      <c r="I454" s="7">
        <f t="shared" si="94"/>
        <v>-1</v>
      </c>
      <c r="J454" s="7">
        <f t="shared" si="95"/>
        <v>-1</v>
      </c>
      <c r="K454" s="7">
        <f t="shared" si="100"/>
        <v>-0.2531188811188812</v>
      </c>
      <c r="L454" s="5" t="s">
        <v>694</v>
      </c>
      <c r="M454" s="7" t="str">
        <f>IF(R454="",(VLOOKUP(A454,[1]Export!$B$2:$H$680,7,0)),"CHURN")</f>
        <v>CHURN</v>
      </c>
      <c r="N454" s="5" t="e">
        <f t="shared" si="101"/>
        <v>#VALUE!</v>
      </c>
      <c r="O454" s="5" t="e">
        <f t="shared" si="102"/>
        <v>#VALUE!</v>
      </c>
      <c r="P454" s="5" t="e">
        <f t="shared" si="103"/>
        <v>#VALUE!</v>
      </c>
      <c r="Q454" s="5" t="s">
        <v>696</v>
      </c>
      <c r="R454" s="5" t="s">
        <v>428</v>
      </c>
      <c r="S454" s="5" t="str">
        <f>VLOOKUP(A454,[3]Sheet1!$A$1:$C$191,3,0)</f>
        <v>Sep.25</v>
      </c>
      <c r="T454" s="6" cm="1">
        <f t="array" ref="T454">IF(R454&lt;&gt;"Churn","",
 _xlfn.LET(
   _xlpm.rng,Y454:BF454,
   _xlpm.pos,MAX(IF((_xlpm.rng&lt;&gt;0)*(_xlpm.rng&lt;&gt;""),COLUMN(_xlpm.rng)-COLUMN(Y454)+1)),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89.00333333333333</v>
      </c>
      <c r="U454" s="6" cm="1">
        <f t="array" ref="U454">IF(R454="Churn",
   MAX(IF((Y454:BF454&lt;&gt;"")*(Y454:BF454&lt;&gt;0), COLUMN(Y454:BF454)-COLUMN(Y454)+1))
   -MATCH(1, --((Y454:BF454&lt;&gt;"")*(Y454:BF454&lt;&gt;0)), 0)
   +1,
"")</f>
        <v>24</v>
      </c>
      <c r="V454" s="6" t="str" cm="1">
        <f t="array" ref="V454">IFERROR(
    IF(
        MATCH(2,1/((Y454:BF454&lt;&gt;0)*(Y454:BF454&lt;&gt;"")))-MATCH(1,INDEX((Y454:BF454&lt;&gt;0)*(Y454:BF454&lt;&gt;""),0),0)+1 &lt;= 12,
        "No",
        "Yes"
    ),
    "No"
)</f>
        <v>Yes</v>
      </c>
      <c r="W454" s="6" t="str" cm="1">
        <f t="array" ref="W454">IFERROR(
    IF(
        MATCH(2,1/((Y454:BF454&lt;&gt;0)*(Y454:BF454&lt;&gt;"")))-MATCH(1,INDEX((Y454:BF454&lt;&gt;0)*(Y454:BF454&lt;&gt;""),0),0)+1 &lt;= 24,
        "No",
        "Yes"
    ),
    "No"
)</f>
        <v>No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119.16666666666667</v>
      </c>
      <c r="AH454" s="8">
        <v>119.16666666666667</v>
      </c>
      <c r="AI454" s="8">
        <v>119.16666666666667</v>
      </c>
      <c r="AJ454" s="8">
        <v>119.16666666666667</v>
      </c>
      <c r="AK454" s="8">
        <v>119.16666666666667</v>
      </c>
      <c r="AL454" s="8">
        <v>119.16666666666667</v>
      </c>
      <c r="AM454" s="8">
        <v>119.16666666666667</v>
      </c>
      <c r="AN454" s="8">
        <v>119.16666666666667</v>
      </c>
      <c r="AO454" s="8">
        <v>119.16666666666667</v>
      </c>
      <c r="AP454" s="8">
        <v>119.16666666666667</v>
      </c>
      <c r="AQ454" s="8">
        <v>119.16666666666667</v>
      </c>
      <c r="AR454" s="8">
        <v>119.16666666666667</v>
      </c>
      <c r="AS454" s="8">
        <v>86.00333333333333</v>
      </c>
      <c r="AT454" s="8">
        <v>86.00333333333333</v>
      </c>
      <c r="AU454" s="8">
        <v>86.00333333333333</v>
      </c>
      <c r="AV454" s="8">
        <v>89.00333333333333</v>
      </c>
      <c r="AW454" s="8">
        <v>89.00333333333333</v>
      </c>
      <c r="AX454" s="8">
        <v>89.00333333333333</v>
      </c>
      <c r="AY454" s="8">
        <v>89.00333333333333</v>
      </c>
      <c r="AZ454" s="8">
        <v>89.00333333333333</v>
      </c>
      <c r="BA454" s="8">
        <v>89.00333333333333</v>
      </c>
      <c r="BB454" s="8">
        <v>89.00333333333333</v>
      </c>
      <c r="BC454" s="8">
        <v>89.00333333333333</v>
      </c>
      <c r="BD454" s="8">
        <v>89.00333333333333</v>
      </c>
      <c r="BE454" s="8">
        <v>0</v>
      </c>
      <c r="BF454" s="8">
        <v>0</v>
      </c>
      <c r="BH454" s="8">
        <f t="shared" si="96"/>
        <v>476.66666666666669</v>
      </c>
      <c r="BI454" s="8">
        <f t="shared" si="97"/>
        <v>1300.3466666666666</v>
      </c>
      <c r="BJ454" s="8">
        <f t="shared" si="98"/>
        <v>712.02666666666664</v>
      </c>
    </row>
    <row r="455" spans="1:62" x14ac:dyDescent="0.25">
      <c r="A455" s="9" t="s">
        <v>60</v>
      </c>
      <c r="B455" s="9" t="s">
        <v>644</v>
      </c>
      <c r="C455" s="10">
        <v>44927</v>
      </c>
      <c r="D455" s="6" cm="1">
        <f t="array" ref="D455">_xlfn.LET(
  _xlpm.aralık, Y455:BF455,
  _xlpm.ilk, MATCH(TRUE, _xlpm.aralık&lt;&gt;0, 0),
  _xlpm.son, MIN(_xlpm.ilk+2, COLUMNS(_xlpm.aralık)),
  MAX(INDEX(_xlpm.aralık, _xlpm.ilk):INDEX(_xlpm.aralık, _xlpm.son))
)</f>
        <v>4671.95</v>
      </c>
      <c r="E455" s="6">
        <f t="shared" si="91"/>
        <v>4817.4934000000003</v>
      </c>
      <c r="F455" s="6">
        <f t="shared" si="92"/>
        <v>4594.4082340000004</v>
      </c>
      <c r="G455" s="6">
        <f t="shared" si="99"/>
        <v>0</v>
      </c>
      <c r="H455" s="7">
        <f t="shared" si="93"/>
        <v>3.1152602232472626E-2</v>
      </c>
      <c r="I455" s="7">
        <f t="shared" si="94"/>
        <v>-1.6597302197155231E-2</v>
      </c>
      <c r="J455" s="7">
        <f t="shared" si="95"/>
        <v>-4.630731118386168E-2</v>
      </c>
      <c r="K455" s="7">
        <f t="shared" si="100"/>
        <v>-1.6597302197155231E-2</v>
      </c>
      <c r="L455" s="5" t="s">
        <v>422</v>
      </c>
      <c r="M455" s="7" t="str">
        <f>IF(R455="",(VLOOKUP(A455,[1]Export!$B$2:$H$680,7,0)),"CHURN")</f>
        <v>CHURN</v>
      </c>
      <c r="N455" s="5" t="e">
        <f t="shared" si="101"/>
        <v>#VALUE!</v>
      </c>
      <c r="O455" s="5" t="e">
        <f t="shared" si="102"/>
        <v>#VALUE!</v>
      </c>
      <c r="P455" s="5" t="e">
        <f t="shared" si="103"/>
        <v>#VALUE!</v>
      </c>
      <c r="Q455" s="5" t="str">
        <f>VLOOKUP(A455,[4]Sheet2!$A$1:$B$142,2,0)</f>
        <v>CHURN</v>
      </c>
      <c r="R455" s="5" t="s">
        <v>428</v>
      </c>
      <c r="S455" s="5" t="str">
        <f>VLOOKUP(A455,[3]Sheet1!$A$1:$C$191,3,0)</f>
        <v>Aug.25</v>
      </c>
      <c r="T455" s="6" cm="1">
        <f t="array" ref="T455">IF(R455&lt;&gt;"Churn","",
 _xlfn.LET(
   _xlpm.rng,Y455:BF455,
   _xlpm.pos,MAX(IF((_xlpm.rng&lt;&gt;0)*(_xlpm.rng&lt;&gt;""),COLUMN(_xlpm.rng)-COLUMN(Y455)+1)),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4594.4082340000004</v>
      </c>
      <c r="U455" s="6" cm="1">
        <f t="array" ref="U455">IF(R455="Churn",
   MAX(IF((Y455:BF455&lt;&gt;"")*(Y455:BF455&lt;&gt;0), COLUMN(Y455:BF455)-COLUMN(Y455)+1))
   -MATCH(1, --((Y455:BF455&lt;&gt;"")*(Y455:BF455&lt;&gt;0)), 0)
   +1,
"")</f>
        <v>31</v>
      </c>
      <c r="V455" s="6" t="str" cm="1">
        <f t="array" ref="V455">IFERROR(
    IF(
        MATCH(2,1/((Y455:BF455&lt;&gt;0)*(Y455:BF455&lt;&gt;"")))-MATCH(1,INDEX((Y455:BF455&lt;&gt;0)*(Y455:BF455&lt;&gt;""),0),0)+1 &lt;= 12,
        "No",
        "Yes"
    ),
    "No"
)</f>
        <v>Yes</v>
      </c>
      <c r="W455" s="6" t="str" cm="1">
        <f t="array" ref="W455">IFERROR(
    IF(
        MATCH(2,1/((Y455:BF455&lt;&gt;0)*(Y455:BF455&lt;&gt;"")))-MATCH(1,INDEX((Y455:BF455&lt;&gt;0)*(Y455:BF455&lt;&gt;""),0),0)+1 &lt;= 24,
        "No",
        "Yes"
    ),
    "No"
)</f>
        <v>Yes</v>
      </c>
      <c r="Y455" s="8">
        <v>4671.95</v>
      </c>
      <c r="Z455" s="8">
        <v>4671.95</v>
      </c>
      <c r="AA455" s="8">
        <v>4671.95</v>
      </c>
      <c r="AB455" s="8">
        <v>4671.95</v>
      </c>
      <c r="AC455" s="8">
        <v>4671.9333999999999</v>
      </c>
      <c r="AD455" s="8">
        <v>4746.4934000000003</v>
      </c>
      <c r="AE455" s="8">
        <v>4755.4934000000003</v>
      </c>
      <c r="AF455" s="8">
        <v>4755.4934000000003</v>
      </c>
      <c r="AG455" s="8">
        <v>4797.4934000000003</v>
      </c>
      <c r="AH455" s="8">
        <v>4797.4934000000003</v>
      </c>
      <c r="AI455" s="8">
        <v>4797.4934000000003</v>
      </c>
      <c r="AJ455" s="8">
        <v>4797.4934000000003</v>
      </c>
      <c r="AK455" s="8">
        <v>4817.4934000000003</v>
      </c>
      <c r="AL455" s="8">
        <v>4867.4934000000003</v>
      </c>
      <c r="AM455" s="8">
        <v>4930.4934000000003</v>
      </c>
      <c r="AN455" s="8">
        <v>4930.4934000000003</v>
      </c>
      <c r="AO455" s="8">
        <v>4930.4934000000003</v>
      </c>
      <c r="AP455" s="8">
        <v>4513.7934000000005</v>
      </c>
      <c r="AQ455" s="8">
        <v>4513.7934000000005</v>
      </c>
      <c r="AR455" s="8">
        <v>4513.7934000000005</v>
      </c>
      <c r="AS455" s="8">
        <v>4513.7934000000005</v>
      </c>
      <c r="AT455" s="8">
        <v>4513.7934000000005</v>
      </c>
      <c r="AU455" s="8">
        <v>4594.4082340000004</v>
      </c>
      <c r="AV455" s="8">
        <v>4594.4082340000004</v>
      </c>
      <c r="AW455" s="8">
        <v>4594.4082340000004</v>
      </c>
      <c r="AX455" s="8">
        <v>4594.4082340000004</v>
      </c>
      <c r="AY455" s="8">
        <v>4594.4082340000004</v>
      </c>
      <c r="AZ455" s="8">
        <v>4594.4082340000004</v>
      </c>
      <c r="BA455" s="8">
        <v>4594.4082340000004</v>
      </c>
      <c r="BB455" s="8">
        <v>4594.4082340000004</v>
      </c>
      <c r="BC455" s="8">
        <v>1037</v>
      </c>
      <c r="BD455" s="8">
        <v>0</v>
      </c>
      <c r="BE455" s="8">
        <v>0</v>
      </c>
      <c r="BF455" s="8">
        <v>0</v>
      </c>
      <c r="BH455" s="8">
        <f t="shared" si="96"/>
        <v>56807.187199999993</v>
      </c>
      <c r="BI455" s="8">
        <f t="shared" si="97"/>
        <v>56234.250468000013</v>
      </c>
      <c r="BJ455" s="8">
        <f t="shared" si="98"/>
        <v>28603.449404000006</v>
      </c>
    </row>
    <row r="456" spans="1:62" x14ac:dyDescent="0.25">
      <c r="A456" s="9" t="s">
        <v>127</v>
      </c>
      <c r="B456" s="9" t="s">
        <v>644</v>
      </c>
      <c r="C456" s="10">
        <v>44927</v>
      </c>
      <c r="D456" s="6" cm="1">
        <f t="array" ref="D456">_xlfn.LET(
  _xlpm.aralık, Y456:BF456,
  _xlpm.ilk, MATCH(TRUE, _xlpm.aralık&lt;&gt;0, 0),
  _xlpm.son, MIN(_xlpm.ilk+2, COLUMNS(_xlpm.aralık)),
  MAX(INDEX(_xlpm.aralık, _xlpm.ilk):INDEX(_xlpm.aralık, _xlpm.son))
)</f>
        <v>2557.54</v>
      </c>
      <c r="E456" s="6">
        <f t="shared" si="91"/>
        <v>3413.8976359999992</v>
      </c>
      <c r="F456" s="6">
        <f t="shared" si="92"/>
        <v>3570.7561670000005</v>
      </c>
      <c r="G456" s="6">
        <f t="shared" si="99"/>
        <v>0</v>
      </c>
      <c r="H456" s="7">
        <f t="shared" si="93"/>
        <v>0.33483645847181248</v>
      </c>
      <c r="I456" s="7">
        <f t="shared" si="94"/>
        <v>0.39616825816996037</v>
      </c>
      <c r="J456" s="7">
        <f t="shared" si="95"/>
        <v>4.5947051647333356E-2</v>
      </c>
      <c r="K456" s="7">
        <f t="shared" si="100"/>
        <v>0.41079246737098934</v>
      </c>
      <c r="L456" s="5" t="s">
        <v>418</v>
      </c>
      <c r="M456" s="7" t="str">
        <f>IF(R456="",(VLOOKUP(A456,[1]Export!$B$2:$H$680,7,0)),"CHURN")</f>
        <v>CHURN</v>
      </c>
      <c r="N456" s="5" t="e">
        <f t="shared" si="101"/>
        <v>#VALUE!</v>
      </c>
      <c r="O456" s="5" t="e">
        <f t="shared" si="102"/>
        <v>#VALUE!</v>
      </c>
      <c r="P456" s="5" t="e">
        <f t="shared" si="103"/>
        <v>#VALUE!</v>
      </c>
      <c r="Q456" s="5" t="s">
        <v>696</v>
      </c>
      <c r="R456" s="5" t="s">
        <v>428</v>
      </c>
      <c r="S456" s="5" t="str">
        <f>VLOOKUP(A456,[3]Sheet1!$A$1:$C$191,3,0)</f>
        <v>Aug.25</v>
      </c>
      <c r="T456" s="6" cm="1">
        <f t="array" ref="T456">IF(R456&lt;&gt;"Churn","",
 _xlfn.LET(
   _xlpm.rng,Y456:BF456,
   _xlpm.pos,MAX(IF((_xlpm.rng&lt;&gt;0)*(_xlpm.rng&lt;&gt;""),COLUMN(_xlpm.rng)-COLUMN(Y456)+1)),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3608.158167</v>
      </c>
      <c r="U456" s="6" cm="1">
        <f t="array" ref="U456">IF(R456="Churn",
   MAX(IF((Y456:BF456&lt;&gt;"")*(Y456:BF456&lt;&gt;0), COLUMN(Y456:BF456)-COLUMN(Y456)+1))
   -MATCH(1, --((Y456:BF456&lt;&gt;"")*(Y456:BF456&lt;&gt;0)), 0)
   +1,
"")</f>
        <v>31</v>
      </c>
      <c r="V456" s="6" t="str" cm="1">
        <f t="array" ref="V456">IFERROR(
    IF(
        MATCH(2,1/((Y456:BF456&lt;&gt;0)*(Y456:BF456&lt;&gt;"")))-MATCH(1,INDEX((Y456:BF456&lt;&gt;0)*(Y456:BF456&lt;&gt;""),0),0)+1 &lt;= 12,
        "No",
        "Yes"
    ),
    "No"
)</f>
        <v>Yes</v>
      </c>
      <c r="W456" s="6" t="str" cm="1">
        <f t="array" ref="W456">IFERROR(
    IF(
        MATCH(2,1/((Y456:BF456&lt;&gt;0)*(Y456:BF456&lt;&gt;"")))-MATCH(1,INDEX((Y456:BF456&lt;&gt;0)*(Y456:BF456&lt;&gt;""),0),0)+1 &lt;= 24,
        "No",
        "Yes"
    ),
    "No"
)</f>
        <v>Yes</v>
      </c>
      <c r="Y456" s="8">
        <v>2545.04</v>
      </c>
      <c r="Z456" s="8">
        <v>2557.54</v>
      </c>
      <c r="AA456" s="8">
        <v>2557.54</v>
      </c>
      <c r="AB456" s="8">
        <v>2670.5398399999999</v>
      </c>
      <c r="AC456" s="8">
        <v>2878.0398399999999</v>
      </c>
      <c r="AD456" s="8">
        <v>3147.7398309999999</v>
      </c>
      <c r="AE456" s="8">
        <v>3159.7398309999999</v>
      </c>
      <c r="AF456" s="8">
        <v>3374.7735609999995</v>
      </c>
      <c r="AG456" s="8">
        <v>3375.7376359999994</v>
      </c>
      <c r="AH456" s="8">
        <v>3413.8976359999992</v>
      </c>
      <c r="AI456" s="8">
        <v>3413.8976359999992</v>
      </c>
      <c r="AJ456" s="8">
        <v>3413.8976359999992</v>
      </c>
      <c r="AK456" s="8">
        <v>3413.8976359999992</v>
      </c>
      <c r="AL456" s="8">
        <v>3413.8976359999992</v>
      </c>
      <c r="AM456" s="8">
        <v>3337.5776359999995</v>
      </c>
      <c r="AN456" s="8">
        <v>3337.5776359999995</v>
      </c>
      <c r="AO456" s="8">
        <v>3349.3076359999995</v>
      </c>
      <c r="AP456" s="8">
        <v>3349.3076359999995</v>
      </c>
      <c r="AQ456" s="8">
        <v>3350.3076359999995</v>
      </c>
      <c r="AR456" s="8">
        <v>3363.0276359999993</v>
      </c>
      <c r="AS456" s="8">
        <v>3363.0276359999993</v>
      </c>
      <c r="AT456" s="8">
        <v>3388.4676359999994</v>
      </c>
      <c r="AU456" s="8">
        <v>3388.4676359999994</v>
      </c>
      <c r="AV456" s="8">
        <v>3388.4676359999994</v>
      </c>
      <c r="AW456" s="8">
        <v>3570.7561670000005</v>
      </c>
      <c r="AX456" s="8">
        <v>3570.7561670000005</v>
      </c>
      <c r="AY456" s="8">
        <v>3570.7561670000005</v>
      </c>
      <c r="AZ456" s="8">
        <v>3570.7561670000005</v>
      </c>
      <c r="BA456" s="8">
        <v>3608.158167</v>
      </c>
      <c r="BB456" s="8">
        <v>3608.158167</v>
      </c>
      <c r="BC456" s="8">
        <v>3608.158167</v>
      </c>
      <c r="BD456" s="8">
        <v>0</v>
      </c>
      <c r="BE456" s="8">
        <v>0</v>
      </c>
      <c r="BF456" s="8">
        <v>0</v>
      </c>
      <c r="BH456" s="8">
        <f t="shared" si="96"/>
        <v>36508.383446999993</v>
      </c>
      <c r="BI456" s="8">
        <f t="shared" si="97"/>
        <v>40443.331631999994</v>
      </c>
      <c r="BJ456" s="8">
        <f t="shared" si="98"/>
        <v>25107.499169000006</v>
      </c>
    </row>
    <row r="457" spans="1:62" x14ac:dyDescent="0.25">
      <c r="A457" s="9" t="s">
        <v>100</v>
      </c>
      <c r="B457" s="9" t="s">
        <v>644</v>
      </c>
      <c r="C457" s="10">
        <v>44927</v>
      </c>
      <c r="D457" s="6" cm="1">
        <f t="array" ref="D457">_xlfn.LET(
  _xlpm.aralık, Y457:BF457,
  _xlpm.ilk, MATCH(TRUE, _xlpm.aralık&lt;&gt;0, 0),
  _xlpm.son, MIN(_xlpm.ilk+2, COLUMNS(_xlpm.aralık)),
  MAX(INDEX(_xlpm.aralık, _xlpm.ilk):INDEX(_xlpm.aralık, _xlpm.son))
)</f>
        <v>1572.89</v>
      </c>
      <c r="E457" s="6">
        <f t="shared" si="91"/>
        <v>2202.057217</v>
      </c>
      <c r="F457" s="6">
        <f t="shared" si="92"/>
        <v>2733.1818466666664</v>
      </c>
      <c r="G457" s="6">
        <f t="shared" si="99"/>
        <v>0</v>
      </c>
      <c r="H457" s="7">
        <f t="shared" si="93"/>
        <v>0.40000713145865247</v>
      </c>
      <c r="I457" s="7">
        <f t="shared" si="94"/>
        <v>0.73768149499753077</v>
      </c>
      <c r="J457" s="7">
        <f t="shared" si="95"/>
        <v>0.24119474533466054</v>
      </c>
      <c r="K457" s="7">
        <f t="shared" si="100"/>
        <v>0.55778228611028113</v>
      </c>
      <c r="L457" s="5" t="s">
        <v>421</v>
      </c>
      <c r="M457" s="7" t="str">
        <f>IF(R457="",(VLOOKUP(A457,[1]Export!$B$2:$H$680,7,0)),"CHURN")</f>
        <v>CHURN</v>
      </c>
      <c r="N457" s="5" t="e">
        <f t="shared" si="101"/>
        <v>#VALUE!</v>
      </c>
      <c r="O457" s="5" t="e">
        <f t="shared" si="102"/>
        <v>#VALUE!</v>
      </c>
      <c r="P457" s="5" t="e">
        <f t="shared" si="103"/>
        <v>#VALUE!</v>
      </c>
      <c r="Q457" s="5" t="str">
        <f>VLOOKUP(A457,[4]Sheet2!$A$1:$B$142,2,0)</f>
        <v>CHURN</v>
      </c>
      <c r="R457" s="5" t="s">
        <v>428</v>
      </c>
      <c r="S457" s="5" t="str">
        <f>VLOOKUP(A457,[3]Sheet1!$A$1:$C$191,3,0)</f>
        <v>Aug.25</v>
      </c>
      <c r="T457" s="6" cm="1">
        <f t="array" ref="T457">IF(R457&lt;&gt;"Churn","",
 _xlfn.LET(
   _xlpm.rng,Y457:BF457,
   _xlpm.pos,MAX(IF((_xlpm.rng&lt;&gt;0)*(_xlpm.rng&lt;&gt;""),COLUMN(_xlpm.rng)-COLUMN(Y457)+1)),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2450.2201800000003</v>
      </c>
      <c r="U457" s="6" cm="1">
        <f t="array" ref="U457">IF(R457="Churn",
   MAX(IF((Y457:BF457&lt;&gt;"")*(Y457:BF457&lt;&gt;0), COLUMN(Y457:BF457)-COLUMN(Y457)+1))
   -MATCH(1, --((Y457:BF457&lt;&gt;"")*(Y457:BF457&lt;&gt;0)), 0)
   +1,
"")</f>
        <v>31</v>
      </c>
      <c r="V457" s="6" t="str" cm="1">
        <f t="array" ref="V457">IFERROR(
    IF(
        MATCH(2,1/((Y457:BF457&lt;&gt;0)*(Y457:BF457&lt;&gt;"")))-MATCH(1,INDEX((Y457:BF457&lt;&gt;0)*(Y457:BF457&lt;&gt;""),0),0)+1 &lt;= 12,
        "No",
        "Yes"
    ),
    "No"
)</f>
        <v>Yes</v>
      </c>
      <c r="W457" s="6" t="str" cm="1">
        <f t="array" ref="W457">IFERROR(
    IF(
        MATCH(2,1/((Y457:BF457&lt;&gt;0)*(Y457:BF457&lt;&gt;"")))-MATCH(1,INDEX((Y457:BF457&lt;&gt;0)*(Y457:BF457&lt;&gt;""),0),0)+1 &lt;= 24,
        "No",
        "Yes"
    ),
    "No"
)</f>
        <v>Yes</v>
      </c>
      <c r="Y457" s="8">
        <v>1560.39</v>
      </c>
      <c r="Z457" s="8">
        <v>1572.89</v>
      </c>
      <c r="AA457" s="8">
        <v>1572.89</v>
      </c>
      <c r="AB457" s="8">
        <v>1732.19</v>
      </c>
      <c r="AC457" s="8">
        <v>1806.4899999999998</v>
      </c>
      <c r="AD457" s="8">
        <v>1851.7899999999997</v>
      </c>
      <c r="AE457" s="8">
        <v>1962.6572170000002</v>
      </c>
      <c r="AF457" s="8">
        <v>1975.4572170000001</v>
      </c>
      <c r="AG457" s="8">
        <v>1980.4572170000001</v>
      </c>
      <c r="AH457" s="8">
        <v>1993.2572170000001</v>
      </c>
      <c r="AI457" s="8">
        <v>1993.2572170000001</v>
      </c>
      <c r="AJ457" s="8">
        <v>2202.057217</v>
      </c>
      <c r="AK457" s="8">
        <v>2202.057217</v>
      </c>
      <c r="AL457" s="8">
        <v>2402.057217</v>
      </c>
      <c r="AM457" s="8">
        <v>2402.057217</v>
      </c>
      <c r="AN457" s="8">
        <v>2402.057217</v>
      </c>
      <c r="AO457" s="8">
        <v>2407.5488836666668</v>
      </c>
      <c r="AP457" s="8">
        <v>2407.5488836666668</v>
      </c>
      <c r="AQ457" s="8">
        <v>2407.5488836666668</v>
      </c>
      <c r="AR457" s="8">
        <v>2407.5488836666668</v>
      </c>
      <c r="AS457" s="8">
        <v>2407.5488836666668</v>
      </c>
      <c r="AT457" s="8">
        <v>2407.5488836666668</v>
      </c>
      <c r="AU457" s="8">
        <v>2407.5488836666668</v>
      </c>
      <c r="AV457" s="8">
        <v>2407.5488836666668</v>
      </c>
      <c r="AW457" s="8">
        <v>2733.1818466666664</v>
      </c>
      <c r="AX457" s="8">
        <v>2538.311846666667</v>
      </c>
      <c r="AY457" s="8">
        <v>2538.311846666667</v>
      </c>
      <c r="AZ457" s="8">
        <v>2538.311846666667</v>
      </c>
      <c r="BA457" s="8">
        <v>2450.2201800000003</v>
      </c>
      <c r="BB457" s="8">
        <v>2450.2201800000003</v>
      </c>
      <c r="BC457" s="8">
        <v>2450.2201800000003</v>
      </c>
      <c r="BD457" s="8">
        <v>0</v>
      </c>
      <c r="BE457" s="8">
        <v>0</v>
      </c>
      <c r="BF457" s="8">
        <v>0</v>
      </c>
      <c r="BH457" s="8">
        <f t="shared" si="96"/>
        <v>22203.783301999996</v>
      </c>
      <c r="BI457" s="8">
        <f t="shared" si="97"/>
        <v>28668.619937333333</v>
      </c>
      <c r="BJ457" s="8">
        <f t="shared" si="98"/>
        <v>17698.777926666669</v>
      </c>
    </row>
    <row r="458" spans="1:62" x14ac:dyDescent="0.25">
      <c r="A458" s="9" t="s">
        <v>257</v>
      </c>
      <c r="B458" s="9" t="s">
        <v>644</v>
      </c>
      <c r="C458" s="10">
        <f>VLOOKUP(A458,'[2]Revenue_Engine_2025 Oct.25'!$C$14:G$3937,5,0)</f>
        <v>45285</v>
      </c>
      <c r="D458" s="6" cm="1">
        <f t="array" ref="D458">_xlfn.LET(
  _xlpm.aralık, Y458:BF458,
  _xlpm.ilk, MATCH(TRUE, _xlpm.aralık&lt;&gt;0, 0),
  _xlpm.son, MIN(_xlpm.ilk+2, COLUMNS(_xlpm.aralık)),
  MAX(INDEX(_xlpm.aralık, _xlpm.ilk):INDEX(_xlpm.aralık, _xlpm.son))
)</f>
        <v>1349.9959979999999</v>
      </c>
      <c r="E458" s="6">
        <f t="shared" si="91"/>
        <v>1349.9959979999999</v>
      </c>
      <c r="F458" s="6">
        <f t="shared" si="92"/>
        <v>0</v>
      </c>
      <c r="G458" s="6">
        <f t="shared" si="99"/>
        <v>0</v>
      </c>
      <c r="H458" s="7">
        <f t="shared" si="93"/>
        <v>0</v>
      </c>
      <c r="I458" s="7">
        <f t="shared" si="94"/>
        <v>-1</v>
      </c>
      <c r="J458" s="7">
        <f t="shared" si="95"/>
        <v>-1</v>
      </c>
      <c r="K458" s="7">
        <f t="shared" si="100"/>
        <v>0.25257004132244842</v>
      </c>
      <c r="L458" s="5" t="s">
        <v>418</v>
      </c>
      <c r="M458" s="7" t="str">
        <f>IF(R458="",(VLOOKUP(A458,[1]Export!$B$2:$H$680,7,0)),"CHURN")</f>
        <v>CHURN</v>
      </c>
      <c r="N458" s="5" t="e">
        <f t="shared" si="101"/>
        <v>#VALUE!</v>
      </c>
      <c r="O458" s="5" t="e">
        <f t="shared" si="102"/>
        <v>#VALUE!</v>
      </c>
      <c r="P458" s="5" t="e">
        <f t="shared" si="103"/>
        <v>#VALUE!</v>
      </c>
      <c r="Q458" s="5" t="str">
        <f>VLOOKUP(A458,[4]Sheet2!$A$1:$B$142,2,0)</f>
        <v>CHURN</v>
      </c>
      <c r="R458" s="5" t="s">
        <v>428</v>
      </c>
      <c r="S458" s="5" t="str">
        <f>VLOOKUP(A458,[3]Sheet1!$A$1:$C$191,3,0)</f>
        <v>Aug.25</v>
      </c>
      <c r="T458" s="6" cm="1">
        <f t="array" ref="T458">IF(R458&lt;&gt;"Churn","",
 _xlfn.LET(
   _xlpm.rng,Y458:BF458,
   _xlpm.pos,MAX(IF((_xlpm.rng&lt;&gt;0)*(_xlpm.rng&lt;&gt;""),COLUMN(_xlpm.rng)-COLUMN(Y458)+1)),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1690.9645429999998</v>
      </c>
      <c r="U458" s="6" cm="1">
        <f t="array" ref="U458">IF(R458="Churn",
   MAX(IF((Y458:BF458&lt;&gt;"")*(Y458:BF458&lt;&gt;0), COLUMN(Y458:BF458)-COLUMN(Y458)+1))
   -MATCH(1, --((Y458:BF458&lt;&gt;"")*(Y458:BF458&lt;&gt;0)), 0)
   +1,
"")</f>
        <v>20</v>
      </c>
      <c r="V458" s="6" t="str" cm="1">
        <f t="array" ref="V458">IFERROR(
    IF(
        MATCH(2,1/((Y458:BF458&lt;&gt;0)*(Y458:BF458&lt;&gt;"")))-MATCH(1,INDEX((Y458:BF458&lt;&gt;0)*(Y458:BF458&lt;&gt;""),0),0)+1 &lt;= 12,
        "No",
        "Yes"
    ),
    "No"
)</f>
        <v>Yes</v>
      </c>
      <c r="W458" s="6" t="str" cm="1">
        <f t="array" ref="W458">IFERROR(
    IF(
        MATCH(2,1/((Y458:BF458&lt;&gt;0)*(Y458:BF458&lt;&gt;"")))-MATCH(1,INDEX((Y458:BF458&lt;&gt;0)*(Y458:BF458&lt;&gt;""),0),0)+1 &lt;= 24,
        "No",
        "Yes"
    ),
    "No"
)</f>
        <v>No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1349.9959979999999</v>
      </c>
      <c r="AK458" s="8">
        <v>1349.9959979999999</v>
      </c>
      <c r="AL458" s="8">
        <v>1349.9959979999999</v>
      </c>
      <c r="AM458" s="8">
        <v>1349.9959979999999</v>
      </c>
      <c r="AN458" s="8">
        <v>1349.9959979999999</v>
      </c>
      <c r="AO458" s="8">
        <v>1349.9959979999999</v>
      </c>
      <c r="AP458" s="8">
        <v>1349.9959979999999</v>
      </c>
      <c r="AQ458" s="8">
        <v>1349.9959979999999</v>
      </c>
      <c r="AR458" s="8">
        <v>1349.9959979999999</v>
      </c>
      <c r="AS458" s="8">
        <v>1349.9959979999999</v>
      </c>
      <c r="AT458" s="8">
        <v>1349.9959979999999</v>
      </c>
      <c r="AU458" s="8">
        <v>1349.9959979999999</v>
      </c>
      <c r="AV458" s="8">
        <v>1349.9959979999999</v>
      </c>
      <c r="AW458" s="8">
        <v>1632.0525429999996</v>
      </c>
      <c r="AX458" s="8">
        <v>1690.9645429999998</v>
      </c>
      <c r="AY458" s="8">
        <v>1690.9645429999998</v>
      </c>
      <c r="AZ458" s="8">
        <v>1690.9645430000003</v>
      </c>
      <c r="BA458" s="8">
        <v>1690.9645429999998</v>
      </c>
      <c r="BB458" s="8">
        <v>1690.9645429999998</v>
      </c>
      <c r="BC458" s="8">
        <v>1690.9645429999998</v>
      </c>
      <c r="BD458" s="8">
        <v>0</v>
      </c>
      <c r="BE458" s="8">
        <v>0</v>
      </c>
      <c r="BF458" s="8">
        <v>0</v>
      </c>
      <c r="BH458" s="8">
        <f t="shared" si="96"/>
        <v>1349.9959979999999</v>
      </c>
      <c r="BI458" s="8">
        <f t="shared" si="97"/>
        <v>16199.951976000002</v>
      </c>
      <c r="BJ458" s="8">
        <f t="shared" si="98"/>
        <v>11777.839800999998</v>
      </c>
    </row>
    <row r="459" spans="1:62" x14ac:dyDescent="0.25">
      <c r="A459" s="9" t="s">
        <v>76</v>
      </c>
      <c r="B459" s="9" t="s">
        <v>644</v>
      </c>
      <c r="C459" s="10">
        <f>VLOOKUP(A459,'[2]Revenue_Engine_2025 Oct.25'!$C$14:G$3937,5,0)</f>
        <v>45083</v>
      </c>
      <c r="D459" s="6" cm="1">
        <f t="array" ref="D459">_xlfn.LET(
  _xlpm.aralık, Y459:BF459,
  _xlpm.ilk, MATCH(TRUE, _xlpm.aralık&lt;&gt;0, 0),
  _xlpm.son, MIN(_xlpm.ilk+2, COLUMNS(_xlpm.aralık)),
  MAX(INDEX(_xlpm.aralık, _xlpm.ilk):INDEX(_xlpm.aralık, _xlpm.son))
)</f>
        <v>802.1</v>
      </c>
      <c r="E459" s="6">
        <f t="shared" si="91"/>
        <v>1085.6087526666668</v>
      </c>
      <c r="F459" s="6">
        <f t="shared" si="92"/>
        <v>1327.983561</v>
      </c>
      <c r="G459" s="6">
        <f t="shared" si="99"/>
        <v>0</v>
      </c>
      <c r="H459" s="7">
        <f t="shared" si="93"/>
        <v>0.35345811328595778</v>
      </c>
      <c r="I459" s="7">
        <f t="shared" si="94"/>
        <v>0.65563341353945892</v>
      </c>
      <c r="J459" s="7">
        <f t="shared" si="95"/>
        <v>0.22326165640979664</v>
      </c>
      <c r="K459" s="7">
        <f t="shared" si="100"/>
        <v>0.65563341353945892</v>
      </c>
      <c r="L459" s="5" t="s">
        <v>421</v>
      </c>
      <c r="M459" s="7" t="str">
        <f>IF(R459="",(VLOOKUP(A459,[1]Export!$B$2:$H$680,7,0)),"CHURN")</f>
        <v>CHURN</v>
      </c>
      <c r="N459" s="5" t="e">
        <f t="shared" si="101"/>
        <v>#VALUE!</v>
      </c>
      <c r="O459" s="5" t="e">
        <f t="shared" si="102"/>
        <v>#VALUE!</v>
      </c>
      <c r="P459" s="5" t="e">
        <f t="shared" si="103"/>
        <v>#VALUE!</v>
      </c>
      <c r="Q459" s="5" t="str">
        <f>VLOOKUP(A459,[4]Sheet2!$A$1:$B$142,2,0)</f>
        <v>CHURN</v>
      </c>
      <c r="R459" s="5" t="s">
        <v>428</v>
      </c>
      <c r="S459" s="5" t="str">
        <f>VLOOKUP(A459,[3]Sheet1!$A$1:$C$191,3,0)</f>
        <v>Aug.25</v>
      </c>
      <c r="T459" s="6" cm="1">
        <f t="array" ref="T459">IF(R459&lt;&gt;"Churn","",
 _xlfn.LET(
   _xlpm.rng,Y459:BF459,
   _xlpm.pos,MAX(IF((_xlpm.rng&lt;&gt;0)*(_xlpm.rng&lt;&gt;""),COLUMN(_xlpm.rng)-COLUMN(Y459)+1)),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1327.983561</v>
      </c>
      <c r="U459" s="6" cm="1">
        <f t="array" ref="U459">IF(R459="Churn",
   MAX(IF((Y459:BF459&lt;&gt;"")*(Y459:BF459&lt;&gt;0), COLUMN(Y459:BF459)-COLUMN(Y459)+1))
   -MATCH(1, --((Y459:BF459&lt;&gt;"")*(Y459:BF459&lt;&gt;0)), 0)
   +1,
"")</f>
        <v>31</v>
      </c>
      <c r="V459" s="6" t="str" cm="1">
        <f t="array" ref="V459">IFERROR(
    IF(
        MATCH(2,1/((Y459:BF459&lt;&gt;0)*(Y459:BF459&lt;&gt;"")))-MATCH(1,INDEX((Y459:BF459&lt;&gt;0)*(Y459:BF459&lt;&gt;""),0),0)+1 &lt;= 12,
        "No",
        "Yes"
    ),
    "No"
)</f>
        <v>Yes</v>
      </c>
      <c r="W459" s="6" t="str" cm="1">
        <f t="array" ref="W459">IFERROR(
    IF(
        MATCH(2,1/((Y459:BF459&lt;&gt;0)*(Y459:BF459&lt;&gt;"")))-MATCH(1,INDEX((Y459:BF459&lt;&gt;0)*(Y459:BF459&lt;&gt;""),0),0)+1 &lt;= 24,
        "No",
        "Yes"
    ),
    "No"
)</f>
        <v>Yes</v>
      </c>
      <c r="Y459" s="8">
        <v>802.1</v>
      </c>
      <c r="Z459" s="8">
        <v>802.1</v>
      </c>
      <c r="AA459" s="8">
        <v>802.1</v>
      </c>
      <c r="AB459" s="8">
        <v>802.1</v>
      </c>
      <c r="AC459" s="8">
        <v>811.09800000000007</v>
      </c>
      <c r="AD459" s="8">
        <v>871.52578000000017</v>
      </c>
      <c r="AE459" s="8">
        <v>871.52578000000017</v>
      </c>
      <c r="AF459" s="8">
        <v>923.81684200000007</v>
      </c>
      <c r="AG459" s="8">
        <v>930.81684200000007</v>
      </c>
      <c r="AH459" s="8">
        <v>933.61708600000009</v>
      </c>
      <c r="AI459" s="8">
        <v>933.61708600000009</v>
      </c>
      <c r="AJ459" s="8">
        <v>933.61708600000009</v>
      </c>
      <c r="AK459" s="8">
        <v>933.61708600000009</v>
      </c>
      <c r="AL459" s="8">
        <v>933.61708600000009</v>
      </c>
      <c r="AM459" s="8">
        <v>1085.6087526666668</v>
      </c>
      <c r="AN459" s="8">
        <v>1085.6087526666668</v>
      </c>
      <c r="AO459" s="8">
        <v>1085.6087526666668</v>
      </c>
      <c r="AP459" s="8">
        <v>1085.6087526666668</v>
      </c>
      <c r="AQ459" s="8">
        <v>1085.6087526666668</v>
      </c>
      <c r="AR459" s="8">
        <v>1085.6087526666668</v>
      </c>
      <c r="AS459" s="8">
        <v>1165.6087526666663</v>
      </c>
      <c r="AT459" s="8">
        <v>1169.6087526666663</v>
      </c>
      <c r="AU459" s="8">
        <v>1089.6087526666665</v>
      </c>
      <c r="AV459" s="8">
        <v>1089.6087526666665</v>
      </c>
      <c r="AW459" s="8">
        <v>1327.9752276666666</v>
      </c>
      <c r="AX459" s="8">
        <v>1327.9752276666666</v>
      </c>
      <c r="AY459" s="8">
        <v>1327.9752276666666</v>
      </c>
      <c r="AZ459" s="8">
        <v>1327.9752276666666</v>
      </c>
      <c r="BA459" s="8">
        <v>1327.983561</v>
      </c>
      <c r="BB459" s="8">
        <v>1327.983561</v>
      </c>
      <c r="BC459" s="8">
        <v>1327.983561</v>
      </c>
      <c r="BD459" s="8">
        <v>0</v>
      </c>
      <c r="BE459" s="8">
        <v>0</v>
      </c>
      <c r="BF459" s="8">
        <v>0</v>
      </c>
      <c r="BH459" s="8">
        <f t="shared" si="96"/>
        <v>10418.034502</v>
      </c>
      <c r="BI459" s="8">
        <f t="shared" si="97"/>
        <v>12895.321698666668</v>
      </c>
      <c r="BJ459" s="8">
        <f t="shared" si="98"/>
        <v>9295.8515936666663</v>
      </c>
    </row>
    <row r="460" spans="1:62" x14ac:dyDescent="0.25">
      <c r="A460" s="9" t="s">
        <v>367</v>
      </c>
      <c r="B460" s="9" t="s">
        <v>644</v>
      </c>
      <c r="C460" s="10">
        <v>44927</v>
      </c>
      <c r="D460" s="6" cm="1">
        <f t="array" ref="D460">_xlfn.LET(
  _xlpm.aralık, Y460:BF460,
  _xlpm.ilk, MATCH(TRUE, _xlpm.aralık&lt;&gt;0, 0),
  _xlpm.son, MIN(_xlpm.ilk+2, COLUMNS(_xlpm.aralık)),
  MAX(INDEX(_xlpm.aralık, _xlpm.ilk):INDEX(_xlpm.aralık, _xlpm.son))
)</f>
        <v>683.43783453127389</v>
      </c>
      <c r="E460" s="6">
        <f t="shared" si="91"/>
        <v>579.06013890880229</v>
      </c>
      <c r="F460" s="6">
        <f t="shared" si="92"/>
        <v>939.71157217033033</v>
      </c>
      <c r="G460" s="6">
        <f t="shared" si="99"/>
        <v>0</v>
      </c>
      <c r="H460" s="7">
        <f t="shared" si="93"/>
        <v>-0.15272449131245061</v>
      </c>
      <c r="I460" s="7">
        <f t="shared" si="94"/>
        <v>0.37497739324721191</v>
      </c>
      <c r="J460" s="7">
        <f t="shared" si="95"/>
        <v>0.62282206808631324</v>
      </c>
      <c r="K460" s="7">
        <f t="shared" si="100"/>
        <v>0.51393019248343874</v>
      </c>
      <c r="L460" s="5" t="s">
        <v>416</v>
      </c>
      <c r="M460" s="7" t="str">
        <f>IF(R460="",(VLOOKUP(A460,[1]Export!$B$2:$H$680,7,0)),"CHURN")</f>
        <v>CHURN</v>
      </c>
      <c r="N460" s="5" t="e">
        <f t="shared" si="101"/>
        <v>#VALUE!</v>
      </c>
      <c r="O460" s="5" t="e">
        <f t="shared" si="102"/>
        <v>#VALUE!</v>
      </c>
      <c r="P460" s="5" t="e">
        <f t="shared" si="103"/>
        <v>#VALUE!</v>
      </c>
      <c r="Q460" s="5" t="str">
        <f>VLOOKUP(A460,[4]Sheet2!$A$1:$B$142,2,0)</f>
        <v>CHURN</v>
      </c>
      <c r="R460" s="5" t="s">
        <v>428</v>
      </c>
      <c r="S460" s="5" t="str">
        <f>VLOOKUP(A460,[3]Sheet1!$A$1:$C$191,3,0)</f>
        <v>Aug.25</v>
      </c>
      <c r="T460" s="6" cm="1">
        <f t="array" ref="T460">IF(R460&lt;&gt;"Churn","",
 _xlfn.LET(
   _xlpm.rng,Y460:BF460,
   _xlpm.pos,MAX(IF((_xlpm.rng&lt;&gt;0)*(_xlpm.rng&lt;&gt;""),COLUMN(_xlpm.rng)-COLUMN(Y460)+1)),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1034.6771723823961</v>
      </c>
      <c r="U460" s="6" cm="1">
        <f t="array" ref="U460">IF(R460="Churn",
   MAX(IF((Y460:BF460&lt;&gt;"")*(Y460:BF460&lt;&gt;0), COLUMN(Y460:BF460)-COLUMN(Y460)+1))
   -MATCH(1, --((Y460:BF460&lt;&gt;"")*(Y460:BF460&lt;&gt;0)), 0)
   +1,
"")</f>
        <v>31</v>
      </c>
      <c r="V460" s="6" t="str" cm="1">
        <f t="array" ref="V460">IFERROR(
    IF(
        MATCH(2,1/((Y460:BF460&lt;&gt;0)*(Y460:BF460&lt;&gt;"")))-MATCH(1,INDEX((Y460:BF460&lt;&gt;0)*(Y460:BF460&lt;&gt;""),0),0)+1 &lt;= 12,
        "No",
        "Yes"
    ),
    "No"
)</f>
        <v>Yes</v>
      </c>
      <c r="W460" s="6" t="str" cm="1">
        <f t="array" ref="W460">IFERROR(
    IF(
        MATCH(2,1/((Y460:BF460&lt;&gt;0)*(Y460:BF460&lt;&gt;"")))-MATCH(1,INDEX((Y460:BF460&lt;&gt;0)*(Y460:BF460&lt;&gt;""),0),0)+1 &lt;= 24,
        "No",
        "Yes"
    ),
    "No"
)</f>
        <v>Yes</v>
      </c>
      <c r="Y460" s="8">
        <v>416.45564896605771</v>
      </c>
      <c r="Z460" s="8">
        <v>415.00873898330298</v>
      </c>
      <c r="AA460" s="8">
        <v>683.43783453127389</v>
      </c>
      <c r="AB460" s="8">
        <v>671.29560087226321</v>
      </c>
      <c r="AC460" s="8">
        <v>658.56843774137155</v>
      </c>
      <c r="AD460" s="8">
        <v>553.83149294041232</v>
      </c>
      <c r="AE460" s="8">
        <v>657.69605114163551</v>
      </c>
      <c r="AF460" s="8">
        <v>645.25289530101088</v>
      </c>
      <c r="AG460" s="8">
        <v>644.65409271955843</v>
      </c>
      <c r="AH460" s="8">
        <v>624.7845465701397</v>
      </c>
      <c r="AI460" s="8">
        <v>607.58460478118036</v>
      </c>
      <c r="AJ460" s="8">
        <v>598.11780832297234</v>
      </c>
      <c r="AK460" s="8">
        <v>579.06013890880229</v>
      </c>
      <c r="AL460" s="8">
        <v>565.75519836331534</v>
      </c>
      <c r="AM460" s="8">
        <v>855.17141254832666</v>
      </c>
      <c r="AN460" s="8">
        <v>846.65399620959511</v>
      </c>
      <c r="AO460" s="8">
        <v>847.88482348373054</v>
      </c>
      <c r="AP460" s="8">
        <v>840.7058212237506</v>
      </c>
      <c r="AQ460" s="8">
        <v>830.96734281339127</v>
      </c>
      <c r="AR460" s="8">
        <v>813.07847283039325</v>
      </c>
      <c r="AS460" s="8">
        <v>803.76956542223934</v>
      </c>
      <c r="AT460" s="8">
        <v>798.79932749402269</v>
      </c>
      <c r="AU460" s="8">
        <v>794.39617987142049</v>
      </c>
      <c r="AV460" s="8">
        <v>782.0441964541526</v>
      </c>
      <c r="AW460" s="8">
        <v>939.71157217033033</v>
      </c>
      <c r="AX460" s="8">
        <v>923.14615633896904</v>
      </c>
      <c r="AY460" s="8">
        <v>1081.2008540946429</v>
      </c>
      <c r="AZ460" s="8">
        <v>1052.3186178320657</v>
      </c>
      <c r="BA460" s="8">
        <v>1034.6771723823961</v>
      </c>
      <c r="BB460" s="8">
        <v>1017.1103050568182</v>
      </c>
      <c r="BC460" s="8">
        <v>997.54600378069938</v>
      </c>
      <c r="BD460" s="8">
        <v>0</v>
      </c>
      <c r="BE460" s="8">
        <v>0</v>
      </c>
      <c r="BF460" s="8">
        <v>0</v>
      </c>
      <c r="BH460" s="8">
        <f t="shared" si="96"/>
        <v>7176.6877528711775</v>
      </c>
      <c r="BI460" s="8">
        <f t="shared" si="97"/>
        <v>9358.2864756231411</v>
      </c>
      <c r="BJ460" s="8">
        <f t="shared" si="98"/>
        <v>7045.7106816559217</v>
      </c>
    </row>
    <row r="461" spans="1:62" x14ac:dyDescent="0.25">
      <c r="A461" s="9" t="s">
        <v>312</v>
      </c>
      <c r="B461" s="9" t="s">
        <v>644</v>
      </c>
      <c r="C461" s="10">
        <v>44927</v>
      </c>
      <c r="D461" s="6" cm="1">
        <f t="array" ref="D461">_xlfn.LET(
  _xlpm.aralık, Y461:BF461,
  _xlpm.ilk, MATCH(TRUE, _xlpm.aralık&lt;&gt;0, 0),
  _xlpm.son, MIN(_xlpm.ilk+2, COLUMNS(_xlpm.aralık)),
  MAX(INDEX(_xlpm.aralık, _xlpm.ilk):INDEX(_xlpm.aralık, _xlpm.son))
)</f>
        <v>341.40471851973842</v>
      </c>
      <c r="E461" s="6">
        <f t="shared" si="91"/>
        <v>408.52363820358852</v>
      </c>
      <c r="F461" s="6">
        <f t="shared" si="92"/>
        <v>609.62223317436587</v>
      </c>
      <c r="G461" s="6">
        <f t="shared" si="99"/>
        <v>0</v>
      </c>
      <c r="H461" s="7">
        <f t="shared" si="93"/>
        <v>0.1965963445814812</v>
      </c>
      <c r="I461" s="7">
        <f t="shared" si="94"/>
        <v>0.78562919639061868</v>
      </c>
      <c r="J461" s="7">
        <f t="shared" si="95"/>
        <v>0.4922569373343324</v>
      </c>
      <c r="K461" s="7">
        <f t="shared" si="100"/>
        <v>1.0815334923127038</v>
      </c>
      <c r="L461" s="5" t="s">
        <v>418</v>
      </c>
      <c r="M461" s="7" t="str">
        <f>IF(R461="",(VLOOKUP(A461,[1]Export!$B$2:$H$680,7,0)),"CHURN")</f>
        <v>CHURN</v>
      </c>
      <c r="N461" s="5" t="e">
        <f t="shared" si="101"/>
        <v>#VALUE!</v>
      </c>
      <c r="O461" s="5" t="e">
        <f t="shared" si="102"/>
        <v>#VALUE!</v>
      </c>
      <c r="P461" s="5" t="e">
        <f t="shared" si="103"/>
        <v>#VALUE!</v>
      </c>
      <c r="Q461" s="5" t="str">
        <f>VLOOKUP(A461,[4]Sheet2!$A$1:$B$142,2,0)</f>
        <v>CHURN</v>
      </c>
      <c r="R461" s="5" t="s">
        <v>428</v>
      </c>
      <c r="S461" s="5" t="str">
        <f>VLOOKUP(A461,[3]Sheet1!$A$1:$C$191,3,0)</f>
        <v>Aug.25</v>
      </c>
      <c r="T461" s="6" cm="1">
        <f t="array" ref="T461">IF(R461&lt;&gt;"Churn","",
 _xlfn.LET(
   _xlpm.rng,Y461:BF461,
   _xlpm.pos,MAX(IF((_xlpm.rng&lt;&gt;0)*(_xlpm.rng&lt;&gt;""),COLUMN(_xlpm.rng)-COLUMN(Y461)+1)),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710.64535603242678</v>
      </c>
      <c r="U461" s="6" cm="1">
        <f t="array" ref="U461">IF(R461="Churn",
   MAX(IF((Y461:BF461&lt;&gt;"")*(Y461:BF461&lt;&gt;0), COLUMN(Y461:BF461)-COLUMN(Y461)+1))
   -MATCH(1, --((Y461:BF461&lt;&gt;"")*(Y461:BF461&lt;&gt;0)), 0)
   +1,
"")</f>
        <v>31</v>
      </c>
      <c r="V461" s="6" t="str" cm="1">
        <f t="array" ref="V461">IFERROR(
    IF(
        MATCH(2,1/((Y461:BF461&lt;&gt;0)*(Y461:BF461&lt;&gt;"")))-MATCH(1,INDEX((Y461:BF461&lt;&gt;0)*(Y461:BF461&lt;&gt;""),0),0)+1 &lt;= 12,
        "No",
        "Yes"
    ),
    "No"
)</f>
        <v>Yes</v>
      </c>
      <c r="W461" s="6" t="str" cm="1">
        <f t="array" ref="W461">IFERROR(
    IF(
        MATCH(2,1/((Y461:BF461&lt;&gt;0)*(Y461:BF461&lt;&gt;"")))-MATCH(1,INDEX((Y461:BF461&lt;&gt;0)*(Y461:BF461&lt;&gt;""),0),0)+1 &lt;= 24,
        "No",
        "Yes"
    ),
    "No"
)</f>
        <v>Yes</v>
      </c>
      <c r="Y461" s="8">
        <v>269.66729394454723</v>
      </c>
      <c r="Z461" s="8">
        <v>341.40471851973842</v>
      </c>
      <c r="AA461" s="8">
        <v>339.60692080936133</v>
      </c>
      <c r="AB461" s="8">
        <v>341.44648582572347</v>
      </c>
      <c r="AC461" s="8">
        <v>334.97296638074715</v>
      </c>
      <c r="AD461" s="8">
        <v>281.6997709480018</v>
      </c>
      <c r="AE461" s="8">
        <v>249.64874209906418</v>
      </c>
      <c r="AF461" s="8">
        <v>455.22346113404404</v>
      </c>
      <c r="AG461" s="8">
        <v>454.79992356891245</v>
      </c>
      <c r="AH461" s="8">
        <v>440.78206783486718</v>
      </c>
      <c r="AI461" s="8">
        <v>428.64760332226621</v>
      </c>
      <c r="AJ461" s="8">
        <v>421.96883038921595</v>
      </c>
      <c r="AK461" s="8">
        <v>408.52363820358852</v>
      </c>
      <c r="AL461" s="8">
        <v>399.13707823769721</v>
      </c>
      <c r="AM461" s="8">
        <v>446.5161437988358</v>
      </c>
      <c r="AN461" s="8">
        <v>442.06889048459487</v>
      </c>
      <c r="AO461" s="8">
        <v>442.7115502368564</v>
      </c>
      <c r="AP461" s="8">
        <v>438.96313166437722</v>
      </c>
      <c r="AQ461" s="8">
        <v>433.87831736579807</v>
      </c>
      <c r="AR461" s="8">
        <v>643.51495287543275</v>
      </c>
      <c r="AS461" s="8">
        <v>636.14737236229143</v>
      </c>
      <c r="AT461" s="8">
        <v>632.21365312972819</v>
      </c>
      <c r="AU461" s="8">
        <v>628.72876030628549</v>
      </c>
      <c r="AV461" s="8">
        <v>618.95272233173273</v>
      </c>
      <c r="AW461" s="8">
        <v>609.62223317436587</v>
      </c>
      <c r="AX461" s="8">
        <v>598.87569552212335</v>
      </c>
      <c r="AY461" s="8">
        <v>583.93451914941932</v>
      </c>
      <c r="AZ461" s="8">
        <v>568.33581269254148</v>
      </c>
      <c r="BA461" s="8">
        <v>710.64535603242678</v>
      </c>
      <c r="BB461" s="8">
        <v>698.42204324753163</v>
      </c>
      <c r="BC461" s="8">
        <v>684.98776851445461</v>
      </c>
      <c r="BD461" s="8">
        <v>0</v>
      </c>
      <c r="BE461" s="8">
        <v>0</v>
      </c>
      <c r="BF461" s="8">
        <v>0</v>
      </c>
      <c r="BH461" s="8">
        <f t="shared" si="96"/>
        <v>4359.8687847764895</v>
      </c>
      <c r="BI461" s="8">
        <f t="shared" si="97"/>
        <v>6171.356210997219</v>
      </c>
      <c r="BJ461" s="8">
        <f t="shared" si="98"/>
        <v>4454.8234283328629</v>
      </c>
    </row>
    <row r="462" spans="1:62" x14ac:dyDescent="0.25">
      <c r="A462" s="9" t="s">
        <v>0</v>
      </c>
      <c r="B462" s="9" t="s">
        <v>644</v>
      </c>
      <c r="C462" s="10">
        <v>44927</v>
      </c>
      <c r="D462" s="6" cm="1">
        <f t="array" ref="D462">_xlfn.LET(
  _xlpm.aralık, Y462:BF462,
  _xlpm.ilk, MATCH(TRUE, _xlpm.aralık&lt;&gt;0, 0),
  _xlpm.son, MIN(_xlpm.ilk+2, COLUMNS(_xlpm.aralık)),
  MAX(INDEX(_xlpm.aralık, _xlpm.ilk):INDEX(_xlpm.aralık, _xlpm.son))
)</f>
        <v>1108.4134578293342</v>
      </c>
      <c r="E462" s="6">
        <f t="shared" si="91"/>
        <v>1171.9315282969169</v>
      </c>
      <c r="F462" s="6">
        <f t="shared" si="92"/>
        <v>1454.5186431131301</v>
      </c>
      <c r="G462" s="6">
        <f t="shared" si="99"/>
        <v>0</v>
      </c>
      <c r="H462" s="7">
        <f t="shared" si="93"/>
        <v>5.7305394497801872E-2</v>
      </c>
      <c r="I462" s="7">
        <f t="shared" si="94"/>
        <v>0.3122527815221518</v>
      </c>
      <c r="J462" s="7">
        <f t="shared" si="95"/>
        <v>0.24112937316984429</v>
      </c>
      <c r="K462" s="7">
        <f t="shared" si="100"/>
        <v>0.26516490849730479</v>
      </c>
      <c r="L462" s="5" t="s">
        <v>412</v>
      </c>
      <c r="M462" s="7" t="str">
        <f>IF(R462="",(VLOOKUP(A462,[1]Export!$B$2:$H$680,7,0)),"CHURN")</f>
        <v>CHURN</v>
      </c>
      <c r="N462" s="5" t="e">
        <f t="shared" si="101"/>
        <v>#VALUE!</v>
      </c>
      <c r="O462" s="5" t="e">
        <f t="shared" si="102"/>
        <v>#VALUE!</v>
      </c>
      <c r="P462" s="5" t="e">
        <f t="shared" si="103"/>
        <v>#VALUE!</v>
      </c>
      <c r="Q462" s="5" t="str">
        <f>VLOOKUP(A462,[4]Sheet2!$A$1:$B$142,2,0)</f>
        <v>CHURN</v>
      </c>
      <c r="R462" s="5" t="s">
        <v>428</v>
      </c>
      <c r="S462" s="5" t="str">
        <f>VLOOKUP(A462,[3]Sheet1!$A$1:$C$191,3,0)</f>
        <v>Jul.25</v>
      </c>
      <c r="T462" s="6" cm="1">
        <f t="array" ref="T462">IF(R462&lt;&gt;"Churn","",
 _xlfn.LET(
   _xlpm.rng,Y462:BF462,
   _xlpm.pos,MAX(IF((_xlpm.rng&lt;&gt;0)*(_xlpm.rng&lt;&gt;""),COLUMN(_xlpm.rng)-COLUMN(Y462)+1)),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1402.3258109518308</v>
      </c>
      <c r="U462" s="6" cm="1">
        <f t="array" ref="U462">IF(R462="Churn",
   MAX(IF((Y462:BF462&lt;&gt;"")*(Y462:BF462&lt;&gt;0), COLUMN(Y462:BF462)-COLUMN(Y462)+1))
   -MATCH(1, --((Y462:BF462&lt;&gt;"")*(Y462:BF462&lt;&gt;0)), 0)
   +1,
"")</f>
        <v>30</v>
      </c>
      <c r="V462" s="6" t="str" cm="1">
        <f t="array" ref="V462">IFERROR(
    IF(
        MATCH(2,1/((Y462:BF462&lt;&gt;0)*(Y462:BF462&lt;&gt;"")))-MATCH(1,INDEX((Y462:BF462&lt;&gt;0)*(Y462:BF462&lt;&gt;""),0),0)+1 &lt;= 12,
        "No",
        "Yes"
    ),
    "No"
)</f>
        <v>Yes</v>
      </c>
      <c r="W462" s="6" t="str" cm="1">
        <f t="array" ref="W462">IFERROR(
    IF(
        MATCH(2,1/((Y462:BF462&lt;&gt;0)*(Y462:BF462&lt;&gt;"")))-MATCH(1,INDEX((Y462:BF462&lt;&gt;0)*(Y462:BF462&lt;&gt;""),0),0)+1 &lt;= 24,
        "No",
        "Yes"
    ),
    "No"
)</f>
        <v>Yes</v>
      </c>
      <c r="Y462" s="8">
        <v>1108.4134578293342</v>
      </c>
      <c r="Z462" s="8">
        <v>1106.264946530172</v>
      </c>
      <c r="AA462" s="8">
        <v>1101.7348567481054</v>
      </c>
      <c r="AB462" s="8">
        <v>1391.9504779318454</v>
      </c>
      <c r="AC462" s="8">
        <v>1383.8511923757064</v>
      </c>
      <c r="AD462" s="8">
        <v>1243.130030469044</v>
      </c>
      <c r="AE462" s="8">
        <v>1167.467228035493</v>
      </c>
      <c r="AF462" s="8">
        <v>1167.4004493893581</v>
      </c>
      <c r="AG462" s="8">
        <v>1166.7968883749763</v>
      </c>
      <c r="AH462" s="8">
        <v>1176.7694472771832</v>
      </c>
      <c r="AI462" s="8">
        <v>1241.9328247658564</v>
      </c>
      <c r="AJ462" s="8">
        <v>1191.1407996473258</v>
      </c>
      <c r="AK462" s="8">
        <v>1171.9315282969169</v>
      </c>
      <c r="AL462" s="8">
        <v>1158.5208626149165</v>
      </c>
      <c r="AM462" s="8">
        <v>1138.6802657418023</v>
      </c>
      <c r="AN462" s="8">
        <v>1458.7673186194074</v>
      </c>
      <c r="AO462" s="8">
        <v>1421.7715795086842</v>
      </c>
      <c r="AP462" s="8">
        <v>1414.4072913034815</v>
      </c>
      <c r="AQ462" s="8">
        <v>1482.6448892623268</v>
      </c>
      <c r="AR462" s="8">
        <v>1464.0813201730082</v>
      </c>
      <c r="AS462" s="8">
        <v>1454.4213167193764</v>
      </c>
      <c r="AT462" s="8">
        <v>1449.263620606738</v>
      </c>
      <c r="AU462" s="8">
        <v>1444.69440325649</v>
      </c>
      <c r="AV462" s="8">
        <v>1431.8765507160836</v>
      </c>
      <c r="AW462" s="8">
        <v>1454.5186431131301</v>
      </c>
      <c r="AX462" s="8">
        <v>1443.889912066953</v>
      </c>
      <c r="AY462" s="8">
        <v>1423.5512264602289</v>
      </c>
      <c r="AZ462" s="8">
        <v>1402.3258109518308</v>
      </c>
      <c r="BA462" s="8">
        <v>1163.1977747714659</v>
      </c>
      <c r="BB462" s="8">
        <v>537.27688286194507</v>
      </c>
      <c r="BC462" s="8">
        <v>0</v>
      </c>
      <c r="BD462" s="8">
        <v>0</v>
      </c>
      <c r="BE462" s="8">
        <v>0</v>
      </c>
      <c r="BF462" s="8">
        <v>0</v>
      </c>
      <c r="BH462" s="8">
        <f t="shared" si="96"/>
        <v>14446.852599374401</v>
      </c>
      <c r="BI462" s="8">
        <f t="shared" si="97"/>
        <v>16491.060946819231</v>
      </c>
      <c r="BJ462" s="8">
        <f t="shared" si="98"/>
        <v>7424.760250225554</v>
      </c>
    </row>
    <row r="463" spans="1:62" x14ac:dyDescent="0.25">
      <c r="A463" s="9" t="s">
        <v>310</v>
      </c>
      <c r="B463" s="9" t="s">
        <v>644</v>
      </c>
      <c r="C463" s="10">
        <f>VLOOKUP(A463,'[2]Revenue_Engine_2025 Oct.25'!$C$14:G$3937,5,0)</f>
        <v>45323</v>
      </c>
      <c r="D463" s="6" cm="1">
        <f t="array" ref="D463">_xlfn.LET(
  _xlpm.aralık, Y463:BF463,
  _xlpm.ilk, MATCH(TRUE, _xlpm.aralık&lt;&gt;0, 0),
  _xlpm.son, MIN(_xlpm.ilk+2, COLUMNS(_xlpm.aralık)),
  MAX(INDEX(_xlpm.aralık, _xlpm.ilk):INDEX(_xlpm.aralık, _xlpm.son))
)</f>
        <v>244.32991705813748</v>
      </c>
      <c r="E463" s="6">
        <f t="shared" si="91"/>
        <v>0</v>
      </c>
      <c r="F463" s="6">
        <f t="shared" si="92"/>
        <v>0</v>
      </c>
      <c r="G463" s="6">
        <f t="shared" si="99"/>
        <v>0</v>
      </c>
      <c r="H463" s="7">
        <f t="shared" si="93"/>
        <v>-1</v>
      </c>
      <c r="I463" s="7">
        <f t="shared" si="94"/>
        <v>-1</v>
      </c>
      <c r="J463" s="7" t="e">
        <f t="shared" si="95"/>
        <v>#DIV/0!</v>
      </c>
      <c r="K463" s="7">
        <f t="shared" si="100"/>
        <v>-0.10663240211757251</v>
      </c>
      <c r="L463" s="5" t="s">
        <v>422</v>
      </c>
      <c r="M463" s="7" t="str">
        <f>IF(R463="",(VLOOKUP(A463,[1]Export!$B$2:$H$680,7,0)),"CHURN")</f>
        <v>CHURN</v>
      </c>
      <c r="N463" s="5" t="e">
        <f t="shared" si="101"/>
        <v>#VALUE!</v>
      </c>
      <c r="O463" s="5" t="e">
        <f t="shared" si="102"/>
        <v>#VALUE!</v>
      </c>
      <c r="P463" s="5" t="e">
        <f t="shared" si="103"/>
        <v>#VALUE!</v>
      </c>
      <c r="Q463" s="5" t="s">
        <v>696</v>
      </c>
      <c r="R463" s="5" t="s">
        <v>428</v>
      </c>
      <c r="S463" s="5" t="str">
        <f>VLOOKUP(A463,[3]Sheet1!$A$1:$C$191,3,0)</f>
        <v>Feb.25</v>
      </c>
      <c r="T463" s="6" cm="1">
        <f t="array" ref="T463">IF(R463&lt;&gt;"Churn","",
 _xlfn.LET(
   _xlpm.rng,Y463:BF463,
   _xlpm.pos,MAX(IF((_xlpm.rng&lt;&gt;0)*(_xlpm.rng&lt;&gt;""),COLUMN(_xlpm.rng)-COLUMN(Y463)+1)),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218.27643109304103</v>
      </c>
      <c r="U463" s="6" cm="1">
        <f t="array" ref="U463">IF(R463="Churn",
   MAX(IF((Y463:BF463&lt;&gt;"")*(Y463:BF463&lt;&gt;0), COLUMN(Y463:BF463)-COLUMN(Y463)+1))
   -MATCH(1, --((Y463:BF463&lt;&gt;"")*(Y463:BF463&lt;&gt;0)), 0)
   +1,
"")</f>
        <v>12</v>
      </c>
      <c r="V463" s="6" t="str" cm="1">
        <f t="array" ref="V463">IFERROR(
    IF(
        MATCH(2,1/((Y463:BF463&lt;&gt;0)*(Y463:BF463&lt;&gt;"")))-MATCH(1,INDEX((Y463:BF463&lt;&gt;0)*(Y463:BF463&lt;&gt;""),0),0)+1 &lt;= 12,
        "No",
        "Yes"
    ),
    "No"
)</f>
        <v>No</v>
      </c>
      <c r="W463" s="6" t="str" cm="1">
        <f t="array" ref="W463">IFERROR(
    IF(
        MATCH(2,1/((Y463:BF463&lt;&gt;0)*(Y463:BF463&lt;&gt;"")))-MATCH(1,INDEX((Y463:BF463&lt;&gt;0)*(Y463:BF463&lt;&gt;""),0),0)+1 &lt;= 24,
        "No",
        "Yes"
    ),
    "No"
)</f>
        <v>No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244.32991705813748</v>
      </c>
      <c r="AM463" s="8">
        <v>234.97565652198432</v>
      </c>
      <c r="AN463" s="8">
        <v>232.63532396795216</v>
      </c>
      <c r="AO463" s="8">
        <v>232.9735186767104</v>
      </c>
      <c r="AP463" s="8">
        <v>231.00094248384534</v>
      </c>
      <c r="AQ463" s="8">
        <v>228.32509840811738</v>
      </c>
      <c r="AR463" s="8">
        <v>223.40976926239031</v>
      </c>
      <c r="AS463" s="8">
        <v>220.85195851516809</v>
      </c>
      <c r="AT463" s="8">
        <v>219.48628503366922</v>
      </c>
      <c r="AU463" s="8">
        <v>218.27643109304103</v>
      </c>
      <c r="AV463" s="8">
        <v>214.88247361243225</v>
      </c>
      <c r="AW463" s="8">
        <v>211.64319778762311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H463" s="8">
        <f t="shared" si="96"/>
        <v>0</v>
      </c>
      <c r="BI463" s="8">
        <f t="shared" si="97"/>
        <v>2501.1473746334477</v>
      </c>
      <c r="BJ463" s="8">
        <f t="shared" si="98"/>
        <v>211.64319778762311</v>
      </c>
    </row>
    <row r="464" spans="1:62" x14ac:dyDescent="0.25">
      <c r="A464" s="9" t="s">
        <v>369</v>
      </c>
      <c r="B464" s="9" t="s">
        <v>644</v>
      </c>
      <c r="C464" s="10">
        <v>44927</v>
      </c>
      <c r="D464" s="6" cm="1">
        <f t="array" ref="D464">_xlfn.LET(
  _xlpm.aralık, Y464:BF464,
  _xlpm.ilk, MATCH(TRUE, _xlpm.aralık&lt;&gt;0, 0),
  _xlpm.son, MIN(_xlpm.ilk+2, COLUMNS(_xlpm.aralık)),
  MAX(INDEX(_xlpm.aralık, _xlpm.ilk):INDEX(_xlpm.aralık, _xlpm.son))
)</f>
        <v>100</v>
      </c>
      <c r="E464" s="6">
        <f t="shared" si="91"/>
        <v>105.99380299999999</v>
      </c>
      <c r="F464" s="6">
        <f t="shared" si="92"/>
        <v>105.99380299999999</v>
      </c>
      <c r="G464" s="6">
        <f t="shared" si="99"/>
        <v>0</v>
      </c>
      <c r="H464" s="7">
        <f t="shared" si="93"/>
        <v>5.9938029999999858E-2</v>
      </c>
      <c r="I464" s="7">
        <f t="shared" si="94"/>
        <v>5.9938029999999858E-2</v>
      </c>
      <c r="J464" s="7">
        <f t="shared" si="95"/>
        <v>0</v>
      </c>
      <c r="K464" s="7">
        <f t="shared" si="100"/>
        <v>5.9938029999999858E-2</v>
      </c>
      <c r="L464" s="5" t="s">
        <v>416</v>
      </c>
      <c r="M464" s="7" t="str">
        <f>IF(R464="",(VLOOKUP(A464,[1]Export!$B$2:$H$680,7,0)),"CHURN")</f>
        <v>CHURN</v>
      </c>
      <c r="N464" s="5" t="e">
        <f t="shared" si="101"/>
        <v>#VALUE!</v>
      </c>
      <c r="O464" s="5" t="e">
        <f t="shared" si="102"/>
        <v>#VALUE!</v>
      </c>
      <c r="P464" s="5" t="e">
        <f t="shared" si="103"/>
        <v>#VALUE!</v>
      </c>
      <c r="Q464" s="5" t="s">
        <v>696</v>
      </c>
      <c r="R464" s="5" t="s">
        <v>428</v>
      </c>
      <c r="S464" s="5" t="str">
        <f>VLOOKUP(A464,[3]Sheet1!$A$1:$C$191,3,0)</f>
        <v>Aug.25</v>
      </c>
      <c r="T464" s="6" cm="1">
        <f t="array" ref="T464">IF(R464&lt;&gt;"Churn","",
 _xlfn.LET(
   _xlpm.rng,Y464:BF464,
   _xlpm.pos,MAX(IF((_xlpm.rng&lt;&gt;0)*(_xlpm.rng&lt;&gt;""),COLUMN(_xlpm.rng)-COLUMN(Y464)+1)),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105.99380299999999</v>
      </c>
      <c r="U464" s="6" cm="1">
        <f t="array" ref="U464">IF(R464="Churn",
   MAX(IF((Y464:BF464&lt;&gt;"")*(Y464:BF464&lt;&gt;0), COLUMN(Y464:BF464)-COLUMN(Y464)+1))
   -MATCH(1, --((Y464:BF464&lt;&gt;"")*(Y464:BF464&lt;&gt;0)), 0)
   +1,
"")</f>
        <v>31</v>
      </c>
      <c r="V464" s="6" t="str" cm="1">
        <f t="array" ref="V464">IFERROR(
    IF(
        MATCH(2,1/((Y464:BF464&lt;&gt;0)*(Y464:BF464&lt;&gt;"")))-MATCH(1,INDEX((Y464:BF464&lt;&gt;0)*(Y464:BF464&lt;&gt;""),0),0)+1 &lt;= 12,
        "No",
        "Yes"
    ),
    "No"
)</f>
        <v>Yes</v>
      </c>
      <c r="W464" s="6" t="str" cm="1">
        <f t="array" ref="W464">IFERROR(
    IF(
        MATCH(2,1/((Y464:BF464&lt;&gt;0)*(Y464:BF464&lt;&gt;"")))-MATCH(1,INDEX((Y464:BF464&lt;&gt;0)*(Y464:BF464&lt;&gt;""),0),0)+1 &lt;= 24,
        "No",
        "Yes"
    ),
    "No"
)</f>
        <v>Yes</v>
      </c>
      <c r="Y464" s="8">
        <v>100</v>
      </c>
      <c r="Z464" s="8">
        <v>100</v>
      </c>
      <c r="AA464" s="8">
        <v>100</v>
      </c>
      <c r="AB464" s="8">
        <v>100</v>
      </c>
      <c r="AC464" s="8">
        <v>100.00358800000001</v>
      </c>
      <c r="AD464" s="8">
        <v>100.00358800000001</v>
      </c>
      <c r="AE464" s="8">
        <v>105.99380299999999</v>
      </c>
      <c r="AF464" s="8">
        <v>105.99380299999999</v>
      </c>
      <c r="AG464" s="8">
        <v>105.99380299999999</v>
      </c>
      <c r="AH464" s="8">
        <v>105.99380299999999</v>
      </c>
      <c r="AI464" s="8">
        <v>105.99380299999999</v>
      </c>
      <c r="AJ464" s="8">
        <v>105.99380299999999</v>
      </c>
      <c r="AK464" s="8">
        <v>105.99380299999999</v>
      </c>
      <c r="AL464" s="8">
        <v>105.99380299999999</v>
      </c>
      <c r="AM464" s="8">
        <v>105.99380299999999</v>
      </c>
      <c r="AN464" s="8">
        <v>105.99380299999999</v>
      </c>
      <c r="AO464" s="8">
        <v>105.99380299999999</v>
      </c>
      <c r="AP464" s="8">
        <v>105.99380299999999</v>
      </c>
      <c r="AQ464" s="8">
        <v>105.99380299999999</v>
      </c>
      <c r="AR464" s="8">
        <v>105.99380299999999</v>
      </c>
      <c r="AS464" s="8">
        <v>105.99380299999999</v>
      </c>
      <c r="AT464" s="8">
        <v>105.99380299999999</v>
      </c>
      <c r="AU464" s="8">
        <v>105.99380299999999</v>
      </c>
      <c r="AV464" s="8">
        <v>105.99380299999999</v>
      </c>
      <c r="AW464" s="8">
        <v>105.99380299999999</v>
      </c>
      <c r="AX464" s="8">
        <v>105.99380299999999</v>
      </c>
      <c r="AY464" s="8">
        <v>105.99380299999999</v>
      </c>
      <c r="AZ464" s="8">
        <v>105.993803</v>
      </c>
      <c r="BA464" s="8">
        <v>105.99380299999999</v>
      </c>
      <c r="BB464" s="8">
        <v>105.99380299999999</v>
      </c>
      <c r="BC464" s="8">
        <v>105.99380299999999</v>
      </c>
      <c r="BD464" s="8">
        <v>0</v>
      </c>
      <c r="BE464" s="8">
        <v>0</v>
      </c>
      <c r="BF464" s="8">
        <v>0</v>
      </c>
      <c r="BH464" s="8">
        <f t="shared" si="96"/>
        <v>1235.969994</v>
      </c>
      <c r="BI464" s="8">
        <f t="shared" si="97"/>
        <v>1271.9256359999999</v>
      </c>
      <c r="BJ464" s="8">
        <f t="shared" si="98"/>
        <v>741.95662099999993</v>
      </c>
    </row>
    <row r="465" spans="1:62" x14ac:dyDescent="0.25">
      <c r="A465" s="9" t="s">
        <v>558</v>
      </c>
      <c r="B465" s="9" t="s">
        <v>644</v>
      </c>
      <c r="C465" s="10">
        <f>VLOOKUP(A465,'[2]Revenue_Engine_2025 Oct.25'!$C$14:G$3937,5,0)</f>
        <v>45553</v>
      </c>
      <c r="D465" s="6" cm="1">
        <f t="array" ref="D465">_xlfn.LET(
  _xlpm.aralık, Y465:BF465,
  _xlpm.ilk, MATCH(TRUE, _xlpm.aralık&lt;&gt;0, 0),
  _xlpm.son, MIN(_xlpm.ilk+2, COLUMNS(_xlpm.aralık)),
  MAX(INDEX(_xlpm.aralık, _xlpm.ilk):INDEX(_xlpm.aralık, _xlpm.son))
)</f>
        <v>98.999166750000001</v>
      </c>
      <c r="E465" s="6">
        <f t="shared" si="91"/>
        <v>0</v>
      </c>
      <c r="F465" s="6">
        <f t="shared" si="92"/>
        <v>0</v>
      </c>
      <c r="G465" s="6">
        <f t="shared" si="99"/>
        <v>0</v>
      </c>
      <c r="H465" s="7">
        <f t="shared" si="93"/>
        <v>-1</v>
      </c>
      <c r="I465" s="7">
        <f t="shared" si="94"/>
        <v>-1</v>
      </c>
      <c r="J465" s="7" t="e">
        <f t="shared" si="95"/>
        <v>#DIV/0!</v>
      </c>
      <c r="K465" s="7">
        <f t="shared" si="100"/>
        <v>0</v>
      </c>
      <c r="L465" s="5" t="s">
        <v>694</v>
      </c>
      <c r="M465" s="7" t="str">
        <f>IF(R465="",(VLOOKUP(A465,[1]Export!$B$2:$H$680,7,0)),"CHURN")</f>
        <v>CHURN</v>
      </c>
      <c r="N465" s="5" t="e">
        <f t="shared" si="101"/>
        <v>#VALUE!</v>
      </c>
      <c r="O465" s="5" t="e">
        <f t="shared" si="102"/>
        <v>#VALUE!</v>
      </c>
      <c r="P465" s="5" t="e">
        <f t="shared" si="103"/>
        <v>#VALUE!</v>
      </c>
      <c r="Q465" s="5" t="s">
        <v>696</v>
      </c>
      <c r="R465" s="5" t="s">
        <v>428</v>
      </c>
      <c r="S465" s="5" t="str">
        <f>VLOOKUP(A465,[3]Sheet1!$A$1:$C$191,3,0)</f>
        <v>Aug.25</v>
      </c>
      <c r="T465" s="6" cm="1">
        <f t="array" ref="T465">IF(R465&lt;&gt;"Churn","",
 _xlfn.LET(
   _xlpm.rng,Y465:BF465,
   _xlpm.pos,MAX(IF((_xlpm.rng&lt;&gt;0)*(_xlpm.rng&lt;&gt;""),COLUMN(_xlpm.rng)-COLUMN(Y465)+1)),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98.999166750000001</v>
      </c>
      <c r="U465" s="6" cm="1">
        <f t="array" ref="U465">IF(R465="Churn",
   MAX(IF((Y465:BF465&lt;&gt;"")*(Y465:BF465&lt;&gt;0), COLUMN(Y465:BF465)-COLUMN(Y465)+1))
   -MATCH(1, --((Y465:BF465&lt;&gt;"")*(Y465:BF465&lt;&gt;0)), 0)
   +1,
"")</f>
        <v>11</v>
      </c>
      <c r="V465" s="6" t="str" cm="1">
        <f t="array" ref="V465">IFERROR(
    IF(
        MATCH(2,1/((Y465:BF465&lt;&gt;0)*(Y465:BF465&lt;&gt;"")))-MATCH(1,INDEX((Y465:BF465&lt;&gt;0)*(Y465:BF465&lt;&gt;""),0),0)+1 &lt;= 12,
        "No",
        "Yes"
    ),
    "No"
)</f>
        <v>No</v>
      </c>
      <c r="W465" s="6" t="str" cm="1">
        <f t="array" ref="W465">IFERROR(
    IF(
        MATCH(2,1/((Y465:BF465&lt;&gt;0)*(Y465:BF465&lt;&gt;"")))-MATCH(1,INDEX((Y465:BF465&lt;&gt;0)*(Y465:BF465&lt;&gt;""),0),0)+1 &lt;= 24,
        "No",
        "Yes"
    ),
    "No"
)</f>
        <v>No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98.999166750000001</v>
      </c>
      <c r="AT465" s="8">
        <v>98.999166750000001</v>
      </c>
      <c r="AU465" s="8">
        <v>98.999166750000001</v>
      </c>
      <c r="AV465" s="8">
        <v>98.999166750000001</v>
      </c>
      <c r="AW465" s="8">
        <v>98.999166750000001</v>
      </c>
      <c r="AX465" s="8">
        <v>98.999166750000001</v>
      </c>
      <c r="AY465" s="8">
        <v>98.999166750000001</v>
      </c>
      <c r="AZ465" s="8">
        <v>98.999166750000001</v>
      </c>
      <c r="BA465" s="8">
        <v>98.999166750000001</v>
      </c>
      <c r="BB465" s="8">
        <v>98.999166750000001</v>
      </c>
      <c r="BC465" s="8">
        <v>98.999166750000001</v>
      </c>
      <c r="BD465" s="8">
        <v>0</v>
      </c>
      <c r="BE465" s="8">
        <v>0</v>
      </c>
      <c r="BF465" s="8">
        <v>0</v>
      </c>
      <c r="BH465" s="8">
        <f t="shared" si="96"/>
        <v>0</v>
      </c>
      <c r="BI465" s="8">
        <f t="shared" si="97"/>
        <v>395.996667</v>
      </c>
      <c r="BJ465" s="8">
        <f t="shared" si="98"/>
        <v>692.99416724999992</v>
      </c>
    </row>
    <row r="466" spans="1:62" x14ac:dyDescent="0.25">
      <c r="A466" s="9" t="s">
        <v>173</v>
      </c>
      <c r="B466" s="9" t="s">
        <v>644</v>
      </c>
      <c r="C466" s="10">
        <v>44927</v>
      </c>
      <c r="D466" s="6" cm="1">
        <f t="array" ref="D466">_xlfn.LET(
  _xlpm.aralık, Y466:BF466,
  _xlpm.ilk, MATCH(TRUE, _xlpm.aralık&lt;&gt;0, 0),
  _xlpm.son, MIN(_xlpm.ilk+2, COLUMNS(_xlpm.aralık)),
  MAX(INDEX(_xlpm.aralık, _xlpm.ilk):INDEX(_xlpm.aralık, _xlpm.son))
)</f>
        <v>26.874725676989211</v>
      </c>
      <c r="E466" s="6">
        <f t="shared" si="91"/>
        <v>26.100972850653587</v>
      </c>
      <c r="F466" s="6">
        <f t="shared" si="92"/>
        <v>37.718898561766892</v>
      </c>
      <c r="G466" s="6">
        <f t="shared" si="99"/>
        <v>0</v>
      </c>
      <c r="H466" s="7">
        <f t="shared" si="93"/>
        <v>-2.8791096721710159E-2</v>
      </c>
      <c r="I466" s="7">
        <f t="shared" si="94"/>
        <v>0.40350822609745646</v>
      </c>
      <c r="J466" s="7">
        <f t="shared" si="95"/>
        <v>0.44511466210817441</v>
      </c>
      <c r="K466" s="7">
        <f t="shared" si="100"/>
        <v>0.56406290514217161</v>
      </c>
      <c r="L466" s="5" t="s">
        <v>418</v>
      </c>
      <c r="M466" s="7" t="str">
        <f>IF(R466="",(VLOOKUP(A466,[1]Export!$B$2:$H$680,7,0)),"CHURN")</f>
        <v>CHURN</v>
      </c>
      <c r="N466" s="5" t="e">
        <f t="shared" si="101"/>
        <v>#VALUE!</v>
      </c>
      <c r="O466" s="5" t="e">
        <f t="shared" si="102"/>
        <v>#VALUE!</v>
      </c>
      <c r="P466" s="5" t="e">
        <f t="shared" si="103"/>
        <v>#VALUE!</v>
      </c>
      <c r="Q466" s="5" t="s">
        <v>696</v>
      </c>
      <c r="R466" s="5" t="s">
        <v>428</v>
      </c>
      <c r="S466" s="5" t="str">
        <f>VLOOKUP(A466,[3]Sheet1!$A$1:$C$191,3,0)</f>
        <v>Mar.25</v>
      </c>
      <c r="T466" s="6" cm="1">
        <f t="array" ref="T466">IF(R466&lt;&gt;"Churn","",
 _xlfn.LET(
   _xlpm.rng,Y466:BF466,
   _xlpm.pos,MAX(IF((_xlpm.rng&lt;&gt;0)*(_xlpm.rng&lt;&gt;""),COLUMN(_xlpm.rng)-COLUMN(Y466)+1)),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42.03376151725066</v>
      </c>
      <c r="U466" s="6" cm="1">
        <f t="array" ref="U466">IF(R466="Churn",
   MAX(IF((Y466:BF466&lt;&gt;"")*(Y466:BF466&lt;&gt;0), COLUMN(Y466:BF466)-COLUMN(Y466)+1))
   -MATCH(1, --((Y466:BF466&lt;&gt;"")*(Y466:BF466&lt;&gt;0)), 0)
   +1,
"")</f>
        <v>31</v>
      </c>
      <c r="V466" s="6" t="str" cm="1">
        <f t="array" ref="V466">IFERROR(
    IF(
        MATCH(2,1/((Y466:BF466&lt;&gt;0)*(Y466:BF466&lt;&gt;"")))-MATCH(1,INDEX((Y466:BF466&lt;&gt;0)*(Y466:BF466&lt;&gt;""),0),0)+1 &lt;= 12,
        "No",
        "Yes"
    ),
    "No"
)</f>
        <v>Yes</v>
      </c>
      <c r="W466" s="6" t="str" cm="1">
        <f t="array" ref="W466">IFERROR(
    IF(
        MATCH(2,1/((Y466:BF466&lt;&gt;0)*(Y466:BF466&lt;&gt;"")))-MATCH(1,INDEX((Y466:BF466&lt;&gt;0)*(Y466:BF466&lt;&gt;""),0),0)+1 &lt;= 24,
        "No",
        "Yes"
    ),
    "No"
)</f>
        <v>Yes</v>
      </c>
      <c r="Y466" s="8">
        <v>26.874725676989211</v>
      </c>
      <c r="Z466" s="8">
        <v>26.781353648149231</v>
      </c>
      <c r="AA466" s="8">
        <v>26.584480737150923</v>
      </c>
      <c r="AB466" s="8">
        <v>40.546338549301339</v>
      </c>
      <c r="AC466" s="8">
        <v>39.77761629876553</v>
      </c>
      <c r="AD466" s="8">
        <v>33.451491686893895</v>
      </c>
      <c r="AE466" s="8">
        <v>29.645472528665547</v>
      </c>
      <c r="AF466" s="8">
        <v>29.084600627423587</v>
      </c>
      <c r="AG466" s="8">
        <v>29.057609762193771</v>
      </c>
      <c r="AH466" s="8">
        <v>28.161995316117686</v>
      </c>
      <c r="AI466" s="8">
        <v>27.386712568237186</v>
      </c>
      <c r="AJ466" s="8">
        <v>26.959999265262169</v>
      </c>
      <c r="AK466" s="8">
        <v>26.100972850653587</v>
      </c>
      <c r="AL466" s="8">
        <v>25.501256398729048</v>
      </c>
      <c r="AM466" s="8">
        <v>38.546451032117517</v>
      </c>
      <c r="AN466" s="8">
        <v>38.162532478476059</v>
      </c>
      <c r="AO466" s="8">
        <v>38.218019983950711</v>
      </c>
      <c r="AP466" s="8">
        <v>38.89442974594003</v>
      </c>
      <c r="AQ466" s="8">
        <v>38.455472293002998</v>
      </c>
      <c r="AR466" s="8">
        <v>37.649139673801884</v>
      </c>
      <c r="AS466" s="8">
        <v>37.229544936993392</v>
      </c>
      <c r="AT466" s="8">
        <v>37.005513739353702</v>
      </c>
      <c r="AU466" s="8">
        <v>36.807043877443121</v>
      </c>
      <c r="AV466" s="8">
        <v>36.250283883623474</v>
      </c>
      <c r="AW466" s="8">
        <v>37.718898561766892</v>
      </c>
      <c r="AX466" s="8">
        <v>37.106867158818211</v>
      </c>
      <c r="AY466" s="8">
        <v>0</v>
      </c>
      <c r="AZ466" s="8">
        <v>0</v>
      </c>
      <c r="BA466" s="8">
        <v>42.03376151725066</v>
      </c>
      <c r="BB466" s="8">
        <v>41.320107508562799</v>
      </c>
      <c r="BC466" s="8">
        <v>40.525307742952336</v>
      </c>
      <c r="BD466" s="8">
        <v>0</v>
      </c>
      <c r="BE466" s="8">
        <v>0</v>
      </c>
      <c r="BF466" s="8">
        <v>0</v>
      </c>
      <c r="BH466" s="8">
        <f t="shared" si="96"/>
        <v>364.31239666515006</v>
      </c>
      <c r="BI466" s="8">
        <f t="shared" si="97"/>
        <v>428.82066089408556</v>
      </c>
      <c r="BJ466" s="8">
        <f t="shared" si="98"/>
        <v>198.70494248935091</v>
      </c>
    </row>
    <row r="467" spans="1:62" x14ac:dyDescent="0.25">
      <c r="A467" s="9" t="s">
        <v>31</v>
      </c>
      <c r="B467" s="9" t="s">
        <v>644</v>
      </c>
      <c r="C467" s="10">
        <v>44927</v>
      </c>
      <c r="D467" s="6" cm="1">
        <f t="array" ref="D467">_xlfn.LET(
  _xlpm.aralık, Y467:BF467,
  _xlpm.ilk, MATCH(TRUE, _xlpm.aralık&lt;&gt;0, 0),
  _xlpm.son, MIN(_xlpm.ilk+2, COLUMNS(_xlpm.aralık)),
  MAX(INDEX(_xlpm.aralık, _xlpm.ilk):INDEX(_xlpm.aralık, _xlpm.son))
)</f>
        <v>633.13231486413088</v>
      </c>
      <c r="E467" s="6">
        <f t="shared" si="91"/>
        <v>1121.5687348932008</v>
      </c>
      <c r="F467" s="6">
        <f t="shared" si="92"/>
        <v>1369.4984677307707</v>
      </c>
      <c r="G467" s="6">
        <f t="shared" si="99"/>
        <v>0</v>
      </c>
      <c r="H467" s="7">
        <f t="shared" si="93"/>
        <v>0.77146025966766141</v>
      </c>
      <c r="I467" s="7">
        <f t="shared" si="94"/>
        <v>1.1630525493311186</v>
      </c>
      <c r="J467" s="7">
        <f t="shared" si="95"/>
        <v>0.22105620915081811</v>
      </c>
      <c r="K467" s="7">
        <f t="shared" si="100"/>
        <v>1.3549491970271654</v>
      </c>
      <c r="L467" s="5" t="s">
        <v>412</v>
      </c>
      <c r="M467" s="7" t="str">
        <f>IF(R467="",(VLOOKUP(A467,[1]Export!$B$2:$H$680,7,0)),"CHURN")</f>
        <v>CHURN</v>
      </c>
      <c r="N467" s="5" t="e">
        <f t="shared" si="101"/>
        <v>#VALUE!</v>
      </c>
      <c r="O467" s="5" t="e">
        <f t="shared" si="102"/>
        <v>#VALUE!</v>
      </c>
      <c r="P467" s="5" t="e">
        <f t="shared" si="103"/>
        <v>#VALUE!</v>
      </c>
      <c r="Q467" s="5" t="str">
        <f>VLOOKUP(A467,[4]Sheet2!$A$1:$B$142,2,0)</f>
        <v>CHURN</v>
      </c>
      <c r="R467" s="5" t="s">
        <v>428</v>
      </c>
      <c r="S467" s="5" t="str">
        <f>VLOOKUP(A467,[3]Sheet1!$A$1:$C$191,3,0)</f>
        <v>Jun.25</v>
      </c>
      <c r="T467" s="6" cm="1">
        <f t="array" ref="T467">IF(R467&lt;&gt;"Churn","",
 _xlfn.LET(
   _xlpm.rng,Y467:BF467,
   _xlpm.pos,MAX(IF((_xlpm.rng&lt;&gt;0)*(_xlpm.rng&lt;&gt;""),COLUMN(_xlpm.rng)-COLUMN(Y467)+1)),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1490.9944365012354</v>
      </c>
      <c r="U467" s="6" cm="1">
        <f t="array" ref="U467">IF(R467="Churn",
   MAX(IF((Y467:BF467&lt;&gt;"")*(Y467:BF467&lt;&gt;0), COLUMN(Y467:BF467)-COLUMN(Y467)+1))
   -MATCH(1, --((Y467:BF467&lt;&gt;"")*(Y467:BF467&lt;&gt;0)), 0)
   +1,
"")</f>
        <v>29</v>
      </c>
      <c r="V467" s="6" t="str" cm="1">
        <f t="array" ref="V467">IFERROR(
    IF(
        MATCH(2,1/((Y467:BF467&lt;&gt;0)*(Y467:BF467&lt;&gt;"")))-MATCH(1,INDEX((Y467:BF467&lt;&gt;0)*(Y467:BF467&lt;&gt;""),0),0)+1 &lt;= 12,
        "No",
        "Yes"
    ),
    "No"
)</f>
        <v>Yes</v>
      </c>
      <c r="W467" s="6" t="str" cm="1">
        <f t="array" ref="W467">IFERROR(
    IF(
        MATCH(2,1/((Y467:BF467&lt;&gt;0)*(Y467:BF467&lt;&gt;"")))-MATCH(1,INDEX((Y467:BF467&lt;&gt;0)*(Y467:BF467&lt;&gt;""),0),0)+1 &lt;= 24,
        "No",
        "Yes"
    ),
    "No"
)</f>
        <v>Yes</v>
      </c>
      <c r="Y467" s="8">
        <v>515.23539979635689</v>
      </c>
      <c r="Z467" s="8">
        <v>514.46675202005986</v>
      </c>
      <c r="AA467" s="8">
        <v>633.13231486413088</v>
      </c>
      <c r="AB467" s="8">
        <v>627.107152661594</v>
      </c>
      <c r="AC467" s="8">
        <v>620.79163787145819</v>
      </c>
      <c r="AD467" s="8">
        <v>568.81957881781818</v>
      </c>
      <c r="AE467" s="8">
        <v>957.56464039648017</v>
      </c>
      <c r="AF467" s="8">
        <v>1012.9568165926032</v>
      </c>
      <c r="AG467" s="8">
        <v>1012.7952530681198</v>
      </c>
      <c r="AH467" s="8">
        <v>1026.2807182742267</v>
      </c>
      <c r="AI467" s="8">
        <v>1019.5657573160352</v>
      </c>
      <c r="AJ467" s="8">
        <v>1119.8212600040124</v>
      </c>
      <c r="AK467" s="8">
        <v>1121.5687348932008</v>
      </c>
      <c r="AL467" s="8">
        <v>1151.5620428734826</v>
      </c>
      <c r="AM467" s="8">
        <v>1207.1413162986321</v>
      </c>
      <c r="AN467" s="8">
        <v>1204.0838256368625</v>
      </c>
      <c r="AO467" s="8">
        <v>1208.508988129093</v>
      </c>
      <c r="AP467" s="8">
        <v>1216.4319469821316</v>
      </c>
      <c r="AQ467" s="8">
        <v>1212.9361325690072</v>
      </c>
      <c r="AR467" s="8">
        <v>1206.5145781037274</v>
      </c>
      <c r="AS467" s="8">
        <v>1203.1729664764687</v>
      </c>
      <c r="AT467" s="8">
        <v>1201.3888038327814</v>
      </c>
      <c r="AU467" s="8">
        <v>1211.4394326027327</v>
      </c>
      <c r="AV467" s="8">
        <v>1308.817077774524</v>
      </c>
      <c r="AW467" s="8">
        <v>1369.4984677307707</v>
      </c>
      <c r="AX467" s="8">
        <v>1407.6546630454272</v>
      </c>
      <c r="AY467" s="8">
        <v>1490.9944365012354</v>
      </c>
      <c r="AZ467" s="8">
        <v>1478.5801431889759</v>
      </c>
      <c r="BA467" s="8">
        <v>1467.0140840489094</v>
      </c>
      <c r="BB467" s="8">
        <v>0</v>
      </c>
      <c r="BC467" s="8">
        <v>0</v>
      </c>
      <c r="BD467" s="8">
        <v>0</v>
      </c>
      <c r="BE467" s="8">
        <v>0</v>
      </c>
      <c r="BF467" s="8">
        <v>0</v>
      </c>
      <c r="BH467" s="8">
        <f t="shared" si="96"/>
        <v>9628.5372816828967</v>
      </c>
      <c r="BI467" s="8">
        <f t="shared" si="97"/>
        <v>14453.565846172643</v>
      </c>
      <c r="BJ467" s="8">
        <f t="shared" si="98"/>
        <v>7213.7417945153184</v>
      </c>
    </row>
    <row r="468" spans="1:62" x14ac:dyDescent="0.25">
      <c r="A468" s="9" t="s">
        <v>82</v>
      </c>
      <c r="B468" s="9" t="s">
        <v>644</v>
      </c>
      <c r="C468" s="10">
        <v>44927</v>
      </c>
      <c r="D468" s="6" cm="1">
        <f t="array" ref="D468">_xlfn.LET(
  _xlpm.aralık, Y468:BF468,
  _xlpm.ilk, MATCH(TRUE, _xlpm.aralık&lt;&gt;0, 0),
  _xlpm.son, MIN(_xlpm.ilk+2, COLUMNS(_xlpm.aralık)),
  MAX(INDEX(_xlpm.aralık, _xlpm.ilk):INDEX(_xlpm.aralık, _xlpm.son))
)</f>
        <v>3394.2493481199454</v>
      </c>
      <c r="E468" s="6">
        <f t="shared" si="91"/>
        <v>4211.6578504962963</v>
      </c>
      <c r="F468" s="6">
        <f t="shared" si="92"/>
        <v>4857.7466356154473</v>
      </c>
      <c r="G468" s="6">
        <f t="shared" si="99"/>
        <v>0</v>
      </c>
      <c r="H468" s="7">
        <f t="shared" si="93"/>
        <v>0.24082158337280338</v>
      </c>
      <c r="I468" s="7">
        <f t="shared" si="94"/>
        <v>0.43116964530202367</v>
      </c>
      <c r="J468" s="7">
        <f t="shared" si="95"/>
        <v>0.153404860521378</v>
      </c>
      <c r="K468" s="7">
        <f t="shared" si="100"/>
        <v>0.42359092044065322</v>
      </c>
      <c r="L468" s="5" t="s">
        <v>418</v>
      </c>
      <c r="M468" s="7" t="str">
        <f>IF(R468="",(VLOOKUP(A468,[1]Export!$B$2:$H$680,7,0)),"CHURN")</f>
        <v>CHURN</v>
      </c>
      <c r="N468" s="5" t="e">
        <f t="shared" si="101"/>
        <v>#VALUE!</v>
      </c>
      <c r="O468" s="5" t="e">
        <f t="shared" si="102"/>
        <v>#VALUE!</v>
      </c>
      <c r="P468" s="5" t="e">
        <f t="shared" si="103"/>
        <v>#VALUE!</v>
      </c>
      <c r="Q468" s="5" t="str">
        <f>VLOOKUP(A468,[4]Sheet2!$A$1:$B$142,2,0)</f>
        <v>CHURN</v>
      </c>
      <c r="R468" s="5" t="s">
        <v>428</v>
      </c>
      <c r="S468" s="5" t="str">
        <f>VLOOKUP(A468,[3]Sheet1!$A$1:$C$191,3,0)</f>
        <v>Jul.25</v>
      </c>
      <c r="T468" s="6" cm="1">
        <f t="array" ref="T468">IF(R468&lt;&gt;"Churn","",
 _xlfn.LET(
   _xlpm.rng,Y468:BF468,
   _xlpm.pos,MAX(IF((_xlpm.rng&lt;&gt;0)*(_xlpm.rng&lt;&gt;""),COLUMN(_xlpm.rng)-COLUMN(Y468)+1)),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4832.0225536951602</v>
      </c>
      <c r="U468" s="6" cm="1">
        <f t="array" ref="U468">IF(R468="Churn",
   MAX(IF((Y468:BF468&lt;&gt;"")*(Y468:BF468&lt;&gt;0), COLUMN(Y468:BF468)-COLUMN(Y468)+1))
   -MATCH(1, --((Y468:BF468&lt;&gt;"")*(Y468:BF468&lt;&gt;0)), 0)
   +1,
"")</f>
        <v>30</v>
      </c>
      <c r="V468" s="6" t="str" cm="1">
        <f t="array" ref="V468">IFERROR(
    IF(
        MATCH(2,1/((Y468:BF468&lt;&gt;0)*(Y468:BF468&lt;&gt;"")))-MATCH(1,INDEX((Y468:BF468&lt;&gt;0)*(Y468:BF468&lt;&gt;""),0),0)+1 &lt;= 12,
        "No",
        "Yes"
    ),
    "No"
)</f>
        <v>Yes</v>
      </c>
      <c r="W468" s="6" t="str" cm="1">
        <f t="array" ref="W468">IFERROR(
    IF(
        MATCH(2,1/((Y468:BF468&lt;&gt;0)*(Y468:BF468&lt;&gt;"")))-MATCH(1,INDEX((Y468:BF468&lt;&gt;0)*(Y468:BF468&lt;&gt;""),0),0)+1 &lt;= 24,
        "No",
        "Yes"
    ),
    "No"
)</f>
        <v>Yes</v>
      </c>
      <c r="Y468" s="8">
        <v>3366.2260425162908</v>
      </c>
      <c r="Z468" s="8">
        <v>3365.8597562292925</v>
      </c>
      <c r="AA468" s="8">
        <v>3394.2493481199454</v>
      </c>
      <c r="AB468" s="8">
        <v>3680.8026589178207</v>
      </c>
      <c r="AC468" s="8">
        <v>3712.9226498096118</v>
      </c>
      <c r="AD468" s="8">
        <v>3681.1143941745572</v>
      </c>
      <c r="AE468" s="8">
        <v>3639.4752844867085</v>
      </c>
      <c r="AF468" s="8">
        <v>3666.1711601936508</v>
      </c>
      <c r="AG468" s="8">
        <v>4186.2138711919006</v>
      </c>
      <c r="AH468" s="8">
        <v>4199.2261186317965</v>
      </c>
      <c r="AI468" s="8">
        <v>4210.7242686893696</v>
      </c>
      <c r="AJ468" s="8">
        <v>4221.0558838785819</v>
      </c>
      <c r="AK468" s="8">
        <v>4211.6578504962963</v>
      </c>
      <c r="AL468" s="8">
        <v>4205.0967539581179</v>
      </c>
      <c r="AM468" s="8">
        <v>4220.6700082868447</v>
      </c>
      <c r="AN468" s="8">
        <v>4324.6527075539416</v>
      </c>
      <c r="AO468" s="8">
        <v>4751.4804687723845</v>
      </c>
      <c r="AP468" s="8">
        <v>4744.9393538384675</v>
      </c>
      <c r="AQ468" s="8">
        <v>4740.1370466354938</v>
      </c>
      <c r="AR468" s="8">
        <v>4731.3155608188781</v>
      </c>
      <c r="AS468" s="8">
        <v>4726.7250867002076</v>
      </c>
      <c r="AT468" s="8">
        <v>4724.2741278956191</v>
      </c>
      <c r="AU468" s="8">
        <v>4722.102816664772</v>
      </c>
      <c r="AV468" s="8">
        <v>4716.0117194279956</v>
      </c>
      <c r="AW468" s="8">
        <v>4857.7466356154473</v>
      </c>
      <c r="AX468" s="8">
        <v>4851.0508549762062</v>
      </c>
      <c r="AY468" s="8">
        <v>4841.7415459949125</v>
      </c>
      <c r="AZ468" s="8">
        <v>4832.0225536951602</v>
      </c>
      <c r="BA468" s="8">
        <v>4180.0961341283692</v>
      </c>
      <c r="BB468" s="8">
        <v>3877.1738477994909</v>
      </c>
      <c r="BC468" s="8">
        <v>0</v>
      </c>
      <c r="BD468" s="8">
        <v>0</v>
      </c>
      <c r="BE468" s="8">
        <v>0</v>
      </c>
      <c r="BF468" s="8">
        <v>0</v>
      </c>
      <c r="BH468" s="8">
        <f t="shared" si="96"/>
        <v>45324.041436839529</v>
      </c>
      <c r="BI468" s="8">
        <f t="shared" si="97"/>
        <v>54819.063501049015</v>
      </c>
      <c r="BJ468" s="8">
        <f t="shared" si="98"/>
        <v>27439.831572209583</v>
      </c>
    </row>
    <row r="469" spans="1:62" x14ac:dyDescent="0.25">
      <c r="A469" s="9" t="s">
        <v>28</v>
      </c>
      <c r="B469" s="9" t="s">
        <v>644</v>
      </c>
      <c r="C469" s="10">
        <v>44927</v>
      </c>
      <c r="D469" s="6" cm="1">
        <f t="array" ref="D469">_xlfn.LET(
  _xlpm.aralık, Y469:BF469,
  _xlpm.ilk, MATCH(TRUE, _xlpm.aralık&lt;&gt;0, 0),
  _xlpm.son, MIN(_xlpm.ilk+2, COLUMNS(_xlpm.aralık)),
  MAX(INDEX(_xlpm.aralık, _xlpm.ilk):INDEX(_xlpm.aralık, _xlpm.son))
)</f>
        <v>1131.23</v>
      </c>
      <c r="E469" s="6">
        <f t="shared" si="91"/>
        <v>1517.3625020000002</v>
      </c>
      <c r="F469" s="6">
        <f t="shared" si="92"/>
        <v>3862.2121160000002</v>
      </c>
      <c r="G469" s="6">
        <f t="shared" si="99"/>
        <v>0</v>
      </c>
      <c r="H469" s="7">
        <f t="shared" si="93"/>
        <v>0.34133863316920532</v>
      </c>
      <c r="I469" s="7">
        <f t="shared" si="94"/>
        <v>2.4141705188158022</v>
      </c>
      <c r="J469" s="7">
        <f t="shared" si="95"/>
        <v>1.5453456974910795</v>
      </c>
      <c r="K469" s="7">
        <f t="shared" si="100"/>
        <v>2.4141695764787001</v>
      </c>
      <c r="L469" s="5" t="s">
        <v>416</v>
      </c>
      <c r="M469" s="7" t="str">
        <f>IF(R469="",(VLOOKUP(A469,[1]Export!$B$2:$H$680,7,0)),"CHURN")</f>
        <v>CHURN</v>
      </c>
      <c r="N469" s="5" t="e">
        <f t="shared" si="101"/>
        <v>#VALUE!</v>
      </c>
      <c r="O469" s="5" t="e">
        <f t="shared" si="102"/>
        <v>#VALUE!</v>
      </c>
      <c r="P469" s="5" t="e">
        <f t="shared" si="103"/>
        <v>#VALUE!</v>
      </c>
      <c r="Q469" s="5" t="str">
        <f>VLOOKUP(A469,[4]Sheet2!$A$1:$B$142,2,0)</f>
        <v>CHURN</v>
      </c>
      <c r="R469" s="5" t="s">
        <v>428</v>
      </c>
      <c r="S469" s="5" t="str">
        <f>VLOOKUP(A469,[3]Sheet1!$A$1:$C$191,3,0)</f>
        <v>Jun.25</v>
      </c>
      <c r="T469" s="6" cm="1">
        <f t="array" ref="T469">IF(R469&lt;&gt;"Churn","",
 _xlfn.LET(
   _xlpm.rng,Y469:BF469,
   _xlpm.pos,MAX(IF((_xlpm.rng&lt;&gt;0)*(_xlpm.rng&lt;&gt;""),COLUMN(_xlpm.rng)-COLUMN(Y469)+1)),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3862.2110499999999</v>
      </c>
      <c r="U469" s="6" cm="1">
        <f t="array" ref="U469">IF(R469="Churn",
   MAX(IF((Y469:BF469&lt;&gt;"")*(Y469:BF469&lt;&gt;0), COLUMN(Y469:BF469)-COLUMN(Y469)+1))
   -MATCH(1, --((Y469:BF469&lt;&gt;"")*(Y469:BF469&lt;&gt;0)), 0)
   +1,
"")</f>
        <v>29</v>
      </c>
      <c r="V469" s="6" t="str" cm="1">
        <f t="array" ref="V469">IFERROR(
    IF(
        MATCH(2,1/((Y469:BF469&lt;&gt;0)*(Y469:BF469&lt;&gt;"")))-MATCH(1,INDEX((Y469:BF469&lt;&gt;0)*(Y469:BF469&lt;&gt;""),0),0)+1 &lt;= 12,
        "No",
        "Yes"
    ),
    "No"
)</f>
        <v>Yes</v>
      </c>
      <c r="W469" s="6" t="str" cm="1">
        <f t="array" ref="W469">IFERROR(
    IF(
        MATCH(2,1/((Y469:BF469&lt;&gt;0)*(Y469:BF469&lt;&gt;"")))-MATCH(1,INDEX((Y469:BF469&lt;&gt;0)*(Y469:BF469&lt;&gt;""),0),0)+1 &lt;= 24,
        "No",
        "Yes"
    ),
    "No"
)</f>
        <v>Yes</v>
      </c>
      <c r="Y469" s="8">
        <v>1131.23</v>
      </c>
      <c r="Z469" s="8">
        <v>1131.23</v>
      </c>
      <c r="AA469" s="8">
        <v>1131.23</v>
      </c>
      <c r="AB469" s="8">
        <v>1140.23</v>
      </c>
      <c r="AC469" s="8">
        <v>1140.2339999999999</v>
      </c>
      <c r="AD469" s="8">
        <v>1431.4740000000002</v>
      </c>
      <c r="AE469" s="8">
        <v>1431.4740000000002</v>
      </c>
      <c r="AF469" s="8">
        <v>1517.3625020000002</v>
      </c>
      <c r="AG469" s="8">
        <v>1517.3625020000002</v>
      </c>
      <c r="AH469" s="8">
        <v>1517.3625020000002</v>
      </c>
      <c r="AI469" s="8">
        <v>1517.3625020000002</v>
      </c>
      <c r="AJ469" s="8">
        <v>1517.3625020000002</v>
      </c>
      <c r="AK469" s="8">
        <v>1517.3625020000002</v>
      </c>
      <c r="AL469" s="8">
        <v>1567.3625020000002</v>
      </c>
      <c r="AM469" s="8">
        <v>1567.3625020000002</v>
      </c>
      <c r="AN469" s="8">
        <v>1567.3625020000002</v>
      </c>
      <c r="AO469" s="8">
        <v>1567.3625020000002</v>
      </c>
      <c r="AP469" s="8">
        <v>1567.3625020000002</v>
      </c>
      <c r="AQ469" s="8">
        <v>1567.3625020000002</v>
      </c>
      <c r="AR469" s="8">
        <v>1567.3625020000002</v>
      </c>
      <c r="AS469" s="8">
        <v>1567.3625020000002</v>
      </c>
      <c r="AT469" s="8">
        <v>1567.3625020000002</v>
      </c>
      <c r="AU469" s="8">
        <v>1567.3625020000002</v>
      </c>
      <c r="AV469" s="8">
        <v>1567.3625020000002</v>
      </c>
      <c r="AW469" s="8">
        <v>3862.2121160000002</v>
      </c>
      <c r="AX469" s="8">
        <v>3862.2121160000002</v>
      </c>
      <c r="AY469" s="8">
        <v>3862.2110499999999</v>
      </c>
      <c r="AZ469" s="8">
        <v>1847.5621449999994</v>
      </c>
      <c r="BA469" s="8">
        <v>1847.5621450000001</v>
      </c>
      <c r="BB469" s="8">
        <v>0</v>
      </c>
      <c r="BC469" s="8">
        <v>0</v>
      </c>
      <c r="BD469" s="8">
        <v>0</v>
      </c>
      <c r="BE469" s="8">
        <v>0</v>
      </c>
      <c r="BF469" s="8">
        <v>0</v>
      </c>
      <c r="BH469" s="8">
        <f t="shared" si="96"/>
        <v>16123.914510000001</v>
      </c>
      <c r="BI469" s="8">
        <f t="shared" si="97"/>
        <v>18758.350024000003</v>
      </c>
      <c r="BJ469" s="8">
        <f t="shared" si="98"/>
        <v>15281.759571999999</v>
      </c>
    </row>
    <row r="470" spans="1:62" x14ac:dyDescent="0.25">
      <c r="A470" s="9" t="s">
        <v>113</v>
      </c>
      <c r="B470" s="9" t="s">
        <v>644</v>
      </c>
      <c r="C470" s="10">
        <v>44927</v>
      </c>
      <c r="D470" s="6" cm="1">
        <f t="array" ref="D470">_xlfn.LET(
  _xlpm.aralık, Y470:BF470,
  _xlpm.ilk, MATCH(TRUE, _xlpm.aralık&lt;&gt;0, 0),
  _xlpm.son, MIN(_xlpm.ilk+2, COLUMNS(_xlpm.aralık)),
  MAX(INDEX(_xlpm.aralık, _xlpm.ilk):INDEX(_xlpm.aralık, _xlpm.son))
)</f>
        <v>977.47535476794394</v>
      </c>
      <c r="E470" s="6">
        <f t="shared" si="91"/>
        <v>1218.2426857813539</v>
      </c>
      <c r="F470" s="6">
        <f t="shared" si="92"/>
        <v>1350.2300702655416</v>
      </c>
      <c r="G470" s="6">
        <f t="shared" si="99"/>
        <v>0</v>
      </c>
      <c r="H470" s="7">
        <f t="shared" si="93"/>
        <v>0.24631550027219759</v>
      </c>
      <c r="I470" s="7">
        <f t="shared" si="94"/>
        <v>0.3813443619620373</v>
      </c>
      <c r="J470" s="7">
        <f t="shared" si="95"/>
        <v>0.10834243950295826</v>
      </c>
      <c r="K470" s="7">
        <f t="shared" si="100"/>
        <v>0.3168238791143892</v>
      </c>
      <c r="L470" s="5" t="s">
        <v>416</v>
      </c>
      <c r="M470" s="7" t="str">
        <f>IF(R470="",(VLOOKUP(A470,[1]Export!$B$2:$H$680,7,0)),"CHURN")</f>
        <v>CHURN</v>
      </c>
      <c r="N470" s="5" t="e">
        <f t="shared" si="101"/>
        <v>#VALUE!</v>
      </c>
      <c r="O470" s="5" t="e">
        <f t="shared" si="102"/>
        <v>#VALUE!</v>
      </c>
      <c r="P470" s="5" t="e">
        <f t="shared" si="103"/>
        <v>#VALUE!</v>
      </c>
      <c r="Q470" s="5" t="str">
        <f>VLOOKUP(A470,[4]Sheet2!$A$1:$B$142,2,0)</f>
        <v>CHURN</v>
      </c>
      <c r="R470" s="5" t="s">
        <v>428</v>
      </c>
      <c r="S470" s="5" t="str">
        <f>VLOOKUP(A470,[3]Sheet1!$A$1:$C$191,3,0)</f>
        <v>Jul.25</v>
      </c>
      <c r="T470" s="6" cm="1">
        <f t="array" ref="T470">IF(R470&lt;&gt;"Churn","",
 _xlfn.LET(
   _xlpm.rng,Y470:BF470,
   _xlpm.pos,MAX(IF((_xlpm.rng&lt;&gt;0)*(_xlpm.rng&lt;&gt;""),COLUMN(_xlpm.rng)-COLUMN(Y470)+1)),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1287.1628884042377</v>
      </c>
      <c r="U470" s="6" cm="1">
        <f t="array" ref="U470">IF(R470="Churn",
   MAX(IF((Y470:BF470&lt;&gt;"")*(Y470:BF470&lt;&gt;0), COLUMN(Y470:BF470)-COLUMN(Y470)+1))
   -MATCH(1, --((Y470:BF470&lt;&gt;"")*(Y470:BF470&lt;&gt;0)), 0)
   +1,
"")</f>
        <v>30</v>
      </c>
      <c r="V470" s="6" t="str" cm="1">
        <f t="array" ref="V470">IFERROR(
    IF(
        MATCH(2,1/((Y470:BF470&lt;&gt;0)*(Y470:BF470&lt;&gt;"")))-MATCH(1,INDEX((Y470:BF470&lt;&gt;0)*(Y470:BF470&lt;&gt;""),0),0)+1 &lt;= 12,
        "No",
        "Yes"
    ),
    "No"
)</f>
        <v>Yes</v>
      </c>
      <c r="W470" s="6" t="str" cm="1">
        <f t="array" ref="W470">IFERROR(
    IF(
        MATCH(2,1/((Y470:BF470&lt;&gt;0)*(Y470:BF470&lt;&gt;"")))-MATCH(1,INDEX((Y470:BF470&lt;&gt;0)*(Y470:BF470&lt;&gt;""),0),0)+1 &lt;= 24,
        "No",
        "Yes"
    ),
    "No"
)</f>
        <v>Yes</v>
      </c>
      <c r="Y470" s="8">
        <v>926.86384160611578</v>
      </c>
      <c r="Z470" s="8">
        <v>923.64359822989104</v>
      </c>
      <c r="AA470" s="8">
        <v>977.47535476794394</v>
      </c>
      <c r="AB470" s="8">
        <v>971.75011006883824</v>
      </c>
      <c r="AC470" s="8">
        <v>954.61601589495478</v>
      </c>
      <c r="AD470" s="8">
        <v>813.61100047861589</v>
      </c>
      <c r="AE470" s="8">
        <v>976.91547087494439</v>
      </c>
      <c r="AF470" s="8">
        <v>959.7192111628392</v>
      </c>
      <c r="AG470" s="8">
        <v>958.89168482477282</v>
      </c>
      <c r="AH470" s="8">
        <v>1281.4325968492626</v>
      </c>
      <c r="AI470" s="8">
        <v>1257.6628181535116</v>
      </c>
      <c r="AJ470" s="8">
        <v>1244.5800031341162</v>
      </c>
      <c r="AK470" s="8">
        <v>1218.2426857813539</v>
      </c>
      <c r="AL470" s="8">
        <v>1199.855681322118</v>
      </c>
      <c r="AM470" s="8">
        <v>1169.9220496456569</v>
      </c>
      <c r="AN470" s="8">
        <v>1162.4329859829463</v>
      </c>
      <c r="AO470" s="8">
        <v>1175.9318756439131</v>
      </c>
      <c r="AP470" s="8">
        <v>1169.6196322567664</v>
      </c>
      <c r="AQ470" s="8">
        <v>1435.0470996623833</v>
      </c>
      <c r="AR470" s="8">
        <v>1413.4196514211842</v>
      </c>
      <c r="AS470" s="8">
        <v>1402.1652841334064</v>
      </c>
      <c r="AT470" s="8">
        <v>1396.1563208148114</v>
      </c>
      <c r="AU470" s="8">
        <v>1390.8329634760473</v>
      </c>
      <c r="AV470" s="8">
        <v>1375.8995505613686</v>
      </c>
      <c r="AW470" s="8">
        <v>1350.2300702655416</v>
      </c>
      <c r="AX470" s="8">
        <v>1333.8141679765145</v>
      </c>
      <c r="AY470" s="8">
        <v>1310.9907341083742</v>
      </c>
      <c r="AZ470" s="8">
        <v>1287.1628884042377</v>
      </c>
      <c r="BA470" s="8">
        <v>1272.6086954272441</v>
      </c>
      <c r="BB470" s="8">
        <v>415.31971592108238</v>
      </c>
      <c r="BC470" s="8">
        <v>0</v>
      </c>
      <c r="BD470" s="8">
        <v>0</v>
      </c>
      <c r="BE470" s="8">
        <v>0</v>
      </c>
      <c r="BF470" s="8">
        <v>0</v>
      </c>
      <c r="BH470" s="8">
        <f t="shared" si="96"/>
        <v>12247.161706045808</v>
      </c>
      <c r="BI470" s="8">
        <f t="shared" si="97"/>
        <v>15509.525780701955</v>
      </c>
      <c r="BJ470" s="8">
        <f t="shared" si="98"/>
        <v>6970.1262721029943</v>
      </c>
    </row>
    <row r="471" spans="1:62" x14ac:dyDescent="0.25">
      <c r="A471" s="9" t="s">
        <v>395</v>
      </c>
      <c r="B471" s="9" t="s">
        <v>644</v>
      </c>
      <c r="C471" s="10">
        <f>VLOOKUP(A471,'[2]Revenue_Engine_2025 Oct.25'!$C$14:G$3937,5,0)</f>
        <v>45042</v>
      </c>
      <c r="D471" s="6" cm="1">
        <f t="array" ref="D471">_xlfn.LET(
  _xlpm.aralık, Y471:BF471,
  _xlpm.ilk, MATCH(TRUE, _xlpm.aralık&lt;&gt;0, 0),
  _xlpm.son, MIN(_xlpm.ilk+2, COLUMNS(_xlpm.aralık)),
  MAX(INDEX(_xlpm.aralık, _xlpm.ilk):INDEX(_xlpm.aralık, _xlpm.son))
)</f>
        <v>1150</v>
      </c>
      <c r="E471" s="6">
        <f t="shared" si="91"/>
        <v>1169.992933</v>
      </c>
      <c r="F471" s="6">
        <f t="shared" si="92"/>
        <v>1169.9929330000002</v>
      </c>
      <c r="G471" s="6">
        <f t="shared" si="99"/>
        <v>0</v>
      </c>
      <c r="H471" s="7">
        <f t="shared" si="93"/>
        <v>1.7385159130434778E-2</v>
      </c>
      <c r="I471" s="7">
        <f t="shared" si="94"/>
        <v>1.7385159130434976E-2</v>
      </c>
      <c r="J471" s="7">
        <f t="shared" si="95"/>
        <v>1.9433764857042267E-16</v>
      </c>
      <c r="K471" s="7">
        <f t="shared" si="100"/>
        <v>1.7385159130434976E-2</v>
      </c>
      <c r="L471" s="5" t="s">
        <v>419</v>
      </c>
      <c r="M471" s="7" t="str">
        <f>IF(R471="",(VLOOKUP(A471,[1]Export!$B$2:$H$680,7,0)),"CHURN")</f>
        <v>CHURN</v>
      </c>
      <c r="N471" s="5" t="e">
        <f t="shared" si="101"/>
        <v>#VALUE!</v>
      </c>
      <c r="O471" s="5" t="e">
        <f t="shared" si="102"/>
        <v>#VALUE!</v>
      </c>
      <c r="P471" s="5" t="e">
        <f t="shared" si="103"/>
        <v>#VALUE!</v>
      </c>
      <c r="Q471" s="5" t="str">
        <f>VLOOKUP(A471,[4]Sheet2!$A$1:$B$142,2,0)</f>
        <v>CHURN</v>
      </c>
      <c r="R471" s="5" t="s">
        <v>428</v>
      </c>
      <c r="S471" s="5" t="str">
        <f>VLOOKUP(A471,[3]Sheet1!$A$1:$C$191,3,0)</f>
        <v>Jun.25</v>
      </c>
      <c r="T471" s="6" cm="1">
        <f t="array" ref="T471">IF(R471&lt;&gt;"Churn","",
 _xlfn.LET(
   _xlpm.rng,Y471:BF471,
   _xlpm.pos,MAX(IF((_xlpm.rng&lt;&gt;0)*(_xlpm.rng&lt;&gt;""),COLUMN(_xlpm.rng)-COLUMN(Y471)+1)),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1169.9929330000002</v>
      </c>
      <c r="U471" s="6" cm="1">
        <f t="array" ref="U471">IF(R471="Churn",
   MAX(IF((Y471:BF471&lt;&gt;"")*(Y471:BF471&lt;&gt;0), COLUMN(Y471:BF471)-COLUMN(Y471)+1))
   -MATCH(1, --((Y471:BF471&lt;&gt;"")*(Y471:BF471&lt;&gt;0)), 0)
   +1,
"")</f>
        <v>26</v>
      </c>
      <c r="V471" s="6" t="str" cm="1">
        <f t="array" ref="V471">IFERROR(
    IF(
        MATCH(2,1/((Y471:BF471&lt;&gt;0)*(Y471:BF471&lt;&gt;"")))-MATCH(1,INDEX((Y471:BF471&lt;&gt;0)*(Y471:BF471&lt;&gt;""),0),0)+1 &lt;= 12,
        "No",
        "Yes"
    ),
    "No"
)</f>
        <v>Yes</v>
      </c>
      <c r="W471" s="6" t="str" cm="1">
        <f t="array" ref="W471">IFERROR(
    IF(
        MATCH(2,1/((Y471:BF471&lt;&gt;0)*(Y471:BF471&lt;&gt;"")))-MATCH(1,INDEX((Y471:BF471&lt;&gt;0)*(Y471:BF471&lt;&gt;""),0),0)+1 &lt;= 24,
        "No",
        "Yes"
    ),
    "No"
)</f>
        <v>Yes</v>
      </c>
      <c r="Y471" s="8">
        <v>0</v>
      </c>
      <c r="Z471" s="8">
        <v>0</v>
      </c>
      <c r="AA471" s="8">
        <v>0</v>
      </c>
      <c r="AB471" s="8">
        <v>1150</v>
      </c>
      <c r="AC471" s="8">
        <v>1150</v>
      </c>
      <c r="AD471" s="8">
        <v>1149.992933</v>
      </c>
      <c r="AE471" s="8">
        <v>1149.992933</v>
      </c>
      <c r="AF471" s="8">
        <v>1149.992933</v>
      </c>
      <c r="AG471" s="8">
        <v>1169.992933</v>
      </c>
      <c r="AH471" s="8">
        <v>1169.992933</v>
      </c>
      <c r="AI471" s="8">
        <v>1169.992933</v>
      </c>
      <c r="AJ471" s="8">
        <v>1169.992933</v>
      </c>
      <c r="AK471" s="8">
        <v>1169.992933</v>
      </c>
      <c r="AL471" s="8">
        <v>1169.992933</v>
      </c>
      <c r="AM471" s="8">
        <v>1169.992933</v>
      </c>
      <c r="AN471" s="8">
        <v>1169.992933</v>
      </c>
      <c r="AO471" s="8">
        <v>1169.992933</v>
      </c>
      <c r="AP471" s="8">
        <v>1169.992933</v>
      </c>
      <c r="AQ471" s="8">
        <v>1169.992933</v>
      </c>
      <c r="AR471" s="8">
        <v>1169.992933</v>
      </c>
      <c r="AS471" s="8">
        <v>1169.992933</v>
      </c>
      <c r="AT471" s="8">
        <v>1169.992933</v>
      </c>
      <c r="AU471" s="8">
        <v>1169.992933</v>
      </c>
      <c r="AV471" s="8">
        <v>1169.992933</v>
      </c>
      <c r="AW471" s="8">
        <v>1169.992933</v>
      </c>
      <c r="AX471" s="8">
        <v>1169.992933</v>
      </c>
      <c r="AY471" s="8">
        <v>1169.992933</v>
      </c>
      <c r="AZ471" s="8">
        <v>1169.9929330000002</v>
      </c>
      <c r="BA471" s="8">
        <v>1169.992933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H471" s="8">
        <f t="shared" si="96"/>
        <v>10429.950530999999</v>
      </c>
      <c r="BI471" s="8">
        <f t="shared" si="97"/>
        <v>14039.915195999996</v>
      </c>
      <c r="BJ471" s="8">
        <f t="shared" si="98"/>
        <v>5849.9646649999995</v>
      </c>
    </row>
    <row r="472" spans="1:62" x14ac:dyDescent="0.25">
      <c r="A472" s="9" t="s">
        <v>270</v>
      </c>
      <c r="B472" s="9" t="s">
        <v>643</v>
      </c>
      <c r="C472" s="10">
        <f>VLOOKUP(A472,'[2]Revenue_Engine_2025 Oct.25'!$C$14:G$3937,5,0)</f>
        <v>45413</v>
      </c>
      <c r="D472" s="6" cm="1">
        <f t="array" ref="D472">_xlfn.LET(
  _xlpm.aralık, Y472:BF472,
  _xlpm.ilk, MATCH(TRUE, _xlpm.aralık&lt;&gt;0, 0),
  _xlpm.son, MIN(_xlpm.ilk+2, COLUMNS(_xlpm.aralık)),
  MAX(INDEX(_xlpm.aralık, _xlpm.ilk):INDEX(_xlpm.aralık, _xlpm.son))
)</f>
        <v>1077</v>
      </c>
      <c r="E472" s="6">
        <f t="shared" si="91"/>
        <v>1180.4471874886833</v>
      </c>
      <c r="F472" s="6">
        <f t="shared" si="92"/>
        <v>0</v>
      </c>
      <c r="G472" s="6">
        <f t="shared" si="99"/>
        <v>0</v>
      </c>
      <c r="H472" s="7">
        <f t="shared" si="93"/>
        <v>9.6051241865072717E-2</v>
      </c>
      <c r="I472" s="7">
        <f t="shared" si="94"/>
        <v>-1</v>
      </c>
      <c r="J472" s="7">
        <f t="shared" si="95"/>
        <v>-1</v>
      </c>
      <c r="K472" s="7">
        <f t="shared" si="100"/>
        <v>9.6051241865072717E-2</v>
      </c>
      <c r="L472" s="5" t="s">
        <v>416</v>
      </c>
      <c r="M472" s="7" t="str">
        <f>IF(R472="",(VLOOKUP(A472,[1]Export!$B$2:$H$680,7,0)),"CHURN")</f>
        <v>CHURN</v>
      </c>
      <c r="N472" s="5" t="e">
        <f t="shared" si="101"/>
        <v>#VALUE!</v>
      </c>
      <c r="O472" s="5" t="e">
        <f t="shared" si="102"/>
        <v>#VALUE!</v>
      </c>
      <c r="P472" s="5" t="e">
        <f t="shared" si="103"/>
        <v>#VALUE!</v>
      </c>
      <c r="Q472" s="5" t="s">
        <v>696</v>
      </c>
      <c r="R472" s="5" t="s">
        <v>428</v>
      </c>
      <c r="S472" s="5" t="str">
        <f>VLOOKUP(A472,[3]Sheet1!$A$1:$C$191,3,0)</f>
        <v>Jun.25</v>
      </c>
      <c r="T472" s="6" cm="1">
        <f t="array" ref="T472">IF(R472&lt;&gt;"Churn","",
 _xlfn.LET(
   _xlpm.rng,Y472:BF472,
   _xlpm.pos,MAX(IF((_xlpm.rng&lt;&gt;0)*(_xlpm.rng&lt;&gt;""),COLUMN(_xlpm.rng)-COLUMN(Y472)+1)),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1180.4471874886833</v>
      </c>
      <c r="U472" s="6" cm="1">
        <f t="array" ref="U472">IF(R472="Churn",
   MAX(IF((Y472:BF472&lt;&gt;"")*(Y472:BF472&lt;&gt;0), COLUMN(Y472:BF472)-COLUMN(Y472)+1))
   -MATCH(1, --((Y472:BF472&lt;&gt;"")*(Y472:BF472&lt;&gt;0)), 0)
   +1,
"")</f>
        <v>15</v>
      </c>
      <c r="V472" s="6" t="str" cm="1">
        <f t="array" ref="V472">IFERROR(
    IF(
        MATCH(2,1/((Y472:BF472&lt;&gt;0)*(Y472:BF472&lt;&gt;"")))-MATCH(1,INDEX((Y472:BF472&lt;&gt;0)*(Y472:BF472&lt;&gt;""),0),0)+1 &lt;= 12,
        "No",
        "Yes"
    ),
    "No"
)</f>
        <v>Yes</v>
      </c>
      <c r="W472" s="6" t="str" cm="1">
        <f t="array" ref="W472">IFERROR(
    IF(
        MATCH(2,1/((Y472:BF472&lt;&gt;0)*(Y472:BF472&lt;&gt;"")))-MATCH(1,INDEX((Y472:BF472&lt;&gt;0)*(Y472:BF472&lt;&gt;""),0),0)+1 &lt;= 24,
        "No",
        "Yes"
    ),
    "No"
)</f>
        <v>No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1077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6155.3401013148696</v>
      </c>
      <c r="AU472" s="8">
        <v>1020.2350982680493</v>
      </c>
      <c r="AV472" s="8">
        <v>1004.3715690431715</v>
      </c>
      <c r="AW472" s="8">
        <v>989.23102971470519</v>
      </c>
      <c r="AX472" s="8">
        <v>971.79267538789531</v>
      </c>
      <c r="AY472" s="8">
        <v>947.54770123175831</v>
      </c>
      <c r="AZ472" s="8">
        <v>922.23575620933786</v>
      </c>
      <c r="BA472" s="8">
        <v>1180.4471874886833</v>
      </c>
      <c r="BB472" s="8">
        <v>0</v>
      </c>
      <c r="BC472" s="8">
        <v>0</v>
      </c>
      <c r="BD472" s="8">
        <v>0</v>
      </c>
      <c r="BE472" s="8">
        <v>0</v>
      </c>
      <c r="BF472" s="8">
        <v>0</v>
      </c>
      <c r="BH472" s="8">
        <f t="shared" si="96"/>
        <v>0</v>
      </c>
      <c r="BI472" s="8">
        <f t="shared" si="97"/>
        <v>9256.9467686260905</v>
      </c>
      <c r="BJ472" s="8">
        <f t="shared" si="98"/>
        <v>5011.25435003238</v>
      </c>
    </row>
    <row r="473" spans="1:62" x14ac:dyDescent="0.25">
      <c r="A473" s="9" t="s">
        <v>230</v>
      </c>
      <c r="B473" s="9" t="s">
        <v>644</v>
      </c>
      <c r="C473" s="10">
        <f>VLOOKUP(A473,'[2]Revenue_Engine_2025 Oct.25'!$C$14:G$3937,5,0)</f>
        <v>45199</v>
      </c>
      <c r="D473" s="6" cm="1">
        <f t="array" ref="D473">_xlfn.LET(
  _xlpm.aralık, Y473:BF473,
  _xlpm.ilk, MATCH(TRUE, _xlpm.aralık&lt;&gt;0, 0),
  _xlpm.son, MIN(_xlpm.ilk+2, COLUMNS(_xlpm.aralık)),
  MAX(INDEX(_xlpm.aralık, _xlpm.ilk):INDEX(_xlpm.aralık, _xlpm.son))
)</f>
        <v>650.00890600000002</v>
      </c>
      <c r="E473" s="6">
        <f t="shared" si="91"/>
        <v>666.00890500000003</v>
      </c>
      <c r="F473" s="6">
        <f t="shared" si="92"/>
        <v>0</v>
      </c>
      <c r="G473" s="6">
        <f t="shared" si="99"/>
        <v>0</v>
      </c>
      <c r="H473" s="7">
        <f t="shared" si="93"/>
        <v>2.4615045812926142E-2</v>
      </c>
      <c r="I473" s="7">
        <f t="shared" si="94"/>
        <v>-1</v>
      </c>
      <c r="J473" s="7">
        <f t="shared" si="95"/>
        <v>-1</v>
      </c>
      <c r="K473" s="7">
        <f t="shared" si="100"/>
        <v>2.4615045812926142E-2</v>
      </c>
      <c r="L473" s="5" t="s">
        <v>416</v>
      </c>
      <c r="M473" s="7" t="str">
        <f>IF(R473="",(VLOOKUP(A473,[1]Export!$B$2:$H$680,7,0)),"CHURN")</f>
        <v>CHURN</v>
      </c>
      <c r="N473" s="5" t="e">
        <f t="shared" si="101"/>
        <v>#VALUE!</v>
      </c>
      <c r="O473" s="5" t="e">
        <f t="shared" si="102"/>
        <v>#VALUE!</v>
      </c>
      <c r="P473" s="5" t="e">
        <f t="shared" si="103"/>
        <v>#VALUE!</v>
      </c>
      <c r="Q473" s="5" t="s">
        <v>696</v>
      </c>
      <c r="R473" s="5" t="s">
        <v>428</v>
      </c>
      <c r="S473" s="5" t="str">
        <f>VLOOKUP(A473,[3]Sheet1!$A$1:$C$191,3,0)</f>
        <v>Jun.25</v>
      </c>
      <c r="T473" s="6" cm="1">
        <f t="array" ref="T473">IF(R473&lt;&gt;"Churn","",
 _xlfn.LET(
   _xlpm.rng,Y473:BF473,
   _xlpm.pos,MAX(IF((_xlpm.rng&lt;&gt;0)*(_xlpm.rng&lt;&gt;""),COLUMN(_xlpm.rng)-COLUMN(Y473)+1)),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666.00890500000003</v>
      </c>
      <c r="U473" s="6" cm="1">
        <f t="array" ref="U473">IF(R473="Churn",
   MAX(IF((Y473:BF473&lt;&gt;"")*(Y473:BF473&lt;&gt;0), COLUMN(Y473:BF473)-COLUMN(Y473)+1))
   -MATCH(1, --((Y473:BF473&lt;&gt;"")*(Y473:BF473&lt;&gt;0)), 0)
   +1,
"")</f>
        <v>21</v>
      </c>
      <c r="V473" s="6" t="str" cm="1">
        <f t="array" ref="V473">IFERROR(
    IF(
        MATCH(2,1/((Y473:BF473&lt;&gt;0)*(Y473:BF473&lt;&gt;"")))-MATCH(1,INDEX((Y473:BF473&lt;&gt;0)*(Y473:BF473&lt;&gt;""),0),0)+1 &lt;= 12,
        "No",
        "Yes"
    ),
    "No"
)</f>
        <v>Yes</v>
      </c>
      <c r="W473" s="6" t="str" cm="1">
        <f t="array" ref="W473">IFERROR(
    IF(
        MATCH(2,1/((Y473:BF473&lt;&gt;0)*(Y473:BF473&lt;&gt;"")))-MATCH(1,INDEX((Y473:BF473&lt;&gt;0)*(Y473:BF473&lt;&gt;""),0),0)+1 &lt;= 24,
        "No",
        "Yes"
    ),
    "No"
)</f>
        <v>No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650</v>
      </c>
      <c r="AH473" s="8">
        <v>650.00890600000002</v>
      </c>
      <c r="AI473" s="8">
        <v>650.00890600000002</v>
      </c>
      <c r="AJ473" s="8">
        <v>650.00890600000002</v>
      </c>
      <c r="AK473" s="8">
        <v>650.00890600000002</v>
      </c>
      <c r="AL473" s="8">
        <v>650.00890600000002</v>
      </c>
      <c r="AM473" s="8">
        <v>725.00890600000002</v>
      </c>
      <c r="AN473" s="8">
        <v>725.00890600000002</v>
      </c>
      <c r="AO473" s="8">
        <v>548.01345000000003</v>
      </c>
      <c r="AP473" s="8">
        <v>666.00890500000003</v>
      </c>
      <c r="AQ473" s="8">
        <v>666.00890500000003</v>
      </c>
      <c r="AR473" s="8">
        <v>666.00890500000003</v>
      </c>
      <c r="AS473" s="8">
        <v>666.00890500000003</v>
      </c>
      <c r="AT473" s="8">
        <v>666.00890500000003</v>
      </c>
      <c r="AU473" s="8">
        <v>666.00890500000003</v>
      </c>
      <c r="AV473" s="8">
        <v>666.00890500000003</v>
      </c>
      <c r="AW473" s="8">
        <v>666.00890500000003</v>
      </c>
      <c r="AX473" s="8">
        <v>666.00890500000003</v>
      </c>
      <c r="AY473" s="8">
        <v>666.00890500000003</v>
      </c>
      <c r="AZ473" s="8">
        <v>666.00890499999991</v>
      </c>
      <c r="BA473" s="8">
        <v>666.00890500000003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H473" s="8">
        <f t="shared" si="96"/>
        <v>2600.0267180000001</v>
      </c>
      <c r="BI473" s="8">
        <f t="shared" si="97"/>
        <v>7960.1114089999983</v>
      </c>
      <c r="BJ473" s="8">
        <f t="shared" si="98"/>
        <v>3330.0445249999998</v>
      </c>
    </row>
    <row r="474" spans="1:62" x14ac:dyDescent="0.25">
      <c r="A474" s="9" t="s">
        <v>298</v>
      </c>
      <c r="B474" s="9" t="s">
        <v>644</v>
      </c>
      <c r="C474" s="10">
        <f>VLOOKUP(A474,'[2]Revenue_Engine_2025 Oct.25'!$C$14:G$3937,5,0)</f>
        <v>45439</v>
      </c>
      <c r="D474" s="6" cm="1">
        <f t="array" ref="D474">_xlfn.LET(
  _xlpm.aralık, Y474:BF474,
  _xlpm.ilk, MATCH(TRUE, _xlpm.aralık&lt;&gt;0, 0),
  _xlpm.son, MIN(_xlpm.ilk+2, COLUMNS(_xlpm.aralık)),
  MAX(INDEX(_xlpm.aralık, _xlpm.ilk):INDEX(_xlpm.aralık, _xlpm.son))
)</f>
        <v>570.01121200000011</v>
      </c>
      <c r="E474" s="6">
        <f t="shared" si="91"/>
        <v>570.011212</v>
      </c>
      <c r="F474" s="6">
        <f t="shared" si="92"/>
        <v>0</v>
      </c>
      <c r="G474" s="6">
        <f t="shared" si="99"/>
        <v>0</v>
      </c>
      <c r="H474" s="7">
        <f t="shared" si="93"/>
        <v>-1.9944666934308656E-16</v>
      </c>
      <c r="I474" s="7">
        <f t="shared" si="94"/>
        <v>-1</v>
      </c>
      <c r="J474" s="7">
        <f t="shared" si="95"/>
        <v>-1</v>
      </c>
      <c r="K474" s="7">
        <f t="shared" si="100"/>
        <v>0</v>
      </c>
      <c r="L474" s="5" t="s">
        <v>419</v>
      </c>
      <c r="M474" s="7" t="str">
        <f>IF(R474="",(VLOOKUP(A474,[1]Export!$B$2:$H$680,7,0)),"CHURN")</f>
        <v>CHURN</v>
      </c>
      <c r="N474" s="5" t="e">
        <f t="shared" si="101"/>
        <v>#VALUE!</v>
      </c>
      <c r="O474" s="5" t="e">
        <f t="shared" si="102"/>
        <v>#VALUE!</v>
      </c>
      <c r="P474" s="5" t="e">
        <f t="shared" si="103"/>
        <v>#VALUE!</v>
      </c>
      <c r="Q474" s="5" t="s">
        <v>696</v>
      </c>
      <c r="R474" s="5" t="s">
        <v>428</v>
      </c>
      <c r="S474" s="5" t="str">
        <f>VLOOKUP(A474,[3]Sheet1!$A$1:$C$191,3,0)</f>
        <v>Jun.25</v>
      </c>
      <c r="T474" s="6" cm="1">
        <f t="array" ref="T474">IF(R474&lt;&gt;"Churn","",
 _xlfn.LET(
   _xlpm.rng,Y474:BF474,
   _xlpm.pos,MAX(IF((_xlpm.rng&lt;&gt;0)*(_xlpm.rng&lt;&gt;""),COLUMN(_xlpm.rng)-COLUMN(Y474)+1)),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570.01121200000011</v>
      </c>
      <c r="U474" s="6" cm="1">
        <f t="array" ref="U474">IF(R474="Churn",
   MAX(IF((Y474:BF474&lt;&gt;"")*(Y474:BF474&lt;&gt;0), COLUMN(Y474:BF474)-COLUMN(Y474)+1))
   -MATCH(1, --((Y474:BF474&lt;&gt;"")*(Y474:BF474&lt;&gt;0)), 0)
   +1,
"")</f>
        <v>13</v>
      </c>
      <c r="V474" s="6" t="str" cm="1">
        <f t="array" ref="V474">IFERROR(
    IF(
        MATCH(2,1/((Y474:BF474&lt;&gt;0)*(Y474:BF474&lt;&gt;"")))-MATCH(1,INDEX((Y474:BF474&lt;&gt;0)*(Y474:BF474&lt;&gt;""),0),0)+1 &lt;= 12,
        "No",
        "Yes"
    ),
    "No"
)</f>
        <v>Yes</v>
      </c>
      <c r="W474" s="6" t="str" cm="1">
        <f t="array" ref="W474">IFERROR(
    IF(
        MATCH(2,1/((Y474:BF474&lt;&gt;0)*(Y474:BF474&lt;&gt;"")))-MATCH(1,INDEX((Y474:BF474&lt;&gt;0)*(Y474:BF474&lt;&gt;""),0),0)+1 &lt;= 24,
        "No",
        "Yes"
    ),
    "No"
)</f>
        <v>No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570.01121200000011</v>
      </c>
      <c r="AP474" s="8">
        <v>570.01121200000011</v>
      </c>
      <c r="AQ474" s="8">
        <v>570.01121200000011</v>
      </c>
      <c r="AR474" s="8">
        <v>570.01121200000011</v>
      </c>
      <c r="AS474" s="8">
        <v>570.01121200000011</v>
      </c>
      <c r="AT474" s="8">
        <v>570.01121200000011</v>
      </c>
      <c r="AU474" s="8">
        <v>570.01121200000011</v>
      </c>
      <c r="AV474" s="8">
        <v>570.01121200000011</v>
      </c>
      <c r="AW474" s="8">
        <v>570.01121200000011</v>
      </c>
      <c r="AX474" s="8">
        <v>570.01121200000011</v>
      </c>
      <c r="AY474" s="8">
        <v>570.01121200000011</v>
      </c>
      <c r="AZ474" s="8">
        <v>570.011212</v>
      </c>
      <c r="BA474" s="8">
        <v>570.011212</v>
      </c>
      <c r="BB474" s="8">
        <v>0</v>
      </c>
      <c r="BC474" s="8">
        <v>0</v>
      </c>
      <c r="BD474" s="8">
        <v>0</v>
      </c>
      <c r="BE474" s="8">
        <v>0</v>
      </c>
      <c r="BF474" s="8">
        <v>0</v>
      </c>
      <c r="BH474" s="8">
        <f t="shared" si="96"/>
        <v>0</v>
      </c>
      <c r="BI474" s="8">
        <f t="shared" si="97"/>
        <v>4560.0896960000018</v>
      </c>
      <c r="BJ474" s="8">
        <f t="shared" si="98"/>
        <v>2850.0560600000003</v>
      </c>
    </row>
    <row r="475" spans="1:62" x14ac:dyDescent="0.25">
      <c r="A475" s="9" t="s">
        <v>224</v>
      </c>
      <c r="B475" s="9" t="s">
        <v>644</v>
      </c>
      <c r="C475" s="10">
        <f>VLOOKUP(A475,'[2]Revenue_Engine_2025 Oct.25'!$C$14:G$3937,5,0)</f>
        <v>45152</v>
      </c>
      <c r="D475" s="6" cm="1">
        <f t="array" ref="D475">_xlfn.LET(
  _xlpm.aralık, Y475:BF475,
  _xlpm.ilk, MATCH(TRUE, _xlpm.aralık&lt;&gt;0, 0),
  _xlpm.son, MIN(_xlpm.ilk+2, COLUMNS(_xlpm.aralık)),
  MAX(INDEX(_xlpm.aralık, _xlpm.ilk):INDEX(_xlpm.aralık, _xlpm.son))
)</f>
        <v>160</v>
      </c>
      <c r="E475" s="6">
        <f t="shared" si="91"/>
        <v>160.00749000000002</v>
      </c>
      <c r="F475" s="6">
        <f t="shared" si="92"/>
        <v>0</v>
      </c>
      <c r="G475" s="6">
        <f t="shared" si="99"/>
        <v>0</v>
      </c>
      <c r="H475" s="7">
        <f t="shared" si="93"/>
        <v>4.6812500000115162E-5</v>
      </c>
      <c r="I475" s="7">
        <f t="shared" si="94"/>
        <v>-1</v>
      </c>
      <c r="J475" s="7">
        <f t="shared" si="95"/>
        <v>-1</v>
      </c>
      <c r="K475" s="7">
        <f t="shared" si="100"/>
        <v>1.5874902375000004</v>
      </c>
      <c r="L475" s="5" t="s">
        <v>412</v>
      </c>
      <c r="M475" s="7" t="str">
        <f>IF(R475="",(VLOOKUP(A475,[1]Export!$B$2:$H$680,7,0)),"CHURN")</f>
        <v>CHURN</v>
      </c>
      <c r="N475" s="5" t="e">
        <f t="shared" si="101"/>
        <v>#VALUE!</v>
      </c>
      <c r="O475" s="5" t="e">
        <f t="shared" si="102"/>
        <v>#VALUE!</v>
      </c>
      <c r="P475" s="5" t="e">
        <f t="shared" si="103"/>
        <v>#VALUE!</v>
      </c>
      <c r="Q475" s="5" t="s">
        <v>696</v>
      </c>
      <c r="R475" s="5" t="s">
        <v>428</v>
      </c>
      <c r="S475" s="5" t="str">
        <f>VLOOKUP(A475,[3]Sheet1!$A$1:$C$191,3,0)</f>
        <v>Jun.25</v>
      </c>
      <c r="T475" s="6" cm="1">
        <f t="array" ref="T475">IF(R475&lt;&gt;"Churn","",
 _xlfn.LET(
   _xlpm.rng,Y475:BF475,
   _xlpm.pos,MAX(IF((_xlpm.rng&lt;&gt;0)*(_xlpm.rng&lt;&gt;""),COLUMN(_xlpm.rng)-COLUMN(Y475)+1)),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413.99843800000008</v>
      </c>
      <c r="U475" s="6" cm="1">
        <f t="array" ref="U475">IF(R475="Churn",
   MAX(IF((Y475:BF475&lt;&gt;"")*(Y475:BF475&lt;&gt;0), COLUMN(Y475:BF475)-COLUMN(Y475)+1))
   -MATCH(1, --((Y475:BF475&lt;&gt;"")*(Y475:BF475&lt;&gt;0)), 0)
   +1,
"")</f>
        <v>22</v>
      </c>
      <c r="V475" s="6" t="str" cm="1">
        <f t="array" ref="V475">IFERROR(
    IF(
        MATCH(2,1/((Y475:BF475&lt;&gt;0)*(Y475:BF475&lt;&gt;"")))-MATCH(1,INDEX((Y475:BF475&lt;&gt;0)*(Y475:BF475&lt;&gt;""),0),0)+1 &lt;= 12,
        "No",
        "Yes"
    ),
    "No"
)</f>
        <v>Yes</v>
      </c>
      <c r="W475" s="6" t="str" cm="1">
        <f t="array" ref="W475">IFERROR(
    IF(
        MATCH(2,1/((Y475:BF475&lt;&gt;0)*(Y475:BF475&lt;&gt;"")))-MATCH(1,INDEX((Y475:BF475&lt;&gt;0)*(Y475:BF475&lt;&gt;""),0),0)+1 &lt;= 24,
        "No",
        "Yes"
    ),
    "No"
)</f>
        <v>No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160</v>
      </c>
      <c r="AG475" s="8">
        <v>160</v>
      </c>
      <c r="AH475" s="8">
        <v>160</v>
      </c>
      <c r="AI475" s="8">
        <v>160</v>
      </c>
      <c r="AJ475" s="8">
        <v>160</v>
      </c>
      <c r="AK475" s="8">
        <v>160</v>
      </c>
      <c r="AL475" s="8">
        <v>160.00749000000002</v>
      </c>
      <c r="AM475" s="8">
        <v>160.00749000000002</v>
      </c>
      <c r="AN475" s="8">
        <v>160.00749000000002</v>
      </c>
      <c r="AO475" s="8">
        <v>160.00749000000002</v>
      </c>
      <c r="AP475" s="8">
        <v>160.00749000000002</v>
      </c>
      <c r="AQ475" s="8">
        <v>160.00749000000002</v>
      </c>
      <c r="AR475" s="8">
        <v>160.00749000000002</v>
      </c>
      <c r="AS475" s="8">
        <v>160.00749000000002</v>
      </c>
      <c r="AT475" s="8">
        <v>160.00749000000002</v>
      </c>
      <c r="AU475" s="8">
        <v>359.99875500000007</v>
      </c>
      <c r="AV475" s="8">
        <v>359.99875500000007</v>
      </c>
      <c r="AW475" s="8">
        <v>413.99843800000002</v>
      </c>
      <c r="AX475" s="8">
        <v>413.99843800000002</v>
      </c>
      <c r="AY475" s="8">
        <v>413.99843800000002</v>
      </c>
      <c r="AZ475" s="8">
        <v>413.99843800000008</v>
      </c>
      <c r="BA475" s="8">
        <v>413.99843800000002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H475" s="8">
        <f t="shared" si="96"/>
        <v>800</v>
      </c>
      <c r="BI475" s="8">
        <f t="shared" si="97"/>
        <v>2320.0649199999998</v>
      </c>
      <c r="BJ475" s="8">
        <f t="shared" si="98"/>
        <v>2069.9921899999999</v>
      </c>
    </row>
    <row r="476" spans="1:62" x14ac:dyDescent="0.25">
      <c r="A476" s="9" t="s">
        <v>211</v>
      </c>
      <c r="B476" s="9" t="s">
        <v>644</v>
      </c>
      <c r="C476" s="10">
        <f>VLOOKUP(A476,'[2]Revenue_Engine_2025 Oct.25'!$C$14:G$3937,5,0)</f>
        <v>45093</v>
      </c>
      <c r="D476" s="6" cm="1">
        <f t="array" ref="D476">_xlfn.LET(
  _xlpm.aralık, Y476:BF476,
  _xlpm.ilk, MATCH(TRUE, _xlpm.aralık&lt;&gt;0, 0),
  _xlpm.son, MIN(_xlpm.ilk+2, COLUMNS(_xlpm.aralık)),
  MAX(INDEX(_xlpm.aralık, _xlpm.ilk):INDEX(_xlpm.aralık, _xlpm.son))
)</f>
        <v>240.0061</v>
      </c>
      <c r="E476" s="6">
        <f t="shared" si="91"/>
        <v>250.0061</v>
      </c>
      <c r="F476" s="6">
        <f t="shared" si="92"/>
        <v>0</v>
      </c>
      <c r="G476" s="6">
        <f t="shared" si="99"/>
        <v>0</v>
      </c>
      <c r="H476" s="7">
        <f t="shared" si="93"/>
        <v>4.1665607665805161E-2</v>
      </c>
      <c r="I476" s="7">
        <f t="shared" si="94"/>
        <v>-1</v>
      </c>
      <c r="J476" s="7">
        <f t="shared" si="95"/>
        <v>-1</v>
      </c>
      <c r="K476" s="7">
        <f t="shared" si="100"/>
        <v>0.47078324675914496</v>
      </c>
      <c r="L476" s="5" t="s">
        <v>417</v>
      </c>
      <c r="M476" s="7" t="str">
        <f>IF(R476="",(VLOOKUP(A476,[1]Export!$B$2:$H$680,7,0)),"CHURN")</f>
        <v>CHURN</v>
      </c>
      <c r="N476" s="5" t="e">
        <f t="shared" si="101"/>
        <v>#VALUE!</v>
      </c>
      <c r="O476" s="5" t="e">
        <f t="shared" si="102"/>
        <v>#VALUE!</v>
      </c>
      <c r="P476" s="5" t="e">
        <f t="shared" si="103"/>
        <v>#VALUE!</v>
      </c>
      <c r="Q476" s="5" t="str">
        <f>VLOOKUP(A476,[4]Sheet2!$A$1:$B$142,2,0)</f>
        <v>CHURN</v>
      </c>
      <c r="R476" s="5" t="s">
        <v>428</v>
      </c>
      <c r="S476" s="5" t="str">
        <f>VLOOKUP(A476,[3]Sheet1!$A$1:$C$191,3,0)</f>
        <v>Apr.25</v>
      </c>
      <c r="T476" s="6" cm="1">
        <f t="array" ref="T476">IF(R476&lt;&gt;"Churn","",
 _xlfn.LET(
   _xlpm.rng,Y476:BF476,
   _xlpm.pos,MAX(IF((_xlpm.rng&lt;&gt;0)*(_xlpm.rng&lt;&gt;""),COLUMN(_xlpm.rng)-COLUMN(Y476)+1)),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352.99695100000002</v>
      </c>
      <c r="U476" s="6" cm="1">
        <f t="array" ref="U476">IF(R476="Churn",
   MAX(IF((Y476:BF476&lt;&gt;"")*(Y476:BF476&lt;&gt;0), COLUMN(Y476:BF476)-COLUMN(Y476)+1))
   -MATCH(1, --((Y476:BF476&lt;&gt;"")*(Y476:BF476&lt;&gt;0)), 0)
   +1,
"")</f>
        <v>22</v>
      </c>
      <c r="V476" s="6" t="str" cm="1">
        <f t="array" ref="V476">IFERROR(
    IF(
        MATCH(2,1/((Y476:BF476&lt;&gt;0)*(Y476:BF476&lt;&gt;"")))-MATCH(1,INDEX((Y476:BF476&lt;&gt;0)*(Y476:BF476&lt;&gt;""),0),0)+1 &lt;= 12,
        "No",
        "Yes"
    ),
    "No"
)</f>
        <v>Yes</v>
      </c>
      <c r="W476" s="6" t="str" cm="1">
        <f t="array" ref="W476">IFERROR(
    IF(
        MATCH(2,1/((Y476:BF476&lt;&gt;0)*(Y476:BF476&lt;&gt;"")))-MATCH(1,INDEX((Y476:BF476&lt;&gt;0)*(Y476:BF476&lt;&gt;""),0),0)+1 &lt;= 24,
        "No",
        "Yes"
    ),
    "No"
)</f>
        <v>No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240.0061</v>
      </c>
      <c r="AE476" s="8">
        <v>240.0061</v>
      </c>
      <c r="AF476" s="8">
        <v>240.0061</v>
      </c>
      <c r="AG476" s="8">
        <v>240.0061</v>
      </c>
      <c r="AH476" s="8">
        <v>240.0061</v>
      </c>
      <c r="AI476" s="8">
        <v>240.0061</v>
      </c>
      <c r="AJ476" s="8">
        <v>240.0061</v>
      </c>
      <c r="AK476" s="8">
        <v>240.0061</v>
      </c>
      <c r="AL476" s="8">
        <v>240.0061</v>
      </c>
      <c r="AM476" s="8">
        <v>250.0061</v>
      </c>
      <c r="AN476" s="8">
        <v>250.0061</v>
      </c>
      <c r="AO476" s="8">
        <v>250.0061</v>
      </c>
      <c r="AP476" s="8">
        <v>250.0061</v>
      </c>
      <c r="AQ476" s="8">
        <v>250.0061</v>
      </c>
      <c r="AR476" s="8">
        <v>250.0061</v>
      </c>
      <c r="AS476" s="8">
        <v>250.0061</v>
      </c>
      <c r="AT476" s="8">
        <v>250.0061</v>
      </c>
      <c r="AU476" s="8">
        <v>250.0061</v>
      </c>
      <c r="AV476" s="8">
        <v>250.0061</v>
      </c>
      <c r="AW476" s="8">
        <v>304.99695100000002</v>
      </c>
      <c r="AX476" s="8">
        <v>352.99695100000002</v>
      </c>
      <c r="AY476" s="8">
        <v>352.99695100000002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H476" s="8">
        <f t="shared" si="96"/>
        <v>1680.0427000000002</v>
      </c>
      <c r="BI476" s="8">
        <f t="shared" si="97"/>
        <v>2980.0732000000003</v>
      </c>
      <c r="BJ476" s="8">
        <f t="shared" si="98"/>
        <v>1010.990853</v>
      </c>
    </row>
    <row r="477" spans="1:62" x14ac:dyDescent="0.25">
      <c r="A477" s="9" t="s">
        <v>308</v>
      </c>
      <c r="B477" s="9" t="s">
        <v>644</v>
      </c>
      <c r="C477" s="10">
        <f>VLOOKUP(A477,'[2]Revenue_Engine_2025 Oct.25'!$C$14:G$3937,5,0)</f>
        <v>45468</v>
      </c>
      <c r="D477" s="6" cm="1">
        <f t="array" ref="D477">_xlfn.LET(
  _xlpm.aralık, Y477:BF477,
  _xlpm.ilk, MATCH(TRUE, _xlpm.aralık&lt;&gt;0, 0),
  _xlpm.son, MIN(_xlpm.ilk+2, COLUMNS(_xlpm.aralık)),
  MAX(INDEX(_xlpm.aralık, _xlpm.ilk):INDEX(_xlpm.aralık, _xlpm.son))
)</f>
        <v>380.54183068019563</v>
      </c>
      <c r="E477" s="6">
        <f t="shared" si="91"/>
        <v>317.84698083509841</v>
      </c>
      <c r="F477" s="6">
        <f t="shared" si="92"/>
        <v>0</v>
      </c>
      <c r="G477" s="6">
        <f t="shared" si="99"/>
        <v>0</v>
      </c>
      <c r="H477" s="7">
        <f t="shared" si="93"/>
        <v>-0.16475153265814155</v>
      </c>
      <c r="I477" s="7">
        <f t="shared" si="94"/>
        <v>-1</v>
      </c>
      <c r="J477" s="7">
        <f t="shared" si="95"/>
        <v>-1</v>
      </c>
      <c r="K477" s="7">
        <f t="shared" si="100"/>
        <v>-0.13583855327231617</v>
      </c>
      <c r="L477" s="5" t="s">
        <v>416</v>
      </c>
      <c r="M477" s="7" t="str">
        <f>IF(R477="",(VLOOKUP(A477,[1]Export!$B$2:$H$680,7,0)),"CHURN")</f>
        <v>CHURN</v>
      </c>
      <c r="N477" s="5" t="e">
        <f t="shared" si="101"/>
        <v>#VALUE!</v>
      </c>
      <c r="O477" s="5" t="e">
        <f t="shared" si="102"/>
        <v>#VALUE!</v>
      </c>
      <c r="P477" s="5" t="e">
        <f t="shared" si="103"/>
        <v>#VALUE!</v>
      </c>
      <c r="Q477" s="5" t="str">
        <f>VLOOKUP(A477,[4]Sheet2!$A$1:$B$142,2,0)</f>
        <v>CHURN</v>
      </c>
      <c r="R477" s="5" t="s">
        <v>428</v>
      </c>
      <c r="S477" s="5" t="str">
        <f>VLOOKUP(A477,[3]Sheet1!$A$1:$C$191,3,0)</f>
        <v>Jul.25</v>
      </c>
      <c r="T477" s="6" cm="1">
        <f t="array" ref="T477">IF(R477&lt;&gt;"Churn","",
 _xlfn.LET(
   _xlpm.rng,Y477:BF477,
   _xlpm.pos,MAX(IF((_xlpm.rng&lt;&gt;0)*(_xlpm.rng&lt;&gt;""),COLUMN(_xlpm.rng)-COLUMN(Y477)+1)),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328.84957894099915</v>
      </c>
      <c r="U477" s="6" cm="1">
        <f t="array" ref="U477">IF(R477="Churn",
   MAX(IF((Y477:BF477&lt;&gt;"")*(Y477:BF477&lt;&gt;0), COLUMN(Y477:BF477)-COLUMN(Y477)+1))
   -MATCH(1, --((Y477:BF477&lt;&gt;"")*(Y477:BF477&lt;&gt;0)), 0)
   +1,
"")</f>
        <v>12</v>
      </c>
      <c r="V477" s="6" t="str" cm="1">
        <f t="array" ref="V477">IFERROR(
    IF(
        MATCH(2,1/((Y477:BF477&lt;&gt;0)*(Y477:BF477&lt;&gt;"")))-MATCH(1,INDEX((Y477:BF477&lt;&gt;0)*(Y477:BF477&lt;&gt;""),0),0)+1 &lt;= 12,
        "No",
        "Yes"
    ),
    "No"
)</f>
        <v>No</v>
      </c>
      <c r="W477" s="6" t="str" cm="1">
        <f t="array" ref="W477">IFERROR(
    IF(
        MATCH(2,1/((Y477:BF477&lt;&gt;0)*(Y477:BF477&lt;&gt;"")))-MATCH(1,INDEX((Y477:BF477&lt;&gt;0)*(Y477:BF477&lt;&gt;""),0),0)+1 &lt;= 24,
        "No",
        "Yes"
    ),
    "No"
)</f>
        <v>No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380.54183068019563</v>
      </c>
      <c r="AR477" s="8">
        <v>372.3496154373172</v>
      </c>
      <c r="AS477" s="8">
        <v>368.08659752528018</v>
      </c>
      <c r="AT477" s="8">
        <v>365.81047505611537</v>
      </c>
      <c r="AU477" s="8">
        <v>363.79405182173508</v>
      </c>
      <c r="AV477" s="8">
        <v>358.13745602072044</v>
      </c>
      <c r="AW477" s="8">
        <v>352.73866297937184</v>
      </c>
      <c r="AX477" s="8">
        <v>346.5205181729221</v>
      </c>
      <c r="AY477" s="8">
        <v>337.87527807135388</v>
      </c>
      <c r="AZ477" s="8">
        <v>328.84957894099915</v>
      </c>
      <c r="BA477" s="8">
        <v>323.33662705577427</v>
      </c>
      <c r="BB477" s="8">
        <v>317.84698083509841</v>
      </c>
      <c r="BC477" s="8">
        <v>0</v>
      </c>
      <c r="BD477" s="8">
        <v>0</v>
      </c>
      <c r="BE477" s="8">
        <v>0</v>
      </c>
      <c r="BF477" s="8">
        <v>0</v>
      </c>
      <c r="BH477" s="8">
        <f t="shared" si="96"/>
        <v>0</v>
      </c>
      <c r="BI477" s="8">
        <f t="shared" si="97"/>
        <v>2208.7200265413639</v>
      </c>
      <c r="BJ477" s="8">
        <f t="shared" si="98"/>
        <v>2007.1676460555195</v>
      </c>
    </row>
    <row r="478" spans="1:62" x14ac:dyDescent="0.25">
      <c r="A478" s="9" t="s">
        <v>291</v>
      </c>
      <c r="B478" s="9" t="s">
        <v>644</v>
      </c>
      <c r="C478" s="10">
        <f>VLOOKUP(A478,'[2]Revenue_Engine_2025 Oct.25'!$C$14:G$3937,5,0)</f>
        <v>45408</v>
      </c>
      <c r="D478" s="6" cm="1">
        <f t="array" ref="D478">_xlfn.LET(
  _xlpm.aralık, Y478:BF478,
  _xlpm.ilk, MATCH(TRUE, _xlpm.aralık&lt;&gt;0, 0),
  _xlpm.son, MIN(_xlpm.ilk+2, COLUMNS(_xlpm.aralık)),
  MAX(INDEX(_xlpm.aralık, _xlpm.ilk):INDEX(_xlpm.aralık, _xlpm.son))
)</f>
        <v>150</v>
      </c>
      <c r="E478" s="6">
        <f t="shared" si="91"/>
        <v>238.599604</v>
      </c>
      <c r="F478" s="6">
        <f t="shared" si="92"/>
        <v>0</v>
      </c>
      <c r="G478" s="6">
        <f t="shared" si="99"/>
        <v>0</v>
      </c>
      <c r="H478" s="7">
        <f t="shared" si="93"/>
        <v>0.59066402666666662</v>
      </c>
      <c r="I478" s="7">
        <f t="shared" si="94"/>
        <v>-1</v>
      </c>
      <c r="J478" s="7">
        <f t="shared" si="95"/>
        <v>-1</v>
      </c>
      <c r="K478" s="7">
        <f t="shared" si="100"/>
        <v>0.59066402666666662</v>
      </c>
      <c r="L478" s="5" t="s">
        <v>418</v>
      </c>
      <c r="M478" s="7" t="str">
        <f>IF(R478="",(VLOOKUP(A478,[1]Export!$B$2:$H$680,7,0)),"CHURN")</f>
        <v>CHURN</v>
      </c>
      <c r="N478" s="5" t="e">
        <f t="shared" si="101"/>
        <v>#VALUE!</v>
      </c>
      <c r="O478" s="5" t="e">
        <f t="shared" si="102"/>
        <v>#VALUE!</v>
      </c>
      <c r="P478" s="5" t="e">
        <f t="shared" si="103"/>
        <v>#VALUE!</v>
      </c>
      <c r="Q478" s="5" t="s">
        <v>696</v>
      </c>
      <c r="R478" s="5" t="s">
        <v>428</v>
      </c>
      <c r="S478" s="5" t="str">
        <f>VLOOKUP(A478,[3]Sheet1!$A$1:$C$191,3,0)</f>
        <v>May.25</v>
      </c>
      <c r="T478" s="6" cm="1">
        <f t="array" ref="T478">IF(R478&lt;&gt;"Churn","",
 _xlfn.LET(
   _xlpm.rng,Y478:BF478,
   _xlpm.pos,MAX(IF((_xlpm.rng&lt;&gt;0)*(_xlpm.rng&lt;&gt;""),COLUMN(_xlpm.rng)-COLUMN(Y478)+1)),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238.599604</v>
      </c>
      <c r="U478" s="6" cm="1">
        <f t="array" ref="U478">IF(R478="Churn",
   MAX(IF((Y478:BF478&lt;&gt;"")*(Y478:BF478&lt;&gt;0), COLUMN(Y478:BF478)-COLUMN(Y478)+1))
   -MATCH(1, --((Y478:BF478&lt;&gt;"")*(Y478:BF478&lt;&gt;0)), 0)
   +1,
"")</f>
        <v>13</v>
      </c>
      <c r="V478" s="6" t="str" cm="1">
        <f t="array" ref="V478">IFERROR(
    IF(
        MATCH(2,1/((Y478:BF478&lt;&gt;0)*(Y478:BF478&lt;&gt;"")))-MATCH(1,INDEX((Y478:BF478&lt;&gt;0)*(Y478:BF478&lt;&gt;""),0),0)+1 &lt;= 12,
        "No",
        "Yes"
    ),
    "No"
)</f>
        <v>Yes</v>
      </c>
      <c r="W478" s="6" t="str" cm="1">
        <f t="array" ref="W478">IFERROR(
    IF(
        MATCH(2,1/((Y478:BF478&lt;&gt;0)*(Y478:BF478&lt;&gt;"")))-MATCH(1,INDEX((Y478:BF478&lt;&gt;0)*(Y478:BF478&lt;&gt;""),0),0)+1 &lt;= 24,
        "No",
        "Yes"
    ),
    "No"
)</f>
        <v>No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150</v>
      </c>
      <c r="AO478" s="8">
        <v>150</v>
      </c>
      <c r="AP478" s="8">
        <v>150</v>
      </c>
      <c r="AQ478" s="8">
        <v>150</v>
      </c>
      <c r="AR478" s="8">
        <v>150</v>
      </c>
      <c r="AS478" s="8">
        <v>150</v>
      </c>
      <c r="AT478" s="8">
        <v>150</v>
      </c>
      <c r="AU478" s="8">
        <v>201.99999999999997</v>
      </c>
      <c r="AV478" s="8">
        <v>203.99999999999997</v>
      </c>
      <c r="AW478" s="8">
        <v>234.59960399999997</v>
      </c>
      <c r="AX478" s="8">
        <v>234.59960399999997</v>
      </c>
      <c r="AY478" s="8">
        <v>238.59960399999997</v>
      </c>
      <c r="AZ478" s="8">
        <v>238.599604</v>
      </c>
      <c r="BA478" s="8">
        <v>0</v>
      </c>
      <c r="BB478" s="8">
        <v>0</v>
      </c>
      <c r="BC478" s="8">
        <v>0</v>
      </c>
      <c r="BD478" s="8">
        <v>0</v>
      </c>
      <c r="BE478" s="8">
        <v>0</v>
      </c>
      <c r="BF478" s="8">
        <v>0</v>
      </c>
      <c r="BH478" s="8">
        <f t="shared" si="96"/>
        <v>0</v>
      </c>
      <c r="BI478" s="8">
        <f t="shared" si="97"/>
        <v>1456</v>
      </c>
      <c r="BJ478" s="8">
        <f t="shared" si="98"/>
        <v>946.39841599999988</v>
      </c>
    </row>
    <row r="479" spans="1:62" x14ac:dyDescent="0.25">
      <c r="A479" s="9" t="s">
        <v>81</v>
      </c>
      <c r="B479" s="9" t="s">
        <v>644</v>
      </c>
      <c r="C479" s="10">
        <v>44927</v>
      </c>
      <c r="D479" s="6" cm="1">
        <f t="array" ref="D479">_xlfn.LET(
  _xlpm.aralık, Y479:BF479,
  _xlpm.ilk, MATCH(TRUE, _xlpm.aralık&lt;&gt;0, 0),
  _xlpm.son, MIN(_xlpm.ilk+2, COLUMNS(_xlpm.aralık)),
  MAX(INDEX(_xlpm.aralık, _xlpm.ilk):INDEX(_xlpm.aralık, _xlpm.son))
)</f>
        <v>189.75</v>
      </c>
      <c r="E479" s="6">
        <f t="shared" si="91"/>
        <v>148.5</v>
      </c>
      <c r="F479" s="6">
        <f t="shared" si="92"/>
        <v>206.25</v>
      </c>
      <c r="G479" s="6">
        <f t="shared" si="99"/>
        <v>0</v>
      </c>
      <c r="H479" s="7">
        <f t="shared" si="93"/>
        <v>-0.21739130434782608</v>
      </c>
      <c r="I479" s="7">
        <f t="shared" si="94"/>
        <v>8.6956521739130432E-2</v>
      </c>
      <c r="J479" s="7">
        <f t="shared" si="95"/>
        <v>0.3888888888888889</v>
      </c>
      <c r="K479" s="7">
        <f t="shared" si="100"/>
        <v>8.6956521739130432E-2</v>
      </c>
      <c r="L479" s="5" t="s">
        <v>412</v>
      </c>
      <c r="M479" s="7" t="str">
        <f>IF(R479="",(VLOOKUP(A479,[1]Export!$B$2:$H$680,7,0)),"CHURN")</f>
        <v>CHURN</v>
      </c>
      <c r="N479" s="5" t="e">
        <f t="shared" si="101"/>
        <v>#VALUE!</v>
      </c>
      <c r="O479" s="5" t="e">
        <f t="shared" si="102"/>
        <v>#VALUE!</v>
      </c>
      <c r="P479" s="5" t="e">
        <f t="shared" si="103"/>
        <v>#VALUE!</v>
      </c>
      <c r="Q479" s="5" t="s">
        <v>696</v>
      </c>
      <c r="R479" s="5" t="s">
        <v>428</v>
      </c>
      <c r="S479" s="5" t="str">
        <f>VLOOKUP(A479,[3]Sheet1!$A$1:$C$191,3,0)</f>
        <v>May.25</v>
      </c>
      <c r="T479" s="6" cm="1">
        <f t="array" ref="T479">IF(R479&lt;&gt;"Churn","",
 _xlfn.LET(
   _xlpm.rng,Y479:BF479,
   _xlpm.pos,MAX(IF((_xlpm.rng&lt;&gt;0)*(_xlpm.rng&lt;&gt;""),COLUMN(_xlpm.rng)-COLUMN(Y479)+1)),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206.25</v>
      </c>
      <c r="U479" s="6" cm="1">
        <f t="array" ref="U479">IF(R479="Churn",
   MAX(IF((Y479:BF479&lt;&gt;"")*(Y479:BF479&lt;&gt;0), COLUMN(Y479:BF479)-COLUMN(Y479)+1))
   -MATCH(1, --((Y479:BF479&lt;&gt;"")*(Y479:BF479&lt;&gt;0)), 0)
   +1,
"")</f>
        <v>28</v>
      </c>
      <c r="V479" s="6" t="str" cm="1">
        <f t="array" ref="V479">IFERROR(
    IF(
        MATCH(2,1/((Y479:BF479&lt;&gt;0)*(Y479:BF479&lt;&gt;"")))-MATCH(1,INDEX((Y479:BF479&lt;&gt;0)*(Y479:BF479&lt;&gt;""),0),0)+1 &lt;= 12,
        "No",
        "Yes"
    ),
    "No"
)</f>
        <v>Yes</v>
      </c>
      <c r="W479" s="6" t="str" cm="1">
        <f t="array" ref="W479">IFERROR(
    IF(
        MATCH(2,1/((Y479:BF479&lt;&gt;0)*(Y479:BF479&lt;&gt;"")))-MATCH(1,INDEX((Y479:BF479&lt;&gt;0)*(Y479:BF479&lt;&gt;""),0),0)+1 &lt;= 24,
        "No",
        "Yes"
    ),
    "No"
)</f>
        <v>Yes</v>
      </c>
      <c r="Y479" s="8">
        <v>189.75</v>
      </c>
      <c r="Z479" s="8">
        <v>189.75</v>
      </c>
      <c r="AA479" s="8">
        <v>189.75</v>
      </c>
      <c r="AB479" s="8">
        <v>189.75</v>
      </c>
      <c r="AC479" s="8">
        <v>173.25</v>
      </c>
      <c r="AD479" s="8">
        <v>189.75</v>
      </c>
      <c r="AE479" s="8">
        <v>189.75</v>
      </c>
      <c r="AF479" s="8">
        <v>115.5</v>
      </c>
      <c r="AG479" s="8">
        <v>148.5</v>
      </c>
      <c r="AH479" s="8">
        <v>189.75</v>
      </c>
      <c r="AI479" s="8">
        <v>107.25</v>
      </c>
      <c r="AJ479" s="8">
        <v>148.5</v>
      </c>
      <c r="AK479" s="8">
        <v>148.5</v>
      </c>
      <c r="AL479" s="8">
        <v>148.5</v>
      </c>
      <c r="AM479" s="8">
        <v>148.5</v>
      </c>
      <c r="AN479" s="8">
        <v>148.5</v>
      </c>
      <c r="AO479" s="8">
        <v>189.75</v>
      </c>
      <c r="AP479" s="8">
        <v>189.75</v>
      </c>
      <c r="AQ479" s="8">
        <v>189.75</v>
      </c>
      <c r="AR479" s="8">
        <v>189.75</v>
      </c>
      <c r="AS479" s="8">
        <v>206.25</v>
      </c>
      <c r="AT479" s="8">
        <v>206.25</v>
      </c>
      <c r="AU479" s="8">
        <v>206.25</v>
      </c>
      <c r="AV479" s="8">
        <v>206.25</v>
      </c>
      <c r="AW479" s="8">
        <v>206.25</v>
      </c>
      <c r="AX479" s="8">
        <v>206.25</v>
      </c>
      <c r="AY479" s="8">
        <v>206.25</v>
      </c>
      <c r="AZ479" s="8">
        <v>206.25</v>
      </c>
      <c r="BA479" s="8">
        <v>0</v>
      </c>
      <c r="BB479" s="8">
        <v>0</v>
      </c>
      <c r="BC479" s="8">
        <v>0</v>
      </c>
      <c r="BD479" s="8">
        <v>0</v>
      </c>
      <c r="BE479" s="8">
        <v>0</v>
      </c>
      <c r="BF479" s="8">
        <v>0</v>
      </c>
      <c r="BH479" s="8">
        <f t="shared" si="96"/>
        <v>2021.25</v>
      </c>
      <c r="BI479" s="8">
        <f t="shared" si="97"/>
        <v>2178</v>
      </c>
      <c r="BJ479" s="8">
        <f t="shared" si="98"/>
        <v>825</v>
      </c>
    </row>
    <row r="480" spans="1:62" x14ac:dyDescent="0.25">
      <c r="A480" s="9" t="s">
        <v>559</v>
      </c>
      <c r="B480" s="9" t="s">
        <v>644</v>
      </c>
      <c r="C480" s="10">
        <f>VLOOKUP(A480,'[2]Revenue_Engine_2025 Oct.25'!$C$14:G$3937,5,0)</f>
        <v>45489</v>
      </c>
      <c r="D480" s="6" cm="1">
        <f t="array" ref="D480">_xlfn.LET(
  _xlpm.aralık, Y480:BF480,
  _xlpm.ilk, MATCH(TRUE, _xlpm.aralık&lt;&gt;0, 0),
  _xlpm.son, MIN(_xlpm.ilk+2, COLUMNS(_xlpm.aralık)),
  MAX(INDEX(_xlpm.aralık, _xlpm.ilk):INDEX(_xlpm.aralık, _xlpm.son))
)</f>
        <v>175.19977041666664</v>
      </c>
      <c r="E480" s="6">
        <f t="shared" si="91"/>
        <v>0</v>
      </c>
      <c r="F480" s="6">
        <f t="shared" si="92"/>
        <v>0</v>
      </c>
      <c r="G480" s="6">
        <f t="shared" si="99"/>
        <v>0</v>
      </c>
      <c r="H480" s="7">
        <f t="shared" si="93"/>
        <v>-1</v>
      </c>
      <c r="I480" s="7">
        <f t="shared" si="94"/>
        <v>-1</v>
      </c>
      <c r="J480" s="7" t="e">
        <f t="shared" si="95"/>
        <v>#DIV/0!</v>
      </c>
      <c r="K480" s="7">
        <f t="shared" si="100"/>
        <v>0</v>
      </c>
      <c r="L480" s="5" t="s">
        <v>694</v>
      </c>
      <c r="M480" s="7" t="str">
        <f>IF(R480="",(VLOOKUP(A480,[1]Export!$B$2:$H$680,7,0)),"CHURN")</f>
        <v>CHURN</v>
      </c>
      <c r="N480" s="5" t="e">
        <f t="shared" si="101"/>
        <v>#VALUE!</v>
      </c>
      <c r="O480" s="5" t="e">
        <f t="shared" si="102"/>
        <v>#VALUE!</v>
      </c>
      <c r="P480" s="5" t="e">
        <f t="shared" si="103"/>
        <v>#VALUE!</v>
      </c>
      <c r="Q480" s="5" t="s">
        <v>696</v>
      </c>
      <c r="R480" s="5" t="s">
        <v>428</v>
      </c>
      <c r="S480" s="5" t="str">
        <f>VLOOKUP(A480,[3]Sheet1!$A$1:$C$191,3,0)</f>
        <v>Jul.25</v>
      </c>
      <c r="T480" s="6" cm="1">
        <f t="array" ref="T480">IF(R480&lt;&gt;"Churn","",
 _xlfn.LET(
   _xlpm.rng,Y480:BF480,
   _xlpm.pos,MAX(IF((_xlpm.rng&lt;&gt;0)*(_xlpm.rng&lt;&gt;""),COLUMN(_xlpm.rng)-COLUMN(Y480)+1)),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175.19977041666664</v>
      </c>
      <c r="U480" s="6" cm="1">
        <f t="array" ref="U480">IF(R480="Churn",
   MAX(IF((Y480:BF480&lt;&gt;"")*(Y480:BF480&lt;&gt;0), COLUMN(Y480:BF480)-COLUMN(Y480)+1))
   -MATCH(1, --((Y480:BF480&lt;&gt;"")*(Y480:BF480&lt;&gt;0)), 0)
   +1,
"")</f>
        <v>12</v>
      </c>
      <c r="V480" s="6" t="str" cm="1">
        <f t="array" ref="V480">IFERROR(
    IF(
        MATCH(2,1/((Y480:BF480&lt;&gt;0)*(Y480:BF480&lt;&gt;"")))-MATCH(1,INDEX((Y480:BF480&lt;&gt;0)*(Y480:BF480&lt;&gt;""),0),0)+1 &lt;= 12,
        "No",
        "Yes"
    ),
    "No"
)</f>
        <v>No</v>
      </c>
      <c r="W480" s="6" t="str" cm="1">
        <f t="array" ref="W480">IFERROR(
    IF(
        MATCH(2,1/((Y480:BF480&lt;&gt;0)*(Y480:BF480&lt;&gt;"")))-MATCH(1,INDEX((Y480:BF480&lt;&gt;0)*(Y480:BF480&lt;&gt;""),0),0)+1 &lt;= 24,
        "No",
        "Yes"
    ),
    "No"
)</f>
        <v>No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175.19977041666664</v>
      </c>
      <c r="AR480" s="8">
        <v>175.19977041666664</v>
      </c>
      <c r="AS480" s="8">
        <v>175.19977041666664</v>
      </c>
      <c r="AT480" s="8">
        <v>175.19977041666664</v>
      </c>
      <c r="AU480" s="8">
        <v>175.19977041666664</v>
      </c>
      <c r="AV480" s="8">
        <v>175.19977041666664</v>
      </c>
      <c r="AW480" s="8">
        <v>175.19977041666664</v>
      </c>
      <c r="AX480" s="8">
        <v>175.19977041666664</v>
      </c>
      <c r="AY480" s="8">
        <v>175.19977041666664</v>
      </c>
      <c r="AZ480" s="8">
        <v>175.19977041666664</v>
      </c>
      <c r="BA480" s="8">
        <v>175.19977041666664</v>
      </c>
      <c r="BB480" s="8">
        <v>175.19977041666664</v>
      </c>
      <c r="BC480" s="8">
        <v>0</v>
      </c>
      <c r="BD480" s="8">
        <v>0</v>
      </c>
      <c r="BE480" s="8">
        <v>0</v>
      </c>
      <c r="BF480" s="8">
        <v>0</v>
      </c>
      <c r="BH480" s="8">
        <f t="shared" si="96"/>
        <v>0</v>
      </c>
      <c r="BI480" s="8">
        <f t="shared" si="97"/>
        <v>1051.1986224999998</v>
      </c>
      <c r="BJ480" s="8">
        <f t="shared" si="98"/>
        <v>1051.1986224999998</v>
      </c>
    </row>
    <row r="481" spans="1:62" x14ac:dyDescent="0.25">
      <c r="A481" s="9" t="s">
        <v>275</v>
      </c>
      <c r="B481" s="9" t="s">
        <v>644</v>
      </c>
      <c r="C481" s="10">
        <f>VLOOKUP(A481,'[2]Revenue_Engine_2025 Oct.25'!$C$14:G$3937,5,0)</f>
        <v>45334</v>
      </c>
      <c r="D481" s="6" cm="1">
        <f t="array" ref="D481">_xlfn.LET(
  _xlpm.aralık, Y481:BF481,
  _xlpm.ilk, MATCH(TRUE, _xlpm.aralık&lt;&gt;0, 0),
  _xlpm.son, MIN(_xlpm.ilk+2, COLUMNS(_xlpm.aralık)),
  MAX(INDEX(_xlpm.aralık, _xlpm.ilk):INDEX(_xlpm.aralık, _xlpm.son))
)</f>
        <v>170</v>
      </c>
      <c r="E481" s="6">
        <f t="shared" si="91"/>
        <v>170</v>
      </c>
      <c r="F481" s="6">
        <f t="shared" si="92"/>
        <v>0</v>
      </c>
      <c r="G481" s="6">
        <f t="shared" si="99"/>
        <v>0</v>
      </c>
      <c r="H481" s="7">
        <f t="shared" si="93"/>
        <v>0</v>
      </c>
      <c r="I481" s="7">
        <f t="shared" si="94"/>
        <v>-1</v>
      </c>
      <c r="J481" s="7">
        <f t="shared" si="95"/>
        <v>-1</v>
      </c>
      <c r="K481" s="7">
        <f t="shared" si="100"/>
        <v>0</v>
      </c>
      <c r="L481" s="5" t="s">
        <v>414</v>
      </c>
      <c r="M481" s="7" t="str">
        <f>IF(R481="",(VLOOKUP(A481,[1]Export!$B$2:$H$680,7,0)),"CHURN")</f>
        <v>CHURN</v>
      </c>
      <c r="N481" s="5" t="e">
        <f t="shared" si="101"/>
        <v>#VALUE!</v>
      </c>
      <c r="O481" s="5" t="e">
        <f t="shared" si="102"/>
        <v>#VALUE!</v>
      </c>
      <c r="P481" s="5" t="e">
        <f t="shared" si="103"/>
        <v>#VALUE!</v>
      </c>
      <c r="Q481" s="5" t="s">
        <v>696</v>
      </c>
      <c r="R481" s="5" t="s">
        <v>428</v>
      </c>
      <c r="S481" s="5" t="str">
        <f>VLOOKUP(A481,[3]Sheet1!$A$1:$C$191,3,0)</f>
        <v>Jun.25</v>
      </c>
      <c r="T481" s="6" cm="1">
        <f t="array" ref="T481">IF(R481&lt;&gt;"Churn","",
 _xlfn.LET(
   _xlpm.rng,Y481:BF481,
   _xlpm.pos,MAX(IF((_xlpm.rng&lt;&gt;0)*(_xlpm.rng&lt;&gt;""),COLUMN(_xlpm.rng)-COLUMN(Y481)+1)),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170</v>
      </c>
      <c r="U481" s="6" cm="1">
        <f t="array" ref="U481">IF(R481="Churn",
   MAX(IF((Y481:BF481&lt;&gt;"")*(Y481:BF481&lt;&gt;0), COLUMN(Y481:BF481)-COLUMN(Y481)+1))
   -MATCH(1, --((Y481:BF481&lt;&gt;"")*(Y481:BF481&lt;&gt;0)), 0)
   +1,
"")</f>
        <v>16</v>
      </c>
      <c r="V481" s="6" t="str" cm="1">
        <f t="array" ref="V481">IFERROR(
    IF(
        MATCH(2,1/((Y481:BF481&lt;&gt;0)*(Y481:BF481&lt;&gt;"")))-MATCH(1,INDEX((Y481:BF481&lt;&gt;0)*(Y481:BF481&lt;&gt;""),0),0)+1 &lt;= 12,
        "No",
        "Yes"
    ),
    "No"
)</f>
        <v>Yes</v>
      </c>
      <c r="W481" s="6" t="str" cm="1">
        <f t="array" ref="W481">IFERROR(
    IF(
        MATCH(2,1/((Y481:BF481&lt;&gt;0)*(Y481:BF481&lt;&gt;"")))-MATCH(1,INDEX((Y481:BF481&lt;&gt;0)*(Y481:BF481&lt;&gt;""),0),0)+1 &lt;= 24,
        "No",
        "Yes"
    ),
    "No"
)</f>
        <v>No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170</v>
      </c>
      <c r="AM481" s="8">
        <v>170</v>
      </c>
      <c r="AN481" s="8">
        <v>170</v>
      </c>
      <c r="AO481" s="8">
        <v>170</v>
      </c>
      <c r="AP481" s="8">
        <v>170</v>
      </c>
      <c r="AQ481" s="8">
        <v>170</v>
      </c>
      <c r="AR481" s="8">
        <v>170</v>
      </c>
      <c r="AS481" s="8">
        <v>170</v>
      </c>
      <c r="AT481" s="8">
        <v>170</v>
      </c>
      <c r="AU481" s="8">
        <v>170</v>
      </c>
      <c r="AV481" s="8">
        <v>170</v>
      </c>
      <c r="AW481" s="8">
        <v>170</v>
      </c>
      <c r="AX481" s="8">
        <v>170</v>
      </c>
      <c r="AY481" s="8">
        <v>170</v>
      </c>
      <c r="AZ481" s="8">
        <v>169.99999999999997</v>
      </c>
      <c r="BA481" s="8">
        <v>170</v>
      </c>
      <c r="BB481" s="8">
        <v>0</v>
      </c>
      <c r="BC481" s="8">
        <v>0</v>
      </c>
      <c r="BD481" s="8">
        <v>0</v>
      </c>
      <c r="BE481" s="8">
        <v>0</v>
      </c>
      <c r="BF481" s="8">
        <v>0</v>
      </c>
      <c r="BH481" s="8">
        <f t="shared" si="96"/>
        <v>0</v>
      </c>
      <c r="BI481" s="8">
        <f t="shared" si="97"/>
        <v>1870</v>
      </c>
      <c r="BJ481" s="8">
        <f t="shared" si="98"/>
        <v>850</v>
      </c>
    </row>
    <row r="482" spans="1:62" x14ac:dyDescent="0.25">
      <c r="A482" s="9" t="s">
        <v>560</v>
      </c>
      <c r="B482" s="9" t="s">
        <v>644</v>
      </c>
      <c r="C482" s="10">
        <f>VLOOKUP(A482,'[2]Revenue_Engine_2025 Oct.25'!$C$14:G$3937,5,0)</f>
        <v>45432</v>
      </c>
      <c r="D482" s="6" cm="1">
        <f t="array" ref="D482">_xlfn.LET(
  _xlpm.aralık, Y482:BF482,
  _xlpm.ilk, MATCH(TRUE, _xlpm.aralık&lt;&gt;0, 0),
  _xlpm.son, MIN(_xlpm.ilk+2, COLUMNS(_xlpm.aralık)),
  MAX(INDEX(_xlpm.aralık, _xlpm.ilk):INDEX(_xlpm.aralık, _xlpm.son))
)</f>
        <v>155.01000099999999</v>
      </c>
      <c r="E482" s="6">
        <f t="shared" si="91"/>
        <v>0</v>
      </c>
      <c r="F482" s="6">
        <f t="shared" si="92"/>
        <v>0</v>
      </c>
      <c r="G482" s="6">
        <f t="shared" si="99"/>
        <v>0</v>
      </c>
      <c r="H482" s="7">
        <f t="shared" si="93"/>
        <v>-1</v>
      </c>
      <c r="I482" s="7">
        <f t="shared" si="94"/>
        <v>-1</v>
      </c>
      <c r="J482" s="7" t="e">
        <f t="shared" si="95"/>
        <v>#DIV/0!</v>
      </c>
      <c r="K482" s="7">
        <f t="shared" si="100"/>
        <v>1.8335403681730192E-16</v>
      </c>
      <c r="L482" s="5" t="s">
        <v>418</v>
      </c>
      <c r="M482" s="7" t="str">
        <f>IF(R482="",(VLOOKUP(A482,[1]Export!$B$2:$H$680,7,0)),"CHURN")</f>
        <v>CHURN</v>
      </c>
      <c r="N482" s="5" t="e">
        <f t="shared" si="101"/>
        <v>#VALUE!</v>
      </c>
      <c r="O482" s="5" t="e">
        <f t="shared" si="102"/>
        <v>#VALUE!</v>
      </c>
      <c r="P482" s="5" t="e">
        <f t="shared" si="103"/>
        <v>#VALUE!</v>
      </c>
      <c r="Q482" s="5" t="s">
        <v>696</v>
      </c>
      <c r="R482" s="5" t="s">
        <v>428</v>
      </c>
      <c r="S482" s="5" t="str">
        <f>VLOOKUP(A482,[3]Sheet1!$A$1:$C$191,3,0)</f>
        <v>May.25</v>
      </c>
      <c r="T482" s="6" cm="1">
        <f t="array" ref="T482">IF(R482&lt;&gt;"Churn","",
 _xlfn.LET(
   _xlpm.rng,Y482:BF482,
   _xlpm.pos,MAX(IF((_xlpm.rng&lt;&gt;0)*(_xlpm.rng&lt;&gt;""),COLUMN(_xlpm.rng)-COLUMN(Y482)+1)),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155.01000100000002</v>
      </c>
      <c r="U482" s="6" cm="1">
        <f t="array" ref="U482">IF(R482="Churn",
   MAX(IF((Y482:BF482&lt;&gt;"")*(Y482:BF482&lt;&gt;0), COLUMN(Y482:BF482)-COLUMN(Y482)+1))
   -MATCH(1, --((Y482:BF482&lt;&gt;"")*(Y482:BF482&lt;&gt;0)), 0)
   +1,
"")</f>
        <v>12</v>
      </c>
      <c r="V482" s="6" t="str" cm="1">
        <f t="array" ref="V482">IFERROR(
    IF(
        MATCH(2,1/((Y482:BF482&lt;&gt;0)*(Y482:BF482&lt;&gt;"")))-MATCH(1,INDEX((Y482:BF482&lt;&gt;0)*(Y482:BF482&lt;&gt;""),0),0)+1 &lt;= 12,
        "No",
        "Yes"
    ),
    "No"
)</f>
        <v>No</v>
      </c>
      <c r="W482" s="6" t="str" cm="1">
        <f t="array" ref="W482">IFERROR(
    IF(
        MATCH(2,1/((Y482:BF482&lt;&gt;0)*(Y482:BF482&lt;&gt;"")))-MATCH(1,INDEX((Y482:BF482&lt;&gt;0)*(Y482:BF482&lt;&gt;""),0),0)+1 &lt;= 24,
        "No",
        "Yes"
    ),
    "No"
)</f>
        <v>No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155.01000099999999</v>
      </c>
      <c r="AP482" s="8">
        <v>155.01000099999999</v>
      </c>
      <c r="AQ482" s="8">
        <v>155.01000099999999</v>
      </c>
      <c r="AR482" s="8">
        <v>155.01000099999999</v>
      </c>
      <c r="AS482" s="8">
        <v>155.01000099999999</v>
      </c>
      <c r="AT482" s="8">
        <v>155.01000099999999</v>
      </c>
      <c r="AU482" s="8">
        <v>155.01000099999999</v>
      </c>
      <c r="AV482" s="8">
        <v>155.01000099999999</v>
      </c>
      <c r="AW482" s="8">
        <v>155.01000099999999</v>
      </c>
      <c r="AX482" s="8">
        <v>155.01000099999999</v>
      </c>
      <c r="AY482" s="8">
        <v>155.01000099999999</v>
      </c>
      <c r="AZ482" s="8">
        <v>155.01000100000002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  <c r="BF482" s="8">
        <v>0</v>
      </c>
      <c r="BH482" s="8">
        <f t="shared" si="96"/>
        <v>0</v>
      </c>
      <c r="BI482" s="8">
        <f t="shared" si="97"/>
        <v>1240.0800079999999</v>
      </c>
      <c r="BJ482" s="8">
        <f t="shared" si="98"/>
        <v>620.04000399999995</v>
      </c>
    </row>
    <row r="483" spans="1:62" x14ac:dyDescent="0.25">
      <c r="A483" s="9" t="s">
        <v>240</v>
      </c>
      <c r="B483" s="9" t="s">
        <v>644</v>
      </c>
      <c r="C483" s="10">
        <f>VLOOKUP(A483,'[2]Revenue_Engine_2025 Oct.25'!$C$14:G$3937,5,0)</f>
        <v>45224</v>
      </c>
      <c r="D483" s="6" cm="1">
        <f t="array" ref="D483">_xlfn.LET(
  _xlpm.aralık, Y483:BF483,
  _xlpm.ilk, MATCH(TRUE, _xlpm.aralık&lt;&gt;0, 0),
  _xlpm.son, MIN(_xlpm.ilk+2, COLUMNS(_xlpm.aralık)),
  MAX(INDEX(_xlpm.aralık, _xlpm.ilk):INDEX(_xlpm.aralık, _xlpm.son))
)</f>
        <v>140.00531499999997</v>
      </c>
      <c r="E483" s="6">
        <f t="shared" si="91"/>
        <v>140.00531499999997</v>
      </c>
      <c r="F483" s="6">
        <f t="shared" si="92"/>
        <v>0</v>
      </c>
      <c r="G483" s="6">
        <f t="shared" si="99"/>
        <v>0</v>
      </c>
      <c r="H483" s="7">
        <f t="shared" si="93"/>
        <v>0</v>
      </c>
      <c r="I483" s="7">
        <f t="shared" si="94"/>
        <v>-1</v>
      </c>
      <c r="J483" s="7">
        <f t="shared" si="95"/>
        <v>-1</v>
      </c>
      <c r="K483" s="7">
        <f t="shared" si="100"/>
        <v>6.9999563945126117E-2</v>
      </c>
      <c r="L483" s="5" t="s">
        <v>416</v>
      </c>
      <c r="M483" s="7" t="str">
        <f>IF(R483="",(VLOOKUP(A483,[1]Export!$B$2:$H$680,7,0)),"CHURN")</f>
        <v>CHURN</v>
      </c>
      <c r="N483" s="5" t="e">
        <f t="shared" si="101"/>
        <v>#VALUE!</v>
      </c>
      <c r="O483" s="5" t="e">
        <f t="shared" si="102"/>
        <v>#VALUE!</v>
      </c>
      <c r="P483" s="5" t="e">
        <f t="shared" si="103"/>
        <v>#VALUE!</v>
      </c>
      <c r="Q483" s="5" t="s">
        <v>696</v>
      </c>
      <c r="R483" s="5" t="s">
        <v>428</v>
      </c>
      <c r="S483" s="5" t="str">
        <f>VLOOKUP(A483,[3]Sheet1!$A$1:$C$191,3,0)</f>
        <v>Jun.25</v>
      </c>
      <c r="T483" s="6" cm="1">
        <f t="array" ref="T483">IF(R483&lt;&gt;"Churn","",
 _xlfn.LET(
   _xlpm.rng,Y483:BF483,
   _xlpm.pos,MAX(IF((_xlpm.rng&lt;&gt;0)*(_xlpm.rng&lt;&gt;""),COLUMN(_xlpm.rng)-COLUMN(Y483)+1)),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149.80562599999999</v>
      </c>
      <c r="U483" s="6" cm="1">
        <f t="array" ref="U483">IF(R483="Churn",
   MAX(IF((Y483:BF483&lt;&gt;"")*(Y483:BF483&lt;&gt;0), COLUMN(Y483:BF483)-COLUMN(Y483)+1))
   -MATCH(1, --((Y483:BF483&lt;&gt;"")*(Y483:BF483&lt;&gt;0)), 0)
   +1,
"")</f>
        <v>20</v>
      </c>
      <c r="V483" s="6" t="str" cm="1">
        <f t="array" ref="V483">IFERROR(
    IF(
        MATCH(2,1/((Y483:BF483&lt;&gt;0)*(Y483:BF483&lt;&gt;"")))-MATCH(1,INDEX((Y483:BF483&lt;&gt;0)*(Y483:BF483&lt;&gt;""),0),0)+1 &lt;= 12,
        "No",
        "Yes"
    ),
    "No"
)</f>
        <v>Yes</v>
      </c>
      <c r="W483" s="6" t="str" cm="1">
        <f t="array" ref="W483">IFERROR(
    IF(
        MATCH(2,1/((Y483:BF483&lt;&gt;0)*(Y483:BF483&lt;&gt;"")))-MATCH(1,INDEX((Y483:BF483&lt;&gt;0)*(Y483:BF483&lt;&gt;""),0),0)+1 &lt;= 24,
        "No",
        "Yes"
    ),
    "No"
)</f>
        <v>No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140.00531499999997</v>
      </c>
      <c r="AI483" s="8">
        <v>140.00531499999997</v>
      </c>
      <c r="AJ483" s="8">
        <v>140.00531499999997</v>
      </c>
      <c r="AK483" s="8">
        <v>140.00531499999997</v>
      </c>
      <c r="AL483" s="8">
        <v>140.00531499999997</v>
      </c>
      <c r="AM483" s="8">
        <v>140.00531499999997</v>
      </c>
      <c r="AN483" s="8">
        <v>140.00531499999997</v>
      </c>
      <c r="AO483" s="8">
        <v>140.00531499999997</v>
      </c>
      <c r="AP483" s="8">
        <v>140.00531499999997</v>
      </c>
      <c r="AQ483" s="8">
        <v>140.00531499999997</v>
      </c>
      <c r="AR483" s="8">
        <v>140.00531499999997</v>
      </c>
      <c r="AS483" s="8">
        <v>140.00531499999997</v>
      </c>
      <c r="AT483" s="8">
        <v>140.00531499999997</v>
      </c>
      <c r="AU483" s="8">
        <v>140.00531499999997</v>
      </c>
      <c r="AV483" s="8">
        <v>140.00531499999997</v>
      </c>
      <c r="AW483" s="8">
        <v>149.80562599999999</v>
      </c>
      <c r="AX483" s="8">
        <v>149.80562599999999</v>
      </c>
      <c r="AY483" s="8">
        <v>149.80562599999999</v>
      </c>
      <c r="AZ483" s="8">
        <v>149.80562599999999</v>
      </c>
      <c r="BA483" s="8">
        <v>82.15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H483" s="8">
        <f t="shared" si="96"/>
        <v>420.01594499999987</v>
      </c>
      <c r="BI483" s="8">
        <f t="shared" si="97"/>
        <v>1680.0637799999993</v>
      </c>
      <c r="BJ483" s="8">
        <f t="shared" si="98"/>
        <v>681.37250399999994</v>
      </c>
    </row>
    <row r="484" spans="1:62" x14ac:dyDescent="0.25">
      <c r="A484" s="9" t="s">
        <v>561</v>
      </c>
      <c r="B484" s="9" t="s">
        <v>644</v>
      </c>
      <c r="C484" s="10">
        <f>VLOOKUP(A484,'[2]Revenue_Engine_2025 Oct.25'!$C$14:G$3937,5,0)</f>
        <v>45685</v>
      </c>
      <c r="D484" s="6" cm="1">
        <f t="array" ref="D484">_xlfn.LET(
  _xlpm.aralık, Y484:BF484,
  _xlpm.ilk, MATCH(TRUE, _xlpm.aralık&lt;&gt;0, 0),
  _xlpm.son, MIN(_xlpm.ilk+2, COLUMNS(_xlpm.aralık)),
  MAX(INDEX(_xlpm.aralık, _xlpm.ilk):INDEX(_xlpm.aralık, _xlpm.son))
)</f>
        <v>129.000001</v>
      </c>
      <c r="E484" s="6">
        <f t="shared" si="91"/>
        <v>0</v>
      </c>
      <c r="F484" s="6">
        <f t="shared" si="92"/>
        <v>0</v>
      </c>
      <c r="G484" s="6">
        <f t="shared" si="99"/>
        <v>0</v>
      </c>
      <c r="H484" s="7">
        <f t="shared" si="93"/>
        <v>-1</v>
      </c>
      <c r="I484" s="7">
        <f t="shared" si="94"/>
        <v>-1</v>
      </c>
      <c r="J484" s="7" t="e">
        <f t="shared" si="95"/>
        <v>#DIV/0!</v>
      </c>
      <c r="K484" s="7">
        <f t="shared" si="100"/>
        <v>0</v>
      </c>
      <c r="L484" s="5" t="s">
        <v>694</v>
      </c>
      <c r="M484" s="7" t="str">
        <f>IF(R484="",(VLOOKUP(A484,[1]Export!$B$2:$H$680,7,0)),"CHURN")</f>
        <v>CHURN</v>
      </c>
      <c r="N484" s="5" t="e">
        <f t="shared" si="101"/>
        <v>#VALUE!</v>
      </c>
      <c r="O484" s="5" t="e">
        <f t="shared" si="102"/>
        <v>#VALUE!</v>
      </c>
      <c r="P484" s="5" t="e">
        <f t="shared" si="103"/>
        <v>#VALUE!</v>
      </c>
      <c r="Q484" s="5" t="s">
        <v>696</v>
      </c>
      <c r="R484" s="5" t="s">
        <v>428</v>
      </c>
      <c r="S484" s="5" t="str">
        <f>VLOOKUP(A484,[3]Sheet1!$A$1:$C$191,3,0)</f>
        <v>May.25</v>
      </c>
      <c r="T484" s="6" cm="1">
        <f t="array" ref="T484">IF(R484&lt;&gt;"Churn","",
 _xlfn.LET(
   _xlpm.rng,Y484:BF484,
   _xlpm.pos,MAX(IF((_xlpm.rng&lt;&gt;0)*(_xlpm.rng&lt;&gt;""),COLUMN(_xlpm.rng)-COLUMN(Y484)+1)),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129.000001</v>
      </c>
      <c r="U484" s="6" cm="1">
        <f t="array" ref="U484">IF(R484="Churn",
   MAX(IF((Y484:BF484&lt;&gt;"")*(Y484:BF484&lt;&gt;0), COLUMN(Y484:BF484)-COLUMN(Y484)+1))
   -MATCH(1, --((Y484:BF484&lt;&gt;"")*(Y484:BF484&lt;&gt;0)), 0)
   +1,
"")</f>
        <v>4</v>
      </c>
      <c r="V484" s="6" t="str" cm="1">
        <f t="array" ref="V484">IFERROR(
    IF(
        MATCH(2,1/((Y484:BF484&lt;&gt;0)*(Y484:BF484&lt;&gt;"")))-MATCH(1,INDEX((Y484:BF484&lt;&gt;0)*(Y484:BF484&lt;&gt;""),0),0)+1 &lt;= 12,
        "No",
        "Yes"
    ),
    "No"
)</f>
        <v>No</v>
      </c>
      <c r="W484" s="6" t="str" cm="1">
        <f t="array" ref="W484">IFERROR(
    IF(
        MATCH(2,1/((Y484:BF484&lt;&gt;0)*(Y484:BF484&lt;&gt;"")))-MATCH(1,INDEX((Y484:BF484&lt;&gt;0)*(Y484:BF484&lt;&gt;""),0),0)+1 &lt;= 24,
        "No",
        "Yes"
    ),
    "No"
)</f>
        <v>No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129.000001</v>
      </c>
      <c r="AX484" s="8">
        <v>129.000001</v>
      </c>
      <c r="AY484" s="8">
        <v>129.000001</v>
      </c>
      <c r="AZ484" s="8">
        <v>129.000001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0</v>
      </c>
      <c r="BH484" s="8">
        <f t="shared" si="96"/>
        <v>0</v>
      </c>
      <c r="BI484" s="8">
        <f t="shared" si="97"/>
        <v>0</v>
      </c>
      <c r="BJ484" s="8">
        <f t="shared" si="98"/>
        <v>516.00000399999999</v>
      </c>
    </row>
    <row r="485" spans="1:62" x14ac:dyDescent="0.25">
      <c r="A485" s="9" t="s">
        <v>49</v>
      </c>
      <c r="B485" s="9" t="s">
        <v>644</v>
      </c>
      <c r="C485" s="10">
        <v>44927</v>
      </c>
      <c r="D485" s="6" cm="1">
        <f t="array" ref="D485">_xlfn.LET(
  _xlpm.aralık, Y485:BF485,
  _xlpm.ilk, MATCH(TRUE, _xlpm.aralık&lt;&gt;0, 0),
  _xlpm.son, MIN(_xlpm.ilk+2, COLUMNS(_xlpm.aralık)),
  MAX(INDEX(_xlpm.aralık, _xlpm.ilk):INDEX(_xlpm.aralık, _xlpm.son))
)</f>
        <v>3107.1450671228295</v>
      </c>
      <c r="E485" s="6">
        <f t="shared" si="91"/>
        <v>3198.667978867059</v>
      </c>
      <c r="F485" s="6">
        <f t="shared" si="92"/>
        <v>229.66166633333336</v>
      </c>
      <c r="G485" s="6">
        <f t="shared" si="99"/>
        <v>0</v>
      </c>
      <c r="H485" s="7">
        <f t="shared" si="93"/>
        <v>2.9455628806214187E-2</v>
      </c>
      <c r="I485" s="7">
        <f t="shared" si="94"/>
        <v>-0.92608595306237285</v>
      </c>
      <c r="J485" s="7">
        <f t="shared" si="95"/>
        <v>-0.92820084239731637</v>
      </c>
      <c r="K485" s="7">
        <f t="shared" si="100"/>
        <v>-0.96016756261466163</v>
      </c>
      <c r="L485" s="5" t="s">
        <v>416</v>
      </c>
      <c r="M485" s="7" t="str">
        <f>IF(R485="",(VLOOKUP(A485,[1]Export!$B$2:$H$680,7,0)),"CHURN")</f>
        <v>CHURN</v>
      </c>
      <c r="N485" s="5" t="e">
        <f t="shared" si="101"/>
        <v>#VALUE!</v>
      </c>
      <c r="O485" s="5" t="e">
        <f t="shared" si="102"/>
        <v>#VALUE!</v>
      </c>
      <c r="P485" s="5" t="e">
        <f t="shared" si="103"/>
        <v>#VALUE!</v>
      </c>
      <c r="Q485" s="5" t="s">
        <v>696</v>
      </c>
      <c r="R485" s="5" t="s">
        <v>428</v>
      </c>
      <c r="S485" s="5" t="str">
        <f>VLOOKUP(A485,[3]Sheet1!$A$1:$C$191,3,0)</f>
        <v>Jun.25</v>
      </c>
      <c r="T485" s="6" cm="1">
        <f t="array" ref="T485">IF(R485&lt;&gt;"Churn","",
 _xlfn.LET(
   _xlpm.rng,Y485:BF485,
   _xlpm.pos,MAX(IF((_xlpm.rng&lt;&gt;0)*(_xlpm.rng&lt;&gt;""),COLUMN(_xlpm.rng)-COLUMN(Y485)+1)),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123.76516133333334</v>
      </c>
      <c r="U485" s="6" cm="1">
        <f t="array" ref="U485">IF(R485="Churn",
   MAX(IF((Y485:BF485&lt;&gt;"")*(Y485:BF485&lt;&gt;0), COLUMN(Y485:BF485)-COLUMN(Y485)+1))
   -MATCH(1, --((Y485:BF485&lt;&gt;"")*(Y485:BF485&lt;&gt;0)), 0)
   +1,
"")</f>
        <v>29</v>
      </c>
      <c r="V485" s="6" t="str" cm="1">
        <f t="array" ref="V485">IFERROR(
    IF(
        MATCH(2,1/((Y485:BF485&lt;&gt;0)*(Y485:BF485&lt;&gt;"")))-MATCH(1,INDEX((Y485:BF485&lt;&gt;0)*(Y485:BF485&lt;&gt;""),0),0)+1 &lt;= 12,
        "No",
        "Yes"
    ),
    "No"
)</f>
        <v>Yes</v>
      </c>
      <c r="W485" s="6" t="str" cm="1">
        <f t="array" ref="W485">IFERROR(
    IF(
        MATCH(2,1/((Y485:BF485&lt;&gt;0)*(Y485:BF485&lt;&gt;"")))-MATCH(1,INDEX((Y485:BF485&lt;&gt;0)*(Y485:BF485&lt;&gt;""),0),0)+1 &lt;= 24,
        "No",
        "Yes"
    ),
    "No"
)</f>
        <v>Yes</v>
      </c>
      <c r="Y485" s="8">
        <v>3101.2450328654518</v>
      </c>
      <c r="Z485" s="8">
        <v>3107.1450671228295</v>
      </c>
      <c r="AA485" s="8">
        <v>3100.6088561469378</v>
      </c>
      <c r="AB485" s="8">
        <v>3084.9280693666769</v>
      </c>
      <c r="AC485" s="8">
        <v>3068.4854687834468</v>
      </c>
      <c r="AD485" s="8">
        <v>3047.155566331031</v>
      </c>
      <c r="AE485" s="8">
        <v>3090.2726488920662</v>
      </c>
      <c r="AF485" s="8">
        <v>3080.462356247448</v>
      </c>
      <c r="AG485" s="8">
        <v>3079.7719097554755</v>
      </c>
      <c r="AH485" s="8">
        <v>3056.8614232931991</v>
      </c>
      <c r="AI485" s="8">
        <v>3037.0291115461373</v>
      </c>
      <c r="AJ485" s="8">
        <v>3026.1134665451946</v>
      </c>
      <c r="AK485" s="8">
        <v>3198.667978867059</v>
      </c>
      <c r="AL485" s="8">
        <v>3178.8571318734494</v>
      </c>
      <c r="AM485" s="8">
        <v>3148.5971830896415</v>
      </c>
      <c r="AN485" s="8">
        <v>3140.5281855171283</v>
      </c>
      <c r="AO485" s="8">
        <v>3143.6858797550926</v>
      </c>
      <c r="AP485" s="8">
        <v>243.937524578835</v>
      </c>
      <c r="AQ485" s="8">
        <v>243.77215741495499</v>
      </c>
      <c r="AR485" s="8">
        <v>243.46839007374905</v>
      </c>
      <c r="AS485" s="8">
        <v>243.31031736957073</v>
      </c>
      <c r="AT485" s="8">
        <v>243.2259187484141</v>
      </c>
      <c r="AU485" s="8">
        <v>243.15114977488327</v>
      </c>
      <c r="AV485" s="8">
        <v>242.94140320258165</v>
      </c>
      <c r="AW485" s="8">
        <v>229.66166633333336</v>
      </c>
      <c r="AX485" s="8">
        <v>194.66166633333333</v>
      </c>
      <c r="AY485" s="8">
        <v>123.76516133333334</v>
      </c>
      <c r="AZ485" s="8">
        <v>123.76516133333334</v>
      </c>
      <c r="BA485" s="8">
        <v>119.781828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H485" s="8">
        <f t="shared" si="96"/>
        <v>36880.0789768959</v>
      </c>
      <c r="BI485" s="8">
        <f t="shared" si="97"/>
        <v>17514.143220265356</v>
      </c>
      <c r="BJ485" s="8">
        <f t="shared" si="98"/>
        <v>791.63548333333347</v>
      </c>
    </row>
    <row r="486" spans="1:62" x14ac:dyDescent="0.25">
      <c r="A486" s="9" t="s">
        <v>562</v>
      </c>
      <c r="B486" s="9" t="s">
        <v>644</v>
      </c>
      <c r="C486" s="10">
        <f>VLOOKUP(A486,'[2]Revenue_Engine_2025 Oct.25'!$C$14:G$3937,5,0)</f>
        <v>45565</v>
      </c>
      <c r="D486" s="6" cm="1">
        <f t="array" ref="D486">_xlfn.LET(
  _xlpm.aralık, Y486:BF486,
  _xlpm.ilk, MATCH(TRUE, _xlpm.aralık&lt;&gt;0, 0),
  _xlpm.son, MIN(_xlpm.ilk+2, COLUMNS(_xlpm.aralık)),
  MAX(INDEX(_xlpm.aralık, _xlpm.ilk):INDEX(_xlpm.aralık, _xlpm.son))
)</f>
        <v>119.16666666666667</v>
      </c>
      <c r="E486" s="6">
        <f t="shared" si="91"/>
        <v>0</v>
      </c>
      <c r="F486" s="6">
        <f t="shared" si="92"/>
        <v>0</v>
      </c>
      <c r="G486" s="6">
        <f t="shared" si="99"/>
        <v>0</v>
      </c>
      <c r="H486" s="7">
        <f t="shared" si="93"/>
        <v>-1</v>
      </c>
      <c r="I486" s="7">
        <f t="shared" si="94"/>
        <v>-1</v>
      </c>
      <c r="J486" s="7" t="e">
        <f t="shared" si="95"/>
        <v>#DIV/0!</v>
      </c>
      <c r="K486" s="7">
        <f t="shared" si="100"/>
        <v>2.7972027972026378E-4</v>
      </c>
      <c r="L486" s="5" t="s">
        <v>694</v>
      </c>
      <c r="M486" s="7" t="str">
        <f>IF(R486="",(VLOOKUP(A486,[1]Export!$B$2:$H$680,7,0)),"CHURN")</f>
        <v>CHURN</v>
      </c>
      <c r="N486" s="5" t="e">
        <f t="shared" si="101"/>
        <v>#VALUE!</v>
      </c>
      <c r="O486" s="5" t="e">
        <f t="shared" si="102"/>
        <v>#VALUE!</v>
      </c>
      <c r="P486" s="5" t="e">
        <f t="shared" si="103"/>
        <v>#VALUE!</v>
      </c>
      <c r="Q486" s="5" t="s">
        <v>696</v>
      </c>
      <c r="R486" s="5" t="s">
        <v>428</v>
      </c>
      <c r="S486" s="5" t="str">
        <f>VLOOKUP(A486,[3]Sheet1!$A$1:$C$191,3,0)</f>
        <v>Apr.25</v>
      </c>
      <c r="T486" s="6" cm="1">
        <f t="array" ref="T486">IF(R486&lt;&gt;"Churn","",
 _xlfn.LET(
   _xlpm.rng,Y486:BF486,
   _xlpm.pos,MAX(IF((_xlpm.rng&lt;&gt;0)*(_xlpm.rng&lt;&gt;""),COLUMN(_xlpm.rng)-COLUMN(Y486)+1)),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119.2</v>
      </c>
      <c r="U486" s="6" cm="1">
        <f t="array" ref="U486">IF(R486="Churn",
   MAX(IF((Y486:BF486&lt;&gt;"")*(Y486:BF486&lt;&gt;0), COLUMN(Y486:BF486)-COLUMN(Y486)+1))
   -MATCH(1, --((Y486:BF486&lt;&gt;"")*(Y486:BF486&lt;&gt;0)), 0)
   +1,
"")</f>
        <v>19</v>
      </c>
      <c r="V486" s="6" t="str" cm="1">
        <f t="array" ref="V486">IFERROR(
    IF(
        MATCH(2,1/((Y486:BF486&lt;&gt;0)*(Y486:BF486&lt;&gt;"")))-MATCH(1,INDEX((Y486:BF486&lt;&gt;0)*(Y486:BF486&lt;&gt;""),0),0)+1 &lt;= 12,
        "No",
        "Yes"
    ),
    "No"
)</f>
        <v>Yes</v>
      </c>
      <c r="W486" s="6" t="str" cm="1">
        <f t="array" ref="W486">IFERROR(
    IF(
        MATCH(2,1/((Y486:BF486&lt;&gt;0)*(Y486:BF486&lt;&gt;"")))-MATCH(1,INDEX((Y486:BF486&lt;&gt;0)*(Y486:BF486&lt;&gt;""),0),0)+1 &lt;= 24,
        "No",
        "Yes"
    ),
    "No"
)</f>
        <v>No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119.16666666666667</v>
      </c>
      <c r="AH486" s="8">
        <v>119.16666666666667</v>
      </c>
      <c r="AI486" s="8">
        <v>119.16666666666667</v>
      </c>
      <c r="AJ486" s="8">
        <v>119.16666666666667</v>
      </c>
      <c r="AK486" s="8">
        <v>119.16666666666667</v>
      </c>
      <c r="AL486" s="8">
        <v>119.16666666666667</v>
      </c>
      <c r="AM486" s="8">
        <v>119.16666666666667</v>
      </c>
      <c r="AN486" s="8">
        <v>119.16666666666667</v>
      </c>
      <c r="AO486" s="8">
        <v>119.16666666666667</v>
      </c>
      <c r="AP486" s="8">
        <v>119.16666666666667</v>
      </c>
      <c r="AQ486" s="8">
        <v>119.16666666666667</v>
      </c>
      <c r="AR486" s="8">
        <v>119.16666666666667</v>
      </c>
      <c r="AS486" s="8">
        <v>103.7</v>
      </c>
      <c r="AT486" s="8">
        <v>119.2</v>
      </c>
      <c r="AU486" s="8">
        <v>119.2</v>
      </c>
      <c r="AV486" s="8">
        <v>119.2</v>
      </c>
      <c r="AW486" s="8">
        <v>119.2</v>
      </c>
      <c r="AX486" s="8">
        <v>119.2</v>
      </c>
      <c r="AY486" s="8">
        <v>119.2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H486" s="8">
        <f t="shared" si="96"/>
        <v>476.66666666666669</v>
      </c>
      <c r="BI486" s="8">
        <f t="shared" si="97"/>
        <v>1414.6333333333334</v>
      </c>
      <c r="BJ486" s="8">
        <f t="shared" si="98"/>
        <v>357.6</v>
      </c>
    </row>
    <row r="487" spans="1:62" x14ac:dyDescent="0.25">
      <c r="A487" s="9" t="s">
        <v>563</v>
      </c>
      <c r="B487" s="9" t="s">
        <v>644</v>
      </c>
      <c r="C487" s="10">
        <f>VLOOKUP(A487,'[2]Revenue_Engine_2025 Oct.25'!$C$14:G$3937,5,0)</f>
        <v>45558</v>
      </c>
      <c r="D487" s="6" cm="1">
        <f t="array" ref="D487">_xlfn.LET(
  _xlpm.aralık, Y487:BF487,
  _xlpm.ilk, MATCH(TRUE, _xlpm.aralık&lt;&gt;0, 0),
  _xlpm.son, MIN(_xlpm.ilk+2, COLUMNS(_xlpm.aralık)),
  MAX(INDEX(_xlpm.aralık, _xlpm.ilk):INDEX(_xlpm.aralık, _xlpm.son))
)</f>
        <v>110</v>
      </c>
      <c r="E487" s="6">
        <f t="shared" si="91"/>
        <v>0</v>
      </c>
      <c r="F487" s="6">
        <f t="shared" si="92"/>
        <v>0</v>
      </c>
      <c r="G487" s="6">
        <f t="shared" si="99"/>
        <v>0</v>
      </c>
      <c r="H487" s="7">
        <f t="shared" si="93"/>
        <v>-1</v>
      </c>
      <c r="I487" s="7">
        <f t="shared" si="94"/>
        <v>-1</v>
      </c>
      <c r="J487" s="7" t="e">
        <f t="shared" si="95"/>
        <v>#DIV/0!</v>
      </c>
      <c r="K487" s="7">
        <f t="shared" si="100"/>
        <v>0</v>
      </c>
      <c r="L487" s="5" t="s">
        <v>694</v>
      </c>
      <c r="M487" s="7" t="str">
        <f>IF(R487="",(VLOOKUP(A487,[1]Export!$B$2:$H$680,7,0)),"CHURN")</f>
        <v>CHURN</v>
      </c>
      <c r="N487" s="5" t="e">
        <f t="shared" si="101"/>
        <v>#VALUE!</v>
      </c>
      <c r="O487" s="5" t="e">
        <f t="shared" si="102"/>
        <v>#VALUE!</v>
      </c>
      <c r="P487" s="5" t="e">
        <f t="shared" si="103"/>
        <v>#VALUE!</v>
      </c>
      <c r="Q487" s="5" t="s">
        <v>696</v>
      </c>
      <c r="R487" s="5" t="s">
        <v>428</v>
      </c>
      <c r="S487" s="5" t="str">
        <f>VLOOKUP(A487,[3]Sheet1!$A$1:$C$191,3,0)</f>
        <v>May.25</v>
      </c>
      <c r="T487" s="6" cm="1">
        <f t="array" ref="T487">IF(R487&lt;&gt;"Churn","",
 _xlfn.LET(
   _xlpm.rng,Y487:BF487,
   _xlpm.pos,MAX(IF((_xlpm.rng&lt;&gt;0)*(_xlpm.rng&lt;&gt;""),COLUMN(_xlpm.rng)-COLUMN(Y487)+1)),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110</v>
      </c>
      <c r="U487" s="6" cm="1">
        <f t="array" ref="U487">IF(R487="Churn",
   MAX(IF((Y487:BF487&lt;&gt;"")*(Y487:BF487&lt;&gt;0), COLUMN(Y487:BF487)-COLUMN(Y487)+1))
   -MATCH(1, --((Y487:BF487&lt;&gt;"")*(Y487:BF487&lt;&gt;0)), 0)
   +1,
"")</f>
        <v>8</v>
      </c>
      <c r="V487" s="6" t="str" cm="1">
        <f t="array" ref="V487">IFERROR(
    IF(
        MATCH(2,1/((Y487:BF487&lt;&gt;0)*(Y487:BF487&lt;&gt;"")))-MATCH(1,INDEX((Y487:BF487&lt;&gt;0)*(Y487:BF487&lt;&gt;""),0),0)+1 &lt;= 12,
        "No",
        "Yes"
    ),
    "No"
)</f>
        <v>No</v>
      </c>
      <c r="W487" s="6" t="str" cm="1">
        <f t="array" ref="W487">IFERROR(
    IF(
        MATCH(2,1/((Y487:BF487&lt;&gt;0)*(Y487:BF487&lt;&gt;"")))-MATCH(1,INDEX((Y487:BF487&lt;&gt;0)*(Y487:BF487&lt;&gt;""),0),0)+1 &lt;= 24,
        "No",
        "Yes"
    ),
    "No"
)</f>
        <v>No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110</v>
      </c>
      <c r="AT487" s="8">
        <v>110</v>
      </c>
      <c r="AU487" s="8">
        <v>110</v>
      </c>
      <c r="AV487" s="8">
        <v>110</v>
      </c>
      <c r="AW487" s="8">
        <v>110</v>
      </c>
      <c r="AX487" s="8">
        <v>110</v>
      </c>
      <c r="AY487" s="8">
        <v>110</v>
      </c>
      <c r="AZ487" s="8">
        <v>110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H487" s="8">
        <f t="shared" si="96"/>
        <v>0</v>
      </c>
      <c r="BI487" s="8">
        <f t="shared" si="97"/>
        <v>440</v>
      </c>
      <c r="BJ487" s="8">
        <f t="shared" si="98"/>
        <v>440</v>
      </c>
    </row>
    <row r="488" spans="1:62" x14ac:dyDescent="0.25">
      <c r="A488" s="9" t="s">
        <v>564</v>
      </c>
      <c r="B488" s="9" t="s">
        <v>644</v>
      </c>
      <c r="C488" s="10">
        <f>VLOOKUP(A488,'[2]Revenue_Engine_2025 Oct.25'!$C$14:G$3937,5,0)</f>
        <v>45441</v>
      </c>
      <c r="D488" s="6" cm="1">
        <f t="array" ref="D488">_xlfn.LET(
  _xlpm.aralık, Y488:BF488,
  _xlpm.ilk, MATCH(TRUE, _xlpm.aralık&lt;&gt;0, 0),
  _xlpm.son, MIN(_xlpm.ilk+2, COLUMNS(_xlpm.aralık)),
  MAX(INDEX(_xlpm.aralık, _xlpm.ilk):INDEX(_xlpm.aralık, _xlpm.son))
)</f>
        <v>119.16666666666667</v>
      </c>
      <c r="E488" s="6">
        <f t="shared" si="91"/>
        <v>0</v>
      </c>
      <c r="F488" s="6">
        <f t="shared" si="92"/>
        <v>0</v>
      </c>
      <c r="G488" s="6">
        <f t="shared" si="99"/>
        <v>0</v>
      </c>
      <c r="H488" s="7">
        <f t="shared" si="93"/>
        <v>-1</v>
      </c>
      <c r="I488" s="7">
        <f t="shared" si="94"/>
        <v>-1</v>
      </c>
      <c r="J488" s="7" t="e">
        <f t="shared" si="95"/>
        <v>#DIV/0!</v>
      </c>
      <c r="K488" s="7">
        <f t="shared" si="100"/>
        <v>-0.12974241958041946</v>
      </c>
      <c r="L488" s="5" t="s">
        <v>694</v>
      </c>
      <c r="M488" s="7" t="str">
        <f>IF(R488="",(VLOOKUP(A488,[1]Export!$B$2:$H$680,7,0)),"CHURN")</f>
        <v>CHURN</v>
      </c>
      <c r="N488" s="5" t="e">
        <f t="shared" si="101"/>
        <v>#VALUE!</v>
      </c>
      <c r="O488" s="5" t="e">
        <f t="shared" si="102"/>
        <v>#VALUE!</v>
      </c>
      <c r="P488" s="5" t="e">
        <f t="shared" si="103"/>
        <v>#VALUE!</v>
      </c>
      <c r="Q488" s="5" t="s">
        <v>696</v>
      </c>
      <c r="R488" s="5" t="s">
        <v>428</v>
      </c>
      <c r="S488" s="5" t="str">
        <f>VLOOKUP(A488,[3]Sheet1!$A$1:$C$191,3,0)</f>
        <v>Apr.25</v>
      </c>
      <c r="T488" s="6" cm="1">
        <f t="array" ref="T488">IF(R488&lt;&gt;"Churn","",
 _xlfn.LET(
   _xlpm.rng,Y488:BF488,
   _xlpm.pos,MAX(IF((_xlpm.rng&lt;&gt;0)*(_xlpm.rng&lt;&gt;""),COLUMN(_xlpm.rng)-COLUMN(Y488)+1)),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103.70569500000002</v>
      </c>
      <c r="U488" s="6" cm="1">
        <f t="array" ref="U488">IF(R488="Churn",
   MAX(IF((Y488:BF488&lt;&gt;"")*(Y488:BF488&lt;&gt;0), COLUMN(Y488:BF488)-COLUMN(Y488)+1))
   -MATCH(1, --((Y488:BF488&lt;&gt;"")*(Y488:BF488&lt;&gt;0)), 0)
   +1,
"")</f>
        <v>19</v>
      </c>
      <c r="V488" s="6" t="str" cm="1">
        <f t="array" ref="V488">IFERROR(
    IF(
        MATCH(2,1/((Y488:BF488&lt;&gt;0)*(Y488:BF488&lt;&gt;"")))-MATCH(1,INDEX((Y488:BF488&lt;&gt;0)*(Y488:BF488&lt;&gt;""),0),0)+1 &lt;= 12,
        "No",
        "Yes"
    ),
    "No"
)</f>
        <v>Yes</v>
      </c>
      <c r="W488" s="6" t="str" cm="1">
        <f t="array" ref="W488">IFERROR(
    IF(
        MATCH(2,1/((Y488:BF488&lt;&gt;0)*(Y488:BF488&lt;&gt;"")))-MATCH(1,INDEX((Y488:BF488&lt;&gt;0)*(Y488:BF488&lt;&gt;""),0),0)+1 &lt;= 24,
        "No",
        "Yes"
    ),
    "No"
)</f>
        <v>No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119.16666666666667</v>
      </c>
      <c r="AH488" s="8">
        <v>119.16666666666667</v>
      </c>
      <c r="AI488" s="8">
        <v>119.16666666666667</v>
      </c>
      <c r="AJ488" s="8">
        <v>119.16666666666667</v>
      </c>
      <c r="AK488" s="8">
        <v>119.16666666666667</v>
      </c>
      <c r="AL488" s="8">
        <v>119.16666666666667</v>
      </c>
      <c r="AM488" s="8">
        <v>119.16666666666667</v>
      </c>
      <c r="AN488" s="8">
        <v>119.16666666666667</v>
      </c>
      <c r="AO488" s="8">
        <v>119.16666666666667</v>
      </c>
      <c r="AP488" s="8">
        <v>134.16666666666669</v>
      </c>
      <c r="AQ488" s="8">
        <v>134.16666666666669</v>
      </c>
      <c r="AR488" s="8">
        <v>134.16666666666669</v>
      </c>
      <c r="AS488" s="8">
        <v>118.70569500000002</v>
      </c>
      <c r="AT488" s="8">
        <v>103.70569500000002</v>
      </c>
      <c r="AU488" s="8">
        <v>103.70569500000002</v>
      </c>
      <c r="AV488" s="8">
        <v>103.70569500000002</v>
      </c>
      <c r="AW488" s="8">
        <v>103.70569500000002</v>
      </c>
      <c r="AX488" s="8">
        <v>103.70569500000002</v>
      </c>
      <c r="AY488" s="8">
        <v>103.70569500000002</v>
      </c>
      <c r="AZ488" s="8">
        <v>0</v>
      </c>
      <c r="BA488" s="8">
        <v>0</v>
      </c>
      <c r="BB488" s="8">
        <v>0</v>
      </c>
      <c r="BC488" s="8">
        <v>0</v>
      </c>
      <c r="BD488" s="8">
        <v>0</v>
      </c>
      <c r="BE488" s="8">
        <v>0</v>
      </c>
      <c r="BF488" s="8">
        <v>0</v>
      </c>
      <c r="BH488" s="8">
        <f t="shared" si="96"/>
        <v>476.66666666666669</v>
      </c>
      <c r="BI488" s="8">
        <f t="shared" si="97"/>
        <v>1428.1561133333339</v>
      </c>
      <c r="BJ488" s="8">
        <f t="shared" si="98"/>
        <v>311.11708500000009</v>
      </c>
    </row>
    <row r="489" spans="1:62" x14ac:dyDescent="0.25">
      <c r="A489" s="9" t="s">
        <v>565</v>
      </c>
      <c r="B489" s="9" t="s">
        <v>644</v>
      </c>
      <c r="C489" s="10">
        <f>VLOOKUP(A489,'[2]Revenue_Engine_2025 Oct.25'!$C$14:G$3937,5,0)</f>
        <v>45565</v>
      </c>
      <c r="D489" s="6" cm="1">
        <f t="array" ref="D489">_xlfn.LET(
  _xlpm.aralık, Y489:BF489,
  _xlpm.ilk, MATCH(TRUE, _xlpm.aralık&lt;&gt;0, 0),
  _xlpm.son, MIN(_xlpm.ilk+2, COLUMNS(_xlpm.aralık)),
  MAX(INDEX(_xlpm.aralık, _xlpm.ilk):INDEX(_xlpm.aralık, _xlpm.son))
)</f>
        <v>119.16666666666667</v>
      </c>
      <c r="E489" s="6">
        <f t="shared" si="91"/>
        <v>0</v>
      </c>
      <c r="F489" s="6">
        <f t="shared" si="92"/>
        <v>0</v>
      </c>
      <c r="G489" s="6">
        <f t="shared" si="99"/>
        <v>0</v>
      </c>
      <c r="H489" s="7">
        <f t="shared" si="93"/>
        <v>-1</v>
      </c>
      <c r="I489" s="7">
        <f t="shared" si="94"/>
        <v>-1</v>
      </c>
      <c r="J489" s="7" t="e">
        <f t="shared" si="95"/>
        <v>#DIV/0!</v>
      </c>
      <c r="K489" s="7">
        <f t="shared" si="100"/>
        <v>-0.1297902097902098</v>
      </c>
      <c r="L489" s="5" t="s">
        <v>694</v>
      </c>
      <c r="M489" s="7" t="str">
        <f>IF(R489="",(VLOOKUP(A489,[1]Export!$B$2:$H$680,7,0)),"CHURN")</f>
        <v>CHURN</v>
      </c>
      <c r="N489" s="5" t="e">
        <f t="shared" si="101"/>
        <v>#VALUE!</v>
      </c>
      <c r="O489" s="5" t="e">
        <f t="shared" si="102"/>
        <v>#VALUE!</v>
      </c>
      <c r="P489" s="5" t="e">
        <f t="shared" si="103"/>
        <v>#VALUE!</v>
      </c>
      <c r="Q489" s="5" t="s">
        <v>696</v>
      </c>
      <c r="R489" s="5" t="s">
        <v>428</v>
      </c>
      <c r="S489" s="5" t="str">
        <f>VLOOKUP(A489,[3]Sheet1!$A$1:$C$191,3,0)</f>
        <v>Apr.25</v>
      </c>
      <c r="T489" s="6" cm="1">
        <f t="array" ref="T489">IF(R489&lt;&gt;"Churn","",
 _xlfn.LET(
   _xlpm.rng,Y489:BF489,
   _xlpm.pos,MAX(IF((_xlpm.rng&lt;&gt;0)*(_xlpm.rng&lt;&gt;""),COLUMN(_xlpm.rng)-COLUMN(Y489)+1)),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103.7</v>
      </c>
      <c r="U489" s="6" cm="1">
        <f t="array" ref="U489">IF(R489="Churn",
   MAX(IF((Y489:BF489&lt;&gt;"")*(Y489:BF489&lt;&gt;0), COLUMN(Y489:BF489)-COLUMN(Y489)+1))
   -MATCH(1, --((Y489:BF489&lt;&gt;"")*(Y489:BF489&lt;&gt;0)), 0)
   +1,
"")</f>
        <v>19</v>
      </c>
      <c r="V489" s="6" t="str" cm="1">
        <f t="array" ref="V489">IFERROR(
    IF(
        MATCH(2,1/((Y489:BF489&lt;&gt;0)*(Y489:BF489&lt;&gt;"")))-MATCH(1,INDEX((Y489:BF489&lt;&gt;0)*(Y489:BF489&lt;&gt;""),0),0)+1 &lt;= 12,
        "No",
        "Yes"
    ),
    "No"
)</f>
        <v>Yes</v>
      </c>
      <c r="W489" s="6" t="str" cm="1">
        <f t="array" ref="W489">IFERROR(
    IF(
        MATCH(2,1/((Y489:BF489&lt;&gt;0)*(Y489:BF489&lt;&gt;"")))-MATCH(1,INDEX((Y489:BF489&lt;&gt;0)*(Y489:BF489&lt;&gt;""),0),0)+1 &lt;= 24,
        "No",
        "Yes"
    ),
    "No"
)</f>
        <v>No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119.16666666666667</v>
      </c>
      <c r="AH489" s="8">
        <v>119.16666666666667</v>
      </c>
      <c r="AI489" s="8">
        <v>119.16666666666667</v>
      </c>
      <c r="AJ489" s="8">
        <v>119.16666666666667</v>
      </c>
      <c r="AK489" s="8">
        <v>119.16666666666667</v>
      </c>
      <c r="AL489" s="8">
        <v>119.16666666666667</v>
      </c>
      <c r="AM489" s="8">
        <v>119.16666666666667</v>
      </c>
      <c r="AN489" s="8">
        <v>119.16666666666667</v>
      </c>
      <c r="AO489" s="8">
        <v>119.16666666666667</v>
      </c>
      <c r="AP489" s="8">
        <v>119.16666666666667</v>
      </c>
      <c r="AQ489" s="8">
        <v>119.16666666666667</v>
      </c>
      <c r="AR489" s="8">
        <v>119.16666666666667</v>
      </c>
      <c r="AS489" s="8">
        <v>103.7</v>
      </c>
      <c r="AT489" s="8">
        <v>103.7</v>
      </c>
      <c r="AU489" s="8">
        <v>103.7</v>
      </c>
      <c r="AV489" s="8">
        <v>103.7</v>
      </c>
      <c r="AW489" s="8">
        <v>103.7</v>
      </c>
      <c r="AX489" s="8">
        <v>103.7</v>
      </c>
      <c r="AY489" s="8">
        <v>103.7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H489" s="8">
        <f t="shared" si="96"/>
        <v>476.66666666666669</v>
      </c>
      <c r="BI489" s="8">
        <f t="shared" si="97"/>
        <v>1368.1333333333334</v>
      </c>
      <c r="BJ489" s="8">
        <f t="shared" si="98"/>
        <v>311.10000000000002</v>
      </c>
    </row>
    <row r="490" spans="1:62" x14ac:dyDescent="0.25">
      <c r="A490" s="9" t="s">
        <v>566</v>
      </c>
      <c r="B490" s="9" t="s">
        <v>644</v>
      </c>
      <c r="C490" s="10">
        <f>VLOOKUP(A490,'[2]Revenue_Engine_2025 Oct.25'!$C$14:G$3937,5,0)</f>
        <v>45565</v>
      </c>
      <c r="D490" s="6" cm="1">
        <f t="array" ref="D490">_xlfn.LET(
  _xlpm.aralık, Y490:BF490,
  _xlpm.ilk, MATCH(TRUE, _xlpm.aralık&lt;&gt;0, 0),
  _xlpm.son, MIN(_xlpm.ilk+2, COLUMNS(_xlpm.aralık)),
  MAX(INDEX(_xlpm.aralık, _xlpm.ilk):INDEX(_xlpm.aralık, _xlpm.son))
)</f>
        <v>119.16666666666667</v>
      </c>
      <c r="E490" s="6">
        <f t="shared" si="91"/>
        <v>0</v>
      </c>
      <c r="F490" s="6">
        <f t="shared" si="92"/>
        <v>0</v>
      </c>
      <c r="G490" s="6">
        <f t="shared" si="99"/>
        <v>0</v>
      </c>
      <c r="H490" s="7">
        <f t="shared" si="93"/>
        <v>-1</v>
      </c>
      <c r="I490" s="7">
        <f t="shared" si="94"/>
        <v>-1</v>
      </c>
      <c r="J490" s="7" t="e">
        <f t="shared" si="95"/>
        <v>#DIV/0!</v>
      </c>
      <c r="K490" s="7">
        <f t="shared" si="100"/>
        <v>-0.1297902097902098</v>
      </c>
      <c r="L490" s="5" t="s">
        <v>694</v>
      </c>
      <c r="M490" s="7" t="str">
        <f>IF(R490="",(VLOOKUP(A490,[1]Export!$B$2:$H$680,7,0)),"CHURN")</f>
        <v>CHURN</v>
      </c>
      <c r="N490" s="5" t="e">
        <f t="shared" si="101"/>
        <v>#VALUE!</v>
      </c>
      <c r="O490" s="5" t="e">
        <f t="shared" si="102"/>
        <v>#VALUE!</v>
      </c>
      <c r="P490" s="5" t="e">
        <f t="shared" si="103"/>
        <v>#VALUE!</v>
      </c>
      <c r="Q490" s="5" t="s">
        <v>696</v>
      </c>
      <c r="R490" s="5" t="s">
        <v>428</v>
      </c>
      <c r="S490" s="5" t="str">
        <f>VLOOKUP(A490,[3]Sheet1!$A$1:$C$191,3,0)</f>
        <v>Apr.25</v>
      </c>
      <c r="T490" s="6" cm="1">
        <f t="array" ref="T490">IF(R490&lt;&gt;"Churn","",
 _xlfn.LET(
   _xlpm.rng,Y490:BF490,
   _xlpm.pos,MAX(IF((_xlpm.rng&lt;&gt;0)*(_xlpm.rng&lt;&gt;""),COLUMN(_xlpm.rng)-COLUMN(Y490)+1)),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103.7</v>
      </c>
      <c r="U490" s="6" cm="1">
        <f t="array" ref="U490">IF(R490="Churn",
   MAX(IF((Y490:BF490&lt;&gt;"")*(Y490:BF490&lt;&gt;0), COLUMN(Y490:BF490)-COLUMN(Y490)+1))
   -MATCH(1, --((Y490:BF490&lt;&gt;"")*(Y490:BF490&lt;&gt;0)), 0)
   +1,
"")</f>
        <v>19</v>
      </c>
      <c r="V490" s="6" t="str" cm="1">
        <f t="array" ref="V490">IFERROR(
    IF(
        MATCH(2,1/((Y490:BF490&lt;&gt;0)*(Y490:BF490&lt;&gt;"")))-MATCH(1,INDEX((Y490:BF490&lt;&gt;0)*(Y490:BF490&lt;&gt;""),0),0)+1 &lt;= 12,
        "No",
        "Yes"
    ),
    "No"
)</f>
        <v>Yes</v>
      </c>
      <c r="W490" s="6" t="str" cm="1">
        <f t="array" ref="W490">IFERROR(
    IF(
        MATCH(2,1/((Y490:BF490&lt;&gt;0)*(Y490:BF490&lt;&gt;"")))-MATCH(1,INDEX((Y490:BF490&lt;&gt;0)*(Y490:BF490&lt;&gt;""),0),0)+1 &lt;= 24,
        "No",
        "Yes"
    ),
    "No"
)</f>
        <v>No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119.16666666666667</v>
      </c>
      <c r="AH490" s="8">
        <v>119.16666666666667</v>
      </c>
      <c r="AI490" s="8">
        <v>119.16666666666667</v>
      </c>
      <c r="AJ490" s="8">
        <v>119.16666666666667</v>
      </c>
      <c r="AK490" s="8">
        <v>119.16666666666667</v>
      </c>
      <c r="AL490" s="8">
        <v>119.16666666666667</v>
      </c>
      <c r="AM490" s="8">
        <v>119.16666666666667</v>
      </c>
      <c r="AN490" s="8">
        <v>119.16666666666667</v>
      </c>
      <c r="AO490" s="8">
        <v>119.16666666666667</v>
      </c>
      <c r="AP490" s="8">
        <v>119.16666666666667</v>
      </c>
      <c r="AQ490" s="8">
        <v>119.16666666666667</v>
      </c>
      <c r="AR490" s="8">
        <v>119.16666666666667</v>
      </c>
      <c r="AS490" s="8">
        <v>103.7</v>
      </c>
      <c r="AT490" s="8">
        <v>103.7</v>
      </c>
      <c r="AU490" s="8">
        <v>103.7</v>
      </c>
      <c r="AV490" s="8">
        <v>103.7</v>
      </c>
      <c r="AW490" s="8">
        <v>103.7</v>
      </c>
      <c r="AX490" s="8">
        <v>103.7</v>
      </c>
      <c r="AY490" s="8">
        <v>103.7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H490" s="8">
        <f t="shared" si="96"/>
        <v>476.66666666666669</v>
      </c>
      <c r="BI490" s="8">
        <f t="shared" si="97"/>
        <v>1368.1333333333334</v>
      </c>
      <c r="BJ490" s="8">
        <f t="shared" si="98"/>
        <v>311.10000000000002</v>
      </c>
    </row>
    <row r="491" spans="1:62" x14ac:dyDescent="0.25">
      <c r="A491" s="9" t="s">
        <v>567</v>
      </c>
      <c r="B491" s="9" t="s">
        <v>644</v>
      </c>
      <c r="C491" s="10">
        <f>VLOOKUP(A491,'[2]Revenue_Engine_2025 Oct.25'!$C$14:G$3937,5,0)</f>
        <v>45565</v>
      </c>
      <c r="D491" s="6" cm="1">
        <f t="array" ref="D491">_xlfn.LET(
  _xlpm.aralık, Y491:BF491,
  _xlpm.ilk, MATCH(TRUE, _xlpm.aralık&lt;&gt;0, 0),
  _xlpm.son, MIN(_xlpm.ilk+2, COLUMNS(_xlpm.aralık)),
  MAX(INDEX(_xlpm.aralık, _xlpm.ilk):INDEX(_xlpm.aralık, _xlpm.son))
)</f>
        <v>119.16666666666667</v>
      </c>
      <c r="E491" s="6">
        <f t="shared" si="91"/>
        <v>0</v>
      </c>
      <c r="F491" s="6">
        <f t="shared" si="92"/>
        <v>0</v>
      </c>
      <c r="G491" s="6">
        <f t="shared" si="99"/>
        <v>0</v>
      </c>
      <c r="H491" s="7">
        <f t="shared" si="93"/>
        <v>-1</v>
      </c>
      <c r="I491" s="7">
        <f t="shared" si="94"/>
        <v>-1</v>
      </c>
      <c r="J491" s="7" t="e">
        <f t="shared" si="95"/>
        <v>#DIV/0!</v>
      </c>
      <c r="K491" s="7">
        <f t="shared" si="100"/>
        <v>-0.1297902097902098</v>
      </c>
      <c r="L491" s="5" t="s">
        <v>694</v>
      </c>
      <c r="M491" s="7" t="str">
        <f>IF(R491="",(VLOOKUP(A491,[1]Export!$B$2:$H$680,7,0)),"CHURN")</f>
        <v>CHURN</v>
      </c>
      <c r="N491" s="5" t="e">
        <f t="shared" si="101"/>
        <v>#VALUE!</v>
      </c>
      <c r="O491" s="5" t="e">
        <f t="shared" si="102"/>
        <v>#VALUE!</v>
      </c>
      <c r="P491" s="5" t="e">
        <f t="shared" si="103"/>
        <v>#VALUE!</v>
      </c>
      <c r="Q491" s="5" t="s">
        <v>696</v>
      </c>
      <c r="R491" s="5" t="s">
        <v>428</v>
      </c>
      <c r="S491" s="5" t="str">
        <f>VLOOKUP(A491,[3]Sheet1!$A$1:$C$191,3,0)</f>
        <v>Apr.25</v>
      </c>
      <c r="T491" s="6" cm="1">
        <f t="array" ref="T491">IF(R491&lt;&gt;"Churn","",
 _xlfn.LET(
   _xlpm.rng,Y491:BF491,
   _xlpm.pos,MAX(IF((_xlpm.rng&lt;&gt;0)*(_xlpm.rng&lt;&gt;""),COLUMN(_xlpm.rng)-COLUMN(Y491)+1)),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103.7</v>
      </c>
      <c r="U491" s="6" cm="1">
        <f t="array" ref="U491">IF(R491="Churn",
   MAX(IF((Y491:BF491&lt;&gt;"")*(Y491:BF491&lt;&gt;0), COLUMN(Y491:BF491)-COLUMN(Y491)+1))
   -MATCH(1, --((Y491:BF491&lt;&gt;"")*(Y491:BF491&lt;&gt;0)), 0)
   +1,
"")</f>
        <v>19</v>
      </c>
      <c r="V491" s="6" t="str" cm="1">
        <f t="array" ref="V491">IFERROR(
    IF(
        MATCH(2,1/((Y491:BF491&lt;&gt;0)*(Y491:BF491&lt;&gt;"")))-MATCH(1,INDEX((Y491:BF491&lt;&gt;0)*(Y491:BF491&lt;&gt;""),0),0)+1 &lt;= 12,
        "No",
        "Yes"
    ),
    "No"
)</f>
        <v>Yes</v>
      </c>
      <c r="W491" s="6" t="str" cm="1">
        <f t="array" ref="W491">IFERROR(
    IF(
        MATCH(2,1/((Y491:BF491&lt;&gt;0)*(Y491:BF491&lt;&gt;"")))-MATCH(1,INDEX((Y491:BF491&lt;&gt;0)*(Y491:BF491&lt;&gt;""),0),0)+1 &lt;= 24,
        "No",
        "Yes"
    ),
    "No"
)</f>
        <v>No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119.16666666666667</v>
      </c>
      <c r="AH491" s="8">
        <v>119.16666666666667</v>
      </c>
      <c r="AI491" s="8">
        <v>119.16666666666667</v>
      </c>
      <c r="AJ491" s="8">
        <v>119.16666666666667</v>
      </c>
      <c r="AK491" s="8">
        <v>119.16666666666667</v>
      </c>
      <c r="AL491" s="8">
        <v>119.16666666666667</v>
      </c>
      <c r="AM491" s="8">
        <v>119.16666666666667</v>
      </c>
      <c r="AN491" s="8">
        <v>119.16666666666667</v>
      </c>
      <c r="AO491" s="8">
        <v>119.16666666666667</v>
      </c>
      <c r="AP491" s="8">
        <v>119.16666666666667</v>
      </c>
      <c r="AQ491" s="8">
        <v>119.16666666666667</v>
      </c>
      <c r="AR491" s="8">
        <v>119.16666666666667</v>
      </c>
      <c r="AS491" s="8">
        <v>103.7</v>
      </c>
      <c r="AT491" s="8">
        <v>103.7</v>
      </c>
      <c r="AU491" s="8">
        <v>103.7</v>
      </c>
      <c r="AV491" s="8">
        <v>103.7</v>
      </c>
      <c r="AW491" s="8">
        <v>103.7</v>
      </c>
      <c r="AX491" s="8">
        <v>103.7</v>
      </c>
      <c r="AY491" s="8">
        <v>103.7</v>
      </c>
      <c r="AZ491" s="8">
        <v>0</v>
      </c>
      <c r="BA491" s="8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H491" s="8">
        <f t="shared" si="96"/>
        <v>476.66666666666669</v>
      </c>
      <c r="BI491" s="8">
        <f t="shared" si="97"/>
        <v>1368.1333333333334</v>
      </c>
      <c r="BJ491" s="8">
        <f t="shared" si="98"/>
        <v>311.10000000000002</v>
      </c>
    </row>
    <row r="492" spans="1:62" x14ac:dyDescent="0.25">
      <c r="A492" s="9" t="s">
        <v>568</v>
      </c>
      <c r="B492" s="9" t="s">
        <v>644</v>
      </c>
      <c r="C492" s="10">
        <f>VLOOKUP(A492,'[2]Revenue_Engine_2025 Oct.25'!$C$14:G$3937,5,0)</f>
        <v>45565</v>
      </c>
      <c r="D492" s="6" cm="1">
        <f t="array" ref="D492">_xlfn.LET(
  _xlpm.aralık, Y492:BF492,
  _xlpm.ilk, MATCH(TRUE, _xlpm.aralık&lt;&gt;0, 0),
  _xlpm.son, MIN(_xlpm.ilk+2, COLUMNS(_xlpm.aralık)),
  MAX(INDEX(_xlpm.aralık, _xlpm.ilk):INDEX(_xlpm.aralık, _xlpm.son))
)</f>
        <v>119.16666666666667</v>
      </c>
      <c r="E492" s="6">
        <f t="shared" si="91"/>
        <v>0</v>
      </c>
      <c r="F492" s="6">
        <f t="shared" si="92"/>
        <v>0</v>
      </c>
      <c r="G492" s="6">
        <f t="shared" si="99"/>
        <v>0</v>
      </c>
      <c r="H492" s="7">
        <f t="shared" si="93"/>
        <v>-1</v>
      </c>
      <c r="I492" s="7">
        <f t="shared" si="94"/>
        <v>-1</v>
      </c>
      <c r="J492" s="7" t="e">
        <f t="shared" si="95"/>
        <v>#DIV/0!</v>
      </c>
      <c r="K492" s="7">
        <f t="shared" si="100"/>
        <v>-0.1297902097902098</v>
      </c>
      <c r="L492" s="5" t="s">
        <v>694</v>
      </c>
      <c r="M492" s="7" t="str">
        <f>IF(R492="",(VLOOKUP(A492,[1]Export!$B$2:$H$680,7,0)),"CHURN")</f>
        <v>CHURN</v>
      </c>
      <c r="N492" s="5" t="e">
        <f t="shared" si="101"/>
        <v>#VALUE!</v>
      </c>
      <c r="O492" s="5" t="e">
        <f t="shared" si="102"/>
        <v>#VALUE!</v>
      </c>
      <c r="P492" s="5" t="e">
        <f t="shared" si="103"/>
        <v>#VALUE!</v>
      </c>
      <c r="Q492" s="5" t="s">
        <v>696</v>
      </c>
      <c r="R492" s="5" t="s">
        <v>428</v>
      </c>
      <c r="S492" s="5" t="str">
        <f>VLOOKUP(A492,[3]Sheet1!$A$1:$C$191,3,0)</f>
        <v>Apr.25</v>
      </c>
      <c r="T492" s="6" cm="1">
        <f t="array" ref="T492">IF(R492&lt;&gt;"Churn","",
 _xlfn.LET(
   _xlpm.rng,Y492:BF492,
   _xlpm.pos,MAX(IF((_xlpm.rng&lt;&gt;0)*(_xlpm.rng&lt;&gt;""),COLUMN(_xlpm.rng)-COLUMN(Y492)+1)),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103.7</v>
      </c>
      <c r="U492" s="6" cm="1">
        <f t="array" ref="U492">IF(R492="Churn",
   MAX(IF((Y492:BF492&lt;&gt;"")*(Y492:BF492&lt;&gt;0), COLUMN(Y492:BF492)-COLUMN(Y492)+1))
   -MATCH(1, --((Y492:BF492&lt;&gt;"")*(Y492:BF492&lt;&gt;0)), 0)
   +1,
"")</f>
        <v>19</v>
      </c>
      <c r="V492" s="6" t="str" cm="1">
        <f t="array" ref="V492">IFERROR(
    IF(
        MATCH(2,1/((Y492:BF492&lt;&gt;0)*(Y492:BF492&lt;&gt;"")))-MATCH(1,INDEX((Y492:BF492&lt;&gt;0)*(Y492:BF492&lt;&gt;""),0),0)+1 &lt;= 12,
        "No",
        "Yes"
    ),
    "No"
)</f>
        <v>Yes</v>
      </c>
      <c r="W492" s="6" t="str" cm="1">
        <f t="array" ref="W492">IFERROR(
    IF(
        MATCH(2,1/((Y492:BF492&lt;&gt;0)*(Y492:BF492&lt;&gt;"")))-MATCH(1,INDEX((Y492:BF492&lt;&gt;0)*(Y492:BF492&lt;&gt;""),0),0)+1 &lt;= 24,
        "No",
        "Yes"
    ),
    "No"
)</f>
        <v>No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119.16666666666667</v>
      </c>
      <c r="AH492" s="8">
        <v>119.16666666666667</v>
      </c>
      <c r="AI492" s="8">
        <v>119.16666666666667</v>
      </c>
      <c r="AJ492" s="8">
        <v>119.16666666666667</v>
      </c>
      <c r="AK492" s="8">
        <v>119.16666666666667</v>
      </c>
      <c r="AL492" s="8">
        <v>119.16666666666667</v>
      </c>
      <c r="AM492" s="8">
        <v>119.16666666666667</v>
      </c>
      <c r="AN492" s="8">
        <v>119.16666666666667</v>
      </c>
      <c r="AO492" s="8">
        <v>119.16666666666667</v>
      </c>
      <c r="AP492" s="8">
        <v>119.16666666666667</v>
      </c>
      <c r="AQ492" s="8">
        <v>119.16666666666667</v>
      </c>
      <c r="AR492" s="8">
        <v>119.16666666666667</v>
      </c>
      <c r="AS492" s="8">
        <v>103.7</v>
      </c>
      <c r="AT492" s="8">
        <v>103.7</v>
      </c>
      <c r="AU492" s="8">
        <v>103.7</v>
      </c>
      <c r="AV492" s="8">
        <v>103.7</v>
      </c>
      <c r="AW492" s="8">
        <v>103.7</v>
      </c>
      <c r="AX492" s="8">
        <v>103.7</v>
      </c>
      <c r="AY492" s="8">
        <v>103.7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H492" s="8">
        <f t="shared" si="96"/>
        <v>476.66666666666669</v>
      </c>
      <c r="BI492" s="8">
        <f t="shared" si="97"/>
        <v>1368.1333333333334</v>
      </c>
      <c r="BJ492" s="8">
        <f t="shared" si="98"/>
        <v>311.10000000000002</v>
      </c>
    </row>
    <row r="493" spans="1:62" x14ac:dyDescent="0.25">
      <c r="A493" s="9" t="s">
        <v>569</v>
      </c>
      <c r="B493" s="9" t="s">
        <v>644</v>
      </c>
      <c r="C493" s="10">
        <f>VLOOKUP(A493,'[2]Revenue_Engine_2025 Oct.25'!$C$14:G$3937,5,0)</f>
        <v>45597</v>
      </c>
      <c r="D493" s="6" cm="1">
        <f t="array" ref="D493">_xlfn.LET(
  _xlpm.aralık, Y493:BF493,
  _xlpm.ilk, MATCH(TRUE, _xlpm.aralık&lt;&gt;0, 0),
  _xlpm.son, MIN(_xlpm.ilk+2, COLUMNS(_xlpm.aralık)),
  MAX(INDEX(_xlpm.aralık, _xlpm.ilk):INDEX(_xlpm.aralık, _xlpm.son))
)</f>
        <v>119.2</v>
      </c>
      <c r="E493" s="6">
        <f t="shared" si="91"/>
        <v>0</v>
      </c>
      <c r="F493" s="6">
        <f t="shared" si="92"/>
        <v>0</v>
      </c>
      <c r="G493" s="6">
        <f t="shared" si="99"/>
        <v>0</v>
      </c>
      <c r="H493" s="7">
        <f t="shared" si="93"/>
        <v>-1</v>
      </c>
      <c r="I493" s="7">
        <f t="shared" si="94"/>
        <v>-1</v>
      </c>
      <c r="J493" s="7" t="e">
        <f t="shared" si="95"/>
        <v>#DIV/0!</v>
      </c>
      <c r="K493" s="7">
        <f t="shared" si="100"/>
        <v>-0.13003355704697986</v>
      </c>
      <c r="L493" s="5" t="s">
        <v>694</v>
      </c>
      <c r="M493" s="7" t="str">
        <f>IF(R493="",(VLOOKUP(A493,[1]Export!$B$2:$H$680,7,0)),"CHURN")</f>
        <v>CHURN</v>
      </c>
      <c r="N493" s="5" t="e">
        <f t="shared" si="101"/>
        <v>#VALUE!</v>
      </c>
      <c r="O493" s="5" t="e">
        <f t="shared" si="102"/>
        <v>#VALUE!</v>
      </c>
      <c r="P493" s="5" t="e">
        <f t="shared" si="103"/>
        <v>#VALUE!</v>
      </c>
      <c r="Q493" s="5" t="s">
        <v>696</v>
      </c>
      <c r="R493" s="5" t="s">
        <v>428</v>
      </c>
      <c r="S493" s="5" t="str">
        <f>VLOOKUP(A493,[3]Sheet1!$A$1:$C$191,3,0)</f>
        <v>Apr.25</v>
      </c>
      <c r="T493" s="6" cm="1">
        <f t="array" ref="T493">IF(R493&lt;&gt;"Churn","",
 _xlfn.LET(
   _xlpm.rng,Y493:BF493,
   _xlpm.pos,MAX(IF((_xlpm.rng&lt;&gt;0)*(_xlpm.rng&lt;&gt;""),COLUMN(_xlpm.rng)-COLUMN(Y493)+1)),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103.7</v>
      </c>
      <c r="U493" s="6" cm="1">
        <f t="array" ref="U493">IF(R493="Churn",
   MAX(IF((Y493:BF493&lt;&gt;"")*(Y493:BF493&lt;&gt;0), COLUMN(Y493:BF493)-COLUMN(Y493)+1))
   -MATCH(1, --((Y493:BF493&lt;&gt;"")*(Y493:BF493&lt;&gt;0)), 0)
   +1,
"")</f>
        <v>17</v>
      </c>
      <c r="V493" s="6" t="str" cm="1">
        <f t="array" ref="V493">IFERROR(
    IF(
        MATCH(2,1/((Y493:BF493&lt;&gt;0)*(Y493:BF493&lt;&gt;"")))-MATCH(1,INDEX((Y493:BF493&lt;&gt;0)*(Y493:BF493&lt;&gt;""),0),0)+1 &lt;= 12,
        "No",
        "Yes"
    ),
    "No"
)</f>
        <v>Yes</v>
      </c>
      <c r="W493" s="6" t="str" cm="1">
        <f t="array" ref="W493">IFERROR(
    IF(
        MATCH(2,1/((Y493:BF493&lt;&gt;0)*(Y493:BF493&lt;&gt;"")))-MATCH(1,INDEX((Y493:BF493&lt;&gt;0)*(Y493:BF493&lt;&gt;""),0),0)+1 &lt;= 24,
        "No",
        "Yes"
    ),
    "No"
)</f>
        <v>No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119.2</v>
      </c>
      <c r="AJ493" s="8">
        <v>119.2</v>
      </c>
      <c r="AK493" s="8">
        <v>119.2</v>
      </c>
      <c r="AL493" s="8">
        <v>119.2</v>
      </c>
      <c r="AM493" s="8">
        <v>119.2</v>
      </c>
      <c r="AN493" s="8">
        <v>119.2</v>
      </c>
      <c r="AO493" s="8">
        <v>119.2</v>
      </c>
      <c r="AP493" s="8">
        <v>119.2</v>
      </c>
      <c r="AQ493" s="8">
        <v>119.2</v>
      </c>
      <c r="AR493" s="8">
        <v>119.2</v>
      </c>
      <c r="AS493" s="8">
        <v>119.2</v>
      </c>
      <c r="AT493" s="8">
        <v>119.2</v>
      </c>
      <c r="AU493" s="8">
        <v>103.7</v>
      </c>
      <c r="AV493" s="8">
        <v>103.7</v>
      </c>
      <c r="AW493" s="8">
        <v>103.7</v>
      </c>
      <c r="AX493" s="8">
        <v>103.7</v>
      </c>
      <c r="AY493" s="8">
        <v>103.7</v>
      </c>
      <c r="AZ493" s="8">
        <v>0</v>
      </c>
      <c r="BA493" s="8">
        <v>0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H493" s="8">
        <f t="shared" si="96"/>
        <v>238.4</v>
      </c>
      <c r="BI493" s="8">
        <f t="shared" si="97"/>
        <v>1399.4000000000003</v>
      </c>
      <c r="BJ493" s="8">
        <f t="shared" si="98"/>
        <v>311.10000000000002</v>
      </c>
    </row>
    <row r="494" spans="1:62" x14ac:dyDescent="0.25">
      <c r="A494" s="9" t="s">
        <v>407</v>
      </c>
      <c r="B494" s="9" t="s">
        <v>644</v>
      </c>
      <c r="C494" s="10">
        <v>45469</v>
      </c>
      <c r="D494" s="6" cm="1">
        <f t="array" ref="D494">_xlfn.LET(
  _xlpm.aralık, Y494:BF494,
  _xlpm.ilk, MATCH(TRUE, _xlpm.aralık&lt;&gt;0, 0),
  _xlpm.son, MIN(_xlpm.ilk+2, COLUMNS(_xlpm.aralık)),
  MAX(INDEX(_xlpm.aralık, _xlpm.ilk):INDEX(_xlpm.aralık, _xlpm.son))
)</f>
        <v>99.319299999999998</v>
      </c>
      <c r="E494" s="6">
        <f t="shared" si="91"/>
        <v>103.689308</v>
      </c>
      <c r="F494" s="6">
        <f t="shared" si="92"/>
        <v>0</v>
      </c>
      <c r="G494" s="6">
        <f t="shared" si="99"/>
        <v>0</v>
      </c>
      <c r="H494" s="7">
        <f t="shared" si="93"/>
        <v>4.3999585176295028E-2</v>
      </c>
      <c r="I494" s="7">
        <f t="shared" si="94"/>
        <v>-1</v>
      </c>
      <c r="J494" s="7">
        <f t="shared" si="95"/>
        <v>-1</v>
      </c>
      <c r="K494" s="7">
        <f t="shared" si="100"/>
        <v>4.3999585176295028E-2</v>
      </c>
      <c r="L494" s="5" t="s">
        <v>694</v>
      </c>
      <c r="M494" s="7" t="str">
        <f>IF(R494="",(VLOOKUP(A494,[1]Export!$B$2:$H$680,7,0)),"CHURN")</f>
        <v>CHURN</v>
      </c>
      <c r="N494" s="5" t="e">
        <f t="shared" si="101"/>
        <v>#VALUE!</v>
      </c>
      <c r="O494" s="5" t="e">
        <f t="shared" si="102"/>
        <v>#VALUE!</v>
      </c>
      <c r="P494" s="5" t="e">
        <f t="shared" si="103"/>
        <v>#VALUE!</v>
      </c>
      <c r="Q494" s="5" t="s">
        <v>696</v>
      </c>
      <c r="R494" s="5" t="s">
        <v>428</v>
      </c>
      <c r="S494" s="5" t="str">
        <f>VLOOKUP(A494,[3]Sheet1!$A$1:$C$191,3,0)</f>
        <v>Jul.25</v>
      </c>
      <c r="T494" s="6" cm="1">
        <f t="array" ref="T494">IF(R494&lt;&gt;"Churn","",
 _xlfn.LET(
   _xlpm.rng,Y494:BF494,
   _xlpm.pos,MAX(IF((_xlpm.rng&lt;&gt;0)*(_xlpm.rng&lt;&gt;""),COLUMN(_xlpm.rng)-COLUMN(Y494)+1)),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103.689308</v>
      </c>
      <c r="U494" s="6" cm="1">
        <f t="array" ref="U494">IF(R494="Churn",
   MAX(IF((Y494:BF494&lt;&gt;"")*(Y494:BF494&lt;&gt;0), COLUMN(Y494:BF494)-COLUMN(Y494)+1))
   -MATCH(1, --((Y494:BF494&lt;&gt;"")*(Y494:BF494&lt;&gt;0)), 0)
   +1,
"")</f>
        <v>13</v>
      </c>
      <c r="V494" s="6" t="str" cm="1">
        <f t="array" ref="V494">IFERROR(
    IF(
        MATCH(2,1/((Y494:BF494&lt;&gt;0)*(Y494:BF494&lt;&gt;"")))-MATCH(1,INDEX((Y494:BF494&lt;&gt;0)*(Y494:BF494&lt;&gt;""),0),0)+1 &lt;= 12,
        "No",
        "Yes"
    ),
    "No"
)</f>
        <v>Yes</v>
      </c>
      <c r="W494" s="6" t="str" cm="1">
        <f t="array" ref="W494">IFERROR(
    IF(
        MATCH(2,1/((Y494:BF494&lt;&gt;0)*(Y494:BF494&lt;&gt;"")))-MATCH(1,INDEX((Y494:BF494&lt;&gt;0)*(Y494:BF494&lt;&gt;""),0),0)+1 &lt;= 24,
        "No",
        "Yes"
    ),
    "No"
)</f>
        <v>No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99.319299999999998</v>
      </c>
      <c r="AQ494" s="8">
        <v>99.319299999999998</v>
      </c>
      <c r="AR494" s="8">
        <v>99.319299999999998</v>
      </c>
      <c r="AS494" s="8">
        <v>103.685765</v>
      </c>
      <c r="AT494" s="8">
        <v>103.6893</v>
      </c>
      <c r="AU494" s="8">
        <v>103.6893</v>
      </c>
      <c r="AV494" s="8">
        <v>103.6893</v>
      </c>
      <c r="AW494" s="8">
        <v>103.6893</v>
      </c>
      <c r="AX494" s="8">
        <v>103.6893</v>
      </c>
      <c r="AY494" s="8">
        <v>103.6893</v>
      </c>
      <c r="AZ494" s="8">
        <v>103.6893</v>
      </c>
      <c r="BA494" s="8">
        <v>103.689308</v>
      </c>
      <c r="BB494" s="8">
        <v>103.689308</v>
      </c>
      <c r="BC494" s="8">
        <v>0</v>
      </c>
      <c r="BD494" s="8">
        <v>0</v>
      </c>
      <c r="BE494" s="8">
        <v>0</v>
      </c>
      <c r="BF494" s="8">
        <v>0</v>
      </c>
      <c r="BH494" s="8">
        <f t="shared" si="96"/>
        <v>0</v>
      </c>
      <c r="BI494" s="8">
        <f t="shared" si="97"/>
        <v>712.71156500000006</v>
      </c>
      <c r="BJ494" s="8">
        <f t="shared" si="98"/>
        <v>622.13581599999998</v>
      </c>
    </row>
    <row r="495" spans="1:62" x14ac:dyDescent="0.25">
      <c r="A495" s="9" t="s">
        <v>570</v>
      </c>
      <c r="B495" s="9" t="s">
        <v>644</v>
      </c>
      <c r="C495" s="10">
        <f>VLOOKUP(A495,'[2]Revenue_Engine_2025 Oct.25'!$C$14:G$3937,5,0)</f>
        <v>45415</v>
      </c>
      <c r="D495" s="6" cm="1">
        <f t="array" ref="D495">_xlfn.LET(
  _xlpm.aralık, Y495:BF495,
  _xlpm.ilk, MATCH(TRUE, _xlpm.aralık&lt;&gt;0, 0),
  _xlpm.son, MIN(_xlpm.ilk+2, COLUMNS(_xlpm.aralık)),
  MAX(INDEX(_xlpm.aralık, _xlpm.ilk):INDEX(_xlpm.aralık, _xlpm.son))
)</f>
        <v>103.20000008333332</v>
      </c>
      <c r="E495" s="6">
        <f t="shared" si="91"/>
        <v>0</v>
      </c>
      <c r="F495" s="6">
        <f t="shared" si="92"/>
        <v>0</v>
      </c>
      <c r="G495" s="6">
        <f t="shared" si="99"/>
        <v>0</v>
      </c>
      <c r="H495" s="7">
        <f t="shared" si="93"/>
        <v>-1</v>
      </c>
      <c r="I495" s="7">
        <f t="shared" si="94"/>
        <v>-1</v>
      </c>
      <c r="J495" s="7" t="e">
        <f t="shared" si="95"/>
        <v>#DIV/0!</v>
      </c>
      <c r="K495" s="7">
        <f t="shared" si="100"/>
        <v>0</v>
      </c>
      <c r="L495" s="5" t="s">
        <v>694</v>
      </c>
      <c r="M495" s="7" t="str">
        <f>IF(R495="",(VLOOKUP(A495,[1]Export!$B$2:$H$680,7,0)),"CHURN")</f>
        <v>CHURN</v>
      </c>
      <c r="N495" s="5" t="e">
        <f t="shared" si="101"/>
        <v>#VALUE!</v>
      </c>
      <c r="O495" s="5" t="e">
        <f t="shared" si="102"/>
        <v>#VALUE!</v>
      </c>
      <c r="P495" s="5" t="e">
        <f t="shared" si="103"/>
        <v>#VALUE!</v>
      </c>
      <c r="Q495" s="5" t="s">
        <v>696</v>
      </c>
      <c r="R495" s="5" t="s">
        <v>428</v>
      </c>
      <c r="S495" s="5" t="str">
        <f>VLOOKUP(A495,[3]Sheet1!$A$1:$C$191,3,0)</f>
        <v>May.25</v>
      </c>
      <c r="T495" s="6" cm="1">
        <f t="array" ref="T495">IF(R495&lt;&gt;"Churn","",
 _xlfn.LET(
   _xlpm.rng,Y495:BF495,
   _xlpm.pos,MAX(IF((_xlpm.rng&lt;&gt;0)*(_xlpm.rng&lt;&gt;""),COLUMN(_xlpm.rng)-COLUMN(Y495)+1)),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103.20000008333332</v>
      </c>
      <c r="U495" s="6" cm="1">
        <f t="array" ref="U495">IF(R495="Churn",
   MAX(IF((Y495:BF495&lt;&gt;"")*(Y495:BF495&lt;&gt;0), COLUMN(Y495:BF495)-COLUMN(Y495)+1))
   -MATCH(1, --((Y495:BF495&lt;&gt;"")*(Y495:BF495&lt;&gt;0)), 0)
   +1,
"")</f>
        <v>12</v>
      </c>
      <c r="V495" s="6" t="str" cm="1">
        <f t="array" ref="V495">IFERROR(
    IF(
        MATCH(2,1/((Y495:BF495&lt;&gt;0)*(Y495:BF495&lt;&gt;"")))-MATCH(1,INDEX((Y495:BF495&lt;&gt;0)*(Y495:BF495&lt;&gt;""),0),0)+1 &lt;= 12,
        "No",
        "Yes"
    ),
    "No"
)</f>
        <v>No</v>
      </c>
      <c r="W495" s="6" t="str" cm="1">
        <f t="array" ref="W495">IFERROR(
    IF(
        MATCH(2,1/((Y495:BF495&lt;&gt;0)*(Y495:BF495&lt;&gt;"")))-MATCH(1,INDEX((Y495:BF495&lt;&gt;0)*(Y495:BF495&lt;&gt;""),0),0)+1 &lt;= 24,
        "No",
        "Yes"
    ),
    "No"
)</f>
        <v>No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103.20000008333332</v>
      </c>
      <c r="AP495" s="8">
        <v>103.20000008333332</v>
      </c>
      <c r="AQ495" s="8">
        <v>103.20000008333332</v>
      </c>
      <c r="AR495" s="8">
        <v>103.20000008333332</v>
      </c>
      <c r="AS495" s="8">
        <v>103.20000008333332</v>
      </c>
      <c r="AT495" s="8">
        <v>103.20000008333332</v>
      </c>
      <c r="AU495" s="8">
        <v>103.20000008333332</v>
      </c>
      <c r="AV495" s="8">
        <v>103.20000008333332</v>
      </c>
      <c r="AW495" s="8">
        <v>103.20000008333332</v>
      </c>
      <c r="AX495" s="8">
        <v>103.20000008333332</v>
      </c>
      <c r="AY495" s="8">
        <v>103.20000008333332</v>
      </c>
      <c r="AZ495" s="8">
        <v>103.20000008333332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H495" s="8">
        <f t="shared" si="96"/>
        <v>0</v>
      </c>
      <c r="BI495" s="8">
        <f t="shared" si="97"/>
        <v>825.60000066666646</v>
      </c>
      <c r="BJ495" s="8">
        <f t="shared" si="98"/>
        <v>412.80000033333329</v>
      </c>
    </row>
    <row r="496" spans="1:62" x14ac:dyDescent="0.25">
      <c r="A496" s="9" t="s">
        <v>571</v>
      </c>
      <c r="B496" s="9" t="s">
        <v>644</v>
      </c>
      <c r="C496" s="10">
        <f>VLOOKUP(A496,'[2]Revenue_Engine_2025 Oct.25'!$C$14:G$3937,5,0)</f>
        <v>45518</v>
      </c>
      <c r="D496" s="6" cm="1">
        <f t="array" ref="D496">_xlfn.LET(
  _xlpm.aralık, Y496:BF496,
  _xlpm.ilk, MATCH(TRUE, _xlpm.aralık&lt;&gt;0, 0),
  _xlpm.son, MIN(_xlpm.ilk+2, COLUMNS(_xlpm.aralık)),
  MAX(INDEX(_xlpm.aralık, _xlpm.ilk):INDEX(_xlpm.aralık, _xlpm.son))
)</f>
        <v>103.19883349999998</v>
      </c>
      <c r="E496" s="6">
        <f t="shared" si="91"/>
        <v>0</v>
      </c>
      <c r="F496" s="6">
        <f t="shared" si="92"/>
        <v>0</v>
      </c>
      <c r="G496" s="6">
        <f t="shared" si="99"/>
        <v>0</v>
      </c>
      <c r="H496" s="7">
        <f t="shared" si="93"/>
        <v>-1</v>
      </c>
      <c r="I496" s="7">
        <f t="shared" si="94"/>
        <v>-1</v>
      </c>
      <c r="J496" s="7" t="e">
        <f t="shared" si="95"/>
        <v>#DIV/0!</v>
      </c>
      <c r="K496" s="7">
        <f t="shared" si="100"/>
        <v>0</v>
      </c>
      <c r="L496" s="5" t="s">
        <v>694</v>
      </c>
      <c r="M496" s="7" t="str">
        <f>IF(R496="",(VLOOKUP(A496,[1]Export!$B$2:$H$680,7,0)),"CHURN")</f>
        <v>CHURN</v>
      </c>
      <c r="N496" s="5" t="e">
        <f t="shared" si="101"/>
        <v>#VALUE!</v>
      </c>
      <c r="O496" s="5" t="e">
        <f t="shared" si="102"/>
        <v>#VALUE!</v>
      </c>
      <c r="P496" s="5" t="e">
        <f t="shared" si="103"/>
        <v>#VALUE!</v>
      </c>
      <c r="Q496" s="5" t="s">
        <v>696</v>
      </c>
      <c r="R496" s="5" t="s">
        <v>428</v>
      </c>
      <c r="S496" s="5" t="str">
        <f>VLOOKUP(A496,[3]Sheet1!$A$1:$C$191,3,0)</f>
        <v>Jun.25</v>
      </c>
      <c r="T496" s="6" cm="1">
        <f t="array" ref="T496">IF(R496&lt;&gt;"Churn","",
 _xlfn.LET(
   _xlpm.rng,Y496:BF496,
   _xlpm.pos,MAX(IF((_xlpm.rng&lt;&gt;0)*(_xlpm.rng&lt;&gt;""),COLUMN(_xlpm.rng)-COLUMN(Y496)+1)),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103.19883349999998</v>
      </c>
      <c r="U496" s="6" cm="1">
        <f t="array" ref="U496">IF(R496="Churn",
   MAX(IF((Y496:BF496&lt;&gt;"")*(Y496:BF496&lt;&gt;0), COLUMN(Y496:BF496)-COLUMN(Y496)+1))
   -MATCH(1, --((Y496:BF496&lt;&gt;"")*(Y496:BF496&lt;&gt;0)), 0)
   +1,
"")</f>
        <v>10</v>
      </c>
      <c r="V496" s="6" t="str" cm="1">
        <f t="array" ref="V496">IFERROR(
    IF(
        MATCH(2,1/((Y496:BF496&lt;&gt;0)*(Y496:BF496&lt;&gt;"")))-MATCH(1,INDEX((Y496:BF496&lt;&gt;0)*(Y496:BF496&lt;&gt;""),0),0)+1 &lt;= 12,
        "No",
        "Yes"
    ),
    "No"
)</f>
        <v>No</v>
      </c>
      <c r="W496" s="6" t="str" cm="1">
        <f t="array" ref="W496">IFERROR(
    IF(
        MATCH(2,1/((Y496:BF496&lt;&gt;0)*(Y496:BF496&lt;&gt;"")))-MATCH(1,INDEX((Y496:BF496&lt;&gt;0)*(Y496:BF496&lt;&gt;""),0),0)+1 &lt;= 24,
        "No",
        "Yes"
    ),
    "No"
)</f>
        <v>No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103.19883349999998</v>
      </c>
      <c r="AS496" s="8">
        <v>103.19883349999998</v>
      </c>
      <c r="AT496" s="8">
        <v>103.19883349999998</v>
      </c>
      <c r="AU496" s="8">
        <v>103.19883349999998</v>
      </c>
      <c r="AV496" s="8">
        <v>103.19883349999998</v>
      </c>
      <c r="AW496" s="8">
        <v>103.19883349999998</v>
      </c>
      <c r="AX496" s="8">
        <v>103.19883349999998</v>
      </c>
      <c r="AY496" s="8">
        <v>103.19883349999998</v>
      </c>
      <c r="AZ496" s="8">
        <v>103.19883349999998</v>
      </c>
      <c r="BA496" s="8">
        <v>103.19883349999998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H496" s="8">
        <f t="shared" si="96"/>
        <v>0</v>
      </c>
      <c r="BI496" s="8">
        <f t="shared" si="97"/>
        <v>515.99416749999989</v>
      </c>
      <c r="BJ496" s="8">
        <f t="shared" si="98"/>
        <v>515.99416749999989</v>
      </c>
    </row>
    <row r="497" spans="1:62" x14ac:dyDescent="0.25">
      <c r="A497" s="9" t="s">
        <v>572</v>
      </c>
      <c r="B497" s="9" t="s">
        <v>644</v>
      </c>
      <c r="C497" s="10">
        <f>VLOOKUP(A497,'[2]Revenue_Engine_2025 Oct.25'!$C$14:G$3937,5,0)</f>
        <v>45421</v>
      </c>
      <c r="D497" s="6" cm="1">
        <f t="array" ref="D497">_xlfn.LET(
  _xlpm.aralık, Y497:BF497,
  _xlpm.ilk, MATCH(TRUE, _xlpm.aralık&lt;&gt;0, 0),
  _xlpm.son, MIN(_xlpm.ilk+2, COLUMNS(_xlpm.aralık)),
  MAX(INDEX(_xlpm.aralık, _xlpm.ilk):INDEX(_xlpm.aralık, _xlpm.son))
)</f>
        <v>86.000882333333337</v>
      </c>
      <c r="E497" s="6">
        <f t="shared" si="91"/>
        <v>0</v>
      </c>
      <c r="F497" s="6">
        <f t="shared" si="92"/>
        <v>0</v>
      </c>
      <c r="G497" s="6">
        <f t="shared" si="99"/>
        <v>0</v>
      </c>
      <c r="H497" s="7">
        <f t="shared" si="93"/>
        <v>-1</v>
      </c>
      <c r="I497" s="7">
        <f t="shared" si="94"/>
        <v>-1</v>
      </c>
      <c r="J497" s="7" t="e">
        <f t="shared" si="95"/>
        <v>#DIV/0!</v>
      </c>
      <c r="K497" s="7">
        <f t="shared" si="100"/>
        <v>0</v>
      </c>
      <c r="L497" s="5" t="s">
        <v>694</v>
      </c>
      <c r="M497" s="7" t="str">
        <f>IF(R497="",(VLOOKUP(A497,[1]Export!$B$2:$H$680,7,0)),"CHURN")</f>
        <v>CHURN</v>
      </c>
      <c r="N497" s="5" t="e">
        <f t="shared" si="101"/>
        <v>#VALUE!</v>
      </c>
      <c r="O497" s="5" t="e">
        <f t="shared" si="102"/>
        <v>#VALUE!</v>
      </c>
      <c r="P497" s="5" t="e">
        <f t="shared" si="103"/>
        <v>#VALUE!</v>
      </c>
      <c r="Q497" s="5" t="s">
        <v>696</v>
      </c>
      <c r="R497" s="5" t="s">
        <v>428</v>
      </c>
      <c r="S497" s="5" t="str">
        <f>VLOOKUP(A497,[3]Sheet1!$A$1:$C$191,3,0)</f>
        <v>May.25</v>
      </c>
      <c r="T497" s="6" cm="1">
        <f t="array" ref="T497">IF(R497&lt;&gt;"Churn","",
 _xlfn.LET(
   _xlpm.rng,Y497:BF497,
   _xlpm.pos,MAX(IF((_xlpm.rng&lt;&gt;0)*(_xlpm.rng&lt;&gt;""),COLUMN(_xlpm.rng)-COLUMN(Y497)+1)),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86.000882333333337</v>
      </c>
      <c r="U497" s="6" cm="1">
        <f t="array" ref="U497">IF(R497="Churn",
   MAX(IF((Y497:BF497&lt;&gt;"")*(Y497:BF497&lt;&gt;0), COLUMN(Y497:BF497)-COLUMN(Y497)+1))
   -MATCH(1, --((Y497:BF497&lt;&gt;"")*(Y497:BF497&lt;&gt;0)), 0)
   +1,
"")</f>
        <v>12</v>
      </c>
      <c r="V497" s="6" t="str" cm="1">
        <f t="array" ref="V497">IFERROR(
    IF(
        MATCH(2,1/((Y497:BF497&lt;&gt;0)*(Y497:BF497&lt;&gt;"")))-MATCH(1,INDEX((Y497:BF497&lt;&gt;0)*(Y497:BF497&lt;&gt;""),0),0)+1 &lt;= 12,
        "No",
        "Yes"
    ),
    "No"
)</f>
        <v>No</v>
      </c>
      <c r="W497" s="6" t="str" cm="1">
        <f t="array" ref="W497">IFERROR(
    IF(
        MATCH(2,1/((Y497:BF497&lt;&gt;0)*(Y497:BF497&lt;&gt;"")))-MATCH(1,INDEX((Y497:BF497&lt;&gt;0)*(Y497:BF497&lt;&gt;""),0),0)+1 &lt;= 24,
        "No",
        "Yes"
    ),
    "No"
)</f>
        <v>No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86.000882333333337</v>
      </c>
      <c r="AP497" s="8">
        <v>86.000882333333337</v>
      </c>
      <c r="AQ497" s="8">
        <v>86.000882333333337</v>
      </c>
      <c r="AR497" s="8">
        <v>86.000882333333337</v>
      </c>
      <c r="AS497" s="8">
        <v>86.000882333333337</v>
      </c>
      <c r="AT497" s="8">
        <v>86.000882333333337</v>
      </c>
      <c r="AU497" s="8">
        <v>86.000882333333337</v>
      </c>
      <c r="AV497" s="8">
        <v>86.000882333333337</v>
      </c>
      <c r="AW497" s="8">
        <v>86.000882333333337</v>
      </c>
      <c r="AX497" s="8">
        <v>86.000882333333337</v>
      </c>
      <c r="AY497" s="8">
        <v>86.000882333333337</v>
      </c>
      <c r="AZ497" s="8">
        <v>86.000882333333337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H497" s="8">
        <f t="shared" si="96"/>
        <v>0</v>
      </c>
      <c r="BI497" s="8">
        <f t="shared" si="97"/>
        <v>688.00705866666681</v>
      </c>
      <c r="BJ497" s="8">
        <f t="shared" si="98"/>
        <v>344.00352933333335</v>
      </c>
    </row>
    <row r="498" spans="1:62" x14ac:dyDescent="0.25">
      <c r="A498" s="9" t="s">
        <v>573</v>
      </c>
      <c r="B498" s="9" t="s">
        <v>644</v>
      </c>
      <c r="C498" s="10">
        <f>VLOOKUP(A498,'[2]Revenue_Engine_2025 Oct.25'!$C$14:G$3937,5,0)</f>
        <v>45434</v>
      </c>
      <c r="D498" s="6" cm="1">
        <f t="array" ref="D498">_xlfn.LET(
  _xlpm.aralık, Y498:BF498,
  _xlpm.ilk, MATCH(TRUE, _xlpm.aralık&lt;&gt;0, 0),
  _xlpm.son, MIN(_xlpm.ilk+2, COLUMNS(_xlpm.aralık)),
  MAX(INDEX(_xlpm.aralık, _xlpm.ilk):INDEX(_xlpm.aralık, _xlpm.son))
)</f>
        <v>86.000461416666667</v>
      </c>
      <c r="E498" s="6">
        <f t="shared" si="91"/>
        <v>0</v>
      </c>
      <c r="F498" s="6">
        <f t="shared" si="92"/>
        <v>0</v>
      </c>
      <c r="G498" s="6">
        <f t="shared" si="99"/>
        <v>0</v>
      </c>
      <c r="H498" s="7">
        <f t="shared" si="93"/>
        <v>-1</v>
      </c>
      <c r="I498" s="7">
        <f t="shared" si="94"/>
        <v>-1</v>
      </c>
      <c r="J498" s="7" t="e">
        <f t="shared" si="95"/>
        <v>#DIV/0!</v>
      </c>
      <c r="K498" s="7">
        <f t="shared" si="100"/>
        <v>0</v>
      </c>
      <c r="L498" s="5" t="s">
        <v>694</v>
      </c>
      <c r="M498" s="7" t="str">
        <f>IF(R498="",(VLOOKUP(A498,[1]Export!$B$2:$H$680,7,0)),"CHURN")</f>
        <v>CHURN</v>
      </c>
      <c r="N498" s="5" t="e">
        <f t="shared" si="101"/>
        <v>#VALUE!</v>
      </c>
      <c r="O498" s="5" t="e">
        <f t="shared" si="102"/>
        <v>#VALUE!</v>
      </c>
      <c r="P498" s="5" t="e">
        <f t="shared" si="103"/>
        <v>#VALUE!</v>
      </c>
      <c r="Q498" s="5" t="s">
        <v>696</v>
      </c>
      <c r="R498" s="5" t="s">
        <v>428</v>
      </c>
      <c r="S498" s="5" t="str">
        <f>VLOOKUP(A498,[3]Sheet1!$A$1:$C$191,3,0)</f>
        <v>May.25</v>
      </c>
      <c r="T498" s="6" cm="1">
        <f t="array" ref="T498">IF(R498&lt;&gt;"Churn","",
 _xlfn.LET(
   _xlpm.rng,Y498:BF498,
   _xlpm.pos,MAX(IF((_xlpm.rng&lt;&gt;0)*(_xlpm.rng&lt;&gt;""),COLUMN(_xlpm.rng)-COLUMN(Y498)+1)),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86.000461416666667</v>
      </c>
      <c r="U498" s="6" cm="1">
        <f t="array" ref="U498">IF(R498="Churn",
   MAX(IF((Y498:BF498&lt;&gt;"")*(Y498:BF498&lt;&gt;0), COLUMN(Y498:BF498)-COLUMN(Y498)+1))
   -MATCH(1, --((Y498:BF498&lt;&gt;"")*(Y498:BF498&lt;&gt;0)), 0)
   +1,
"")</f>
        <v>12</v>
      </c>
      <c r="V498" s="6" t="str" cm="1">
        <f t="array" ref="V498">IFERROR(
    IF(
        MATCH(2,1/((Y498:BF498&lt;&gt;0)*(Y498:BF498&lt;&gt;"")))-MATCH(1,INDEX((Y498:BF498&lt;&gt;0)*(Y498:BF498&lt;&gt;""),0),0)+1 &lt;= 12,
        "No",
        "Yes"
    ),
    "No"
)</f>
        <v>No</v>
      </c>
      <c r="W498" s="6" t="str" cm="1">
        <f t="array" ref="W498">IFERROR(
    IF(
        MATCH(2,1/((Y498:BF498&lt;&gt;0)*(Y498:BF498&lt;&gt;"")))-MATCH(1,INDEX((Y498:BF498&lt;&gt;0)*(Y498:BF498&lt;&gt;""),0),0)+1 &lt;= 24,
        "No",
        "Yes"
    ),
    "No"
)</f>
        <v>No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86.000461416666667</v>
      </c>
      <c r="AP498" s="8">
        <v>86.000461416666667</v>
      </c>
      <c r="AQ498" s="8">
        <v>86.000461416666667</v>
      </c>
      <c r="AR498" s="8">
        <v>86.000461416666667</v>
      </c>
      <c r="AS498" s="8">
        <v>86.000461416666667</v>
      </c>
      <c r="AT498" s="8">
        <v>86.000461416666667</v>
      </c>
      <c r="AU498" s="8">
        <v>86.000461416666667</v>
      </c>
      <c r="AV498" s="8">
        <v>86.000461416666667</v>
      </c>
      <c r="AW498" s="8">
        <v>86.000461416666667</v>
      </c>
      <c r="AX498" s="8">
        <v>86.000461416666667</v>
      </c>
      <c r="AY498" s="8">
        <v>86.000461416666667</v>
      </c>
      <c r="AZ498" s="8">
        <v>86.000461416666667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H498" s="8">
        <f t="shared" si="96"/>
        <v>0</v>
      </c>
      <c r="BI498" s="8">
        <f t="shared" si="97"/>
        <v>688.00369133333334</v>
      </c>
      <c r="BJ498" s="8">
        <f t="shared" si="98"/>
        <v>344.00184566666667</v>
      </c>
    </row>
    <row r="499" spans="1:62" x14ac:dyDescent="0.25">
      <c r="A499" s="9" t="s">
        <v>574</v>
      </c>
      <c r="B499" s="9" t="s">
        <v>644</v>
      </c>
      <c r="C499" s="10">
        <f>VLOOKUP(A499,'[2]Revenue_Engine_2025 Oct.25'!$C$14:G$3937,5,0)</f>
        <v>45439</v>
      </c>
      <c r="D499" s="6" cm="1">
        <f t="array" ref="D499">_xlfn.LET(
  _xlpm.aralık, Y499:BF499,
  _xlpm.ilk, MATCH(TRUE, _xlpm.aralık&lt;&gt;0, 0),
  _xlpm.son, MIN(_xlpm.ilk+2, COLUMNS(_xlpm.aralık)),
  MAX(INDEX(_xlpm.aralık, _xlpm.ilk):INDEX(_xlpm.aralık, _xlpm.son))
)</f>
        <v>77.177499999999995</v>
      </c>
      <c r="E499" s="6">
        <f t="shared" si="91"/>
        <v>0</v>
      </c>
      <c r="F499" s="6">
        <f t="shared" si="92"/>
        <v>0</v>
      </c>
      <c r="G499" s="6">
        <f t="shared" si="99"/>
        <v>0</v>
      </c>
      <c r="H499" s="7">
        <f t="shared" si="93"/>
        <v>-1</v>
      </c>
      <c r="I499" s="7">
        <f t="shared" si="94"/>
        <v>-1</v>
      </c>
      <c r="J499" s="7" t="e">
        <f t="shared" si="95"/>
        <v>#DIV/0!</v>
      </c>
      <c r="K499" s="7">
        <f t="shared" si="100"/>
        <v>0</v>
      </c>
      <c r="L499" s="5" t="s">
        <v>418</v>
      </c>
      <c r="M499" s="7" t="str">
        <f>IF(R499="",(VLOOKUP(A499,[1]Export!$B$2:$H$680,7,0)),"CHURN")</f>
        <v>CHURN</v>
      </c>
      <c r="N499" s="5" t="e">
        <f t="shared" si="101"/>
        <v>#VALUE!</v>
      </c>
      <c r="O499" s="5" t="e">
        <f t="shared" si="102"/>
        <v>#VALUE!</v>
      </c>
      <c r="P499" s="5" t="e">
        <f t="shared" si="103"/>
        <v>#VALUE!</v>
      </c>
      <c r="Q499" s="5" t="s">
        <v>696</v>
      </c>
      <c r="R499" s="5" t="s">
        <v>428</v>
      </c>
      <c r="S499" s="5" t="s">
        <v>675</v>
      </c>
      <c r="T499" s="6" cm="1">
        <f t="array" ref="T499">IF(R499&lt;&gt;"Churn","",
 _xlfn.LET(
   _xlpm.rng,Y499:BF499,
   _xlpm.pos,MAX(IF((_xlpm.rng&lt;&gt;0)*(_xlpm.rng&lt;&gt;""),COLUMN(_xlpm.rng)-COLUMN(Y499)+1)),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77.177499999999995</v>
      </c>
      <c r="U499" s="6" cm="1">
        <f t="array" ref="U499">IF(R499="Churn",
   MAX(IF((Y499:BF499&lt;&gt;"")*(Y499:BF499&lt;&gt;0), COLUMN(Y499:BF499)-COLUMN(Y499)+1))
   -MATCH(1, --((Y499:BF499&lt;&gt;"")*(Y499:BF499&lt;&gt;0)), 0)
   +1,
"")</f>
        <v>12</v>
      </c>
      <c r="V499" s="6" t="str" cm="1">
        <f t="array" ref="V499">IFERROR(
    IF(
        MATCH(2,1/((Y499:BF499&lt;&gt;0)*(Y499:BF499&lt;&gt;"")))-MATCH(1,INDEX((Y499:BF499&lt;&gt;0)*(Y499:BF499&lt;&gt;""),0),0)+1 &lt;= 12,
        "No",
        "Yes"
    ),
    "No"
)</f>
        <v>No</v>
      </c>
      <c r="W499" s="6" t="str" cm="1">
        <f t="array" ref="W499">IFERROR(
    IF(
        MATCH(2,1/((Y499:BF499&lt;&gt;0)*(Y499:BF499&lt;&gt;"")))-MATCH(1,INDEX((Y499:BF499&lt;&gt;0)*(Y499:BF499&lt;&gt;""),0),0)+1 &lt;= 24,
        "No",
        "Yes"
    ),
    "No"
)</f>
        <v>No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77.177499999999995</v>
      </c>
      <c r="AP499" s="8">
        <v>77.177499999999995</v>
      </c>
      <c r="AQ499" s="8">
        <v>77.177499999999995</v>
      </c>
      <c r="AR499" s="8">
        <v>77.177499999999995</v>
      </c>
      <c r="AS499" s="8">
        <v>77.177499999999995</v>
      </c>
      <c r="AT499" s="8">
        <v>77.177499999999995</v>
      </c>
      <c r="AU499" s="8">
        <v>77.177499999999995</v>
      </c>
      <c r="AV499" s="8">
        <v>77.177499999999995</v>
      </c>
      <c r="AW499" s="8">
        <v>77.177499999999995</v>
      </c>
      <c r="AX499" s="8">
        <v>77.177499999999995</v>
      </c>
      <c r="AY499" s="8">
        <v>77.177499999999995</v>
      </c>
      <c r="AZ499" s="8">
        <v>77.177499999999995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H499" s="8">
        <f t="shared" si="96"/>
        <v>0</v>
      </c>
      <c r="BI499" s="8">
        <f t="shared" si="97"/>
        <v>617.41999999999996</v>
      </c>
      <c r="BJ499" s="8">
        <f t="shared" si="98"/>
        <v>308.70999999999998</v>
      </c>
    </row>
    <row r="500" spans="1:62" x14ac:dyDescent="0.25">
      <c r="A500" s="9" t="s">
        <v>324</v>
      </c>
      <c r="B500" s="9" t="s">
        <v>644</v>
      </c>
      <c r="C500" s="10">
        <f>VLOOKUP(A500,'[2]Revenue_Engine_2025 Oct.25'!$C$14:G$3937,5,0)</f>
        <v>45090</v>
      </c>
      <c r="D500" s="6" cm="1">
        <f t="array" ref="D500">_xlfn.LET(
  _xlpm.aralık, Y500:BF500,
  _xlpm.ilk, MATCH(TRUE, _xlpm.aralık&lt;&gt;0, 0),
  _xlpm.son, MIN(_xlpm.ilk+2, COLUMNS(_xlpm.aralık)),
  MAX(INDEX(_xlpm.aralık, _xlpm.ilk):INDEX(_xlpm.aralık, _xlpm.son))
)</f>
        <v>64.10037263683293</v>
      </c>
      <c r="E500" s="6">
        <f t="shared" si="91"/>
        <v>76.938713909952753</v>
      </c>
      <c r="F500" s="6">
        <f t="shared" si="92"/>
        <v>0</v>
      </c>
      <c r="G500" s="6">
        <f t="shared" si="99"/>
        <v>0</v>
      </c>
      <c r="H500" s="7">
        <f t="shared" si="93"/>
        <v>0.20028497097601491</v>
      </c>
      <c r="I500" s="7">
        <f t="shared" si="94"/>
        <v>-1</v>
      </c>
      <c r="J500" s="7">
        <f t="shared" si="95"/>
        <v>-1</v>
      </c>
      <c r="K500" s="7">
        <f t="shared" si="100"/>
        <v>5.3363542086195204E-2</v>
      </c>
      <c r="L500" s="5" t="s">
        <v>418</v>
      </c>
      <c r="M500" s="7" t="str">
        <f>IF(R500="",(VLOOKUP(A500,[1]Export!$B$2:$H$680,7,0)),"CHURN")</f>
        <v>CHURN</v>
      </c>
      <c r="N500" s="5" t="e">
        <f t="shared" si="101"/>
        <v>#VALUE!</v>
      </c>
      <c r="O500" s="5" t="e">
        <f t="shared" si="102"/>
        <v>#VALUE!</v>
      </c>
      <c r="P500" s="5" t="e">
        <f t="shared" si="103"/>
        <v>#VALUE!</v>
      </c>
      <c r="Q500" s="5" t="s">
        <v>696</v>
      </c>
      <c r="R500" s="5" t="s">
        <v>428</v>
      </c>
      <c r="S500" s="5" t="str">
        <f>VLOOKUP(A500,[3]Sheet1!$A$1:$C$191,3,0)</f>
        <v>Jun.25</v>
      </c>
      <c r="T500" s="6" cm="1">
        <f t="array" ref="T500">IF(R500&lt;&gt;"Churn","",
 _xlfn.LET(
   _xlpm.rng,Y500:BF500,
   _xlpm.pos,MAX(IF((_xlpm.rng&lt;&gt;0)*(_xlpm.rng&lt;&gt;""),COLUMN(_xlpm.rng)-COLUMN(Y500)+1)),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67.520995569779359</v>
      </c>
      <c r="U500" s="6" cm="1">
        <f t="array" ref="U500">IF(R500="Churn",
   MAX(IF((Y500:BF500&lt;&gt;"")*(Y500:BF500&lt;&gt;0), COLUMN(Y500:BF500)-COLUMN(Y500)+1))
   -MATCH(1, --((Y500:BF500&lt;&gt;"")*(Y500:BF500&lt;&gt;0)), 0)
   +1,
"")</f>
        <v>24</v>
      </c>
      <c r="V500" s="6" t="str" cm="1">
        <f t="array" ref="V500">IFERROR(
    IF(
        MATCH(2,1/((Y500:BF500&lt;&gt;0)*(Y500:BF500&lt;&gt;"")))-MATCH(1,INDEX((Y500:BF500&lt;&gt;0)*(Y500:BF500&lt;&gt;""),0),0)+1 &lt;= 12,
        "No",
        "Yes"
    ),
    "No"
)</f>
        <v>Yes</v>
      </c>
      <c r="W500" s="6" t="str" cm="1">
        <f t="array" ref="W500">IFERROR(
    IF(
        MATCH(2,1/((Y500:BF500&lt;&gt;0)*(Y500:BF500&lt;&gt;"")))-MATCH(1,INDEX((Y500:BF500&lt;&gt;0)*(Y500:BF500&lt;&gt;""),0),0)+1 &lt;= 24,
        "No",
        "Yes"
    ),
    "No"
)</f>
        <v>No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64.10037263683293</v>
      </c>
      <c r="AE500" s="8">
        <v>56.807207698512784</v>
      </c>
      <c r="AF500" s="8">
        <v>55.732454494450906</v>
      </c>
      <c r="AG500" s="8">
        <v>55.680734094798304</v>
      </c>
      <c r="AH500" s="8">
        <v>53.96454097941325</v>
      </c>
      <c r="AI500" s="8">
        <v>52.478929709721548</v>
      </c>
      <c r="AJ500" s="8">
        <v>51.661253715305165</v>
      </c>
      <c r="AK500" s="8">
        <v>50.015171268618147</v>
      </c>
      <c r="AL500" s="8">
        <v>48.865983411627496</v>
      </c>
      <c r="AM500" s="8">
        <v>46.995131304396864</v>
      </c>
      <c r="AN500" s="8">
        <v>46.527064793590434</v>
      </c>
      <c r="AO500" s="8">
        <v>46.59470373534208</v>
      </c>
      <c r="AP500" s="8">
        <v>76.938713909952753</v>
      </c>
      <c r="AQ500" s="8">
        <v>76.0474794431303</v>
      </c>
      <c r="AR500" s="8">
        <v>74.410347148993466</v>
      </c>
      <c r="AS500" s="8">
        <v>73.558425649451991</v>
      </c>
      <c r="AT500" s="8">
        <v>73.1035653352141</v>
      </c>
      <c r="AU500" s="8">
        <v>72.700603316055535</v>
      </c>
      <c r="AV500" s="8">
        <v>71.570189211180761</v>
      </c>
      <c r="AW500" s="8">
        <v>70.491294409797675</v>
      </c>
      <c r="AX500" s="8">
        <v>69.248660351676747</v>
      </c>
      <c r="AY500" s="8">
        <v>67.520995569779359</v>
      </c>
      <c r="AZ500" s="8">
        <v>65.717299855569266</v>
      </c>
      <c r="BA500" s="8">
        <v>64.61559155082594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H500" s="8">
        <f t="shared" si="96"/>
        <v>390.42549332903491</v>
      </c>
      <c r="BI500" s="8">
        <f t="shared" si="97"/>
        <v>757.32737852755383</v>
      </c>
      <c r="BJ500" s="8">
        <f t="shared" si="98"/>
        <v>337.59384173764897</v>
      </c>
    </row>
    <row r="501" spans="1:62" x14ac:dyDescent="0.25">
      <c r="A501" s="9" t="s">
        <v>75</v>
      </c>
      <c r="B501" s="9" t="s">
        <v>643</v>
      </c>
      <c r="C501" s="10">
        <v>44927</v>
      </c>
      <c r="D501" s="6" cm="1">
        <f t="array" ref="D501">_xlfn.LET(
  _xlpm.aralık, Y501:BF501,
  _xlpm.ilk, MATCH(TRUE, _xlpm.aralık&lt;&gt;0, 0),
  _xlpm.son, MIN(_xlpm.ilk+2, COLUMNS(_xlpm.aralık)),
  MAX(INDEX(_xlpm.aralık, _xlpm.ilk):INDEX(_xlpm.aralık, _xlpm.son))
)</f>
        <v>17780.82</v>
      </c>
      <c r="E501" s="6">
        <f t="shared" si="91"/>
        <v>16665.72</v>
      </c>
      <c r="F501" s="6">
        <f t="shared" si="92"/>
        <v>22296</v>
      </c>
      <c r="G501" s="6">
        <f t="shared" si="99"/>
        <v>0</v>
      </c>
      <c r="H501" s="7">
        <f t="shared" si="93"/>
        <v>-6.2713643127819671E-2</v>
      </c>
      <c r="I501" s="7">
        <f t="shared" si="94"/>
        <v>0.25393542030120098</v>
      </c>
      <c r="J501" s="7">
        <f t="shared" si="95"/>
        <v>0.33783598908417989</v>
      </c>
      <c r="K501" s="7">
        <f t="shared" si="100"/>
        <v>0.25393542030120098</v>
      </c>
      <c r="L501" s="5" t="s">
        <v>419</v>
      </c>
      <c r="M501" s="7" t="str">
        <f>IF(R501="",(VLOOKUP(A501,[1]Export!$B$2:$H$680,7,0)),"CHURN")</f>
        <v>CHURN</v>
      </c>
      <c r="N501" s="5" t="e">
        <f t="shared" si="101"/>
        <v>#VALUE!</v>
      </c>
      <c r="O501" s="5" t="e">
        <f t="shared" si="102"/>
        <v>#VALUE!</v>
      </c>
      <c r="P501" s="5" t="e">
        <f t="shared" si="103"/>
        <v>#VALUE!</v>
      </c>
      <c r="Q501" s="5" t="s">
        <v>696</v>
      </c>
      <c r="R501" s="5" t="s">
        <v>428</v>
      </c>
      <c r="S501" s="5" t="str">
        <f>VLOOKUP(A501,[3]Sheet1!$A$1:$C$191,3,0)</f>
        <v>Apr.25</v>
      </c>
      <c r="T501" s="6" cm="1">
        <f t="array" ref="T501">IF(R501&lt;&gt;"Churn","",
 _xlfn.LET(
   _xlpm.rng,Y501:BF501,
   _xlpm.pos,MAX(IF((_xlpm.rng&lt;&gt;0)*(_xlpm.rng&lt;&gt;""),COLUMN(_xlpm.rng)-COLUMN(Y501)+1)),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22296</v>
      </c>
      <c r="U501" s="6" cm="1">
        <f t="array" ref="U501">IF(R501="Churn",
   MAX(IF((Y501:BF501&lt;&gt;"")*(Y501:BF501&lt;&gt;0), COLUMN(Y501:BF501)-COLUMN(Y501)+1))
   -MATCH(1, --((Y501:BF501&lt;&gt;"")*(Y501:BF501&lt;&gt;0)), 0)
   +1,
"")</f>
        <v>27</v>
      </c>
      <c r="V501" s="6" t="str" cm="1">
        <f t="array" ref="V501">IFERROR(
    IF(
        MATCH(2,1/((Y501:BF501&lt;&gt;0)*(Y501:BF501&lt;&gt;"")))-MATCH(1,INDEX((Y501:BF501&lt;&gt;0)*(Y501:BF501&lt;&gt;""),0),0)+1 &lt;= 12,
        "No",
        "Yes"
    ),
    "No"
)</f>
        <v>Yes</v>
      </c>
      <c r="W501" s="6" t="str" cm="1">
        <f t="array" ref="W501">IFERROR(
    IF(
        MATCH(2,1/((Y501:BF501&lt;&gt;0)*(Y501:BF501&lt;&gt;"")))-MATCH(1,INDEX((Y501:BF501&lt;&gt;0)*(Y501:BF501&lt;&gt;""),0),0)+1 &lt;= 24,
        "No",
        "Yes"
    ),
    "No"
)</f>
        <v>Yes</v>
      </c>
      <c r="Y501" s="8">
        <v>16822.5292984972</v>
      </c>
      <c r="Z501" s="8">
        <v>16775.928869457122</v>
      </c>
      <c r="AA501" s="8">
        <v>17780.82</v>
      </c>
      <c r="AB501" s="8">
        <v>18545.72</v>
      </c>
      <c r="AC501" s="8">
        <v>18545.72</v>
      </c>
      <c r="AD501" s="8">
        <v>16665.72</v>
      </c>
      <c r="AE501" s="8">
        <v>16665.72</v>
      </c>
      <c r="AF501" s="8">
        <v>16665.72</v>
      </c>
      <c r="AG501" s="8">
        <v>16665.72</v>
      </c>
      <c r="AH501" s="8">
        <v>16665.72</v>
      </c>
      <c r="AI501" s="8">
        <v>16665.72</v>
      </c>
      <c r="AJ501" s="8">
        <v>16665.72</v>
      </c>
      <c r="AK501" s="8">
        <v>16665.72</v>
      </c>
      <c r="AL501" s="8">
        <v>16665.72</v>
      </c>
      <c r="AM501" s="8">
        <v>19500</v>
      </c>
      <c r="AN501" s="8">
        <v>22296</v>
      </c>
      <c r="AO501" s="8">
        <v>22296</v>
      </c>
      <c r="AP501" s="8">
        <v>22296</v>
      </c>
      <c r="AQ501" s="8">
        <v>22296</v>
      </c>
      <c r="AR501" s="8">
        <v>22296</v>
      </c>
      <c r="AS501" s="8">
        <v>22296</v>
      </c>
      <c r="AT501" s="8">
        <v>22296</v>
      </c>
      <c r="AU501" s="8">
        <v>22296</v>
      </c>
      <c r="AV501" s="8">
        <v>22296</v>
      </c>
      <c r="AW501" s="8">
        <v>22296</v>
      </c>
      <c r="AX501" s="8">
        <v>22296</v>
      </c>
      <c r="AY501" s="8">
        <v>22296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H501" s="8">
        <f t="shared" si="96"/>
        <v>205130.75816795434</v>
      </c>
      <c r="BI501" s="8">
        <f t="shared" si="97"/>
        <v>253495.44</v>
      </c>
      <c r="BJ501" s="8">
        <f t="shared" si="98"/>
        <v>66888</v>
      </c>
    </row>
    <row r="502" spans="1:62" x14ac:dyDescent="0.25">
      <c r="A502" s="9" t="s">
        <v>95</v>
      </c>
      <c r="B502" s="9" t="s">
        <v>643</v>
      </c>
      <c r="C502" s="10">
        <v>44927</v>
      </c>
      <c r="D502" s="6" cm="1">
        <f t="array" ref="D502">_xlfn.LET(
  _xlpm.aralık, Y502:BF502,
  _xlpm.ilk, MATCH(TRUE, _xlpm.aralık&lt;&gt;0, 0),
  _xlpm.son, MIN(_xlpm.ilk+2, COLUMNS(_xlpm.aralık)),
  MAX(INDEX(_xlpm.aralık, _xlpm.ilk):INDEX(_xlpm.aralık, _xlpm.son))
)</f>
        <v>3250</v>
      </c>
      <c r="E502" s="6">
        <f t="shared" si="91"/>
        <v>3250</v>
      </c>
      <c r="F502" s="6">
        <f t="shared" si="92"/>
        <v>3250</v>
      </c>
      <c r="G502" s="6">
        <f t="shared" si="99"/>
        <v>0</v>
      </c>
      <c r="H502" s="7">
        <f t="shared" si="93"/>
        <v>0</v>
      </c>
      <c r="I502" s="7">
        <f t="shared" si="94"/>
        <v>0</v>
      </c>
      <c r="J502" s="7">
        <f t="shared" si="95"/>
        <v>0</v>
      </c>
      <c r="K502" s="7">
        <f t="shared" si="100"/>
        <v>0</v>
      </c>
      <c r="L502" s="5" t="s">
        <v>414</v>
      </c>
      <c r="M502" s="7" t="str">
        <f>IF(R502="",(VLOOKUP(A502,[1]Export!$B$2:$H$680,7,0)),"CHURN")</f>
        <v>CHURN</v>
      </c>
      <c r="N502" s="5" t="e">
        <f t="shared" si="101"/>
        <v>#VALUE!</v>
      </c>
      <c r="O502" s="5" t="e">
        <f t="shared" si="102"/>
        <v>#VALUE!</v>
      </c>
      <c r="P502" s="5" t="e">
        <f t="shared" si="103"/>
        <v>#VALUE!</v>
      </c>
      <c r="Q502" s="5" t="s">
        <v>696</v>
      </c>
      <c r="R502" s="5" t="s">
        <v>428</v>
      </c>
      <c r="S502" s="5" t="str">
        <f>VLOOKUP(A502,[3]Sheet1!$A$1:$C$191,3,0)</f>
        <v>Mar.25</v>
      </c>
      <c r="T502" s="6" cm="1">
        <f t="array" ref="T502">IF(R502&lt;&gt;"Churn","",
 _xlfn.LET(
   _xlpm.rng,Y502:BF502,
   _xlpm.pos,MAX(IF((_xlpm.rng&lt;&gt;0)*(_xlpm.rng&lt;&gt;""),COLUMN(_xlpm.rng)-COLUMN(Y502)+1)),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3250</v>
      </c>
      <c r="U502" s="6" cm="1">
        <f t="array" ref="U502">IF(R502="Churn",
   MAX(IF((Y502:BF502&lt;&gt;"")*(Y502:BF502&lt;&gt;0), COLUMN(Y502:BF502)-COLUMN(Y502)+1))
   -MATCH(1, --((Y502:BF502&lt;&gt;"")*(Y502:BF502&lt;&gt;0)), 0)
   +1,
"")</f>
        <v>26</v>
      </c>
      <c r="V502" s="6" t="str" cm="1">
        <f t="array" ref="V502">IFERROR(
    IF(
        MATCH(2,1/((Y502:BF502&lt;&gt;0)*(Y502:BF502&lt;&gt;"")))-MATCH(1,INDEX((Y502:BF502&lt;&gt;0)*(Y502:BF502&lt;&gt;""),0),0)+1 &lt;= 12,
        "No",
        "Yes"
    ),
    "No"
)</f>
        <v>Yes</v>
      </c>
      <c r="W502" s="6" t="str" cm="1">
        <f t="array" ref="W502">IFERROR(
    IF(
        MATCH(2,1/((Y502:BF502&lt;&gt;0)*(Y502:BF502&lt;&gt;"")))-MATCH(1,INDEX((Y502:BF502&lt;&gt;0)*(Y502:BF502&lt;&gt;""),0),0)+1 &lt;= 24,
        "No",
        "Yes"
    ),
    "No"
)</f>
        <v>Yes</v>
      </c>
      <c r="Y502" s="8">
        <v>3250</v>
      </c>
      <c r="Z502" s="8">
        <v>3250</v>
      </c>
      <c r="AA502" s="8">
        <v>3250</v>
      </c>
      <c r="AB502" s="8">
        <v>3250</v>
      </c>
      <c r="AC502" s="8">
        <v>3250</v>
      </c>
      <c r="AD502" s="8">
        <v>3250</v>
      </c>
      <c r="AE502" s="8">
        <v>3250</v>
      </c>
      <c r="AF502" s="8">
        <v>3250</v>
      </c>
      <c r="AG502" s="8">
        <v>3250</v>
      </c>
      <c r="AH502" s="8">
        <v>3250</v>
      </c>
      <c r="AI502" s="8">
        <v>3250</v>
      </c>
      <c r="AJ502" s="8">
        <v>3250</v>
      </c>
      <c r="AK502" s="8">
        <v>3250</v>
      </c>
      <c r="AL502" s="8">
        <v>3250</v>
      </c>
      <c r="AM502" s="8">
        <v>3250</v>
      </c>
      <c r="AN502" s="8">
        <v>3250</v>
      </c>
      <c r="AO502" s="8">
        <v>3250</v>
      </c>
      <c r="AP502" s="8">
        <v>3250</v>
      </c>
      <c r="AQ502" s="8">
        <v>3250</v>
      </c>
      <c r="AR502" s="8">
        <v>3250</v>
      </c>
      <c r="AS502" s="8">
        <v>3250</v>
      </c>
      <c r="AT502" s="8">
        <v>3250</v>
      </c>
      <c r="AU502" s="8">
        <v>3250</v>
      </c>
      <c r="AV502" s="8">
        <v>3250</v>
      </c>
      <c r="AW502" s="8">
        <v>3250</v>
      </c>
      <c r="AX502" s="8">
        <v>3250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0</v>
      </c>
      <c r="BH502" s="8">
        <f t="shared" si="96"/>
        <v>39000</v>
      </c>
      <c r="BI502" s="8">
        <f t="shared" si="97"/>
        <v>39000</v>
      </c>
      <c r="BJ502" s="8">
        <f t="shared" si="98"/>
        <v>6500</v>
      </c>
    </row>
    <row r="503" spans="1:62" x14ac:dyDescent="0.25">
      <c r="A503" s="9" t="s">
        <v>327</v>
      </c>
      <c r="B503" s="9" t="s">
        <v>643</v>
      </c>
      <c r="C503" s="10">
        <v>44927</v>
      </c>
      <c r="D503" s="6" cm="1">
        <f t="array" ref="D503">_xlfn.LET(
  _xlpm.aralık, Y503:BF503,
  _xlpm.ilk, MATCH(TRUE, _xlpm.aralık&lt;&gt;0, 0),
  _xlpm.son, MIN(_xlpm.ilk+2, COLUMNS(_xlpm.aralık)),
  MAX(INDEX(_xlpm.aralık, _xlpm.ilk):INDEX(_xlpm.aralık, _xlpm.son))
)</f>
        <v>2830</v>
      </c>
      <c r="E503" s="6">
        <f t="shared" si="91"/>
        <v>2830</v>
      </c>
      <c r="F503" s="6">
        <f t="shared" si="92"/>
        <v>2830</v>
      </c>
      <c r="G503" s="6">
        <f t="shared" si="99"/>
        <v>0</v>
      </c>
      <c r="H503" s="7">
        <f t="shared" si="93"/>
        <v>0</v>
      </c>
      <c r="I503" s="7">
        <f t="shared" si="94"/>
        <v>0</v>
      </c>
      <c r="J503" s="7">
        <f t="shared" si="95"/>
        <v>0</v>
      </c>
      <c r="K503" s="7">
        <f t="shared" si="100"/>
        <v>0</v>
      </c>
      <c r="L503" s="5" t="s">
        <v>414</v>
      </c>
      <c r="M503" s="7" t="str">
        <f>IF(R503="",(VLOOKUP(A503,[1]Export!$B$2:$H$680,7,0)),"CHURN")</f>
        <v>CHURN</v>
      </c>
      <c r="N503" s="5" t="e">
        <f t="shared" si="101"/>
        <v>#VALUE!</v>
      </c>
      <c r="O503" s="5" t="e">
        <f t="shared" si="102"/>
        <v>#VALUE!</v>
      </c>
      <c r="P503" s="5" t="e">
        <f t="shared" si="103"/>
        <v>#VALUE!</v>
      </c>
      <c r="Q503" s="5" t="s">
        <v>696</v>
      </c>
      <c r="R503" s="5" t="s">
        <v>428</v>
      </c>
      <c r="S503" s="5" t="str">
        <f>VLOOKUP(A503,[3]Sheet1!$A$1:$C$191,3,0)</f>
        <v>Mar.25</v>
      </c>
      <c r="T503" s="6" cm="1">
        <f t="array" ref="T503">IF(R503&lt;&gt;"Churn","",
 _xlfn.LET(
   _xlpm.rng,Y503:BF503,
   _xlpm.pos,MAX(IF((_xlpm.rng&lt;&gt;0)*(_xlpm.rng&lt;&gt;""),COLUMN(_xlpm.rng)-COLUMN(Y503)+1)),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2830</v>
      </c>
      <c r="U503" s="6" cm="1">
        <f t="array" ref="U503">IF(R503="Churn",
   MAX(IF((Y503:BF503&lt;&gt;"")*(Y503:BF503&lt;&gt;0), COLUMN(Y503:BF503)-COLUMN(Y503)+1))
   -MATCH(1, --((Y503:BF503&lt;&gt;"")*(Y503:BF503&lt;&gt;0)), 0)
   +1,
"")</f>
        <v>26</v>
      </c>
      <c r="V503" s="6" t="str" cm="1">
        <f t="array" ref="V503">IFERROR(
    IF(
        MATCH(2,1/((Y503:BF503&lt;&gt;0)*(Y503:BF503&lt;&gt;"")))-MATCH(1,INDEX((Y503:BF503&lt;&gt;0)*(Y503:BF503&lt;&gt;""),0),0)+1 &lt;= 12,
        "No",
        "Yes"
    ),
    "No"
)</f>
        <v>Yes</v>
      </c>
      <c r="W503" s="6" t="str" cm="1">
        <f t="array" ref="W503">IFERROR(
    IF(
        MATCH(2,1/((Y503:BF503&lt;&gt;0)*(Y503:BF503&lt;&gt;"")))-MATCH(1,INDEX((Y503:BF503&lt;&gt;0)*(Y503:BF503&lt;&gt;""),0),0)+1 &lt;= 24,
        "No",
        "Yes"
    ),
    "No"
)</f>
        <v>Yes</v>
      </c>
      <c r="Y503" s="8">
        <v>2830</v>
      </c>
      <c r="Z503" s="8">
        <v>2830</v>
      </c>
      <c r="AA503" s="8">
        <v>2830</v>
      </c>
      <c r="AB503" s="8">
        <v>2830</v>
      </c>
      <c r="AC503" s="8">
        <v>2830</v>
      </c>
      <c r="AD503" s="8">
        <v>2830</v>
      </c>
      <c r="AE503" s="8">
        <v>2830</v>
      </c>
      <c r="AF503" s="8">
        <v>2830</v>
      </c>
      <c r="AG503" s="8">
        <v>2830</v>
      </c>
      <c r="AH503" s="8">
        <v>2830</v>
      </c>
      <c r="AI503" s="8">
        <v>2830</v>
      </c>
      <c r="AJ503" s="8">
        <v>2830</v>
      </c>
      <c r="AK503" s="8">
        <v>2830</v>
      </c>
      <c r="AL503" s="8">
        <v>2830</v>
      </c>
      <c r="AM503" s="8">
        <v>2830</v>
      </c>
      <c r="AN503" s="8">
        <v>2830</v>
      </c>
      <c r="AO503" s="8">
        <v>2830</v>
      </c>
      <c r="AP503" s="8">
        <v>2830</v>
      </c>
      <c r="AQ503" s="8">
        <v>2830</v>
      </c>
      <c r="AR503" s="8">
        <v>2830</v>
      </c>
      <c r="AS503" s="8">
        <v>2830</v>
      </c>
      <c r="AT503" s="8">
        <v>2830</v>
      </c>
      <c r="AU503" s="8">
        <v>2830</v>
      </c>
      <c r="AV503" s="8">
        <v>2830</v>
      </c>
      <c r="AW503" s="8">
        <v>2830</v>
      </c>
      <c r="AX503" s="8">
        <v>2830</v>
      </c>
      <c r="AY503" s="8">
        <v>0</v>
      </c>
      <c r="AZ503" s="8">
        <v>0</v>
      </c>
      <c r="BA503" s="8">
        <v>0</v>
      </c>
      <c r="BB503" s="8">
        <v>0</v>
      </c>
      <c r="BC503" s="8">
        <v>0</v>
      </c>
      <c r="BD503" s="8">
        <v>0</v>
      </c>
      <c r="BE503" s="8">
        <v>0</v>
      </c>
      <c r="BF503" s="8">
        <v>0</v>
      </c>
      <c r="BH503" s="8">
        <f t="shared" si="96"/>
        <v>33960</v>
      </c>
      <c r="BI503" s="8">
        <f t="shared" si="97"/>
        <v>33960</v>
      </c>
      <c r="BJ503" s="8">
        <f t="shared" si="98"/>
        <v>5660</v>
      </c>
    </row>
    <row r="504" spans="1:62" x14ac:dyDescent="0.25">
      <c r="A504" s="9" t="s">
        <v>317</v>
      </c>
      <c r="B504" s="9" t="s">
        <v>643</v>
      </c>
      <c r="C504" s="10">
        <v>44927</v>
      </c>
      <c r="D504" s="6" cm="1">
        <f t="array" ref="D504">_xlfn.LET(
  _xlpm.aralık, Y504:BF504,
  _xlpm.ilk, MATCH(TRUE, _xlpm.aralık&lt;&gt;0, 0),
  _xlpm.son, MIN(_xlpm.ilk+2, COLUMNS(_xlpm.aralık)),
  MAX(INDEX(_xlpm.aralık, _xlpm.ilk):INDEX(_xlpm.aralık, _xlpm.son))
)</f>
        <v>1800</v>
      </c>
      <c r="E504" s="6">
        <f t="shared" si="91"/>
        <v>1800</v>
      </c>
      <c r="F504" s="6">
        <f t="shared" si="92"/>
        <v>1173.9142703953496</v>
      </c>
      <c r="G504" s="6">
        <f t="shared" si="99"/>
        <v>0</v>
      </c>
      <c r="H504" s="7">
        <f t="shared" si="93"/>
        <v>0</v>
      </c>
      <c r="I504" s="7">
        <f t="shared" si="94"/>
        <v>-0.34782540533591688</v>
      </c>
      <c r="J504" s="7">
        <f t="shared" si="95"/>
        <v>-0.34782540533591688</v>
      </c>
      <c r="K504" s="7">
        <f t="shared" si="100"/>
        <v>-0.33784363686835694</v>
      </c>
      <c r="L504" s="5" t="s">
        <v>419</v>
      </c>
      <c r="M504" s="7" t="str">
        <f>IF(R504="",(VLOOKUP(A504,[1]Export!$B$2:$H$680,7,0)),"CHURN")</f>
        <v>CHURN</v>
      </c>
      <c r="N504" s="5" t="e">
        <f t="shared" si="101"/>
        <v>#VALUE!</v>
      </c>
      <c r="O504" s="5" t="e">
        <f t="shared" si="102"/>
        <v>#VALUE!</v>
      </c>
      <c r="P504" s="5" t="e">
        <f t="shared" si="103"/>
        <v>#VALUE!</v>
      </c>
      <c r="Q504" s="5" t="s">
        <v>696</v>
      </c>
      <c r="R504" s="5" t="s">
        <v>428</v>
      </c>
      <c r="S504" s="5" t="str">
        <f>VLOOKUP(A504,[3]Sheet1!$A$1:$C$191,3,0)</f>
        <v>Mar.25</v>
      </c>
      <c r="T504" s="6" cm="1">
        <f t="array" ref="T504">IF(R504&lt;&gt;"Churn","",
 _xlfn.LET(
   _xlpm.rng,Y504:BF504,
   _xlpm.pos,MAX(IF((_xlpm.rng&lt;&gt;0)*(_xlpm.rng&lt;&gt;""),COLUMN(_xlpm.rng)-COLUMN(Y504)+1)),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1191.8814536369575</v>
      </c>
      <c r="U504" s="6" cm="1">
        <f t="array" ref="U504">IF(R504="Churn",
   MAX(IF((Y504:BF504&lt;&gt;"")*(Y504:BF504&lt;&gt;0), COLUMN(Y504:BF504)-COLUMN(Y504)+1))
   -MATCH(1, --((Y504:BF504&lt;&gt;"")*(Y504:BF504&lt;&gt;0)), 0)
   +1,
"")</f>
        <v>26</v>
      </c>
      <c r="V504" s="6" t="str" cm="1">
        <f t="array" ref="V504">IFERROR(
    IF(
        MATCH(2,1/((Y504:BF504&lt;&gt;0)*(Y504:BF504&lt;&gt;"")))-MATCH(1,INDEX((Y504:BF504&lt;&gt;0)*(Y504:BF504&lt;&gt;""),0),0)+1 &lt;= 12,
        "No",
        "Yes"
    ),
    "No"
)</f>
        <v>Yes</v>
      </c>
      <c r="W504" s="6" t="str" cm="1">
        <f t="array" ref="W504">IFERROR(
    IF(
        MATCH(2,1/((Y504:BF504&lt;&gt;0)*(Y504:BF504&lt;&gt;"")))-MATCH(1,INDEX((Y504:BF504&lt;&gt;0)*(Y504:BF504&lt;&gt;""),0),0)+1 &lt;= 24,
        "No",
        "Yes"
    ),
    "No"
)</f>
        <v>Yes</v>
      </c>
      <c r="Y504" s="8">
        <v>1800</v>
      </c>
      <c r="Z504" s="8">
        <v>1800</v>
      </c>
      <c r="AA504" s="8">
        <v>1800</v>
      </c>
      <c r="AB504" s="8">
        <v>1800</v>
      </c>
      <c r="AC504" s="8">
        <v>1800</v>
      </c>
      <c r="AD504" s="8">
        <v>1800</v>
      </c>
      <c r="AE504" s="8">
        <v>1800</v>
      </c>
      <c r="AF504" s="8">
        <v>1800</v>
      </c>
      <c r="AG504" s="8">
        <v>1800</v>
      </c>
      <c r="AH504" s="8">
        <v>1800</v>
      </c>
      <c r="AI504" s="8">
        <v>1800</v>
      </c>
      <c r="AJ504" s="8">
        <v>1800</v>
      </c>
      <c r="AK504" s="8">
        <v>1800</v>
      </c>
      <c r="AL504" s="8">
        <v>1800</v>
      </c>
      <c r="AM504" s="8">
        <v>1303.3316415086065</v>
      </c>
      <c r="AN504" s="8">
        <v>1290.3505969422413</v>
      </c>
      <c r="AO504" s="8">
        <v>1292.2264502601536</v>
      </c>
      <c r="AP504" s="8">
        <v>1281.2852276437288</v>
      </c>
      <c r="AQ504" s="8">
        <v>1266.4432125036913</v>
      </c>
      <c r="AR504" s="8">
        <v>1239.1795201753916</v>
      </c>
      <c r="AS504" s="8">
        <v>1224.9921965641324</v>
      </c>
      <c r="AT504" s="8">
        <v>1217.4172609867519</v>
      </c>
      <c r="AU504" s="8">
        <v>1210.7066044627343</v>
      </c>
      <c r="AV504" s="8">
        <v>1191.8814536369575</v>
      </c>
      <c r="AW504" s="8">
        <v>1173.9142703953496</v>
      </c>
      <c r="AX504" s="8">
        <v>1153.2202844794847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0</v>
      </c>
      <c r="BE504" s="8">
        <v>0</v>
      </c>
      <c r="BF504" s="8">
        <v>0</v>
      </c>
      <c r="BH504" s="8">
        <f t="shared" si="96"/>
        <v>21600</v>
      </c>
      <c r="BI504" s="8">
        <f t="shared" si="97"/>
        <v>16117.814164684389</v>
      </c>
      <c r="BJ504" s="8">
        <f t="shared" si="98"/>
        <v>2327.1345548748341</v>
      </c>
    </row>
    <row r="505" spans="1:62" x14ac:dyDescent="0.25">
      <c r="A505" s="9" t="s">
        <v>328</v>
      </c>
      <c r="B505" s="9" t="s">
        <v>643</v>
      </c>
      <c r="C505" s="10">
        <v>44927</v>
      </c>
      <c r="D505" s="6" cm="1">
        <f t="array" ref="D505">_xlfn.LET(
  _xlpm.aralık, Y505:BF505,
  _xlpm.ilk, MATCH(TRUE, _xlpm.aralık&lt;&gt;0, 0),
  _xlpm.son, MIN(_xlpm.ilk+2, COLUMNS(_xlpm.aralık)),
  MAX(INDEX(_xlpm.aralık, _xlpm.ilk):INDEX(_xlpm.aralık, _xlpm.son))
)</f>
        <v>639.71681868826067</v>
      </c>
      <c r="E505" s="6">
        <f t="shared" si="91"/>
        <v>1864.4544400690431</v>
      </c>
      <c r="F505" s="6">
        <f t="shared" si="92"/>
        <v>0</v>
      </c>
      <c r="G505" s="6">
        <f t="shared" si="99"/>
        <v>0</v>
      </c>
      <c r="H505" s="7">
        <f t="shared" si="93"/>
        <v>1.9144996435955943</v>
      </c>
      <c r="I505" s="7">
        <f t="shared" si="94"/>
        <v>-1</v>
      </c>
      <c r="J505" s="7">
        <f t="shared" si="95"/>
        <v>-1</v>
      </c>
      <c r="K505" s="7">
        <f t="shared" si="100"/>
        <v>0.76556324167906165</v>
      </c>
      <c r="L505" s="5" t="s">
        <v>414</v>
      </c>
      <c r="M505" s="7" t="str">
        <f>IF(R505="",(VLOOKUP(A505,[1]Export!$B$2:$H$680,7,0)),"CHURN")</f>
        <v>CHURN</v>
      </c>
      <c r="N505" s="5" t="e">
        <f t="shared" si="101"/>
        <v>#VALUE!</v>
      </c>
      <c r="O505" s="5" t="e">
        <f t="shared" si="102"/>
        <v>#VALUE!</v>
      </c>
      <c r="P505" s="5" t="e">
        <f t="shared" si="103"/>
        <v>#VALUE!</v>
      </c>
      <c r="Q505" s="5" t="s">
        <v>696</v>
      </c>
      <c r="R505" s="5" t="s">
        <v>428</v>
      </c>
      <c r="S505" s="5" t="s">
        <v>668</v>
      </c>
      <c r="T505" s="6" cm="1">
        <f t="array" ref="T505">IF(R505&lt;&gt;"Churn","",
 _xlfn.LET(
   _xlpm.rng,Y505:BF505,
   _xlpm.pos,MAX(IF((_xlpm.rng&lt;&gt;0)*(_xlpm.rng&lt;&gt;""),COLUMN(_xlpm.rng)-COLUMN(Y505)+1)),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1129.460500159862</v>
      </c>
      <c r="U505" s="6" cm="1">
        <f t="array" ref="U505">IF(R505="Churn",
   MAX(IF((Y505:BF505&lt;&gt;"")*(Y505:BF505&lt;&gt;0), COLUMN(Y505:BF505)-COLUMN(Y505)+1))
   -MATCH(1, --((Y505:BF505&lt;&gt;"")*(Y505:BF505&lt;&gt;0)), 0)
   +1,
"")</f>
        <v>22</v>
      </c>
      <c r="V505" s="6" t="str" cm="1">
        <f t="array" ref="V505">IFERROR(
    IF(
        MATCH(2,1/((Y505:BF505&lt;&gt;0)*(Y505:BF505&lt;&gt;"")))-MATCH(1,INDEX((Y505:BF505&lt;&gt;0)*(Y505:BF505&lt;&gt;""),0),0)+1 &lt;= 12,
        "No",
        "Yes"
    ),
    "No"
)</f>
        <v>Yes</v>
      </c>
      <c r="W505" s="6" t="str" cm="1">
        <f t="array" ref="W505">IFERROR(
    IF(
        MATCH(2,1/((Y505:BF505&lt;&gt;0)*(Y505:BF505&lt;&gt;"")))-MATCH(1,INDEX((Y505:BF505&lt;&gt;0)*(Y505:BF505&lt;&gt;""),0),0)+1 &lt;= 24,
        "No",
        "Yes"
    ),
    "No"
)</f>
        <v>No</v>
      </c>
      <c r="Y505" s="8">
        <v>639.71681868826067</v>
      </c>
      <c r="Z505" s="8">
        <v>637.4942227086068</v>
      </c>
      <c r="AA505" s="8">
        <v>632.80792697396521</v>
      </c>
      <c r="AB505" s="8">
        <v>621.56520477983645</v>
      </c>
      <c r="AC505" s="8">
        <v>609.78088540184558</v>
      </c>
      <c r="AD505" s="8">
        <v>512.80298109466344</v>
      </c>
      <c r="AE505" s="8">
        <v>681.68649238215346</v>
      </c>
      <c r="AF505" s="8">
        <v>668.78945393341087</v>
      </c>
      <c r="AG505" s="8">
        <v>668.16880913757973</v>
      </c>
      <c r="AH505" s="8">
        <v>647.57449175295903</v>
      </c>
      <c r="AI505" s="8">
        <v>1956.29787973462</v>
      </c>
      <c r="AJ505" s="8">
        <v>1925.8167357205423</v>
      </c>
      <c r="AK505" s="8">
        <v>1864.4544400690431</v>
      </c>
      <c r="AL505" s="8">
        <v>1821.6152705112249</v>
      </c>
      <c r="AM505" s="8">
        <v>1751.8740614027943</v>
      </c>
      <c r="AN505" s="8">
        <v>1734.4255820277322</v>
      </c>
      <c r="AO505" s="8">
        <v>1736.9470114674741</v>
      </c>
      <c r="AP505" s="8">
        <v>1722.2403600740026</v>
      </c>
      <c r="AQ505" s="8">
        <v>1154.3102197299268</v>
      </c>
      <c r="AR505" s="8">
        <v>1129.460500159862</v>
      </c>
      <c r="AS505" s="8">
        <v>1116.5293458266831</v>
      </c>
      <c r="AT505" s="8">
        <v>1109.6251076702165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  <c r="AZ505" s="8">
        <v>0</v>
      </c>
      <c r="BA505" s="8">
        <v>0</v>
      </c>
      <c r="BB505" s="8">
        <v>0</v>
      </c>
      <c r="BC505" s="8">
        <v>0</v>
      </c>
      <c r="BD505" s="8">
        <v>0</v>
      </c>
      <c r="BE505" s="8">
        <v>0</v>
      </c>
      <c r="BF505" s="8">
        <v>0</v>
      </c>
      <c r="BH505" s="8">
        <f t="shared" si="96"/>
        <v>10202.501902308444</v>
      </c>
      <c r="BI505" s="8">
        <f t="shared" si="97"/>
        <v>15141.481898938961</v>
      </c>
      <c r="BJ505" s="8">
        <f t="shared" si="98"/>
        <v>0</v>
      </c>
    </row>
    <row r="506" spans="1:62" x14ac:dyDescent="0.25">
      <c r="A506" s="9" t="s">
        <v>575</v>
      </c>
      <c r="B506" s="9" t="s">
        <v>643</v>
      </c>
      <c r="C506" s="10">
        <v>44927</v>
      </c>
      <c r="D506" s="6" cm="1">
        <f t="array" ref="D506">_xlfn.LET(
  _xlpm.aralık, Y506:BF506,
  _xlpm.ilk, MATCH(TRUE, _xlpm.aralık&lt;&gt;0, 0),
  _xlpm.son, MIN(_xlpm.ilk+2, COLUMNS(_xlpm.aralık)),
  MAX(INDEX(_xlpm.aralık, _xlpm.ilk):INDEX(_xlpm.aralık, _xlpm.son))
)</f>
        <v>11156.148897400619</v>
      </c>
      <c r="E506" s="6">
        <f t="shared" si="91"/>
        <v>0</v>
      </c>
      <c r="F506" s="6">
        <f t="shared" si="92"/>
        <v>0</v>
      </c>
      <c r="G506" s="6">
        <f t="shared" si="99"/>
        <v>0</v>
      </c>
      <c r="H506" s="7">
        <f t="shared" si="93"/>
        <v>-1</v>
      </c>
      <c r="I506" s="7">
        <f t="shared" si="94"/>
        <v>-1</v>
      </c>
      <c r="J506" s="7" t="e">
        <f t="shared" si="95"/>
        <v>#DIV/0!</v>
      </c>
      <c r="K506" s="7">
        <f t="shared" si="100"/>
        <v>-0.19559584840809302</v>
      </c>
      <c r="L506" s="5" t="s">
        <v>416</v>
      </c>
      <c r="M506" s="7" t="str">
        <f>IF(R506="",(VLOOKUP(A506,[1]Export!$B$2:$H$680,7,0)),"CHURN")</f>
        <v>CHURN</v>
      </c>
      <c r="N506" s="5" t="e">
        <f t="shared" si="101"/>
        <v>#VALUE!</v>
      </c>
      <c r="O506" s="5" t="e">
        <f t="shared" si="102"/>
        <v>#VALUE!</v>
      </c>
      <c r="P506" s="5" t="e">
        <f t="shared" si="103"/>
        <v>#VALUE!</v>
      </c>
      <c r="Q506" s="5" t="s">
        <v>696</v>
      </c>
      <c r="R506" s="5" t="s">
        <v>428</v>
      </c>
      <c r="S506" s="5" t="str">
        <f>VLOOKUP(A506,[3]Sheet1!$A$1:$C$191,3,0)</f>
        <v>Sep.23</v>
      </c>
      <c r="T506" s="6" cm="1">
        <f t="array" ref="T506">IF(R506&lt;&gt;"Churn","",
 _xlfn.LET(
   _xlpm.rng,Y506:BF506,
   _xlpm.pos,MAX(IF((_xlpm.rng&lt;&gt;0)*(_xlpm.rng&lt;&gt;""),COLUMN(_xlpm.rng)-COLUMN(Y506)+1)),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8974.0524888465334</v>
      </c>
      <c r="U506" s="6" cm="1">
        <f t="array" ref="U506">IF(R506="Churn",
   MAX(IF((Y506:BF506&lt;&gt;"")*(Y506:BF506&lt;&gt;0), COLUMN(Y506:BF506)-COLUMN(Y506)+1))
   -MATCH(1, --((Y506:BF506&lt;&gt;"")*(Y506:BF506&lt;&gt;0)), 0)
   +1,
"")</f>
        <v>8</v>
      </c>
      <c r="V506" s="6" t="str" cm="1">
        <f t="array" ref="V506">IFERROR(
    IF(
        MATCH(2,1/((Y506:BF506&lt;&gt;0)*(Y506:BF506&lt;&gt;"")))-MATCH(1,INDEX((Y506:BF506&lt;&gt;0)*(Y506:BF506&lt;&gt;""),0),0)+1 &lt;= 12,
        "No",
        "Yes"
    ),
    "No"
)</f>
        <v>No</v>
      </c>
      <c r="W506" s="6" t="str" cm="1">
        <f t="array" ref="W506">IFERROR(
    IF(
        MATCH(2,1/((Y506:BF506&lt;&gt;0)*(Y506:BF506&lt;&gt;"")))-MATCH(1,INDEX((Y506:BF506&lt;&gt;0)*(Y506:BF506&lt;&gt;""),0),0)+1 &lt;= 24,
        "No",
        "Yes"
    ),
    "No"
)</f>
        <v>No</v>
      </c>
      <c r="Y506" s="8">
        <v>7463.3628846963747</v>
      </c>
      <c r="Z506" s="8">
        <v>11156.148897400619</v>
      </c>
      <c r="AA506" s="8">
        <v>11074.13872204439</v>
      </c>
      <c r="AB506" s="8">
        <v>10877.391083647137</v>
      </c>
      <c r="AC506" s="8">
        <v>10671.165874679862</v>
      </c>
      <c r="AD506" s="8">
        <v>8974.0524888465334</v>
      </c>
      <c r="AE506" s="8">
        <v>7953.0093611082684</v>
      </c>
      <c r="AF506" s="8">
        <v>7802.5439071794526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  <c r="BD506" s="8">
        <v>0</v>
      </c>
      <c r="BE506" s="8">
        <v>0</v>
      </c>
      <c r="BF506" s="8">
        <v>0</v>
      </c>
      <c r="BH506" s="8">
        <f t="shared" si="96"/>
        <v>75971.813219602642</v>
      </c>
      <c r="BI506" s="8">
        <f t="shared" si="97"/>
        <v>0</v>
      </c>
      <c r="BJ506" s="8">
        <f t="shared" si="98"/>
        <v>0</v>
      </c>
    </row>
    <row r="507" spans="1:62" x14ac:dyDescent="0.25">
      <c r="A507" s="9" t="s">
        <v>576</v>
      </c>
      <c r="B507" s="9" t="s">
        <v>643</v>
      </c>
      <c r="C507" s="10">
        <v>44927</v>
      </c>
      <c r="D507" s="6" cm="1">
        <f t="array" ref="D507">_xlfn.LET(
  _xlpm.aralık, Y507:BF507,
  _xlpm.ilk, MATCH(TRUE, _xlpm.aralık&lt;&gt;0, 0),
  _xlpm.son, MIN(_xlpm.ilk+2, COLUMNS(_xlpm.aralık)),
  MAX(INDEX(_xlpm.aralık, _xlpm.ilk):INDEX(_xlpm.aralık, _xlpm.son))
)</f>
        <v>360.83333333333331</v>
      </c>
      <c r="E507" s="6">
        <f t="shared" si="91"/>
        <v>0</v>
      </c>
      <c r="F507" s="6">
        <f t="shared" si="92"/>
        <v>0</v>
      </c>
      <c r="G507" s="6">
        <f t="shared" si="99"/>
        <v>0</v>
      </c>
      <c r="H507" s="7">
        <f t="shared" si="93"/>
        <v>-1</v>
      </c>
      <c r="I507" s="7">
        <f t="shared" si="94"/>
        <v>-1</v>
      </c>
      <c r="J507" s="7" t="e">
        <f t="shared" si="95"/>
        <v>#DIV/0!</v>
      </c>
      <c r="K507" s="7">
        <f t="shared" si="100"/>
        <v>0</v>
      </c>
      <c r="L507" s="5" t="s">
        <v>419</v>
      </c>
      <c r="M507" s="7" t="str">
        <f>IF(R507="",(VLOOKUP(A507,[1]Export!$B$2:$H$680,7,0)),"CHURN")</f>
        <v>CHURN</v>
      </c>
      <c r="N507" s="5" t="e">
        <f t="shared" si="101"/>
        <v>#VALUE!</v>
      </c>
      <c r="O507" s="5" t="e">
        <f t="shared" si="102"/>
        <v>#VALUE!</v>
      </c>
      <c r="P507" s="5" t="e">
        <f t="shared" si="103"/>
        <v>#VALUE!</v>
      </c>
      <c r="Q507" s="5" t="s">
        <v>696</v>
      </c>
      <c r="R507" s="5" t="s">
        <v>428</v>
      </c>
      <c r="S507" s="5" t="str">
        <f>VLOOKUP(A507,[3]Sheet1!$A$1:$C$191,3,0)</f>
        <v>Apr.23</v>
      </c>
      <c r="T507" s="6" cm="1">
        <f t="array" ref="T507">IF(R507&lt;&gt;"Churn","",
 _xlfn.LET(
   _xlpm.rng,Y507:BF507,
   _xlpm.pos,MAX(IF((_xlpm.rng&lt;&gt;0)*(_xlpm.rng&lt;&gt;""),COLUMN(_xlpm.rng)-COLUMN(Y507)+1)),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360.83333333333331</v>
      </c>
      <c r="U507" s="6" cm="1">
        <f t="array" ref="U507">IF(R507="Churn",
   MAX(IF((Y507:BF507&lt;&gt;"")*(Y507:BF507&lt;&gt;0), COLUMN(Y507:BF507)-COLUMN(Y507)+1))
   -MATCH(1, --((Y507:BF507&lt;&gt;"")*(Y507:BF507&lt;&gt;0)), 0)
   +1,
"")</f>
        <v>3</v>
      </c>
      <c r="V507" s="6" t="str" cm="1">
        <f t="array" ref="V507">IFERROR(
    IF(
        MATCH(2,1/((Y507:BF507&lt;&gt;0)*(Y507:BF507&lt;&gt;"")))-MATCH(1,INDEX((Y507:BF507&lt;&gt;0)*(Y507:BF507&lt;&gt;""),0),0)+1 &lt;= 12,
        "No",
        "Yes"
    ),
    "No"
)</f>
        <v>No</v>
      </c>
      <c r="W507" s="6" t="str" cm="1">
        <f t="array" ref="W507">IFERROR(
    IF(
        MATCH(2,1/((Y507:BF507&lt;&gt;0)*(Y507:BF507&lt;&gt;"")))-MATCH(1,INDEX((Y507:BF507&lt;&gt;0)*(Y507:BF507&lt;&gt;""),0),0)+1 &lt;= 24,
        "No",
        "Yes"
    ),
    "No"
)</f>
        <v>No</v>
      </c>
      <c r="Y507" s="8">
        <v>360.83333333333331</v>
      </c>
      <c r="Z507" s="8">
        <v>360.83333333333331</v>
      </c>
      <c r="AA507" s="8">
        <v>360.83333333333331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  <c r="AZ507" s="8">
        <v>0</v>
      </c>
      <c r="BA507" s="8">
        <v>0</v>
      </c>
      <c r="BB507" s="8">
        <v>0</v>
      </c>
      <c r="BC507" s="8">
        <v>0</v>
      </c>
      <c r="BD507" s="8">
        <v>0</v>
      </c>
      <c r="BE507" s="8">
        <v>0</v>
      </c>
      <c r="BF507" s="8">
        <v>0</v>
      </c>
      <c r="BH507" s="8">
        <f t="shared" si="96"/>
        <v>1082.5</v>
      </c>
      <c r="BI507" s="8">
        <f t="shared" si="97"/>
        <v>0</v>
      </c>
      <c r="BJ507" s="8">
        <f t="shared" si="98"/>
        <v>0</v>
      </c>
    </row>
    <row r="508" spans="1:62" x14ac:dyDescent="0.25">
      <c r="A508" s="9" t="s">
        <v>577</v>
      </c>
      <c r="B508" s="9" t="s">
        <v>643</v>
      </c>
      <c r="C508" s="10">
        <v>44927</v>
      </c>
      <c r="D508" s="6" cm="1">
        <f t="array" ref="D508">_xlfn.LET(
  _xlpm.aralık, Y508:BF508,
  _xlpm.ilk, MATCH(TRUE, _xlpm.aralık&lt;&gt;0, 0),
  _xlpm.son, MIN(_xlpm.ilk+2, COLUMNS(_xlpm.aralık)),
  MAX(INDEX(_xlpm.aralık, _xlpm.ilk):INDEX(_xlpm.aralık, _xlpm.son))
)</f>
        <v>2703.6666542709459</v>
      </c>
      <c r="E508" s="6">
        <f t="shared" si="91"/>
        <v>0</v>
      </c>
      <c r="F508" s="6">
        <f t="shared" si="92"/>
        <v>0</v>
      </c>
      <c r="G508" s="6">
        <f t="shared" si="99"/>
        <v>0</v>
      </c>
      <c r="H508" s="7">
        <f t="shared" si="93"/>
        <v>-1</v>
      </c>
      <c r="I508" s="7">
        <f t="shared" si="94"/>
        <v>-1</v>
      </c>
      <c r="J508" s="7" t="e">
        <f t="shared" si="95"/>
        <v>#DIV/0!</v>
      </c>
      <c r="K508" s="7">
        <f t="shared" si="100"/>
        <v>0</v>
      </c>
      <c r="L508" s="5" t="s">
        <v>419</v>
      </c>
      <c r="M508" s="7" t="str">
        <f>IF(R508="",(VLOOKUP(A508,[1]Export!$B$2:$H$680,7,0)),"CHURN")</f>
        <v>CHURN</v>
      </c>
      <c r="N508" s="5" t="e">
        <f t="shared" si="101"/>
        <v>#VALUE!</v>
      </c>
      <c r="O508" s="5" t="e">
        <f t="shared" si="102"/>
        <v>#VALUE!</v>
      </c>
      <c r="P508" s="5" t="e">
        <f t="shared" si="103"/>
        <v>#VALUE!</v>
      </c>
      <c r="Q508" s="5" t="s">
        <v>696</v>
      </c>
      <c r="R508" s="5" t="s">
        <v>428</v>
      </c>
      <c r="S508" s="5" t="str">
        <f>VLOOKUP(A508,[3]Sheet1!$A$1:$C$191,3,0)</f>
        <v>Mar.23</v>
      </c>
      <c r="T508" s="6" cm="1">
        <f t="array" ref="T508">IF(R508&lt;&gt;"Churn","",
 _xlfn.LET(
   _xlpm.rng,Y508:BF508,
   _xlpm.pos,MAX(IF((_xlpm.rng&lt;&gt;0)*(_xlpm.rng&lt;&gt;""),COLUMN(_xlpm.rng)-COLUMN(Y508)+1)),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2703.6666542709459</v>
      </c>
      <c r="U508" s="6" cm="1">
        <f t="array" ref="U508">IF(R508="Churn",
   MAX(IF((Y508:BF508&lt;&gt;"")*(Y508:BF508&lt;&gt;0), COLUMN(Y508:BF508)-COLUMN(Y508)+1))
   -MATCH(1, --((Y508:BF508&lt;&gt;"")*(Y508:BF508&lt;&gt;0)), 0)
   +1,
"")</f>
        <v>2</v>
      </c>
      <c r="V508" s="6" t="str" cm="1">
        <f t="array" ref="V508">IFERROR(
    IF(
        MATCH(2,1/((Y508:BF508&lt;&gt;0)*(Y508:BF508&lt;&gt;"")))-MATCH(1,INDEX((Y508:BF508&lt;&gt;0)*(Y508:BF508&lt;&gt;""),0),0)+1 &lt;= 12,
        "No",
        "Yes"
    ),
    "No"
)</f>
        <v>No</v>
      </c>
      <c r="W508" s="6" t="str" cm="1">
        <f t="array" ref="W508">IFERROR(
    IF(
        MATCH(2,1/((Y508:BF508&lt;&gt;0)*(Y508:BF508&lt;&gt;"")))-MATCH(1,INDEX((Y508:BF508&lt;&gt;0)*(Y508:BF508&lt;&gt;""),0),0)+1 &lt;= 24,
        "No",
        "Yes"
    ),
    "No"
)</f>
        <v>No</v>
      </c>
      <c r="Y508" s="8">
        <v>2663.6827431057191</v>
      </c>
      <c r="Z508" s="8">
        <v>2703.6666542709459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8">
        <v>0</v>
      </c>
      <c r="AZ508" s="8">
        <v>0</v>
      </c>
      <c r="BA508" s="8">
        <v>0</v>
      </c>
      <c r="BB508" s="8">
        <v>0</v>
      </c>
      <c r="BC508" s="8">
        <v>0</v>
      </c>
      <c r="BD508" s="8">
        <v>0</v>
      </c>
      <c r="BE508" s="8">
        <v>0</v>
      </c>
      <c r="BF508" s="8">
        <v>0</v>
      </c>
      <c r="BH508" s="8">
        <f t="shared" si="96"/>
        <v>5367.3493973766654</v>
      </c>
      <c r="BI508" s="8">
        <f t="shared" si="97"/>
        <v>0</v>
      </c>
      <c r="BJ508" s="8">
        <f t="shared" si="98"/>
        <v>0</v>
      </c>
    </row>
    <row r="509" spans="1:62" x14ac:dyDescent="0.25">
      <c r="A509" s="9" t="s">
        <v>578</v>
      </c>
      <c r="B509" s="9" t="s">
        <v>643</v>
      </c>
      <c r="C509" s="10">
        <v>44927</v>
      </c>
      <c r="D509" s="6" cm="1">
        <f t="array" ref="D509">_xlfn.LET(
  _xlpm.aralık, Y509:BF509,
  _xlpm.ilk, MATCH(TRUE, _xlpm.aralık&lt;&gt;0, 0),
  _xlpm.son, MIN(_xlpm.ilk+2, COLUMNS(_xlpm.aralık)),
  MAX(INDEX(_xlpm.aralık, _xlpm.ilk):INDEX(_xlpm.aralık, _xlpm.son))
)</f>
        <v>1416.1946978137678</v>
      </c>
      <c r="E509" s="6">
        <f t="shared" si="91"/>
        <v>0</v>
      </c>
      <c r="F509" s="6">
        <f t="shared" si="92"/>
        <v>0</v>
      </c>
      <c r="G509" s="6">
        <f t="shared" si="99"/>
        <v>0</v>
      </c>
      <c r="H509" s="7">
        <f t="shared" si="93"/>
        <v>-1</v>
      </c>
      <c r="I509" s="7">
        <f t="shared" si="94"/>
        <v>-1</v>
      </c>
      <c r="J509" s="7" t="e">
        <f t="shared" si="95"/>
        <v>#DIV/0!</v>
      </c>
      <c r="K509" s="7">
        <f t="shared" si="100"/>
        <v>0</v>
      </c>
      <c r="L509" s="5" t="s">
        <v>424</v>
      </c>
      <c r="M509" s="7" t="str">
        <f>IF(R509="",(VLOOKUP(A509,[1]Export!$B$2:$H$680,7,0)),"CHURN")</f>
        <v>CHURN</v>
      </c>
      <c r="N509" s="5" t="e">
        <f t="shared" si="101"/>
        <v>#VALUE!</v>
      </c>
      <c r="O509" s="5" t="e">
        <f t="shared" si="102"/>
        <v>#VALUE!</v>
      </c>
      <c r="P509" s="5" t="e">
        <f t="shared" si="103"/>
        <v>#VALUE!</v>
      </c>
      <c r="Q509" s="5" t="s">
        <v>696</v>
      </c>
      <c r="R509" s="5" t="s">
        <v>428</v>
      </c>
      <c r="S509" s="5" t="str">
        <f>VLOOKUP(A509,[3]Sheet1!$A$1:$C$191,3,0)</f>
        <v>Feb.23</v>
      </c>
      <c r="T509" s="6" cm="1">
        <f t="array" ref="T509">IF(R509&lt;&gt;"Churn","",
 _xlfn.LET(
   _xlpm.rng,Y509:BF509,
   _xlpm.pos,MAX(IF((_xlpm.rng&lt;&gt;0)*(_xlpm.rng&lt;&gt;""),COLUMN(_xlpm.rng)-COLUMN(Y509)+1)),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1416.1946978137678</v>
      </c>
      <c r="U509" s="6" cm="1">
        <f t="array" ref="U509">IF(R509="Churn",
   MAX(IF((Y509:BF509&lt;&gt;"")*(Y509:BF509&lt;&gt;0), COLUMN(Y509:BF509)-COLUMN(Y509)+1))
   -MATCH(1, --((Y509:BF509&lt;&gt;"")*(Y509:BF509&lt;&gt;0)), 0)
   +1,
"")</f>
        <v>1</v>
      </c>
      <c r="V509" s="6" t="str" cm="1">
        <f t="array" ref="V509">IFERROR(
    IF(
        MATCH(2,1/((Y509:BF509&lt;&gt;0)*(Y509:BF509&lt;&gt;"")))-MATCH(1,INDEX((Y509:BF509&lt;&gt;0)*(Y509:BF509&lt;&gt;""),0),0)+1 &lt;= 12,
        "No",
        "Yes"
    ),
    "No"
)</f>
        <v>No</v>
      </c>
      <c r="W509" s="6" t="str" cm="1">
        <f t="array" ref="W509">IFERROR(
    IF(
        MATCH(2,1/((Y509:BF509&lt;&gt;0)*(Y509:BF509&lt;&gt;"")))-MATCH(1,INDEX((Y509:BF509&lt;&gt;0)*(Y509:BF509&lt;&gt;""),0),0)+1 &lt;= 24,
        "No",
        "Yes"
    ),
    "No"
)</f>
        <v>No</v>
      </c>
      <c r="Y509" s="8">
        <v>1416.1946978137678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H509" s="8">
        <f t="shared" si="96"/>
        <v>1416.1946978137678</v>
      </c>
      <c r="BI509" s="8">
        <f t="shared" si="97"/>
        <v>0</v>
      </c>
      <c r="BJ509" s="8">
        <f t="shared" si="98"/>
        <v>0</v>
      </c>
    </row>
    <row r="510" spans="1:62" x14ac:dyDescent="0.25">
      <c r="A510" s="9" t="s">
        <v>579</v>
      </c>
      <c r="B510" s="9" t="s">
        <v>643</v>
      </c>
      <c r="C510" s="10">
        <f>VLOOKUP(A510,'[2]Revenue_Engine_2025 Oct.25'!$C$14:G$3937,5,0)</f>
        <v>44928</v>
      </c>
      <c r="D510" s="6" cm="1">
        <f t="array" ref="D510">_xlfn.LET(
  _xlpm.aralık, Y510:BF510,
  _xlpm.ilk, MATCH(TRUE, _xlpm.aralık&lt;&gt;0, 0),
  _xlpm.son, MIN(_xlpm.ilk+2, COLUMNS(_xlpm.aralık)),
  MAX(INDEX(_xlpm.aralık, _xlpm.ilk):INDEX(_xlpm.aralık, _xlpm.son))
)</f>
        <v>1332.7433722672099</v>
      </c>
      <c r="E510" s="6">
        <f t="shared" si="91"/>
        <v>0</v>
      </c>
      <c r="F510" s="6">
        <f t="shared" si="92"/>
        <v>0</v>
      </c>
      <c r="G510" s="6">
        <f t="shared" si="99"/>
        <v>0</v>
      </c>
      <c r="H510" s="7">
        <f t="shared" si="93"/>
        <v>-1</v>
      </c>
      <c r="I510" s="7">
        <f t="shared" si="94"/>
        <v>-1</v>
      </c>
      <c r="J510" s="7" t="e">
        <f t="shared" si="95"/>
        <v>#DIV/0!</v>
      </c>
      <c r="K510" s="7">
        <f t="shared" si="100"/>
        <v>0</v>
      </c>
      <c r="L510" s="5" t="s">
        <v>418</v>
      </c>
      <c r="M510" s="7" t="str">
        <f>IF(R510="",(VLOOKUP(A510,[1]Export!$B$2:$H$680,7,0)),"CHURN")</f>
        <v>CHURN</v>
      </c>
      <c r="N510" s="5" t="e">
        <f t="shared" si="101"/>
        <v>#VALUE!</v>
      </c>
      <c r="O510" s="5" t="e">
        <f t="shared" si="102"/>
        <v>#VALUE!</v>
      </c>
      <c r="P510" s="5" t="e">
        <f t="shared" si="103"/>
        <v>#VALUE!</v>
      </c>
      <c r="Q510" s="5" t="s">
        <v>696</v>
      </c>
      <c r="R510" s="5" t="s">
        <v>428</v>
      </c>
      <c r="S510" s="5" t="str">
        <f>VLOOKUP(A510,[3]Sheet1!$A$1:$C$191,3,0)</f>
        <v>Feb.23</v>
      </c>
      <c r="T510" s="6" cm="1">
        <f t="array" ref="T510">IF(R510&lt;&gt;"Churn","",
 _xlfn.LET(
   _xlpm.rng,Y510:BF510,
   _xlpm.pos,MAX(IF((_xlpm.rng&lt;&gt;0)*(_xlpm.rng&lt;&gt;""),COLUMN(_xlpm.rng)-COLUMN(Y510)+1)),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1332.7433722672099</v>
      </c>
      <c r="U510" s="6" cm="1">
        <f t="array" ref="U510">IF(R510="Churn",
   MAX(IF((Y510:BF510&lt;&gt;"")*(Y510:BF510&lt;&gt;0), COLUMN(Y510:BF510)-COLUMN(Y510)+1))
   -MATCH(1, --((Y510:BF510&lt;&gt;"")*(Y510:BF510&lt;&gt;0)), 0)
   +1,
"")</f>
        <v>1</v>
      </c>
      <c r="V510" s="6" t="str" cm="1">
        <f t="array" ref="V510">IFERROR(
    IF(
        MATCH(2,1/((Y510:BF510&lt;&gt;0)*(Y510:BF510&lt;&gt;"")))-MATCH(1,INDEX((Y510:BF510&lt;&gt;0)*(Y510:BF510&lt;&gt;""),0),0)+1 &lt;= 12,
        "No",
        "Yes"
    ),
    "No"
)</f>
        <v>No</v>
      </c>
      <c r="W510" s="6" t="str" cm="1">
        <f t="array" ref="W510">IFERROR(
    IF(
        MATCH(2,1/((Y510:BF510&lt;&gt;0)*(Y510:BF510&lt;&gt;"")))-MATCH(1,INDEX((Y510:BF510&lt;&gt;0)*(Y510:BF510&lt;&gt;""),0),0)+1 &lt;= 24,
        "No",
        "Yes"
    ),
    "No"
)</f>
        <v>No</v>
      </c>
      <c r="Y510" s="8">
        <v>1332.7433722672099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0</v>
      </c>
      <c r="BD510" s="8">
        <v>0</v>
      </c>
      <c r="BE510" s="8">
        <v>0</v>
      </c>
      <c r="BF510" s="8">
        <v>0</v>
      </c>
      <c r="BH510" s="8">
        <f t="shared" si="96"/>
        <v>1332.7433722672099</v>
      </c>
      <c r="BI510" s="8">
        <f t="shared" si="97"/>
        <v>0</v>
      </c>
      <c r="BJ510" s="8">
        <f t="shared" si="98"/>
        <v>0</v>
      </c>
    </row>
    <row r="511" spans="1:62" x14ac:dyDescent="0.25">
      <c r="A511" s="9" t="s">
        <v>580</v>
      </c>
      <c r="B511" s="9" t="s">
        <v>643</v>
      </c>
      <c r="C511" s="10">
        <f>VLOOKUP(A511,'[2]Revenue_Engine_2025 Oct.25'!$C$14:G$3937,5,0)</f>
        <v>45231</v>
      </c>
      <c r="D511" s="6" cm="1">
        <f t="array" ref="D511">_xlfn.LET(
  _xlpm.aralık, Y511:BF511,
  _xlpm.ilk, MATCH(TRUE, _xlpm.aralık&lt;&gt;0, 0),
  _xlpm.son, MIN(_xlpm.ilk+2, COLUMNS(_xlpm.aralık)),
  MAX(INDEX(_xlpm.aralık, _xlpm.ilk):INDEX(_xlpm.aralık, _xlpm.son))
)</f>
        <v>950</v>
      </c>
      <c r="E511" s="6">
        <f t="shared" si="91"/>
        <v>0</v>
      </c>
      <c r="F511" s="6">
        <f t="shared" si="92"/>
        <v>0</v>
      </c>
      <c r="G511" s="6">
        <f t="shared" si="99"/>
        <v>0</v>
      </c>
      <c r="H511" s="7">
        <f t="shared" si="93"/>
        <v>-1</v>
      </c>
      <c r="I511" s="7">
        <f t="shared" si="94"/>
        <v>-1</v>
      </c>
      <c r="J511" s="7" t="e">
        <f t="shared" si="95"/>
        <v>#DIV/0!</v>
      </c>
      <c r="K511" s="7">
        <f t="shared" si="100"/>
        <v>0</v>
      </c>
      <c r="L511" s="5" t="s">
        <v>418</v>
      </c>
      <c r="M511" s="7" t="str">
        <f>IF(R511="",(VLOOKUP(A511,[1]Export!$B$2:$H$680,7,0)),"CHURN")</f>
        <v>CHURN</v>
      </c>
      <c r="N511" s="5" t="e">
        <f t="shared" si="101"/>
        <v>#VALUE!</v>
      </c>
      <c r="O511" s="5" t="e">
        <f t="shared" si="102"/>
        <v>#VALUE!</v>
      </c>
      <c r="P511" s="5" t="e">
        <f t="shared" si="103"/>
        <v>#VALUE!</v>
      </c>
      <c r="Q511" s="5" t="s">
        <v>696</v>
      </c>
      <c r="R511" s="5" t="s">
        <v>428</v>
      </c>
      <c r="S511" s="5" t="str">
        <f>VLOOKUP(A511,[3]Sheet1!$A$1:$C$191,3,0)</f>
        <v>Feb.24</v>
      </c>
      <c r="T511" s="6" cm="1">
        <f t="array" ref="T511">IF(R511&lt;&gt;"Churn","",
 _xlfn.LET(
   _xlpm.rng,Y511:BF511,
   _xlpm.pos,MAX(IF((_xlpm.rng&lt;&gt;0)*(_xlpm.rng&lt;&gt;""),COLUMN(_xlpm.rng)-COLUMN(Y511)+1)),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950</v>
      </c>
      <c r="U511" s="6" cm="1">
        <f t="array" ref="U511">IF(R511="Churn",
   MAX(IF((Y511:BF511&lt;&gt;"")*(Y511:BF511&lt;&gt;0), COLUMN(Y511:BF511)-COLUMN(Y511)+1))
   -MATCH(1, --((Y511:BF511&lt;&gt;"")*(Y511:BF511&lt;&gt;0)), 0)
   +1,
"")</f>
        <v>4</v>
      </c>
      <c r="V511" s="6" t="str" cm="1">
        <f t="array" ref="V511">IFERROR(
    IF(
        MATCH(2,1/((Y511:BF511&lt;&gt;0)*(Y511:BF511&lt;&gt;"")))-MATCH(1,INDEX((Y511:BF511&lt;&gt;0)*(Y511:BF511&lt;&gt;""),0),0)+1 &lt;= 12,
        "No",
        "Yes"
    ),
    "No"
)</f>
        <v>No</v>
      </c>
      <c r="W511" s="6" t="str" cm="1">
        <f t="array" ref="W511">IFERROR(
    IF(
        MATCH(2,1/((Y511:BF511&lt;&gt;0)*(Y511:BF511&lt;&gt;"")))-MATCH(1,INDEX((Y511:BF511&lt;&gt;0)*(Y511:BF511&lt;&gt;""),0),0)+1 &lt;= 24,
        "No",
        "Yes"
    ),
    "No"
)</f>
        <v>No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950</v>
      </c>
      <c r="AJ511" s="8">
        <v>950</v>
      </c>
      <c r="AK511" s="8">
        <v>950</v>
      </c>
      <c r="AL511" s="8">
        <v>-950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H511" s="8">
        <f t="shared" si="96"/>
        <v>1900</v>
      </c>
      <c r="BI511" s="8">
        <f t="shared" si="97"/>
        <v>0</v>
      </c>
      <c r="BJ511" s="8">
        <f t="shared" si="98"/>
        <v>0</v>
      </c>
    </row>
    <row r="512" spans="1:62" x14ac:dyDescent="0.25">
      <c r="A512" s="9" t="s">
        <v>581</v>
      </c>
      <c r="B512" s="9" t="s">
        <v>643</v>
      </c>
      <c r="C512" s="10">
        <f>VLOOKUP(A512,'[2]Revenue_Engine_2025 Oct.25'!$C$14:G$3937,5,0)</f>
        <v>45343</v>
      </c>
      <c r="D512" s="6" cm="1">
        <f t="array" ref="D512">_xlfn.LET(
  _xlpm.aralık, Y512:BF512,
  _xlpm.ilk, MATCH(TRUE, _xlpm.aralık&lt;&gt;0, 0),
  _xlpm.son, MIN(_xlpm.ilk+2, COLUMNS(_xlpm.aralık)),
  MAX(INDEX(_xlpm.aralık, _xlpm.ilk):INDEX(_xlpm.aralık, _xlpm.son))
)</f>
        <v>1750</v>
      </c>
      <c r="E512" s="6">
        <f t="shared" si="91"/>
        <v>0</v>
      </c>
      <c r="F512" s="6">
        <f t="shared" si="92"/>
        <v>0</v>
      </c>
      <c r="G512" s="6">
        <f t="shared" si="99"/>
        <v>0</v>
      </c>
      <c r="H512" s="7">
        <f t="shared" si="93"/>
        <v>-1</v>
      </c>
      <c r="I512" s="7">
        <f t="shared" si="94"/>
        <v>-1</v>
      </c>
      <c r="J512" s="7" t="e">
        <f t="shared" si="95"/>
        <v>#DIV/0!</v>
      </c>
      <c r="K512" s="7">
        <f t="shared" si="100"/>
        <v>0</v>
      </c>
      <c r="L512" s="5" t="s">
        <v>416</v>
      </c>
      <c r="M512" s="7" t="str">
        <f>IF(R512="",(VLOOKUP(A512,[1]Export!$B$2:$H$680,7,0)),"CHURN")</f>
        <v>CHURN</v>
      </c>
      <c r="N512" s="5" t="e">
        <f t="shared" si="101"/>
        <v>#VALUE!</v>
      </c>
      <c r="O512" s="5" t="e">
        <f t="shared" si="102"/>
        <v>#VALUE!</v>
      </c>
      <c r="P512" s="5" t="e">
        <f t="shared" si="103"/>
        <v>#VALUE!</v>
      </c>
      <c r="Q512" s="5" t="s">
        <v>696</v>
      </c>
      <c r="R512" s="5" t="s">
        <v>428</v>
      </c>
      <c r="S512" s="5" t="s">
        <v>661</v>
      </c>
      <c r="T512" s="6" cm="1">
        <f t="array" ref="T512">IF(R512&lt;&gt;"Churn","",
 _xlfn.LET(
   _xlpm.rng,Y512:BF512,
   _xlpm.pos,MAX(IF((_xlpm.rng&lt;&gt;0)*(_xlpm.rng&lt;&gt;""),COLUMN(_xlpm.rng)-COLUMN(Y512)+1)),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1750</v>
      </c>
      <c r="U512" s="6" cm="1">
        <f t="array" ref="U512">IF(R512="Churn",
   MAX(IF((Y512:BF512&lt;&gt;"")*(Y512:BF512&lt;&gt;0), COLUMN(Y512:BF512)-COLUMN(Y512)+1))
   -MATCH(1, --((Y512:BF512&lt;&gt;"")*(Y512:BF512&lt;&gt;0)), 0)
   +1,
"")</f>
        <v>1</v>
      </c>
      <c r="V512" s="6" t="str" cm="1">
        <f t="array" ref="V512">IFERROR(
    IF(
        MATCH(2,1/((Y512:BF512&lt;&gt;0)*(Y512:BF512&lt;&gt;"")))-MATCH(1,INDEX((Y512:BF512&lt;&gt;0)*(Y512:BF512&lt;&gt;""),0),0)+1 &lt;= 12,
        "No",
        "Yes"
    ),
    "No"
)</f>
        <v>No</v>
      </c>
      <c r="W512" s="6" t="str" cm="1">
        <f t="array" ref="W512">IFERROR(
    IF(
        MATCH(2,1/((Y512:BF512&lt;&gt;0)*(Y512:BF512&lt;&gt;"")))-MATCH(1,INDEX((Y512:BF512&lt;&gt;0)*(Y512:BF512&lt;&gt;""),0),0)+1 &lt;= 24,
        "No",
        "Yes"
    ),
    "No"
)</f>
        <v>No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1750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  <c r="AZ512" s="8">
        <v>0</v>
      </c>
      <c r="BA512" s="8">
        <v>0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H512" s="8">
        <f t="shared" si="96"/>
        <v>0</v>
      </c>
      <c r="BI512" s="8">
        <f t="shared" si="97"/>
        <v>1750</v>
      </c>
      <c r="BJ512" s="8">
        <f t="shared" si="98"/>
        <v>0</v>
      </c>
    </row>
    <row r="513" spans="1:62" x14ac:dyDescent="0.25">
      <c r="A513" s="9" t="s">
        <v>582</v>
      </c>
      <c r="B513" s="9" t="s">
        <v>643</v>
      </c>
      <c r="C513" s="10">
        <v>44927</v>
      </c>
      <c r="D513" s="6" cm="1">
        <f t="array" ref="D513">_xlfn.LET(
  _xlpm.aralık, Y513:BF513,
  _xlpm.ilk, MATCH(TRUE, _xlpm.aralık&lt;&gt;0, 0),
  _xlpm.son, MIN(_xlpm.ilk+2, COLUMNS(_xlpm.aralık)),
  MAX(INDEX(_xlpm.aralık, _xlpm.ilk):INDEX(_xlpm.aralık, _xlpm.son))
)</f>
        <v>533.09734890688389</v>
      </c>
      <c r="E513" s="6">
        <f t="shared" si="91"/>
        <v>0</v>
      </c>
      <c r="F513" s="6">
        <f t="shared" si="92"/>
        <v>0</v>
      </c>
      <c r="G513" s="6">
        <f t="shared" si="99"/>
        <v>0</v>
      </c>
      <c r="H513" s="7">
        <f t="shared" si="93"/>
        <v>-1</v>
      </c>
      <c r="I513" s="7">
        <f t="shared" si="94"/>
        <v>-1</v>
      </c>
      <c r="J513" s="7" t="e">
        <f t="shared" si="95"/>
        <v>#DIV/0!</v>
      </c>
      <c r="K513" s="7">
        <f t="shared" si="100"/>
        <v>0</v>
      </c>
      <c r="L513" s="5" t="s">
        <v>419</v>
      </c>
      <c r="M513" s="7" t="str">
        <f>IF(R513="",(VLOOKUP(A513,[1]Export!$B$2:$H$680,7,0)),"CHURN")</f>
        <v>CHURN</v>
      </c>
      <c r="N513" s="5" t="e">
        <f t="shared" si="101"/>
        <v>#VALUE!</v>
      </c>
      <c r="O513" s="5" t="e">
        <f t="shared" si="102"/>
        <v>#VALUE!</v>
      </c>
      <c r="P513" s="5" t="e">
        <f t="shared" si="103"/>
        <v>#VALUE!</v>
      </c>
      <c r="Q513" s="5" t="s">
        <v>696</v>
      </c>
      <c r="R513" s="5" t="s">
        <v>428</v>
      </c>
      <c r="S513" s="5" t="str">
        <f>VLOOKUP(A513,[3]Sheet1!$A$1:$C$191,3,0)</f>
        <v>Apr.23</v>
      </c>
      <c r="T513" s="6" cm="1">
        <f t="array" ref="T513">IF(R513&lt;&gt;"Churn","",
 _xlfn.LET(
   _xlpm.rng,Y513:BF513,
   _xlpm.pos,MAX(IF((_xlpm.rng&lt;&gt;0)*(_xlpm.rng&lt;&gt;""),COLUMN(_xlpm.rng)-COLUMN(Y513)+1)),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533.09734890688389</v>
      </c>
      <c r="U513" s="6" cm="1">
        <f t="array" ref="U513">IF(R513="Churn",
   MAX(IF((Y513:BF513&lt;&gt;"")*(Y513:BF513&lt;&gt;0), COLUMN(Y513:BF513)-COLUMN(Y513)+1))
   -MATCH(1, --((Y513:BF513&lt;&gt;"")*(Y513:BF513&lt;&gt;0)), 0)
   +1,
"")</f>
        <v>3</v>
      </c>
      <c r="V513" s="6" t="str" cm="1">
        <f t="array" ref="V513">IFERROR(
    IF(
        MATCH(2,1/((Y513:BF513&lt;&gt;0)*(Y513:BF513&lt;&gt;"")))-MATCH(1,INDEX((Y513:BF513&lt;&gt;0)*(Y513:BF513&lt;&gt;""),0),0)+1 &lt;= 12,
        "No",
        "Yes"
    ),
    "No"
)</f>
        <v>No</v>
      </c>
      <c r="W513" s="6" t="str" cm="1">
        <f t="array" ref="W513">IFERROR(
    IF(
        MATCH(2,1/((Y513:BF513&lt;&gt;0)*(Y513:BF513&lt;&gt;"")))-MATCH(1,INDEX((Y513:BF513&lt;&gt;0)*(Y513:BF513&lt;&gt;""),0),0)+1 &lt;= 24,
        "No",
        "Yes"
    ),
    "No"
)</f>
        <v>No</v>
      </c>
      <c r="Y513" s="8">
        <v>533.09734890688389</v>
      </c>
      <c r="Z513" s="8">
        <v>531.24518559050557</v>
      </c>
      <c r="AA513" s="8">
        <v>527.33993914497103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H513" s="8">
        <f t="shared" si="96"/>
        <v>1591.6824736423605</v>
      </c>
      <c r="BI513" s="8">
        <f t="shared" si="97"/>
        <v>0</v>
      </c>
      <c r="BJ513" s="8">
        <f t="shared" si="98"/>
        <v>0</v>
      </c>
    </row>
    <row r="514" spans="1:62" x14ac:dyDescent="0.25">
      <c r="A514" s="9" t="s">
        <v>327</v>
      </c>
      <c r="B514" s="9" t="s">
        <v>643</v>
      </c>
      <c r="C514" s="10">
        <v>44927</v>
      </c>
      <c r="D514" s="6" cm="1">
        <f t="array" ref="D514">_xlfn.LET(
  _xlpm.aralık, Y514:BF514,
  _xlpm.ilk, MATCH(TRUE, _xlpm.aralık&lt;&gt;0, 0),
  _xlpm.son, MIN(_xlpm.ilk+2, COLUMNS(_xlpm.aralık)),
  MAX(INDEX(_xlpm.aralık, _xlpm.ilk):INDEX(_xlpm.aralık, _xlpm.son))
)</f>
        <v>807.162695979913</v>
      </c>
      <c r="E514" s="6">
        <f t="shared" ref="E514:E577" si="104">IFERROR(INDEX($Y514:$BF514,MATCH(TEXT(EDATE($C514,12),"mmm.yy"),$Y$1:$BF$1,0)),0)</f>
        <v>0</v>
      </c>
      <c r="F514" s="6">
        <f t="shared" ref="F514:F577" si="105">IFERROR(INDEX($Y514:$BF514,MATCH(TEXT(EDATE($C514,24),"mmm.yy"),$Y$1:$BF$1,0)),0)</f>
        <v>0</v>
      </c>
      <c r="G514" s="6">
        <f t="shared" si="99"/>
        <v>0</v>
      </c>
      <c r="H514" s="7">
        <f t="shared" ref="H514:H577" si="106">(E514-D514)/D514</f>
        <v>-1</v>
      </c>
      <c r="I514" s="7">
        <f t="shared" ref="I514:I577" si="107">(F514-D514)/D514</f>
        <v>-1</v>
      </c>
      <c r="J514" s="7" t="e">
        <f t="shared" ref="J514:J577" si="108">(F514-E514)/E514</f>
        <v>#DIV/0!</v>
      </c>
      <c r="K514" s="7">
        <f t="shared" si="100"/>
        <v>0</v>
      </c>
      <c r="L514" s="5" t="s">
        <v>414</v>
      </c>
      <c r="M514" s="7" t="str">
        <f>IF(R514="",(VLOOKUP(A514,[1]Export!$B$2:$H$680,7,0)),"CHURN")</f>
        <v>CHURN</v>
      </c>
      <c r="N514" s="5" t="e">
        <f t="shared" si="101"/>
        <v>#VALUE!</v>
      </c>
      <c r="O514" s="5" t="e">
        <f t="shared" si="102"/>
        <v>#VALUE!</v>
      </c>
      <c r="P514" s="5" t="e">
        <f t="shared" si="103"/>
        <v>#VALUE!</v>
      </c>
      <c r="Q514" s="5" t="s">
        <v>696</v>
      </c>
      <c r="R514" s="5" t="s">
        <v>428</v>
      </c>
      <c r="S514" s="5" t="s">
        <v>648</v>
      </c>
      <c r="T514" s="6" cm="1">
        <f t="array" ref="T514">IF(R514&lt;&gt;"Churn","",
 _xlfn.LET(
   _xlpm.rng,Y514:BF514,
   _xlpm.pos,MAX(IF((_xlpm.rng&lt;&gt;0)*(_xlpm.rng&lt;&gt;""),COLUMN(_xlpm.rng)-COLUMN(Y514)+1)),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807.162695979913</v>
      </c>
      <c r="U514" s="6" cm="1">
        <f t="array" ref="U514">IF(R514="Churn",
   MAX(IF((Y514:BF514&lt;&gt;"")*(Y514:BF514&lt;&gt;0), COLUMN(Y514:BF514)-COLUMN(Y514)+1))
   -MATCH(1, --((Y514:BF514&lt;&gt;"")*(Y514:BF514&lt;&gt;0)), 0)
   +1,
"")</f>
        <v>3</v>
      </c>
      <c r="V514" s="6" t="str" cm="1">
        <f t="array" ref="V514">IFERROR(
    IF(
        MATCH(2,1/((Y514:BF514&lt;&gt;0)*(Y514:BF514&lt;&gt;"")))-MATCH(1,INDEX((Y514:BF514&lt;&gt;0)*(Y514:BF514&lt;&gt;""),0),0)+1 &lt;= 12,
        "No",
        "Yes"
    ),
    "No"
)</f>
        <v>No</v>
      </c>
      <c r="W514" s="6" t="str" cm="1">
        <f t="array" ref="W514">IFERROR(
    IF(
        MATCH(2,1/((Y514:BF514&lt;&gt;0)*(Y514:BF514&lt;&gt;"")))-MATCH(1,INDEX((Y514:BF514&lt;&gt;0)*(Y514:BF514&lt;&gt;""),0),0)+1 &lt;= 24,
        "No",
        "Yes"
    ),
    "No"
)</f>
        <v>No</v>
      </c>
      <c r="Y514" s="8">
        <v>807.162695979913</v>
      </c>
      <c r="Z514" s="8">
        <v>804.35833550258451</v>
      </c>
      <c r="AA514" s="8">
        <v>798.44540185940059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  <c r="AZ514" s="8">
        <v>0</v>
      </c>
      <c r="BA514" s="8">
        <v>0</v>
      </c>
      <c r="BB514" s="8">
        <v>0</v>
      </c>
      <c r="BC514" s="8">
        <v>0</v>
      </c>
      <c r="BD514" s="8">
        <v>0</v>
      </c>
      <c r="BE514" s="8">
        <v>0</v>
      </c>
      <c r="BF514" s="8">
        <v>0</v>
      </c>
      <c r="BH514" s="8">
        <f t="shared" ref="BH514:BH577" si="109">SUM(Y514:AJ514)</f>
        <v>2409.9664333418982</v>
      </c>
      <c r="BI514" s="8">
        <f t="shared" ref="BI514:BI577" si="110">SUM(AK514:AV514)</f>
        <v>0</v>
      </c>
      <c r="BJ514" s="8">
        <f t="shared" ref="BJ514:BJ577" si="111">SUM(AW514:BF514)</f>
        <v>0</v>
      </c>
    </row>
    <row r="515" spans="1:62" x14ac:dyDescent="0.25">
      <c r="A515" s="9" t="s">
        <v>333</v>
      </c>
      <c r="B515" s="9" t="s">
        <v>643</v>
      </c>
      <c r="C515" s="10">
        <v>44927</v>
      </c>
      <c r="D515" s="6" cm="1">
        <f t="array" ref="D515">_xlfn.LET(
  _xlpm.aralık, Y515:BF515,
  _xlpm.ilk, MATCH(TRUE, _xlpm.aralık&lt;&gt;0, 0),
  _xlpm.son, MIN(_xlpm.ilk+2, COLUMNS(_xlpm.aralık)),
  MAX(INDEX(_xlpm.aralık, _xlpm.ilk):INDEX(_xlpm.aralık, _xlpm.son))
)</f>
        <v>10272.371078568378</v>
      </c>
      <c r="E515" s="6">
        <f t="shared" si="104"/>
        <v>9849.1812516463324</v>
      </c>
      <c r="F515" s="6">
        <f t="shared" si="105"/>
        <v>0</v>
      </c>
      <c r="G515" s="6">
        <f t="shared" ref="G515:G578" si="112">BF515</f>
        <v>0</v>
      </c>
      <c r="H515" s="7">
        <f t="shared" si="106"/>
        <v>-4.1196898329049061E-2</v>
      </c>
      <c r="I515" s="7">
        <f t="shared" si="107"/>
        <v>-1</v>
      </c>
      <c r="J515" s="7">
        <f t="shared" si="108"/>
        <v>-1</v>
      </c>
      <c r="K515" s="7">
        <f t="shared" ref="K515:K578" si="113">IF(R515="",((BF515-D515)/D515),((T515-D515)/D515))</f>
        <v>-4.1196898329049061E-2</v>
      </c>
      <c r="L515" s="5" t="s">
        <v>418</v>
      </c>
      <c r="M515" s="7" t="str">
        <f>IF(R515="",(VLOOKUP(A515,[1]Export!$B$2:$H$680,7,0)),"CHURN")</f>
        <v>CHURN</v>
      </c>
      <c r="N515" s="5" t="e">
        <f t="shared" ref="N515:N578" si="114">(1-M515)*G515</f>
        <v>#VALUE!</v>
      </c>
      <c r="O515" s="5" t="e">
        <f t="shared" ref="O515:O578" si="115">(1-M515)*E515</f>
        <v>#VALUE!</v>
      </c>
      <c r="P515" s="5" t="e">
        <f t="shared" ref="P515:P578" si="116">(1-M515)*F515</f>
        <v>#VALUE!</v>
      </c>
      <c r="Q515" s="5" t="s">
        <v>696</v>
      </c>
      <c r="R515" s="5" t="s">
        <v>428</v>
      </c>
      <c r="S515" s="5" t="str">
        <f>VLOOKUP(A515,[3]Sheet1!$A$1:$C$191,3,0)</f>
        <v>Apr.24</v>
      </c>
      <c r="T515" s="6" cm="1">
        <f t="array" ref="T515">IF(R515&lt;&gt;"Churn","",
 _xlfn.LET(
   _xlpm.rng,Y515:BF515,
   _xlpm.pos,MAX(IF((_xlpm.rng&lt;&gt;0)*(_xlpm.rng&lt;&gt;""),COLUMN(_xlpm.rng)-COLUMN(Y515)+1)),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9849.1812516463324</v>
      </c>
      <c r="U515" s="6" cm="1">
        <f t="array" ref="U515">IF(R515="Churn",
   MAX(IF((Y515:BF515&lt;&gt;"")*(Y515:BF515&lt;&gt;0), COLUMN(Y515:BF515)-COLUMN(Y515)+1))
   -MATCH(1, --((Y515:BF515&lt;&gt;"")*(Y515:BF515&lt;&gt;0)), 0)
   +1,
"")</f>
        <v>15</v>
      </c>
      <c r="V515" s="6" t="str" cm="1">
        <f t="array" ref="V515">IFERROR(
    IF(
        MATCH(2,1/((Y515:BF515&lt;&gt;0)*(Y515:BF515&lt;&gt;"")))-MATCH(1,INDEX((Y515:BF515&lt;&gt;0)*(Y515:BF515&lt;&gt;""),0),0)+1 &lt;= 12,
        "No",
        "Yes"
    ),
    "No"
)</f>
        <v>Yes</v>
      </c>
      <c r="W515" s="6" t="str" cm="1">
        <f t="array" ref="W515">IFERROR(
    IF(
        MATCH(2,1/((Y515:BF515&lt;&gt;0)*(Y515:BF515&lt;&gt;"")))-MATCH(1,INDEX((Y515:BF515&lt;&gt;0)*(Y515:BF515&lt;&gt;""),0),0)+1 &lt;= 24,
        "No",
        "Yes"
    ),
    "No"
)</f>
        <v>No</v>
      </c>
      <c r="Y515" s="8">
        <v>10096.962944403278</v>
      </c>
      <c r="Z515" s="8">
        <v>10037.621721553149</v>
      </c>
      <c r="AA515" s="8">
        <v>10272.371078568378</v>
      </c>
      <c r="AB515" s="8">
        <v>10083.287147585479</v>
      </c>
      <c r="AC515" s="8">
        <v>9895.3490780621178</v>
      </c>
      <c r="AD515" s="8">
        <v>8321.6194992051569</v>
      </c>
      <c r="AE515" s="8">
        <v>7398.8920162014165</v>
      </c>
      <c r="AF515" s="8">
        <v>7409.2813114218088</v>
      </c>
      <c r="AG515" s="8">
        <v>7448.2607194693255</v>
      </c>
      <c r="AH515" s="8">
        <v>11313.922168021836</v>
      </c>
      <c r="AI515" s="8">
        <v>10307.088503965657</v>
      </c>
      <c r="AJ515" s="8">
        <v>10253.123267195449</v>
      </c>
      <c r="AK515" s="8">
        <v>9849.1812516463324</v>
      </c>
      <c r="AL515" s="8">
        <v>9622.9054410643657</v>
      </c>
      <c r="AM515" s="8">
        <v>8737.0807251035476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  <c r="AZ515" s="8">
        <v>0</v>
      </c>
      <c r="BA515" s="8">
        <v>0</v>
      </c>
      <c r="BB515" s="8">
        <v>0</v>
      </c>
      <c r="BC515" s="8">
        <v>0</v>
      </c>
      <c r="BD515" s="8">
        <v>0</v>
      </c>
      <c r="BE515" s="8">
        <v>0</v>
      </c>
      <c r="BF515" s="8">
        <v>0</v>
      </c>
      <c r="BH515" s="8">
        <f t="shared" si="109"/>
        <v>112837.77945565306</v>
      </c>
      <c r="BI515" s="8">
        <f t="shared" si="110"/>
        <v>28209.167417814246</v>
      </c>
      <c r="BJ515" s="8">
        <f t="shared" si="111"/>
        <v>0</v>
      </c>
    </row>
    <row r="516" spans="1:62" x14ac:dyDescent="0.25">
      <c r="A516" s="9" t="s">
        <v>10</v>
      </c>
      <c r="B516" s="9" t="s">
        <v>644</v>
      </c>
      <c r="C516" s="10">
        <v>44927</v>
      </c>
      <c r="D516" s="6" cm="1">
        <f t="array" ref="D516">_xlfn.LET(
  _xlpm.aralık, Y516:BF516,
  _xlpm.ilk, MATCH(TRUE, _xlpm.aralık&lt;&gt;0, 0),
  _xlpm.son, MIN(_xlpm.ilk+2, COLUMNS(_xlpm.aralık)),
  MAX(INDEX(_xlpm.aralık, _xlpm.ilk):INDEX(_xlpm.aralık, _xlpm.son))
)</f>
        <v>927.41972087022816</v>
      </c>
      <c r="E516" s="6">
        <f t="shared" si="104"/>
        <v>930.15822740849717</v>
      </c>
      <c r="F516" s="6">
        <f t="shared" si="105"/>
        <v>1414.3294432427406</v>
      </c>
      <c r="G516" s="6">
        <f t="shared" si="112"/>
        <v>0</v>
      </c>
      <c r="H516" s="7">
        <f t="shared" si="106"/>
        <v>2.9528232758511725E-3</v>
      </c>
      <c r="I516" s="7">
        <f t="shared" si="107"/>
        <v>0.52501549343336062</v>
      </c>
      <c r="J516" s="7">
        <f t="shared" si="108"/>
        <v>0.52052564990279893</v>
      </c>
      <c r="K516" s="7">
        <f t="shared" si="113"/>
        <v>0.52501549343336062</v>
      </c>
      <c r="L516" s="5" t="s">
        <v>418</v>
      </c>
      <c r="M516" s="7" t="str">
        <f>IF(R516="",(VLOOKUP(A516,[1]Export!$B$2:$H$680,7,0)),"CHURN")</f>
        <v>CHURN</v>
      </c>
      <c r="N516" s="5" t="e">
        <f t="shared" si="114"/>
        <v>#VALUE!</v>
      </c>
      <c r="O516" s="5" t="e">
        <f t="shared" si="115"/>
        <v>#VALUE!</v>
      </c>
      <c r="P516" s="5" t="e">
        <f t="shared" si="116"/>
        <v>#VALUE!</v>
      </c>
      <c r="Q516" s="5" t="s">
        <v>696</v>
      </c>
      <c r="R516" s="5" t="s">
        <v>428</v>
      </c>
      <c r="S516" s="5" t="str">
        <f>VLOOKUP(A516,[3]Sheet1!$A$1:$C$191,3,0)</f>
        <v>Mar.25</v>
      </c>
      <c r="T516" s="6" cm="1">
        <f t="array" ref="T516">IF(R516&lt;&gt;"Churn","",
 _xlfn.LET(
   _xlpm.rng,Y516:BF516,
   _xlpm.pos,MAX(IF((_xlpm.rng&lt;&gt;0)*(_xlpm.rng&lt;&gt;""),COLUMN(_xlpm.rng)-COLUMN(Y516)+1)),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1414.3294432427406</v>
      </c>
      <c r="U516" s="6" cm="1">
        <f t="array" ref="U516">IF(R516="Churn",
   MAX(IF((Y516:BF516&lt;&gt;"")*(Y516:BF516&lt;&gt;0), COLUMN(Y516:BF516)-COLUMN(Y516)+1))
   -MATCH(1, --((Y516:BF516&lt;&gt;"")*(Y516:BF516&lt;&gt;0)), 0)
   +1,
"")</f>
        <v>26</v>
      </c>
      <c r="V516" s="6" t="str" cm="1">
        <f t="array" ref="V516">IFERROR(
    IF(
        MATCH(2,1/((Y516:BF516&lt;&gt;0)*(Y516:BF516&lt;&gt;"")))-MATCH(1,INDEX((Y516:BF516&lt;&gt;0)*(Y516:BF516&lt;&gt;""),0),0)+1 &lt;= 12,
        "No",
        "Yes"
    ),
    "No"
)</f>
        <v>Yes</v>
      </c>
      <c r="W516" s="6" t="str" cm="1">
        <f t="array" ref="W516">IFERROR(
    IF(
        MATCH(2,1/((Y516:BF516&lt;&gt;0)*(Y516:BF516&lt;&gt;"")))-MATCH(1,INDEX((Y516:BF516&lt;&gt;0)*(Y516:BF516&lt;&gt;""),0),0)+1 &lt;= 24,
        "No",
        "Yes"
    ),
    "No"
)</f>
        <v>Yes</v>
      </c>
      <c r="Y516" s="8">
        <v>927.41972087022816</v>
      </c>
      <c r="Z516" s="8">
        <v>926.12406965686876</v>
      </c>
      <c r="AA516" s="8">
        <v>923.39221698983818</v>
      </c>
      <c r="AB516" s="8">
        <v>918.08832830038182</v>
      </c>
      <c r="AC516" s="8">
        <v>911.21871824057894</v>
      </c>
      <c r="AD516" s="8">
        <v>854.68593381422852</v>
      </c>
      <c r="AE516" s="8">
        <v>835.90641653447619</v>
      </c>
      <c r="AF516" s="8">
        <v>830.89424048214141</v>
      </c>
      <c r="AG516" s="8">
        <v>970.84452437455684</v>
      </c>
      <c r="AH516" s="8">
        <v>958.51996900628797</v>
      </c>
      <c r="AI516" s="8">
        <v>947.85129880542218</v>
      </c>
      <c r="AJ516" s="8">
        <v>941.97929467246763</v>
      </c>
      <c r="AK516" s="8">
        <v>930.15822740849717</v>
      </c>
      <c r="AL516" s="8">
        <v>921.90552598168506</v>
      </c>
      <c r="AM516" s="8">
        <v>908.47031279110342</v>
      </c>
      <c r="AN516" s="8">
        <v>905.10897100692318</v>
      </c>
      <c r="AO516" s="8">
        <v>905.59470881532957</v>
      </c>
      <c r="AP516" s="8">
        <v>903.76156325739043</v>
      </c>
      <c r="AQ516" s="8">
        <v>899.91833743711163</v>
      </c>
      <c r="AR516" s="8">
        <v>942.8586137187599</v>
      </c>
      <c r="AS516" s="8">
        <v>1048.9630221865816</v>
      </c>
      <c r="AT516" s="8">
        <v>1046.3227202827716</v>
      </c>
      <c r="AU516" s="8">
        <v>1343.1032878675992</v>
      </c>
      <c r="AV516" s="8">
        <v>1331.8906573617587</v>
      </c>
      <c r="AW516" s="8">
        <v>1414.3294432427406</v>
      </c>
      <c r="AX516" s="8">
        <v>1402.0036977592072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H516" s="8">
        <f t="shared" si="109"/>
        <v>10946.924731747478</v>
      </c>
      <c r="BI516" s="8">
        <f t="shared" si="110"/>
        <v>12088.055948115511</v>
      </c>
      <c r="BJ516" s="8">
        <f t="shared" si="111"/>
        <v>2816.3331410019478</v>
      </c>
    </row>
    <row r="517" spans="1:62" x14ac:dyDescent="0.25">
      <c r="A517" s="9" t="s">
        <v>105</v>
      </c>
      <c r="B517" s="9" t="s">
        <v>644</v>
      </c>
      <c r="C517" s="10">
        <v>44927</v>
      </c>
      <c r="D517" s="6" cm="1">
        <f t="array" ref="D517">_xlfn.LET(
  _xlpm.aralık, Y517:BF517,
  _xlpm.ilk, MATCH(TRUE, _xlpm.aralık&lt;&gt;0, 0),
  _xlpm.son, MIN(_xlpm.ilk+2, COLUMNS(_xlpm.aralık)),
  MAX(INDEX(_xlpm.aralık, _xlpm.ilk):INDEX(_xlpm.aralık, _xlpm.son))
)</f>
        <v>650</v>
      </c>
      <c r="E517" s="6">
        <f t="shared" si="104"/>
        <v>659.00061599999992</v>
      </c>
      <c r="F517" s="6">
        <f t="shared" si="105"/>
        <v>659.00061599999992</v>
      </c>
      <c r="G517" s="6">
        <f t="shared" si="112"/>
        <v>0</v>
      </c>
      <c r="H517" s="7">
        <f t="shared" si="106"/>
        <v>1.384710153846142E-2</v>
      </c>
      <c r="I517" s="7">
        <f t="shared" si="107"/>
        <v>1.384710153846142E-2</v>
      </c>
      <c r="J517" s="7">
        <f t="shared" si="108"/>
        <v>0</v>
      </c>
      <c r="K517" s="7">
        <f t="shared" si="113"/>
        <v>1.384710153846142E-2</v>
      </c>
      <c r="L517" s="5" t="s">
        <v>416</v>
      </c>
      <c r="M517" s="7" t="str">
        <f>IF(R517="",(VLOOKUP(A517,[1]Export!$B$2:$H$680,7,0)),"CHURN")</f>
        <v>CHURN</v>
      </c>
      <c r="N517" s="5" t="e">
        <f t="shared" si="114"/>
        <v>#VALUE!</v>
      </c>
      <c r="O517" s="5" t="e">
        <f t="shared" si="115"/>
        <v>#VALUE!</v>
      </c>
      <c r="P517" s="5" t="e">
        <f t="shared" si="116"/>
        <v>#VALUE!</v>
      </c>
      <c r="Q517" s="5" t="s">
        <v>696</v>
      </c>
      <c r="R517" s="5" t="s">
        <v>428</v>
      </c>
      <c r="S517" s="5" t="str">
        <f>VLOOKUP(A517,[3]Sheet1!$A$1:$C$191,3,0)</f>
        <v>Apr.25</v>
      </c>
      <c r="T517" s="6" cm="1">
        <f t="array" ref="T517">IF(R517&lt;&gt;"Churn","",
 _xlfn.LET(
   _xlpm.rng,Y517:BF517,
   _xlpm.pos,MAX(IF((_xlpm.rng&lt;&gt;0)*(_xlpm.rng&lt;&gt;""),COLUMN(_xlpm.rng)-COLUMN(Y517)+1)),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659.00061599999992</v>
      </c>
      <c r="U517" s="6" cm="1">
        <f t="array" ref="U517">IF(R517="Churn",
   MAX(IF((Y517:BF517&lt;&gt;"")*(Y517:BF517&lt;&gt;0), COLUMN(Y517:BF517)-COLUMN(Y517)+1))
   -MATCH(1, --((Y517:BF517&lt;&gt;"")*(Y517:BF517&lt;&gt;0)), 0)
   +1,
"")</f>
        <v>27</v>
      </c>
      <c r="V517" s="6" t="str" cm="1">
        <f t="array" ref="V517">IFERROR(
    IF(
        MATCH(2,1/((Y517:BF517&lt;&gt;0)*(Y517:BF517&lt;&gt;"")))-MATCH(1,INDEX((Y517:BF517&lt;&gt;0)*(Y517:BF517&lt;&gt;""),0),0)+1 &lt;= 12,
        "No",
        "Yes"
    ),
    "No"
)</f>
        <v>Yes</v>
      </c>
      <c r="W517" s="6" t="str" cm="1">
        <f t="array" ref="W517">IFERROR(
    IF(
        MATCH(2,1/((Y517:BF517&lt;&gt;0)*(Y517:BF517&lt;&gt;"")))-MATCH(1,INDEX((Y517:BF517&lt;&gt;0)*(Y517:BF517&lt;&gt;""),0),0)+1 &lt;= 24,
        "No",
        "Yes"
    ),
    "No"
)</f>
        <v>Yes</v>
      </c>
      <c r="Y517" s="8">
        <v>650</v>
      </c>
      <c r="Z517" s="8">
        <v>650</v>
      </c>
      <c r="AA517" s="8">
        <v>650</v>
      </c>
      <c r="AB517" s="8">
        <v>659</v>
      </c>
      <c r="AC517" s="8">
        <v>659.00061599999992</v>
      </c>
      <c r="AD517" s="8">
        <v>659.00061599999992</v>
      </c>
      <c r="AE517" s="8">
        <v>659.00061599999992</v>
      </c>
      <c r="AF517" s="8">
        <v>659.00061599999992</v>
      </c>
      <c r="AG517" s="8">
        <v>659.00061599999992</v>
      </c>
      <c r="AH517" s="8">
        <v>659.00061599999992</v>
      </c>
      <c r="AI517" s="8">
        <v>659.00061599999992</v>
      </c>
      <c r="AJ517" s="8">
        <v>659.00061599999992</v>
      </c>
      <c r="AK517" s="8">
        <v>659.00061599999992</v>
      </c>
      <c r="AL517" s="8">
        <v>659.00061599999992</v>
      </c>
      <c r="AM517" s="8">
        <v>659.00061599999992</v>
      </c>
      <c r="AN517" s="8">
        <v>659.00061599999992</v>
      </c>
      <c r="AO517" s="8">
        <v>659.00061599999992</v>
      </c>
      <c r="AP517" s="8">
        <v>659.00061599999992</v>
      </c>
      <c r="AQ517" s="8">
        <v>659.00061599999992</v>
      </c>
      <c r="AR517" s="8">
        <v>659.00061599999992</v>
      </c>
      <c r="AS517" s="8">
        <v>659.00061599999992</v>
      </c>
      <c r="AT517" s="8">
        <v>659.00061599999992</v>
      </c>
      <c r="AU517" s="8">
        <v>659.00061599999992</v>
      </c>
      <c r="AV517" s="8">
        <v>659.00061599999992</v>
      </c>
      <c r="AW517" s="8">
        <v>659.00061599999992</v>
      </c>
      <c r="AX517" s="8">
        <v>659.00061599999992</v>
      </c>
      <c r="AY517" s="8">
        <v>659.00061599999992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H517" s="8">
        <f t="shared" si="109"/>
        <v>7881.0049280000012</v>
      </c>
      <c r="BI517" s="8">
        <f t="shared" si="110"/>
        <v>7908.0073920000004</v>
      </c>
      <c r="BJ517" s="8">
        <f t="shared" si="111"/>
        <v>1977.0018479999999</v>
      </c>
    </row>
    <row r="518" spans="1:62" x14ac:dyDescent="0.25">
      <c r="A518" s="9" t="s">
        <v>199</v>
      </c>
      <c r="B518" s="9" t="s">
        <v>644</v>
      </c>
      <c r="C518" s="10">
        <f>VLOOKUP(A518,'[2]Revenue_Engine_2025 Oct.25'!$C$14:G$3937,5,0)</f>
        <v>44984</v>
      </c>
      <c r="D518" s="6" cm="1">
        <f t="array" ref="D518">_xlfn.LET(
  _xlpm.aralık, Y518:BF518,
  _xlpm.ilk, MATCH(TRUE, _xlpm.aralık&lt;&gt;0, 0),
  _xlpm.son, MIN(_xlpm.ilk+2, COLUMNS(_xlpm.aralık)),
  MAX(INDEX(_xlpm.aralık, _xlpm.ilk):INDEX(_xlpm.aralık, _xlpm.son))
)</f>
        <v>514.15644066634673</v>
      </c>
      <c r="E518" s="6">
        <f t="shared" si="104"/>
        <v>490.83310657345208</v>
      </c>
      <c r="F518" s="6">
        <f t="shared" si="105"/>
        <v>0</v>
      </c>
      <c r="G518" s="6">
        <f t="shared" si="112"/>
        <v>0</v>
      </c>
      <c r="H518" s="7">
        <f t="shared" si="106"/>
        <v>-4.5362329921740552E-2</v>
      </c>
      <c r="I518" s="7">
        <f t="shared" si="107"/>
        <v>-1</v>
      </c>
      <c r="J518" s="7">
        <f t="shared" si="108"/>
        <v>-1</v>
      </c>
      <c r="K518" s="7">
        <f t="shared" si="113"/>
        <v>-0.14715763783410804</v>
      </c>
      <c r="L518" s="5" t="s">
        <v>416</v>
      </c>
      <c r="M518" s="7" t="str">
        <f>IF(R518="",(VLOOKUP(A518,[1]Export!$B$2:$H$680,7,0)),"CHURN")</f>
        <v>CHURN</v>
      </c>
      <c r="N518" s="5" t="e">
        <f t="shared" si="114"/>
        <v>#VALUE!</v>
      </c>
      <c r="O518" s="5" t="e">
        <f t="shared" si="115"/>
        <v>#VALUE!</v>
      </c>
      <c r="P518" s="5" t="e">
        <f t="shared" si="116"/>
        <v>#VALUE!</v>
      </c>
      <c r="Q518" s="5" t="s">
        <v>696</v>
      </c>
      <c r="R518" s="5" t="s">
        <v>428</v>
      </c>
      <c r="S518" s="5" t="str">
        <f>VLOOKUP(A518,[3]Sheet1!$A$1:$C$191,3,0)</f>
        <v>Feb.25</v>
      </c>
      <c r="T518" s="6" cm="1">
        <f t="array" ref="T518">IF(R518&lt;&gt;"Churn","",
 _xlfn.LET(
   _xlpm.rng,Y518:BF518,
   _xlpm.pos,MAX(IF((_xlpm.rng&lt;&gt;0)*(_xlpm.rng&lt;&gt;""),COLUMN(_xlpm.rng)-COLUMN(Y518)+1)),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438.49439338069442</v>
      </c>
      <c r="U518" s="6" cm="1">
        <f t="array" ref="U518">IF(R518="Churn",
   MAX(IF((Y518:BF518&lt;&gt;"")*(Y518:BF518&lt;&gt;0), COLUMN(Y518:BF518)-COLUMN(Y518)+1))
   -MATCH(1, --((Y518:BF518&lt;&gt;"")*(Y518:BF518&lt;&gt;0)), 0)
   +1,
"")</f>
        <v>23</v>
      </c>
      <c r="V518" s="6" t="str" cm="1">
        <f t="array" ref="V518">IFERROR(
    IF(
        MATCH(2,1/((Y518:BF518&lt;&gt;0)*(Y518:BF518&lt;&gt;"")))-MATCH(1,INDEX((Y518:BF518&lt;&gt;0)*(Y518:BF518&lt;&gt;""),0),0)+1 &lt;= 12,
        "No",
        "Yes"
    ),
    "No"
)</f>
        <v>Yes</v>
      </c>
      <c r="W518" s="6" t="str" cm="1">
        <f t="array" ref="W518">IFERROR(
    IF(
        MATCH(2,1/((Y518:BF518&lt;&gt;0)*(Y518:BF518&lt;&gt;"")))-MATCH(1,INDEX((Y518:BF518&lt;&gt;0)*(Y518:BF518&lt;&gt;""),0),0)+1 &lt;= 24,
        "No",
        "Yes"
    ),
    "No"
)</f>
        <v>No</v>
      </c>
      <c r="Y518" s="8">
        <v>0</v>
      </c>
      <c r="Z518" s="8">
        <v>0</v>
      </c>
      <c r="AA518" s="8">
        <v>514.15644066634673</v>
      </c>
      <c r="AB518" s="8">
        <v>505.02172888361707</v>
      </c>
      <c r="AC518" s="8">
        <v>495.4471734623358</v>
      </c>
      <c r="AD518" s="8">
        <v>416.65259375747831</v>
      </c>
      <c r="AE518" s="8">
        <v>369.2470021321638</v>
      </c>
      <c r="AF518" s="8">
        <v>362.261103428289</v>
      </c>
      <c r="AG518" s="8">
        <v>412.03758137739283</v>
      </c>
      <c r="AH518" s="8">
        <v>302.20157396577855</v>
      </c>
      <c r="AI518" s="8">
        <v>341.11318361677786</v>
      </c>
      <c r="AJ518" s="8">
        <v>335.79828746388017</v>
      </c>
      <c r="AK518" s="8">
        <v>325.09874715330312</v>
      </c>
      <c r="AL518" s="8">
        <v>490.83310657345208</v>
      </c>
      <c r="AM518" s="8">
        <v>472.04138096759846</v>
      </c>
      <c r="AN518" s="8">
        <v>467.33989900525137</v>
      </c>
      <c r="AO518" s="8">
        <v>468.01929660635238</v>
      </c>
      <c r="AP518" s="8">
        <v>464.05659849572191</v>
      </c>
      <c r="AQ518" s="8">
        <v>458.6811091728847</v>
      </c>
      <c r="AR518" s="8">
        <v>448.80672987673739</v>
      </c>
      <c r="AS518" s="8">
        <v>443.66835709700405</v>
      </c>
      <c r="AT518" s="8">
        <v>440.92486270401253</v>
      </c>
      <c r="AU518" s="8">
        <v>438.49439338069442</v>
      </c>
      <c r="AV518" s="8">
        <v>431.67628975325761</v>
      </c>
      <c r="AW518" s="8">
        <v>425.16892530406074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H518" s="8">
        <f t="shared" si="109"/>
        <v>4053.9366687540601</v>
      </c>
      <c r="BI518" s="8">
        <f t="shared" si="110"/>
        <v>5349.6407707862709</v>
      </c>
      <c r="BJ518" s="8">
        <f t="shared" si="111"/>
        <v>425.16892530406074</v>
      </c>
    </row>
    <row r="519" spans="1:62" x14ac:dyDescent="0.25">
      <c r="A519" s="9" t="s">
        <v>192</v>
      </c>
      <c r="B519" s="9" t="s">
        <v>644</v>
      </c>
      <c r="C519" s="10">
        <v>44927</v>
      </c>
      <c r="D519" s="6" cm="1">
        <f t="array" ref="D519">_xlfn.LET(
  _xlpm.aralık, Y519:BF519,
  _xlpm.ilk, MATCH(TRUE, _xlpm.aralık&lt;&gt;0, 0),
  _xlpm.son, MIN(_xlpm.ilk+2, COLUMNS(_xlpm.aralık)),
  MAX(INDEX(_xlpm.aralık, _xlpm.ilk):INDEX(_xlpm.aralık, _xlpm.son))
)</f>
        <v>322.01</v>
      </c>
      <c r="E519" s="6">
        <f t="shared" si="104"/>
        <v>350.87074200000001</v>
      </c>
      <c r="F519" s="6">
        <f t="shared" si="105"/>
        <v>390.87074200000001</v>
      </c>
      <c r="G519" s="6">
        <f t="shared" si="112"/>
        <v>0</v>
      </c>
      <c r="H519" s="7">
        <f t="shared" si="106"/>
        <v>8.9626850097823105E-2</v>
      </c>
      <c r="I519" s="7">
        <f t="shared" si="107"/>
        <v>0.21384659482624768</v>
      </c>
      <c r="J519" s="7">
        <f t="shared" si="108"/>
        <v>0.1140020959627349</v>
      </c>
      <c r="K519" s="7">
        <f t="shared" si="113"/>
        <v>0.21384659482624768</v>
      </c>
      <c r="L519" s="5" t="s">
        <v>418</v>
      </c>
      <c r="M519" s="7" t="str">
        <f>IF(R519="",(VLOOKUP(A519,[1]Export!$B$2:$H$680,7,0)),"CHURN")</f>
        <v>CHURN</v>
      </c>
      <c r="N519" s="5" t="e">
        <f t="shared" si="114"/>
        <v>#VALUE!</v>
      </c>
      <c r="O519" s="5" t="e">
        <f t="shared" si="115"/>
        <v>#VALUE!</v>
      </c>
      <c r="P519" s="5" t="e">
        <f t="shared" si="116"/>
        <v>#VALUE!</v>
      </c>
      <c r="Q519" s="5" t="s">
        <v>696</v>
      </c>
      <c r="R519" s="5" t="s">
        <v>428</v>
      </c>
      <c r="S519" s="5" t="str">
        <f>VLOOKUP(A519,[3]Sheet1!$A$1:$C$191,3,0)</f>
        <v>Mar.25</v>
      </c>
      <c r="T519" s="6" cm="1">
        <f t="array" ref="T519">IF(R519&lt;&gt;"Churn","",
 _xlfn.LET(
   _xlpm.rng,Y519:BF519,
   _xlpm.pos,MAX(IF((_xlpm.rng&lt;&gt;0)*(_xlpm.rng&lt;&gt;""),COLUMN(_xlpm.rng)-COLUMN(Y519)+1)),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390.87074200000001</v>
      </c>
      <c r="U519" s="6" cm="1">
        <f t="array" ref="U519">IF(R519="Churn",
   MAX(IF((Y519:BF519&lt;&gt;"")*(Y519:BF519&lt;&gt;0), COLUMN(Y519:BF519)-COLUMN(Y519)+1))
   -MATCH(1, --((Y519:BF519&lt;&gt;"")*(Y519:BF519&lt;&gt;0)), 0)
   +1,
"")</f>
        <v>26</v>
      </c>
      <c r="V519" s="6" t="str" cm="1">
        <f t="array" ref="V519">IFERROR(
    IF(
        MATCH(2,1/((Y519:BF519&lt;&gt;0)*(Y519:BF519&lt;&gt;"")))-MATCH(1,INDEX((Y519:BF519&lt;&gt;0)*(Y519:BF519&lt;&gt;""),0),0)+1 &lt;= 12,
        "No",
        "Yes"
    ),
    "No"
)</f>
        <v>Yes</v>
      </c>
      <c r="W519" s="6" t="str" cm="1">
        <f t="array" ref="W519">IFERROR(
    IF(
        MATCH(2,1/((Y519:BF519&lt;&gt;0)*(Y519:BF519&lt;&gt;"")))-MATCH(1,INDEX((Y519:BF519&lt;&gt;0)*(Y519:BF519&lt;&gt;""),0),0)+1 &lt;= 24,
        "No",
        "Yes"
    ),
    "No"
)</f>
        <v>Yes</v>
      </c>
      <c r="Y519" s="8">
        <v>322.01</v>
      </c>
      <c r="Z519" s="8">
        <v>322.01</v>
      </c>
      <c r="AA519" s="8">
        <v>322.01</v>
      </c>
      <c r="AB519" s="8">
        <v>331.01</v>
      </c>
      <c r="AC519" s="8">
        <v>331.01013400000005</v>
      </c>
      <c r="AD519" s="8">
        <v>331.01013400000005</v>
      </c>
      <c r="AE519" s="8">
        <v>350.87074200000001</v>
      </c>
      <c r="AF519" s="8">
        <v>350.87074200000001</v>
      </c>
      <c r="AG519" s="8">
        <v>350.87074200000001</v>
      </c>
      <c r="AH519" s="8">
        <v>350.87074200000001</v>
      </c>
      <c r="AI519" s="8">
        <v>350.87074200000001</v>
      </c>
      <c r="AJ519" s="8">
        <v>350.87074200000001</v>
      </c>
      <c r="AK519" s="8">
        <v>350.87074200000001</v>
      </c>
      <c r="AL519" s="8">
        <v>390.87074200000001</v>
      </c>
      <c r="AM519" s="8">
        <v>390.87074200000001</v>
      </c>
      <c r="AN519" s="8">
        <v>390.87074200000001</v>
      </c>
      <c r="AO519" s="8">
        <v>390.87074200000001</v>
      </c>
      <c r="AP519" s="8">
        <v>390.87074200000001</v>
      </c>
      <c r="AQ519" s="8">
        <v>390.87074200000001</v>
      </c>
      <c r="AR519" s="8">
        <v>390.87074200000001</v>
      </c>
      <c r="AS519" s="8">
        <v>390.87074200000001</v>
      </c>
      <c r="AT519" s="8">
        <v>390.87074200000001</v>
      </c>
      <c r="AU519" s="8">
        <v>390.87074200000001</v>
      </c>
      <c r="AV519" s="8">
        <v>390.87074200000001</v>
      </c>
      <c r="AW519" s="8">
        <v>390.87074200000001</v>
      </c>
      <c r="AX519" s="8">
        <v>390.87074200000001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H519" s="8">
        <f t="shared" si="109"/>
        <v>4064.2847200000006</v>
      </c>
      <c r="BI519" s="8">
        <f t="shared" si="110"/>
        <v>4650.4489039999999</v>
      </c>
      <c r="BJ519" s="8">
        <f t="shared" si="111"/>
        <v>781.74148400000001</v>
      </c>
    </row>
    <row r="520" spans="1:62" x14ac:dyDescent="0.25">
      <c r="A520" s="9" t="s">
        <v>17</v>
      </c>
      <c r="B520" s="9" t="s">
        <v>644</v>
      </c>
      <c r="C520" s="10">
        <v>44927</v>
      </c>
      <c r="D520" s="6" cm="1">
        <f t="array" ref="D520">_xlfn.LET(
  _xlpm.aralık, Y520:BF520,
  _xlpm.ilk, MATCH(TRUE, _xlpm.aralık&lt;&gt;0, 0),
  _xlpm.son, MIN(_xlpm.ilk+2, COLUMNS(_xlpm.aralık)),
  MAX(INDEX(_xlpm.aralık, _xlpm.ilk):INDEX(_xlpm.aralık, _xlpm.son))
)</f>
        <v>290.24790250539206</v>
      </c>
      <c r="E520" s="6">
        <f t="shared" si="104"/>
        <v>269.26011096699335</v>
      </c>
      <c r="F520" s="6">
        <f t="shared" si="105"/>
        <v>373.9031290176934</v>
      </c>
      <c r="G520" s="6">
        <f t="shared" si="112"/>
        <v>0</v>
      </c>
      <c r="H520" s="7">
        <f t="shared" si="106"/>
        <v>-7.230988185352627E-2</v>
      </c>
      <c r="I520" s="7">
        <f t="shared" si="107"/>
        <v>0.28821991749190068</v>
      </c>
      <c r="J520" s="7">
        <f t="shared" si="108"/>
        <v>0.38863171256557744</v>
      </c>
      <c r="K520" s="7">
        <f t="shared" si="113"/>
        <v>0.28821991749190068</v>
      </c>
      <c r="L520" s="5" t="s">
        <v>417</v>
      </c>
      <c r="M520" s="7" t="str">
        <f>IF(R520="",(VLOOKUP(A520,[1]Export!$B$2:$H$680,7,0)),"CHURN")</f>
        <v>CHURN</v>
      </c>
      <c r="N520" s="5" t="e">
        <f t="shared" si="114"/>
        <v>#VALUE!</v>
      </c>
      <c r="O520" s="5" t="e">
        <f t="shared" si="115"/>
        <v>#VALUE!</v>
      </c>
      <c r="P520" s="5" t="e">
        <f t="shared" si="116"/>
        <v>#VALUE!</v>
      </c>
      <c r="Q520" s="5" t="s">
        <v>696</v>
      </c>
      <c r="R520" s="5" t="s">
        <v>428</v>
      </c>
      <c r="S520" s="5" t="str">
        <f>VLOOKUP(A520,[3]Sheet1!$A$1:$C$191,3,0)</f>
        <v>Apr.25</v>
      </c>
      <c r="T520" s="6" cm="1">
        <f t="array" ref="T520">IF(R520&lt;&gt;"Churn","",
 _xlfn.LET(
   _xlpm.rng,Y520:BF520,
   _xlpm.pos,MAX(IF((_xlpm.rng&lt;&gt;0)*(_xlpm.rng&lt;&gt;""),COLUMN(_xlpm.rng)-COLUMN(Y520)+1)),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373.9031290176934</v>
      </c>
      <c r="U520" s="6" cm="1">
        <f t="array" ref="U520">IF(R520="Churn",
   MAX(IF((Y520:BF520&lt;&gt;"")*(Y520:BF520&lt;&gt;0), COLUMN(Y520:BF520)-COLUMN(Y520)+1))
   -MATCH(1, --((Y520:BF520&lt;&gt;"")*(Y520:BF520&lt;&gt;0)), 0)
   +1,
"")</f>
        <v>27</v>
      </c>
      <c r="V520" s="6" t="str" cm="1">
        <f t="array" ref="V520">IFERROR(
    IF(
        MATCH(2,1/((Y520:BF520&lt;&gt;0)*(Y520:BF520&lt;&gt;"")))-MATCH(1,INDEX((Y520:BF520&lt;&gt;0)*(Y520:BF520&lt;&gt;""),0),0)+1 &lt;= 12,
        "No",
        "Yes"
    ),
    "No"
)</f>
        <v>Yes</v>
      </c>
      <c r="W520" s="6" t="str" cm="1">
        <f t="array" ref="W520">IFERROR(
    IF(
        MATCH(2,1/((Y520:BF520&lt;&gt;0)*(Y520:BF520&lt;&gt;"")))-MATCH(1,INDEX((Y520:BF520&lt;&gt;0)*(Y520:BF520&lt;&gt;""),0),0)+1 &lt;= 24,
        "No",
        "Yes"
    ),
    "No"
)</f>
        <v>Yes</v>
      </c>
      <c r="Y520" s="8">
        <v>177.84127559533647</v>
      </c>
      <c r="Z520" s="8">
        <v>177.22339391299266</v>
      </c>
      <c r="AA520" s="8">
        <v>290.24790250539206</v>
      </c>
      <c r="AB520" s="8">
        <v>285.09124059235165</v>
      </c>
      <c r="AC520" s="8">
        <v>279.68592686694581</v>
      </c>
      <c r="AD520" s="8">
        <v>235.20543280571607</v>
      </c>
      <c r="AE520" s="8">
        <v>279.3154754952642</v>
      </c>
      <c r="AF520" s="8">
        <v>274.03101927228278</v>
      </c>
      <c r="AG520" s="8">
        <v>273.77671513365237</v>
      </c>
      <c r="AH520" s="8">
        <v>290.52181415835287</v>
      </c>
      <c r="AI520" s="8">
        <v>282.5239238145885</v>
      </c>
      <c r="AJ520" s="8">
        <v>278.12190891776567</v>
      </c>
      <c r="AK520" s="8">
        <v>269.26011096699335</v>
      </c>
      <c r="AL520" s="8">
        <v>272.84657149744919</v>
      </c>
      <c r="AM520" s="8">
        <v>407.29130035528323</v>
      </c>
      <c r="AN520" s="8">
        <v>403.23472231096832</v>
      </c>
      <c r="AO520" s="8">
        <v>411.5867106624213</v>
      </c>
      <c r="AP520" s="8">
        <v>408.10182469184474</v>
      </c>
      <c r="AQ520" s="8">
        <v>403.37449830887203</v>
      </c>
      <c r="AR520" s="8">
        <v>394.69074675460075</v>
      </c>
      <c r="AS520" s="8">
        <v>390.17194600022373</v>
      </c>
      <c r="AT520" s="8">
        <v>387.75925523913764</v>
      </c>
      <c r="AU520" s="8">
        <v>385.62184577460482</v>
      </c>
      <c r="AV520" s="8">
        <v>379.62585188007836</v>
      </c>
      <c r="AW520" s="8">
        <v>373.9031290176934</v>
      </c>
      <c r="AX520" s="8">
        <v>367.31189294456505</v>
      </c>
      <c r="AY520" s="8">
        <v>358.14793485224038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H520" s="8">
        <f t="shared" si="109"/>
        <v>3123.5860290706414</v>
      </c>
      <c r="BI520" s="8">
        <f t="shared" si="110"/>
        <v>4513.5653844424769</v>
      </c>
      <c r="BJ520" s="8">
        <f t="shared" si="111"/>
        <v>1099.3629568144988</v>
      </c>
    </row>
    <row r="521" spans="1:62" x14ac:dyDescent="0.25">
      <c r="A521" s="9" t="s">
        <v>45</v>
      </c>
      <c r="B521" s="9" t="s">
        <v>644</v>
      </c>
      <c r="C521" s="10">
        <v>44927</v>
      </c>
      <c r="D521" s="6" cm="1">
        <f t="array" ref="D521">_xlfn.LET(
  _xlpm.aralık, Y521:BF521,
  _xlpm.ilk, MATCH(TRUE, _xlpm.aralık&lt;&gt;0, 0),
  _xlpm.son, MIN(_xlpm.ilk+2, COLUMNS(_xlpm.aralık)),
  MAX(INDEX(_xlpm.aralık, _xlpm.ilk):INDEX(_xlpm.aralık, _xlpm.son))
)</f>
        <v>156.61996192605639</v>
      </c>
      <c r="E521" s="6">
        <f t="shared" si="104"/>
        <v>156.10471976499539</v>
      </c>
      <c r="F521" s="6">
        <f t="shared" si="105"/>
        <v>204.68478497051109</v>
      </c>
      <c r="G521" s="6">
        <f t="shared" si="112"/>
        <v>0</v>
      </c>
      <c r="H521" s="7">
        <f t="shared" si="106"/>
        <v>-3.2897604796012724E-3</v>
      </c>
      <c r="I521" s="7">
        <f t="shared" si="107"/>
        <v>0.30688823093410739</v>
      </c>
      <c r="J521" s="7">
        <f t="shared" si="108"/>
        <v>0.31120177070013988</v>
      </c>
      <c r="K521" s="7">
        <f t="shared" si="113"/>
        <v>0.30688823093410739</v>
      </c>
      <c r="L521" s="5" t="s">
        <v>421</v>
      </c>
      <c r="M521" s="7" t="str">
        <f>IF(R521="",(VLOOKUP(A521,[1]Export!$B$2:$H$680,7,0)),"CHURN")</f>
        <v>CHURN</v>
      </c>
      <c r="N521" s="5" t="e">
        <f t="shared" si="114"/>
        <v>#VALUE!</v>
      </c>
      <c r="O521" s="5" t="e">
        <f t="shared" si="115"/>
        <v>#VALUE!</v>
      </c>
      <c r="P521" s="5" t="e">
        <f t="shared" si="116"/>
        <v>#VALUE!</v>
      </c>
      <c r="Q521" s="5" t="s">
        <v>696</v>
      </c>
      <c r="R521" s="5" t="s">
        <v>428</v>
      </c>
      <c r="S521" s="5" t="str">
        <f>VLOOKUP(A521,[3]Sheet1!$A$1:$C$191,3,0)</f>
        <v>Apr.25</v>
      </c>
      <c r="T521" s="6" cm="1">
        <f t="array" ref="T521">IF(R521&lt;&gt;"Churn","",
 _xlfn.LET(
   _xlpm.rng,Y521:BF521,
   _xlpm.pos,MAX(IF((_xlpm.rng&lt;&gt;0)*(_xlpm.rng&lt;&gt;""),COLUMN(_xlpm.rng)-COLUMN(Y521)+1)),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204.68478497051109</v>
      </c>
      <c r="U521" s="6" cm="1">
        <f t="array" ref="U521">IF(R521="Churn",
   MAX(IF((Y521:BF521&lt;&gt;"")*(Y521:BF521&lt;&gt;0), COLUMN(Y521:BF521)-COLUMN(Y521)+1))
   -MATCH(1, --((Y521:BF521&lt;&gt;"")*(Y521:BF521&lt;&gt;0)), 0)
   +1,
"")</f>
        <v>27</v>
      </c>
      <c r="V521" s="6" t="str" cm="1">
        <f t="array" ref="V521">IFERROR(
    IF(
        MATCH(2,1/((Y521:BF521&lt;&gt;0)*(Y521:BF521&lt;&gt;"")))-MATCH(1,INDEX((Y521:BF521&lt;&gt;0)*(Y521:BF521&lt;&gt;""),0),0)+1 &lt;= 12,
        "No",
        "Yes"
    ),
    "No"
)</f>
        <v>Yes</v>
      </c>
      <c r="W521" s="6" t="str" cm="1">
        <f t="array" ref="W521">IFERROR(
    IF(
        MATCH(2,1/((Y521:BF521&lt;&gt;0)*(Y521:BF521&lt;&gt;"")))-MATCH(1,INDEX((Y521:BF521&lt;&gt;0)*(Y521:BF521&lt;&gt;""),0),0)+1 &lt;= 24,
        "No",
        "Yes"
    ),
    "No"
)</f>
        <v>Yes</v>
      </c>
      <c r="Y521" s="8">
        <v>95.958055900588008</v>
      </c>
      <c r="Z521" s="8">
        <v>95.624664651476607</v>
      </c>
      <c r="AA521" s="8">
        <v>156.61996192605639</v>
      </c>
      <c r="AB521" s="8">
        <v>162.83738818300952</v>
      </c>
      <c r="AC521" s="8">
        <v>159.92026103703401</v>
      </c>
      <c r="AD521" s="8">
        <v>135.91831052784522</v>
      </c>
      <c r="AE521" s="8">
        <v>159.72099480782123</v>
      </c>
      <c r="AF521" s="8">
        <v>156.86945750028798</v>
      </c>
      <c r="AG521" s="8">
        <v>172.76828425385963</v>
      </c>
      <c r="AH521" s="8">
        <v>167.72061369915059</v>
      </c>
      <c r="AI521" s="8">
        <v>163.35113092093528</v>
      </c>
      <c r="AJ521" s="8">
        <v>160.94618068351284</v>
      </c>
      <c r="AK521" s="8">
        <v>156.10471976499539</v>
      </c>
      <c r="AL521" s="8">
        <v>152.72472618760631</v>
      </c>
      <c r="AM521" s="8">
        <v>226.257919462877</v>
      </c>
      <c r="AN521" s="8">
        <v>224.09405368602918</v>
      </c>
      <c r="AO521" s="8">
        <v>224.40674768967926</v>
      </c>
      <c r="AP521" s="8">
        <v>222.58290854826691</v>
      </c>
      <c r="AQ521" s="8">
        <v>220.10882963598891</v>
      </c>
      <c r="AR521" s="8">
        <v>215.56412828486833</v>
      </c>
      <c r="AS521" s="8">
        <v>213.19918270051886</v>
      </c>
      <c r="AT521" s="8">
        <v>211.93648432721605</v>
      </c>
      <c r="AU521" s="8">
        <v>210.81785632172199</v>
      </c>
      <c r="AV521" s="8">
        <v>207.67981150509416</v>
      </c>
      <c r="AW521" s="8">
        <v>204.68478497051109</v>
      </c>
      <c r="AX521" s="8">
        <v>201.2352160486127</v>
      </c>
      <c r="AY521" s="8">
        <v>196.43919528920773</v>
      </c>
      <c r="AZ521" s="8">
        <v>0</v>
      </c>
      <c r="BA521" s="8">
        <v>0</v>
      </c>
      <c r="BB521" s="8">
        <v>0</v>
      </c>
      <c r="BC521" s="8">
        <v>0</v>
      </c>
      <c r="BD521" s="8">
        <v>0</v>
      </c>
      <c r="BE521" s="8">
        <v>0</v>
      </c>
      <c r="BF521" s="8">
        <v>0</v>
      </c>
      <c r="BH521" s="8">
        <f t="shared" si="109"/>
        <v>1788.2553040915775</v>
      </c>
      <c r="BI521" s="8">
        <f t="shared" si="110"/>
        <v>2485.4773681148627</v>
      </c>
      <c r="BJ521" s="8">
        <f t="shared" si="111"/>
        <v>602.35919630833155</v>
      </c>
    </row>
    <row r="522" spans="1:62" x14ac:dyDescent="0.25">
      <c r="A522" s="9" t="s">
        <v>189</v>
      </c>
      <c r="B522" s="9" t="s">
        <v>644</v>
      </c>
      <c r="C522" s="10">
        <v>44927</v>
      </c>
      <c r="D522" s="6" cm="1">
        <f t="array" ref="D522">_xlfn.LET(
  _xlpm.aralık, Y522:BF522,
  _xlpm.ilk, MATCH(TRUE, _xlpm.aralık&lt;&gt;0, 0),
  _xlpm.son, MIN(_xlpm.ilk+2, COLUMNS(_xlpm.aralık)),
  MAX(INDEX(_xlpm.aralık, _xlpm.ilk):INDEX(_xlpm.aralık, _xlpm.son))
)</f>
        <v>147</v>
      </c>
      <c r="E522" s="6">
        <f t="shared" si="104"/>
        <v>156.00005000000002</v>
      </c>
      <c r="F522" s="6">
        <f t="shared" si="105"/>
        <v>156.00005000000002</v>
      </c>
      <c r="G522" s="6">
        <f t="shared" si="112"/>
        <v>0</v>
      </c>
      <c r="H522" s="7">
        <f t="shared" si="106"/>
        <v>6.1224829931972896E-2</v>
      </c>
      <c r="I522" s="7">
        <f t="shared" si="107"/>
        <v>6.1224829931972896E-2</v>
      </c>
      <c r="J522" s="7">
        <f t="shared" si="108"/>
        <v>0</v>
      </c>
      <c r="K522" s="7">
        <f t="shared" si="113"/>
        <v>6.1224829931972896E-2</v>
      </c>
      <c r="L522" s="5" t="s">
        <v>417</v>
      </c>
      <c r="M522" s="7" t="str">
        <f>IF(R522="",(VLOOKUP(A522,[1]Export!$B$2:$H$680,7,0)),"CHURN")</f>
        <v>CHURN</v>
      </c>
      <c r="N522" s="5" t="e">
        <f t="shared" si="114"/>
        <v>#VALUE!</v>
      </c>
      <c r="O522" s="5" t="e">
        <f t="shared" si="115"/>
        <v>#VALUE!</v>
      </c>
      <c r="P522" s="5" t="e">
        <f t="shared" si="116"/>
        <v>#VALUE!</v>
      </c>
      <c r="Q522" s="5" t="s">
        <v>696</v>
      </c>
      <c r="R522" s="5" t="s">
        <v>428</v>
      </c>
      <c r="S522" s="5" t="str">
        <f>VLOOKUP(A522,[3]Sheet1!$A$1:$C$191,3,0)</f>
        <v>Apr.25</v>
      </c>
      <c r="T522" s="6" cm="1">
        <f t="array" ref="T522">IF(R522&lt;&gt;"Churn","",
 _xlfn.LET(
   _xlpm.rng,Y522:BF522,
   _xlpm.pos,MAX(IF((_xlpm.rng&lt;&gt;0)*(_xlpm.rng&lt;&gt;""),COLUMN(_xlpm.rng)-COLUMN(Y522)+1)),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156.00005000000002</v>
      </c>
      <c r="U522" s="6" cm="1">
        <f t="array" ref="U522">IF(R522="Churn",
   MAX(IF((Y522:BF522&lt;&gt;"")*(Y522:BF522&lt;&gt;0), COLUMN(Y522:BF522)-COLUMN(Y522)+1))
   -MATCH(1, --((Y522:BF522&lt;&gt;"")*(Y522:BF522&lt;&gt;0)), 0)
   +1,
"")</f>
        <v>27</v>
      </c>
      <c r="V522" s="6" t="str" cm="1">
        <f t="array" ref="V522">IFERROR(
    IF(
        MATCH(2,1/((Y522:BF522&lt;&gt;0)*(Y522:BF522&lt;&gt;"")))-MATCH(1,INDEX((Y522:BF522&lt;&gt;0)*(Y522:BF522&lt;&gt;""),0),0)+1 &lt;= 12,
        "No",
        "Yes"
    ),
    "No"
)</f>
        <v>Yes</v>
      </c>
      <c r="W522" s="6" t="str" cm="1">
        <f t="array" ref="W522">IFERROR(
    IF(
        MATCH(2,1/((Y522:BF522&lt;&gt;0)*(Y522:BF522&lt;&gt;"")))-MATCH(1,INDEX((Y522:BF522&lt;&gt;0)*(Y522:BF522&lt;&gt;""),0),0)+1 &lt;= 24,
        "No",
        "Yes"
    ),
    "No"
)</f>
        <v>Yes</v>
      </c>
      <c r="Y522" s="8">
        <v>147</v>
      </c>
      <c r="Z522" s="8">
        <v>147</v>
      </c>
      <c r="AA522" s="8">
        <v>147</v>
      </c>
      <c r="AB522" s="8">
        <v>156</v>
      </c>
      <c r="AC522" s="8">
        <v>156.00005000000002</v>
      </c>
      <c r="AD522" s="8">
        <v>156.00005000000002</v>
      </c>
      <c r="AE522" s="8">
        <v>156.00005000000002</v>
      </c>
      <c r="AF522" s="8">
        <v>156.00005000000002</v>
      </c>
      <c r="AG522" s="8">
        <v>156.00005000000002</v>
      </c>
      <c r="AH522" s="8">
        <v>156.00005000000002</v>
      </c>
      <c r="AI522" s="8">
        <v>156.00005000000002</v>
      </c>
      <c r="AJ522" s="8">
        <v>156.00005000000002</v>
      </c>
      <c r="AK522" s="8">
        <v>156.00005000000002</v>
      </c>
      <c r="AL522" s="8">
        <v>156.00005000000002</v>
      </c>
      <c r="AM522" s="8">
        <v>156.00005000000002</v>
      </c>
      <c r="AN522" s="8">
        <v>156.00005000000002</v>
      </c>
      <c r="AO522" s="8">
        <v>156.00005000000002</v>
      </c>
      <c r="AP522" s="8">
        <v>156.00005000000002</v>
      </c>
      <c r="AQ522" s="8">
        <v>156.00005000000002</v>
      </c>
      <c r="AR522" s="8">
        <v>156.00005000000002</v>
      </c>
      <c r="AS522" s="8">
        <v>156.00005000000002</v>
      </c>
      <c r="AT522" s="8">
        <v>156.00005000000002</v>
      </c>
      <c r="AU522" s="8">
        <v>156.00005000000002</v>
      </c>
      <c r="AV522" s="8">
        <v>156.00005000000002</v>
      </c>
      <c r="AW522" s="8">
        <v>156.00005000000002</v>
      </c>
      <c r="AX522" s="8">
        <v>156.00005000000002</v>
      </c>
      <c r="AY522" s="8">
        <v>156.00005000000002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H522" s="8">
        <f t="shared" si="109"/>
        <v>1845.0004000000006</v>
      </c>
      <c r="BI522" s="8">
        <f t="shared" si="110"/>
        <v>1872.0006000000005</v>
      </c>
      <c r="BJ522" s="8">
        <f t="shared" si="111"/>
        <v>468.00015000000008</v>
      </c>
    </row>
    <row r="523" spans="1:62" x14ac:dyDescent="0.25">
      <c r="A523" s="9" t="s">
        <v>222</v>
      </c>
      <c r="B523" s="9" t="s">
        <v>644</v>
      </c>
      <c r="C523" s="10">
        <f>VLOOKUP(A523,'[2]Revenue_Engine_2025 Oct.25'!$C$14:G$3937,5,0)</f>
        <v>45159</v>
      </c>
      <c r="D523" s="6" cm="1">
        <f t="array" ref="D523">_xlfn.LET(
  _xlpm.aralık, Y523:BF523,
  _xlpm.ilk, MATCH(TRUE, _xlpm.aralık&lt;&gt;0, 0),
  _xlpm.son, MIN(_xlpm.ilk+2, COLUMNS(_xlpm.aralık)),
  MAX(INDEX(_xlpm.aralık, _xlpm.ilk):INDEX(_xlpm.aralık, _xlpm.son))
)</f>
        <v>173.99999899999997</v>
      </c>
      <c r="E523" s="6">
        <f t="shared" si="104"/>
        <v>154.99999899999997</v>
      </c>
      <c r="F523" s="6">
        <f t="shared" si="105"/>
        <v>0</v>
      </c>
      <c r="G523" s="6">
        <f t="shared" si="112"/>
        <v>0</v>
      </c>
      <c r="H523" s="7">
        <f t="shared" si="106"/>
        <v>-0.10919540292641038</v>
      </c>
      <c r="I523" s="7">
        <f t="shared" si="107"/>
        <v>-1</v>
      </c>
      <c r="J523" s="7">
        <f t="shared" si="108"/>
        <v>-1</v>
      </c>
      <c r="K523" s="7">
        <f t="shared" si="113"/>
        <v>-0.10919540292641038</v>
      </c>
      <c r="L523" s="5" t="s">
        <v>418</v>
      </c>
      <c r="M523" s="7" t="str">
        <f>IF(R523="",(VLOOKUP(A523,[1]Export!$B$2:$H$680,7,0)),"CHURN")</f>
        <v>CHURN</v>
      </c>
      <c r="N523" s="5" t="e">
        <f t="shared" si="114"/>
        <v>#VALUE!</v>
      </c>
      <c r="O523" s="5" t="e">
        <f t="shared" si="115"/>
        <v>#VALUE!</v>
      </c>
      <c r="P523" s="5" t="e">
        <f t="shared" si="116"/>
        <v>#VALUE!</v>
      </c>
      <c r="Q523" s="5" t="s">
        <v>696</v>
      </c>
      <c r="R523" s="5" t="s">
        <v>428</v>
      </c>
      <c r="S523" s="5" t="str">
        <f>VLOOKUP(A523,[3]Sheet1!$A$1:$C$191,3,0)</f>
        <v>Mar.25</v>
      </c>
      <c r="T523" s="6" cm="1">
        <f t="array" ref="T523">IF(R523&lt;&gt;"Churn","",
 _xlfn.LET(
   _xlpm.rng,Y523:BF523,
   _xlpm.pos,MAX(IF((_xlpm.rng&lt;&gt;0)*(_xlpm.rng&lt;&gt;""),COLUMN(_xlpm.rng)-COLUMN(Y523)+1)),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154.99999899999997</v>
      </c>
      <c r="U523" s="6" cm="1">
        <f t="array" ref="U523">IF(R523="Churn",
   MAX(IF((Y523:BF523&lt;&gt;"")*(Y523:BF523&lt;&gt;0), COLUMN(Y523:BF523)-COLUMN(Y523)+1))
   -MATCH(1, --((Y523:BF523&lt;&gt;"")*(Y523:BF523&lt;&gt;0)), 0)
   +1,
"")</f>
        <v>19</v>
      </c>
      <c r="V523" s="6" t="str" cm="1">
        <f t="array" ref="V523">IFERROR(
    IF(
        MATCH(2,1/((Y523:BF523&lt;&gt;0)*(Y523:BF523&lt;&gt;"")))-MATCH(1,INDEX((Y523:BF523&lt;&gt;0)*(Y523:BF523&lt;&gt;""),0),0)+1 &lt;= 12,
        "No",
        "Yes"
    ),
    "No"
)</f>
        <v>Yes</v>
      </c>
      <c r="W523" s="6" t="str" cm="1">
        <f t="array" ref="W523">IFERROR(
    IF(
        MATCH(2,1/((Y523:BF523&lt;&gt;0)*(Y523:BF523&lt;&gt;"")))-MATCH(1,INDEX((Y523:BF523&lt;&gt;0)*(Y523:BF523&lt;&gt;""),0),0)+1 &lt;= 24,
        "No",
        "Yes"
    ),
    "No"
)</f>
        <v>No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154.99999899999997</v>
      </c>
      <c r="AG523" s="8">
        <v>173.99999899999997</v>
      </c>
      <c r="AH523" s="8">
        <v>154.99999899999997</v>
      </c>
      <c r="AI523" s="8">
        <v>154.99999899999997</v>
      </c>
      <c r="AJ523" s="8">
        <v>154.99999899999997</v>
      </c>
      <c r="AK523" s="8">
        <v>154.99999899999997</v>
      </c>
      <c r="AL523" s="8">
        <v>154.99999899999997</v>
      </c>
      <c r="AM523" s="8">
        <v>154.99999899999997</v>
      </c>
      <c r="AN523" s="8">
        <v>154.99999899999997</v>
      </c>
      <c r="AO523" s="8">
        <v>154.99999899999997</v>
      </c>
      <c r="AP523" s="8">
        <v>154.99999899999997</v>
      </c>
      <c r="AQ523" s="8">
        <v>154.99999899999997</v>
      </c>
      <c r="AR523" s="8">
        <v>154.99999899999997</v>
      </c>
      <c r="AS523" s="8">
        <v>154.99999899999997</v>
      </c>
      <c r="AT523" s="8">
        <v>154.99999899999997</v>
      </c>
      <c r="AU523" s="8">
        <v>154.99999899999997</v>
      </c>
      <c r="AV523" s="8">
        <v>154.99999899999997</v>
      </c>
      <c r="AW523" s="8">
        <v>154.99999899999997</v>
      </c>
      <c r="AX523" s="8">
        <v>154.99999899999997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H523" s="8">
        <f t="shared" si="109"/>
        <v>793.9999949999999</v>
      </c>
      <c r="BI523" s="8">
        <f t="shared" si="110"/>
        <v>1859.9999879999993</v>
      </c>
      <c r="BJ523" s="8">
        <f t="shared" si="111"/>
        <v>309.99999799999995</v>
      </c>
    </row>
    <row r="524" spans="1:62" x14ac:dyDescent="0.25">
      <c r="A524" s="9" t="s">
        <v>583</v>
      </c>
      <c r="B524" s="9" t="s">
        <v>644</v>
      </c>
      <c r="C524" s="10">
        <f>VLOOKUP(A524,'[2]Revenue_Engine_2025 Oct.25'!$C$14:G$3937,5,0)</f>
        <v>45716</v>
      </c>
      <c r="D524" s="6" cm="1">
        <f t="array" ref="D524">_xlfn.LET(
  _xlpm.aralık, Y524:BF524,
  _xlpm.ilk, MATCH(TRUE, _xlpm.aralık&lt;&gt;0, 0),
  _xlpm.son, MIN(_xlpm.ilk+2, COLUMNS(_xlpm.aralık)),
  MAX(INDEX(_xlpm.aralık, _xlpm.ilk):INDEX(_xlpm.aralık, _xlpm.son))
)</f>
        <v>149.99893483333332</v>
      </c>
      <c r="E524" s="6">
        <f t="shared" si="104"/>
        <v>0</v>
      </c>
      <c r="F524" s="6">
        <f t="shared" si="105"/>
        <v>0</v>
      </c>
      <c r="G524" s="6">
        <f t="shared" si="112"/>
        <v>0</v>
      </c>
      <c r="H524" s="7">
        <f t="shared" si="106"/>
        <v>-1</v>
      </c>
      <c r="I524" s="7">
        <f t="shared" si="107"/>
        <v>-1</v>
      </c>
      <c r="J524" s="7" t="e">
        <f t="shared" si="108"/>
        <v>#DIV/0!</v>
      </c>
      <c r="K524" s="7">
        <f t="shared" si="113"/>
        <v>0</v>
      </c>
      <c r="L524" s="5" t="s">
        <v>414</v>
      </c>
      <c r="M524" s="7" t="str">
        <f>IF(R524="",(VLOOKUP(A524,[1]Export!$B$2:$H$680,7,0)),"CHURN")</f>
        <v>CHURN</v>
      </c>
      <c r="N524" s="5" t="e">
        <f t="shared" si="114"/>
        <v>#VALUE!</v>
      </c>
      <c r="O524" s="5" t="e">
        <f t="shared" si="115"/>
        <v>#VALUE!</v>
      </c>
      <c r="P524" s="5" t="e">
        <f t="shared" si="116"/>
        <v>#VALUE!</v>
      </c>
      <c r="Q524" s="5" t="s">
        <v>696</v>
      </c>
      <c r="R524" s="5" t="s">
        <v>428</v>
      </c>
      <c r="S524" s="5" t="str">
        <f>VLOOKUP(A524,[3]Sheet1!$A$1:$C$191,3,0)</f>
        <v>Feb.25</v>
      </c>
      <c r="T524" s="6" cm="1">
        <f t="array" ref="T524">IF(R524&lt;&gt;"Churn","",
 _xlfn.LET(
   _xlpm.rng,Y524:BF524,
   _xlpm.pos,MAX(IF((_xlpm.rng&lt;&gt;0)*(_xlpm.rng&lt;&gt;""),COLUMN(_xlpm.rng)-COLUMN(Y524)+1)),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149.99893483333332</v>
      </c>
      <c r="U524" s="6" cm="1">
        <f t="array" ref="U524">IF(R524="Churn",
   MAX(IF((Y524:BF524&lt;&gt;"")*(Y524:BF524&lt;&gt;0), COLUMN(Y524:BF524)-COLUMN(Y524)+1))
   -MATCH(1, --((Y524:BF524&lt;&gt;"")*(Y524:BF524&lt;&gt;0)), 0)
   +1,
"")</f>
        <v>12</v>
      </c>
      <c r="V524" s="6" t="str" cm="1">
        <f t="array" ref="V524">IFERROR(
    IF(
        MATCH(2,1/((Y524:BF524&lt;&gt;0)*(Y524:BF524&lt;&gt;"")))-MATCH(1,INDEX((Y524:BF524&lt;&gt;0)*(Y524:BF524&lt;&gt;""),0),0)+1 &lt;= 12,
        "No",
        "Yes"
    ),
    "No"
)</f>
        <v>No</v>
      </c>
      <c r="W524" s="6" t="str" cm="1">
        <f t="array" ref="W524">IFERROR(
    IF(
        MATCH(2,1/((Y524:BF524&lt;&gt;0)*(Y524:BF524&lt;&gt;"")))-MATCH(1,INDEX((Y524:BF524&lt;&gt;0)*(Y524:BF524&lt;&gt;""),0),0)+1 &lt;= 24,
        "No",
        "Yes"
    ),
    "No"
)</f>
        <v>No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149.99893483333332</v>
      </c>
      <c r="AM524" s="8">
        <v>149.99893483333332</v>
      </c>
      <c r="AN524" s="8">
        <v>149.99893483333332</v>
      </c>
      <c r="AO524" s="8">
        <v>149.99893483333332</v>
      </c>
      <c r="AP524" s="8">
        <v>149.99893483333332</v>
      </c>
      <c r="AQ524" s="8">
        <v>149.99893483333332</v>
      </c>
      <c r="AR524" s="8">
        <v>149.99893483333332</v>
      </c>
      <c r="AS524" s="8">
        <v>149.99893483333332</v>
      </c>
      <c r="AT524" s="8">
        <v>149.99893483333332</v>
      </c>
      <c r="AU524" s="8">
        <v>149.99893483333332</v>
      </c>
      <c r="AV524" s="8">
        <v>149.99893483333332</v>
      </c>
      <c r="AW524" s="8">
        <v>149.99893483333332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H524" s="8">
        <f t="shared" si="109"/>
        <v>0</v>
      </c>
      <c r="BI524" s="8">
        <f t="shared" si="110"/>
        <v>1649.9882831666666</v>
      </c>
      <c r="BJ524" s="8">
        <f t="shared" si="111"/>
        <v>149.99893483333332</v>
      </c>
    </row>
    <row r="525" spans="1:62" x14ac:dyDescent="0.25">
      <c r="A525" s="9" t="s">
        <v>584</v>
      </c>
      <c r="B525" s="9" t="s">
        <v>644</v>
      </c>
      <c r="C525" s="10">
        <f>VLOOKUP(A525,'[2]Revenue_Engine_2025 Oct.25'!$C$14:G$3937,5,0)</f>
        <v>45372</v>
      </c>
      <c r="D525" s="6" cm="1">
        <f t="array" ref="D525">_xlfn.LET(
  _xlpm.aralık, Y525:BF525,
  _xlpm.ilk, MATCH(TRUE, _xlpm.aralık&lt;&gt;0, 0),
  _xlpm.son, MIN(_xlpm.ilk+2, COLUMNS(_xlpm.aralık)),
  MAX(INDEX(_xlpm.aralık, _xlpm.ilk):INDEX(_xlpm.aralık, _xlpm.son))
)</f>
        <v>103.20000008333332</v>
      </c>
      <c r="E525" s="6">
        <f t="shared" si="104"/>
        <v>0</v>
      </c>
      <c r="F525" s="6">
        <f t="shared" si="105"/>
        <v>0</v>
      </c>
      <c r="G525" s="6">
        <f t="shared" si="112"/>
        <v>0</v>
      </c>
      <c r="H525" s="7">
        <f t="shared" si="106"/>
        <v>-1</v>
      </c>
      <c r="I525" s="7">
        <f t="shared" si="107"/>
        <v>-1</v>
      </c>
      <c r="J525" s="7" t="e">
        <f t="shared" si="108"/>
        <v>#DIV/0!</v>
      </c>
      <c r="K525" s="7">
        <f t="shared" si="113"/>
        <v>0</v>
      </c>
      <c r="L525" s="5" t="s">
        <v>694</v>
      </c>
      <c r="M525" s="7" t="str">
        <f>IF(R525="",(VLOOKUP(A525,[1]Export!$B$2:$H$680,7,0)),"CHURN")</f>
        <v>CHURN</v>
      </c>
      <c r="N525" s="5" t="e">
        <f t="shared" si="114"/>
        <v>#VALUE!</v>
      </c>
      <c r="O525" s="5" t="e">
        <f t="shared" si="115"/>
        <v>#VALUE!</v>
      </c>
      <c r="P525" s="5" t="e">
        <f t="shared" si="116"/>
        <v>#VALUE!</v>
      </c>
      <c r="Q525" s="5" t="s">
        <v>696</v>
      </c>
      <c r="R525" s="5" t="s">
        <v>428</v>
      </c>
      <c r="S525" s="5" t="str">
        <f>VLOOKUP(A525,[3]Sheet1!$A$1:$C$191,3,0)</f>
        <v>Mar.25</v>
      </c>
      <c r="T525" s="6" cm="1">
        <f t="array" ref="T525">IF(R525&lt;&gt;"Churn","",
 _xlfn.LET(
   _xlpm.rng,Y525:BF525,
   _xlpm.pos,MAX(IF((_xlpm.rng&lt;&gt;0)*(_xlpm.rng&lt;&gt;""),COLUMN(_xlpm.rng)-COLUMN(Y525)+1)),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103.20000008333332</v>
      </c>
      <c r="U525" s="6" cm="1">
        <f t="array" ref="U525">IF(R525="Churn",
   MAX(IF((Y525:BF525&lt;&gt;"")*(Y525:BF525&lt;&gt;0), COLUMN(Y525:BF525)-COLUMN(Y525)+1))
   -MATCH(1, --((Y525:BF525&lt;&gt;"")*(Y525:BF525&lt;&gt;0)), 0)
   +1,
"")</f>
        <v>12</v>
      </c>
      <c r="V525" s="6" t="str" cm="1">
        <f t="array" ref="V525">IFERROR(
    IF(
        MATCH(2,1/((Y525:BF525&lt;&gt;0)*(Y525:BF525&lt;&gt;"")))-MATCH(1,INDEX((Y525:BF525&lt;&gt;0)*(Y525:BF525&lt;&gt;""),0),0)+1 &lt;= 12,
        "No",
        "Yes"
    ),
    "No"
)</f>
        <v>No</v>
      </c>
      <c r="W525" s="6" t="str" cm="1">
        <f t="array" ref="W525">IFERROR(
    IF(
        MATCH(2,1/((Y525:BF525&lt;&gt;0)*(Y525:BF525&lt;&gt;"")))-MATCH(1,INDEX((Y525:BF525&lt;&gt;0)*(Y525:BF525&lt;&gt;""),0),0)+1 &lt;= 24,
        "No",
        "Yes"
    ),
    "No"
)</f>
        <v>No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103.20000008333332</v>
      </c>
      <c r="AN525" s="8">
        <v>103.20000008333332</v>
      </c>
      <c r="AO525" s="8">
        <v>103.20000008333332</v>
      </c>
      <c r="AP525" s="8">
        <v>103.20000008333332</v>
      </c>
      <c r="AQ525" s="8">
        <v>103.20000008333332</v>
      </c>
      <c r="AR525" s="8">
        <v>103.20000008333332</v>
      </c>
      <c r="AS525" s="8">
        <v>103.20000008333332</v>
      </c>
      <c r="AT525" s="8">
        <v>103.20000008333332</v>
      </c>
      <c r="AU525" s="8">
        <v>103.20000008333332</v>
      </c>
      <c r="AV525" s="8">
        <v>103.20000008333332</v>
      </c>
      <c r="AW525" s="8">
        <v>103.20000008333332</v>
      </c>
      <c r="AX525" s="8">
        <v>103.20000008333332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H525" s="8">
        <f t="shared" si="109"/>
        <v>0</v>
      </c>
      <c r="BI525" s="8">
        <f t="shared" si="110"/>
        <v>1032.0000008333332</v>
      </c>
      <c r="BJ525" s="8">
        <f t="shared" si="111"/>
        <v>206.40000016666664</v>
      </c>
    </row>
    <row r="526" spans="1:62" x14ac:dyDescent="0.25">
      <c r="A526" s="9" t="s">
        <v>585</v>
      </c>
      <c r="B526" s="9" t="s">
        <v>644</v>
      </c>
      <c r="C526" s="10">
        <f>VLOOKUP(A526,'[2]Revenue_Engine_2025 Oct.25'!$C$14:G$3937,5,0)</f>
        <v>45380</v>
      </c>
      <c r="D526" s="6" cm="1">
        <f t="array" ref="D526">_xlfn.LET(
  _xlpm.aralık, Y526:BF526,
  _xlpm.ilk, MATCH(TRUE, _xlpm.aralık&lt;&gt;0, 0),
  _xlpm.son, MIN(_xlpm.ilk+2, COLUMNS(_xlpm.aralık)),
  MAX(INDEX(_xlpm.aralık, _xlpm.ilk):INDEX(_xlpm.aralık, _xlpm.son))
)</f>
        <v>86.000884416666665</v>
      </c>
      <c r="E526" s="6">
        <f t="shared" si="104"/>
        <v>0</v>
      </c>
      <c r="F526" s="6">
        <f t="shared" si="105"/>
        <v>0</v>
      </c>
      <c r="G526" s="6">
        <f t="shared" si="112"/>
        <v>0</v>
      </c>
      <c r="H526" s="7">
        <f t="shared" si="106"/>
        <v>-1</v>
      </c>
      <c r="I526" s="7">
        <f t="shared" si="107"/>
        <v>-1</v>
      </c>
      <c r="J526" s="7" t="e">
        <f t="shared" si="108"/>
        <v>#DIV/0!</v>
      </c>
      <c r="K526" s="7">
        <f t="shared" si="113"/>
        <v>0</v>
      </c>
      <c r="L526" s="5" t="s">
        <v>694</v>
      </c>
      <c r="M526" s="7" t="str">
        <f>IF(R526="",(VLOOKUP(A526,[1]Export!$B$2:$H$680,7,0)),"CHURN")</f>
        <v>CHURN</v>
      </c>
      <c r="N526" s="5" t="e">
        <f t="shared" si="114"/>
        <v>#VALUE!</v>
      </c>
      <c r="O526" s="5" t="e">
        <f t="shared" si="115"/>
        <v>#VALUE!</v>
      </c>
      <c r="P526" s="5" t="e">
        <f t="shared" si="116"/>
        <v>#VALUE!</v>
      </c>
      <c r="Q526" s="5" t="s">
        <v>696</v>
      </c>
      <c r="R526" s="5" t="s">
        <v>428</v>
      </c>
      <c r="S526" s="5" t="str">
        <f>VLOOKUP(A526,[3]Sheet1!$A$1:$C$191,3,0)</f>
        <v>Mar.25</v>
      </c>
      <c r="T526" s="6" cm="1">
        <f t="array" ref="T526">IF(R526&lt;&gt;"Churn","",
 _xlfn.LET(
   _xlpm.rng,Y526:BF526,
   _xlpm.pos,MAX(IF((_xlpm.rng&lt;&gt;0)*(_xlpm.rng&lt;&gt;""),COLUMN(_xlpm.rng)-COLUMN(Y526)+1)),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86.000884416666665</v>
      </c>
      <c r="U526" s="6" cm="1">
        <f t="array" ref="U526">IF(R526="Churn",
   MAX(IF((Y526:BF526&lt;&gt;"")*(Y526:BF526&lt;&gt;0), COLUMN(Y526:BF526)-COLUMN(Y526)+1))
   -MATCH(1, --((Y526:BF526&lt;&gt;"")*(Y526:BF526&lt;&gt;0)), 0)
   +1,
"")</f>
        <v>12</v>
      </c>
      <c r="V526" s="6" t="str" cm="1">
        <f t="array" ref="V526">IFERROR(
    IF(
        MATCH(2,1/((Y526:BF526&lt;&gt;0)*(Y526:BF526&lt;&gt;"")))-MATCH(1,INDEX((Y526:BF526&lt;&gt;0)*(Y526:BF526&lt;&gt;""),0),0)+1 &lt;= 12,
        "No",
        "Yes"
    ),
    "No"
)</f>
        <v>No</v>
      </c>
      <c r="W526" s="6" t="str" cm="1">
        <f t="array" ref="W526">IFERROR(
    IF(
        MATCH(2,1/((Y526:BF526&lt;&gt;0)*(Y526:BF526&lt;&gt;"")))-MATCH(1,INDEX((Y526:BF526&lt;&gt;0)*(Y526:BF526&lt;&gt;""),0),0)+1 &lt;= 24,
        "No",
        "Yes"
    ),
    "No"
)</f>
        <v>No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86.000884416666665</v>
      </c>
      <c r="AN526" s="8">
        <v>86.000884416666665</v>
      </c>
      <c r="AO526" s="8">
        <v>86.000884416666665</v>
      </c>
      <c r="AP526" s="8">
        <v>86.000884416666665</v>
      </c>
      <c r="AQ526" s="8">
        <v>86.000884416666665</v>
      </c>
      <c r="AR526" s="8">
        <v>86.000884416666665</v>
      </c>
      <c r="AS526" s="8">
        <v>86.000884416666665</v>
      </c>
      <c r="AT526" s="8">
        <v>86.000884416666665</v>
      </c>
      <c r="AU526" s="8">
        <v>86.000884416666665</v>
      </c>
      <c r="AV526" s="8">
        <v>86.000884416666665</v>
      </c>
      <c r="AW526" s="8">
        <v>86.000884416666665</v>
      </c>
      <c r="AX526" s="8">
        <v>86.000884416666665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H526" s="8">
        <f t="shared" si="109"/>
        <v>0</v>
      </c>
      <c r="BI526" s="8">
        <f t="shared" si="110"/>
        <v>860.00884416666645</v>
      </c>
      <c r="BJ526" s="8">
        <f t="shared" si="111"/>
        <v>172.00176883333333</v>
      </c>
    </row>
    <row r="527" spans="1:62" x14ac:dyDescent="0.25">
      <c r="A527" s="9" t="s">
        <v>323</v>
      </c>
      <c r="B527" s="9" t="s">
        <v>644</v>
      </c>
      <c r="C527" s="10">
        <f>VLOOKUP(A527,'[2]Revenue_Engine_2025 Oct.25'!$C$14:G$3937,5,0)</f>
        <v>45015</v>
      </c>
      <c r="D527" s="6" cm="1">
        <f t="array" ref="D527">_xlfn.LET(
  _xlpm.aralık, Y527:BF527,
  _xlpm.ilk, MATCH(TRUE, _xlpm.aralık&lt;&gt;0, 0),
  _xlpm.son, MIN(_xlpm.ilk+2, COLUMNS(_xlpm.aralık)),
  MAX(INDEX(_xlpm.aralık, _xlpm.ilk):INDEX(_xlpm.aralık, _xlpm.son))
)</f>
        <v>79.100990871745651</v>
      </c>
      <c r="E527" s="6">
        <f t="shared" si="104"/>
        <v>73.84501632297561</v>
      </c>
      <c r="F527" s="6">
        <f t="shared" si="105"/>
        <v>0</v>
      </c>
      <c r="G527" s="6">
        <f t="shared" si="112"/>
        <v>0</v>
      </c>
      <c r="H527" s="7">
        <f t="shared" si="106"/>
        <v>-6.6446380643854108E-2</v>
      </c>
      <c r="I527" s="7">
        <f t="shared" si="107"/>
        <v>-1</v>
      </c>
      <c r="J527" s="7">
        <f t="shared" si="108"/>
        <v>-1</v>
      </c>
      <c r="K527" s="7">
        <f t="shared" si="113"/>
        <v>-0.14627619751614956</v>
      </c>
      <c r="L527" s="5" t="s">
        <v>418</v>
      </c>
      <c r="M527" s="7" t="str">
        <f>IF(R527="",(VLOOKUP(A527,[1]Export!$B$2:$H$680,7,0)),"CHURN")</f>
        <v>CHURN</v>
      </c>
      <c r="N527" s="5" t="e">
        <f t="shared" si="114"/>
        <v>#VALUE!</v>
      </c>
      <c r="O527" s="5" t="e">
        <f t="shared" si="115"/>
        <v>#VALUE!</v>
      </c>
      <c r="P527" s="5" t="e">
        <f t="shared" si="116"/>
        <v>#VALUE!</v>
      </c>
      <c r="Q527" s="5" t="s">
        <v>696</v>
      </c>
      <c r="R527" s="5" t="s">
        <v>428</v>
      </c>
      <c r="S527" s="5" t="str">
        <f>VLOOKUP(A527,[3]Sheet1!$A$1:$C$191,3,0)</f>
        <v>Mar.25</v>
      </c>
      <c r="T527" s="6" cm="1">
        <f t="array" ref="T527">IF(R527&lt;&gt;"Churn","",
 _xlfn.LET(
   _xlpm.rng,Y527:BF527,
   _xlpm.pos,MAX(IF((_xlpm.rng&lt;&gt;0)*(_xlpm.rng&lt;&gt;""),COLUMN(_xlpm.rng)-COLUMN(Y527)+1)),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67.53039870726704</v>
      </c>
      <c r="U527" s="6" cm="1">
        <f t="array" ref="U527">IF(R527="Churn",
   MAX(IF((Y527:BF527&lt;&gt;"")*(Y527:BF527&lt;&gt;0), COLUMN(Y527:BF527)-COLUMN(Y527)+1))
   -MATCH(1, --((Y527:BF527&lt;&gt;"")*(Y527:BF527&lt;&gt;0)), 0)
   +1,
"")</f>
        <v>24</v>
      </c>
      <c r="V527" s="6" t="str" cm="1">
        <f t="array" ref="V527">IFERROR(
    IF(
        MATCH(2,1/((Y527:BF527&lt;&gt;0)*(Y527:BF527&lt;&gt;"")))-MATCH(1,INDEX((Y527:BF527&lt;&gt;0)*(Y527:BF527&lt;&gt;""),0),0)+1 &lt;= 12,
        "No",
        "Yes"
    ),
    "No"
)</f>
        <v>Yes</v>
      </c>
      <c r="W527" s="6" t="str" cm="1">
        <f t="array" ref="W527">IFERROR(
    IF(
        MATCH(2,1/((Y527:BF527&lt;&gt;0)*(Y527:BF527&lt;&gt;"")))-MATCH(1,INDEX((Y527:BF527&lt;&gt;0)*(Y527:BF527&lt;&gt;""),0),0)+1 &lt;= 24,
        "No",
        "Yes"
    ),
    "No"
)</f>
        <v>No</v>
      </c>
      <c r="Y527" s="8">
        <v>0</v>
      </c>
      <c r="Z527" s="8">
        <v>0</v>
      </c>
      <c r="AA527" s="8">
        <v>79.100990871745651</v>
      </c>
      <c r="AB527" s="8">
        <v>77.695650597479556</v>
      </c>
      <c r="AC527" s="8">
        <v>76.222610675230698</v>
      </c>
      <c r="AD527" s="8">
        <v>64.10037263683293</v>
      </c>
      <c r="AE527" s="8">
        <v>56.807207698512784</v>
      </c>
      <c r="AF527" s="8">
        <v>55.732454494450906</v>
      </c>
      <c r="AG527" s="8">
        <v>55.680734094798304</v>
      </c>
      <c r="AH527" s="8">
        <v>53.96454097941325</v>
      </c>
      <c r="AI527" s="8">
        <v>52.478929709721548</v>
      </c>
      <c r="AJ527" s="8">
        <v>51.661253715305165</v>
      </c>
      <c r="AK527" s="8">
        <v>50.015171268618147</v>
      </c>
      <c r="AL527" s="8">
        <v>48.865983411627496</v>
      </c>
      <c r="AM527" s="8">
        <v>73.84501632297561</v>
      </c>
      <c r="AN527" s="8">
        <v>73.109527812328437</v>
      </c>
      <c r="AO527" s="8">
        <v>73.215811136134192</v>
      </c>
      <c r="AP527" s="8">
        <v>72.595896191256472</v>
      </c>
      <c r="AQ527" s="8">
        <v>71.7549675930577</v>
      </c>
      <c r="AR527" s="8">
        <v>70.210243486860534</v>
      </c>
      <c r="AS527" s="8">
        <v>69.406408829366825</v>
      </c>
      <c r="AT527" s="8">
        <v>68.97722317658112</v>
      </c>
      <c r="AU527" s="8">
        <v>68.597006411506371</v>
      </c>
      <c r="AV527" s="8">
        <v>67.53039870726704</v>
      </c>
      <c r="AW527" s="8">
        <v>66.512402291390359</v>
      </c>
      <c r="AX527" s="8">
        <v>65.33990890668619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H527" s="8">
        <f t="shared" si="109"/>
        <v>623.44474547349091</v>
      </c>
      <c r="BI527" s="8">
        <f t="shared" si="110"/>
        <v>808.12365434757999</v>
      </c>
      <c r="BJ527" s="8">
        <f t="shared" si="111"/>
        <v>131.85231119807656</v>
      </c>
    </row>
    <row r="528" spans="1:62" x14ac:dyDescent="0.25">
      <c r="A528" s="9" t="s">
        <v>61</v>
      </c>
      <c r="B528" s="9" t="s">
        <v>644</v>
      </c>
      <c r="C528" s="10">
        <v>44927</v>
      </c>
      <c r="D528" s="6" cm="1">
        <f t="array" ref="D528">_xlfn.LET(
  _xlpm.aralık, Y528:BF528,
  _xlpm.ilk, MATCH(TRUE, _xlpm.aralık&lt;&gt;0, 0),
  _xlpm.son, MIN(_xlpm.ilk+2, COLUMNS(_xlpm.aralık)),
  MAX(INDEX(_xlpm.aralık, _xlpm.ilk):INDEX(_xlpm.aralık, _xlpm.son))
)</f>
        <v>35.947499999999998</v>
      </c>
      <c r="E528" s="6">
        <f t="shared" si="104"/>
        <v>20</v>
      </c>
      <c r="F528" s="6">
        <f t="shared" si="105"/>
        <v>20</v>
      </c>
      <c r="G528" s="6">
        <f t="shared" si="112"/>
        <v>0</v>
      </c>
      <c r="H528" s="7">
        <f t="shared" si="106"/>
        <v>-0.44363307601363094</v>
      </c>
      <c r="I528" s="7">
        <f t="shared" si="107"/>
        <v>-0.44363307601363094</v>
      </c>
      <c r="J528" s="7">
        <f t="shared" si="108"/>
        <v>0</v>
      </c>
      <c r="K528" s="7">
        <f t="shared" si="113"/>
        <v>-0.44363307601363094</v>
      </c>
      <c r="L528" s="5" t="s">
        <v>421</v>
      </c>
      <c r="M528" s="7" t="str">
        <f>IF(R528="",(VLOOKUP(A528,[1]Export!$B$2:$H$680,7,0)),"CHURN")</f>
        <v>CHURN</v>
      </c>
      <c r="N528" s="5" t="e">
        <f t="shared" si="114"/>
        <v>#VALUE!</v>
      </c>
      <c r="O528" s="5" t="e">
        <f t="shared" si="115"/>
        <v>#VALUE!</v>
      </c>
      <c r="P528" s="5" t="e">
        <f t="shared" si="116"/>
        <v>#VALUE!</v>
      </c>
      <c r="Q528" s="5" t="s">
        <v>696</v>
      </c>
      <c r="R528" s="5" t="s">
        <v>428</v>
      </c>
      <c r="S528" s="5" t="str">
        <f>VLOOKUP(A528,[3]Sheet1!$A$1:$C$191,3,0)</f>
        <v>Mar.25</v>
      </c>
      <c r="T528" s="6" cm="1">
        <f t="array" ref="T528">IF(R528&lt;&gt;"Churn","",
 _xlfn.LET(
   _xlpm.rng,Y528:BF528,
   _xlpm.pos,MAX(IF((_xlpm.rng&lt;&gt;0)*(_xlpm.rng&lt;&gt;""),COLUMN(_xlpm.rng)-COLUMN(Y528)+1)),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20</v>
      </c>
      <c r="U528" s="6" cm="1">
        <f t="array" ref="U528">IF(R528="Churn",
   MAX(IF((Y528:BF528&lt;&gt;"")*(Y528:BF528&lt;&gt;0), COLUMN(Y528:BF528)-COLUMN(Y528)+1))
   -MATCH(1, --((Y528:BF528&lt;&gt;"")*(Y528:BF528&lt;&gt;0)), 0)
   +1,
"")</f>
        <v>26</v>
      </c>
      <c r="V528" s="6" t="str" cm="1">
        <f t="array" ref="V528">IFERROR(
    IF(
        MATCH(2,1/((Y528:BF528&lt;&gt;0)*(Y528:BF528&lt;&gt;"")))-MATCH(1,INDEX((Y528:BF528&lt;&gt;0)*(Y528:BF528&lt;&gt;""),0),0)+1 &lt;= 12,
        "No",
        "Yes"
    ),
    "No"
)</f>
        <v>Yes</v>
      </c>
      <c r="W528" s="6" t="str" cm="1">
        <f t="array" ref="W528">IFERROR(
    IF(
        MATCH(2,1/((Y528:BF528&lt;&gt;0)*(Y528:BF528&lt;&gt;"")))-MATCH(1,INDEX((Y528:BF528&lt;&gt;0)*(Y528:BF528&lt;&gt;""),0),0)+1 &lt;= 24,
        "No",
        "Yes"
    ),
    "No"
)</f>
        <v>Yes</v>
      </c>
      <c r="Y528" s="8">
        <v>35.947499999999998</v>
      </c>
      <c r="Z528" s="8">
        <v>31.953333333333333</v>
      </c>
      <c r="AA528" s="8">
        <v>20</v>
      </c>
      <c r="AB528" s="8">
        <v>20</v>
      </c>
      <c r="AC528" s="8">
        <v>20</v>
      </c>
      <c r="AD528" s="8">
        <v>20</v>
      </c>
      <c r="AE528" s="8">
        <v>20</v>
      </c>
      <c r="AF528" s="8">
        <v>20</v>
      </c>
      <c r="AG528" s="8">
        <v>20</v>
      </c>
      <c r="AH528" s="8">
        <v>20</v>
      </c>
      <c r="AI528" s="8">
        <v>20</v>
      </c>
      <c r="AJ528" s="8">
        <v>20</v>
      </c>
      <c r="AK528" s="8">
        <v>20</v>
      </c>
      <c r="AL528" s="8">
        <v>20</v>
      </c>
      <c r="AM528" s="8">
        <v>20</v>
      </c>
      <c r="AN528" s="8">
        <v>20</v>
      </c>
      <c r="AO528" s="8">
        <v>20</v>
      </c>
      <c r="AP528" s="8">
        <v>20</v>
      </c>
      <c r="AQ528" s="8">
        <v>20</v>
      </c>
      <c r="AR528" s="8">
        <v>20</v>
      </c>
      <c r="AS528" s="8">
        <v>20</v>
      </c>
      <c r="AT528" s="8">
        <v>20</v>
      </c>
      <c r="AU528" s="8">
        <v>20</v>
      </c>
      <c r="AV528" s="8">
        <v>20</v>
      </c>
      <c r="AW528" s="8">
        <v>20</v>
      </c>
      <c r="AX528" s="8">
        <v>20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H528" s="8">
        <f t="shared" si="109"/>
        <v>267.90083333333337</v>
      </c>
      <c r="BI528" s="8">
        <f t="shared" si="110"/>
        <v>240</v>
      </c>
      <c r="BJ528" s="8">
        <f t="shared" si="111"/>
        <v>40</v>
      </c>
    </row>
    <row r="529" spans="1:62" x14ac:dyDescent="0.25">
      <c r="A529" s="9" t="s">
        <v>586</v>
      </c>
      <c r="B529" s="9" t="s">
        <v>644</v>
      </c>
      <c r="C529" s="10">
        <v>44927</v>
      </c>
      <c r="D529" s="6" cm="1">
        <f t="array" ref="D529">_xlfn.LET(
  _xlpm.aralık, Y529:BF529,
  _xlpm.ilk, MATCH(TRUE, _xlpm.aralık&lt;&gt;0, 0),
  _xlpm.son, MIN(_xlpm.ilk+2, COLUMNS(_xlpm.aralık)),
  MAX(INDEX(_xlpm.aralık, _xlpm.ilk):INDEX(_xlpm.aralık, _xlpm.son))
)</f>
        <v>1050</v>
      </c>
      <c r="E529" s="6">
        <f t="shared" si="104"/>
        <v>0</v>
      </c>
      <c r="F529" s="6">
        <f t="shared" si="105"/>
        <v>0</v>
      </c>
      <c r="G529" s="6">
        <f t="shared" si="112"/>
        <v>0</v>
      </c>
      <c r="H529" s="7">
        <f t="shared" si="106"/>
        <v>-1</v>
      </c>
      <c r="I529" s="7">
        <f t="shared" si="107"/>
        <v>-1</v>
      </c>
      <c r="J529" s="7" t="e">
        <f t="shared" si="108"/>
        <v>#DIV/0!</v>
      </c>
      <c r="K529" s="7">
        <f t="shared" si="113"/>
        <v>4.7619047619047616E-2</v>
      </c>
      <c r="L529" s="5" t="s">
        <v>413</v>
      </c>
      <c r="M529" s="7" t="str">
        <f>IF(R529="",(VLOOKUP(A529,[1]Export!$B$2:$H$680,7,0)),"CHURN")</f>
        <v>CHURN</v>
      </c>
      <c r="N529" s="5" t="e">
        <f t="shared" si="114"/>
        <v>#VALUE!</v>
      </c>
      <c r="O529" s="5" t="e">
        <f t="shared" si="115"/>
        <v>#VALUE!</v>
      </c>
      <c r="P529" s="5" t="e">
        <f t="shared" si="116"/>
        <v>#VALUE!</v>
      </c>
      <c r="Q529" s="5" t="s">
        <v>696</v>
      </c>
      <c r="R529" s="5" t="s">
        <v>428</v>
      </c>
      <c r="S529" s="5" t="str">
        <f>VLOOKUP(A529,[3]Sheet1!$A$1:$C$191,3,0)</f>
        <v>Dec.23</v>
      </c>
      <c r="T529" s="6" cm="1">
        <f t="array" ref="T529">IF(R529&lt;&gt;"Churn","",
 _xlfn.LET(
   _xlpm.rng,Y529:BF529,
   _xlpm.pos,MAX(IF((_xlpm.rng&lt;&gt;0)*(_xlpm.rng&lt;&gt;""),COLUMN(_xlpm.rng)-COLUMN(Y529)+1)),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1100</v>
      </c>
      <c r="U529" s="6" cm="1">
        <f t="array" ref="U529">IF(R529="Churn",
   MAX(IF((Y529:BF529&lt;&gt;"")*(Y529:BF529&lt;&gt;0), COLUMN(Y529:BF529)-COLUMN(Y529)+1))
   -MATCH(1, --((Y529:BF529&lt;&gt;"")*(Y529:BF529&lt;&gt;0)), 0)
   +1,
"")</f>
        <v>11</v>
      </c>
      <c r="V529" s="6" t="str" cm="1">
        <f t="array" ref="V529">IFERROR(
    IF(
        MATCH(2,1/((Y529:BF529&lt;&gt;0)*(Y529:BF529&lt;&gt;"")))-MATCH(1,INDEX((Y529:BF529&lt;&gt;0)*(Y529:BF529&lt;&gt;""),0),0)+1 &lt;= 12,
        "No",
        "Yes"
    ),
    "No"
)</f>
        <v>No</v>
      </c>
      <c r="W529" s="6" t="str" cm="1">
        <f t="array" ref="W529">IFERROR(
    IF(
        MATCH(2,1/((Y529:BF529&lt;&gt;0)*(Y529:BF529&lt;&gt;"")))-MATCH(1,INDEX((Y529:BF529&lt;&gt;0)*(Y529:BF529&lt;&gt;""),0),0)+1 &lt;= 24,
        "No",
        "Yes"
    ),
    "No"
)</f>
        <v>No</v>
      </c>
      <c r="Y529" s="8">
        <v>1050</v>
      </c>
      <c r="Z529" s="8">
        <v>1050</v>
      </c>
      <c r="AA529" s="8">
        <v>1050</v>
      </c>
      <c r="AB529" s="8">
        <v>1050</v>
      </c>
      <c r="AC529" s="8">
        <v>1050</v>
      </c>
      <c r="AD529" s="8">
        <v>1100</v>
      </c>
      <c r="AE529" s="8">
        <v>1100</v>
      </c>
      <c r="AF529" s="8">
        <v>1100</v>
      </c>
      <c r="AG529" s="8">
        <v>1100</v>
      </c>
      <c r="AH529" s="8">
        <v>1100</v>
      </c>
      <c r="AI529" s="8">
        <v>1100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H529" s="8">
        <f t="shared" si="109"/>
        <v>11850</v>
      </c>
      <c r="BI529" s="8">
        <f t="shared" si="110"/>
        <v>0</v>
      </c>
      <c r="BJ529" s="8">
        <f t="shared" si="111"/>
        <v>0</v>
      </c>
    </row>
    <row r="530" spans="1:62" x14ac:dyDescent="0.25">
      <c r="A530" s="9" t="s">
        <v>587</v>
      </c>
      <c r="B530" s="9" t="s">
        <v>644</v>
      </c>
      <c r="C530" s="10">
        <v>44927</v>
      </c>
      <c r="D530" s="6" cm="1">
        <f t="array" ref="D530">_xlfn.LET(
  _xlpm.aralık, Y530:BF530,
  _xlpm.ilk, MATCH(TRUE, _xlpm.aralık&lt;&gt;0, 0),
  _xlpm.son, MIN(_xlpm.ilk+2, COLUMNS(_xlpm.aralık)),
  MAX(INDEX(_xlpm.aralık, _xlpm.ilk):INDEX(_xlpm.aralık, _xlpm.son))
)</f>
        <v>860</v>
      </c>
      <c r="E530" s="6">
        <f t="shared" si="104"/>
        <v>0</v>
      </c>
      <c r="F530" s="6">
        <f t="shared" si="105"/>
        <v>0</v>
      </c>
      <c r="G530" s="6">
        <f t="shared" si="112"/>
        <v>0</v>
      </c>
      <c r="H530" s="7">
        <f t="shared" si="106"/>
        <v>-1</v>
      </c>
      <c r="I530" s="7">
        <f t="shared" si="107"/>
        <v>-1</v>
      </c>
      <c r="J530" s="7" t="e">
        <f t="shared" si="108"/>
        <v>#DIV/0!</v>
      </c>
      <c r="K530" s="7">
        <f t="shared" si="113"/>
        <v>-0.89534883720930236</v>
      </c>
      <c r="L530" s="5" t="s">
        <v>412</v>
      </c>
      <c r="M530" s="7" t="str">
        <f>IF(R530="",(VLOOKUP(A530,[1]Export!$B$2:$H$680,7,0)),"CHURN")</f>
        <v>CHURN</v>
      </c>
      <c r="N530" s="5" t="e">
        <f t="shared" si="114"/>
        <v>#VALUE!</v>
      </c>
      <c r="O530" s="5" t="e">
        <f t="shared" si="115"/>
        <v>#VALUE!</v>
      </c>
      <c r="P530" s="5" t="e">
        <f t="shared" si="116"/>
        <v>#VALUE!</v>
      </c>
      <c r="Q530" s="5" t="s">
        <v>696</v>
      </c>
      <c r="R530" s="5" t="s">
        <v>428</v>
      </c>
      <c r="S530" s="5" t="str">
        <f>VLOOKUP(A530,[3]Sheet1!$A$1:$C$191,3,0)</f>
        <v>Sep.23</v>
      </c>
      <c r="T530" s="6" cm="1">
        <f t="array" ref="T530">IF(R530&lt;&gt;"Churn","",
 _xlfn.LET(
   _xlpm.rng,Y530:BF530,
   _xlpm.pos,MAX(IF((_xlpm.rng&lt;&gt;0)*(_xlpm.rng&lt;&gt;""),COLUMN(_xlpm.rng)-COLUMN(Y530)+1)),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90</v>
      </c>
      <c r="U530" s="6" cm="1">
        <f t="array" ref="U530">IF(R530="Churn",
   MAX(IF((Y530:BF530&lt;&gt;"")*(Y530:BF530&lt;&gt;0), COLUMN(Y530:BF530)-COLUMN(Y530)+1))
   -MATCH(1, --((Y530:BF530&lt;&gt;"")*(Y530:BF530&lt;&gt;0)), 0)
   +1,
"")</f>
        <v>8</v>
      </c>
      <c r="V530" s="6" t="str" cm="1">
        <f t="array" ref="V530">IFERROR(
    IF(
        MATCH(2,1/((Y530:BF530&lt;&gt;0)*(Y530:BF530&lt;&gt;"")))-MATCH(1,INDEX((Y530:BF530&lt;&gt;0)*(Y530:BF530&lt;&gt;""),0),0)+1 &lt;= 12,
        "No",
        "Yes"
    ),
    "No"
)</f>
        <v>No</v>
      </c>
      <c r="W530" s="6" t="str" cm="1">
        <f t="array" ref="W530">IFERROR(
    IF(
        MATCH(2,1/((Y530:BF530&lt;&gt;0)*(Y530:BF530&lt;&gt;"")))-MATCH(1,INDEX((Y530:BF530&lt;&gt;0)*(Y530:BF530&lt;&gt;""),0),0)+1 &lt;= 24,
        "No",
        "Yes"
    ),
    "No"
)</f>
        <v>No</v>
      </c>
      <c r="Y530" s="8">
        <v>860</v>
      </c>
      <c r="Z530" s="8">
        <v>90</v>
      </c>
      <c r="AA530" s="8">
        <v>90</v>
      </c>
      <c r="AB530" s="8">
        <v>90</v>
      </c>
      <c r="AC530" s="8">
        <v>90</v>
      </c>
      <c r="AD530" s="8">
        <v>90</v>
      </c>
      <c r="AE530" s="8">
        <v>90</v>
      </c>
      <c r="AF530" s="8">
        <v>90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H530" s="8">
        <f t="shared" si="109"/>
        <v>1490</v>
      </c>
      <c r="BI530" s="8">
        <f t="shared" si="110"/>
        <v>0</v>
      </c>
      <c r="BJ530" s="8">
        <f t="shared" si="111"/>
        <v>0</v>
      </c>
    </row>
    <row r="531" spans="1:62" x14ac:dyDescent="0.25">
      <c r="A531" s="9" t="s">
        <v>588</v>
      </c>
      <c r="B531" s="9" t="s">
        <v>644</v>
      </c>
      <c r="C531" s="10">
        <v>44927</v>
      </c>
      <c r="D531" s="6" cm="1">
        <f t="array" ref="D531">_xlfn.LET(
  _xlpm.aralık, Y531:BF531,
  _xlpm.ilk, MATCH(TRUE, _xlpm.aralık&lt;&gt;0, 0),
  _xlpm.son, MIN(_xlpm.ilk+2, COLUMNS(_xlpm.aralık)),
  MAX(INDEX(_xlpm.aralık, _xlpm.ilk):INDEX(_xlpm.aralık, _xlpm.son))
)</f>
        <v>150</v>
      </c>
      <c r="E531" s="6">
        <f t="shared" si="104"/>
        <v>0</v>
      </c>
      <c r="F531" s="6">
        <f t="shared" si="105"/>
        <v>0</v>
      </c>
      <c r="G531" s="6">
        <f t="shared" si="112"/>
        <v>0</v>
      </c>
      <c r="H531" s="7">
        <f t="shared" si="106"/>
        <v>-1</v>
      </c>
      <c r="I531" s="7">
        <f t="shared" si="107"/>
        <v>-1</v>
      </c>
      <c r="J531" s="7" t="e">
        <f t="shared" si="108"/>
        <v>#DIV/0!</v>
      </c>
      <c r="K531" s="7">
        <f t="shared" si="113"/>
        <v>-0.91666666666666663</v>
      </c>
      <c r="L531" s="5" t="s">
        <v>412</v>
      </c>
      <c r="M531" s="7" t="str">
        <f>IF(R531="",(VLOOKUP(A531,[1]Export!$B$2:$H$680,7,0)),"CHURN")</f>
        <v>CHURN</v>
      </c>
      <c r="N531" s="5" t="e">
        <f t="shared" si="114"/>
        <v>#VALUE!</v>
      </c>
      <c r="O531" s="5" t="e">
        <f t="shared" si="115"/>
        <v>#VALUE!</v>
      </c>
      <c r="P531" s="5" t="e">
        <f t="shared" si="116"/>
        <v>#VALUE!</v>
      </c>
      <c r="Q531" s="5" t="s">
        <v>696</v>
      </c>
      <c r="R531" s="5" t="s">
        <v>428</v>
      </c>
      <c r="S531" s="5" t="str">
        <f>VLOOKUP(A531,[3]Sheet1!$A$1:$C$191,3,0)</f>
        <v>Jul.23</v>
      </c>
      <c r="T531" s="6" cm="1">
        <f t="array" ref="T531">IF(R531&lt;&gt;"Churn","",
 _xlfn.LET(
   _xlpm.rng,Y531:BF531,
   _xlpm.pos,MAX(IF((_xlpm.rng&lt;&gt;0)*(_xlpm.rng&lt;&gt;""),COLUMN(_xlpm.rng)-COLUMN(Y531)+1)),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12.5</v>
      </c>
      <c r="U531" s="6" cm="1">
        <f t="array" ref="U531">IF(R531="Churn",
   MAX(IF((Y531:BF531&lt;&gt;"")*(Y531:BF531&lt;&gt;0), COLUMN(Y531:BF531)-COLUMN(Y531)+1))
   -MATCH(1, --((Y531:BF531&lt;&gt;"")*(Y531:BF531&lt;&gt;0)), 0)
   +1,
"")</f>
        <v>6</v>
      </c>
      <c r="V531" s="6" t="str" cm="1">
        <f t="array" ref="V531">IFERROR(
    IF(
        MATCH(2,1/((Y531:BF531&lt;&gt;0)*(Y531:BF531&lt;&gt;"")))-MATCH(1,INDEX((Y531:BF531&lt;&gt;0)*(Y531:BF531&lt;&gt;""),0),0)+1 &lt;= 12,
        "No",
        "Yes"
    ),
    "No"
)</f>
        <v>No</v>
      </c>
      <c r="W531" s="6" t="str" cm="1">
        <f t="array" ref="W531">IFERROR(
    IF(
        MATCH(2,1/((Y531:BF531&lt;&gt;0)*(Y531:BF531&lt;&gt;"")))-MATCH(1,INDEX((Y531:BF531&lt;&gt;0)*(Y531:BF531&lt;&gt;""),0),0)+1 &lt;= 24,
        "No",
        "Yes"
    ),
    "No"
)</f>
        <v>No</v>
      </c>
      <c r="Y531" s="8">
        <v>150</v>
      </c>
      <c r="Z531" s="8">
        <v>150</v>
      </c>
      <c r="AA531" s="8">
        <v>150</v>
      </c>
      <c r="AB531" s="8">
        <v>12.5</v>
      </c>
      <c r="AC531" s="8">
        <v>12.5</v>
      </c>
      <c r="AD531" s="8">
        <v>12.5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H531" s="8">
        <f t="shared" si="109"/>
        <v>487.5</v>
      </c>
      <c r="BI531" s="8">
        <f t="shared" si="110"/>
        <v>0</v>
      </c>
      <c r="BJ531" s="8">
        <f t="shared" si="111"/>
        <v>0</v>
      </c>
    </row>
    <row r="532" spans="1:62" x14ac:dyDescent="0.25">
      <c r="A532" s="9" t="s">
        <v>589</v>
      </c>
      <c r="B532" s="9" t="s">
        <v>644</v>
      </c>
      <c r="C532" s="10">
        <v>44927</v>
      </c>
      <c r="D532" s="6" cm="1">
        <f t="array" ref="D532">_xlfn.LET(
  _xlpm.aralık, Y532:BF532,
  _xlpm.ilk, MATCH(TRUE, _xlpm.aralık&lt;&gt;0, 0),
  _xlpm.son, MIN(_xlpm.ilk+2, COLUMNS(_xlpm.aralık)),
  MAX(INDEX(_xlpm.aralık, _xlpm.ilk):INDEX(_xlpm.aralık, _xlpm.son))
)</f>
        <v>870.5</v>
      </c>
      <c r="E532" s="6">
        <f t="shared" si="104"/>
        <v>0</v>
      </c>
      <c r="F532" s="6">
        <f t="shared" si="105"/>
        <v>0</v>
      </c>
      <c r="G532" s="6">
        <f t="shared" si="112"/>
        <v>0</v>
      </c>
      <c r="H532" s="7">
        <f t="shared" si="106"/>
        <v>-1</v>
      </c>
      <c r="I532" s="7">
        <f t="shared" si="107"/>
        <v>-1</v>
      </c>
      <c r="J532" s="7" t="e">
        <f t="shared" si="108"/>
        <v>#DIV/0!</v>
      </c>
      <c r="K532" s="7">
        <f t="shared" si="113"/>
        <v>0</v>
      </c>
      <c r="L532" s="5" t="s">
        <v>420</v>
      </c>
      <c r="M532" s="7" t="str">
        <f>IF(R532="",(VLOOKUP(A532,[1]Export!$B$2:$H$680,7,0)),"CHURN")</f>
        <v>CHURN</v>
      </c>
      <c r="N532" s="5" t="e">
        <f t="shared" si="114"/>
        <v>#VALUE!</v>
      </c>
      <c r="O532" s="5" t="e">
        <f t="shared" si="115"/>
        <v>#VALUE!</v>
      </c>
      <c r="P532" s="5" t="e">
        <f t="shared" si="116"/>
        <v>#VALUE!</v>
      </c>
      <c r="Q532" s="5" t="s">
        <v>696</v>
      </c>
      <c r="R532" s="5" t="s">
        <v>428</v>
      </c>
      <c r="S532" s="5" t="str">
        <f>VLOOKUP(A532,[3]Sheet1!$A$1:$C$191,3,0)</f>
        <v>Feb.23</v>
      </c>
      <c r="T532" s="6" cm="1">
        <f t="array" ref="T532">IF(R532&lt;&gt;"Churn","",
 _xlfn.LET(
   _xlpm.rng,Y532:BF532,
   _xlpm.pos,MAX(IF((_xlpm.rng&lt;&gt;0)*(_xlpm.rng&lt;&gt;""),COLUMN(_xlpm.rng)-COLUMN(Y532)+1)),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870.5</v>
      </c>
      <c r="U532" s="6" cm="1">
        <f t="array" ref="U532">IF(R532="Churn",
   MAX(IF((Y532:BF532&lt;&gt;"")*(Y532:BF532&lt;&gt;0), COLUMN(Y532:BF532)-COLUMN(Y532)+1))
   -MATCH(1, --((Y532:BF532&lt;&gt;"")*(Y532:BF532&lt;&gt;0)), 0)
   +1,
"")</f>
        <v>1</v>
      </c>
      <c r="V532" s="6" t="str" cm="1">
        <f t="array" ref="V532">IFERROR(
    IF(
        MATCH(2,1/((Y532:BF532&lt;&gt;0)*(Y532:BF532&lt;&gt;"")))-MATCH(1,INDEX((Y532:BF532&lt;&gt;0)*(Y532:BF532&lt;&gt;""),0),0)+1 &lt;= 12,
        "No",
        "Yes"
    ),
    "No"
)</f>
        <v>No</v>
      </c>
      <c r="W532" s="6" t="str" cm="1">
        <f t="array" ref="W532">IFERROR(
    IF(
        MATCH(2,1/((Y532:BF532&lt;&gt;0)*(Y532:BF532&lt;&gt;"")))-MATCH(1,INDEX((Y532:BF532&lt;&gt;0)*(Y532:BF532&lt;&gt;""),0),0)+1 &lt;= 24,
        "No",
        "Yes"
    ),
    "No"
)</f>
        <v>No</v>
      </c>
      <c r="Y532" s="8">
        <v>870.5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H532" s="8">
        <f t="shared" si="109"/>
        <v>870.5</v>
      </c>
      <c r="BI532" s="8">
        <f t="shared" si="110"/>
        <v>0</v>
      </c>
      <c r="BJ532" s="8">
        <f t="shared" si="111"/>
        <v>0</v>
      </c>
    </row>
    <row r="533" spans="1:62" x14ac:dyDescent="0.25">
      <c r="A533" s="9" t="s">
        <v>22</v>
      </c>
      <c r="B533" s="9" t="s">
        <v>644</v>
      </c>
      <c r="C533" s="10">
        <v>44927</v>
      </c>
      <c r="D533" s="6" cm="1">
        <f t="array" ref="D533">_xlfn.LET(
  _xlpm.aralık, Y533:BF533,
  _xlpm.ilk, MATCH(TRUE, _xlpm.aralık&lt;&gt;0, 0),
  _xlpm.son, MIN(_xlpm.ilk+2, COLUMNS(_xlpm.aralık)),
  MAX(INDEX(_xlpm.aralık, _xlpm.ilk):INDEX(_xlpm.aralık, _xlpm.son))
)</f>
        <v>526.63</v>
      </c>
      <c r="E533" s="6">
        <f t="shared" si="104"/>
        <v>640.625</v>
      </c>
      <c r="F533" s="6">
        <f t="shared" si="105"/>
        <v>0</v>
      </c>
      <c r="G533" s="6">
        <f t="shared" si="112"/>
        <v>0</v>
      </c>
      <c r="H533" s="7">
        <f t="shared" si="106"/>
        <v>0.21646127262024573</v>
      </c>
      <c r="I533" s="7">
        <f t="shared" si="107"/>
        <v>-1</v>
      </c>
      <c r="J533" s="7">
        <f t="shared" si="108"/>
        <v>-1</v>
      </c>
      <c r="K533" s="7">
        <f t="shared" si="113"/>
        <v>-0.51578907392286799</v>
      </c>
      <c r="L533" s="5" t="s">
        <v>418</v>
      </c>
      <c r="M533" s="7" t="str">
        <f>IF(R533="",(VLOOKUP(A533,[1]Export!$B$2:$H$680,7,0)),"CHURN")</f>
        <v>CHURN</v>
      </c>
      <c r="N533" s="5" t="e">
        <f t="shared" si="114"/>
        <v>#VALUE!</v>
      </c>
      <c r="O533" s="5" t="e">
        <f t="shared" si="115"/>
        <v>#VALUE!</v>
      </c>
      <c r="P533" s="5" t="e">
        <f t="shared" si="116"/>
        <v>#VALUE!</v>
      </c>
      <c r="Q533" s="5" t="s">
        <v>696</v>
      </c>
      <c r="R533" s="5" t="s">
        <v>428</v>
      </c>
      <c r="S533" s="5" t="s">
        <v>669</v>
      </c>
      <c r="T533" s="6" cm="1">
        <f t="array" ref="T533">IF(R533&lt;&gt;"Churn","",
 _xlfn.LET(
   _xlpm.rng,Y533:BF533,
   _xlpm.pos,MAX(IF((_xlpm.rng&lt;&gt;0)*(_xlpm.rng&lt;&gt;""),COLUMN(_xlpm.rng)-COLUMN(Y533)+1)),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255</v>
      </c>
      <c r="U533" s="6" cm="1">
        <f t="array" ref="U533">IF(R533="Churn",
   MAX(IF((Y533:BF533&lt;&gt;"")*(Y533:BF533&lt;&gt;0), COLUMN(Y533:BF533)-COLUMN(Y533)+1))
   -MATCH(1, --((Y533:BF533&lt;&gt;"")*(Y533:BF533&lt;&gt;0)), 0)
   +1,
"")</f>
        <v>23</v>
      </c>
      <c r="V533" s="6" t="str" cm="1">
        <f t="array" ref="V533">IFERROR(
    IF(
        MATCH(2,1/((Y533:BF533&lt;&gt;0)*(Y533:BF533&lt;&gt;"")))-MATCH(1,INDEX((Y533:BF533&lt;&gt;0)*(Y533:BF533&lt;&gt;""),0),0)+1 &lt;= 12,
        "No",
        "Yes"
    ),
    "No"
)</f>
        <v>Yes</v>
      </c>
      <c r="W533" s="6" t="str" cm="1">
        <f t="array" ref="W533">IFERROR(
    IF(
        MATCH(2,1/((Y533:BF533&lt;&gt;0)*(Y533:BF533&lt;&gt;"")))-MATCH(1,INDEX((Y533:BF533&lt;&gt;0)*(Y533:BF533&lt;&gt;""),0),0)+1 &lt;= 24,
        "No",
        "Yes"
    ),
    "No"
)</f>
        <v>No</v>
      </c>
      <c r="Y533" s="8">
        <v>501.63</v>
      </c>
      <c r="Z533" s="8">
        <v>514.13</v>
      </c>
      <c r="AA533" s="8">
        <v>526.63</v>
      </c>
      <c r="AB533" s="8">
        <v>526.63</v>
      </c>
      <c r="AC533" s="8">
        <v>549.63</v>
      </c>
      <c r="AD533" s="8">
        <v>550.625</v>
      </c>
      <c r="AE533" s="8">
        <v>585.625</v>
      </c>
      <c r="AF533" s="8">
        <v>598.125</v>
      </c>
      <c r="AG533" s="8">
        <v>598.125</v>
      </c>
      <c r="AH533" s="8">
        <v>598.125</v>
      </c>
      <c r="AI533" s="8">
        <v>598.125</v>
      </c>
      <c r="AJ533" s="8">
        <v>640.625</v>
      </c>
      <c r="AK533" s="8">
        <v>640.625</v>
      </c>
      <c r="AL533" s="8">
        <v>640.625</v>
      </c>
      <c r="AM533" s="8">
        <v>640.625</v>
      </c>
      <c r="AN533" s="8">
        <v>556</v>
      </c>
      <c r="AO533" s="8">
        <v>556</v>
      </c>
      <c r="AP533" s="8">
        <v>265</v>
      </c>
      <c r="AQ533" s="8">
        <v>255</v>
      </c>
      <c r="AR533" s="8">
        <v>255</v>
      </c>
      <c r="AS533" s="8">
        <v>255</v>
      </c>
      <c r="AT533" s="8">
        <v>5</v>
      </c>
      <c r="AU533" s="8">
        <v>5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H533" s="8">
        <f t="shared" si="109"/>
        <v>6788.0249999999996</v>
      </c>
      <c r="BI533" s="8">
        <f t="shared" si="110"/>
        <v>4073.875</v>
      </c>
      <c r="BJ533" s="8">
        <f t="shared" si="111"/>
        <v>0</v>
      </c>
    </row>
    <row r="534" spans="1:62" x14ac:dyDescent="0.25">
      <c r="A534" s="9" t="s">
        <v>33</v>
      </c>
      <c r="B534" s="9" t="s">
        <v>644</v>
      </c>
      <c r="C534" s="10">
        <v>44927</v>
      </c>
      <c r="D534" s="6" cm="1">
        <f t="array" ref="D534">_xlfn.LET(
  _xlpm.aralık, Y534:BF534,
  _xlpm.ilk, MATCH(TRUE, _xlpm.aralık&lt;&gt;0, 0),
  _xlpm.son, MIN(_xlpm.ilk+2, COLUMNS(_xlpm.aralık)),
  MAX(INDEX(_xlpm.aralık, _xlpm.ilk):INDEX(_xlpm.aralık, _xlpm.son))
)</f>
        <v>134.87362927344162</v>
      </c>
      <c r="E534" s="6">
        <f t="shared" si="104"/>
        <v>342.43419170481718</v>
      </c>
      <c r="F534" s="6">
        <f t="shared" si="105"/>
        <v>0</v>
      </c>
      <c r="G534" s="6">
        <f t="shared" si="112"/>
        <v>0</v>
      </c>
      <c r="H534" s="7">
        <f t="shared" si="106"/>
        <v>1.5389262048444554</v>
      </c>
      <c r="I534" s="7">
        <f t="shared" si="107"/>
        <v>-1</v>
      </c>
      <c r="J534" s="7">
        <f t="shared" si="108"/>
        <v>-1</v>
      </c>
      <c r="K534" s="7">
        <f t="shared" si="113"/>
        <v>3.1489436027666926</v>
      </c>
      <c r="L534" s="5" t="s">
        <v>424</v>
      </c>
      <c r="M534" s="7" t="str">
        <f>IF(R534="",(VLOOKUP(A534,[1]Export!$B$2:$H$680,7,0)),"CHURN")</f>
        <v>CHURN</v>
      </c>
      <c r="N534" s="5" t="e">
        <f t="shared" si="114"/>
        <v>#VALUE!</v>
      </c>
      <c r="O534" s="5" t="e">
        <f t="shared" si="115"/>
        <v>#VALUE!</v>
      </c>
      <c r="P534" s="5" t="e">
        <f t="shared" si="116"/>
        <v>#VALUE!</v>
      </c>
      <c r="Q534" s="5" t="s">
        <v>696</v>
      </c>
      <c r="R534" s="5" t="s">
        <v>428</v>
      </c>
      <c r="S534" s="5" t="str">
        <f>VLOOKUP(A534,[3]Sheet1!$A$1:$C$191,3,0)</f>
        <v>Nov.24</v>
      </c>
      <c r="T534" s="6" cm="1">
        <f t="array" ref="T534">IF(R534&lt;&gt;"Churn","",
 _xlfn.LET(
   _xlpm.rng,Y534:BF534,
   _xlpm.pos,MAX(IF((_xlpm.rng&lt;&gt;0)*(_xlpm.rng&lt;&gt;""),COLUMN(_xlpm.rng)-COLUMN(Y534)+1)),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559.58308135597213</v>
      </c>
      <c r="U534" s="6" cm="1">
        <f t="array" ref="U534">IF(R534="Churn",
   MAX(IF((Y534:BF534&lt;&gt;"")*(Y534:BF534&lt;&gt;0), COLUMN(Y534:BF534)-COLUMN(Y534)+1))
   -MATCH(1, --((Y534:BF534&lt;&gt;"")*(Y534:BF534&lt;&gt;0)), 0)
   +1,
"")</f>
        <v>22</v>
      </c>
      <c r="V534" s="6" t="str" cm="1">
        <f t="array" ref="V534">IFERROR(
    IF(
        MATCH(2,1/((Y534:BF534&lt;&gt;0)*(Y534:BF534&lt;&gt;"")))-MATCH(1,INDEX((Y534:BF534&lt;&gt;0)*(Y534:BF534&lt;&gt;""),0),0)+1 &lt;= 12,
        "No",
        "Yes"
    ),
    "No"
)</f>
        <v>Yes</v>
      </c>
      <c r="W534" s="6" t="str" cm="1">
        <f t="array" ref="W534">IFERROR(
    IF(
        MATCH(2,1/((Y534:BF534&lt;&gt;0)*(Y534:BF534&lt;&gt;"")))-MATCH(1,INDEX((Y534:BF534&lt;&gt;0)*(Y534:BF534&lt;&gt;""),0),0)+1 &lt;= 24,
        "No",
        "Yes"
    ),
    "No"
)</f>
        <v>No</v>
      </c>
      <c r="Y534" s="8">
        <v>134.87362927344162</v>
      </c>
      <c r="Z534" s="8">
        <v>134.40503195439791</v>
      </c>
      <c r="AA534" s="8">
        <v>133.41700460367767</v>
      </c>
      <c r="AB534" s="8">
        <v>131.04666400774883</v>
      </c>
      <c r="AC534" s="8">
        <v>138.01947233627382</v>
      </c>
      <c r="AD534" s="8">
        <v>117.5005640832792</v>
      </c>
      <c r="AE534" s="8">
        <v>105.15566689768264</v>
      </c>
      <c r="AF534" s="8">
        <v>103.3364679742739</v>
      </c>
      <c r="AG534" s="8">
        <v>103.24892257779527</v>
      </c>
      <c r="AH534" s="8">
        <v>100.34397969782016</v>
      </c>
      <c r="AI534" s="8">
        <v>358.85953139814364</v>
      </c>
      <c r="AJ534" s="8">
        <v>353.4080653549301</v>
      </c>
      <c r="AK534" s="8">
        <v>342.43419170481718</v>
      </c>
      <c r="AL534" s="8">
        <v>334.77294583694402</v>
      </c>
      <c r="AM534" s="8">
        <v>416.19688140308659</v>
      </c>
      <c r="AN534" s="8">
        <v>412.14124376149601</v>
      </c>
      <c r="AO534" s="8">
        <v>412.7273122621728</v>
      </c>
      <c r="AP534" s="8">
        <v>409.30897146060352</v>
      </c>
      <c r="AQ534" s="8">
        <v>404.67191509959531</v>
      </c>
      <c r="AR534" s="8">
        <v>396.15398294936637</v>
      </c>
      <c r="AS534" s="8">
        <v>559.58308135597213</v>
      </c>
      <c r="AT534" s="8">
        <v>96.794205357221244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H534" s="8">
        <f t="shared" si="109"/>
        <v>1913.6150001594649</v>
      </c>
      <c r="BI534" s="8">
        <f t="shared" si="110"/>
        <v>3784.7847311912756</v>
      </c>
      <c r="BJ534" s="8">
        <f t="shared" si="111"/>
        <v>0</v>
      </c>
    </row>
    <row r="535" spans="1:62" x14ac:dyDescent="0.25">
      <c r="A535" s="9" t="s">
        <v>40</v>
      </c>
      <c r="B535" s="9" t="s">
        <v>644</v>
      </c>
      <c r="C535" s="10">
        <v>44927</v>
      </c>
      <c r="D535" s="6" cm="1">
        <f t="array" ref="D535">_xlfn.LET(
  _xlpm.aralık, Y535:BF535,
  _xlpm.ilk, MATCH(TRUE, _xlpm.aralık&lt;&gt;0, 0),
  _xlpm.son, MIN(_xlpm.ilk+2, COLUMNS(_xlpm.aralık)),
  MAX(INDEX(_xlpm.aralık, _xlpm.ilk):INDEX(_xlpm.aralık, _xlpm.son))
)</f>
        <v>437.24</v>
      </c>
      <c r="E535" s="6">
        <f t="shared" si="104"/>
        <v>535.00096499999995</v>
      </c>
      <c r="F535" s="6">
        <f t="shared" si="105"/>
        <v>0</v>
      </c>
      <c r="G535" s="6">
        <f t="shared" si="112"/>
        <v>0</v>
      </c>
      <c r="H535" s="7">
        <f t="shared" si="106"/>
        <v>0.22358650855365461</v>
      </c>
      <c r="I535" s="7">
        <f t="shared" si="107"/>
        <v>-1</v>
      </c>
      <c r="J535" s="7">
        <f t="shared" si="108"/>
        <v>-1</v>
      </c>
      <c r="K535" s="7">
        <f t="shared" si="113"/>
        <v>0.26932797776964584</v>
      </c>
      <c r="L535" s="5" t="s">
        <v>418</v>
      </c>
      <c r="M535" s="7" t="str">
        <f>IF(R535="",(VLOOKUP(A535,[1]Export!$B$2:$H$680,7,0)),"CHURN")</f>
        <v>CHURN</v>
      </c>
      <c r="N535" s="5" t="e">
        <f t="shared" si="114"/>
        <v>#VALUE!</v>
      </c>
      <c r="O535" s="5" t="e">
        <f t="shared" si="115"/>
        <v>#VALUE!</v>
      </c>
      <c r="P535" s="5" t="e">
        <f t="shared" si="116"/>
        <v>#VALUE!</v>
      </c>
      <c r="Q535" s="5" t="s">
        <v>696</v>
      </c>
      <c r="R535" s="5" t="s">
        <v>428</v>
      </c>
      <c r="S535" s="5" t="str">
        <f>VLOOKUP(A535,[3]Sheet1!$A$1:$C$191,3,0)</f>
        <v>Aug.24</v>
      </c>
      <c r="T535" s="6" cm="1">
        <f t="array" ref="T535">IF(R535&lt;&gt;"Churn","",
 _xlfn.LET(
   _xlpm.rng,Y535:BF535,
   _xlpm.pos,MAX(IF((_xlpm.rng&lt;&gt;0)*(_xlpm.rng&lt;&gt;""),COLUMN(_xlpm.rng)-COLUMN(Y535)+1)),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555.00096499999995</v>
      </c>
      <c r="U535" s="6" cm="1">
        <f t="array" ref="U535">IF(R535="Churn",
   MAX(IF((Y535:BF535&lt;&gt;"")*(Y535:BF535&lt;&gt;0), COLUMN(Y535:BF535)-COLUMN(Y535)+1))
   -MATCH(1, --((Y535:BF535&lt;&gt;"")*(Y535:BF535&lt;&gt;0)), 0)
   +1,
"")</f>
        <v>19</v>
      </c>
      <c r="V535" s="6" t="str" cm="1">
        <f t="array" ref="V535">IFERROR(
    IF(
        MATCH(2,1/((Y535:BF535&lt;&gt;0)*(Y535:BF535&lt;&gt;"")))-MATCH(1,INDEX((Y535:BF535&lt;&gt;0)*(Y535:BF535&lt;&gt;""),0),0)+1 &lt;= 12,
        "No",
        "Yes"
    ),
    "No"
)</f>
        <v>Yes</v>
      </c>
      <c r="W535" s="6" t="str" cm="1">
        <f t="array" ref="W535">IFERROR(
    IF(
        MATCH(2,1/((Y535:BF535&lt;&gt;0)*(Y535:BF535&lt;&gt;"")))-MATCH(1,INDEX((Y535:BF535&lt;&gt;0)*(Y535:BF535&lt;&gt;""),0),0)+1 &lt;= 24,
        "No",
        "Yes"
    ),
    "No"
)</f>
        <v>No</v>
      </c>
      <c r="Y535" s="8">
        <v>284.33493440237123</v>
      </c>
      <c r="Z535" s="8">
        <v>283.34705716729445</v>
      </c>
      <c r="AA535" s="8">
        <v>437.24</v>
      </c>
      <c r="AB535" s="8">
        <v>437.24</v>
      </c>
      <c r="AC535" s="8">
        <v>437.24</v>
      </c>
      <c r="AD535" s="8">
        <v>419</v>
      </c>
      <c r="AE535" s="8">
        <v>419.00096500000001</v>
      </c>
      <c r="AF535" s="8">
        <v>419.00096500000001</v>
      </c>
      <c r="AG535" s="8">
        <v>419.00096500000001</v>
      </c>
      <c r="AH535" s="8">
        <v>457.00096500000001</v>
      </c>
      <c r="AI535" s="8">
        <v>535.00096499999995</v>
      </c>
      <c r="AJ535" s="8">
        <v>535.00096499999995</v>
      </c>
      <c r="AK535" s="8">
        <v>535.00096499999995</v>
      </c>
      <c r="AL535" s="8">
        <v>555.00096499999995</v>
      </c>
      <c r="AM535" s="8">
        <v>555.00096499999995</v>
      </c>
      <c r="AN535" s="8">
        <v>555.00096499999995</v>
      </c>
      <c r="AO535" s="8">
        <v>555.00096499999995</v>
      </c>
      <c r="AP535" s="8">
        <v>555.00096499999995</v>
      </c>
      <c r="AQ535" s="8">
        <v>555.00096499999995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H535" s="8">
        <f t="shared" si="109"/>
        <v>5082.4077815696664</v>
      </c>
      <c r="BI535" s="8">
        <f t="shared" si="110"/>
        <v>3865.0067550000003</v>
      </c>
      <c r="BJ535" s="8">
        <f t="shared" si="111"/>
        <v>0</v>
      </c>
    </row>
    <row r="536" spans="1:62" x14ac:dyDescent="0.25">
      <c r="A536" s="9" t="s">
        <v>590</v>
      </c>
      <c r="B536" s="9" t="s">
        <v>644</v>
      </c>
      <c r="C536" s="10">
        <v>44927</v>
      </c>
      <c r="D536" s="6" cm="1">
        <f t="array" ref="D536">_xlfn.LET(
  _xlpm.aralık, Y536:BF536,
  _xlpm.ilk, MATCH(TRUE, _xlpm.aralık&lt;&gt;0, 0),
  _xlpm.son, MIN(_xlpm.ilk+2, COLUMNS(_xlpm.aralık)),
  MAX(INDEX(_xlpm.aralık, _xlpm.ilk):INDEX(_xlpm.aralık, _xlpm.son))
)</f>
        <v>430.20956056785531</v>
      </c>
      <c r="E536" s="6">
        <f t="shared" si="104"/>
        <v>0</v>
      </c>
      <c r="F536" s="6">
        <f t="shared" si="105"/>
        <v>0</v>
      </c>
      <c r="G536" s="6">
        <f t="shared" si="112"/>
        <v>0</v>
      </c>
      <c r="H536" s="7">
        <f t="shared" si="106"/>
        <v>-1</v>
      </c>
      <c r="I536" s="7">
        <f t="shared" si="107"/>
        <v>-1</v>
      </c>
      <c r="J536" s="7" t="e">
        <f t="shared" si="108"/>
        <v>#DIV/0!</v>
      </c>
      <c r="K536" s="7">
        <f t="shared" si="113"/>
        <v>-0.67470780432090216</v>
      </c>
      <c r="L536" s="5" t="s">
        <v>416</v>
      </c>
      <c r="M536" s="7" t="str">
        <f>IF(R536="",(VLOOKUP(A536,[1]Export!$B$2:$H$680,7,0)),"CHURN")</f>
        <v>CHURN</v>
      </c>
      <c r="N536" s="5" t="e">
        <f t="shared" si="114"/>
        <v>#VALUE!</v>
      </c>
      <c r="O536" s="5" t="e">
        <f t="shared" si="115"/>
        <v>#VALUE!</v>
      </c>
      <c r="P536" s="5" t="e">
        <f t="shared" si="116"/>
        <v>#VALUE!</v>
      </c>
      <c r="Q536" s="5" t="s">
        <v>696</v>
      </c>
      <c r="R536" s="5" t="s">
        <v>428</v>
      </c>
      <c r="S536" s="5" t="str">
        <f>VLOOKUP(A536,[3]Sheet1!$A$1:$C$191,3,0)</f>
        <v>Jan.24</v>
      </c>
      <c r="T536" s="6" cm="1">
        <f t="array" ref="T536">IF(R536&lt;&gt;"Churn","",
 _xlfn.LET(
   _xlpm.rng,Y536:BF536,
   _xlpm.pos,MAX(IF((_xlpm.rng&lt;&gt;0)*(_xlpm.rng&lt;&gt;""),COLUMN(_xlpm.rng)-COLUMN(Y536)+1)),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139.94381255925745</v>
      </c>
      <c r="U536" s="6" cm="1">
        <f t="array" ref="U536">IF(R536="Churn",
   MAX(IF((Y536:BF536&lt;&gt;"")*(Y536:BF536&lt;&gt;0), COLUMN(Y536:BF536)-COLUMN(Y536)+1))
   -MATCH(1, --((Y536:BF536&lt;&gt;"")*(Y536:BF536&lt;&gt;0)), 0)
   +1,
"")</f>
        <v>12</v>
      </c>
      <c r="V536" s="6" t="str" cm="1">
        <f t="array" ref="V536">IFERROR(
    IF(
        MATCH(2,1/((Y536:BF536&lt;&gt;0)*(Y536:BF536&lt;&gt;"")))-MATCH(1,INDEX((Y536:BF536&lt;&gt;0)*(Y536:BF536&lt;&gt;""),0),0)+1 &lt;= 12,
        "No",
        "Yes"
    ),
    "No"
)</f>
        <v>No</v>
      </c>
      <c r="W536" s="6" t="str" cm="1">
        <f t="array" ref="W536">IFERROR(
    IF(
        MATCH(2,1/((Y536:BF536&lt;&gt;0)*(Y536:BF536&lt;&gt;"")))-MATCH(1,INDEX((Y536:BF536&lt;&gt;0)*(Y536:BF536&lt;&gt;""),0),0)+1 &lt;= 24,
        "No",
        "Yes"
    ),
    "No"
)</f>
        <v>No</v>
      </c>
      <c r="Y536" s="8">
        <v>430.20956056785531</v>
      </c>
      <c r="Z536" s="8">
        <v>428.71486477153803</v>
      </c>
      <c r="AA536" s="8">
        <v>425.56333088999162</v>
      </c>
      <c r="AB536" s="8">
        <v>418.00260021444001</v>
      </c>
      <c r="AC536" s="8">
        <v>410.07722021220366</v>
      </c>
      <c r="AD536" s="8">
        <v>344.85964719154896</v>
      </c>
      <c r="AE536" s="8">
        <v>305.62246050952268</v>
      </c>
      <c r="AF536" s="8">
        <v>299.84029426735964</v>
      </c>
      <c r="AG536" s="8">
        <v>299.56203880575958</v>
      </c>
      <c r="AH536" s="8">
        <v>0</v>
      </c>
      <c r="AI536" s="8">
        <v>139.94381255925745</v>
      </c>
      <c r="AJ536" s="8">
        <v>137.76334324081378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0</v>
      </c>
      <c r="BH536" s="8">
        <f t="shared" si="109"/>
        <v>3640.1591732302909</v>
      </c>
      <c r="BI536" s="8">
        <f t="shared" si="110"/>
        <v>0</v>
      </c>
      <c r="BJ536" s="8">
        <f t="shared" si="111"/>
        <v>0</v>
      </c>
    </row>
    <row r="537" spans="1:62" x14ac:dyDescent="0.25">
      <c r="A537" s="9" t="s">
        <v>591</v>
      </c>
      <c r="B537" s="9" t="s">
        <v>644</v>
      </c>
      <c r="C537" s="10">
        <v>44927</v>
      </c>
      <c r="D537" s="6" cm="1">
        <f t="array" ref="D537">_xlfn.LET(
  _xlpm.aralık, Y537:BF537,
  _xlpm.ilk, MATCH(TRUE, _xlpm.aralık&lt;&gt;0, 0),
  _xlpm.son, MIN(_xlpm.ilk+2, COLUMNS(_xlpm.aralık)),
  MAX(INDEX(_xlpm.aralık, _xlpm.ilk):INDEX(_xlpm.aralık, _xlpm.son))
)</f>
        <v>128</v>
      </c>
      <c r="E537" s="6">
        <f t="shared" si="104"/>
        <v>0</v>
      </c>
      <c r="F537" s="6">
        <f t="shared" si="105"/>
        <v>0</v>
      </c>
      <c r="G537" s="6">
        <f t="shared" si="112"/>
        <v>0</v>
      </c>
      <c r="H537" s="7">
        <f t="shared" si="106"/>
        <v>-1</v>
      </c>
      <c r="I537" s="7">
        <f t="shared" si="107"/>
        <v>-1</v>
      </c>
      <c r="J537" s="7" t="e">
        <f t="shared" si="108"/>
        <v>#DIV/0!</v>
      </c>
      <c r="K537" s="7">
        <f t="shared" si="113"/>
        <v>0</v>
      </c>
      <c r="L537" s="5" t="s">
        <v>416</v>
      </c>
      <c r="M537" s="7" t="str">
        <f>IF(R537="",(VLOOKUP(A537,[1]Export!$B$2:$H$680,7,0)),"CHURN")</f>
        <v>CHURN</v>
      </c>
      <c r="N537" s="5" t="e">
        <f t="shared" si="114"/>
        <v>#VALUE!</v>
      </c>
      <c r="O537" s="5" t="e">
        <f t="shared" si="115"/>
        <v>#VALUE!</v>
      </c>
      <c r="P537" s="5" t="e">
        <f t="shared" si="116"/>
        <v>#VALUE!</v>
      </c>
      <c r="Q537" s="5" t="s">
        <v>696</v>
      </c>
      <c r="R537" s="5" t="s">
        <v>428</v>
      </c>
      <c r="S537" s="5" t="str">
        <f>VLOOKUP(A537,[3]Sheet1!$A$1:$C$191,3,0)</f>
        <v>Aug.23</v>
      </c>
      <c r="T537" s="6" cm="1">
        <f t="array" ref="T537">IF(R537&lt;&gt;"Churn","",
 _xlfn.LET(
   _xlpm.rng,Y537:BF537,
   _xlpm.pos,MAX(IF((_xlpm.rng&lt;&gt;0)*(_xlpm.rng&lt;&gt;""),COLUMN(_xlpm.rng)-COLUMN(Y537)+1)),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128</v>
      </c>
      <c r="U537" s="6" cm="1">
        <f t="array" ref="U537">IF(R537="Churn",
   MAX(IF((Y537:BF537&lt;&gt;"")*(Y537:BF537&lt;&gt;0), COLUMN(Y537:BF537)-COLUMN(Y537)+1))
   -MATCH(1, --((Y537:BF537&lt;&gt;"")*(Y537:BF537&lt;&gt;0)), 0)
   +1,
"")</f>
        <v>7</v>
      </c>
      <c r="V537" s="6" t="str" cm="1">
        <f t="array" ref="V537">IFERROR(
    IF(
        MATCH(2,1/((Y537:BF537&lt;&gt;0)*(Y537:BF537&lt;&gt;"")))-MATCH(1,INDEX((Y537:BF537&lt;&gt;0)*(Y537:BF537&lt;&gt;""),0),0)+1 &lt;= 12,
        "No",
        "Yes"
    ),
    "No"
)</f>
        <v>No</v>
      </c>
      <c r="W537" s="6" t="str" cm="1">
        <f t="array" ref="W537">IFERROR(
    IF(
        MATCH(2,1/((Y537:BF537&lt;&gt;0)*(Y537:BF537&lt;&gt;"")))-MATCH(1,INDEX((Y537:BF537&lt;&gt;0)*(Y537:BF537&lt;&gt;""),0),0)+1 &lt;= 24,
        "No",
        "Yes"
    ),
    "No"
)</f>
        <v>No</v>
      </c>
      <c r="Y537" s="8">
        <v>128</v>
      </c>
      <c r="Z537" s="8">
        <v>128</v>
      </c>
      <c r="AA537" s="8">
        <v>128</v>
      </c>
      <c r="AB537" s="8">
        <v>128</v>
      </c>
      <c r="AC537" s="8">
        <v>128</v>
      </c>
      <c r="AD537" s="8">
        <v>128</v>
      </c>
      <c r="AE537" s="8">
        <v>128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H537" s="8">
        <f t="shared" si="109"/>
        <v>896</v>
      </c>
      <c r="BI537" s="8">
        <f t="shared" si="110"/>
        <v>0</v>
      </c>
      <c r="BJ537" s="8">
        <f t="shared" si="111"/>
        <v>0</v>
      </c>
    </row>
    <row r="538" spans="1:62" x14ac:dyDescent="0.25">
      <c r="A538" s="9" t="s">
        <v>592</v>
      </c>
      <c r="B538" s="9" t="s">
        <v>644</v>
      </c>
      <c r="C538" s="10">
        <v>44927</v>
      </c>
      <c r="D538" s="6" cm="1">
        <f t="array" ref="D538">_xlfn.LET(
  _xlpm.aralık, Y538:BF538,
  _xlpm.ilk, MATCH(TRUE, _xlpm.aralık&lt;&gt;0, 0),
  _xlpm.son, MIN(_xlpm.ilk+2, COLUMNS(_xlpm.aralık)),
  MAX(INDEX(_xlpm.aralık, _xlpm.ilk):INDEX(_xlpm.aralık, _xlpm.son))
)</f>
        <v>600</v>
      </c>
      <c r="E538" s="6">
        <f t="shared" si="104"/>
        <v>0</v>
      </c>
      <c r="F538" s="6">
        <f t="shared" si="105"/>
        <v>0</v>
      </c>
      <c r="G538" s="6">
        <f t="shared" si="112"/>
        <v>0</v>
      </c>
      <c r="H538" s="7">
        <f t="shared" si="106"/>
        <v>-1</v>
      </c>
      <c r="I538" s="7">
        <f t="shared" si="107"/>
        <v>-1</v>
      </c>
      <c r="J538" s="7" t="e">
        <f t="shared" si="108"/>
        <v>#DIV/0!</v>
      </c>
      <c r="K538" s="7">
        <f t="shared" si="113"/>
        <v>0</v>
      </c>
      <c r="L538" s="5" t="s">
        <v>416</v>
      </c>
      <c r="M538" s="7" t="str">
        <f>IF(R538="",(VLOOKUP(A538,[1]Export!$B$2:$H$680,7,0)),"CHURN")</f>
        <v>CHURN</v>
      </c>
      <c r="N538" s="5" t="e">
        <f t="shared" si="114"/>
        <v>#VALUE!</v>
      </c>
      <c r="O538" s="5" t="e">
        <f t="shared" si="115"/>
        <v>#VALUE!</v>
      </c>
      <c r="P538" s="5" t="e">
        <f t="shared" si="116"/>
        <v>#VALUE!</v>
      </c>
      <c r="Q538" s="5" t="s">
        <v>696</v>
      </c>
      <c r="R538" s="5" t="s">
        <v>428</v>
      </c>
      <c r="S538" s="5" t="str">
        <f>VLOOKUP(A538,[3]Sheet1!$A$1:$C$191,3,0)</f>
        <v>Mar.23</v>
      </c>
      <c r="T538" s="6" cm="1">
        <f t="array" ref="T538">IF(R538&lt;&gt;"Churn","",
 _xlfn.LET(
   _xlpm.rng,Y538:BF538,
   _xlpm.pos,MAX(IF((_xlpm.rng&lt;&gt;0)*(_xlpm.rng&lt;&gt;""),COLUMN(_xlpm.rng)-COLUMN(Y538)+1)),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600</v>
      </c>
      <c r="U538" s="6" cm="1">
        <f t="array" ref="U538">IF(R538="Churn",
   MAX(IF((Y538:BF538&lt;&gt;"")*(Y538:BF538&lt;&gt;0), COLUMN(Y538:BF538)-COLUMN(Y538)+1))
   -MATCH(1, --((Y538:BF538&lt;&gt;"")*(Y538:BF538&lt;&gt;0)), 0)
   +1,
"")</f>
        <v>2</v>
      </c>
      <c r="V538" s="6" t="str" cm="1">
        <f t="array" ref="V538">IFERROR(
    IF(
        MATCH(2,1/((Y538:BF538&lt;&gt;0)*(Y538:BF538&lt;&gt;"")))-MATCH(1,INDEX((Y538:BF538&lt;&gt;0)*(Y538:BF538&lt;&gt;""),0),0)+1 &lt;= 12,
        "No",
        "Yes"
    ),
    "No"
)</f>
        <v>No</v>
      </c>
      <c r="W538" s="6" t="str" cm="1">
        <f t="array" ref="W538">IFERROR(
    IF(
        MATCH(2,1/((Y538:BF538&lt;&gt;0)*(Y538:BF538&lt;&gt;"")))-MATCH(1,INDEX((Y538:BF538&lt;&gt;0)*(Y538:BF538&lt;&gt;""),0),0)+1 &lt;= 24,
        "No",
        "Yes"
    ),
    "No"
)</f>
        <v>No</v>
      </c>
      <c r="Y538" s="8">
        <v>600</v>
      </c>
      <c r="Z538" s="8">
        <v>600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H538" s="8">
        <f t="shared" si="109"/>
        <v>1200</v>
      </c>
      <c r="BI538" s="8">
        <f t="shared" si="110"/>
        <v>0</v>
      </c>
      <c r="BJ538" s="8">
        <f t="shared" si="111"/>
        <v>0</v>
      </c>
    </row>
    <row r="539" spans="1:62" x14ac:dyDescent="0.25">
      <c r="A539" s="9" t="s">
        <v>55</v>
      </c>
      <c r="B539" s="9" t="s">
        <v>644</v>
      </c>
      <c r="C539" s="10">
        <v>44927</v>
      </c>
      <c r="D539" s="6" cm="1">
        <f t="array" ref="D539">_xlfn.LET(
  _xlpm.aralık, Y539:BF539,
  _xlpm.ilk, MATCH(TRUE, _xlpm.aralık&lt;&gt;0, 0),
  _xlpm.son, MIN(_xlpm.ilk+2, COLUMNS(_xlpm.aralık)),
  MAX(INDEX(_xlpm.aralık, _xlpm.ilk):INDEX(_xlpm.aralık, _xlpm.son))
)</f>
        <v>255</v>
      </c>
      <c r="E539" s="6">
        <f t="shared" si="104"/>
        <v>473</v>
      </c>
      <c r="F539" s="6">
        <f t="shared" si="105"/>
        <v>0</v>
      </c>
      <c r="G539" s="6">
        <f t="shared" si="112"/>
        <v>0</v>
      </c>
      <c r="H539" s="7">
        <f t="shared" si="106"/>
        <v>0.85490196078431369</v>
      </c>
      <c r="I539" s="7">
        <f t="shared" si="107"/>
        <v>-1</v>
      </c>
      <c r="J539" s="7">
        <f t="shared" si="108"/>
        <v>-1</v>
      </c>
      <c r="K539" s="7">
        <f t="shared" si="113"/>
        <v>1.1843137254901961</v>
      </c>
      <c r="L539" s="5" t="s">
        <v>413</v>
      </c>
      <c r="M539" s="7" t="str">
        <f>IF(R539="",(VLOOKUP(A539,[1]Export!$B$2:$H$680,7,0)),"CHURN")</f>
        <v>CHURN</v>
      </c>
      <c r="N539" s="5" t="e">
        <f t="shared" si="114"/>
        <v>#VALUE!</v>
      </c>
      <c r="O539" s="5" t="e">
        <f t="shared" si="115"/>
        <v>#VALUE!</v>
      </c>
      <c r="P539" s="5" t="e">
        <f t="shared" si="116"/>
        <v>#VALUE!</v>
      </c>
      <c r="Q539" s="5" t="s">
        <v>696</v>
      </c>
      <c r="R539" s="5" t="s">
        <v>428</v>
      </c>
      <c r="S539" s="5" t="str">
        <f>VLOOKUP(A539,[3]Sheet1!$A$1:$C$191,3,0)</f>
        <v>Nov.24</v>
      </c>
      <c r="T539" s="6" cm="1">
        <f t="array" ref="T539">IF(R539&lt;&gt;"Churn","",
 _xlfn.LET(
   _xlpm.rng,Y539:BF539,
   _xlpm.pos,MAX(IF((_xlpm.rng&lt;&gt;0)*(_xlpm.rng&lt;&gt;""),COLUMN(_xlpm.rng)-COLUMN(Y539)+1)),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557</v>
      </c>
      <c r="U539" s="6" cm="1">
        <f t="array" ref="U539">IF(R539="Churn",
   MAX(IF((Y539:BF539&lt;&gt;"")*(Y539:BF539&lt;&gt;0), COLUMN(Y539:BF539)-COLUMN(Y539)+1))
   -MATCH(1, --((Y539:BF539&lt;&gt;"")*(Y539:BF539&lt;&gt;0)), 0)
   +1,
"")</f>
        <v>22</v>
      </c>
      <c r="V539" s="6" t="str" cm="1">
        <f t="array" ref="V539">IFERROR(
    IF(
        MATCH(2,1/((Y539:BF539&lt;&gt;0)*(Y539:BF539&lt;&gt;"")))-MATCH(1,INDEX((Y539:BF539&lt;&gt;0)*(Y539:BF539&lt;&gt;""),0),0)+1 &lt;= 12,
        "No",
        "Yes"
    ),
    "No"
)</f>
        <v>Yes</v>
      </c>
      <c r="W539" s="6" t="str" cm="1">
        <f t="array" ref="W539">IFERROR(
    IF(
        MATCH(2,1/((Y539:BF539&lt;&gt;0)*(Y539:BF539&lt;&gt;"")))-MATCH(1,INDEX((Y539:BF539&lt;&gt;0)*(Y539:BF539&lt;&gt;""),0),0)+1 &lt;= 24,
        "No",
        "Yes"
    ),
    "No"
)</f>
        <v>No</v>
      </c>
      <c r="Y539" s="8">
        <v>255</v>
      </c>
      <c r="Z539" s="8">
        <v>255</v>
      </c>
      <c r="AA539" s="8">
        <v>255</v>
      </c>
      <c r="AB539" s="8">
        <v>255</v>
      </c>
      <c r="AC539" s="8">
        <v>255</v>
      </c>
      <c r="AD539" s="8">
        <v>255</v>
      </c>
      <c r="AE539" s="8">
        <v>255</v>
      </c>
      <c r="AF539" s="8">
        <v>255</v>
      </c>
      <c r="AG539" s="8">
        <v>262</v>
      </c>
      <c r="AH539" s="8">
        <v>262</v>
      </c>
      <c r="AI539" s="8">
        <v>473</v>
      </c>
      <c r="AJ539" s="8">
        <v>473</v>
      </c>
      <c r="AK539" s="8">
        <v>473</v>
      </c>
      <c r="AL539" s="8">
        <v>473</v>
      </c>
      <c r="AM539" s="8">
        <v>473</v>
      </c>
      <c r="AN539" s="8">
        <v>473</v>
      </c>
      <c r="AO539" s="8">
        <v>473</v>
      </c>
      <c r="AP539" s="8">
        <v>473</v>
      </c>
      <c r="AQ539" s="8">
        <v>641</v>
      </c>
      <c r="AR539" s="8">
        <v>557</v>
      </c>
      <c r="AS539" s="8">
        <v>557</v>
      </c>
      <c r="AT539" s="8">
        <v>408.4538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H539" s="8">
        <f t="shared" si="109"/>
        <v>3510</v>
      </c>
      <c r="BI539" s="8">
        <f t="shared" si="110"/>
        <v>5001.4538000000002</v>
      </c>
      <c r="BJ539" s="8">
        <f t="shared" si="111"/>
        <v>0</v>
      </c>
    </row>
    <row r="540" spans="1:62" x14ac:dyDescent="0.25">
      <c r="A540" s="9" t="s">
        <v>62</v>
      </c>
      <c r="B540" s="9" t="s">
        <v>644</v>
      </c>
      <c r="C540" s="10">
        <v>44927</v>
      </c>
      <c r="D540" s="6" cm="1">
        <f t="array" ref="D540">_xlfn.LET(
  _xlpm.aralık, Y540:BF540,
  _xlpm.ilk, MATCH(TRUE, _xlpm.aralık&lt;&gt;0, 0),
  _xlpm.son, MIN(_xlpm.ilk+2, COLUMNS(_xlpm.aralık)),
  MAX(INDEX(_xlpm.aralık, _xlpm.ilk):INDEX(_xlpm.aralık, _xlpm.son))
)</f>
        <v>1587.6058235204159</v>
      </c>
      <c r="E540" s="6">
        <f t="shared" si="104"/>
        <v>1277.4991711819252</v>
      </c>
      <c r="F540" s="6">
        <f t="shared" si="105"/>
        <v>0</v>
      </c>
      <c r="G540" s="6">
        <f t="shared" si="112"/>
        <v>0</v>
      </c>
      <c r="H540" s="7">
        <f t="shared" si="106"/>
        <v>-0.19532975235052283</v>
      </c>
      <c r="I540" s="7">
        <f t="shared" si="107"/>
        <v>-1</v>
      </c>
      <c r="J540" s="7">
        <f t="shared" si="108"/>
        <v>-1</v>
      </c>
      <c r="K540" s="7">
        <f t="shared" si="113"/>
        <v>-5.7543288610924212E-2</v>
      </c>
      <c r="L540" s="5" t="s">
        <v>421</v>
      </c>
      <c r="M540" s="7" t="str">
        <f>IF(R540="",(VLOOKUP(A540,[1]Export!$B$2:$H$680,7,0)),"CHURN")</f>
        <v>CHURN</v>
      </c>
      <c r="N540" s="5" t="e">
        <f t="shared" si="114"/>
        <v>#VALUE!</v>
      </c>
      <c r="O540" s="5" t="e">
        <f t="shared" si="115"/>
        <v>#VALUE!</v>
      </c>
      <c r="P540" s="5" t="e">
        <f t="shared" si="116"/>
        <v>#VALUE!</v>
      </c>
      <c r="Q540" s="5" t="s">
        <v>696</v>
      </c>
      <c r="R540" s="5" t="s">
        <v>428</v>
      </c>
      <c r="S540" s="5" t="str">
        <f>VLOOKUP(A540,[3]Sheet1!$A$1:$C$191,3,0)</f>
        <v>Jan.25</v>
      </c>
      <c r="T540" s="6" cm="1">
        <f t="array" ref="T540">IF(R540&lt;&gt;"Churn","",
 _xlfn.LET(
   _xlpm.rng,Y540:BF540,
   _xlpm.pos,MAX(IF((_xlpm.rng&lt;&gt;0)*(_xlpm.rng&lt;&gt;""),COLUMN(_xlpm.rng)-COLUMN(Y540)+1)),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1496.2497634171966</v>
      </c>
      <c r="U540" s="6" cm="1">
        <f t="array" ref="U540">IF(R540="Churn",
   MAX(IF((Y540:BF540&lt;&gt;"")*(Y540:BF540&lt;&gt;0), COLUMN(Y540:BF540)-COLUMN(Y540)+1))
   -MATCH(1, --((Y540:BF540&lt;&gt;"")*(Y540:BF540&lt;&gt;0)), 0)
   +1,
"")</f>
        <v>24</v>
      </c>
      <c r="V540" s="6" t="str" cm="1">
        <f t="array" ref="V540">IFERROR(
    IF(
        MATCH(2,1/((Y540:BF540&lt;&gt;0)*(Y540:BF540&lt;&gt;"")))-MATCH(1,INDEX((Y540:BF540&lt;&gt;0)*(Y540:BF540&lt;&gt;""),0),0)+1 &lt;= 12,
        "No",
        "Yes"
    ),
    "No"
)</f>
        <v>Yes</v>
      </c>
      <c r="W540" s="6" t="str" cm="1">
        <f t="array" ref="W540">IFERROR(
    IF(
        MATCH(2,1/((Y540:BF540&lt;&gt;0)*(Y540:BF540&lt;&gt;"")))-MATCH(1,INDEX((Y540:BF540&lt;&gt;0)*(Y540:BF540&lt;&gt;""),0),0)+1 &lt;= 24,
        "No",
        "Yes"
    ),
    "No"
)</f>
        <v>No</v>
      </c>
      <c r="Y540" s="8">
        <v>1545.9823118299635</v>
      </c>
      <c r="Z540" s="8">
        <v>1540.6110382124664</v>
      </c>
      <c r="AA540" s="8">
        <v>1587.6058235204159</v>
      </c>
      <c r="AB540" s="8">
        <v>1569.4359115512711</v>
      </c>
      <c r="AC540" s="8">
        <v>1540.9574108703605</v>
      </c>
      <c r="AD540" s="8">
        <v>1378.5940990051622</v>
      </c>
      <c r="AE540" s="8">
        <v>1426.9507116806981</v>
      </c>
      <c r="AF540" s="8">
        <v>1402.5896263696252</v>
      </c>
      <c r="AG540" s="8">
        <v>1406.4285627688917</v>
      </c>
      <c r="AH540" s="8">
        <v>1367.3737078496463</v>
      </c>
      <c r="AI540" s="8">
        <v>1333.5661298538639</v>
      </c>
      <c r="AJ540" s="8">
        <v>1314.9585401562927</v>
      </c>
      <c r="AK540" s="8">
        <v>1277.4991711819252</v>
      </c>
      <c r="AL540" s="8">
        <v>1251.3474726187608</v>
      </c>
      <c r="AM540" s="8">
        <v>1564.747092749591</v>
      </c>
      <c r="AN540" s="8">
        <v>1554.0954536605941</v>
      </c>
      <c r="AO540" s="8">
        <v>1555.6346913100874</v>
      </c>
      <c r="AP540" s="8">
        <v>1546.6568348743663</v>
      </c>
      <c r="AQ540" s="8">
        <v>1534.478170220927</v>
      </c>
      <c r="AR540" s="8">
        <v>1513.106857232221</v>
      </c>
      <c r="AS540" s="8">
        <v>1501.4654018798917</v>
      </c>
      <c r="AT540" s="8">
        <v>1496.2497634171966</v>
      </c>
      <c r="AU540" s="8">
        <v>1490.7433119926891</v>
      </c>
      <c r="AV540" s="8">
        <v>1475.2962721672759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0</v>
      </c>
      <c r="BF540" s="8">
        <v>0</v>
      </c>
      <c r="BH540" s="8">
        <f t="shared" si="109"/>
        <v>17415.053873668658</v>
      </c>
      <c r="BI540" s="8">
        <f t="shared" si="110"/>
        <v>17761.320493305528</v>
      </c>
      <c r="BJ540" s="8">
        <f t="shared" si="111"/>
        <v>0</v>
      </c>
    </row>
    <row r="541" spans="1:62" x14ac:dyDescent="0.25">
      <c r="A541" s="9" t="s">
        <v>68</v>
      </c>
      <c r="B541" s="9" t="s">
        <v>644</v>
      </c>
      <c r="C541" s="10">
        <v>44927</v>
      </c>
      <c r="D541" s="6" cm="1">
        <f t="array" ref="D541">_xlfn.LET(
  _xlpm.aralık, Y541:BF541,
  _xlpm.ilk, MATCH(TRUE, _xlpm.aralık&lt;&gt;0, 0),
  _xlpm.son, MIN(_xlpm.ilk+2, COLUMNS(_xlpm.aralık)),
  MAX(INDEX(_xlpm.aralık, _xlpm.ilk):INDEX(_xlpm.aralık, _xlpm.son))
)</f>
        <v>746.33628846963745</v>
      </c>
      <c r="E541" s="6">
        <f t="shared" si="104"/>
        <v>475.80848477371461</v>
      </c>
      <c r="F541" s="6">
        <f t="shared" si="105"/>
        <v>0</v>
      </c>
      <c r="G541" s="6">
        <f t="shared" si="112"/>
        <v>0</v>
      </c>
      <c r="H541" s="7">
        <f t="shared" si="106"/>
        <v>-0.3624744071478021</v>
      </c>
      <c r="I541" s="7">
        <f t="shared" si="107"/>
        <v>-1</v>
      </c>
      <c r="J541" s="7">
        <f t="shared" si="108"/>
        <v>-1</v>
      </c>
      <c r="K541" s="7">
        <f t="shared" si="113"/>
        <v>-0.33166377934310937</v>
      </c>
      <c r="L541" s="5" t="s">
        <v>413</v>
      </c>
      <c r="M541" s="7" t="str">
        <f>IF(R541="",(VLOOKUP(A541,[1]Export!$B$2:$H$680,7,0)),"CHURN")</f>
        <v>CHURN</v>
      </c>
      <c r="N541" s="5" t="e">
        <f t="shared" si="114"/>
        <v>#VALUE!</v>
      </c>
      <c r="O541" s="5" t="e">
        <f t="shared" si="115"/>
        <v>#VALUE!</v>
      </c>
      <c r="P541" s="5" t="e">
        <f t="shared" si="116"/>
        <v>#VALUE!</v>
      </c>
      <c r="Q541" s="5" t="s">
        <v>696</v>
      </c>
      <c r="R541" s="5" t="s">
        <v>428</v>
      </c>
      <c r="S541" s="5" t="str">
        <f>VLOOKUP(A541,[3]Sheet1!$A$1:$C$191,3,0)</f>
        <v>Feb.24</v>
      </c>
      <c r="T541" s="6" cm="1">
        <f t="array" ref="T541">IF(R541&lt;&gt;"Churn","",
 _xlfn.LET(
   _xlpm.rng,Y541:BF541,
   _xlpm.pos,MAX(IF((_xlpm.rng&lt;&gt;0)*(_xlpm.rng&lt;&gt;""),COLUMN(_xlpm.rng)-COLUMN(Y541)+1)),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498.8035743748884</v>
      </c>
      <c r="U541" s="6" cm="1">
        <f t="array" ref="U541">IF(R541="Churn",
   MAX(IF((Y541:BF541&lt;&gt;"")*(Y541:BF541&lt;&gt;0), COLUMN(Y541:BF541)-COLUMN(Y541)+1))
   -MATCH(1, --((Y541:BF541&lt;&gt;"")*(Y541:BF541&lt;&gt;0)), 0)
   +1,
"")</f>
        <v>13</v>
      </c>
      <c r="V541" s="6" t="str" cm="1">
        <f t="array" ref="V541">IFERROR(
    IF(
        MATCH(2,1/((Y541:BF541&lt;&gt;0)*(Y541:BF541&lt;&gt;"")))-MATCH(1,INDEX((Y541:BF541&lt;&gt;0)*(Y541:BF541&lt;&gt;""),0),0)+1 &lt;= 12,
        "No",
        "Yes"
    ),
    "No"
)</f>
        <v>Yes</v>
      </c>
      <c r="W541" s="6" t="str" cm="1">
        <f t="array" ref="W541">IFERROR(
    IF(
        MATCH(2,1/((Y541:BF541&lt;&gt;0)*(Y541:BF541&lt;&gt;"")))-MATCH(1,INDEX((Y541:BF541&lt;&gt;0)*(Y541:BF541&lt;&gt;""),0),0)+1 &lt;= 24,
        "No",
        "Yes"
    ),
    "No"
)</f>
        <v>No</v>
      </c>
      <c r="Y541" s="8">
        <v>746.33628846963745</v>
      </c>
      <c r="Z541" s="8">
        <v>743.74325982670791</v>
      </c>
      <c r="AA541" s="8">
        <v>738.27591480295939</v>
      </c>
      <c r="AB541" s="8">
        <v>725.15940557647582</v>
      </c>
      <c r="AC541" s="8">
        <v>720.41136763689565</v>
      </c>
      <c r="AD541" s="8">
        <v>607.27042605381007</v>
      </c>
      <c r="AE541" s="8">
        <v>539.20085460763255</v>
      </c>
      <c r="AF541" s="8">
        <v>529.16981998417191</v>
      </c>
      <c r="AG541" s="8">
        <v>528.68709602699391</v>
      </c>
      <c r="AH541" s="8">
        <v>512.66928608150147</v>
      </c>
      <c r="AI541" s="8">
        <v>498.8035743748884</v>
      </c>
      <c r="AJ541" s="8">
        <v>491.17192817019276</v>
      </c>
      <c r="AK541" s="8">
        <v>475.80848477371461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H541" s="8">
        <f t="shared" si="109"/>
        <v>7380.8992216118677</v>
      </c>
      <c r="BI541" s="8">
        <f t="shared" si="110"/>
        <v>475.80848477371461</v>
      </c>
      <c r="BJ541" s="8">
        <f t="shared" si="111"/>
        <v>0</v>
      </c>
    </row>
    <row r="542" spans="1:62" x14ac:dyDescent="0.25">
      <c r="A542" s="9" t="s">
        <v>593</v>
      </c>
      <c r="B542" s="9" t="s">
        <v>644</v>
      </c>
      <c r="C542" s="10">
        <v>44927</v>
      </c>
      <c r="D542" s="6" cm="1">
        <f t="array" ref="D542">_xlfn.LET(
  _xlpm.aralık, Y542:BF542,
  _xlpm.ilk, MATCH(TRUE, _xlpm.aralık&lt;&gt;0, 0),
  _xlpm.son, MIN(_xlpm.ilk+2, COLUMNS(_xlpm.aralık)),
  MAX(INDEX(_xlpm.aralık, _xlpm.ilk):INDEX(_xlpm.aralık, _xlpm.son))
)</f>
        <v>6</v>
      </c>
      <c r="E542" s="6">
        <f t="shared" si="104"/>
        <v>0</v>
      </c>
      <c r="F542" s="6">
        <f t="shared" si="105"/>
        <v>0</v>
      </c>
      <c r="G542" s="6">
        <f t="shared" si="112"/>
        <v>0</v>
      </c>
      <c r="H542" s="7">
        <f t="shared" si="106"/>
        <v>-1</v>
      </c>
      <c r="I542" s="7">
        <f t="shared" si="107"/>
        <v>-1</v>
      </c>
      <c r="J542" s="7" t="e">
        <f t="shared" si="108"/>
        <v>#DIV/0!</v>
      </c>
      <c r="K542" s="7">
        <f t="shared" si="113"/>
        <v>0</v>
      </c>
      <c r="L542" s="5" t="s">
        <v>418</v>
      </c>
      <c r="M542" s="7" t="str">
        <f>IF(R542="",(VLOOKUP(A542,[1]Export!$B$2:$H$680,7,0)),"CHURN")</f>
        <v>CHURN</v>
      </c>
      <c r="N542" s="5" t="e">
        <f t="shared" si="114"/>
        <v>#VALUE!</v>
      </c>
      <c r="O542" s="5" t="e">
        <f t="shared" si="115"/>
        <v>#VALUE!</v>
      </c>
      <c r="P542" s="5" t="e">
        <f t="shared" si="116"/>
        <v>#VALUE!</v>
      </c>
      <c r="Q542" s="5" t="s">
        <v>696</v>
      </c>
      <c r="R542" s="5" t="s">
        <v>428</v>
      </c>
      <c r="S542" s="5" t="str">
        <f>VLOOKUP(A542,[3]Sheet1!$A$1:$C$191,3,0)</f>
        <v>Apr.23</v>
      </c>
      <c r="T542" s="6" cm="1">
        <f t="array" ref="T542">IF(R542&lt;&gt;"Churn","",
 _xlfn.LET(
   _xlpm.rng,Y542:BF542,
   _xlpm.pos,MAX(IF((_xlpm.rng&lt;&gt;0)*(_xlpm.rng&lt;&gt;""),COLUMN(_xlpm.rng)-COLUMN(Y542)+1)),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</v>
      </c>
      <c r="U542" s="6" cm="1">
        <f t="array" ref="U542">IF(R542="Churn",
   MAX(IF((Y542:BF542&lt;&gt;"")*(Y542:BF542&lt;&gt;0), COLUMN(Y542:BF542)-COLUMN(Y542)+1))
   -MATCH(1, --((Y542:BF542&lt;&gt;"")*(Y542:BF542&lt;&gt;0)), 0)
   +1,
"")</f>
        <v>3</v>
      </c>
      <c r="V542" s="6" t="str" cm="1">
        <f t="array" ref="V542">IFERROR(
    IF(
        MATCH(2,1/((Y542:BF542&lt;&gt;0)*(Y542:BF542&lt;&gt;"")))-MATCH(1,INDEX((Y542:BF542&lt;&gt;0)*(Y542:BF542&lt;&gt;""),0),0)+1 &lt;= 12,
        "No",
        "Yes"
    ),
    "No"
)</f>
        <v>No</v>
      </c>
      <c r="W542" s="6" t="str" cm="1">
        <f t="array" ref="W542">IFERROR(
    IF(
        MATCH(2,1/((Y542:BF542&lt;&gt;0)*(Y542:BF542&lt;&gt;"")))-MATCH(1,INDEX((Y542:BF542&lt;&gt;0)*(Y542:BF542&lt;&gt;""),0),0)+1 &lt;= 24,
        "No",
        "Yes"
    ),
    "No"
)</f>
        <v>No</v>
      </c>
      <c r="Y542" s="8">
        <v>6</v>
      </c>
      <c r="Z542" s="8">
        <v>6</v>
      </c>
      <c r="AA542" s="8">
        <v>6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0</v>
      </c>
      <c r="BF542" s="8">
        <v>0</v>
      </c>
      <c r="BH542" s="8">
        <f t="shared" si="109"/>
        <v>18</v>
      </c>
      <c r="BI542" s="8">
        <f t="shared" si="110"/>
        <v>0</v>
      </c>
      <c r="BJ542" s="8">
        <f t="shared" si="111"/>
        <v>0</v>
      </c>
    </row>
    <row r="543" spans="1:62" x14ac:dyDescent="0.25">
      <c r="A543" s="9" t="s">
        <v>594</v>
      </c>
      <c r="B543" s="9" t="s">
        <v>644</v>
      </c>
      <c r="C543" s="10">
        <v>44927</v>
      </c>
      <c r="D543" s="6" cm="1">
        <f t="array" ref="D543">_xlfn.LET(
  _xlpm.aralık, Y543:BF543,
  _xlpm.ilk, MATCH(TRUE, _xlpm.aralık&lt;&gt;0, 0),
  _xlpm.son, MIN(_xlpm.ilk+2, COLUMNS(_xlpm.aralık)),
  MAX(INDEX(_xlpm.aralık, _xlpm.ilk):INDEX(_xlpm.aralık, _xlpm.son))
)</f>
        <v>210</v>
      </c>
      <c r="E543" s="6">
        <f t="shared" si="104"/>
        <v>0</v>
      </c>
      <c r="F543" s="6">
        <f t="shared" si="105"/>
        <v>0</v>
      </c>
      <c r="G543" s="6">
        <f t="shared" si="112"/>
        <v>0</v>
      </c>
      <c r="H543" s="7">
        <f t="shared" si="106"/>
        <v>-1</v>
      </c>
      <c r="I543" s="7">
        <f t="shared" si="107"/>
        <v>-1</v>
      </c>
      <c r="J543" s="7" t="e">
        <f t="shared" si="108"/>
        <v>#DIV/0!</v>
      </c>
      <c r="K543" s="7">
        <f t="shared" si="113"/>
        <v>4.2857142857142858E-2</v>
      </c>
      <c r="L543" s="5" t="s">
        <v>421</v>
      </c>
      <c r="M543" s="7" t="str">
        <f>IF(R543="",(VLOOKUP(A543,[1]Export!$B$2:$H$680,7,0)),"CHURN")</f>
        <v>CHURN</v>
      </c>
      <c r="N543" s="5" t="e">
        <f t="shared" si="114"/>
        <v>#VALUE!</v>
      </c>
      <c r="O543" s="5" t="e">
        <f t="shared" si="115"/>
        <v>#VALUE!</v>
      </c>
      <c r="P543" s="5" t="e">
        <f t="shared" si="116"/>
        <v>#VALUE!</v>
      </c>
      <c r="Q543" s="5" t="s">
        <v>696</v>
      </c>
      <c r="R543" s="5" t="s">
        <v>428</v>
      </c>
      <c r="S543" s="5" t="str">
        <f>VLOOKUP(A543,[3]Sheet1!$A$1:$C$191,3,0)</f>
        <v>Nov.23</v>
      </c>
      <c r="T543" s="6" cm="1">
        <f t="array" ref="T543">IF(R543&lt;&gt;"Churn","",
 _xlfn.LET(
   _xlpm.rng,Y543:BF543,
   _xlpm.pos,MAX(IF((_xlpm.rng&lt;&gt;0)*(_xlpm.rng&lt;&gt;""),COLUMN(_xlpm.rng)-COLUMN(Y543)+1)),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219</v>
      </c>
      <c r="U543" s="6" cm="1">
        <f t="array" ref="U543">IF(R543="Churn",
   MAX(IF((Y543:BF543&lt;&gt;"")*(Y543:BF543&lt;&gt;0), COLUMN(Y543:BF543)-COLUMN(Y543)+1))
   -MATCH(1, --((Y543:BF543&lt;&gt;"")*(Y543:BF543&lt;&gt;0)), 0)
   +1,
"")</f>
        <v>10</v>
      </c>
      <c r="V543" s="6" t="str" cm="1">
        <f t="array" ref="V543">IFERROR(
    IF(
        MATCH(2,1/((Y543:BF543&lt;&gt;0)*(Y543:BF543&lt;&gt;"")))-MATCH(1,INDEX((Y543:BF543&lt;&gt;0)*(Y543:BF543&lt;&gt;""),0),0)+1 &lt;= 12,
        "No",
        "Yes"
    ),
    "No"
)</f>
        <v>No</v>
      </c>
      <c r="W543" s="6" t="str" cm="1">
        <f t="array" ref="W543">IFERROR(
    IF(
        MATCH(2,1/((Y543:BF543&lt;&gt;0)*(Y543:BF543&lt;&gt;"")))-MATCH(1,INDEX((Y543:BF543&lt;&gt;0)*(Y543:BF543&lt;&gt;""),0),0)+1 &lt;= 24,
        "No",
        "Yes"
    ),
    "No"
)</f>
        <v>No</v>
      </c>
      <c r="Y543" s="8">
        <v>210</v>
      </c>
      <c r="Z543" s="8">
        <v>210</v>
      </c>
      <c r="AA543" s="8">
        <v>210</v>
      </c>
      <c r="AB543" s="8">
        <v>210</v>
      </c>
      <c r="AC543" s="8">
        <v>219</v>
      </c>
      <c r="AD543" s="8">
        <v>219</v>
      </c>
      <c r="AE543" s="8">
        <v>219</v>
      </c>
      <c r="AF543" s="8">
        <v>219</v>
      </c>
      <c r="AG543" s="8">
        <v>219</v>
      </c>
      <c r="AH543" s="8">
        <v>219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H543" s="8">
        <f t="shared" si="109"/>
        <v>2154</v>
      </c>
      <c r="BI543" s="8">
        <f t="shared" si="110"/>
        <v>0</v>
      </c>
      <c r="BJ543" s="8">
        <f t="shared" si="111"/>
        <v>0</v>
      </c>
    </row>
    <row r="544" spans="1:62" x14ac:dyDescent="0.25">
      <c r="A544" s="9" t="s">
        <v>595</v>
      </c>
      <c r="B544" s="9" t="s">
        <v>644</v>
      </c>
      <c r="C544" s="10">
        <v>44927</v>
      </c>
      <c r="D544" s="6" cm="1">
        <f t="array" ref="D544">_xlfn.LET(
  _xlpm.aralık, Y544:BF544,
  _xlpm.ilk, MATCH(TRUE, _xlpm.aralık&lt;&gt;0, 0),
  _xlpm.son, MIN(_xlpm.ilk+2, COLUMNS(_xlpm.aralık)),
  MAX(INDEX(_xlpm.aralık, _xlpm.ilk):INDEX(_xlpm.aralık, _xlpm.son))
)</f>
        <v>454.62663460974613</v>
      </c>
      <c r="E544" s="6">
        <f t="shared" si="104"/>
        <v>0</v>
      </c>
      <c r="F544" s="6">
        <f t="shared" si="105"/>
        <v>0</v>
      </c>
      <c r="G544" s="6">
        <f t="shared" si="112"/>
        <v>0</v>
      </c>
      <c r="H544" s="7">
        <f t="shared" si="106"/>
        <v>-1</v>
      </c>
      <c r="I544" s="7">
        <f t="shared" si="107"/>
        <v>-1</v>
      </c>
      <c r="J544" s="7" t="e">
        <f t="shared" si="108"/>
        <v>#DIV/0!</v>
      </c>
      <c r="K544" s="7">
        <f t="shared" si="113"/>
        <v>0</v>
      </c>
      <c r="L544" s="5" t="s">
        <v>420</v>
      </c>
      <c r="M544" s="7" t="str">
        <f>IF(R544="",(VLOOKUP(A544,[1]Export!$B$2:$H$680,7,0)),"CHURN")</f>
        <v>CHURN</v>
      </c>
      <c r="N544" s="5" t="e">
        <f t="shared" si="114"/>
        <v>#VALUE!</v>
      </c>
      <c r="O544" s="5" t="e">
        <f t="shared" si="115"/>
        <v>#VALUE!</v>
      </c>
      <c r="P544" s="5" t="e">
        <f t="shared" si="116"/>
        <v>#VALUE!</v>
      </c>
      <c r="Q544" s="5" t="s">
        <v>696</v>
      </c>
      <c r="R544" s="5" t="s">
        <v>428</v>
      </c>
      <c r="S544" s="5" t="str">
        <f>VLOOKUP(A544,[3]Sheet1!$A$1:$C$191,3,0)</f>
        <v>Apr.23</v>
      </c>
      <c r="T544" s="6" cm="1">
        <f t="array" ref="T544">IF(R544&lt;&gt;"Churn","",
 _xlfn.LET(
   _xlpm.rng,Y544:BF544,
   _xlpm.pos,MAX(IF((_xlpm.rng&lt;&gt;0)*(_xlpm.rng&lt;&gt;""),COLUMN(_xlpm.rng)-COLUMN(Y544)+1)),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454.62663460974613</v>
      </c>
      <c r="U544" s="6" cm="1">
        <f t="array" ref="U544">IF(R544="Churn",
   MAX(IF((Y544:BF544&lt;&gt;"")*(Y544:BF544&lt;&gt;0), COLUMN(Y544:BF544)-COLUMN(Y544)+1))
   -MATCH(1, --((Y544:BF544&lt;&gt;"")*(Y544:BF544&lt;&gt;0)), 0)
   +1,
"")</f>
        <v>3</v>
      </c>
      <c r="V544" s="6" t="str" cm="1">
        <f t="array" ref="V544">IFERROR(
    IF(
        MATCH(2,1/((Y544:BF544&lt;&gt;0)*(Y544:BF544&lt;&gt;"")))-MATCH(1,INDEX((Y544:BF544&lt;&gt;0)*(Y544:BF544&lt;&gt;""),0),0)+1 &lt;= 12,
        "No",
        "Yes"
    ),
    "No"
)</f>
        <v>No</v>
      </c>
      <c r="W544" s="6" t="str" cm="1">
        <f t="array" ref="W544">IFERROR(
    IF(
        MATCH(2,1/((Y544:BF544&lt;&gt;0)*(Y544:BF544&lt;&gt;"")))-MATCH(1,INDEX((Y544:BF544&lt;&gt;0)*(Y544:BF544&lt;&gt;""),0),0)+1 &lt;= 24,
        "No",
        "Yes"
    ),
    "No"
)</f>
        <v>No</v>
      </c>
      <c r="Y544" s="8">
        <v>454.62663460974613</v>
      </c>
      <c r="Z544" s="8">
        <v>454.14499806095512</v>
      </c>
      <c r="AA544" s="8">
        <v>453.12947777525824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0</v>
      </c>
      <c r="BF544" s="8">
        <v>0</v>
      </c>
      <c r="BH544" s="8">
        <f t="shared" si="109"/>
        <v>1361.9011104459596</v>
      </c>
      <c r="BI544" s="8">
        <f t="shared" si="110"/>
        <v>0</v>
      </c>
      <c r="BJ544" s="8">
        <f t="shared" si="111"/>
        <v>0</v>
      </c>
    </row>
    <row r="545" spans="1:62" x14ac:dyDescent="0.25">
      <c r="A545" s="9" t="s">
        <v>91</v>
      </c>
      <c r="B545" s="9" t="s">
        <v>644</v>
      </c>
      <c r="C545" s="10">
        <v>44927</v>
      </c>
      <c r="D545" s="6" cm="1">
        <f t="array" ref="D545">_xlfn.LET(
  _xlpm.aralık, Y545:BF545,
  _xlpm.ilk, MATCH(TRUE, _xlpm.aralık&lt;&gt;0, 0),
  _xlpm.son, MIN(_xlpm.ilk+2, COLUMNS(_xlpm.aralık)),
  MAX(INDEX(_xlpm.aralık, _xlpm.ilk):INDEX(_xlpm.aralık, _xlpm.son))
)</f>
        <v>69.462584562566974</v>
      </c>
      <c r="E545" s="6">
        <f t="shared" si="104"/>
        <v>43.446845543148086</v>
      </c>
      <c r="F545" s="6">
        <f t="shared" si="105"/>
        <v>0</v>
      </c>
      <c r="G545" s="6">
        <f t="shared" si="112"/>
        <v>0</v>
      </c>
      <c r="H545" s="7">
        <f t="shared" si="106"/>
        <v>-0.37452880832537627</v>
      </c>
      <c r="I545" s="7">
        <f t="shared" si="107"/>
        <v>-1</v>
      </c>
      <c r="J545" s="7">
        <f t="shared" si="108"/>
        <v>-1</v>
      </c>
      <c r="K545" s="7">
        <f t="shared" si="113"/>
        <v>-0.34371795855583326</v>
      </c>
      <c r="L545" s="5" t="s">
        <v>422</v>
      </c>
      <c r="M545" s="7" t="str">
        <f>IF(R545="",(VLOOKUP(A545,[1]Export!$B$2:$H$680,7,0)),"CHURN")</f>
        <v>CHURN</v>
      </c>
      <c r="N545" s="5" t="e">
        <f t="shared" si="114"/>
        <v>#VALUE!</v>
      </c>
      <c r="O545" s="5" t="e">
        <f t="shared" si="115"/>
        <v>#VALUE!</v>
      </c>
      <c r="P545" s="5" t="e">
        <f t="shared" si="116"/>
        <v>#VALUE!</v>
      </c>
      <c r="Q545" s="5" t="s">
        <v>696</v>
      </c>
      <c r="R545" s="5" t="s">
        <v>428</v>
      </c>
      <c r="S545" s="5" t="str">
        <f>VLOOKUP(A545,[3]Sheet1!$A$1:$C$191,3,0)</f>
        <v>Feb.24</v>
      </c>
      <c r="T545" s="6" cm="1">
        <f t="array" ref="T545">IF(R545&lt;&gt;"Churn","",
 _xlfn.LET(
   _xlpm.rng,Y545:BF545,
   _xlpm.pos,MAX(IF((_xlpm.rng&lt;&gt;0)*(_xlpm.rng&lt;&gt;""),COLUMN(_xlpm.rng)-COLUMN(Y545)+1)),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45.587046800709516</v>
      </c>
      <c r="U545" s="6" cm="1">
        <f t="array" ref="U545">IF(R545="Churn",
   MAX(IF((Y545:BF545&lt;&gt;"")*(Y545:BF545&lt;&gt;0), COLUMN(Y545:BF545)-COLUMN(Y545)+1))
   -MATCH(1, --((Y545:BF545&lt;&gt;"")*(Y545:BF545&lt;&gt;0)), 0)
   +1,
"")</f>
        <v>13</v>
      </c>
      <c r="V545" s="6" t="str" cm="1">
        <f t="array" ref="V545">IFERROR(
    IF(
        MATCH(2,1/((Y545:BF545&lt;&gt;0)*(Y545:BF545&lt;&gt;"")))-MATCH(1,INDEX((Y545:BF545&lt;&gt;0)*(Y545:BF545&lt;&gt;""),0),0)+1 &lt;= 12,
        "No",
        "Yes"
    ),
    "No"
)</f>
        <v>Yes</v>
      </c>
      <c r="W545" s="6" t="str" cm="1">
        <f t="array" ref="W545">IFERROR(
    IF(
        MATCH(2,1/((Y545:BF545&lt;&gt;0)*(Y545:BF545&lt;&gt;"")))-MATCH(1,INDEX((Y545:BF545&lt;&gt;0)*(Y545:BF545&lt;&gt;""),0),0)+1 &lt;= 24,
        "No",
        "Yes"
    ),
    "No"
)</f>
        <v>No</v>
      </c>
      <c r="Y545" s="8">
        <v>69.462584562566974</v>
      </c>
      <c r="Z545" s="8">
        <v>69.221247682442879</v>
      </c>
      <c r="AA545" s="8">
        <v>68.712394070589724</v>
      </c>
      <c r="AB545" s="8">
        <v>67.491621819010575</v>
      </c>
      <c r="AC545" s="8">
        <v>66.212549290621567</v>
      </c>
      <c r="AD545" s="8">
        <v>55.682284366346451</v>
      </c>
      <c r="AE545" s="8">
        <v>49.346906468826099</v>
      </c>
      <c r="AF545" s="8">
        <v>48.413297020542984</v>
      </c>
      <c r="AG545" s="8">
        <v>48.368368888575425</v>
      </c>
      <c r="AH545" s="8">
        <v>46.87755769439017</v>
      </c>
      <c r="AI545" s="8">
        <v>45.587046800709516</v>
      </c>
      <c r="AJ545" s="8">
        <v>44.876753469053185</v>
      </c>
      <c r="AK545" s="8">
        <v>43.446845543148086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H545" s="8">
        <f t="shared" si="109"/>
        <v>680.25261213367537</v>
      </c>
      <c r="BI545" s="8">
        <f t="shared" si="110"/>
        <v>43.446845543148086</v>
      </c>
      <c r="BJ545" s="8">
        <f t="shared" si="111"/>
        <v>0</v>
      </c>
    </row>
    <row r="546" spans="1:62" x14ac:dyDescent="0.25">
      <c r="A546" s="9" t="s">
        <v>92</v>
      </c>
      <c r="B546" s="9" t="s">
        <v>644</v>
      </c>
      <c r="C546" s="10">
        <v>44927</v>
      </c>
      <c r="D546" s="6" cm="1">
        <f t="array" ref="D546">_xlfn.LET(
  _xlpm.aralık, Y546:BF546,
  _xlpm.ilk, MATCH(TRUE, _xlpm.aralık&lt;&gt;0, 0),
  _xlpm.son, MIN(_xlpm.ilk+2, COLUMNS(_xlpm.aralık)),
  MAX(INDEX(_xlpm.aralık, _xlpm.ilk):INDEX(_xlpm.aralık, _xlpm.son))
)</f>
        <v>101.28849629230794</v>
      </c>
      <c r="E546" s="6">
        <f t="shared" si="104"/>
        <v>97.863018448929509</v>
      </c>
      <c r="F546" s="6">
        <f t="shared" si="105"/>
        <v>0</v>
      </c>
      <c r="G546" s="6">
        <f t="shared" si="112"/>
        <v>0</v>
      </c>
      <c r="H546" s="7">
        <f t="shared" si="106"/>
        <v>-3.381902159444506E-2</v>
      </c>
      <c r="I546" s="7">
        <f t="shared" si="107"/>
        <v>-1</v>
      </c>
      <c r="J546" s="7">
        <f t="shared" si="108"/>
        <v>-1</v>
      </c>
      <c r="K546" s="7">
        <f t="shared" si="113"/>
        <v>-3.381902159444506E-2</v>
      </c>
      <c r="L546" s="5" t="s">
        <v>423</v>
      </c>
      <c r="M546" s="7" t="str">
        <f>IF(R546="",(VLOOKUP(A546,[1]Export!$B$2:$H$680,7,0)),"CHURN")</f>
        <v>CHURN</v>
      </c>
      <c r="N546" s="5" t="e">
        <f t="shared" si="114"/>
        <v>#VALUE!</v>
      </c>
      <c r="O546" s="5" t="e">
        <f t="shared" si="115"/>
        <v>#VALUE!</v>
      </c>
      <c r="P546" s="5" t="e">
        <f t="shared" si="116"/>
        <v>#VALUE!</v>
      </c>
      <c r="Q546" s="5" t="s">
        <v>696</v>
      </c>
      <c r="R546" s="5" t="s">
        <v>428</v>
      </c>
      <c r="S546" s="5" t="str">
        <f>VLOOKUP(A546,[3]Sheet1!$A$1:$C$191,3,0)</f>
        <v>Feb.24</v>
      </c>
      <c r="T546" s="6" cm="1">
        <f t="array" ref="T546">IF(R546&lt;&gt;"Churn","",
 _xlfn.LET(
   _xlpm.rng,Y546:BF546,
   _xlpm.pos,MAX(IF((_xlpm.rng&lt;&gt;0)*(_xlpm.rng&lt;&gt;""),COLUMN(_xlpm.rng)-COLUMN(Y546)+1)),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97.863018448929509</v>
      </c>
      <c r="U546" s="6" cm="1">
        <f t="array" ref="U546">IF(R546="Churn",
   MAX(IF((Y546:BF546&lt;&gt;"")*(Y546:BF546&lt;&gt;0), COLUMN(Y546:BF546)-COLUMN(Y546)+1))
   -MATCH(1, --((Y546:BF546&lt;&gt;"")*(Y546:BF546&lt;&gt;0)), 0)
   +1,
"")</f>
        <v>15</v>
      </c>
      <c r="V546" s="6" t="str" cm="1">
        <f t="array" ref="V546">IFERROR(
    IF(
        MATCH(2,1/((Y546:BF546&lt;&gt;0)*(Y546:BF546&lt;&gt;"")))-MATCH(1,INDEX((Y546:BF546&lt;&gt;0)*(Y546:BF546&lt;&gt;""),0),0)+1 &lt;= 12,
        "No",
        "Yes"
    ),
    "No"
)</f>
        <v>Yes</v>
      </c>
      <c r="W546" s="6" t="str" cm="1">
        <f t="array" ref="W546">IFERROR(
    IF(
        MATCH(2,1/((Y546:BF546&lt;&gt;0)*(Y546:BF546&lt;&gt;"")))-MATCH(1,INDEX((Y546:BF546&lt;&gt;0)*(Y546:BF546&lt;&gt;""),0),0)+1 &lt;= 24,
        "No",
        "Yes"
    ),
    "No"
)</f>
        <v>No</v>
      </c>
      <c r="Y546" s="8">
        <v>101.28849629230794</v>
      </c>
      <c r="Z546" s="8">
        <v>100.93658526219606</v>
      </c>
      <c r="AA546" s="8">
        <v>100.1945884375445</v>
      </c>
      <c r="AB546" s="8">
        <v>98.414490756807425</v>
      </c>
      <c r="AC546" s="8">
        <v>96.548640188625541</v>
      </c>
      <c r="AD546" s="8">
        <v>81.193805339988373</v>
      </c>
      <c r="AE546" s="8">
        <v>71.955796418116194</v>
      </c>
      <c r="AF546" s="8">
        <v>70.59444235963781</v>
      </c>
      <c r="AG546" s="8">
        <v>70.528929853411185</v>
      </c>
      <c r="AH546" s="8">
        <v>68.355085240590114</v>
      </c>
      <c r="AI546" s="8">
        <v>66.4733109656473</v>
      </c>
      <c r="AJ546" s="8">
        <v>65.43758803938654</v>
      </c>
      <c r="AK546" s="8">
        <v>97.863018448929509</v>
      </c>
      <c r="AL546" s="8">
        <v>0</v>
      </c>
      <c r="AM546" s="8">
        <v>91.953806918936536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H546" s="8">
        <f t="shared" si="109"/>
        <v>991.92175915425912</v>
      </c>
      <c r="BI546" s="8">
        <f t="shared" si="110"/>
        <v>189.81682536786604</v>
      </c>
      <c r="BJ546" s="8">
        <f t="shared" si="111"/>
        <v>0</v>
      </c>
    </row>
    <row r="547" spans="1:62" x14ac:dyDescent="0.25">
      <c r="A547" s="9" t="s">
        <v>596</v>
      </c>
      <c r="B547" s="9" t="s">
        <v>644</v>
      </c>
      <c r="C547" s="10">
        <v>44927</v>
      </c>
      <c r="D547" s="6" cm="1">
        <f t="array" ref="D547">_xlfn.LET(
  _xlpm.aralık, Y547:BF547,
  _xlpm.ilk, MATCH(TRUE, _xlpm.aralık&lt;&gt;0, 0),
  _xlpm.son, MIN(_xlpm.ilk+2, COLUMNS(_xlpm.aralık)),
  MAX(INDEX(_xlpm.aralık, _xlpm.ilk):INDEX(_xlpm.aralık, _xlpm.son))
)</f>
        <v>293.17</v>
      </c>
      <c r="E547" s="6">
        <f t="shared" si="104"/>
        <v>0</v>
      </c>
      <c r="F547" s="6">
        <f t="shared" si="105"/>
        <v>0</v>
      </c>
      <c r="G547" s="6">
        <f t="shared" si="112"/>
        <v>0</v>
      </c>
      <c r="H547" s="7">
        <f t="shared" si="106"/>
        <v>-1</v>
      </c>
      <c r="I547" s="7">
        <f t="shared" si="107"/>
        <v>-1</v>
      </c>
      <c r="J547" s="7" t="e">
        <f t="shared" si="108"/>
        <v>#DIV/0!</v>
      </c>
      <c r="K547" s="7">
        <f t="shared" si="113"/>
        <v>-0.7467647481220302</v>
      </c>
      <c r="L547" s="5" t="s">
        <v>412</v>
      </c>
      <c r="M547" s="7" t="str">
        <f>IF(R547="",(VLOOKUP(A547,[1]Export!$B$2:$H$680,7,0)),"CHURN")</f>
        <v>CHURN</v>
      </c>
      <c r="N547" s="5" t="e">
        <f t="shared" si="114"/>
        <v>#VALUE!</v>
      </c>
      <c r="O547" s="5" t="e">
        <f t="shared" si="115"/>
        <v>#VALUE!</v>
      </c>
      <c r="P547" s="5" t="e">
        <f t="shared" si="116"/>
        <v>#VALUE!</v>
      </c>
      <c r="Q547" s="5" t="s">
        <v>696</v>
      </c>
      <c r="R547" s="5" t="s">
        <v>428</v>
      </c>
      <c r="S547" s="5" t="str">
        <f>VLOOKUP(A547,[3]Sheet1!$A$1:$C$191,3,0)</f>
        <v>Aug.23</v>
      </c>
      <c r="T547" s="6" cm="1">
        <f t="array" ref="T547">IF(R547&lt;&gt;"Churn","",
 _xlfn.LET(
   _xlpm.rng,Y547:BF547,
   _xlpm.pos,MAX(IF((_xlpm.rng&lt;&gt;0)*(_xlpm.rng&lt;&gt;""),COLUMN(_xlpm.rng)-COLUMN(Y547)+1)),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74.240978793064414</v>
      </c>
      <c r="U547" s="6" cm="1">
        <f t="array" ref="U547">IF(R547="Churn",
   MAX(IF((Y547:BF547&lt;&gt;"")*(Y547:BF547&lt;&gt;0), COLUMN(Y547:BF547)-COLUMN(Y547)+1))
   -MATCH(1, --((Y547:BF547&lt;&gt;"")*(Y547:BF547&lt;&gt;0)), 0)
   +1,
"")</f>
        <v>9</v>
      </c>
      <c r="V547" s="6" t="str" cm="1">
        <f t="array" ref="V547">IFERROR(
    IF(
        MATCH(2,1/((Y547:BF547&lt;&gt;0)*(Y547:BF547&lt;&gt;"")))-MATCH(1,INDEX((Y547:BF547&lt;&gt;0)*(Y547:BF547&lt;&gt;""),0),0)+1 &lt;= 12,
        "No",
        "Yes"
    ),
    "No"
)</f>
        <v>No</v>
      </c>
      <c r="W547" s="6" t="str" cm="1">
        <f t="array" ref="W547">IFERROR(
    IF(
        MATCH(2,1/((Y547:BF547&lt;&gt;0)*(Y547:BF547&lt;&gt;"")))-MATCH(1,INDEX((Y547:BF547&lt;&gt;0)*(Y547:BF547&lt;&gt;""),0),0)+1 &lt;= 24,
        "No",
        "Yes"
    ),
    "No"
)</f>
        <v>No</v>
      </c>
      <c r="Y547" s="8">
        <v>293.17</v>
      </c>
      <c r="Z547" s="8">
        <v>293.17</v>
      </c>
      <c r="AA547" s="8">
        <v>293.17</v>
      </c>
      <c r="AB547" s="8">
        <v>293.17</v>
      </c>
      <c r="AC547" s="8">
        <v>293.17</v>
      </c>
      <c r="AD547" s="8">
        <v>293.17</v>
      </c>
      <c r="AE547" s="8">
        <v>68.39</v>
      </c>
      <c r="AF547" s="8">
        <v>0</v>
      </c>
      <c r="AG547" s="8">
        <v>74.240978793064414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H547" s="8">
        <f t="shared" si="109"/>
        <v>1901.6509787930647</v>
      </c>
      <c r="BI547" s="8">
        <f t="shared" si="110"/>
        <v>0</v>
      </c>
      <c r="BJ547" s="8">
        <f t="shared" si="111"/>
        <v>0</v>
      </c>
    </row>
    <row r="548" spans="1:62" x14ac:dyDescent="0.25">
      <c r="A548" s="9" t="s">
        <v>106</v>
      </c>
      <c r="B548" s="9" t="s">
        <v>644</v>
      </c>
      <c r="C548" s="10">
        <v>44927</v>
      </c>
      <c r="D548" s="6" cm="1">
        <f t="array" ref="D548">_xlfn.LET(
  _xlpm.aralık, Y548:BF548,
  _xlpm.ilk, MATCH(TRUE, _xlpm.aralık&lt;&gt;0, 0),
  _xlpm.son, MIN(_xlpm.ilk+2, COLUMNS(_xlpm.aralık)),
  MAX(INDEX(_xlpm.aralık, _xlpm.ilk):INDEX(_xlpm.aralık, _xlpm.son))
)</f>
        <v>54.46</v>
      </c>
      <c r="E548" s="6">
        <f t="shared" si="104"/>
        <v>54.46</v>
      </c>
      <c r="F548" s="6">
        <f t="shared" si="105"/>
        <v>0</v>
      </c>
      <c r="G548" s="6">
        <f t="shared" si="112"/>
        <v>0</v>
      </c>
      <c r="H548" s="7">
        <f t="shared" si="106"/>
        <v>0</v>
      </c>
      <c r="I548" s="7">
        <f t="shared" si="107"/>
        <v>-1</v>
      </c>
      <c r="J548" s="7">
        <f t="shared" si="108"/>
        <v>-1</v>
      </c>
      <c r="K548" s="7">
        <f t="shared" si="113"/>
        <v>0</v>
      </c>
      <c r="L548" s="5" t="s">
        <v>421</v>
      </c>
      <c r="M548" s="7" t="str">
        <f>IF(R548="",(VLOOKUP(A548,[1]Export!$B$2:$H$680,7,0)),"CHURN")</f>
        <v>CHURN</v>
      </c>
      <c r="N548" s="5" t="e">
        <f t="shared" si="114"/>
        <v>#VALUE!</v>
      </c>
      <c r="O548" s="5" t="e">
        <f t="shared" si="115"/>
        <v>#VALUE!</v>
      </c>
      <c r="P548" s="5" t="e">
        <f t="shared" si="116"/>
        <v>#VALUE!</v>
      </c>
      <c r="Q548" s="5" t="s">
        <v>696</v>
      </c>
      <c r="R548" s="5" t="s">
        <v>428</v>
      </c>
      <c r="S548" s="5" t="str">
        <f>VLOOKUP(A548,[3]Sheet1!$A$1:$C$191,3,0)</f>
        <v>Apr.24</v>
      </c>
      <c r="T548" s="6" cm="1">
        <f t="array" ref="T548">IF(R548&lt;&gt;"Churn","",
 _xlfn.LET(
   _xlpm.rng,Y548:BF548,
   _xlpm.pos,MAX(IF((_xlpm.rng&lt;&gt;0)*(_xlpm.rng&lt;&gt;""),COLUMN(_xlpm.rng)-COLUMN(Y548)+1)),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54.46</v>
      </c>
      <c r="U548" s="6" cm="1">
        <f t="array" ref="U548">IF(R548="Churn",
   MAX(IF((Y548:BF548&lt;&gt;"")*(Y548:BF548&lt;&gt;0), COLUMN(Y548:BF548)-COLUMN(Y548)+1))
   -MATCH(1, --((Y548:BF548&lt;&gt;"")*(Y548:BF548&lt;&gt;0)), 0)
   +1,
"")</f>
        <v>15</v>
      </c>
      <c r="V548" s="6" t="str" cm="1">
        <f t="array" ref="V548">IFERROR(
    IF(
        MATCH(2,1/((Y548:BF548&lt;&gt;0)*(Y548:BF548&lt;&gt;"")))-MATCH(1,INDEX((Y548:BF548&lt;&gt;0)*(Y548:BF548&lt;&gt;""),0),0)+1 &lt;= 12,
        "No",
        "Yes"
    ),
    "No"
)</f>
        <v>Yes</v>
      </c>
      <c r="W548" s="6" t="str" cm="1">
        <f t="array" ref="W548">IFERROR(
    IF(
        MATCH(2,1/((Y548:BF548&lt;&gt;0)*(Y548:BF548&lt;&gt;"")))-MATCH(1,INDEX((Y548:BF548&lt;&gt;0)*(Y548:BF548&lt;&gt;""),0),0)+1 &lt;= 24,
        "No",
        "Yes"
    ),
    "No"
)</f>
        <v>No</v>
      </c>
      <c r="Y548" s="8">
        <v>54.46</v>
      </c>
      <c r="Z548" s="8">
        <v>54.46</v>
      </c>
      <c r="AA548" s="8">
        <v>54.46</v>
      </c>
      <c r="AB548" s="8">
        <v>54.46</v>
      </c>
      <c r="AC548" s="8">
        <v>54.46</v>
      </c>
      <c r="AD548" s="8">
        <v>54.46</v>
      </c>
      <c r="AE548" s="8">
        <v>54.46</v>
      </c>
      <c r="AF548" s="8">
        <v>54.46</v>
      </c>
      <c r="AG548" s="8">
        <v>54.46</v>
      </c>
      <c r="AH548" s="8">
        <v>54.46</v>
      </c>
      <c r="AI548" s="8">
        <v>54.46</v>
      </c>
      <c r="AJ548" s="8">
        <v>54.46</v>
      </c>
      <c r="AK548" s="8">
        <v>54.46</v>
      </c>
      <c r="AL548" s="8">
        <v>54.46</v>
      </c>
      <c r="AM548" s="8">
        <v>54.46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H548" s="8">
        <f t="shared" si="109"/>
        <v>653.52</v>
      </c>
      <c r="BI548" s="8">
        <f t="shared" si="110"/>
        <v>163.38</v>
      </c>
      <c r="BJ548" s="8">
        <f t="shared" si="111"/>
        <v>0</v>
      </c>
    </row>
    <row r="549" spans="1:62" x14ac:dyDescent="0.25">
      <c r="A549" s="9" t="s">
        <v>110</v>
      </c>
      <c r="B549" s="9" t="s">
        <v>644</v>
      </c>
      <c r="C549" s="10">
        <v>44927</v>
      </c>
      <c r="D549" s="6" cm="1">
        <f t="array" ref="D549">_xlfn.LET(
  _xlpm.aralık, Y549:BF549,
  _xlpm.ilk, MATCH(TRUE, _xlpm.aralık&lt;&gt;0, 0),
  _xlpm.son, MIN(_xlpm.ilk+2, COLUMNS(_xlpm.aralık)),
  MAX(INDEX(_xlpm.aralık, _xlpm.ilk):INDEX(_xlpm.aralık, _xlpm.son))
)</f>
        <v>433.54159492064849</v>
      </c>
      <c r="E549" s="6">
        <f t="shared" si="104"/>
        <v>623.45003079600815</v>
      </c>
      <c r="F549" s="6">
        <f t="shared" si="105"/>
        <v>0</v>
      </c>
      <c r="G549" s="6">
        <f t="shared" si="112"/>
        <v>0</v>
      </c>
      <c r="H549" s="7">
        <f t="shared" si="106"/>
        <v>0.43803971314475321</v>
      </c>
      <c r="I549" s="7">
        <f t="shared" si="107"/>
        <v>-1</v>
      </c>
      <c r="J549" s="7">
        <f t="shared" si="108"/>
        <v>-1</v>
      </c>
      <c r="K549" s="7">
        <f t="shared" si="113"/>
        <v>0.37913082999002817</v>
      </c>
      <c r="L549" s="5" t="s">
        <v>424</v>
      </c>
      <c r="M549" s="7" t="str">
        <f>IF(R549="",(VLOOKUP(A549,[1]Export!$B$2:$H$680,7,0)),"CHURN")</f>
        <v>CHURN</v>
      </c>
      <c r="N549" s="5" t="e">
        <f t="shared" si="114"/>
        <v>#VALUE!</v>
      </c>
      <c r="O549" s="5" t="e">
        <f t="shared" si="115"/>
        <v>#VALUE!</v>
      </c>
      <c r="P549" s="5" t="e">
        <f t="shared" si="116"/>
        <v>#VALUE!</v>
      </c>
      <c r="Q549" s="5" t="s">
        <v>696</v>
      </c>
      <c r="R549" s="5" t="s">
        <v>428</v>
      </c>
      <c r="S549" s="5" t="s">
        <v>664</v>
      </c>
      <c r="T549" s="6" cm="1">
        <f t="array" ref="T549">IF(R549&lt;&gt;"Churn","",
 _xlfn.LET(
   _xlpm.rng,Y549:BF549,
   _xlpm.pos,MAX(IF((_xlpm.rng&lt;&gt;0)*(_xlpm.rng&lt;&gt;""),COLUMN(_xlpm.rng)-COLUMN(Y549)+1)),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597.91057963811454</v>
      </c>
      <c r="U549" s="6" cm="1">
        <f t="array" ref="U549">IF(R549="Churn",
   MAX(IF((Y549:BF549&lt;&gt;"")*(Y549:BF549&lt;&gt;0), COLUMN(Y549:BF549)-COLUMN(Y549)+1))
   -MATCH(1, --((Y549:BF549&lt;&gt;"")*(Y549:BF549&lt;&gt;0)), 0)
   +1,
"")</f>
        <v>18</v>
      </c>
      <c r="V549" s="6" t="str" cm="1">
        <f t="array" ref="V549">IFERROR(
    IF(
        MATCH(2,1/((Y549:BF549&lt;&gt;0)*(Y549:BF549&lt;&gt;"")))-MATCH(1,INDEX((Y549:BF549&lt;&gt;0)*(Y549:BF549&lt;&gt;""),0),0)+1 &lt;= 12,
        "No",
        "Yes"
    ),
    "No"
)</f>
        <v>Yes</v>
      </c>
      <c r="W549" s="6" t="str" cm="1">
        <f t="array" ref="W549">IFERROR(
    IF(
        MATCH(2,1/((Y549:BF549&lt;&gt;0)*(Y549:BF549&lt;&gt;"")))-MATCH(1,INDEX((Y549:BF549&lt;&gt;0)*(Y549:BF549&lt;&gt;""),0),0)+1 &lt;= 24,
        "No",
        "Yes"
    ),
    "No"
)</f>
        <v>No</v>
      </c>
      <c r="Y549" s="8">
        <v>433.54159492064849</v>
      </c>
      <c r="Z549" s="8">
        <v>432.55994836296799</v>
      </c>
      <c r="AA549" s="8">
        <v>433.41901376884579</v>
      </c>
      <c r="AB549" s="8">
        <v>428.40144306721709</v>
      </c>
      <c r="AC549" s="8">
        <v>432.14214719094269</v>
      </c>
      <c r="AD549" s="8">
        <v>388.86139546511231</v>
      </c>
      <c r="AE549" s="8">
        <v>431.78195662959047</v>
      </c>
      <c r="AF549" s="8">
        <v>426.63979490456745</v>
      </c>
      <c r="AG549" s="8">
        <v>461.15499036723304</v>
      </c>
      <c r="AH549" s="8">
        <v>652.93477277150737</v>
      </c>
      <c r="AI549" s="8">
        <v>641.84606518582791</v>
      </c>
      <c r="AJ549" s="8">
        <v>635.74076059830622</v>
      </c>
      <c r="AK549" s="8">
        <v>623.45003079600815</v>
      </c>
      <c r="AL549" s="8">
        <v>614.86944148787154</v>
      </c>
      <c r="AM549" s="8">
        <v>600.90043416608717</v>
      </c>
      <c r="AN549" s="8">
        <v>597.40554299255882</v>
      </c>
      <c r="AO549" s="8">
        <v>597.91057963811454</v>
      </c>
      <c r="AP549" s="8">
        <v>594.96487044235153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H549" s="8">
        <f t="shared" si="109"/>
        <v>5799.0238832327668</v>
      </c>
      <c r="BI549" s="8">
        <f t="shared" si="110"/>
        <v>3629.5008995229919</v>
      </c>
      <c r="BJ549" s="8">
        <f t="shared" si="111"/>
        <v>0</v>
      </c>
    </row>
    <row r="550" spans="1:62" x14ac:dyDescent="0.25">
      <c r="A550" s="9" t="s">
        <v>111</v>
      </c>
      <c r="B550" s="9" t="s">
        <v>644</v>
      </c>
      <c r="C550" s="10">
        <v>44927</v>
      </c>
      <c r="D550" s="6" cm="1">
        <f t="array" ref="D550">_xlfn.LET(
  _xlpm.aralık, Y550:BF550,
  _xlpm.ilk, MATCH(TRUE, _xlpm.aralık&lt;&gt;0, 0),
  _xlpm.son, MIN(_xlpm.ilk+2, COLUMNS(_xlpm.aralık)),
  MAX(INDEX(_xlpm.aralık, _xlpm.ilk):INDEX(_xlpm.aralık, _xlpm.son))
)</f>
        <v>377.32</v>
      </c>
      <c r="E550" s="6">
        <f t="shared" si="104"/>
        <v>377.32</v>
      </c>
      <c r="F550" s="6">
        <f t="shared" si="105"/>
        <v>0</v>
      </c>
      <c r="G550" s="6">
        <f t="shared" si="112"/>
        <v>0</v>
      </c>
      <c r="H550" s="7">
        <f t="shared" si="106"/>
        <v>0</v>
      </c>
      <c r="I550" s="7">
        <f t="shared" si="107"/>
        <v>-1</v>
      </c>
      <c r="J550" s="7">
        <f t="shared" si="108"/>
        <v>-1</v>
      </c>
      <c r="K550" s="7">
        <f t="shared" si="113"/>
        <v>0</v>
      </c>
      <c r="L550" s="5" t="s">
        <v>412</v>
      </c>
      <c r="M550" s="7" t="str">
        <f>IF(R550="",(VLOOKUP(A550,[1]Export!$B$2:$H$680,7,0)),"CHURN")</f>
        <v>CHURN</v>
      </c>
      <c r="N550" s="5" t="e">
        <f t="shared" si="114"/>
        <v>#VALUE!</v>
      </c>
      <c r="O550" s="5" t="e">
        <f t="shared" si="115"/>
        <v>#VALUE!</v>
      </c>
      <c r="P550" s="5" t="e">
        <f t="shared" si="116"/>
        <v>#VALUE!</v>
      </c>
      <c r="Q550" s="5" t="s">
        <v>696</v>
      </c>
      <c r="R550" s="5" t="s">
        <v>428</v>
      </c>
      <c r="S550" s="5" t="str">
        <f>VLOOKUP(A550,[3]Sheet1!$A$1:$C$191,3,0)</f>
        <v>Apr.24</v>
      </c>
      <c r="T550" s="6" cm="1">
        <f t="array" ref="T550">IF(R550&lt;&gt;"Churn","",
 _xlfn.LET(
   _xlpm.rng,Y550:BF550,
   _xlpm.pos,MAX(IF((_xlpm.rng&lt;&gt;0)*(_xlpm.rng&lt;&gt;""),COLUMN(_xlpm.rng)-COLUMN(Y550)+1)),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377.32</v>
      </c>
      <c r="U550" s="6" cm="1">
        <f t="array" ref="U550">IF(R550="Churn",
   MAX(IF((Y550:BF550&lt;&gt;"")*(Y550:BF550&lt;&gt;0), COLUMN(Y550:BF550)-COLUMN(Y550)+1))
   -MATCH(1, --((Y550:BF550&lt;&gt;"")*(Y550:BF550&lt;&gt;0)), 0)
   +1,
"")</f>
        <v>15</v>
      </c>
      <c r="V550" s="6" t="str" cm="1">
        <f t="array" ref="V550">IFERROR(
    IF(
        MATCH(2,1/((Y550:BF550&lt;&gt;0)*(Y550:BF550&lt;&gt;"")))-MATCH(1,INDEX((Y550:BF550&lt;&gt;0)*(Y550:BF550&lt;&gt;""),0),0)+1 &lt;= 12,
        "No",
        "Yes"
    ),
    "No"
)</f>
        <v>Yes</v>
      </c>
      <c r="W550" s="6" t="str" cm="1">
        <f t="array" ref="W550">IFERROR(
    IF(
        MATCH(2,1/((Y550:BF550&lt;&gt;0)*(Y550:BF550&lt;&gt;"")))-MATCH(1,INDEX((Y550:BF550&lt;&gt;0)*(Y550:BF550&lt;&gt;""),0),0)+1 &lt;= 24,
        "No",
        "Yes"
    ),
    "No"
)</f>
        <v>No</v>
      </c>
      <c r="Y550" s="8">
        <v>377.32</v>
      </c>
      <c r="Z550" s="8">
        <v>377.32</v>
      </c>
      <c r="AA550" s="8">
        <v>377.32</v>
      </c>
      <c r="AB550" s="8">
        <v>377.32</v>
      </c>
      <c r="AC550" s="8">
        <v>377.32</v>
      </c>
      <c r="AD550" s="8">
        <v>377.32</v>
      </c>
      <c r="AE550" s="8">
        <v>377.32</v>
      </c>
      <c r="AF550" s="8">
        <v>377.32</v>
      </c>
      <c r="AG550" s="8">
        <v>377.32</v>
      </c>
      <c r="AH550" s="8">
        <v>377.32</v>
      </c>
      <c r="AI550" s="8">
        <v>377.32</v>
      </c>
      <c r="AJ550" s="8">
        <v>377.32</v>
      </c>
      <c r="AK550" s="8">
        <v>377.32</v>
      </c>
      <c r="AL550" s="8">
        <v>377.32</v>
      </c>
      <c r="AM550" s="8">
        <v>377.32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0</v>
      </c>
      <c r="BF550" s="8">
        <v>0</v>
      </c>
      <c r="BH550" s="8">
        <f t="shared" si="109"/>
        <v>4527.84</v>
      </c>
      <c r="BI550" s="8">
        <f t="shared" si="110"/>
        <v>1131.96</v>
      </c>
      <c r="BJ550" s="8">
        <f t="shared" si="111"/>
        <v>0</v>
      </c>
    </row>
    <row r="551" spans="1:62" x14ac:dyDescent="0.25">
      <c r="A551" s="9" t="s">
        <v>123</v>
      </c>
      <c r="B551" s="9" t="s">
        <v>644</v>
      </c>
      <c r="C551" s="10">
        <v>44927</v>
      </c>
      <c r="D551" s="6" cm="1">
        <f t="array" ref="D551">_xlfn.LET(
  _xlpm.aralık, Y551:BF551,
  _xlpm.ilk, MATCH(TRUE, _xlpm.aralık&lt;&gt;0, 0),
  _xlpm.son, MIN(_xlpm.ilk+2, COLUMNS(_xlpm.aralık)),
  MAX(INDEX(_xlpm.aralık, _xlpm.ilk):INDEX(_xlpm.aralık, _xlpm.son))
)</f>
        <v>856.85146415934094</v>
      </c>
      <c r="E551" s="6">
        <f t="shared" si="104"/>
        <v>550.97313775178475</v>
      </c>
      <c r="F551" s="6">
        <f t="shared" si="105"/>
        <v>0</v>
      </c>
      <c r="G551" s="6">
        <f t="shared" si="112"/>
        <v>0</v>
      </c>
      <c r="H551" s="7">
        <f t="shared" si="106"/>
        <v>-0.3569794056518934</v>
      </c>
      <c r="I551" s="7">
        <f t="shared" si="107"/>
        <v>-1</v>
      </c>
      <c r="J551" s="7">
        <f t="shared" si="108"/>
        <v>-1</v>
      </c>
      <c r="K551" s="7">
        <f t="shared" si="113"/>
        <v>-0.3361622187199993</v>
      </c>
      <c r="L551" s="5" t="s">
        <v>418</v>
      </c>
      <c r="M551" s="7" t="str">
        <f>IF(R551="",(VLOOKUP(A551,[1]Export!$B$2:$H$680,7,0)),"CHURN")</f>
        <v>CHURN</v>
      </c>
      <c r="N551" s="5" t="e">
        <f t="shared" si="114"/>
        <v>#VALUE!</v>
      </c>
      <c r="O551" s="5" t="e">
        <f t="shared" si="115"/>
        <v>#VALUE!</v>
      </c>
      <c r="P551" s="5" t="e">
        <f t="shared" si="116"/>
        <v>#VALUE!</v>
      </c>
      <c r="Q551" s="5" t="s">
        <v>696</v>
      </c>
      <c r="R551" s="5" t="s">
        <v>428</v>
      </c>
      <c r="S551" s="5" t="str">
        <f>VLOOKUP(A551,[3]Sheet1!$A$1:$C$191,3,0)</f>
        <v>Mar.24</v>
      </c>
      <c r="T551" s="6" cm="1">
        <f t="array" ref="T551">IF(R551&lt;&gt;"Churn","",
 _xlfn.LET(
   _xlpm.rng,Y551:BF551,
   _xlpm.pos,MAX(IF((_xlpm.rng&lt;&gt;0)*(_xlpm.rng&lt;&gt;""),COLUMN(_xlpm.rng)-COLUMN(Y551)+1)),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568.81037485405693</v>
      </c>
      <c r="U551" s="6" cm="1">
        <f t="array" ref="U551">IF(R551="Churn",
   MAX(IF((Y551:BF551&lt;&gt;"")*(Y551:BF551&lt;&gt;0), COLUMN(Y551:BF551)-COLUMN(Y551)+1))
   -MATCH(1, --((Y551:BF551&lt;&gt;"")*(Y551:BF551&lt;&gt;0)), 0)
   +1,
"")</f>
        <v>14</v>
      </c>
      <c r="V551" s="6" t="str" cm="1">
        <f t="array" ref="V551">IFERROR(
    IF(
        MATCH(2,1/((Y551:BF551&lt;&gt;0)*(Y551:BF551&lt;&gt;"")))-MATCH(1,INDEX((Y551:BF551&lt;&gt;0)*(Y551:BF551&lt;&gt;""),0),0)+1 &lt;= 12,
        "No",
        "Yes"
    ),
    "No"
)</f>
        <v>Yes</v>
      </c>
      <c r="W551" s="6" t="str" cm="1">
        <f t="array" ref="W551">IFERROR(
    IF(
        MATCH(2,1/((Y551:BF551&lt;&gt;0)*(Y551:BF551&lt;&gt;"")))-MATCH(1,INDEX((Y551:BF551&lt;&gt;0)*(Y551:BF551&lt;&gt;""),0),0)+1 &lt;= 24,
        "No",
        "Yes"
    ),
    "No"
)</f>
        <v>No</v>
      </c>
      <c r="Y551" s="8">
        <v>697.50350511506906</v>
      </c>
      <c r="Z551" s="8">
        <v>855.30474880071404</v>
      </c>
      <c r="AA551" s="8">
        <v>856.85146415934094</v>
      </c>
      <c r="AB551" s="8">
        <v>850.62829364812148</v>
      </c>
      <c r="AC551" s="8">
        <v>834.67113449733733</v>
      </c>
      <c r="AD551" s="8">
        <v>737.21729983590296</v>
      </c>
      <c r="AE551" s="8">
        <v>654.36320635028835</v>
      </c>
      <c r="AF551" s="8">
        <v>612.0778874798898</v>
      </c>
      <c r="AG551" s="8">
        <v>612.36616678978294</v>
      </c>
      <c r="AH551" s="8">
        <v>593.76919822722891</v>
      </c>
      <c r="AI551" s="8">
        <v>577.67085484677909</v>
      </c>
      <c r="AJ551" s="8">
        <v>568.81037485405693</v>
      </c>
      <c r="AK551" s="8">
        <v>550.97313775178475</v>
      </c>
      <c r="AL551" s="8">
        <v>538.5203372730175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</v>
      </c>
      <c r="BE551" s="8">
        <v>0</v>
      </c>
      <c r="BF551" s="8">
        <v>0</v>
      </c>
      <c r="BH551" s="8">
        <f t="shared" si="109"/>
        <v>8451.2341346045123</v>
      </c>
      <c r="BI551" s="8">
        <f t="shared" si="110"/>
        <v>1089.4934750248021</v>
      </c>
      <c r="BJ551" s="8">
        <f t="shared" si="111"/>
        <v>0</v>
      </c>
    </row>
    <row r="552" spans="1:62" x14ac:dyDescent="0.25">
      <c r="A552" s="9" t="s">
        <v>125</v>
      </c>
      <c r="B552" s="9" t="s">
        <v>644</v>
      </c>
      <c r="C552" s="10">
        <v>44927</v>
      </c>
      <c r="D552" s="6" cm="1">
        <f t="array" ref="D552">_xlfn.LET(
  _xlpm.aralık, Y552:BF552,
  _xlpm.ilk, MATCH(TRUE, _xlpm.aralık&lt;&gt;0, 0),
  _xlpm.son, MIN(_xlpm.ilk+2, COLUMNS(_xlpm.aralık)),
  MAX(INDEX(_xlpm.aralık, _xlpm.ilk):INDEX(_xlpm.aralık, _xlpm.son))
)</f>
        <v>700</v>
      </c>
      <c r="E552" s="6">
        <f t="shared" si="104"/>
        <v>751.53942000000006</v>
      </c>
      <c r="F552" s="6">
        <f t="shared" si="105"/>
        <v>0</v>
      </c>
      <c r="G552" s="6">
        <f t="shared" si="112"/>
        <v>0</v>
      </c>
      <c r="H552" s="7">
        <f t="shared" si="106"/>
        <v>7.362774285714295E-2</v>
      </c>
      <c r="I552" s="7">
        <f t="shared" si="107"/>
        <v>-1</v>
      </c>
      <c r="J552" s="7">
        <f t="shared" si="108"/>
        <v>-1</v>
      </c>
      <c r="K552" s="7">
        <f t="shared" si="113"/>
        <v>7.362774285714295E-2</v>
      </c>
      <c r="L552" s="5" t="s">
        <v>416</v>
      </c>
      <c r="M552" s="7" t="str">
        <f>IF(R552="",(VLOOKUP(A552,[1]Export!$B$2:$H$680,7,0)),"CHURN")</f>
        <v>CHURN</v>
      </c>
      <c r="N552" s="5" t="e">
        <f t="shared" si="114"/>
        <v>#VALUE!</v>
      </c>
      <c r="O552" s="5" t="e">
        <f t="shared" si="115"/>
        <v>#VALUE!</v>
      </c>
      <c r="P552" s="5" t="e">
        <f t="shared" si="116"/>
        <v>#VALUE!</v>
      </c>
      <c r="Q552" s="5" t="s">
        <v>696</v>
      </c>
      <c r="R552" s="5" t="s">
        <v>428</v>
      </c>
      <c r="S552" s="5" t="str">
        <f>VLOOKUP(A552,[3]Sheet1!$A$1:$C$191,3,0)</f>
        <v>Mar.24</v>
      </c>
      <c r="T552" s="6" cm="1">
        <f t="array" ref="T552">IF(R552&lt;&gt;"Churn","",
 _xlfn.LET(
   _xlpm.rng,Y552:BF552,
   _xlpm.pos,MAX(IF((_xlpm.rng&lt;&gt;0)*(_xlpm.rng&lt;&gt;""),COLUMN(_xlpm.rng)-COLUMN(Y552)+1)),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751.53942000000006</v>
      </c>
      <c r="U552" s="6" cm="1">
        <f t="array" ref="U552">IF(R552="Churn",
   MAX(IF((Y552:BF552&lt;&gt;"")*(Y552:BF552&lt;&gt;0), COLUMN(Y552:BF552)-COLUMN(Y552)+1))
   -MATCH(1, --((Y552:BF552&lt;&gt;"")*(Y552:BF552&lt;&gt;0)), 0)
   +1,
"")</f>
        <v>14</v>
      </c>
      <c r="V552" s="6" t="str" cm="1">
        <f t="array" ref="V552">IFERROR(
    IF(
        MATCH(2,1/((Y552:BF552&lt;&gt;0)*(Y552:BF552&lt;&gt;"")))-MATCH(1,INDEX((Y552:BF552&lt;&gt;0)*(Y552:BF552&lt;&gt;""),0),0)+1 &lt;= 12,
        "No",
        "Yes"
    ),
    "No"
)</f>
        <v>Yes</v>
      </c>
      <c r="W552" s="6" t="str" cm="1">
        <f t="array" ref="W552">IFERROR(
    IF(
        MATCH(2,1/((Y552:BF552&lt;&gt;0)*(Y552:BF552&lt;&gt;"")))-MATCH(1,INDEX((Y552:BF552&lt;&gt;0)*(Y552:BF552&lt;&gt;""),0),0)+1 &lt;= 24,
        "No",
        "Yes"
    ),
    "No"
)</f>
        <v>No</v>
      </c>
      <c r="Y552" s="8">
        <v>522.43540192874627</v>
      </c>
      <c r="Z552" s="8">
        <v>700</v>
      </c>
      <c r="AA552" s="8">
        <v>700</v>
      </c>
      <c r="AB552" s="8">
        <v>700</v>
      </c>
      <c r="AC552" s="8">
        <v>708.99945200000002</v>
      </c>
      <c r="AD552" s="8">
        <v>708.99945200000002</v>
      </c>
      <c r="AE552" s="8">
        <v>708.99945200000002</v>
      </c>
      <c r="AF552" s="8">
        <v>751.53942000000006</v>
      </c>
      <c r="AG552" s="8">
        <v>751.53942000000006</v>
      </c>
      <c r="AH552" s="8">
        <v>751.53942000000006</v>
      </c>
      <c r="AI552" s="8">
        <v>751.53942000000006</v>
      </c>
      <c r="AJ552" s="8">
        <v>751.53942000000006</v>
      </c>
      <c r="AK552" s="8">
        <v>751.53942000000006</v>
      </c>
      <c r="AL552" s="8">
        <v>751.53942000000006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H552" s="8">
        <f t="shared" si="109"/>
        <v>8507.130857928747</v>
      </c>
      <c r="BI552" s="8">
        <f t="shared" si="110"/>
        <v>1503.0788400000001</v>
      </c>
      <c r="BJ552" s="8">
        <f t="shared" si="111"/>
        <v>0</v>
      </c>
    </row>
    <row r="553" spans="1:62" x14ac:dyDescent="0.25">
      <c r="A553" s="9" t="s">
        <v>126</v>
      </c>
      <c r="B553" s="9" t="s">
        <v>644</v>
      </c>
      <c r="C553" s="10">
        <v>44927</v>
      </c>
      <c r="D553" s="6" cm="1">
        <f t="array" ref="D553">_xlfn.LET(
  _xlpm.aralık, Y553:BF553,
  _xlpm.ilk, MATCH(TRUE, _xlpm.aralık&lt;&gt;0, 0),
  _xlpm.son, MIN(_xlpm.ilk+2, COLUMNS(_xlpm.aralık)),
  MAX(INDEX(_xlpm.aralık, _xlpm.ilk):INDEX(_xlpm.aralık, _xlpm.son))
)</f>
        <v>976.73456549900595</v>
      </c>
      <c r="E553" s="6">
        <f t="shared" si="104"/>
        <v>1533.8619501248716</v>
      </c>
      <c r="F553" s="6">
        <f t="shared" si="105"/>
        <v>0</v>
      </c>
      <c r="G553" s="6">
        <f t="shared" si="112"/>
        <v>0</v>
      </c>
      <c r="H553" s="7">
        <f t="shared" si="106"/>
        <v>0.57039794055126292</v>
      </c>
      <c r="I553" s="7">
        <f t="shared" si="107"/>
        <v>-1</v>
      </c>
      <c r="J553" s="7">
        <f t="shared" si="108"/>
        <v>-1</v>
      </c>
      <c r="K553" s="7">
        <f t="shared" si="113"/>
        <v>1.0186108822896722</v>
      </c>
      <c r="L553" s="5" t="s">
        <v>414</v>
      </c>
      <c r="M553" s="7" t="str">
        <f>IF(R553="",(VLOOKUP(A553,[1]Export!$B$2:$H$680,7,0)),"CHURN")</f>
        <v>CHURN</v>
      </c>
      <c r="N553" s="5" t="e">
        <f t="shared" si="114"/>
        <v>#VALUE!</v>
      </c>
      <c r="O553" s="5" t="e">
        <f t="shared" si="115"/>
        <v>#VALUE!</v>
      </c>
      <c r="P553" s="5" t="e">
        <f t="shared" si="116"/>
        <v>#VALUE!</v>
      </c>
      <c r="Q553" s="5" t="s">
        <v>696</v>
      </c>
      <c r="R553" s="5" t="s">
        <v>428</v>
      </c>
      <c r="S553" s="5" t="str">
        <f>VLOOKUP(A553,[3]Sheet1!$A$1:$C$191,3,0)</f>
        <v>Jan.25</v>
      </c>
      <c r="T553" s="6" cm="1">
        <f t="array" ref="T553">IF(R553&lt;&gt;"Churn","",
 _xlfn.LET(
   _xlpm.rng,Y553:BF553,
   _xlpm.pos,MAX(IF((_xlpm.rng&lt;&gt;0)*(_xlpm.rng&lt;&gt;""),COLUMN(_xlpm.rng)-COLUMN(Y553)+1)),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1971.647023024768</v>
      </c>
      <c r="U553" s="6" cm="1">
        <f t="array" ref="U553">IF(R553="Churn",
   MAX(IF((Y553:BF553&lt;&gt;"")*(Y553:BF553&lt;&gt;0), COLUMN(Y553:BF553)-COLUMN(Y553)+1))
   -MATCH(1, --((Y553:BF553&lt;&gt;"")*(Y553:BF553&lt;&gt;0)), 0)
   +1,
"")</f>
        <v>24</v>
      </c>
      <c r="V553" s="6" t="str" cm="1">
        <f t="array" ref="V553">IFERROR(
    IF(
        MATCH(2,1/((Y553:BF553&lt;&gt;0)*(Y553:BF553&lt;&gt;"")))-MATCH(1,INDEX((Y553:BF553&lt;&gt;0)*(Y553:BF553&lt;&gt;""),0),0)+1 &lt;= 12,
        "No",
        "Yes"
    ),
    "No"
)</f>
        <v>Yes</v>
      </c>
      <c r="W553" s="6" t="str" cm="1">
        <f t="array" ref="W553">IFERROR(
    IF(
        MATCH(2,1/((Y553:BF553&lt;&gt;0)*(Y553:BF553&lt;&gt;"")))-MATCH(1,INDEX((Y553:BF553&lt;&gt;0)*(Y553:BF553&lt;&gt;""),0),0)+1 &lt;= 24,
        "No",
        "Yes"
    ),
    "No"
)</f>
        <v>No</v>
      </c>
      <c r="Y553" s="8">
        <v>976.73456549900595</v>
      </c>
      <c r="Z553" s="8">
        <v>973.34105409669735</v>
      </c>
      <c r="AA553" s="8">
        <v>966.18590842214621</v>
      </c>
      <c r="AB553" s="8">
        <v>949.02025784596583</v>
      </c>
      <c r="AC553" s="8">
        <v>940.02707427131168</v>
      </c>
      <c r="AD553" s="8">
        <v>791.95904413524318</v>
      </c>
      <c r="AE553" s="8">
        <v>938.79378983605432</v>
      </c>
      <c r="AF553" s="8">
        <v>921.20292260991357</v>
      </c>
      <c r="AG553" s="8">
        <v>940.40145141113533</v>
      </c>
      <c r="AH553" s="8">
        <v>911.69377029741293</v>
      </c>
      <c r="AI553" s="8">
        <v>1329.0953409206206</v>
      </c>
      <c r="AJ553" s="8">
        <v>1584.0476922917965</v>
      </c>
      <c r="AK553" s="8">
        <v>1533.8619501248716</v>
      </c>
      <c r="AL553" s="8">
        <v>1498.8255243320023</v>
      </c>
      <c r="AM553" s="8">
        <v>1443.7786740793656</v>
      </c>
      <c r="AN553" s="8">
        <v>1429.5082678335657</v>
      </c>
      <c r="AO553" s="8">
        <v>1431.5704430897467</v>
      </c>
      <c r="AP553" s="8">
        <v>1419.542467161933</v>
      </c>
      <c r="AQ553" s="8">
        <v>1586.9462466550374</v>
      </c>
      <c r="AR553" s="8">
        <v>1465.1145472824437</v>
      </c>
      <c r="AS553" s="8">
        <v>1449.5180465202566</v>
      </c>
      <c r="AT553" s="8">
        <v>1441.1907191297421</v>
      </c>
      <c r="AU553" s="8">
        <v>1971.647023024768</v>
      </c>
      <c r="AV553" s="8">
        <v>1942.5893187748072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H553" s="8">
        <f t="shared" si="109"/>
        <v>12222.502871637305</v>
      </c>
      <c r="BI553" s="8">
        <f t="shared" si="110"/>
        <v>18614.09322800854</v>
      </c>
      <c r="BJ553" s="8">
        <f t="shared" si="111"/>
        <v>0</v>
      </c>
    </row>
    <row r="554" spans="1:62" x14ac:dyDescent="0.25">
      <c r="A554" s="9" t="s">
        <v>132</v>
      </c>
      <c r="B554" s="9" t="s">
        <v>644</v>
      </c>
      <c r="C554" s="10">
        <v>44927</v>
      </c>
      <c r="D554" s="6" cm="1">
        <f t="array" ref="D554">_xlfn.LET(
  _xlpm.aralık, Y554:BF554,
  _xlpm.ilk, MATCH(TRUE, _xlpm.aralık&lt;&gt;0, 0),
  _xlpm.son, MIN(_xlpm.ilk+2, COLUMNS(_xlpm.aralık)),
  MAX(INDEX(_xlpm.aralık, _xlpm.ilk):INDEX(_xlpm.aralık, _xlpm.son))
)</f>
        <v>724.75424478764069</v>
      </c>
      <c r="E554" s="6">
        <f t="shared" si="104"/>
        <v>746.17451993771442</v>
      </c>
      <c r="F554" s="6">
        <f t="shared" si="105"/>
        <v>0</v>
      </c>
      <c r="G554" s="6">
        <f t="shared" si="112"/>
        <v>0</v>
      </c>
      <c r="H554" s="7">
        <f t="shared" si="106"/>
        <v>2.9555225518341135E-2</v>
      </c>
      <c r="I554" s="7">
        <f t="shared" si="107"/>
        <v>-1</v>
      </c>
      <c r="J554" s="7">
        <f t="shared" si="108"/>
        <v>-1</v>
      </c>
      <c r="K554" s="7">
        <f t="shared" si="113"/>
        <v>-0.6791158049944106</v>
      </c>
      <c r="L554" s="5" t="s">
        <v>412</v>
      </c>
      <c r="M554" s="7" t="str">
        <f>IF(R554="",(VLOOKUP(A554,[1]Export!$B$2:$H$680,7,0)),"CHURN")</f>
        <v>CHURN</v>
      </c>
      <c r="N554" s="5" t="e">
        <f t="shared" si="114"/>
        <v>#VALUE!</v>
      </c>
      <c r="O554" s="5" t="e">
        <f t="shared" si="115"/>
        <v>#VALUE!</v>
      </c>
      <c r="P554" s="5" t="e">
        <f t="shared" si="116"/>
        <v>#VALUE!</v>
      </c>
      <c r="Q554" s="5" t="s">
        <v>696</v>
      </c>
      <c r="R554" s="5" t="s">
        <v>428</v>
      </c>
      <c r="S554" s="5" t="str">
        <f>VLOOKUP(A554,[3]Sheet1!$A$1:$C$191,3,0)</f>
        <v>Nov.24</v>
      </c>
      <c r="T554" s="6" cm="1">
        <f t="array" ref="T554">IF(R554&lt;&gt;"Churn","",
 _xlfn.LET(
   _xlpm.rng,Y554:BF554,
   _xlpm.pos,MAX(IF((_xlpm.rng&lt;&gt;0)*(_xlpm.rng&lt;&gt;""),COLUMN(_xlpm.rng)-COLUMN(Y554)+1)),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232.56218241556599</v>
      </c>
      <c r="U554" s="6" cm="1">
        <f t="array" ref="U554">IF(R554="Churn",
   MAX(IF((Y554:BF554&lt;&gt;"")*(Y554:BF554&lt;&gt;0), COLUMN(Y554:BF554)-COLUMN(Y554)+1))
   -MATCH(1, --((Y554:BF554&lt;&gt;"")*(Y554:BF554&lt;&gt;0)), 0)
   +1,
"")</f>
        <v>22</v>
      </c>
      <c r="V554" s="6" t="str" cm="1">
        <f t="array" ref="V554">IFERROR(
    IF(
        MATCH(2,1/((Y554:BF554&lt;&gt;0)*(Y554:BF554&lt;&gt;"")))-MATCH(1,INDEX((Y554:BF554&lt;&gt;0)*(Y554:BF554&lt;&gt;""),0),0)+1 &lt;= 12,
        "No",
        "Yes"
    ),
    "No"
)</f>
        <v>Yes</v>
      </c>
      <c r="W554" s="6" t="str" cm="1">
        <f t="array" ref="W554">IFERROR(
    IF(
        MATCH(2,1/((Y554:BF554&lt;&gt;0)*(Y554:BF554&lt;&gt;"")))-MATCH(1,INDEX((Y554:BF554&lt;&gt;0)*(Y554:BF554&lt;&gt;""),0),0)+1 &lt;= 24,
        "No",
        "Yes"
    ),
    "No"
)</f>
        <v>No</v>
      </c>
      <c r="Y554" s="8">
        <v>724.75424478764069</v>
      </c>
      <c r="Z554" s="8">
        <v>722.75213958998495</v>
      </c>
      <c r="AA554" s="8">
        <v>718.53074391845212</v>
      </c>
      <c r="AB554" s="8">
        <v>717.40334661065663</v>
      </c>
      <c r="AC554" s="8">
        <v>710.34599739826808</v>
      </c>
      <c r="AD554" s="8">
        <v>622.42286383371504</v>
      </c>
      <c r="AE554" s="8">
        <v>709.61318832346785</v>
      </c>
      <c r="AF554" s="8">
        <v>699.1675874535099</v>
      </c>
      <c r="AG554" s="8">
        <v>812.85773609559271</v>
      </c>
      <c r="AH554" s="8">
        <v>792.65828195609242</v>
      </c>
      <c r="AI554" s="8">
        <v>775.17275748786869</v>
      </c>
      <c r="AJ554" s="8">
        <v>765.54877717812451</v>
      </c>
      <c r="AK554" s="8">
        <v>746.17451993771442</v>
      </c>
      <c r="AL554" s="8">
        <v>732.64867182257092</v>
      </c>
      <c r="AM554" s="8">
        <v>710.62889385992946</v>
      </c>
      <c r="AN554" s="8">
        <v>705.11978889119803</v>
      </c>
      <c r="AO554" s="8">
        <v>705.91589376407546</v>
      </c>
      <c r="AP554" s="8">
        <v>701.27248131972385</v>
      </c>
      <c r="AQ554" s="8">
        <v>234.2136560023624</v>
      </c>
      <c r="AR554" s="8">
        <v>232.56218241556599</v>
      </c>
      <c r="AS554" s="8">
        <v>231.70279807652668</v>
      </c>
      <c r="AT554" s="8">
        <v>231.24395318211216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H554" s="8">
        <f t="shared" si="109"/>
        <v>8771.2276646333739</v>
      </c>
      <c r="BI554" s="8">
        <f t="shared" si="110"/>
        <v>5231.48283927178</v>
      </c>
      <c r="BJ554" s="8">
        <f t="shared" si="111"/>
        <v>0</v>
      </c>
    </row>
    <row r="555" spans="1:62" x14ac:dyDescent="0.25">
      <c r="A555" s="9" t="s">
        <v>597</v>
      </c>
      <c r="B555" s="9" t="s">
        <v>644</v>
      </c>
      <c r="C555" s="10">
        <v>44927</v>
      </c>
      <c r="D555" s="6" cm="1">
        <f t="array" ref="D555">_xlfn.LET(
  _xlpm.aralık, Y555:BF555,
  _xlpm.ilk, MATCH(TRUE, _xlpm.aralık&lt;&gt;0, 0),
  _xlpm.son, MIN(_xlpm.ilk+2, COLUMNS(_xlpm.aralık)),
  MAX(INDEX(_xlpm.aralık, _xlpm.ilk):INDEX(_xlpm.aralık, _xlpm.son))
)</f>
        <v>373.30461715613893</v>
      </c>
      <c r="E555" s="6">
        <f t="shared" si="104"/>
        <v>0</v>
      </c>
      <c r="F555" s="6">
        <f t="shared" si="105"/>
        <v>0</v>
      </c>
      <c r="G555" s="6">
        <f t="shared" si="112"/>
        <v>0</v>
      </c>
      <c r="H555" s="7">
        <f t="shared" si="106"/>
        <v>-1</v>
      </c>
      <c r="I555" s="7">
        <f t="shared" si="107"/>
        <v>-1</v>
      </c>
      <c r="J555" s="7" t="e">
        <f t="shared" si="108"/>
        <v>#DIV/0!</v>
      </c>
      <c r="K555" s="7">
        <f t="shared" si="113"/>
        <v>0</v>
      </c>
      <c r="L555" s="5" t="s">
        <v>424</v>
      </c>
      <c r="M555" s="7" t="str">
        <f>IF(R555="",(VLOOKUP(A555,[1]Export!$B$2:$H$680,7,0)),"CHURN")</f>
        <v>CHURN</v>
      </c>
      <c r="N555" s="5" t="e">
        <f t="shared" si="114"/>
        <v>#VALUE!</v>
      </c>
      <c r="O555" s="5" t="e">
        <f t="shared" si="115"/>
        <v>#VALUE!</v>
      </c>
      <c r="P555" s="5" t="e">
        <f t="shared" si="116"/>
        <v>#VALUE!</v>
      </c>
      <c r="Q555" s="5" t="s">
        <v>696</v>
      </c>
      <c r="R555" s="5" t="s">
        <v>428</v>
      </c>
      <c r="S555" s="5" t="str">
        <f>VLOOKUP(A555,[3]Sheet1!$A$1:$C$191,3,0)</f>
        <v>Mar.23</v>
      </c>
      <c r="T555" s="6" cm="1">
        <f t="array" ref="T555">IF(R555&lt;&gt;"Churn","",
 _xlfn.LET(
   _xlpm.rng,Y555:BF555,
   _xlpm.pos,MAX(IF((_xlpm.rng&lt;&gt;0)*(_xlpm.rng&lt;&gt;""),COLUMN(_xlpm.rng)-COLUMN(Y555)+1)),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373.30461715613893</v>
      </c>
      <c r="U555" s="6" cm="1">
        <f t="array" ref="U555">IF(R555="Churn",
   MAX(IF((Y555:BF555&lt;&gt;"")*(Y555:BF555&lt;&gt;0), COLUMN(Y555:BF555)-COLUMN(Y555)+1))
   -MATCH(1, --((Y555:BF555&lt;&gt;"")*(Y555:BF555&lt;&gt;0)), 0)
   +1,
"")</f>
        <v>2</v>
      </c>
      <c r="V555" s="6" t="str" cm="1">
        <f t="array" ref="V555">IFERROR(
    IF(
        MATCH(2,1/((Y555:BF555&lt;&gt;0)*(Y555:BF555&lt;&gt;"")))-MATCH(1,INDEX((Y555:BF555&lt;&gt;0)*(Y555:BF555&lt;&gt;""),0),0)+1 &lt;= 12,
        "No",
        "Yes"
    ),
    "No"
)</f>
        <v>No</v>
      </c>
      <c r="W555" s="6" t="str" cm="1">
        <f t="array" ref="W555">IFERROR(
    IF(
        MATCH(2,1/((Y555:BF555&lt;&gt;0)*(Y555:BF555&lt;&gt;"")))-MATCH(1,INDEX((Y555:BF555&lt;&gt;0)*(Y555:BF555&lt;&gt;""),0),0)+1 &lt;= 24,
        "No",
        "Yes"
    ),
    "No"
)</f>
        <v>No</v>
      </c>
      <c r="Y555" s="8">
        <v>373.30461715613893</v>
      </c>
      <c r="Z555" s="8">
        <v>372.00762868086514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H555" s="8">
        <f t="shared" si="109"/>
        <v>745.31224583700407</v>
      </c>
      <c r="BI555" s="8">
        <f t="shared" si="110"/>
        <v>0</v>
      </c>
      <c r="BJ555" s="8">
        <f t="shared" si="111"/>
        <v>0</v>
      </c>
    </row>
    <row r="556" spans="1:62" x14ac:dyDescent="0.25">
      <c r="A556" s="9" t="s">
        <v>145</v>
      </c>
      <c r="B556" s="9" t="s">
        <v>644</v>
      </c>
      <c r="C556" s="10">
        <v>44927</v>
      </c>
      <c r="D556" s="6" cm="1">
        <f t="array" ref="D556">_xlfn.LET(
  _xlpm.aralık, Y556:BF556,
  _xlpm.ilk, MATCH(TRUE, _xlpm.aralık&lt;&gt;0, 0),
  _xlpm.son, MIN(_xlpm.ilk+2, COLUMNS(_xlpm.aralık)),
  MAX(INDEX(_xlpm.aralık, _xlpm.ilk):INDEX(_xlpm.aralık, _xlpm.son))
)</f>
        <v>110</v>
      </c>
      <c r="E556" s="6">
        <f t="shared" si="104"/>
        <v>141.9982</v>
      </c>
      <c r="F556" s="6">
        <f t="shared" si="105"/>
        <v>0</v>
      </c>
      <c r="G556" s="6">
        <f t="shared" si="112"/>
        <v>0</v>
      </c>
      <c r="H556" s="7">
        <f t="shared" si="106"/>
        <v>0.29089272727272725</v>
      </c>
      <c r="I556" s="7">
        <f t="shared" si="107"/>
        <v>-1</v>
      </c>
      <c r="J556" s="7">
        <f t="shared" si="108"/>
        <v>-1</v>
      </c>
      <c r="K556" s="7">
        <f t="shared" si="113"/>
        <v>5.1818181818181817</v>
      </c>
      <c r="L556" s="5" t="s">
        <v>421</v>
      </c>
      <c r="M556" s="7" t="str">
        <f>IF(R556="",(VLOOKUP(A556,[1]Export!$B$2:$H$680,7,0)),"CHURN")</f>
        <v>CHURN</v>
      </c>
      <c r="N556" s="5" t="e">
        <f t="shared" si="114"/>
        <v>#VALUE!</v>
      </c>
      <c r="O556" s="5" t="e">
        <f t="shared" si="115"/>
        <v>#VALUE!</v>
      </c>
      <c r="P556" s="5" t="e">
        <f t="shared" si="116"/>
        <v>#VALUE!</v>
      </c>
      <c r="Q556" s="5" t="s">
        <v>696</v>
      </c>
      <c r="R556" s="5" t="s">
        <v>428</v>
      </c>
      <c r="S556" s="5" t="str">
        <f>VLOOKUP(A556,[3]Sheet1!$A$1:$C$191,3,0)</f>
        <v>May.24</v>
      </c>
      <c r="T556" s="6" cm="1">
        <f t="array" ref="T556">IF(R556&lt;&gt;"Churn","",
 _xlfn.LET(
   _xlpm.rng,Y556:BF556,
   _xlpm.pos,MAX(IF((_xlpm.rng&lt;&gt;0)*(_xlpm.rng&lt;&gt;""),COLUMN(_xlpm.rng)-COLUMN(Y556)+1)),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680</v>
      </c>
      <c r="U556" s="6" cm="1">
        <f t="array" ref="U556">IF(R556="Churn",
   MAX(IF((Y556:BF556&lt;&gt;"")*(Y556:BF556&lt;&gt;0), COLUMN(Y556:BF556)-COLUMN(Y556)+1))
   -MATCH(1, --((Y556:BF556&lt;&gt;"")*(Y556:BF556&lt;&gt;0)), 0)
   +1,
"")</f>
        <v>19</v>
      </c>
      <c r="V556" s="6" t="str" cm="1">
        <f t="array" ref="V556">IFERROR(
    IF(
        MATCH(2,1/((Y556:BF556&lt;&gt;0)*(Y556:BF556&lt;&gt;"")))-MATCH(1,INDEX((Y556:BF556&lt;&gt;0)*(Y556:BF556&lt;&gt;""),0),0)+1 &lt;= 12,
        "No",
        "Yes"
    ),
    "No"
)</f>
        <v>Yes</v>
      </c>
      <c r="W556" s="6" t="str" cm="1">
        <f t="array" ref="W556">IFERROR(
    IF(
        MATCH(2,1/((Y556:BF556&lt;&gt;0)*(Y556:BF556&lt;&gt;"")))-MATCH(1,INDEX((Y556:BF556&lt;&gt;0)*(Y556:BF556&lt;&gt;""),0),0)+1 &lt;= 24,
        "No",
        "Yes"
    ),
    "No"
)</f>
        <v>No</v>
      </c>
      <c r="Y556" s="8">
        <v>100</v>
      </c>
      <c r="Z556" s="8">
        <v>110</v>
      </c>
      <c r="AA556" s="8">
        <v>110</v>
      </c>
      <c r="AB556" s="8">
        <v>119</v>
      </c>
      <c r="AC556" s="8">
        <v>118.99820000000003</v>
      </c>
      <c r="AD556" s="8">
        <v>118.99820000000003</v>
      </c>
      <c r="AE556" s="8">
        <v>118.99820000000003</v>
      </c>
      <c r="AF556" s="8">
        <v>118.99820000000003</v>
      </c>
      <c r="AG556" s="8">
        <v>118.99820000000003</v>
      </c>
      <c r="AH556" s="8">
        <v>118.99820000000003</v>
      </c>
      <c r="AI556" s="8">
        <v>118.99820000000003</v>
      </c>
      <c r="AJ556" s="8">
        <v>142</v>
      </c>
      <c r="AK556" s="8">
        <v>141.9982</v>
      </c>
      <c r="AL556" s="8">
        <v>141.9982</v>
      </c>
      <c r="AM556" s="8">
        <v>141.9982</v>
      </c>
      <c r="AN556" s="8">
        <v>141.9982</v>
      </c>
      <c r="AO556" s="8">
        <v>0</v>
      </c>
      <c r="AP556" s="8">
        <v>0</v>
      </c>
      <c r="AQ556" s="8">
        <v>680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H556" s="8">
        <f t="shared" si="109"/>
        <v>1413.9874</v>
      </c>
      <c r="BI556" s="8">
        <f t="shared" si="110"/>
        <v>1247.9928</v>
      </c>
      <c r="BJ556" s="8">
        <f t="shared" si="111"/>
        <v>0</v>
      </c>
    </row>
    <row r="557" spans="1:62" x14ac:dyDescent="0.25">
      <c r="A557" s="9" t="s">
        <v>148</v>
      </c>
      <c r="B557" s="9" t="s">
        <v>644</v>
      </c>
      <c r="C557" s="10">
        <v>44927</v>
      </c>
      <c r="D557" s="6" cm="1">
        <f t="array" ref="D557">_xlfn.LET(
  _xlpm.aralık, Y557:BF557,
  _xlpm.ilk, MATCH(TRUE, _xlpm.aralık&lt;&gt;0, 0),
  _xlpm.son, MIN(_xlpm.ilk+2, COLUMNS(_xlpm.aralık)),
  MAX(INDEX(_xlpm.aralık, _xlpm.ilk):INDEX(_xlpm.aralık, _xlpm.son))
)</f>
        <v>146.43</v>
      </c>
      <c r="E557" s="6">
        <f t="shared" si="104"/>
        <v>27.5</v>
      </c>
      <c r="F557" s="6">
        <f t="shared" si="105"/>
        <v>0</v>
      </c>
      <c r="G557" s="6">
        <f t="shared" si="112"/>
        <v>0</v>
      </c>
      <c r="H557" s="7">
        <f t="shared" si="106"/>
        <v>-0.81219695417605686</v>
      </c>
      <c r="I557" s="7">
        <f t="shared" si="107"/>
        <v>-1</v>
      </c>
      <c r="J557" s="7">
        <f t="shared" si="108"/>
        <v>-1</v>
      </c>
      <c r="K557" s="7">
        <f t="shared" si="113"/>
        <v>-0.81219695417605686</v>
      </c>
      <c r="L557" s="5" t="s">
        <v>424</v>
      </c>
      <c r="M557" s="7" t="str">
        <f>IF(R557="",(VLOOKUP(A557,[1]Export!$B$2:$H$680,7,0)),"CHURN")</f>
        <v>CHURN</v>
      </c>
      <c r="N557" s="5" t="e">
        <f t="shared" si="114"/>
        <v>#VALUE!</v>
      </c>
      <c r="O557" s="5" t="e">
        <f t="shared" si="115"/>
        <v>#VALUE!</v>
      </c>
      <c r="P557" s="5" t="e">
        <f t="shared" si="116"/>
        <v>#VALUE!</v>
      </c>
      <c r="Q557" s="5" t="s">
        <v>696</v>
      </c>
      <c r="R557" s="5" t="s">
        <v>428</v>
      </c>
      <c r="S557" s="5" t="str">
        <f>VLOOKUP(A557,[3]Sheet1!$A$1:$C$191,3,0)</f>
        <v>Aug.24</v>
      </c>
      <c r="T557" s="6" cm="1">
        <f t="array" ref="T557">IF(R557&lt;&gt;"Churn","",
 _xlfn.LET(
   _xlpm.rng,Y557:BF557,
   _xlpm.pos,MAX(IF((_xlpm.rng&lt;&gt;0)*(_xlpm.rng&lt;&gt;""),COLUMN(_xlpm.rng)-COLUMN(Y557)+1)),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27.5</v>
      </c>
      <c r="U557" s="6" cm="1">
        <f t="array" ref="U557">IF(R557="Churn",
   MAX(IF((Y557:BF557&lt;&gt;"")*(Y557:BF557&lt;&gt;0), COLUMN(Y557:BF557)-COLUMN(Y557)+1))
   -MATCH(1, --((Y557:BF557&lt;&gt;"")*(Y557:BF557&lt;&gt;0)), 0)
   +1,
"")</f>
        <v>19</v>
      </c>
      <c r="V557" s="6" t="str" cm="1">
        <f t="array" ref="V557">IFERROR(
    IF(
        MATCH(2,1/((Y557:BF557&lt;&gt;0)*(Y557:BF557&lt;&gt;"")))-MATCH(1,INDEX((Y557:BF557&lt;&gt;0)*(Y557:BF557&lt;&gt;""),0),0)+1 &lt;= 12,
        "No",
        "Yes"
    ),
    "No"
)</f>
        <v>Yes</v>
      </c>
      <c r="W557" s="6" t="str" cm="1">
        <f t="array" ref="W557">IFERROR(
    IF(
        MATCH(2,1/((Y557:BF557&lt;&gt;0)*(Y557:BF557&lt;&gt;"")))-MATCH(1,INDEX((Y557:BF557&lt;&gt;0)*(Y557:BF557&lt;&gt;""),0),0)+1 &lt;= 24,
        "No",
        "Yes"
    ),
    "No"
)</f>
        <v>No</v>
      </c>
      <c r="Y557" s="8">
        <v>133.12</v>
      </c>
      <c r="Z557" s="8">
        <v>146.43</v>
      </c>
      <c r="AA557" s="8">
        <v>146.43</v>
      </c>
      <c r="AB557" s="8">
        <v>146.43</v>
      </c>
      <c r="AC557" s="8">
        <v>27.5</v>
      </c>
      <c r="AD557" s="8">
        <v>27.5</v>
      </c>
      <c r="AE557" s="8">
        <v>27.5</v>
      </c>
      <c r="AF557" s="8">
        <v>27.5</v>
      </c>
      <c r="AG557" s="8">
        <v>27.5</v>
      </c>
      <c r="AH557" s="8">
        <v>27.5</v>
      </c>
      <c r="AI557" s="8">
        <v>27.5</v>
      </c>
      <c r="AJ557" s="8">
        <v>27.5</v>
      </c>
      <c r="AK557" s="8">
        <v>27.5</v>
      </c>
      <c r="AL557" s="8">
        <v>27.5</v>
      </c>
      <c r="AM557" s="8">
        <v>27.5</v>
      </c>
      <c r="AN557" s="8">
        <v>27.5</v>
      </c>
      <c r="AO557" s="8">
        <v>27.5</v>
      </c>
      <c r="AP557" s="8">
        <v>27.5</v>
      </c>
      <c r="AQ557" s="8">
        <v>27.5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H557" s="8">
        <f t="shared" si="109"/>
        <v>792.41000000000008</v>
      </c>
      <c r="BI557" s="8">
        <f t="shared" si="110"/>
        <v>192.5</v>
      </c>
      <c r="BJ557" s="8">
        <f t="shared" si="111"/>
        <v>0</v>
      </c>
    </row>
    <row r="558" spans="1:62" x14ac:dyDescent="0.25">
      <c r="A558" s="9" t="s">
        <v>149</v>
      </c>
      <c r="B558" s="9" t="s">
        <v>644</v>
      </c>
      <c r="C558" s="10">
        <v>44927</v>
      </c>
      <c r="D558" s="6" cm="1">
        <f t="array" ref="D558">_xlfn.LET(
  _xlpm.aralık, Y558:BF558,
  _xlpm.ilk, MATCH(TRUE, _xlpm.aralık&lt;&gt;0, 0),
  _xlpm.son, MIN(_xlpm.ilk+2, COLUMNS(_xlpm.aralık)),
  MAX(INDEX(_xlpm.aralık, _xlpm.ilk):INDEX(_xlpm.aralık, _xlpm.son))
)</f>
        <v>1674.7631760278293</v>
      </c>
      <c r="E558" s="6">
        <f t="shared" si="104"/>
        <v>1178.2734696191178</v>
      </c>
      <c r="F558" s="6">
        <f t="shared" si="105"/>
        <v>0</v>
      </c>
      <c r="G558" s="6">
        <f t="shared" si="112"/>
        <v>0</v>
      </c>
      <c r="H558" s="7">
        <f t="shared" si="106"/>
        <v>-0.29645367984879878</v>
      </c>
      <c r="I558" s="7">
        <f t="shared" si="107"/>
        <v>-1</v>
      </c>
      <c r="J558" s="7">
        <f t="shared" si="108"/>
        <v>-1</v>
      </c>
      <c r="K558" s="7">
        <f t="shared" si="113"/>
        <v>-0.52112632312458174</v>
      </c>
      <c r="L558" s="5" t="s">
        <v>418</v>
      </c>
      <c r="M558" s="7" t="str">
        <f>IF(R558="",(VLOOKUP(A558,[1]Export!$B$2:$H$680,7,0)),"CHURN")</f>
        <v>CHURN</v>
      </c>
      <c r="N558" s="5" t="e">
        <f t="shared" si="114"/>
        <v>#VALUE!</v>
      </c>
      <c r="O558" s="5" t="e">
        <f t="shared" si="115"/>
        <v>#VALUE!</v>
      </c>
      <c r="P558" s="5" t="e">
        <f t="shared" si="116"/>
        <v>#VALUE!</v>
      </c>
      <c r="Q558" s="5" t="s">
        <v>696</v>
      </c>
      <c r="R558" s="5" t="s">
        <v>428</v>
      </c>
      <c r="S558" s="5" t="str">
        <f>VLOOKUP(A558,[3]Sheet1!$A$1:$C$191,3,0)</f>
        <v>Aug.24</v>
      </c>
      <c r="T558" s="6" cm="1">
        <f t="array" ref="T558">IF(R558&lt;&gt;"Churn","",
 _xlfn.LET(
   _xlpm.rng,Y558:BF558,
   _xlpm.pos,MAX(IF((_xlpm.rng&lt;&gt;0)*(_xlpm.rng&lt;&gt;""),COLUMN(_xlpm.rng)-COLUMN(Y558)+1)),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802</v>
      </c>
      <c r="U558" s="6" cm="1">
        <f t="array" ref="U558">IF(R558="Churn",
   MAX(IF((Y558:BF558&lt;&gt;"")*(Y558:BF558&lt;&gt;0), COLUMN(Y558:BF558)-COLUMN(Y558)+1))
   -MATCH(1, --((Y558:BF558&lt;&gt;"")*(Y558:BF558&lt;&gt;0)), 0)
   +1,
"")</f>
        <v>19</v>
      </c>
      <c r="V558" s="6" t="str" cm="1">
        <f t="array" ref="V558">IFERROR(
    IF(
        MATCH(2,1/((Y558:BF558&lt;&gt;0)*(Y558:BF558&lt;&gt;"")))-MATCH(1,INDEX((Y558:BF558&lt;&gt;0)*(Y558:BF558&lt;&gt;""),0),0)+1 &lt;= 12,
        "No",
        "Yes"
    ),
    "No"
)</f>
        <v>Yes</v>
      </c>
      <c r="W558" s="6" t="str" cm="1">
        <f t="array" ref="W558">IFERROR(
    IF(
        MATCH(2,1/((Y558:BF558&lt;&gt;0)*(Y558:BF558&lt;&gt;"")))-MATCH(1,INDEX((Y558:BF558&lt;&gt;0)*(Y558:BF558&lt;&gt;""),0),0)+1 &lt;= 24,
        "No",
        "Yes"
    ),
    "No"
)</f>
        <v>No</v>
      </c>
      <c r="Y558" s="8">
        <v>1516.4548582049902</v>
      </c>
      <c r="Z558" s="8">
        <v>1515.1063907025009</v>
      </c>
      <c r="AA558" s="8">
        <v>1674.7631760278293</v>
      </c>
      <c r="AB558" s="8">
        <v>1667.9421227832997</v>
      </c>
      <c r="AC558" s="8">
        <v>1588.7924780140113</v>
      </c>
      <c r="AD558" s="8">
        <v>1551.9551753216413</v>
      </c>
      <c r="AE558" s="8">
        <v>1554.0565837660149</v>
      </c>
      <c r="AF558" s="8">
        <v>1548.8400899645665</v>
      </c>
      <c r="AG558" s="8">
        <v>1697.229889665532</v>
      </c>
      <c r="AH558" s="8">
        <v>1686.3186485024419</v>
      </c>
      <c r="AI558" s="8">
        <v>1675.1421176064475</v>
      </c>
      <c r="AJ558" s="8">
        <v>1692.9905884676009</v>
      </c>
      <c r="AK558" s="8">
        <v>1178.2734696191178</v>
      </c>
      <c r="AL558" s="8">
        <v>1169.6279148559106</v>
      </c>
      <c r="AM558" s="8">
        <v>802</v>
      </c>
      <c r="AN558" s="8">
        <v>802</v>
      </c>
      <c r="AO558" s="8">
        <v>802</v>
      </c>
      <c r="AP558" s="8">
        <v>650</v>
      </c>
      <c r="AQ558" s="8">
        <v>650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H558" s="8">
        <f t="shared" si="109"/>
        <v>19369.592119026875</v>
      </c>
      <c r="BI558" s="8">
        <f t="shared" si="110"/>
        <v>6053.901384475028</v>
      </c>
      <c r="BJ558" s="8">
        <f t="shared" si="111"/>
        <v>0</v>
      </c>
    </row>
    <row r="559" spans="1:62" x14ac:dyDescent="0.25">
      <c r="A559" s="9" t="s">
        <v>151</v>
      </c>
      <c r="B559" s="9" t="s">
        <v>644</v>
      </c>
      <c r="C559" s="10">
        <v>44927</v>
      </c>
      <c r="D559" s="6" cm="1">
        <f t="array" ref="D559">_xlfn.LET(
  _xlpm.aralık, Y559:BF559,
  _xlpm.ilk, MATCH(TRUE, _xlpm.aralık&lt;&gt;0, 0),
  _xlpm.son, MIN(_xlpm.ilk+2, COLUMNS(_xlpm.aralık)),
  MAX(INDEX(_xlpm.aralık, _xlpm.ilk):INDEX(_xlpm.aralık, _xlpm.son))
)</f>
        <v>2421.9499999999998</v>
      </c>
      <c r="E559" s="6">
        <f t="shared" si="104"/>
        <v>2535.0660000000003</v>
      </c>
      <c r="F559" s="6">
        <f t="shared" si="105"/>
        <v>0</v>
      </c>
      <c r="G559" s="6">
        <f t="shared" si="112"/>
        <v>0</v>
      </c>
      <c r="H559" s="7">
        <f t="shared" si="106"/>
        <v>4.6704514956956357E-2</v>
      </c>
      <c r="I559" s="7">
        <f t="shared" si="107"/>
        <v>-1</v>
      </c>
      <c r="J559" s="7">
        <f t="shared" si="108"/>
        <v>-1</v>
      </c>
      <c r="K559" s="7">
        <f t="shared" si="113"/>
        <v>4.6704514956956357E-2</v>
      </c>
      <c r="L559" s="5" t="s">
        <v>419</v>
      </c>
      <c r="M559" s="7" t="str">
        <f>IF(R559="",(VLOOKUP(A559,[1]Export!$B$2:$H$680,7,0)),"CHURN")</f>
        <v>CHURN</v>
      </c>
      <c r="N559" s="5" t="e">
        <f t="shared" si="114"/>
        <v>#VALUE!</v>
      </c>
      <c r="O559" s="5" t="e">
        <f t="shared" si="115"/>
        <v>#VALUE!</v>
      </c>
      <c r="P559" s="5" t="e">
        <f t="shared" si="116"/>
        <v>#VALUE!</v>
      </c>
      <c r="Q559" s="5" t="s">
        <v>696</v>
      </c>
      <c r="R559" s="5" t="s">
        <v>428</v>
      </c>
      <c r="S559" s="5" t="str">
        <f>VLOOKUP(A559,[3]Sheet1!$A$1:$C$191,3,0)</f>
        <v>Mar.24</v>
      </c>
      <c r="T559" s="6" cm="1">
        <f t="array" ref="T559">IF(R559&lt;&gt;"Churn","",
 _xlfn.LET(
   _xlpm.rng,Y559:BF559,
   _xlpm.pos,MAX(IF((_xlpm.rng&lt;&gt;0)*(_xlpm.rng&lt;&gt;""),COLUMN(_xlpm.rng)-COLUMN(Y559)+1)),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2535.0660000000003</v>
      </c>
      <c r="U559" s="6" cm="1">
        <f t="array" ref="U559">IF(R559="Churn",
   MAX(IF((Y559:BF559&lt;&gt;"")*(Y559:BF559&lt;&gt;0), COLUMN(Y559:BF559)-COLUMN(Y559)+1))
   -MATCH(1, --((Y559:BF559&lt;&gt;"")*(Y559:BF559&lt;&gt;0)), 0)
   +1,
"")</f>
        <v>14</v>
      </c>
      <c r="V559" s="6" t="str" cm="1">
        <f t="array" ref="V559">IFERROR(
    IF(
        MATCH(2,1/((Y559:BF559&lt;&gt;0)*(Y559:BF559&lt;&gt;"")))-MATCH(1,INDEX((Y559:BF559&lt;&gt;0)*(Y559:BF559&lt;&gt;""),0),0)+1 &lt;= 12,
        "No",
        "Yes"
    ),
    "No"
)</f>
        <v>Yes</v>
      </c>
      <c r="W559" s="6" t="str" cm="1">
        <f t="array" ref="W559">IFERROR(
    IF(
        MATCH(2,1/((Y559:BF559&lt;&gt;0)*(Y559:BF559&lt;&gt;"")))-MATCH(1,INDEX((Y559:BF559&lt;&gt;0)*(Y559:BF559&lt;&gt;""),0),0)+1 &lt;= 24,
        "No",
        "Yes"
    ),
    "No"
)</f>
        <v>No</v>
      </c>
      <c r="Y559" s="8">
        <v>1104.5</v>
      </c>
      <c r="Z559" s="8">
        <v>2021.95</v>
      </c>
      <c r="AA559" s="8">
        <v>2421.9499999999998</v>
      </c>
      <c r="AB559" s="8">
        <v>2421.9499999999998</v>
      </c>
      <c r="AC559" s="8">
        <v>2421.9499999999998</v>
      </c>
      <c r="AD559" s="8">
        <v>2421.9499999999998</v>
      </c>
      <c r="AE559" s="8">
        <v>2421.9499999999998</v>
      </c>
      <c r="AF559" s="8">
        <v>2523.0659999999998</v>
      </c>
      <c r="AG559" s="8">
        <v>2523.0659999999998</v>
      </c>
      <c r="AH559" s="8">
        <v>2535.0659999999998</v>
      </c>
      <c r="AI559" s="8">
        <v>2535.0660000000003</v>
      </c>
      <c r="AJ559" s="8">
        <v>2535.0660000000003</v>
      </c>
      <c r="AK559" s="8">
        <v>2535.0660000000003</v>
      </c>
      <c r="AL559" s="8">
        <v>2535.0660000000003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H559" s="8">
        <f t="shared" si="109"/>
        <v>27887.529999999995</v>
      </c>
      <c r="BI559" s="8">
        <f t="shared" si="110"/>
        <v>5070.1320000000005</v>
      </c>
      <c r="BJ559" s="8">
        <f t="shared" si="111"/>
        <v>0</v>
      </c>
    </row>
    <row r="560" spans="1:62" x14ac:dyDescent="0.25">
      <c r="A560" s="9" t="s">
        <v>153</v>
      </c>
      <c r="B560" s="9" t="s">
        <v>644</v>
      </c>
      <c r="C560" s="10">
        <v>44927</v>
      </c>
      <c r="D560" s="6" cm="1">
        <f t="array" ref="D560">_xlfn.LET(
  _xlpm.aralık, Y560:BF560,
  _xlpm.ilk, MATCH(TRUE, _xlpm.aralık&lt;&gt;0, 0),
  _xlpm.son, MIN(_xlpm.ilk+2, COLUMNS(_xlpm.aralık)),
  MAX(INDEX(_xlpm.aralık, _xlpm.ilk):INDEX(_xlpm.aralık, _xlpm.son))
)</f>
        <v>2006</v>
      </c>
      <c r="E560" s="6">
        <f t="shared" si="104"/>
        <v>798.83999999999992</v>
      </c>
      <c r="F560" s="6">
        <f t="shared" si="105"/>
        <v>0</v>
      </c>
      <c r="G560" s="6">
        <f t="shared" si="112"/>
        <v>0</v>
      </c>
      <c r="H560" s="7">
        <f t="shared" si="106"/>
        <v>-0.60177467597208378</v>
      </c>
      <c r="I560" s="7">
        <f t="shared" si="107"/>
        <v>-1</v>
      </c>
      <c r="J560" s="7">
        <f t="shared" si="108"/>
        <v>-1</v>
      </c>
      <c r="K560" s="7">
        <f t="shared" si="113"/>
        <v>-0.60177467597208378</v>
      </c>
      <c r="L560" s="5" t="s">
        <v>413</v>
      </c>
      <c r="M560" s="7" t="str">
        <f>IF(R560="",(VLOOKUP(A560,[1]Export!$B$2:$H$680,7,0)),"CHURN")</f>
        <v>CHURN</v>
      </c>
      <c r="N560" s="5" t="e">
        <f t="shared" si="114"/>
        <v>#VALUE!</v>
      </c>
      <c r="O560" s="5" t="e">
        <f t="shared" si="115"/>
        <v>#VALUE!</v>
      </c>
      <c r="P560" s="5" t="e">
        <f t="shared" si="116"/>
        <v>#VALUE!</v>
      </c>
      <c r="Q560" s="5" t="s">
        <v>696</v>
      </c>
      <c r="R560" s="5" t="s">
        <v>428</v>
      </c>
      <c r="S560" s="5" t="str">
        <f>VLOOKUP(A560,[3]Sheet1!$A$1:$C$191,3,0)</f>
        <v>Jun.24</v>
      </c>
      <c r="T560" s="6" cm="1">
        <f t="array" ref="T560">IF(R560&lt;&gt;"Churn","",
 _xlfn.LET(
   _xlpm.rng,Y560:BF560,
   _xlpm.pos,MAX(IF((_xlpm.rng&lt;&gt;0)*(_xlpm.rng&lt;&gt;""),COLUMN(_xlpm.rng)-COLUMN(Y560)+1)),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798.83999999999992</v>
      </c>
      <c r="U560" s="6" cm="1">
        <f t="array" ref="U560">IF(R560="Churn",
   MAX(IF((Y560:BF560&lt;&gt;"")*(Y560:BF560&lt;&gt;0), COLUMN(Y560:BF560)-COLUMN(Y560)+1))
   -MATCH(1, --((Y560:BF560&lt;&gt;"")*(Y560:BF560&lt;&gt;0)), 0)
   +1,
"")</f>
        <v>17</v>
      </c>
      <c r="V560" s="6" t="str" cm="1">
        <f t="array" ref="V560">IFERROR(
    IF(
        MATCH(2,1/((Y560:BF560&lt;&gt;0)*(Y560:BF560&lt;&gt;"")))-MATCH(1,INDEX((Y560:BF560&lt;&gt;0)*(Y560:BF560&lt;&gt;""),0),0)+1 &lt;= 12,
        "No",
        "Yes"
    ),
    "No"
)</f>
        <v>Yes</v>
      </c>
      <c r="W560" s="6" t="str" cm="1">
        <f t="array" ref="W560">IFERROR(
    IF(
        MATCH(2,1/((Y560:BF560&lt;&gt;0)*(Y560:BF560&lt;&gt;"")))-MATCH(1,INDEX((Y560:BF560&lt;&gt;0)*(Y560:BF560&lt;&gt;""),0),0)+1 &lt;= 24,
        "No",
        "Yes"
    ),
    "No"
)</f>
        <v>No</v>
      </c>
      <c r="Y560" s="8">
        <v>2000</v>
      </c>
      <c r="Z560" s="8">
        <v>2000</v>
      </c>
      <c r="AA560" s="8">
        <v>2006</v>
      </c>
      <c r="AB560" s="8">
        <v>2006</v>
      </c>
      <c r="AC560" s="8">
        <v>2015</v>
      </c>
      <c r="AD560" s="8">
        <v>2015</v>
      </c>
      <c r="AE560" s="8">
        <v>2015</v>
      </c>
      <c r="AF560" s="8">
        <v>798.83999999999992</v>
      </c>
      <c r="AG560" s="8">
        <v>798.83999999999992</v>
      </c>
      <c r="AH560" s="8">
        <v>798.83999999999992</v>
      </c>
      <c r="AI560" s="8">
        <v>798.83999999999992</v>
      </c>
      <c r="AJ560" s="8">
        <v>798.83999999999992</v>
      </c>
      <c r="AK560" s="8">
        <v>798.83999999999992</v>
      </c>
      <c r="AL560" s="8">
        <v>798.83999999999992</v>
      </c>
      <c r="AM560" s="8">
        <v>798.83999999999992</v>
      </c>
      <c r="AN560" s="8">
        <v>798.83999999999992</v>
      </c>
      <c r="AO560" s="8">
        <v>798.83999999999992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0</v>
      </c>
      <c r="BE560" s="8">
        <v>0</v>
      </c>
      <c r="BF560" s="8">
        <v>0</v>
      </c>
      <c r="BH560" s="8">
        <f t="shared" si="109"/>
        <v>18051.2</v>
      </c>
      <c r="BI560" s="8">
        <f t="shared" si="110"/>
        <v>3994.2</v>
      </c>
      <c r="BJ560" s="8">
        <f t="shared" si="111"/>
        <v>0</v>
      </c>
    </row>
    <row r="561" spans="1:62" x14ac:dyDescent="0.25">
      <c r="A561" s="9" t="s">
        <v>598</v>
      </c>
      <c r="B561" s="9" t="s">
        <v>644</v>
      </c>
      <c r="C561" s="10">
        <v>44927</v>
      </c>
      <c r="D561" s="6" cm="1">
        <f t="array" ref="D561">_xlfn.LET(
  _xlpm.aralık, Y561:BF561,
  _xlpm.ilk, MATCH(TRUE, _xlpm.aralık&lt;&gt;0, 0),
  _xlpm.son, MIN(_xlpm.ilk+2, COLUMNS(_xlpm.aralık)),
  MAX(INDEX(_xlpm.aralık, _xlpm.ilk):INDEX(_xlpm.aralık, _xlpm.son))
)</f>
        <v>991.07279121532963</v>
      </c>
      <c r="E561" s="6">
        <f t="shared" si="104"/>
        <v>0</v>
      </c>
      <c r="F561" s="6">
        <f t="shared" si="105"/>
        <v>0</v>
      </c>
      <c r="G561" s="6">
        <f t="shared" si="112"/>
        <v>0</v>
      </c>
      <c r="H561" s="7">
        <f t="shared" si="106"/>
        <v>-1</v>
      </c>
      <c r="I561" s="7">
        <f t="shared" si="107"/>
        <v>-1</v>
      </c>
      <c r="J561" s="7" t="e">
        <f t="shared" si="108"/>
        <v>#DIV/0!</v>
      </c>
      <c r="K561" s="7">
        <f t="shared" si="113"/>
        <v>3.0861035424127947E-2</v>
      </c>
      <c r="L561" s="5" t="s">
        <v>418</v>
      </c>
      <c r="M561" s="7" t="str">
        <f>IF(R561="",(VLOOKUP(A561,[1]Export!$B$2:$H$680,7,0)),"CHURN")</f>
        <v>CHURN</v>
      </c>
      <c r="N561" s="5" t="e">
        <f t="shared" si="114"/>
        <v>#VALUE!</v>
      </c>
      <c r="O561" s="5" t="e">
        <f t="shared" si="115"/>
        <v>#VALUE!</v>
      </c>
      <c r="P561" s="5" t="e">
        <f t="shared" si="116"/>
        <v>#VALUE!</v>
      </c>
      <c r="Q561" s="5" t="s">
        <v>696</v>
      </c>
      <c r="R561" s="5" t="s">
        <v>428</v>
      </c>
      <c r="S561" s="5" t="str">
        <f>VLOOKUP(A561,[3]Sheet1!$A$1:$C$191,3,0)</f>
        <v>Oct.23</v>
      </c>
      <c r="T561" s="6" cm="1">
        <f t="array" ref="T561">IF(R561&lt;&gt;"Churn","",
 _xlfn.LET(
   _xlpm.rng,Y561:BF561,
   _xlpm.pos,MAX(IF((_xlpm.rng&lt;&gt;0)*(_xlpm.rng&lt;&gt;""),COLUMN(_xlpm.rng)-COLUMN(Y561)+1)),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1021.6583237329153</v>
      </c>
      <c r="U561" s="6" cm="1">
        <f t="array" ref="U561">IF(R561="Churn",
   MAX(IF((Y561:BF561&lt;&gt;"")*(Y561:BF561&lt;&gt;0), COLUMN(Y561:BF561)-COLUMN(Y561)+1))
   -MATCH(1, --((Y561:BF561&lt;&gt;"")*(Y561:BF561&lt;&gt;0)), 0)
   +1,
"")</f>
        <v>9</v>
      </c>
      <c r="V561" s="6" t="str" cm="1">
        <f t="array" ref="V561">IFERROR(
    IF(
        MATCH(2,1/((Y561:BF561&lt;&gt;0)*(Y561:BF561&lt;&gt;"")))-MATCH(1,INDEX((Y561:BF561&lt;&gt;0)*(Y561:BF561&lt;&gt;""),0),0)+1 &lt;= 12,
        "No",
        "Yes"
    ),
    "No"
)</f>
        <v>No</v>
      </c>
      <c r="W561" s="6" t="str" cm="1">
        <f t="array" ref="W561">IFERROR(
    IF(
        MATCH(2,1/((Y561:BF561&lt;&gt;0)*(Y561:BF561&lt;&gt;"")))-MATCH(1,INDEX((Y561:BF561&lt;&gt;0)*(Y561:BF561&lt;&gt;""),0),0)+1 &lt;= 24,
        "No",
        "Yes"
    ),
    "No"
)</f>
        <v>No</v>
      </c>
      <c r="Y561" s="8">
        <v>986.08280601120578</v>
      </c>
      <c r="Z561" s="8">
        <v>991.07279121532963</v>
      </c>
      <c r="AA561" s="8">
        <v>984.05928882935814</v>
      </c>
      <c r="AB561" s="8">
        <v>1300.0324094457192</v>
      </c>
      <c r="AC561" s="8">
        <v>1358.1919947965366</v>
      </c>
      <c r="AD561" s="8">
        <v>1148.0731899764112</v>
      </c>
      <c r="AE561" s="8">
        <v>1021.6583237329153</v>
      </c>
      <c r="AF561" s="8">
        <v>37</v>
      </c>
      <c r="AG561" s="8">
        <v>37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H561" s="8">
        <f t="shared" si="109"/>
        <v>7863.1708040074755</v>
      </c>
      <c r="BI561" s="8">
        <f t="shared" si="110"/>
        <v>0</v>
      </c>
      <c r="BJ561" s="8">
        <f t="shared" si="111"/>
        <v>0</v>
      </c>
    </row>
    <row r="562" spans="1:62" x14ac:dyDescent="0.25">
      <c r="A562" s="9" t="s">
        <v>156</v>
      </c>
      <c r="B562" s="9" t="s">
        <v>644</v>
      </c>
      <c r="C562" s="10">
        <v>44927</v>
      </c>
      <c r="D562" s="6" cm="1">
        <f t="array" ref="D562">_xlfn.LET(
  _xlpm.aralık, Y562:BF562,
  _xlpm.ilk, MATCH(TRUE, _xlpm.aralık&lt;&gt;0, 0),
  _xlpm.son, MIN(_xlpm.ilk+2, COLUMNS(_xlpm.aralık)),
  MAX(INDEX(_xlpm.aralık, _xlpm.ilk):INDEX(_xlpm.aralık, _xlpm.son))
)</f>
        <v>176</v>
      </c>
      <c r="E562" s="6">
        <f t="shared" si="104"/>
        <v>176</v>
      </c>
      <c r="F562" s="6">
        <f t="shared" si="105"/>
        <v>0</v>
      </c>
      <c r="G562" s="6">
        <f t="shared" si="112"/>
        <v>0</v>
      </c>
      <c r="H562" s="7">
        <f t="shared" si="106"/>
        <v>0</v>
      </c>
      <c r="I562" s="7">
        <f t="shared" si="107"/>
        <v>-1</v>
      </c>
      <c r="J562" s="7">
        <f t="shared" si="108"/>
        <v>-1</v>
      </c>
      <c r="K562" s="7">
        <f t="shared" si="113"/>
        <v>0</v>
      </c>
      <c r="L562" s="5" t="s">
        <v>424</v>
      </c>
      <c r="M562" s="7" t="str">
        <f>IF(R562="",(VLOOKUP(A562,[1]Export!$B$2:$H$680,7,0)),"CHURN")</f>
        <v>CHURN</v>
      </c>
      <c r="N562" s="5" t="e">
        <f t="shared" si="114"/>
        <v>#VALUE!</v>
      </c>
      <c r="O562" s="5" t="e">
        <f t="shared" si="115"/>
        <v>#VALUE!</v>
      </c>
      <c r="P562" s="5" t="e">
        <f t="shared" si="116"/>
        <v>#VALUE!</v>
      </c>
      <c r="Q562" s="5" t="s">
        <v>696</v>
      </c>
      <c r="R562" s="5" t="s">
        <v>428</v>
      </c>
      <c r="S562" s="5" t="str">
        <f>VLOOKUP(A562,[3]Sheet1!$A$1:$C$191,3,0)</f>
        <v>Feb.24</v>
      </c>
      <c r="T562" s="6" cm="1">
        <f t="array" ref="T562">IF(R562&lt;&gt;"Churn","",
 _xlfn.LET(
   _xlpm.rng,Y562:BF562,
   _xlpm.pos,MAX(IF((_xlpm.rng&lt;&gt;0)*(_xlpm.rng&lt;&gt;""),COLUMN(_xlpm.rng)-COLUMN(Y562)+1)),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176</v>
      </c>
      <c r="U562" s="6" cm="1">
        <f t="array" ref="U562">IF(R562="Churn",
   MAX(IF((Y562:BF562&lt;&gt;"")*(Y562:BF562&lt;&gt;0), COLUMN(Y562:BF562)-COLUMN(Y562)+1))
   -MATCH(1, --((Y562:BF562&lt;&gt;"")*(Y562:BF562&lt;&gt;0)), 0)
   +1,
"")</f>
        <v>13</v>
      </c>
      <c r="V562" s="6" t="str" cm="1">
        <f t="array" ref="V562">IFERROR(
    IF(
        MATCH(2,1/((Y562:BF562&lt;&gt;0)*(Y562:BF562&lt;&gt;"")))-MATCH(1,INDEX((Y562:BF562&lt;&gt;0)*(Y562:BF562&lt;&gt;""),0),0)+1 &lt;= 12,
        "No",
        "Yes"
    ),
    "No"
)</f>
        <v>Yes</v>
      </c>
      <c r="W562" s="6" t="str" cm="1">
        <f t="array" ref="W562">IFERROR(
    IF(
        MATCH(2,1/((Y562:BF562&lt;&gt;0)*(Y562:BF562&lt;&gt;"")))-MATCH(1,INDEX((Y562:BF562&lt;&gt;0)*(Y562:BF562&lt;&gt;""),0),0)+1 &lt;= 24,
        "No",
        "Yes"
    ),
    "No"
)</f>
        <v>No</v>
      </c>
      <c r="Y562" s="8">
        <v>160</v>
      </c>
      <c r="Z562" s="8">
        <v>176</v>
      </c>
      <c r="AA562" s="8">
        <v>176</v>
      </c>
      <c r="AB562" s="8">
        <v>176</v>
      </c>
      <c r="AC562" s="8">
        <v>176</v>
      </c>
      <c r="AD562" s="8">
        <v>176</v>
      </c>
      <c r="AE562" s="8">
        <v>176</v>
      </c>
      <c r="AF562" s="8">
        <v>176</v>
      </c>
      <c r="AG562" s="8">
        <v>176</v>
      </c>
      <c r="AH562" s="8">
        <v>176</v>
      </c>
      <c r="AI562" s="8">
        <v>176</v>
      </c>
      <c r="AJ562" s="8">
        <v>176</v>
      </c>
      <c r="AK562" s="8">
        <v>176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H562" s="8">
        <f t="shared" si="109"/>
        <v>2096</v>
      </c>
      <c r="BI562" s="8">
        <f t="shared" si="110"/>
        <v>176</v>
      </c>
      <c r="BJ562" s="8">
        <f t="shared" si="111"/>
        <v>0</v>
      </c>
    </row>
    <row r="563" spans="1:62" x14ac:dyDescent="0.25">
      <c r="A563" s="9" t="s">
        <v>599</v>
      </c>
      <c r="B563" s="9" t="s">
        <v>644</v>
      </c>
      <c r="C563" s="10">
        <v>44927</v>
      </c>
      <c r="D563" s="6" cm="1">
        <f t="array" ref="D563">_xlfn.LET(
  _xlpm.aralık, Y563:BF563,
  _xlpm.ilk, MATCH(TRUE, _xlpm.aralık&lt;&gt;0, 0),
  _xlpm.son, MIN(_xlpm.ilk+2, COLUMNS(_xlpm.aralık)),
  MAX(INDEX(_xlpm.aralık, _xlpm.ilk):INDEX(_xlpm.aralık, _xlpm.son))
)</f>
        <v>333.23893956275356</v>
      </c>
      <c r="E563" s="6">
        <f t="shared" si="104"/>
        <v>0</v>
      </c>
      <c r="F563" s="6">
        <f t="shared" si="105"/>
        <v>0</v>
      </c>
      <c r="G563" s="6">
        <f t="shared" si="112"/>
        <v>0</v>
      </c>
      <c r="H563" s="7">
        <f t="shared" si="106"/>
        <v>-1</v>
      </c>
      <c r="I563" s="7">
        <f t="shared" si="107"/>
        <v>-1</v>
      </c>
      <c r="J563" s="7" t="e">
        <f t="shared" si="108"/>
        <v>#DIV/0!</v>
      </c>
      <c r="K563" s="7">
        <f t="shared" si="113"/>
        <v>0</v>
      </c>
      <c r="L563" s="5" t="s">
        <v>421</v>
      </c>
      <c r="M563" s="7" t="str">
        <f>IF(R563="",(VLOOKUP(A563,[1]Export!$B$2:$H$680,7,0)),"CHURN")</f>
        <v>CHURN</v>
      </c>
      <c r="N563" s="5" t="e">
        <f t="shared" si="114"/>
        <v>#VALUE!</v>
      </c>
      <c r="O563" s="5" t="e">
        <f t="shared" si="115"/>
        <v>#VALUE!</v>
      </c>
      <c r="P563" s="5" t="e">
        <f t="shared" si="116"/>
        <v>#VALUE!</v>
      </c>
      <c r="Q563" s="5" t="s">
        <v>696</v>
      </c>
      <c r="R563" s="5" t="s">
        <v>428</v>
      </c>
      <c r="S563" s="5" t="str">
        <f>VLOOKUP(A563,[3]Sheet1!$A$1:$C$191,3,0)</f>
        <v>Mar.23</v>
      </c>
      <c r="T563" s="6" cm="1">
        <f t="array" ref="T563">IF(R563&lt;&gt;"Churn","",
 _xlfn.LET(
   _xlpm.rng,Y563:BF563,
   _xlpm.pos,MAX(IF((_xlpm.rng&lt;&gt;0)*(_xlpm.rng&lt;&gt;""),COLUMN(_xlpm.rng)-COLUMN(Y563)+1)),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333.23893956275356</v>
      </c>
      <c r="U563" s="6" cm="1">
        <f t="array" ref="U563">IF(R563="Churn",
   MAX(IF((Y563:BF563&lt;&gt;"")*(Y563:BF563&lt;&gt;0), COLUMN(Y563:BF563)-COLUMN(Y563)+1))
   -MATCH(1, --((Y563:BF563&lt;&gt;"")*(Y563:BF563&lt;&gt;0)), 0)
   +1,
"")</f>
        <v>2</v>
      </c>
      <c r="V563" s="6" t="str" cm="1">
        <f t="array" ref="V563">IFERROR(
    IF(
        MATCH(2,1/((Y563:BF563&lt;&gt;0)*(Y563:BF563&lt;&gt;"")))-MATCH(1,INDEX((Y563:BF563&lt;&gt;0)*(Y563:BF563&lt;&gt;""),0),0)+1 &lt;= 12,
        "No",
        "Yes"
    ),
    "No"
)</f>
        <v>No</v>
      </c>
      <c r="W563" s="6" t="str" cm="1">
        <f t="array" ref="W563">IFERROR(
    IF(
        MATCH(2,1/((Y563:BF563&lt;&gt;0)*(Y563:BF563&lt;&gt;"")))-MATCH(1,INDEX((Y563:BF563&lt;&gt;0)*(Y563:BF563&lt;&gt;""),0),0)+1 &lt;= 24,
        "No",
        "Yes"
    ),
    "No"
)</f>
        <v>No</v>
      </c>
      <c r="Y563" s="8">
        <v>333.23893956275356</v>
      </c>
      <c r="Z563" s="8">
        <v>332.49807423620223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H563" s="8">
        <f t="shared" si="109"/>
        <v>665.73701379895579</v>
      </c>
      <c r="BI563" s="8">
        <f t="shared" si="110"/>
        <v>0</v>
      </c>
      <c r="BJ563" s="8">
        <f t="shared" si="111"/>
        <v>0</v>
      </c>
    </row>
    <row r="564" spans="1:62" x14ac:dyDescent="0.25">
      <c r="A564" s="9" t="s">
        <v>600</v>
      </c>
      <c r="B564" s="9" t="s">
        <v>644</v>
      </c>
      <c r="C564" s="10">
        <v>44927</v>
      </c>
      <c r="D564" s="6" cm="1">
        <f t="array" ref="D564">_xlfn.LET(
  _xlpm.aralık, Y564:BF564,
  _xlpm.ilk, MATCH(TRUE, _xlpm.aralık&lt;&gt;0, 0),
  _xlpm.son, MIN(_xlpm.ilk+2, COLUMNS(_xlpm.aralık)),
  MAX(INDEX(_xlpm.aralık, _xlpm.ilk):INDEX(_xlpm.aralık, _xlpm.son))
)</f>
        <v>176.5</v>
      </c>
      <c r="E564" s="6">
        <f t="shared" si="104"/>
        <v>0</v>
      </c>
      <c r="F564" s="6">
        <f t="shared" si="105"/>
        <v>0</v>
      </c>
      <c r="G564" s="6">
        <f t="shared" si="112"/>
        <v>0</v>
      </c>
      <c r="H564" s="7">
        <f t="shared" si="106"/>
        <v>-1</v>
      </c>
      <c r="I564" s="7">
        <f t="shared" si="107"/>
        <v>-1</v>
      </c>
      <c r="J564" s="7" t="e">
        <f t="shared" si="108"/>
        <v>#DIV/0!</v>
      </c>
      <c r="K564" s="7">
        <f t="shared" si="113"/>
        <v>0</v>
      </c>
      <c r="L564" s="5" t="s">
        <v>424</v>
      </c>
      <c r="M564" s="7" t="str">
        <f>IF(R564="",(VLOOKUP(A564,[1]Export!$B$2:$H$680,7,0)),"CHURN")</f>
        <v>CHURN</v>
      </c>
      <c r="N564" s="5" t="e">
        <f t="shared" si="114"/>
        <v>#VALUE!</v>
      </c>
      <c r="O564" s="5" t="e">
        <f t="shared" si="115"/>
        <v>#VALUE!</v>
      </c>
      <c r="P564" s="5" t="e">
        <f t="shared" si="116"/>
        <v>#VALUE!</v>
      </c>
      <c r="Q564" s="5" t="s">
        <v>696</v>
      </c>
      <c r="R564" s="5" t="s">
        <v>428</v>
      </c>
      <c r="S564" s="5" t="str">
        <f>VLOOKUP(A564,[3]Sheet1!$A$1:$C$191,3,0)</f>
        <v>Apr.23</v>
      </c>
      <c r="T564" s="6" cm="1">
        <f t="array" ref="T564">IF(R564&lt;&gt;"Churn","",
 _xlfn.LET(
   _xlpm.rng,Y564:BF564,
   _xlpm.pos,MAX(IF((_xlpm.rng&lt;&gt;0)*(_xlpm.rng&lt;&gt;""),COLUMN(_xlpm.rng)-COLUMN(Y564)+1)),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176.5</v>
      </c>
      <c r="U564" s="6" cm="1">
        <f t="array" ref="U564">IF(R564="Churn",
   MAX(IF((Y564:BF564&lt;&gt;"")*(Y564:BF564&lt;&gt;0), COLUMN(Y564:BF564)-COLUMN(Y564)+1))
   -MATCH(1, --((Y564:BF564&lt;&gt;"")*(Y564:BF564&lt;&gt;0)), 0)
   +1,
"")</f>
        <v>3</v>
      </c>
      <c r="V564" s="6" t="str" cm="1">
        <f t="array" ref="V564">IFERROR(
    IF(
        MATCH(2,1/((Y564:BF564&lt;&gt;0)*(Y564:BF564&lt;&gt;"")))-MATCH(1,INDEX((Y564:BF564&lt;&gt;0)*(Y564:BF564&lt;&gt;""),0),0)+1 &lt;= 12,
        "No",
        "Yes"
    ),
    "No"
)</f>
        <v>No</v>
      </c>
      <c r="W564" s="6" t="str" cm="1">
        <f t="array" ref="W564">IFERROR(
    IF(
        MATCH(2,1/((Y564:BF564&lt;&gt;0)*(Y564:BF564&lt;&gt;"")))-MATCH(1,INDEX((Y564:BF564&lt;&gt;0)*(Y564:BF564&lt;&gt;""),0),0)+1 &lt;= 24,
        "No",
        "Yes"
    ),
    "No"
)</f>
        <v>No</v>
      </c>
      <c r="Y564" s="8">
        <v>175</v>
      </c>
      <c r="Z564" s="8">
        <v>176.5</v>
      </c>
      <c r="AA564" s="8">
        <v>176.5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H564" s="8">
        <f t="shared" si="109"/>
        <v>528</v>
      </c>
      <c r="BI564" s="8">
        <f t="shared" si="110"/>
        <v>0</v>
      </c>
      <c r="BJ564" s="8">
        <f t="shared" si="111"/>
        <v>0</v>
      </c>
    </row>
    <row r="565" spans="1:62" x14ac:dyDescent="0.25">
      <c r="A565" s="9" t="s">
        <v>601</v>
      </c>
      <c r="B565" s="9" t="s">
        <v>644</v>
      </c>
      <c r="C565" s="10">
        <v>44927</v>
      </c>
      <c r="D565" s="6" cm="1">
        <f t="array" ref="D565">_xlfn.LET(
  _xlpm.aralık, Y565:BF565,
  _xlpm.ilk, MATCH(TRUE, _xlpm.aralık&lt;&gt;0, 0),
  _xlpm.son, MIN(_xlpm.ilk+2, COLUMNS(_xlpm.aralık)),
  MAX(INDEX(_xlpm.aralık, _xlpm.ilk):INDEX(_xlpm.aralık, _xlpm.son))
)</f>
        <v>841.39198440157156</v>
      </c>
      <c r="E565" s="6">
        <f t="shared" si="104"/>
        <v>0</v>
      </c>
      <c r="F565" s="6">
        <f t="shared" si="105"/>
        <v>0</v>
      </c>
      <c r="G565" s="6">
        <f t="shared" si="112"/>
        <v>0</v>
      </c>
      <c r="H565" s="7">
        <f t="shared" si="106"/>
        <v>-1</v>
      </c>
      <c r="I565" s="7">
        <f t="shared" si="107"/>
        <v>-1</v>
      </c>
      <c r="J565" s="7" t="e">
        <f t="shared" si="108"/>
        <v>#DIV/0!</v>
      </c>
      <c r="K565" s="7">
        <f t="shared" si="113"/>
        <v>-1.2252483040106738E-3</v>
      </c>
      <c r="L565" s="5" t="s">
        <v>416</v>
      </c>
      <c r="M565" s="7" t="str">
        <f>IF(R565="",(VLOOKUP(A565,[1]Export!$B$2:$H$680,7,0)),"CHURN")</f>
        <v>CHURN</v>
      </c>
      <c r="N565" s="5" t="e">
        <f t="shared" si="114"/>
        <v>#VALUE!</v>
      </c>
      <c r="O565" s="5" t="e">
        <f t="shared" si="115"/>
        <v>#VALUE!</v>
      </c>
      <c r="P565" s="5" t="e">
        <f t="shared" si="116"/>
        <v>#VALUE!</v>
      </c>
      <c r="Q565" s="5" t="s">
        <v>696</v>
      </c>
      <c r="R565" s="5" t="s">
        <v>428</v>
      </c>
      <c r="S565" s="5" t="str">
        <f>VLOOKUP(A565,[3]Sheet1!$A$1:$C$191,3,0)</f>
        <v>May.23</v>
      </c>
      <c r="T565" s="6" cm="1">
        <f t="array" ref="T565">IF(R565&lt;&gt;"Churn","",
 _xlfn.LET(
   _xlpm.rng,Y565:BF565,
   _xlpm.pos,MAX(IF((_xlpm.rng&lt;&gt;0)*(_xlpm.rng&lt;&gt;""),COLUMN(_xlpm.rng)-COLUMN(Y565)+1)),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840.36107029967536</v>
      </c>
      <c r="U565" s="6" cm="1">
        <f t="array" ref="U565">IF(R565="Churn",
   MAX(IF((Y565:BF565&lt;&gt;"")*(Y565:BF565&lt;&gt;0), COLUMN(Y565:BF565)-COLUMN(Y565)+1))
   -MATCH(1, --((Y565:BF565&lt;&gt;"")*(Y565:BF565&lt;&gt;0)), 0)
   +1,
"")</f>
        <v>4</v>
      </c>
      <c r="V565" s="6" t="str" cm="1">
        <f t="array" ref="V565">IFERROR(
    IF(
        MATCH(2,1/((Y565:BF565&lt;&gt;0)*(Y565:BF565&lt;&gt;"")))-MATCH(1,INDEX((Y565:BF565&lt;&gt;0)*(Y565:BF565&lt;&gt;""),0),0)+1 &lt;= 12,
        "No",
        "Yes"
    ),
    "No"
)</f>
        <v>No</v>
      </c>
      <c r="W565" s="6" t="str" cm="1">
        <f t="array" ref="W565">IFERROR(
    IF(
        MATCH(2,1/((Y565:BF565&lt;&gt;0)*(Y565:BF565&lt;&gt;"")))-MATCH(1,INDEX((Y565:BF565&lt;&gt;0)*(Y565:BF565&lt;&gt;""),0),0)+1 &lt;= 24,
        "No",
        "Yes"
    ),
    "No"
)</f>
        <v>No</v>
      </c>
      <c r="Y565" s="8">
        <v>841.39198440157156</v>
      </c>
      <c r="Z565" s="8">
        <v>840.36107029967536</v>
      </c>
      <c r="AA565" s="8">
        <v>838.18741012809085</v>
      </c>
      <c r="AB565" s="8">
        <v>832.97266081704743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H565" s="8">
        <f t="shared" si="109"/>
        <v>3352.9131256463852</v>
      </c>
      <c r="BI565" s="8">
        <f t="shared" si="110"/>
        <v>0</v>
      </c>
      <c r="BJ565" s="8">
        <f t="shared" si="111"/>
        <v>0</v>
      </c>
    </row>
    <row r="566" spans="1:62" x14ac:dyDescent="0.25">
      <c r="A566" s="9" t="s">
        <v>602</v>
      </c>
      <c r="B566" s="9" t="s">
        <v>644</v>
      </c>
      <c r="C566" s="10">
        <v>44927</v>
      </c>
      <c r="D566" s="6" cm="1">
        <f t="array" ref="D566">_xlfn.LET(
  _xlpm.aralık, Y566:BF566,
  _xlpm.ilk, MATCH(TRUE, _xlpm.aralık&lt;&gt;0, 0),
  _xlpm.son, MIN(_xlpm.ilk+2, COLUMNS(_xlpm.aralık)),
  MAX(INDEX(_xlpm.aralık, _xlpm.ilk):INDEX(_xlpm.aralık, _xlpm.son))
)</f>
        <v>279.94114605268072</v>
      </c>
      <c r="E566" s="6">
        <f t="shared" si="104"/>
        <v>0</v>
      </c>
      <c r="F566" s="6">
        <f t="shared" si="105"/>
        <v>0</v>
      </c>
      <c r="G566" s="6">
        <f t="shared" si="112"/>
        <v>0</v>
      </c>
      <c r="H566" s="7">
        <f t="shared" si="106"/>
        <v>-1</v>
      </c>
      <c r="I566" s="7">
        <f t="shared" si="107"/>
        <v>-1</v>
      </c>
      <c r="J566" s="7" t="e">
        <f t="shared" si="108"/>
        <v>#DIV/0!</v>
      </c>
      <c r="K566" s="7">
        <f t="shared" si="113"/>
        <v>-2.8374451598199613E-2</v>
      </c>
      <c r="L566" s="5" t="s">
        <v>422</v>
      </c>
      <c r="M566" s="7" t="str">
        <f>IF(R566="",(VLOOKUP(A566,[1]Export!$B$2:$H$680,7,0)),"CHURN")</f>
        <v>CHURN</v>
      </c>
      <c r="N566" s="5" t="e">
        <f t="shared" si="114"/>
        <v>#VALUE!</v>
      </c>
      <c r="O566" s="5" t="e">
        <f t="shared" si="115"/>
        <v>#VALUE!</v>
      </c>
      <c r="P566" s="5" t="e">
        <f t="shared" si="116"/>
        <v>#VALUE!</v>
      </c>
      <c r="Q566" s="5" t="s">
        <v>696</v>
      </c>
      <c r="R566" s="5" t="s">
        <v>428</v>
      </c>
      <c r="S566" s="5" t="str">
        <f>VLOOKUP(A566,[3]Sheet1!$A$1:$C$191,3,0)</f>
        <v>Jul.23</v>
      </c>
      <c r="T566" s="6" cm="1">
        <f t="array" ref="T566">IF(R566&lt;&gt;"Churn","",
 _xlfn.LET(
   _xlpm.rng,Y566:BF566,
   _xlpm.pos,MAX(IF((_xlpm.rng&lt;&gt;0)*(_xlpm.rng&lt;&gt;""),COLUMN(_xlpm.rng)-COLUMN(Y566)+1)),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271.9979695536644</v>
      </c>
      <c r="U566" s="6" cm="1">
        <f t="array" ref="U566">IF(R566="Churn",
   MAX(IF((Y566:BF566&lt;&gt;"")*(Y566:BF566&lt;&gt;0), COLUMN(Y566:BF566)-COLUMN(Y566)+1))
   -MATCH(1, --((Y566:BF566&lt;&gt;"")*(Y566:BF566&lt;&gt;0)), 0)
   +1,
"")</f>
        <v>6</v>
      </c>
      <c r="V566" s="6" t="str" cm="1">
        <f t="array" ref="V566">IFERROR(
    IF(
        MATCH(2,1/((Y566:BF566&lt;&gt;0)*(Y566:BF566&lt;&gt;"")))-MATCH(1,INDEX((Y566:BF566&lt;&gt;0)*(Y566:BF566&lt;&gt;""),0),0)+1 &lt;= 12,
        "No",
        "Yes"
    ),
    "No"
)</f>
        <v>No</v>
      </c>
      <c r="W566" s="6" t="str" cm="1">
        <f t="array" ref="W566">IFERROR(
    IF(
        MATCH(2,1/((Y566:BF566&lt;&gt;0)*(Y566:BF566&lt;&gt;"")))-MATCH(1,INDEX((Y566:BF566&lt;&gt;0)*(Y566:BF566&lt;&gt;""),0),0)+1 &lt;= 24,
        "No",
        "Yes"
    ),
    "No"
)</f>
        <v>No</v>
      </c>
      <c r="Y566" s="8">
        <v>279.94114605268072</v>
      </c>
      <c r="Z566" s="8">
        <v>278.96853434765751</v>
      </c>
      <c r="AA566" s="8">
        <v>276.91780352368545</v>
      </c>
      <c r="AB566" s="8">
        <v>271.9979695536644</v>
      </c>
      <c r="AC566" s="8">
        <v>266.84148324118866</v>
      </c>
      <c r="AD566" s="8">
        <v>149.60215035383405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H566" s="8">
        <f t="shared" si="109"/>
        <v>1524.2690870727108</v>
      </c>
      <c r="BI566" s="8">
        <f t="shared" si="110"/>
        <v>0</v>
      </c>
      <c r="BJ566" s="8">
        <f t="shared" si="111"/>
        <v>0</v>
      </c>
    </row>
    <row r="567" spans="1:62" x14ac:dyDescent="0.25">
      <c r="A567" s="9" t="s">
        <v>603</v>
      </c>
      <c r="B567" s="9" t="s">
        <v>644</v>
      </c>
      <c r="C567" s="10">
        <v>44927</v>
      </c>
      <c r="D567" s="6" cm="1">
        <f t="array" ref="D567">_xlfn.LET(
  _xlpm.aralık, Y567:BF567,
  _xlpm.ilk, MATCH(TRUE, _xlpm.aralık&lt;&gt;0, 0),
  _xlpm.son, MIN(_xlpm.ilk+2, COLUMNS(_xlpm.aralık)),
  MAX(INDEX(_xlpm.aralık, _xlpm.ilk):INDEX(_xlpm.aralık, _xlpm.son))
)</f>
        <v>150</v>
      </c>
      <c r="E567" s="6">
        <f t="shared" si="104"/>
        <v>0</v>
      </c>
      <c r="F567" s="6">
        <f t="shared" si="105"/>
        <v>0</v>
      </c>
      <c r="G567" s="6">
        <f t="shared" si="112"/>
        <v>0</v>
      </c>
      <c r="H567" s="7">
        <f t="shared" si="106"/>
        <v>-1</v>
      </c>
      <c r="I567" s="7">
        <f t="shared" si="107"/>
        <v>-1</v>
      </c>
      <c r="J567" s="7" t="e">
        <f t="shared" si="108"/>
        <v>#DIV/0!</v>
      </c>
      <c r="K567" s="7">
        <f t="shared" si="113"/>
        <v>0</v>
      </c>
      <c r="L567" s="5" t="s">
        <v>424</v>
      </c>
      <c r="M567" s="7" t="str">
        <f>IF(R567="",(VLOOKUP(A567,[1]Export!$B$2:$H$680,7,0)),"CHURN")</f>
        <v>CHURN</v>
      </c>
      <c r="N567" s="5" t="e">
        <f t="shared" si="114"/>
        <v>#VALUE!</v>
      </c>
      <c r="O567" s="5" t="e">
        <f t="shared" si="115"/>
        <v>#VALUE!</v>
      </c>
      <c r="P567" s="5" t="e">
        <f t="shared" si="116"/>
        <v>#VALUE!</v>
      </c>
      <c r="Q567" s="5" t="s">
        <v>696</v>
      </c>
      <c r="R567" s="5" t="s">
        <v>428</v>
      </c>
      <c r="S567" s="5" t="str">
        <f>VLOOKUP(A567,[3]Sheet1!$A$1:$C$191,3,0)</f>
        <v>Mar.23</v>
      </c>
      <c r="T567" s="6" cm="1">
        <f t="array" ref="T567">IF(R567&lt;&gt;"Churn","",
 _xlfn.LET(
   _xlpm.rng,Y567:BF567,
   _xlpm.pos,MAX(IF((_xlpm.rng&lt;&gt;0)*(_xlpm.rng&lt;&gt;""),COLUMN(_xlpm.rng)-COLUMN(Y567)+1)),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150</v>
      </c>
      <c r="U567" s="6" cm="1">
        <f t="array" ref="U567">IF(R567="Churn",
   MAX(IF((Y567:BF567&lt;&gt;"")*(Y567:BF567&lt;&gt;0), COLUMN(Y567:BF567)-COLUMN(Y567)+1))
   -MATCH(1, --((Y567:BF567&lt;&gt;"")*(Y567:BF567&lt;&gt;0)), 0)
   +1,
"")</f>
        <v>2</v>
      </c>
      <c r="V567" s="6" t="str" cm="1">
        <f t="array" ref="V567">IFERROR(
    IF(
        MATCH(2,1/((Y567:BF567&lt;&gt;0)*(Y567:BF567&lt;&gt;"")))-MATCH(1,INDEX((Y567:BF567&lt;&gt;0)*(Y567:BF567&lt;&gt;""),0),0)+1 &lt;= 12,
        "No",
        "Yes"
    ),
    "No"
)</f>
        <v>No</v>
      </c>
      <c r="W567" s="6" t="str" cm="1">
        <f t="array" ref="W567">IFERROR(
    IF(
        MATCH(2,1/((Y567:BF567&lt;&gt;0)*(Y567:BF567&lt;&gt;"")))-MATCH(1,INDEX((Y567:BF567&lt;&gt;0)*(Y567:BF567&lt;&gt;""),0),0)+1 &lt;= 24,
        "No",
        "Yes"
    ),
    "No"
)</f>
        <v>No</v>
      </c>
      <c r="Y567" s="8">
        <v>150</v>
      </c>
      <c r="Z567" s="8">
        <v>150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  <c r="BD567" s="8">
        <v>0</v>
      </c>
      <c r="BE567" s="8">
        <v>0</v>
      </c>
      <c r="BF567" s="8">
        <v>0</v>
      </c>
      <c r="BH567" s="8">
        <f t="shared" si="109"/>
        <v>300</v>
      </c>
      <c r="BI567" s="8">
        <f t="shared" si="110"/>
        <v>0</v>
      </c>
      <c r="BJ567" s="8">
        <f t="shared" si="111"/>
        <v>0</v>
      </c>
    </row>
    <row r="568" spans="1:62" x14ac:dyDescent="0.25">
      <c r="A568" s="9" t="s">
        <v>604</v>
      </c>
      <c r="B568" s="9" t="s">
        <v>644</v>
      </c>
      <c r="C568" s="10">
        <v>44927</v>
      </c>
      <c r="D568" s="6" cm="1">
        <f t="array" ref="D568">_xlfn.LET(
  _xlpm.aralık, Y568:BF568,
  _xlpm.ilk, MATCH(TRUE, _xlpm.aralık&lt;&gt;0, 0),
  _xlpm.son, MIN(_xlpm.ilk+2, COLUMNS(_xlpm.aralık)),
  MAX(INDEX(_xlpm.aralık, _xlpm.ilk):INDEX(_xlpm.aralık, _xlpm.son))
)</f>
        <v>100</v>
      </c>
      <c r="E568" s="6">
        <f t="shared" si="104"/>
        <v>0</v>
      </c>
      <c r="F568" s="6">
        <f t="shared" si="105"/>
        <v>0</v>
      </c>
      <c r="G568" s="6">
        <f t="shared" si="112"/>
        <v>0</v>
      </c>
      <c r="H568" s="7">
        <f t="shared" si="106"/>
        <v>-1</v>
      </c>
      <c r="I568" s="7">
        <f t="shared" si="107"/>
        <v>-1</v>
      </c>
      <c r="J568" s="7" t="e">
        <f t="shared" si="108"/>
        <v>#DIV/0!</v>
      </c>
      <c r="K568" s="7">
        <f t="shared" si="113"/>
        <v>0</v>
      </c>
      <c r="L568" s="5" t="s">
        <v>421</v>
      </c>
      <c r="M568" s="7" t="str">
        <f>IF(R568="",(VLOOKUP(A568,[1]Export!$B$2:$H$680,7,0)),"CHURN")</f>
        <v>CHURN</v>
      </c>
      <c r="N568" s="5" t="e">
        <f t="shared" si="114"/>
        <v>#VALUE!</v>
      </c>
      <c r="O568" s="5" t="e">
        <f t="shared" si="115"/>
        <v>#VALUE!</v>
      </c>
      <c r="P568" s="5" t="e">
        <f t="shared" si="116"/>
        <v>#VALUE!</v>
      </c>
      <c r="Q568" s="5" t="s">
        <v>696</v>
      </c>
      <c r="R568" s="5" t="s">
        <v>428</v>
      </c>
      <c r="S568" s="5" t="str">
        <f>VLOOKUP(A568,[3]Sheet1!$A$1:$C$191,3,0)</f>
        <v>Jun.23</v>
      </c>
      <c r="T568" s="6" cm="1">
        <f t="array" ref="T568">IF(R568&lt;&gt;"Churn","",
 _xlfn.LET(
   _xlpm.rng,Y568:BF568,
   _xlpm.pos,MAX(IF((_xlpm.rng&lt;&gt;0)*(_xlpm.rng&lt;&gt;""),COLUMN(_xlpm.rng)-COLUMN(Y568)+1)),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100</v>
      </c>
      <c r="U568" s="6" cm="1">
        <f t="array" ref="U568">IF(R568="Churn",
   MAX(IF((Y568:BF568&lt;&gt;"")*(Y568:BF568&lt;&gt;0), COLUMN(Y568:BF568)-COLUMN(Y568)+1))
   -MATCH(1, --((Y568:BF568&lt;&gt;"")*(Y568:BF568&lt;&gt;0)), 0)
   +1,
"")</f>
        <v>5</v>
      </c>
      <c r="V568" s="6" t="str" cm="1">
        <f t="array" ref="V568">IFERROR(
    IF(
        MATCH(2,1/((Y568:BF568&lt;&gt;0)*(Y568:BF568&lt;&gt;"")))-MATCH(1,INDEX((Y568:BF568&lt;&gt;0)*(Y568:BF568&lt;&gt;""),0),0)+1 &lt;= 12,
        "No",
        "Yes"
    ),
    "No"
)</f>
        <v>No</v>
      </c>
      <c r="W568" s="6" t="str" cm="1">
        <f t="array" ref="W568">IFERROR(
    IF(
        MATCH(2,1/((Y568:BF568&lt;&gt;0)*(Y568:BF568&lt;&gt;"")))-MATCH(1,INDEX((Y568:BF568&lt;&gt;0)*(Y568:BF568&lt;&gt;""),0),0)+1 &lt;= 24,
        "No",
        "Yes"
    ),
    "No"
)</f>
        <v>No</v>
      </c>
      <c r="Y568" s="8">
        <v>100</v>
      </c>
      <c r="Z568" s="8">
        <v>100</v>
      </c>
      <c r="AA568" s="8">
        <v>100</v>
      </c>
      <c r="AB568" s="8">
        <v>100</v>
      </c>
      <c r="AC568" s="8">
        <v>100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  <c r="BD568" s="8">
        <v>0</v>
      </c>
      <c r="BE568" s="8">
        <v>0</v>
      </c>
      <c r="BF568" s="8">
        <v>0</v>
      </c>
      <c r="BH568" s="8">
        <f t="shared" si="109"/>
        <v>500</v>
      </c>
      <c r="BI568" s="8">
        <f t="shared" si="110"/>
        <v>0</v>
      </c>
      <c r="BJ568" s="8">
        <f t="shared" si="111"/>
        <v>0</v>
      </c>
    </row>
    <row r="569" spans="1:62" x14ac:dyDescent="0.25">
      <c r="A569" s="9" t="s">
        <v>166</v>
      </c>
      <c r="B569" s="9" t="s">
        <v>644</v>
      </c>
      <c r="C569" s="10">
        <v>44927</v>
      </c>
      <c r="D569" s="6" cm="1">
        <f t="array" ref="D569">_xlfn.LET(
  _xlpm.aralık, Y569:BF569,
  _xlpm.ilk, MATCH(TRUE, _xlpm.aralık&lt;&gt;0, 0),
  _xlpm.son, MIN(_xlpm.ilk+2, COLUMNS(_xlpm.aralık)),
  MAX(INDEX(_xlpm.aralık, _xlpm.ilk):INDEX(_xlpm.aralık, _xlpm.son))
)</f>
        <v>514.94999999999993</v>
      </c>
      <c r="E569" s="6">
        <f t="shared" si="104"/>
        <v>514.94997999999998</v>
      </c>
      <c r="F569" s="6">
        <f t="shared" si="105"/>
        <v>0</v>
      </c>
      <c r="G569" s="6">
        <f t="shared" si="112"/>
        <v>0</v>
      </c>
      <c r="H569" s="7">
        <f t="shared" si="106"/>
        <v>-3.8838722107981082E-8</v>
      </c>
      <c r="I569" s="7">
        <f t="shared" si="107"/>
        <v>-1</v>
      </c>
      <c r="J569" s="7">
        <f t="shared" si="108"/>
        <v>-1</v>
      </c>
      <c r="K569" s="7">
        <f t="shared" si="113"/>
        <v>-0.17407191636728475</v>
      </c>
      <c r="L569" s="5" t="s">
        <v>412</v>
      </c>
      <c r="M569" s="7" t="str">
        <f>IF(R569="",(VLOOKUP(A569,[1]Export!$B$2:$H$680,7,0)),"CHURN")</f>
        <v>CHURN</v>
      </c>
      <c r="N569" s="5" t="e">
        <f t="shared" si="114"/>
        <v>#VALUE!</v>
      </c>
      <c r="O569" s="5" t="e">
        <f t="shared" si="115"/>
        <v>#VALUE!</v>
      </c>
      <c r="P569" s="5" t="e">
        <f t="shared" si="116"/>
        <v>#VALUE!</v>
      </c>
      <c r="Q569" s="5" t="s">
        <v>696</v>
      </c>
      <c r="R569" s="5" t="s">
        <v>428</v>
      </c>
      <c r="S569" s="5" t="str">
        <f>VLOOKUP(A569,[3]Sheet1!$A$1:$C$191,3,0)</f>
        <v>Oct.24</v>
      </c>
      <c r="T569" s="6" cm="1">
        <f t="array" ref="T569">IF(R569&lt;&gt;"Churn","",
 _xlfn.LET(
   _xlpm.rng,Y569:BF569,
   _xlpm.pos,MAX(IF((_xlpm.rng&lt;&gt;0)*(_xlpm.rng&lt;&gt;""),COLUMN(_xlpm.rng)-COLUMN(Y569)+1)),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425.31166666666667</v>
      </c>
      <c r="U569" s="6" cm="1">
        <f t="array" ref="U569">IF(R569="Churn",
   MAX(IF((Y569:BF569&lt;&gt;"")*(Y569:BF569&lt;&gt;0), COLUMN(Y569:BF569)-COLUMN(Y569)+1))
   -MATCH(1, --((Y569:BF569&lt;&gt;"")*(Y569:BF569&lt;&gt;0)), 0)
   +1,
"")</f>
        <v>21</v>
      </c>
      <c r="V569" s="6" t="str" cm="1">
        <f t="array" ref="V569">IFERROR(
    IF(
        MATCH(2,1/((Y569:BF569&lt;&gt;0)*(Y569:BF569&lt;&gt;"")))-MATCH(1,INDEX((Y569:BF569&lt;&gt;0)*(Y569:BF569&lt;&gt;""),0),0)+1 &lt;= 12,
        "No",
        "Yes"
    ),
    "No"
)</f>
        <v>Yes</v>
      </c>
      <c r="W569" s="6" t="str" cm="1">
        <f t="array" ref="W569">IFERROR(
    IF(
        MATCH(2,1/((Y569:BF569&lt;&gt;0)*(Y569:BF569&lt;&gt;"")))-MATCH(1,INDEX((Y569:BF569&lt;&gt;0)*(Y569:BF569&lt;&gt;""),0),0)+1 &lt;= 24,
        "No",
        "Yes"
    ),
    "No"
)</f>
        <v>No</v>
      </c>
      <c r="Y569" s="8">
        <v>514.94999999999993</v>
      </c>
      <c r="Z569" s="8">
        <v>514.94999999999993</v>
      </c>
      <c r="AA569" s="8">
        <v>514.94999999999993</v>
      </c>
      <c r="AB569" s="8">
        <v>514.94999999999993</v>
      </c>
      <c r="AC569" s="8">
        <v>514.94997999999998</v>
      </c>
      <c r="AD569" s="8">
        <v>514.94997999999998</v>
      </c>
      <c r="AE569" s="8">
        <v>514.94997999999998</v>
      </c>
      <c r="AF569" s="8">
        <v>514.94997999999998</v>
      </c>
      <c r="AG569" s="8">
        <v>514.94997999999998</v>
      </c>
      <c r="AH569" s="8">
        <v>514.94997999999998</v>
      </c>
      <c r="AI569" s="8">
        <v>514.94997999999998</v>
      </c>
      <c r="AJ569" s="8">
        <v>514.94997999999998</v>
      </c>
      <c r="AK569" s="8">
        <v>514.94997999999998</v>
      </c>
      <c r="AL569" s="8">
        <v>514.94997999999998</v>
      </c>
      <c r="AM569" s="8">
        <v>514.94997999999998</v>
      </c>
      <c r="AN569" s="8">
        <v>423.32000000000005</v>
      </c>
      <c r="AO569" s="8">
        <v>425.31166666666667</v>
      </c>
      <c r="AP569" s="8">
        <v>425.31166666666667</v>
      </c>
      <c r="AQ569" s="8">
        <v>425.31166666666667</v>
      </c>
      <c r="AR569" s="8">
        <v>425.31166666666667</v>
      </c>
      <c r="AS569" s="8">
        <v>425.31166666666667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0</v>
      </c>
      <c r="BH569" s="8">
        <f t="shared" si="109"/>
        <v>6179.3998400000009</v>
      </c>
      <c r="BI569" s="8">
        <f t="shared" si="110"/>
        <v>4094.7282733333327</v>
      </c>
      <c r="BJ569" s="8">
        <f t="shared" si="111"/>
        <v>0</v>
      </c>
    </row>
    <row r="570" spans="1:62" x14ac:dyDescent="0.25">
      <c r="A570" s="9" t="s">
        <v>605</v>
      </c>
      <c r="B570" s="9" t="s">
        <v>644</v>
      </c>
      <c r="C570" s="10">
        <v>44927</v>
      </c>
      <c r="D570" s="6" cm="1">
        <f t="array" ref="D570">_xlfn.LET(
  _xlpm.aralık, Y570:BF570,
  _xlpm.ilk, MATCH(TRUE, _xlpm.aralık&lt;&gt;0, 0),
  _xlpm.son, MIN(_xlpm.ilk+2, COLUMNS(_xlpm.aralık)),
  MAX(INDEX(_xlpm.aralık, _xlpm.ilk):INDEX(_xlpm.aralık, _xlpm.son))
)</f>
        <v>635.79404931417025</v>
      </c>
      <c r="E570" s="6">
        <f t="shared" si="104"/>
        <v>0</v>
      </c>
      <c r="F570" s="6">
        <f t="shared" si="105"/>
        <v>0</v>
      </c>
      <c r="G570" s="6">
        <f t="shared" si="112"/>
        <v>0</v>
      </c>
      <c r="H570" s="7">
        <f t="shared" si="106"/>
        <v>-1</v>
      </c>
      <c r="I570" s="7">
        <f t="shared" si="107"/>
        <v>-1</v>
      </c>
      <c r="J570" s="7" t="e">
        <f t="shared" si="108"/>
        <v>#DIV/0!</v>
      </c>
      <c r="K570" s="7">
        <f t="shared" si="113"/>
        <v>0</v>
      </c>
      <c r="L570" s="5" t="s">
        <v>418</v>
      </c>
      <c r="M570" s="7" t="str">
        <f>IF(R570="",(VLOOKUP(A570,[1]Export!$B$2:$H$680,7,0)),"CHURN")</f>
        <v>CHURN</v>
      </c>
      <c r="N570" s="5" t="e">
        <f t="shared" si="114"/>
        <v>#VALUE!</v>
      </c>
      <c r="O570" s="5" t="e">
        <f t="shared" si="115"/>
        <v>#VALUE!</v>
      </c>
      <c r="P570" s="5" t="e">
        <f t="shared" si="116"/>
        <v>#VALUE!</v>
      </c>
      <c r="Q570" s="5" t="s">
        <v>696</v>
      </c>
      <c r="R570" s="5" t="s">
        <v>428</v>
      </c>
      <c r="S570" s="5" t="str">
        <f>VLOOKUP(A570,[3]Sheet1!$A$1:$C$191,3,0)</f>
        <v>Mar.23</v>
      </c>
      <c r="T570" s="6" cm="1">
        <f t="array" ref="T570">IF(R570&lt;&gt;"Churn","",
 _xlfn.LET(
   _xlpm.rng,Y570:BF570,
   _xlpm.pos,MAX(IF((_xlpm.rng&lt;&gt;0)*(_xlpm.rng&lt;&gt;""),COLUMN(_xlpm.rng)-COLUMN(Y570)+1)),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635.79404931417025</v>
      </c>
      <c r="U570" s="6" cm="1">
        <f t="array" ref="U570">IF(R570="Churn",
   MAX(IF((Y570:BF570&lt;&gt;"")*(Y570:BF570&lt;&gt;0), COLUMN(Y570:BF570)-COLUMN(Y570)+1))
   -MATCH(1, --((Y570:BF570&lt;&gt;"")*(Y570:BF570&lt;&gt;0)), 0)
   +1,
"")</f>
        <v>2</v>
      </c>
      <c r="V570" s="6" t="str" cm="1">
        <f t="array" ref="V570">IFERROR(
    IF(
        MATCH(2,1/((Y570:BF570&lt;&gt;0)*(Y570:BF570&lt;&gt;"")))-MATCH(1,INDEX((Y570:BF570&lt;&gt;0)*(Y570:BF570&lt;&gt;""),0),0)+1 &lt;= 12,
        "No",
        "Yes"
    ),
    "No"
)</f>
        <v>No</v>
      </c>
      <c r="W570" s="6" t="str" cm="1">
        <f t="array" ref="W570">IFERROR(
    IF(
        MATCH(2,1/((Y570:BF570&lt;&gt;0)*(Y570:BF570&lt;&gt;"")))-MATCH(1,INDEX((Y570:BF570&lt;&gt;0)*(Y570:BF570&lt;&gt;""),0),0)+1 &lt;= 24,
        "No",
        "Yes"
    ),
    "No"
)</f>
        <v>No</v>
      </c>
      <c r="Y570" s="8">
        <v>635.79404931417025</v>
      </c>
      <c r="Z570" s="8">
        <v>543.31168155038597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H570" s="8">
        <f t="shared" si="109"/>
        <v>1179.1057308645563</v>
      </c>
      <c r="BI570" s="8">
        <f t="shared" si="110"/>
        <v>0</v>
      </c>
      <c r="BJ570" s="8">
        <f t="shared" si="111"/>
        <v>0</v>
      </c>
    </row>
    <row r="571" spans="1:62" x14ac:dyDescent="0.25">
      <c r="A571" s="9" t="s">
        <v>606</v>
      </c>
      <c r="B571" s="9" t="s">
        <v>644</v>
      </c>
      <c r="C571" s="10">
        <v>44927</v>
      </c>
      <c r="D571" s="6" cm="1">
        <f t="array" ref="D571">_xlfn.LET(
  _xlpm.aralık, Y571:BF571,
  _xlpm.ilk, MATCH(TRUE, _xlpm.aralık&lt;&gt;0, 0),
  _xlpm.son, MIN(_xlpm.ilk+2, COLUMNS(_xlpm.aralık)),
  MAX(INDEX(_xlpm.aralık, _xlpm.ilk):INDEX(_xlpm.aralık, _xlpm.son))
)</f>
        <v>990.24485161235293</v>
      </c>
      <c r="E571" s="6">
        <f t="shared" si="104"/>
        <v>0</v>
      </c>
      <c r="F571" s="6">
        <f t="shared" si="105"/>
        <v>0</v>
      </c>
      <c r="G571" s="6">
        <f t="shared" si="112"/>
        <v>0</v>
      </c>
      <c r="H571" s="7">
        <f t="shared" si="106"/>
        <v>-1</v>
      </c>
      <c r="I571" s="7">
        <f t="shared" si="107"/>
        <v>-1</v>
      </c>
      <c r="J571" s="7" t="e">
        <f t="shared" si="108"/>
        <v>#DIV/0!</v>
      </c>
      <c r="K571" s="7">
        <f t="shared" si="113"/>
        <v>0</v>
      </c>
      <c r="L571" s="5" t="s">
        <v>414</v>
      </c>
      <c r="M571" s="7" t="str">
        <f>IF(R571="",(VLOOKUP(A571,[1]Export!$B$2:$H$680,7,0)),"CHURN")</f>
        <v>CHURN</v>
      </c>
      <c r="N571" s="5" t="e">
        <f t="shared" si="114"/>
        <v>#VALUE!</v>
      </c>
      <c r="O571" s="5" t="e">
        <f t="shared" si="115"/>
        <v>#VALUE!</v>
      </c>
      <c r="P571" s="5" t="e">
        <f t="shared" si="116"/>
        <v>#VALUE!</v>
      </c>
      <c r="Q571" s="5" t="s">
        <v>696</v>
      </c>
      <c r="R571" s="5" t="s">
        <v>428</v>
      </c>
      <c r="S571" s="5" t="str">
        <f>VLOOKUP(A571,[3]Sheet1!$A$1:$C$191,3,0)</f>
        <v>Feb.23</v>
      </c>
      <c r="T571" s="6" cm="1">
        <f t="array" ref="T571">IF(R571&lt;&gt;"Churn","",
 _xlfn.LET(
   _xlpm.rng,Y571:BF571,
   _xlpm.pos,MAX(IF((_xlpm.rng&lt;&gt;0)*(_xlpm.rng&lt;&gt;""),COLUMN(_xlpm.rng)-COLUMN(Y571)+1)),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990.24485161235293</v>
      </c>
      <c r="U571" s="6" cm="1">
        <f t="array" ref="U571">IF(R571="Churn",
   MAX(IF((Y571:BF571&lt;&gt;"")*(Y571:BF571&lt;&gt;0), COLUMN(Y571:BF571)-COLUMN(Y571)+1))
   -MATCH(1, --((Y571:BF571&lt;&gt;"")*(Y571:BF571&lt;&gt;0)), 0)
   +1,
"")</f>
        <v>1</v>
      </c>
      <c r="V571" s="6" t="str" cm="1">
        <f t="array" ref="V571">IFERROR(
    IF(
        MATCH(2,1/((Y571:BF571&lt;&gt;0)*(Y571:BF571&lt;&gt;"")))-MATCH(1,INDEX((Y571:BF571&lt;&gt;0)*(Y571:BF571&lt;&gt;""),0),0)+1 &lt;= 12,
        "No",
        "Yes"
    ),
    "No"
)</f>
        <v>No</v>
      </c>
      <c r="W571" s="6" t="str" cm="1">
        <f t="array" ref="W571">IFERROR(
    IF(
        MATCH(2,1/((Y571:BF571&lt;&gt;0)*(Y571:BF571&lt;&gt;"")))-MATCH(1,INDEX((Y571:BF571&lt;&gt;0)*(Y571:BF571&lt;&gt;""),0),0)+1 &lt;= 24,
        "No",
        "Yes"
    ),
    "No"
)</f>
        <v>No</v>
      </c>
      <c r="Y571" s="8">
        <v>990.24485161235293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H571" s="8">
        <f t="shared" si="109"/>
        <v>990.24485161235293</v>
      </c>
      <c r="BI571" s="8">
        <f t="shared" si="110"/>
        <v>0</v>
      </c>
      <c r="BJ571" s="8">
        <f t="shared" si="111"/>
        <v>0</v>
      </c>
    </row>
    <row r="572" spans="1:62" x14ac:dyDescent="0.25">
      <c r="A572" s="9" t="s">
        <v>176</v>
      </c>
      <c r="B572" s="9" t="s">
        <v>644</v>
      </c>
      <c r="C572" s="10">
        <v>44927</v>
      </c>
      <c r="D572" s="6" cm="1">
        <f t="array" ref="D572">_xlfn.LET(
  _xlpm.aralık, Y572:BF572,
  _xlpm.ilk, MATCH(TRUE, _xlpm.aralık&lt;&gt;0, 0),
  _xlpm.son, MIN(_xlpm.ilk+2, COLUMNS(_xlpm.aralık)),
  MAX(INDEX(_xlpm.aralık, _xlpm.ilk):INDEX(_xlpm.aralık, _xlpm.son))
)</f>
        <v>368.01100294783026</v>
      </c>
      <c r="E572" s="6">
        <f t="shared" si="104"/>
        <v>468.0708859720782</v>
      </c>
      <c r="F572" s="6">
        <f t="shared" si="105"/>
        <v>0</v>
      </c>
      <c r="G572" s="6">
        <f t="shared" si="112"/>
        <v>0</v>
      </c>
      <c r="H572" s="7">
        <f t="shared" si="106"/>
        <v>0.27189372660803995</v>
      </c>
      <c r="I572" s="7">
        <f t="shared" si="107"/>
        <v>-1</v>
      </c>
      <c r="J572" s="7">
        <f t="shared" si="108"/>
        <v>-1</v>
      </c>
      <c r="K572" s="7">
        <f t="shared" si="113"/>
        <v>-0.28325784314282509</v>
      </c>
      <c r="L572" s="5" t="s">
        <v>421</v>
      </c>
      <c r="M572" s="7" t="str">
        <f>IF(R572="",(VLOOKUP(A572,[1]Export!$B$2:$H$680,7,0)),"CHURN")</f>
        <v>CHURN</v>
      </c>
      <c r="N572" s="5" t="e">
        <f t="shared" si="114"/>
        <v>#VALUE!</v>
      </c>
      <c r="O572" s="5" t="e">
        <f t="shared" si="115"/>
        <v>#VALUE!</v>
      </c>
      <c r="P572" s="5" t="e">
        <f t="shared" si="116"/>
        <v>#VALUE!</v>
      </c>
      <c r="Q572" s="5" t="s">
        <v>696</v>
      </c>
      <c r="R572" s="5" t="s">
        <v>428</v>
      </c>
      <c r="S572" s="5" t="str">
        <f>VLOOKUP(A572,[3]Sheet1!$A$1:$C$191,3,0)</f>
        <v>Apr.24</v>
      </c>
      <c r="T572" s="6" cm="1">
        <f t="array" ref="T572">IF(R572&lt;&gt;"Churn","",
 _xlfn.LET(
   _xlpm.rng,Y572:BF572,
   _xlpm.pos,MAX(IF((_xlpm.rng&lt;&gt;0)*(_xlpm.rng&lt;&gt;""),COLUMN(_xlpm.rng)-COLUMN(Y572)+1)),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263.76900000000001</v>
      </c>
      <c r="U572" s="6" cm="1">
        <f t="array" ref="U572">IF(R572="Churn",
   MAX(IF((Y572:BF572&lt;&gt;"")*(Y572:BF572&lt;&gt;0), COLUMN(Y572:BF572)-COLUMN(Y572)+1))
   -MATCH(1, --((Y572:BF572&lt;&gt;"")*(Y572:BF572&lt;&gt;0)), 0)
   +1,
"")</f>
        <v>17</v>
      </c>
      <c r="V572" s="6" t="str" cm="1">
        <f t="array" ref="V572">IFERROR(
    IF(
        MATCH(2,1/((Y572:BF572&lt;&gt;0)*(Y572:BF572&lt;&gt;"")))-MATCH(1,INDEX((Y572:BF572&lt;&gt;0)*(Y572:BF572&lt;&gt;""),0),0)+1 &lt;= 12,
        "No",
        "Yes"
    ),
    "No"
)</f>
        <v>Yes</v>
      </c>
      <c r="W572" s="6" t="str" cm="1">
        <f t="array" ref="W572">IFERROR(
    IF(
        MATCH(2,1/((Y572:BF572&lt;&gt;0)*(Y572:BF572&lt;&gt;"")))-MATCH(1,INDEX((Y572:BF572&lt;&gt;0)*(Y572:BF572&lt;&gt;""),0),0)+1 &lt;= 24,
        "No",
        "Yes"
    ),
    "No"
)</f>
        <v>No</v>
      </c>
      <c r="Y572" s="8">
        <v>367.24159971852464</v>
      </c>
      <c r="Z572" s="8">
        <v>366.68486535590773</v>
      </c>
      <c r="AA572" s="8">
        <v>368.01100294783026</v>
      </c>
      <c r="AB572" s="8">
        <v>374.19483220329323</v>
      </c>
      <c r="AC572" s="8">
        <v>371.24345542501726</v>
      </c>
      <c r="AD572" s="8">
        <v>346.95154900687157</v>
      </c>
      <c r="AE572" s="8">
        <v>384.31015549647606</v>
      </c>
      <c r="AF572" s="8">
        <v>381.42418200361891</v>
      </c>
      <c r="AG572" s="8">
        <v>413.28530016370138</v>
      </c>
      <c r="AH572" s="8">
        <v>408.67690465400995</v>
      </c>
      <c r="AI572" s="8">
        <v>404.68767742601347</v>
      </c>
      <c r="AJ572" s="8">
        <v>474.79480073221214</v>
      </c>
      <c r="AK572" s="8">
        <v>468.0708859720782</v>
      </c>
      <c r="AL572" s="8">
        <v>463.3766853812524</v>
      </c>
      <c r="AM572" s="8">
        <v>263.76900000000001</v>
      </c>
      <c r="AN572" s="8">
        <v>0</v>
      </c>
      <c r="AO572" s="8">
        <v>11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H572" s="8">
        <f t="shared" si="109"/>
        <v>4661.5063251334759</v>
      </c>
      <c r="BI572" s="8">
        <f t="shared" si="110"/>
        <v>1206.2165713533307</v>
      </c>
      <c r="BJ572" s="8">
        <f t="shared" si="111"/>
        <v>0</v>
      </c>
    </row>
    <row r="573" spans="1:62" x14ac:dyDescent="0.25">
      <c r="A573" s="9" t="s">
        <v>188</v>
      </c>
      <c r="B573" s="9" t="s">
        <v>644</v>
      </c>
      <c r="C573" s="10">
        <v>44927</v>
      </c>
      <c r="D573" s="6" cm="1">
        <f t="array" ref="D573">_xlfn.LET(
  _xlpm.aralık, Y573:BF573,
  _xlpm.ilk, MATCH(TRUE, _xlpm.aralık&lt;&gt;0, 0),
  _xlpm.son, MIN(_xlpm.ilk+2, COLUMNS(_xlpm.aralık)),
  MAX(INDEX(_xlpm.aralık, _xlpm.ilk):INDEX(_xlpm.aralık, _xlpm.son))
)</f>
        <v>55</v>
      </c>
      <c r="E573" s="6">
        <f t="shared" si="104"/>
        <v>50</v>
      </c>
      <c r="F573" s="6">
        <f t="shared" si="105"/>
        <v>0</v>
      </c>
      <c r="G573" s="6">
        <f t="shared" si="112"/>
        <v>0</v>
      </c>
      <c r="H573" s="7">
        <f t="shared" si="106"/>
        <v>-9.0909090909090912E-2</v>
      </c>
      <c r="I573" s="7">
        <f t="shared" si="107"/>
        <v>-1</v>
      </c>
      <c r="J573" s="7">
        <f t="shared" si="108"/>
        <v>-1</v>
      </c>
      <c r="K573" s="7">
        <f t="shared" si="113"/>
        <v>-9.0850909090909093E-2</v>
      </c>
      <c r="L573" s="5" t="s">
        <v>416</v>
      </c>
      <c r="M573" s="7" t="str">
        <f>IF(R573="",(VLOOKUP(A573,[1]Export!$B$2:$H$680,7,0)),"CHURN")</f>
        <v>CHURN</v>
      </c>
      <c r="N573" s="5" t="e">
        <f t="shared" si="114"/>
        <v>#VALUE!</v>
      </c>
      <c r="O573" s="5" t="e">
        <f t="shared" si="115"/>
        <v>#VALUE!</v>
      </c>
      <c r="P573" s="5" t="e">
        <f t="shared" si="116"/>
        <v>#VALUE!</v>
      </c>
      <c r="Q573" s="5" t="s">
        <v>696</v>
      </c>
      <c r="R573" s="5" t="s">
        <v>428</v>
      </c>
      <c r="S573" s="5" t="str">
        <f>VLOOKUP(A573,[3]Sheet1!$A$1:$C$191,3,0)</f>
        <v>Dec.24</v>
      </c>
      <c r="T573" s="6" cm="1">
        <f t="array" ref="T573">IF(R573&lt;&gt;"Churn","",
 _xlfn.LET(
   _xlpm.rng,Y573:BF573,
   _xlpm.pos,MAX(IF((_xlpm.rng&lt;&gt;0)*(_xlpm.rng&lt;&gt;""),COLUMN(_xlpm.rng)-COLUMN(Y573)+1)),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50.0032</v>
      </c>
      <c r="U573" s="6" cm="1">
        <f t="array" ref="U573">IF(R573="Churn",
   MAX(IF((Y573:BF573&lt;&gt;"")*(Y573:BF573&lt;&gt;0), COLUMN(Y573:BF573)-COLUMN(Y573)+1))
   -MATCH(1, --((Y573:BF573&lt;&gt;"")*(Y573:BF573&lt;&gt;0)), 0)
   +1,
"")</f>
        <v>23</v>
      </c>
      <c r="V573" s="6" t="str" cm="1">
        <f t="array" ref="V573">IFERROR(
    IF(
        MATCH(2,1/((Y573:BF573&lt;&gt;0)*(Y573:BF573&lt;&gt;"")))-MATCH(1,INDEX((Y573:BF573&lt;&gt;0)*(Y573:BF573&lt;&gt;""),0),0)+1 &lt;= 12,
        "No",
        "Yes"
    ),
    "No"
)</f>
        <v>Yes</v>
      </c>
      <c r="W573" s="6" t="str" cm="1">
        <f t="array" ref="W573">IFERROR(
    IF(
        MATCH(2,1/((Y573:BF573&lt;&gt;0)*(Y573:BF573&lt;&gt;"")))-MATCH(1,INDEX((Y573:BF573&lt;&gt;0)*(Y573:BF573&lt;&gt;""),0),0)+1 &lt;= 24,
        "No",
        "Yes"
    ),
    "No"
)</f>
        <v>No</v>
      </c>
      <c r="Y573" s="8">
        <v>55</v>
      </c>
      <c r="Z573" s="8">
        <v>55</v>
      </c>
      <c r="AA573" s="8">
        <v>55</v>
      </c>
      <c r="AB573" s="8">
        <v>64</v>
      </c>
      <c r="AC573" s="8">
        <v>63.999999999999993</v>
      </c>
      <c r="AD573" s="8">
        <v>63.999999999999993</v>
      </c>
      <c r="AE573" s="8">
        <v>63.999999999999993</v>
      </c>
      <c r="AF573" s="8">
        <v>63.999999999999993</v>
      </c>
      <c r="AG573" s="8">
        <v>63.999999999999993</v>
      </c>
      <c r="AH573" s="8">
        <v>63.999999999999993</v>
      </c>
      <c r="AI573" s="8">
        <v>63.999999999999993</v>
      </c>
      <c r="AJ573" s="8">
        <v>63.999999999999993</v>
      </c>
      <c r="AK573" s="8">
        <v>50</v>
      </c>
      <c r="AL573" s="8">
        <v>100.00320000000001</v>
      </c>
      <c r="AM573" s="8">
        <v>50.0032</v>
      </c>
      <c r="AN573" s="8">
        <v>50.0032</v>
      </c>
      <c r="AO573" s="8">
        <v>50.0032</v>
      </c>
      <c r="AP573" s="8">
        <v>50.0032</v>
      </c>
      <c r="AQ573" s="8">
        <v>50.0032</v>
      </c>
      <c r="AR573" s="8">
        <v>50.0032</v>
      </c>
      <c r="AS573" s="8">
        <v>50.0032</v>
      </c>
      <c r="AT573" s="8">
        <v>50.0032</v>
      </c>
      <c r="AU573" s="8">
        <v>50.0032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H573" s="8">
        <f t="shared" si="109"/>
        <v>741</v>
      </c>
      <c r="BI573" s="8">
        <f t="shared" si="110"/>
        <v>600.03199999999993</v>
      </c>
      <c r="BJ573" s="8">
        <f t="shared" si="111"/>
        <v>0</v>
      </c>
    </row>
    <row r="574" spans="1:62" x14ac:dyDescent="0.25">
      <c r="A574" s="9" t="s">
        <v>607</v>
      </c>
      <c r="B574" s="9" t="s">
        <v>644</v>
      </c>
      <c r="C574" s="10">
        <v>44927</v>
      </c>
      <c r="D574" s="6" cm="1">
        <f t="array" ref="D574">_xlfn.LET(
  _xlpm.aralık, Y574:BF574,
  _xlpm.ilk, MATCH(TRUE, _xlpm.aralık&lt;&gt;0, 0),
  _xlpm.son, MIN(_xlpm.ilk+2, COLUMNS(_xlpm.aralık)),
  MAX(INDEX(_xlpm.aralık, _xlpm.ilk):INDEX(_xlpm.aralık, _xlpm.son))
)</f>
        <v>125</v>
      </c>
      <c r="E574" s="6">
        <f t="shared" si="104"/>
        <v>0</v>
      </c>
      <c r="F574" s="6">
        <f t="shared" si="105"/>
        <v>0</v>
      </c>
      <c r="G574" s="6">
        <f t="shared" si="112"/>
        <v>0</v>
      </c>
      <c r="H574" s="7">
        <f t="shared" si="106"/>
        <v>-1</v>
      </c>
      <c r="I574" s="7">
        <f t="shared" si="107"/>
        <v>-1</v>
      </c>
      <c r="J574" s="7" t="e">
        <f t="shared" si="108"/>
        <v>#DIV/0!</v>
      </c>
      <c r="K574" s="7">
        <f t="shared" si="113"/>
        <v>0.13648576000000004</v>
      </c>
      <c r="L574" s="5" t="s">
        <v>414</v>
      </c>
      <c r="M574" s="7" t="str">
        <f>IF(R574="",(VLOOKUP(A574,[1]Export!$B$2:$H$680,7,0)),"CHURN")</f>
        <v>CHURN</v>
      </c>
      <c r="N574" s="5" t="e">
        <f t="shared" si="114"/>
        <v>#VALUE!</v>
      </c>
      <c r="O574" s="5" t="e">
        <f t="shared" si="115"/>
        <v>#VALUE!</v>
      </c>
      <c r="P574" s="5" t="e">
        <f t="shared" si="116"/>
        <v>#VALUE!</v>
      </c>
      <c r="Q574" s="5" t="s">
        <v>696</v>
      </c>
      <c r="R574" s="5" t="s">
        <v>428</v>
      </c>
      <c r="S574" s="5" t="str">
        <f>VLOOKUP(A574,[3]Sheet1!$A$1:$C$191,3,0)</f>
        <v>Sep.23</v>
      </c>
      <c r="T574" s="6" cm="1">
        <f t="array" ref="T574">IF(R574&lt;&gt;"Churn","",
 _xlfn.LET(
   _xlpm.rng,Y574:BF574,
   _xlpm.pos,MAX(IF((_xlpm.rng&lt;&gt;0)*(_xlpm.rng&lt;&gt;""),COLUMN(_xlpm.rng)-COLUMN(Y574)+1)),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142.06072</v>
      </c>
      <c r="U574" s="6" cm="1">
        <f t="array" ref="U574">IF(R574="Churn",
   MAX(IF((Y574:BF574&lt;&gt;"")*(Y574:BF574&lt;&gt;0), COLUMN(Y574:BF574)-COLUMN(Y574)+1))
   -MATCH(1, --((Y574:BF574&lt;&gt;"")*(Y574:BF574&lt;&gt;0)), 0)
   +1,
"")</f>
        <v>8</v>
      </c>
      <c r="V574" s="6" t="str" cm="1">
        <f t="array" ref="V574">IFERROR(
    IF(
        MATCH(2,1/((Y574:BF574&lt;&gt;0)*(Y574:BF574&lt;&gt;"")))-MATCH(1,INDEX((Y574:BF574&lt;&gt;0)*(Y574:BF574&lt;&gt;""),0),0)+1 &lt;= 12,
        "No",
        "Yes"
    ),
    "No"
)</f>
        <v>No</v>
      </c>
      <c r="W574" s="6" t="str" cm="1">
        <f t="array" ref="W574">IFERROR(
    IF(
        MATCH(2,1/((Y574:BF574&lt;&gt;0)*(Y574:BF574&lt;&gt;"")))-MATCH(1,INDEX((Y574:BF574&lt;&gt;0)*(Y574:BF574&lt;&gt;""),0),0)+1 &lt;= 24,
        "No",
        "Yes"
    ),
    "No"
)</f>
        <v>No</v>
      </c>
      <c r="Y574" s="8">
        <v>125</v>
      </c>
      <c r="Z574" s="8">
        <v>125</v>
      </c>
      <c r="AA574" s="8">
        <v>125</v>
      </c>
      <c r="AB574" s="8">
        <v>125</v>
      </c>
      <c r="AC574" s="8">
        <v>134</v>
      </c>
      <c r="AD574" s="8">
        <v>134</v>
      </c>
      <c r="AE574" s="8">
        <v>134</v>
      </c>
      <c r="AF574" s="8">
        <v>142.06072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H574" s="8">
        <f t="shared" si="109"/>
        <v>1044.0607199999999</v>
      </c>
      <c r="BI574" s="8">
        <f t="shared" si="110"/>
        <v>0</v>
      </c>
      <c r="BJ574" s="8">
        <f t="shared" si="111"/>
        <v>0</v>
      </c>
    </row>
    <row r="575" spans="1:62" x14ac:dyDescent="0.25">
      <c r="A575" s="9" t="s">
        <v>191</v>
      </c>
      <c r="B575" s="9" t="s">
        <v>644</v>
      </c>
      <c r="C575" s="10">
        <v>44927</v>
      </c>
      <c r="D575" s="6" cm="1">
        <f t="array" ref="D575">_xlfn.LET(
  _xlpm.aralık, Y575:BF575,
  _xlpm.ilk, MATCH(TRUE, _xlpm.aralık&lt;&gt;0, 0),
  _xlpm.son, MIN(_xlpm.ilk+2, COLUMNS(_xlpm.aralık)),
  MAX(INDEX(_xlpm.aralık, _xlpm.ilk):INDEX(_xlpm.aralık, _xlpm.son))
)</f>
        <v>95</v>
      </c>
      <c r="E575" s="6">
        <f t="shared" si="104"/>
        <v>95</v>
      </c>
      <c r="F575" s="6">
        <f t="shared" si="105"/>
        <v>0</v>
      </c>
      <c r="G575" s="6">
        <f t="shared" si="112"/>
        <v>0</v>
      </c>
      <c r="H575" s="7">
        <f t="shared" si="106"/>
        <v>0</v>
      </c>
      <c r="I575" s="7">
        <f t="shared" si="107"/>
        <v>-1</v>
      </c>
      <c r="J575" s="7">
        <f t="shared" si="108"/>
        <v>-1</v>
      </c>
      <c r="K575" s="7">
        <f t="shared" si="113"/>
        <v>0</v>
      </c>
      <c r="L575" s="5" t="s">
        <v>421</v>
      </c>
      <c r="M575" s="7" t="str">
        <f>IF(R575="",(VLOOKUP(A575,[1]Export!$B$2:$H$680,7,0)),"CHURN")</f>
        <v>CHURN</v>
      </c>
      <c r="N575" s="5" t="e">
        <f t="shared" si="114"/>
        <v>#VALUE!</v>
      </c>
      <c r="O575" s="5" t="e">
        <f t="shared" si="115"/>
        <v>#VALUE!</v>
      </c>
      <c r="P575" s="5" t="e">
        <f t="shared" si="116"/>
        <v>#VALUE!</v>
      </c>
      <c r="Q575" s="5" t="s">
        <v>696</v>
      </c>
      <c r="R575" s="5" t="s">
        <v>428</v>
      </c>
      <c r="S575" s="5" t="str">
        <f>VLOOKUP(A575,[3]Sheet1!$A$1:$C$191,3,0)</f>
        <v>Jan.25</v>
      </c>
      <c r="T575" s="6" cm="1">
        <f t="array" ref="T575">IF(R575&lt;&gt;"Churn","",
 _xlfn.LET(
   _xlpm.rng,Y575:BF575,
   _xlpm.pos,MAX(IF((_xlpm.rng&lt;&gt;0)*(_xlpm.rng&lt;&gt;""),COLUMN(_xlpm.rng)-COLUMN(Y575)+1)),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95</v>
      </c>
      <c r="U575" s="6" cm="1">
        <f t="array" ref="U575">IF(R575="Churn",
   MAX(IF((Y575:BF575&lt;&gt;"")*(Y575:BF575&lt;&gt;0), COLUMN(Y575:BF575)-COLUMN(Y575)+1))
   -MATCH(1, --((Y575:BF575&lt;&gt;"")*(Y575:BF575&lt;&gt;0)), 0)
   +1,
"")</f>
        <v>24</v>
      </c>
      <c r="V575" s="6" t="str" cm="1">
        <f t="array" ref="V575">IFERROR(
    IF(
        MATCH(2,1/((Y575:BF575&lt;&gt;0)*(Y575:BF575&lt;&gt;"")))-MATCH(1,INDEX((Y575:BF575&lt;&gt;0)*(Y575:BF575&lt;&gt;""),0),0)+1 &lt;= 12,
        "No",
        "Yes"
    ),
    "No"
)</f>
        <v>Yes</v>
      </c>
      <c r="W575" s="6" t="str" cm="1">
        <f t="array" ref="W575">IFERROR(
    IF(
        MATCH(2,1/((Y575:BF575&lt;&gt;0)*(Y575:BF575&lt;&gt;"")))-MATCH(1,INDEX((Y575:BF575&lt;&gt;0)*(Y575:BF575&lt;&gt;""),0),0)+1 &lt;= 24,
        "No",
        "Yes"
    ),
    "No"
)</f>
        <v>No</v>
      </c>
      <c r="Y575" s="8">
        <v>95</v>
      </c>
      <c r="Z575" s="8">
        <v>95</v>
      </c>
      <c r="AA575" s="8">
        <v>95</v>
      </c>
      <c r="AB575" s="8">
        <v>95</v>
      </c>
      <c r="AC575" s="8">
        <v>95</v>
      </c>
      <c r="AD575" s="8">
        <v>95</v>
      </c>
      <c r="AE575" s="8">
        <v>95</v>
      </c>
      <c r="AF575" s="8">
        <v>95</v>
      </c>
      <c r="AG575" s="8">
        <v>95</v>
      </c>
      <c r="AH575" s="8">
        <v>95</v>
      </c>
      <c r="AI575" s="8">
        <v>95</v>
      </c>
      <c r="AJ575" s="8">
        <v>95</v>
      </c>
      <c r="AK575" s="8">
        <v>95</v>
      </c>
      <c r="AL575" s="8">
        <v>95</v>
      </c>
      <c r="AM575" s="8">
        <v>95</v>
      </c>
      <c r="AN575" s="8">
        <v>95</v>
      </c>
      <c r="AO575" s="8">
        <v>95</v>
      </c>
      <c r="AP575" s="8">
        <v>95</v>
      </c>
      <c r="AQ575" s="8">
        <v>95</v>
      </c>
      <c r="AR575" s="8">
        <v>95</v>
      </c>
      <c r="AS575" s="8">
        <v>95</v>
      </c>
      <c r="AT575" s="8">
        <v>95</v>
      </c>
      <c r="AU575" s="8">
        <v>95</v>
      </c>
      <c r="AV575" s="8">
        <v>80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H575" s="8">
        <f t="shared" si="109"/>
        <v>1140</v>
      </c>
      <c r="BI575" s="8">
        <f t="shared" si="110"/>
        <v>1125</v>
      </c>
      <c r="BJ575" s="8">
        <f t="shared" si="111"/>
        <v>0</v>
      </c>
    </row>
    <row r="576" spans="1:62" x14ac:dyDescent="0.25">
      <c r="A576" s="9" t="s">
        <v>608</v>
      </c>
      <c r="B576" s="9" t="s">
        <v>644</v>
      </c>
      <c r="C576" s="10">
        <f>VLOOKUP(A576,'[2]Revenue_Engine_2025 Oct.25'!$C$14:G$3937,5,0)</f>
        <v>45015</v>
      </c>
      <c r="D576" s="6" cm="1">
        <f t="array" ref="D576">_xlfn.LET(
  _xlpm.aralık, Y576:BF576,
  _xlpm.ilk, MATCH(TRUE, _xlpm.aralık&lt;&gt;0, 0),
  _xlpm.son, MIN(_xlpm.ilk+2, COLUMNS(_xlpm.aralık)),
  MAX(INDEX(_xlpm.aralık, _xlpm.ilk):INDEX(_xlpm.aralık, _xlpm.son))
)</f>
        <v>640</v>
      </c>
      <c r="E576" s="6">
        <f t="shared" si="104"/>
        <v>0</v>
      </c>
      <c r="F576" s="6">
        <f t="shared" si="105"/>
        <v>0</v>
      </c>
      <c r="G576" s="6">
        <f t="shared" si="112"/>
        <v>0</v>
      </c>
      <c r="H576" s="7">
        <f t="shared" si="106"/>
        <v>-1</v>
      </c>
      <c r="I576" s="7">
        <f t="shared" si="107"/>
        <v>-1</v>
      </c>
      <c r="J576" s="7" t="e">
        <f t="shared" si="108"/>
        <v>#DIV/0!</v>
      </c>
      <c r="K576" s="7">
        <f t="shared" si="113"/>
        <v>-0.1015625</v>
      </c>
      <c r="L576" s="5" t="s">
        <v>415</v>
      </c>
      <c r="M576" s="7" t="str">
        <f>IF(R576="",(VLOOKUP(A576,[1]Export!$B$2:$H$680,7,0)),"CHURN")</f>
        <v>CHURN</v>
      </c>
      <c r="N576" s="5" t="e">
        <f t="shared" si="114"/>
        <v>#VALUE!</v>
      </c>
      <c r="O576" s="5" t="e">
        <f t="shared" si="115"/>
        <v>#VALUE!</v>
      </c>
      <c r="P576" s="5" t="e">
        <f t="shared" si="116"/>
        <v>#VALUE!</v>
      </c>
      <c r="Q576" s="5" t="s">
        <v>696</v>
      </c>
      <c r="R576" s="5" t="s">
        <v>428</v>
      </c>
      <c r="S576" s="5" t="str">
        <f>VLOOKUP(A576,[3]Sheet1!$A$1:$C$191,3,0)</f>
        <v>Apr.24</v>
      </c>
      <c r="T576" s="6" cm="1">
        <f t="array" ref="T576">IF(R576&lt;&gt;"Churn","",
 _xlfn.LET(
   _xlpm.rng,Y576:BF576,
   _xlpm.pos,MAX(IF((_xlpm.rng&lt;&gt;0)*(_xlpm.rng&lt;&gt;""),COLUMN(_xlpm.rng)-COLUMN(Y576)+1)),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575</v>
      </c>
      <c r="U576" s="6" cm="1">
        <f t="array" ref="U576">IF(R576="Churn",
   MAX(IF((Y576:BF576&lt;&gt;"")*(Y576:BF576&lt;&gt;0), COLUMN(Y576:BF576)-COLUMN(Y576)+1))
   -MATCH(1, --((Y576:BF576&lt;&gt;"")*(Y576:BF576&lt;&gt;0)), 0)
   +1,
"")</f>
        <v>11</v>
      </c>
      <c r="V576" s="6" t="str" cm="1">
        <f t="array" ref="V576">IFERROR(
    IF(
        MATCH(2,1/((Y576:BF576&lt;&gt;0)*(Y576:BF576&lt;&gt;"")))-MATCH(1,INDEX((Y576:BF576&lt;&gt;0)*(Y576:BF576&lt;&gt;""),0),0)+1 &lt;= 12,
        "No",
        "Yes"
    ),
    "No"
)</f>
        <v>No</v>
      </c>
      <c r="W576" s="6" t="str" cm="1">
        <f t="array" ref="W576">IFERROR(
    IF(
        MATCH(2,1/((Y576:BF576&lt;&gt;0)*(Y576:BF576&lt;&gt;"")))-MATCH(1,INDEX((Y576:BF576&lt;&gt;0)*(Y576:BF576&lt;&gt;""),0),0)+1 &lt;= 24,
        "No",
        "Yes"
    ),
    "No"
)</f>
        <v>No</v>
      </c>
      <c r="Y576" s="8">
        <v>0</v>
      </c>
      <c r="Z576" s="8">
        <v>0</v>
      </c>
      <c r="AA576" s="8">
        <v>330</v>
      </c>
      <c r="AB576" s="8">
        <v>640</v>
      </c>
      <c r="AC576" s="8">
        <v>640</v>
      </c>
      <c r="AD576" s="8">
        <v>640</v>
      </c>
      <c r="AE576" s="8">
        <v>640</v>
      </c>
      <c r="AF576" s="8">
        <v>640</v>
      </c>
      <c r="AG576" s="8">
        <v>640</v>
      </c>
      <c r="AH576" s="8">
        <v>640</v>
      </c>
      <c r="AI576" s="8">
        <v>575</v>
      </c>
      <c r="AJ576" s="8">
        <v>575</v>
      </c>
      <c r="AK576" s="8">
        <v>575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H576" s="8">
        <f t="shared" si="109"/>
        <v>5960</v>
      </c>
      <c r="BI576" s="8">
        <f t="shared" si="110"/>
        <v>575</v>
      </c>
      <c r="BJ576" s="8">
        <f t="shared" si="111"/>
        <v>0</v>
      </c>
    </row>
    <row r="577" spans="1:62" x14ac:dyDescent="0.25">
      <c r="A577" s="9" t="s">
        <v>609</v>
      </c>
      <c r="B577" s="9" t="s">
        <v>644</v>
      </c>
      <c r="C577" s="10">
        <f>VLOOKUP(A577,'[2]Revenue_Engine_2025 Oct.25'!$C$14:G$3937,5,0)</f>
        <v>45015</v>
      </c>
      <c r="D577" s="6" cm="1">
        <f t="array" ref="D577">_xlfn.LET(
  _xlpm.aralık, Y577:BF577,
  _xlpm.ilk, MATCH(TRUE, _xlpm.aralık&lt;&gt;0, 0),
  _xlpm.son, MIN(_xlpm.ilk+2, COLUMNS(_xlpm.aralık)),
  MAX(INDEX(_xlpm.aralık, _xlpm.ilk):INDEX(_xlpm.aralık, _xlpm.son))
)</f>
        <v>110.01</v>
      </c>
      <c r="E577" s="6">
        <f t="shared" si="104"/>
        <v>0</v>
      </c>
      <c r="F577" s="6">
        <f t="shared" si="105"/>
        <v>0</v>
      </c>
      <c r="G577" s="6">
        <f t="shared" si="112"/>
        <v>0</v>
      </c>
      <c r="H577" s="7">
        <f t="shared" si="106"/>
        <v>-1</v>
      </c>
      <c r="I577" s="7">
        <f t="shared" si="107"/>
        <v>-1</v>
      </c>
      <c r="J577" s="7" t="e">
        <f t="shared" si="108"/>
        <v>#DIV/0!</v>
      </c>
      <c r="K577" s="7">
        <f t="shared" si="113"/>
        <v>0</v>
      </c>
      <c r="L577" s="5" t="s">
        <v>416</v>
      </c>
      <c r="M577" s="7" t="str">
        <f>IF(R577="",(VLOOKUP(A577,[1]Export!$B$2:$H$680,7,0)),"CHURN")</f>
        <v>CHURN</v>
      </c>
      <c r="N577" s="5" t="e">
        <f t="shared" si="114"/>
        <v>#VALUE!</v>
      </c>
      <c r="O577" s="5" t="e">
        <f t="shared" si="115"/>
        <v>#VALUE!</v>
      </c>
      <c r="P577" s="5" t="e">
        <f t="shared" si="116"/>
        <v>#VALUE!</v>
      </c>
      <c r="Q577" s="5" t="s">
        <v>696</v>
      </c>
      <c r="R577" s="5" t="s">
        <v>428</v>
      </c>
      <c r="S577" s="5" t="str">
        <f>VLOOKUP(A577,[3]Sheet1!$A$1:$C$191,3,0)</f>
        <v>Mar.23</v>
      </c>
      <c r="T577" s="6" cm="1">
        <f t="array" ref="T577">IF(R577&lt;&gt;"Churn","",
 _xlfn.LET(
   _xlpm.rng,Y577:BF577,
   _xlpm.pos,MAX(IF((_xlpm.rng&lt;&gt;0)*(_xlpm.rng&lt;&gt;""),COLUMN(_xlpm.rng)-COLUMN(Y577)+1)),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110.01</v>
      </c>
      <c r="U577" s="6" cm="1">
        <f t="array" ref="U577">IF(R577="Churn",
   MAX(IF((Y577:BF577&lt;&gt;"")*(Y577:BF577&lt;&gt;0), COLUMN(Y577:BF577)-COLUMN(Y577)+1))
   -MATCH(1, --((Y577:BF577&lt;&gt;"")*(Y577:BF577&lt;&gt;0)), 0)
   +1,
"")</f>
        <v>1</v>
      </c>
      <c r="V577" s="6" t="str" cm="1">
        <f t="array" ref="V577">IFERROR(
    IF(
        MATCH(2,1/((Y577:BF577&lt;&gt;0)*(Y577:BF577&lt;&gt;"")))-MATCH(1,INDEX((Y577:BF577&lt;&gt;0)*(Y577:BF577&lt;&gt;""),0),0)+1 &lt;= 12,
        "No",
        "Yes"
    ),
    "No"
)</f>
        <v>No</v>
      </c>
      <c r="W577" s="6" t="str" cm="1">
        <f t="array" ref="W577">IFERROR(
    IF(
        MATCH(2,1/((Y577:BF577&lt;&gt;0)*(Y577:BF577&lt;&gt;"")))-MATCH(1,INDEX((Y577:BF577&lt;&gt;0)*(Y577:BF577&lt;&gt;""),0),0)+1 &lt;= 24,
        "No",
        "Yes"
    ),
    "No"
)</f>
        <v>No</v>
      </c>
      <c r="Y577" s="8">
        <v>0</v>
      </c>
      <c r="Z577" s="8">
        <v>0</v>
      </c>
      <c r="AA577" s="8">
        <v>110.01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H577" s="8">
        <f t="shared" si="109"/>
        <v>110.01</v>
      </c>
      <c r="BI577" s="8">
        <f t="shared" si="110"/>
        <v>0</v>
      </c>
      <c r="BJ577" s="8">
        <f t="shared" si="111"/>
        <v>0</v>
      </c>
    </row>
    <row r="578" spans="1:62" x14ac:dyDescent="0.25">
      <c r="A578" s="9" t="s">
        <v>201</v>
      </c>
      <c r="B578" s="9" t="s">
        <v>644</v>
      </c>
      <c r="C578" s="10">
        <f>VLOOKUP(A578,'[2]Revenue_Engine_2025 Oct.25'!$C$14:G$3937,5,0)</f>
        <v>45042</v>
      </c>
      <c r="D578" s="6" cm="1">
        <f t="array" ref="D578">_xlfn.LET(
  _xlpm.aralık, Y578:BF578,
  _xlpm.ilk, MATCH(TRUE, _xlpm.aralık&lt;&gt;0, 0),
  _xlpm.son, MIN(_xlpm.ilk+2, COLUMNS(_xlpm.aralık)),
  MAX(INDEX(_xlpm.aralık, _xlpm.ilk):INDEX(_xlpm.aralık, _xlpm.son))
)</f>
        <v>180</v>
      </c>
      <c r="E578" s="6">
        <f t="shared" ref="E578:E627" si="117">IFERROR(INDEX($Y578:$BF578,MATCH(TEXT(EDATE($C578,12),"mmm.yy"),$Y$1:$BF$1,0)),0)</f>
        <v>103.20000524999999</v>
      </c>
      <c r="F578" s="6">
        <f t="shared" ref="F578:F627" si="118">IFERROR(INDEX($Y578:$BF578,MATCH(TEXT(EDATE($C578,24),"mmm.yy"),$Y$1:$BF$1,0)),0)</f>
        <v>0</v>
      </c>
      <c r="G578" s="6">
        <f t="shared" si="112"/>
        <v>0</v>
      </c>
      <c r="H578" s="7">
        <f t="shared" ref="H578:H627" si="119">(E578-D578)/D578</f>
        <v>-0.42666663750000006</v>
      </c>
      <c r="I578" s="7">
        <f t="shared" ref="I578:I627" si="120">(F578-D578)/D578</f>
        <v>-1</v>
      </c>
      <c r="J578" s="7">
        <f t="shared" ref="J578:J627" si="121">(F578-E578)/E578</f>
        <v>-1</v>
      </c>
      <c r="K578" s="7">
        <f t="shared" si="113"/>
        <v>-0.42666663750000006</v>
      </c>
      <c r="L578" s="5" t="s">
        <v>694</v>
      </c>
      <c r="M578" s="7" t="str">
        <f>IF(R578="",(VLOOKUP(A578,[1]Export!$B$2:$H$680,7,0)),"CHURN")</f>
        <v>CHURN</v>
      </c>
      <c r="N578" s="5" t="e">
        <f t="shared" si="114"/>
        <v>#VALUE!</v>
      </c>
      <c r="O578" s="5" t="e">
        <f t="shared" si="115"/>
        <v>#VALUE!</v>
      </c>
      <c r="P578" s="5" t="e">
        <f t="shared" si="116"/>
        <v>#VALUE!</v>
      </c>
      <c r="Q578" s="5" t="s">
        <v>696</v>
      </c>
      <c r="R578" s="5" t="s">
        <v>428</v>
      </c>
      <c r="S578" s="5" t="str">
        <f>VLOOKUP(A578,[3]Sheet1!$A$1:$C$191,3,0)</f>
        <v>Feb.25</v>
      </c>
      <c r="T578" s="6" cm="1">
        <f t="array" ref="T578">IF(R578&lt;&gt;"Churn","",
 _xlfn.LET(
   _xlpm.rng,Y578:BF578,
   _xlpm.pos,MAX(IF((_xlpm.rng&lt;&gt;0)*(_xlpm.rng&lt;&gt;""),COLUMN(_xlpm.rng)-COLUMN(Y578)+1)),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103.20000524999999</v>
      </c>
      <c r="U578" s="6" cm="1">
        <f t="array" ref="U578">IF(R578="Churn",
   MAX(IF((Y578:BF578&lt;&gt;"")*(Y578:BF578&lt;&gt;0), COLUMN(Y578:BF578)-COLUMN(Y578)+1))
   -MATCH(1, --((Y578:BF578&lt;&gt;"")*(Y578:BF578&lt;&gt;0)), 0)
   +1,
"")</f>
        <v>22</v>
      </c>
      <c r="V578" s="6" t="str" cm="1">
        <f t="array" ref="V578">IFERROR(
    IF(
        MATCH(2,1/((Y578:BF578&lt;&gt;0)*(Y578:BF578&lt;&gt;"")))-MATCH(1,INDEX((Y578:BF578&lt;&gt;0)*(Y578:BF578&lt;&gt;""),0),0)+1 &lt;= 12,
        "No",
        "Yes"
    ),
    "No"
)</f>
        <v>Yes</v>
      </c>
      <c r="W578" s="6" t="str" cm="1">
        <f t="array" ref="W578">IFERROR(
    IF(
        MATCH(2,1/((Y578:BF578&lt;&gt;0)*(Y578:BF578&lt;&gt;"")))-MATCH(1,INDEX((Y578:BF578&lt;&gt;0)*(Y578:BF578&lt;&gt;""),0),0)+1 &lt;= 24,
        "No",
        "Yes"
    ),
    "No"
)</f>
        <v>No</v>
      </c>
      <c r="Y578" s="8">
        <v>0</v>
      </c>
      <c r="Z578" s="8">
        <v>0</v>
      </c>
      <c r="AA578" s="8">
        <v>0</v>
      </c>
      <c r="AB578" s="8">
        <v>180</v>
      </c>
      <c r="AC578" s="8">
        <v>180</v>
      </c>
      <c r="AD578" s="8">
        <v>180</v>
      </c>
      <c r="AE578" s="8">
        <v>180</v>
      </c>
      <c r="AF578" s="8">
        <v>180</v>
      </c>
      <c r="AG578" s="8">
        <v>180</v>
      </c>
      <c r="AH578" s="8">
        <v>180</v>
      </c>
      <c r="AI578" s="8">
        <v>180</v>
      </c>
      <c r="AJ578" s="8">
        <v>180</v>
      </c>
      <c r="AK578" s="8">
        <v>180</v>
      </c>
      <c r="AL578" s="8">
        <v>283.20000525</v>
      </c>
      <c r="AM578" s="8">
        <v>283.20000525</v>
      </c>
      <c r="AN578" s="8">
        <v>103.20000524999999</v>
      </c>
      <c r="AO578" s="8">
        <v>103.20000524999999</v>
      </c>
      <c r="AP578" s="8">
        <v>103.20000524999999</v>
      </c>
      <c r="AQ578" s="8">
        <v>103.20000524999999</v>
      </c>
      <c r="AR578" s="8">
        <v>103.20000524999999</v>
      </c>
      <c r="AS578" s="8">
        <v>103.20000524999999</v>
      </c>
      <c r="AT578" s="8">
        <v>103.20000524999999</v>
      </c>
      <c r="AU578" s="8">
        <v>103.20000524999999</v>
      </c>
      <c r="AV578" s="8">
        <v>103.20000524999999</v>
      </c>
      <c r="AW578" s="8">
        <v>103.20000524999999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H578" s="8">
        <f t="shared" ref="BH578:BH627" si="122">SUM(Y578:AJ578)</f>
        <v>1620</v>
      </c>
      <c r="BI578" s="8">
        <f t="shared" ref="BI578:BI627" si="123">SUM(AK578:AV578)</f>
        <v>1675.20005775</v>
      </c>
      <c r="BJ578" s="8">
        <f t="shared" ref="BJ578:BJ627" si="124">SUM(AW578:BF578)</f>
        <v>103.20000524999999</v>
      </c>
    </row>
    <row r="579" spans="1:62" x14ac:dyDescent="0.25">
      <c r="A579" s="9" t="s">
        <v>610</v>
      </c>
      <c r="B579" s="9" t="s">
        <v>644</v>
      </c>
      <c r="C579" s="10">
        <f>VLOOKUP(A579,'[2]Revenue_Engine_2025 Oct.25'!$C$14:G$3937,5,0)</f>
        <v>45046</v>
      </c>
      <c r="D579" s="6" cm="1">
        <f t="array" ref="D579">_xlfn.LET(
  _xlpm.aralık, Y579:BF579,
  _xlpm.ilk, MATCH(TRUE, _xlpm.aralık&lt;&gt;0, 0),
  _xlpm.son, MIN(_xlpm.ilk+2, COLUMNS(_xlpm.aralık)),
  MAX(INDEX(_xlpm.aralık, _xlpm.ilk):INDEX(_xlpm.aralık, _xlpm.son))
)</f>
        <v>160.00000299999999</v>
      </c>
      <c r="E579" s="6">
        <f t="shared" si="117"/>
        <v>0</v>
      </c>
      <c r="F579" s="6">
        <f t="shared" si="118"/>
        <v>0</v>
      </c>
      <c r="G579" s="6">
        <f t="shared" ref="G579:G627" si="125">BF579</f>
        <v>0</v>
      </c>
      <c r="H579" s="7">
        <f t="shared" si="119"/>
        <v>-1</v>
      </c>
      <c r="I579" s="7">
        <f t="shared" si="120"/>
        <v>-1</v>
      </c>
      <c r="J579" s="7" t="e">
        <f t="shared" si="121"/>
        <v>#DIV/0!</v>
      </c>
      <c r="K579" s="7">
        <f t="shared" ref="K579:K627" si="126">IF(R579="",((BF579-D579)/D579),((T579-D579)/D579))</f>
        <v>0</v>
      </c>
      <c r="L579" s="5" t="s">
        <v>414</v>
      </c>
      <c r="M579" s="7" t="str">
        <f>IF(R579="",(VLOOKUP(A579,[1]Export!$B$2:$H$680,7,0)),"CHURN")</f>
        <v>CHURN</v>
      </c>
      <c r="N579" s="5" t="e">
        <f t="shared" ref="N579:N627" si="127">(1-M579)*G579</f>
        <v>#VALUE!</v>
      </c>
      <c r="O579" s="5" t="e">
        <f t="shared" ref="O579:O627" si="128">(1-M579)*E579</f>
        <v>#VALUE!</v>
      </c>
      <c r="P579" s="5" t="e">
        <f t="shared" ref="P579:P627" si="129">(1-M579)*F579</f>
        <v>#VALUE!</v>
      </c>
      <c r="Q579" s="5" t="s">
        <v>696</v>
      </c>
      <c r="R579" s="5" t="s">
        <v>428</v>
      </c>
      <c r="S579" s="5" t="str">
        <f>VLOOKUP(A579,[3]Sheet1!$A$1:$C$191,3,0)</f>
        <v>Jul.23</v>
      </c>
      <c r="T579" s="6" cm="1">
        <f t="array" ref="T579">IF(R579&lt;&gt;"Churn","",
 _xlfn.LET(
   _xlpm.rng,Y579:BF579,
   _xlpm.pos,MAX(IF((_xlpm.rng&lt;&gt;0)*(_xlpm.rng&lt;&gt;""),COLUMN(_xlpm.rng)-COLUMN(Y579)+1)),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160.00000299999999</v>
      </c>
      <c r="U579" s="6" cm="1">
        <f t="array" ref="U579">IF(R579="Churn",
   MAX(IF((Y579:BF579&lt;&gt;"")*(Y579:BF579&lt;&gt;0), COLUMN(Y579:BF579)-COLUMN(Y579)+1))
   -MATCH(1, --((Y579:BF579&lt;&gt;"")*(Y579:BF579&lt;&gt;0)), 0)
   +1,
"")</f>
        <v>3</v>
      </c>
      <c r="V579" s="6" t="str" cm="1">
        <f t="array" ref="V579">IFERROR(
    IF(
        MATCH(2,1/((Y579:BF579&lt;&gt;0)*(Y579:BF579&lt;&gt;"")))-MATCH(1,INDEX((Y579:BF579&lt;&gt;0)*(Y579:BF579&lt;&gt;""),0),0)+1 &lt;= 12,
        "No",
        "Yes"
    ),
    "No"
)</f>
        <v>No</v>
      </c>
      <c r="W579" s="6" t="str" cm="1">
        <f t="array" ref="W579">IFERROR(
    IF(
        MATCH(2,1/((Y579:BF579&lt;&gt;0)*(Y579:BF579&lt;&gt;"")))-MATCH(1,INDEX((Y579:BF579&lt;&gt;0)*(Y579:BF579&lt;&gt;""),0),0)+1 &lt;= 24,
        "No",
        "Yes"
    ),
    "No"
)</f>
        <v>No</v>
      </c>
      <c r="Y579" s="8">
        <v>0</v>
      </c>
      <c r="Z579" s="8">
        <v>0</v>
      </c>
      <c r="AA579" s="8">
        <v>0</v>
      </c>
      <c r="AB579" s="8">
        <v>160</v>
      </c>
      <c r="AC579" s="8">
        <v>160.00000299999999</v>
      </c>
      <c r="AD579" s="8">
        <v>160.00000299999999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H579" s="8">
        <f t="shared" si="122"/>
        <v>480.00000599999998</v>
      </c>
      <c r="BI579" s="8">
        <f t="shared" si="123"/>
        <v>0</v>
      </c>
      <c r="BJ579" s="8">
        <f t="shared" si="124"/>
        <v>0</v>
      </c>
    </row>
    <row r="580" spans="1:62" x14ac:dyDescent="0.25">
      <c r="A580" s="9" t="s">
        <v>205</v>
      </c>
      <c r="B580" s="9" t="s">
        <v>644</v>
      </c>
      <c r="C580" s="10">
        <f>VLOOKUP(A580,'[2]Revenue_Engine_2025 Oct.25'!$C$14:G$3937,5,0)</f>
        <v>45057</v>
      </c>
      <c r="D580" s="6" cm="1">
        <f t="array" ref="D580">_xlfn.LET(
  _xlpm.aralık, Y580:BF580,
  _xlpm.ilk, MATCH(TRUE, _xlpm.aralık&lt;&gt;0, 0),
  _xlpm.son, MIN(_xlpm.ilk+2, COLUMNS(_xlpm.aralık)),
  MAX(INDEX(_xlpm.aralık, _xlpm.ilk):INDEX(_xlpm.aralık, _xlpm.son))
)</f>
        <v>225.00679199999996</v>
      </c>
      <c r="E580" s="6">
        <f t="shared" si="117"/>
        <v>232.00679199999996</v>
      </c>
      <c r="F580" s="6">
        <f t="shared" si="118"/>
        <v>0</v>
      </c>
      <c r="G580" s="6">
        <f t="shared" si="125"/>
        <v>0</v>
      </c>
      <c r="H580" s="7">
        <f t="shared" si="119"/>
        <v>3.1110171998719047E-2</v>
      </c>
      <c r="I580" s="7">
        <f t="shared" si="120"/>
        <v>-1</v>
      </c>
      <c r="J580" s="7">
        <f t="shared" si="121"/>
        <v>-1</v>
      </c>
      <c r="K580" s="7">
        <f t="shared" si="126"/>
        <v>3.1110171998719047E-2</v>
      </c>
      <c r="L580" s="5" t="s">
        <v>412</v>
      </c>
      <c r="M580" s="7" t="str">
        <f>IF(R580="",(VLOOKUP(A580,[1]Export!$B$2:$H$680,7,0)),"CHURN")</f>
        <v>CHURN</v>
      </c>
      <c r="N580" s="5" t="e">
        <f t="shared" si="127"/>
        <v>#VALUE!</v>
      </c>
      <c r="O580" s="5" t="e">
        <f t="shared" si="128"/>
        <v>#VALUE!</v>
      </c>
      <c r="P580" s="5" t="e">
        <f t="shared" si="129"/>
        <v>#VALUE!</v>
      </c>
      <c r="Q580" s="5" t="s">
        <v>696</v>
      </c>
      <c r="R580" s="5" t="s">
        <v>428</v>
      </c>
      <c r="S580" s="5" t="str">
        <f>VLOOKUP(A580,[3]Sheet1!$A$1:$C$191,3,0)</f>
        <v>Jun.24</v>
      </c>
      <c r="T580" s="6" cm="1">
        <f t="array" ref="T580">IF(R580&lt;&gt;"Churn","",
 _xlfn.LET(
   _xlpm.rng,Y580:BF580,
   _xlpm.pos,MAX(IF((_xlpm.rng&lt;&gt;0)*(_xlpm.rng&lt;&gt;""),COLUMN(_xlpm.rng)-COLUMN(Y580)+1)),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232.00679199999996</v>
      </c>
      <c r="U580" s="6" cm="1">
        <f t="array" ref="U580">IF(R580="Churn",
   MAX(IF((Y580:BF580&lt;&gt;"")*(Y580:BF580&lt;&gt;0), COLUMN(Y580:BF580)-COLUMN(Y580)+1))
   -MATCH(1, --((Y580:BF580&lt;&gt;"")*(Y580:BF580&lt;&gt;0)), 0)
   +1,
"")</f>
        <v>13</v>
      </c>
      <c r="V580" s="6" t="str" cm="1">
        <f t="array" ref="V580">IFERROR(
    IF(
        MATCH(2,1/((Y580:BF580&lt;&gt;0)*(Y580:BF580&lt;&gt;"")))-MATCH(1,INDEX((Y580:BF580&lt;&gt;0)*(Y580:BF580&lt;&gt;""),0),0)+1 &lt;= 12,
        "No",
        "Yes"
    ),
    "No"
)</f>
        <v>Yes</v>
      </c>
      <c r="W580" s="6" t="str" cm="1">
        <f t="array" ref="W580">IFERROR(
    IF(
        MATCH(2,1/((Y580:BF580&lt;&gt;0)*(Y580:BF580&lt;&gt;"")))-MATCH(1,INDEX((Y580:BF580&lt;&gt;0)*(Y580:BF580&lt;&gt;""),0),0)+1 &lt;= 24,
        "No",
        "Yes"
    ),
    "No"
)</f>
        <v>No</v>
      </c>
      <c r="Y580" s="8">
        <v>0</v>
      </c>
      <c r="Z580" s="8">
        <v>0</v>
      </c>
      <c r="AA580" s="8">
        <v>0</v>
      </c>
      <c r="AB580" s="8">
        <v>0</v>
      </c>
      <c r="AC580" s="8">
        <v>225.00679199999996</v>
      </c>
      <c r="AD580" s="8">
        <v>225.00679199999996</v>
      </c>
      <c r="AE580" s="8">
        <v>225.00679199999996</v>
      </c>
      <c r="AF580" s="8">
        <v>225.00679199999996</v>
      </c>
      <c r="AG580" s="8">
        <v>232.00679199999996</v>
      </c>
      <c r="AH580" s="8">
        <v>232.00679199999996</v>
      </c>
      <c r="AI580" s="8">
        <v>232.00679199999996</v>
      </c>
      <c r="AJ580" s="8">
        <v>232.00679199999996</v>
      </c>
      <c r="AK580" s="8">
        <v>232.00679199999996</v>
      </c>
      <c r="AL580" s="8">
        <v>232.00679199999996</v>
      </c>
      <c r="AM580" s="8">
        <v>232.00679199999996</v>
      </c>
      <c r="AN580" s="8">
        <v>232.00679199999996</v>
      </c>
      <c r="AO580" s="8">
        <v>232.00679199999996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H580" s="8">
        <f t="shared" si="122"/>
        <v>1828.0543359999995</v>
      </c>
      <c r="BI580" s="8">
        <f t="shared" si="123"/>
        <v>1160.0339599999998</v>
      </c>
      <c r="BJ580" s="8">
        <f t="shared" si="124"/>
        <v>0</v>
      </c>
    </row>
    <row r="581" spans="1:62" x14ac:dyDescent="0.25">
      <c r="A581" s="9" t="s">
        <v>611</v>
      </c>
      <c r="B581" s="9" t="s">
        <v>644</v>
      </c>
      <c r="C581" s="10">
        <f>VLOOKUP(A581,'[2]Revenue_Engine_2025 Oct.25'!$C$14:G$3937,5,0)</f>
        <v>45077</v>
      </c>
      <c r="D581" s="6" cm="1">
        <f t="array" ref="D581">_xlfn.LET(
  _xlpm.aralık, Y581:BF581,
  _xlpm.ilk, MATCH(TRUE, _xlpm.aralık&lt;&gt;0, 0),
  _xlpm.son, MIN(_xlpm.ilk+2, COLUMNS(_xlpm.aralık)),
  MAX(INDEX(_xlpm.aralık, _xlpm.ilk):INDEX(_xlpm.aralık, _xlpm.son))
)</f>
        <v>159.98935800000001</v>
      </c>
      <c r="E581" s="6">
        <f t="shared" si="117"/>
        <v>0</v>
      </c>
      <c r="F581" s="6">
        <f t="shared" si="118"/>
        <v>0</v>
      </c>
      <c r="G581" s="6">
        <f t="shared" si="125"/>
        <v>0</v>
      </c>
      <c r="H581" s="7">
        <f t="shared" si="119"/>
        <v>-1</v>
      </c>
      <c r="I581" s="7">
        <f t="shared" si="120"/>
        <v>-1</v>
      </c>
      <c r="J581" s="7" t="e">
        <f t="shared" si="121"/>
        <v>#DIV/0!</v>
      </c>
      <c r="K581" s="7">
        <f t="shared" si="126"/>
        <v>0.56258347508338646</v>
      </c>
      <c r="L581" s="5" t="s">
        <v>424</v>
      </c>
      <c r="M581" s="7" t="str">
        <f>IF(R581="",(VLOOKUP(A581,[1]Export!$B$2:$H$680,7,0)),"CHURN")</f>
        <v>CHURN</v>
      </c>
      <c r="N581" s="5" t="e">
        <f t="shared" si="127"/>
        <v>#VALUE!</v>
      </c>
      <c r="O581" s="5" t="e">
        <f t="shared" si="128"/>
        <v>#VALUE!</v>
      </c>
      <c r="P581" s="5" t="e">
        <f t="shared" si="129"/>
        <v>#VALUE!</v>
      </c>
      <c r="Q581" s="5" t="s">
        <v>696</v>
      </c>
      <c r="R581" s="5" t="s">
        <v>428</v>
      </c>
      <c r="S581" s="5" t="str">
        <f>VLOOKUP(A581,[3]Sheet1!$A$1:$C$191,3,0)</f>
        <v>May.24</v>
      </c>
      <c r="T581" s="6" cm="1">
        <f t="array" ref="T581">IF(R581&lt;&gt;"Churn","",
 _xlfn.LET(
   _xlpm.rng,Y581:BF581,
   _xlpm.pos,MAX(IF((_xlpm.rng&lt;&gt;0)*(_xlpm.rng&lt;&gt;""),COLUMN(_xlpm.rng)-COLUMN(Y581)+1)),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249.99672700000002</v>
      </c>
      <c r="U581" s="6" cm="1">
        <f t="array" ref="U581">IF(R581="Churn",
   MAX(IF((Y581:BF581&lt;&gt;"")*(Y581:BF581&lt;&gt;0), COLUMN(Y581:BF581)-COLUMN(Y581)+1))
   -MATCH(1, --((Y581:BF581&lt;&gt;"")*(Y581:BF581&lt;&gt;0)), 0)
   +1,
"")</f>
        <v>12</v>
      </c>
      <c r="V581" s="6" t="str" cm="1">
        <f t="array" ref="V581">IFERROR(
    IF(
        MATCH(2,1/((Y581:BF581&lt;&gt;0)*(Y581:BF581&lt;&gt;"")))-MATCH(1,INDEX((Y581:BF581&lt;&gt;0)*(Y581:BF581&lt;&gt;""),0),0)+1 &lt;= 12,
        "No",
        "Yes"
    ),
    "No"
)</f>
        <v>No</v>
      </c>
      <c r="W581" s="6" t="str" cm="1">
        <f t="array" ref="W581">IFERROR(
    IF(
        MATCH(2,1/((Y581:BF581&lt;&gt;0)*(Y581:BF581&lt;&gt;"")))-MATCH(1,INDEX((Y581:BF581&lt;&gt;0)*(Y581:BF581&lt;&gt;""),0),0)+1 &lt;= 24,
        "No",
        "Yes"
    ),
    "No"
)</f>
        <v>No</v>
      </c>
      <c r="Y581" s="8">
        <v>0</v>
      </c>
      <c r="Z581" s="8">
        <v>0</v>
      </c>
      <c r="AA581" s="8">
        <v>0</v>
      </c>
      <c r="AB581" s="8">
        <v>0</v>
      </c>
      <c r="AC581" s="8">
        <v>159.98935800000001</v>
      </c>
      <c r="AD581" s="8">
        <v>159.98935800000001</v>
      </c>
      <c r="AE581" s="8">
        <v>159.98935800000001</v>
      </c>
      <c r="AF581" s="8">
        <v>250</v>
      </c>
      <c r="AG581" s="8">
        <v>250</v>
      </c>
      <c r="AH581" s="8">
        <v>250</v>
      </c>
      <c r="AI581" s="8">
        <v>250</v>
      </c>
      <c r="AJ581" s="8">
        <v>250</v>
      </c>
      <c r="AK581" s="8">
        <v>249.99672700000002</v>
      </c>
      <c r="AL581" s="8">
        <v>249.99672700000002</v>
      </c>
      <c r="AM581" s="8">
        <v>150</v>
      </c>
      <c r="AN581" s="8">
        <v>150.00115699999998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H581" s="8">
        <f t="shared" si="122"/>
        <v>1729.9680739999999</v>
      </c>
      <c r="BI581" s="8">
        <f t="shared" si="123"/>
        <v>799.99461100000008</v>
      </c>
      <c r="BJ581" s="8">
        <f t="shared" si="124"/>
        <v>0</v>
      </c>
    </row>
    <row r="582" spans="1:62" x14ac:dyDescent="0.25">
      <c r="A582" s="9" t="s">
        <v>612</v>
      </c>
      <c r="B582" s="9" t="s">
        <v>644</v>
      </c>
      <c r="C582" s="10">
        <f>VLOOKUP(A582,'[2]Revenue_Engine_2025 Oct.25'!$C$14:G$3937,5,0)</f>
        <v>45061</v>
      </c>
      <c r="D582" s="6" cm="1">
        <f t="array" ref="D582">_xlfn.LET(
  _xlpm.aralık, Y582:BF582,
  _xlpm.ilk, MATCH(TRUE, _xlpm.aralık&lt;&gt;0, 0),
  _xlpm.son, MIN(_xlpm.ilk+2, COLUMNS(_xlpm.aralık)),
  MAX(INDEX(_xlpm.aralık, _xlpm.ilk):INDEX(_xlpm.aralık, _xlpm.son))
)</f>
        <v>25</v>
      </c>
      <c r="E582" s="6">
        <f t="shared" si="117"/>
        <v>0</v>
      </c>
      <c r="F582" s="6">
        <f t="shared" si="118"/>
        <v>0</v>
      </c>
      <c r="G582" s="6">
        <f t="shared" si="125"/>
        <v>0</v>
      </c>
      <c r="H582" s="7">
        <f t="shared" si="119"/>
        <v>-1</v>
      </c>
      <c r="I582" s="7">
        <f t="shared" si="120"/>
        <v>-1</v>
      </c>
      <c r="J582" s="7" t="e">
        <f t="shared" si="121"/>
        <v>#DIV/0!</v>
      </c>
      <c r="K582" s="7">
        <f t="shared" si="126"/>
        <v>0</v>
      </c>
      <c r="L582" s="5" t="s">
        <v>419</v>
      </c>
      <c r="M582" s="7" t="str">
        <f>IF(R582="",(VLOOKUP(A582,[1]Export!$B$2:$H$680,7,0)),"CHURN")</f>
        <v>CHURN</v>
      </c>
      <c r="N582" s="5" t="e">
        <f t="shared" si="127"/>
        <v>#VALUE!</v>
      </c>
      <c r="O582" s="5" t="e">
        <f t="shared" si="128"/>
        <v>#VALUE!</v>
      </c>
      <c r="P582" s="5" t="e">
        <f t="shared" si="129"/>
        <v>#VALUE!</v>
      </c>
      <c r="Q582" s="5" t="s">
        <v>696</v>
      </c>
      <c r="R582" s="5" t="s">
        <v>428</v>
      </c>
      <c r="S582" s="5" t="str">
        <f>VLOOKUP(A582,[3]Sheet1!$A$1:$C$191,3,0)</f>
        <v>Jul.23</v>
      </c>
      <c r="T582" s="6" cm="1">
        <f t="array" ref="T582">IF(R582&lt;&gt;"Churn","",
 _xlfn.LET(
   _xlpm.rng,Y582:BF582,
   _xlpm.pos,MAX(IF((_xlpm.rng&lt;&gt;0)*(_xlpm.rng&lt;&gt;""),COLUMN(_xlpm.rng)-COLUMN(Y582)+1)),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25</v>
      </c>
      <c r="U582" s="6" cm="1">
        <f t="array" ref="U582">IF(R582="Churn",
   MAX(IF((Y582:BF582&lt;&gt;"")*(Y582:BF582&lt;&gt;0), COLUMN(Y582:BF582)-COLUMN(Y582)+1))
   -MATCH(1, --((Y582:BF582&lt;&gt;"")*(Y582:BF582&lt;&gt;0)), 0)
   +1,
"")</f>
        <v>2</v>
      </c>
      <c r="V582" s="6" t="str" cm="1">
        <f t="array" ref="V582">IFERROR(
    IF(
        MATCH(2,1/((Y582:BF582&lt;&gt;0)*(Y582:BF582&lt;&gt;"")))-MATCH(1,INDEX((Y582:BF582&lt;&gt;0)*(Y582:BF582&lt;&gt;""),0),0)+1 &lt;= 12,
        "No",
        "Yes"
    ),
    "No"
)</f>
        <v>No</v>
      </c>
      <c r="W582" s="6" t="str" cm="1">
        <f t="array" ref="W582">IFERROR(
    IF(
        MATCH(2,1/((Y582:BF582&lt;&gt;0)*(Y582:BF582&lt;&gt;"")))-MATCH(1,INDEX((Y582:BF582&lt;&gt;0)*(Y582:BF582&lt;&gt;""),0),0)+1 &lt;= 24,
        "No",
        "Yes"
    ),
    "No"
)</f>
        <v>No</v>
      </c>
      <c r="Y582" s="8">
        <v>0</v>
      </c>
      <c r="Z582" s="8">
        <v>0</v>
      </c>
      <c r="AA582" s="8">
        <v>0</v>
      </c>
      <c r="AB582" s="8">
        <v>0</v>
      </c>
      <c r="AC582" s="8">
        <v>25</v>
      </c>
      <c r="AD582" s="8">
        <v>25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H582" s="8">
        <f t="shared" si="122"/>
        <v>50</v>
      </c>
      <c r="BI582" s="8">
        <f t="shared" si="123"/>
        <v>0</v>
      </c>
      <c r="BJ582" s="8">
        <f t="shared" si="124"/>
        <v>0</v>
      </c>
    </row>
    <row r="583" spans="1:62" x14ac:dyDescent="0.25">
      <c r="A583" s="9" t="s">
        <v>613</v>
      </c>
      <c r="B583" s="9" t="s">
        <v>644</v>
      </c>
      <c r="C583" s="10">
        <f>VLOOKUP(A583,'[2]Revenue_Engine_2025 Oct.25'!$C$14:G$3937,5,0)</f>
        <v>45134</v>
      </c>
      <c r="D583" s="6" cm="1">
        <f t="array" ref="D583">_xlfn.LET(
  _xlpm.aralık, Y583:BF583,
  _xlpm.ilk, MATCH(TRUE, _xlpm.aralık&lt;&gt;0, 0),
  _xlpm.son, MIN(_xlpm.ilk+2, COLUMNS(_xlpm.aralık)),
  MAX(INDEX(_xlpm.aralık, _xlpm.ilk):INDEX(_xlpm.aralık, _xlpm.son))
)</f>
        <v>86</v>
      </c>
      <c r="E583" s="6">
        <f t="shared" si="117"/>
        <v>0</v>
      </c>
      <c r="F583" s="6">
        <f t="shared" si="118"/>
        <v>0</v>
      </c>
      <c r="G583" s="6">
        <f t="shared" si="125"/>
        <v>0</v>
      </c>
      <c r="H583" s="7">
        <f t="shared" si="119"/>
        <v>-1</v>
      </c>
      <c r="I583" s="7">
        <f t="shared" si="120"/>
        <v>-1</v>
      </c>
      <c r="J583" s="7" t="e">
        <f t="shared" si="121"/>
        <v>#DIV/0!</v>
      </c>
      <c r="K583" s="7">
        <f t="shared" si="126"/>
        <v>0</v>
      </c>
      <c r="L583" s="5" t="s">
        <v>694</v>
      </c>
      <c r="M583" s="7" t="str">
        <f>IF(R583="",(VLOOKUP(A583,[1]Export!$B$2:$H$680,7,0)),"CHURN")</f>
        <v>CHURN</v>
      </c>
      <c r="N583" s="5" t="e">
        <f t="shared" si="127"/>
        <v>#VALUE!</v>
      </c>
      <c r="O583" s="5" t="e">
        <f t="shared" si="128"/>
        <v>#VALUE!</v>
      </c>
      <c r="P583" s="5" t="e">
        <f t="shared" si="129"/>
        <v>#VALUE!</v>
      </c>
      <c r="Q583" s="5" t="s">
        <v>696</v>
      </c>
      <c r="R583" s="5" t="s">
        <v>428</v>
      </c>
      <c r="S583" s="5" t="str">
        <f>VLOOKUP(A583,[3]Sheet1!$A$1:$C$191,3,0)</f>
        <v>Jul.24</v>
      </c>
      <c r="T583" s="6" cm="1">
        <f t="array" ref="T583">IF(R583&lt;&gt;"Churn","",
 _xlfn.LET(
   _xlpm.rng,Y583:BF583,
   _xlpm.pos,MAX(IF((_xlpm.rng&lt;&gt;0)*(_xlpm.rng&lt;&gt;""),COLUMN(_xlpm.rng)-COLUMN(Y583)+1)),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</v>
      </c>
      <c r="U583" s="6" cm="1">
        <f t="array" ref="U583">IF(R583="Churn",
   MAX(IF((Y583:BF583&lt;&gt;"")*(Y583:BF583&lt;&gt;0), COLUMN(Y583:BF583)-COLUMN(Y583)+1))
   -MATCH(1, --((Y583:BF583&lt;&gt;"")*(Y583:BF583&lt;&gt;0)), 0)
   +1,
"")</f>
        <v>12</v>
      </c>
      <c r="V583" s="6" t="str" cm="1">
        <f t="array" ref="V583">IFERROR(
    IF(
        MATCH(2,1/((Y583:BF583&lt;&gt;0)*(Y583:BF583&lt;&gt;"")))-MATCH(1,INDEX((Y583:BF583&lt;&gt;0)*(Y583:BF583&lt;&gt;""),0),0)+1 &lt;= 12,
        "No",
        "Yes"
    ),
    "No"
)</f>
        <v>No</v>
      </c>
      <c r="W583" s="6" t="str" cm="1">
        <f t="array" ref="W583">IFERROR(
    IF(
        MATCH(2,1/((Y583:BF583&lt;&gt;0)*(Y583:BF583&lt;&gt;"")))-MATCH(1,INDEX((Y583:BF583&lt;&gt;0)*(Y583:BF583&lt;&gt;""),0),0)+1 &lt;= 24,
        "No",
        "Yes"
    ),
    "No"
)</f>
        <v>No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86</v>
      </c>
      <c r="AF583" s="8">
        <v>86</v>
      </c>
      <c r="AG583" s="8">
        <v>86</v>
      </c>
      <c r="AH583" s="8">
        <v>86</v>
      </c>
      <c r="AI583" s="8">
        <v>86</v>
      </c>
      <c r="AJ583" s="8">
        <v>86</v>
      </c>
      <c r="AK583" s="8">
        <v>86</v>
      </c>
      <c r="AL583" s="8">
        <v>86</v>
      </c>
      <c r="AM583" s="8">
        <v>86</v>
      </c>
      <c r="AN583" s="8">
        <v>86</v>
      </c>
      <c r="AO583" s="8">
        <v>86</v>
      </c>
      <c r="AP583" s="8">
        <v>86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H583" s="8">
        <f t="shared" si="122"/>
        <v>516</v>
      </c>
      <c r="BI583" s="8">
        <f t="shared" si="123"/>
        <v>516</v>
      </c>
      <c r="BJ583" s="8">
        <f t="shared" si="124"/>
        <v>0</v>
      </c>
    </row>
    <row r="584" spans="1:62" x14ac:dyDescent="0.25">
      <c r="A584" s="9" t="s">
        <v>216</v>
      </c>
      <c r="B584" s="9" t="s">
        <v>644</v>
      </c>
      <c r="C584" s="10">
        <f>VLOOKUP(A584,'[2]Revenue_Engine_2025 Oct.25'!$C$14:G$3937,5,0)</f>
        <v>45098</v>
      </c>
      <c r="D584" s="6" cm="1">
        <f t="array" ref="D584">_xlfn.LET(
  _xlpm.aralık, Y584:BF584,
  _xlpm.ilk, MATCH(TRUE, _xlpm.aralık&lt;&gt;0, 0),
  _xlpm.son, MIN(_xlpm.ilk+2, COLUMNS(_xlpm.aralık)),
  MAX(INDEX(_xlpm.aralık, _xlpm.ilk):INDEX(_xlpm.aralık, _xlpm.son))
)</f>
        <v>575.00033000000008</v>
      </c>
      <c r="E584" s="6">
        <f t="shared" si="117"/>
        <v>600.0006800000001</v>
      </c>
      <c r="F584" s="6">
        <f t="shared" si="118"/>
        <v>0</v>
      </c>
      <c r="G584" s="6">
        <f t="shared" si="125"/>
        <v>0</v>
      </c>
      <c r="H584" s="7">
        <f t="shared" si="119"/>
        <v>4.3478844612141389E-2</v>
      </c>
      <c r="I584" s="7">
        <f t="shared" si="120"/>
        <v>-1</v>
      </c>
      <c r="J584" s="7">
        <f t="shared" si="121"/>
        <v>-1</v>
      </c>
      <c r="K584" s="7">
        <f t="shared" si="126"/>
        <v>4.3478844612141389E-2</v>
      </c>
      <c r="L584" s="5" t="s">
        <v>417</v>
      </c>
      <c r="M584" s="7" t="str">
        <f>IF(R584="",(VLOOKUP(A584,[1]Export!$B$2:$H$680,7,0)),"CHURN")</f>
        <v>CHURN</v>
      </c>
      <c r="N584" s="5" t="e">
        <f t="shared" si="127"/>
        <v>#VALUE!</v>
      </c>
      <c r="O584" s="5" t="e">
        <f t="shared" si="128"/>
        <v>#VALUE!</v>
      </c>
      <c r="P584" s="5" t="e">
        <f t="shared" si="129"/>
        <v>#VALUE!</v>
      </c>
      <c r="Q584" s="5" t="s">
        <v>696</v>
      </c>
      <c r="R584" s="5" t="s">
        <v>428</v>
      </c>
      <c r="S584" s="5" t="str">
        <f>VLOOKUP(A584,[3]Sheet1!$A$1:$C$191,3,0)</f>
        <v>Dec.24</v>
      </c>
      <c r="T584" s="6" cm="1">
        <f t="array" ref="T584">IF(R584&lt;&gt;"Churn","",
 _xlfn.LET(
   _xlpm.rng,Y584:BF584,
   _xlpm.pos,MAX(IF((_xlpm.rng&lt;&gt;0)*(_xlpm.rng&lt;&gt;""),COLUMN(_xlpm.rng)-COLUMN(Y584)+1)),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600.0006800000001</v>
      </c>
      <c r="U584" s="6" cm="1">
        <f t="array" ref="U584">IF(R584="Churn",
   MAX(IF((Y584:BF584&lt;&gt;"")*(Y584:BF584&lt;&gt;0), COLUMN(Y584:BF584)-COLUMN(Y584)+1))
   -MATCH(1, --((Y584:BF584&lt;&gt;"")*(Y584:BF584&lt;&gt;0)), 0)
   +1,
"")</f>
        <v>17</v>
      </c>
      <c r="V584" s="6" t="str" cm="1">
        <f t="array" ref="V584">IFERROR(
    IF(
        MATCH(2,1/((Y584:BF584&lt;&gt;0)*(Y584:BF584&lt;&gt;"")))-MATCH(1,INDEX((Y584:BF584&lt;&gt;0)*(Y584:BF584&lt;&gt;""),0),0)+1 &lt;= 12,
        "No",
        "Yes"
    ),
    "No"
)</f>
        <v>Yes</v>
      </c>
      <c r="W584" s="6" t="str" cm="1">
        <f t="array" ref="W584">IFERROR(
    IF(
        MATCH(2,1/((Y584:BF584&lt;&gt;0)*(Y584:BF584&lt;&gt;"")))-MATCH(1,INDEX((Y584:BF584&lt;&gt;0)*(Y584:BF584&lt;&gt;""),0),0)+1 &lt;= 24,
        "No",
        "Yes"
    ),
    "No"
)</f>
        <v>No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575.00033000000008</v>
      </c>
      <c r="AF584" s="8">
        <v>575.00033000000008</v>
      </c>
      <c r="AG584" s="8">
        <v>575.00033000000008</v>
      </c>
      <c r="AH584" s="8">
        <v>575.00033000000008</v>
      </c>
      <c r="AI584" s="8">
        <v>575.00033000000008</v>
      </c>
      <c r="AJ584" s="8">
        <v>575.00033000000008</v>
      </c>
      <c r="AK584" s="8">
        <v>575.00033000000008</v>
      </c>
      <c r="AL584" s="8">
        <v>575.0006800000001</v>
      </c>
      <c r="AM584" s="8">
        <v>600.0006800000001</v>
      </c>
      <c r="AN584" s="8">
        <v>600.0006800000001</v>
      </c>
      <c r="AO584" s="8">
        <v>600.0006800000001</v>
      </c>
      <c r="AP584" s="8">
        <v>600.0006800000001</v>
      </c>
      <c r="AQ584" s="8">
        <v>600.0006800000001</v>
      </c>
      <c r="AR584" s="8">
        <v>600.0006800000001</v>
      </c>
      <c r="AS584" s="8">
        <v>600.0006800000001</v>
      </c>
      <c r="AT584" s="8">
        <v>600.0006800000001</v>
      </c>
      <c r="AU584" s="8">
        <v>600.0006800000001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H584" s="8">
        <f t="shared" si="122"/>
        <v>3450.00198</v>
      </c>
      <c r="BI584" s="8">
        <f t="shared" si="123"/>
        <v>6550.0071300000009</v>
      </c>
      <c r="BJ584" s="8">
        <f t="shared" si="124"/>
        <v>0</v>
      </c>
    </row>
    <row r="585" spans="1:62" x14ac:dyDescent="0.25">
      <c r="A585" s="9" t="s">
        <v>228</v>
      </c>
      <c r="B585" s="9" t="s">
        <v>644</v>
      </c>
      <c r="C585" s="10">
        <f>VLOOKUP(A585,'[2]Revenue_Engine_2025 Oct.25'!$C$14:G$3937,5,0)</f>
        <v>45176</v>
      </c>
      <c r="D585" s="6" cm="1">
        <f t="array" ref="D585">_xlfn.LET(
  _xlpm.aralık, Y585:BF585,
  _xlpm.ilk, MATCH(TRUE, _xlpm.aralık&lt;&gt;0, 0),
  _xlpm.son, MIN(_xlpm.ilk+2, COLUMNS(_xlpm.aralık)),
  MAX(INDEX(_xlpm.aralık, _xlpm.ilk):INDEX(_xlpm.aralık, _xlpm.son))
)</f>
        <v>200</v>
      </c>
      <c r="E585" s="6">
        <f t="shared" si="117"/>
        <v>200</v>
      </c>
      <c r="F585" s="6">
        <f t="shared" si="118"/>
        <v>0</v>
      </c>
      <c r="G585" s="6">
        <f t="shared" si="125"/>
        <v>0</v>
      </c>
      <c r="H585" s="7">
        <f t="shared" si="119"/>
        <v>0</v>
      </c>
      <c r="I585" s="7">
        <f t="shared" si="120"/>
        <v>-1</v>
      </c>
      <c r="J585" s="7">
        <f t="shared" si="121"/>
        <v>-1</v>
      </c>
      <c r="K585" s="7">
        <f t="shared" si="126"/>
        <v>0</v>
      </c>
      <c r="L585" s="5" t="s">
        <v>422</v>
      </c>
      <c r="M585" s="7" t="str">
        <f>IF(R585="",(VLOOKUP(A585,[1]Export!$B$2:$H$680,7,0)),"CHURN")</f>
        <v>CHURN</v>
      </c>
      <c r="N585" s="5" t="e">
        <f t="shared" si="127"/>
        <v>#VALUE!</v>
      </c>
      <c r="O585" s="5" t="e">
        <f t="shared" si="128"/>
        <v>#VALUE!</v>
      </c>
      <c r="P585" s="5" t="e">
        <f t="shared" si="129"/>
        <v>#VALUE!</v>
      </c>
      <c r="Q585" s="5" t="s">
        <v>696</v>
      </c>
      <c r="R585" s="5" t="s">
        <v>428</v>
      </c>
      <c r="S585" s="5" t="str">
        <f>VLOOKUP(A585,[3]Sheet1!$A$1:$C$191,3,0)</f>
        <v>Oct.24</v>
      </c>
      <c r="T585" s="6" cm="1">
        <f t="array" ref="T585">IF(R585&lt;&gt;"Churn","",
 _xlfn.LET(
   _xlpm.rng,Y585:BF585,
   _xlpm.pos,MAX(IF((_xlpm.rng&lt;&gt;0)*(_xlpm.rng&lt;&gt;""),COLUMN(_xlpm.rng)-COLUMN(Y585)+1)),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200</v>
      </c>
      <c r="U585" s="6" cm="1">
        <f t="array" ref="U585">IF(R585="Churn",
   MAX(IF((Y585:BF585&lt;&gt;"")*(Y585:BF585&lt;&gt;0), COLUMN(Y585:BF585)-COLUMN(Y585)+1))
   -MATCH(1, --((Y585:BF585&lt;&gt;"")*(Y585:BF585&lt;&gt;0)), 0)
   +1,
"")</f>
        <v>15</v>
      </c>
      <c r="V585" s="6" t="str" cm="1">
        <f t="array" ref="V585">IFERROR(
    IF(
        MATCH(2,1/((Y585:BF585&lt;&gt;0)*(Y585:BF585&lt;&gt;"")))-MATCH(1,INDEX((Y585:BF585&lt;&gt;0)*(Y585:BF585&lt;&gt;""),0),0)+1 &lt;= 12,
        "No",
        "Yes"
    ),
    "No"
)</f>
        <v>Yes</v>
      </c>
      <c r="W585" s="6" t="str" cm="1">
        <f t="array" ref="W585">IFERROR(
    IF(
        MATCH(2,1/((Y585:BF585&lt;&gt;0)*(Y585:BF585&lt;&gt;"")))-MATCH(1,INDEX((Y585:BF585&lt;&gt;0)*(Y585:BF585&lt;&gt;""),0),0)+1 &lt;= 24,
        "No",
        "Yes"
    ),
    "No"
)</f>
        <v>No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200</v>
      </c>
      <c r="AH585" s="8">
        <v>200</v>
      </c>
      <c r="AI585" s="8">
        <v>200</v>
      </c>
      <c r="AJ585" s="8">
        <v>200</v>
      </c>
      <c r="AK585" s="8">
        <v>200</v>
      </c>
      <c r="AL585" s="8">
        <v>200</v>
      </c>
      <c r="AM585" s="8">
        <v>200</v>
      </c>
      <c r="AN585" s="8">
        <v>200</v>
      </c>
      <c r="AO585" s="8">
        <v>200</v>
      </c>
      <c r="AP585" s="8">
        <v>200</v>
      </c>
      <c r="AQ585" s="8">
        <v>200</v>
      </c>
      <c r="AR585" s="8">
        <v>200</v>
      </c>
      <c r="AS585" s="8">
        <v>200</v>
      </c>
      <c r="AT585" s="8">
        <v>0.01</v>
      </c>
      <c r="AU585" s="8">
        <v>0.01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H585" s="8">
        <f t="shared" si="122"/>
        <v>800</v>
      </c>
      <c r="BI585" s="8">
        <f t="shared" si="123"/>
        <v>1800.02</v>
      </c>
      <c r="BJ585" s="8">
        <f t="shared" si="124"/>
        <v>0</v>
      </c>
    </row>
    <row r="586" spans="1:62" x14ac:dyDescent="0.25">
      <c r="A586" s="9" t="s">
        <v>238</v>
      </c>
      <c r="B586" s="9" t="s">
        <v>644</v>
      </c>
      <c r="C586" s="10">
        <f>VLOOKUP(A586,'[2]Revenue_Engine_2025 Oct.25'!$C$14:G$3937,5,0)</f>
        <v>45219</v>
      </c>
      <c r="D586" s="6" cm="1">
        <f t="array" ref="D586">_xlfn.LET(
  _xlpm.aralık, Y586:BF586,
  _xlpm.ilk, MATCH(TRUE, _xlpm.aralık&lt;&gt;0, 0),
  _xlpm.son, MIN(_xlpm.ilk+2, COLUMNS(_xlpm.aralık)),
  MAX(INDEX(_xlpm.aralık, _xlpm.ilk):INDEX(_xlpm.aralık, _xlpm.son))
)</f>
        <v>595.03000000000009</v>
      </c>
      <c r="E586" s="6">
        <f t="shared" si="117"/>
        <v>645.03</v>
      </c>
      <c r="F586" s="6">
        <f t="shared" si="118"/>
        <v>0</v>
      </c>
      <c r="G586" s="6">
        <f t="shared" si="125"/>
        <v>0</v>
      </c>
      <c r="H586" s="7">
        <f t="shared" si="119"/>
        <v>8.4029376670083658E-2</v>
      </c>
      <c r="I586" s="7">
        <f t="shared" si="120"/>
        <v>-1</v>
      </c>
      <c r="J586" s="7">
        <f t="shared" si="121"/>
        <v>-1</v>
      </c>
      <c r="K586" s="7">
        <f t="shared" si="126"/>
        <v>8.4029376670083658E-2</v>
      </c>
      <c r="L586" s="5" t="s">
        <v>420</v>
      </c>
      <c r="M586" s="7" t="str">
        <f>IF(R586="",(VLOOKUP(A586,[1]Export!$B$2:$H$680,7,0)),"CHURN")</f>
        <v>CHURN</v>
      </c>
      <c r="N586" s="5" t="e">
        <f t="shared" si="127"/>
        <v>#VALUE!</v>
      </c>
      <c r="O586" s="5" t="e">
        <f t="shared" si="128"/>
        <v>#VALUE!</v>
      </c>
      <c r="P586" s="5" t="e">
        <f t="shared" si="129"/>
        <v>#VALUE!</v>
      </c>
      <c r="Q586" s="5" t="s">
        <v>696</v>
      </c>
      <c r="R586" s="5" t="s">
        <v>428</v>
      </c>
      <c r="S586" s="5" t="str">
        <f>VLOOKUP(A586,[3]Sheet1!$A$1:$C$191,3,0)</f>
        <v>Dec.24</v>
      </c>
      <c r="T586" s="6" cm="1">
        <f t="array" ref="T586">IF(R586&lt;&gt;"Churn","",
 _xlfn.LET(
   _xlpm.rng,Y586:BF586,
   _xlpm.pos,MAX(IF((_xlpm.rng&lt;&gt;0)*(_xlpm.rng&lt;&gt;""),COLUMN(_xlpm.rng)-COLUMN(Y586)+1)),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645.03</v>
      </c>
      <c r="U586" s="6" cm="1">
        <f t="array" ref="U586">IF(R586="Churn",
   MAX(IF((Y586:BF586&lt;&gt;"")*(Y586:BF586&lt;&gt;0), COLUMN(Y586:BF586)-COLUMN(Y586)+1))
   -MATCH(1, --((Y586:BF586&lt;&gt;"")*(Y586:BF586&lt;&gt;0)), 0)
   +1,
"")</f>
        <v>14</v>
      </c>
      <c r="V586" s="6" t="str" cm="1">
        <f t="array" ref="V586">IFERROR(
    IF(
        MATCH(2,1/((Y586:BF586&lt;&gt;0)*(Y586:BF586&lt;&gt;"")))-MATCH(1,INDEX((Y586:BF586&lt;&gt;0)*(Y586:BF586&lt;&gt;""),0),0)+1 &lt;= 12,
        "No",
        "Yes"
    ),
    "No"
)</f>
        <v>Yes</v>
      </c>
      <c r="W586" s="6" t="str" cm="1">
        <f t="array" ref="W586">IFERROR(
    IF(
        MATCH(2,1/((Y586:BF586&lt;&gt;0)*(Y586:BF586&lt;&gt;"")))-MATCH(1,INDEX((Y586:BF586&lt;&gt;0)*(Y586:BF586&lt;&gt;""),0),0)+1 &lt;= 24,
        "No",
        "Yes"
    ),
    "No"
)</f>
        <v>No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559.99904300000003</v>
      </c>
      <c r="AI586" s="8">
        <v>560.03000000000009</v>
      </c>
      <c r="AJ586" s="8">
        <v>595.03000000000009</v>
      </c>
      <c r="AK586" s="8">
        <v>595.03</v>
      </c>
      <c r="AL586" s="8">
        <v>595.03</v>
      </c>
      <c r="AM586" s="8">
        <v>645.03</v>
      </c>
      <c r="AN586" s="8">
        <v>645.03</v>
      </c>
      <c r="AO586" s="8">
        <v>645.03</v>
      </c>
      <c r="AP586" s="8">
        <v>645.03</v>
      </c>
      <c r="AQ586" s="8">
        <v>645.03</v>
      </c>
      <c r="AR586" s="8">
        <v>645.03</v>
      </c>
      <c r="AS586" s="8">
        <v>645.03</v>
      </c>
      <c r="AT586" s="8">
        <v>645.03</v>
      </c>
      <c r="AU586" s="8">
        <v>645.03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H586" s="8">
        <f t="shared" si="122"/>
        <v>1715.0590430000002</v>
      </c>
      <c r="BI586" s="8">
        <f t="shared" si="123"/>
        <v>6995.3299999999981</v>
      </c>
      <c r="BJ586" s="8">
        <f t="shared" si="124"/>
        <v>0</v>
      </c>
    </row>
    <row r="587" spans="1:62" x14ac:dyDescent="0.25">
      <c r="A587" s="9" t="s">
        <v>614</v>
      </c>
      <c r="B587" s="9" t="s">
        <v>644</v>
      </c>
      <c r="C587" s="10">
        <f>VLOOKUP(A587,'[2]Revenue_Engine_2025 Oct.25'!$C$14:G$3937,5,0)</f>
        <v>45251</v>
      </c>
      <c r="D587" s="6" cm="1">
        <f t="array" ref="D587">_xlfn.LET(
  _xlpm.aralık, Y587:BF587,
  _xlpm.ilk, MATCH(TRUE, _xlpm.aralık&lt;&gt;0, 0),
  _xlpm.son, MIN(_xlpm.ilk+2, COLUMNS(_xlpm.aralık)),
  MAX(INDEX(_xlpm.aralık, _xlpm.ilk):INDEX(_xlpm.aralık, _xlpm.son))
)</f>
        <v>146.00092000000001</v>
      </c>
      <c r="E587" s="6">
        <f t="shared" si="117"/>
        <v>0</v>
      </c>
      <c r="F587" s="6">
        <f t="shared" si="118"/>
        <v>0</v>
      </c>
      <c r="G587" s="6">
        <f t="shared" si="125"/>
        <v>0</v>
      </c>
      <c r="H587" s="7">
        <f t="shared" si="119"/>
        <v>-1</v>
      </c>
      <c r="I587" s="7">
        <f t="shared" si="120"/>
        <v>-1</v>
      </c>
      <c r="J587" s="7" t="e">
        <f t="shared" si="121"/>
        <v>#DIV/0!</v>
      </c>
      <c r="K587" s="7">
        <f t="shared" si="126"/>
        <v>0</v>
      </c>
      <c r="L587" s="5" t="s">
        <v>694</v>
      </c>
      <c r="M587" s="7" t="str">
        <f>IF(R587="",(VLOOKUP(A587,[1]Export!$B$2:$H$680,7,0)),"CHURN")</f>
        <v>CHURN</v>
      </c>
      <c r="N587" s="5" t="e">
        <f t="shared" si="127"/>
        <v>#VALUE!</v>
      </c>
      <c r="O587" s="5" t="e">
        <f t="shared" si="128"/>
        <v>#VALUE!</v>
      </c>
      <c r="P587" s="5" t="e">
        <f t="shared" si="129"/>
        <v>#VALUE!</v>
      </c>
      <c r="Q587" s="5" t="s">
        <v>696</v>
      </c>
      <c r="R587" s="5" t="s">
        <v>428</v>
      </c>
      <c r="S587" s="5" t="str">
        <f>VLOOKUP(A587,[3]Sheet1!$A$1:$C$191,3,0)</f>
        <v>Nov.24</v>
      </c>
      <c r="T587" s="6" cm="1">
        <f t="array" ref="T587">IF(R587&lt;&gt;"Churn","",
 _xlfn.LET(
   _xlpm.rng,Y587:BF587,
   _xlpm.pos,MAX(IF((_xlpm.rng&lt;&gt;0)*(_xlpm.rng&lt;&gt;""),COLUMN(_xlpm.rng)-COLUMN(Y587)+1)),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146.00092000000001</v>
      </c>
      <c r="U587" s="6" cm="1">
        <f t="array" ref="U587">IF(R587="Churn",
   MAX(IF((Y587:BF587&lt;&gt;"")*(Y587:BF587&lt;&gt;0), COLUMN(Y587:BF587)-COLUMN(Y587)+1))
   -MATCH(1, --((Y587:BF587&lt;&gt;"")*(Y587:BF587&lt;&gt;0)), 0)
   +1,
"")</f>
        <v>12</v>
      </c>
      <c r="V587" s="6" t="str" cm="1">
        <f t="array" ref="V587">IFERROR(
    IF(
        MATCH(2,1/((Y587:BF587&lt;&gt;0)*(Y587:BF587&lt;&gt;"")))-MATCH(1,INDEX((Y587:BF587&lt;&gt;0)*(Y587:BF587&lt;&gt;""),0),0)+1 &lt;= 12,
        "No",
        "Yes"
    ),
    "No"
)</f>
        <v>No</v>
      </c>
      <c r="W587" s="6" t="str" cm="1">
        <f t="array" ref="W587">IFERROR(
    IF(
        MATCH(2,1/((Y587:BF587&lt;&gt;0)*(Y587:BF587&lt;&gt;"")))-MATCH(1,INDEX((Y587:BF587&lt;&gt;0)*(Y587:BF587&lt;&gt;""),0),0)+1 &lt;= 24,
        "No",
        "Yes"
    ),
    "No"
)</f>
        <v>No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146</v>
      </c>
      <c r="AJ587" s="8">
        <v>146.00092000000001</v>
      </c>
      <c r="AK587" s="8">
        <v>146.00092000000001</v>
      </c>
      <c r="AL587" s="8">
        <v>146.00092000000001</v>
      </c>
      <c r="AM587" s="8">
        <v>146.00092000000001</v>
      </c>
      <c r="AN587" s="8">
        <v>146.00092000000001</v>
      </c>
      <c r="AO587" s="8">
        <v>146.00092000000001</v>
      </c>
      <c r="AP587" s="8">
        <v>146.00092000000001</v>
      </c>
      <c r="AQ587" s="8">
        <v>146.00092000000001</v>
      </c>
      <c r="AR587" s="8">
        <v>146.00092000000001</v>
      </c>
      <c r="AS587" s="8">
        <v>146.00092000000001</v>
      </c>
      <c r="AT587" s="8">
        <v>146.00092000000001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H587" s="8">
        <f t="shared" si="122"/>
        <v>292.00092000000001</v>
      </c>
      <c r="BI587" s="8">
        <f t="shared" si="123"/>
        <v>1460.0091999999997</v>
      </c>
      <c r="BJ587" s="8">
        <f t="shared" si="124"/>
        <v>0</v>
      </c>
    </row>
    <row r="588" spans="1:62" x14ac:dyDescent="0.25">
      <c r="A588" s="9" t="s">
        <v>615</v>
      </c>
      <c r="B588" s="9" t="s">
        <v>644</v>
      </c>
      <c r="C588" s="10">
        <f>VLOOKUP(A588,'[2]Revenue_Engine_2025 Oct.25'!$C$14:G$3937,5,0)</f>
        <v>45239</v>
      </c>
      <c r="D588" s="6" cm="1">
        <f t="array" ref="D588">_xlfn.LET(
  _xlpm.aralık, Y588:BF588,
  _xlpm.ilk, MATCH(TRUE, _xlpm.aralık&lt;&gt;0, 0),
  _xlpm.son, MIN(_xlpm.ilk+2, COLUMNS(_xlpm.aralık)),
  MAX(INDEX(_xlpm.aralık, _xlpm.ilk):INDEX(_xlpm.aralık, _xlpm.son))
)</f>
        <v>119.16666666666667</v>
      </c>
      <c r="E588" s="6">
        <f t="shared" si="117"/>
        <v>0</v>
      </c>
      <c r="F588" s="6">
        <f t="shared" si="118"/>
        <v>0</v>
      </c>
      <c r="G588" s="6">
        <f t="shared" si="125"/>
        <v>0</v>
      </c>
      <c r="H588" s="7">
        <f t="shared" si="119"/>
        <v>-1</v>
      </c>
      <c r="I588" s="7">
        <f t="shared" si="120"/>
        <v>-1</v>
      </c>
      <c r="J588" s="7" t="e">
        <f t="shared" si="121"/>
        <v>#DIV/0!</v>
      </c>
      <c r="K588" s="7">
        <f t="shared" si="126"/>
        <v>0</v>
      </c>
      <c r="L588" s="5" t="s">
        <v>694</v>
      </c>
      <c r="M588" s="7" t="str">
        <f>IF(R588="",(VLOOKUP(A588,[1]Export!$B$2:$H$680,7,0)),"CHURN")</f>
        <v>CHURN</v>
      </c>
      <c r="N588" s="5" t="e">
        <f t="shared" si="127"/>
        <v>#VALUE!</v>
      </c>
      <c r="O588" s="5" t="e">
        <f t="shared" si="128"/>
        <v>#VALUE!</v>
      </c>
      <c r="P588" s="5" t="e">
        <f t="shared" si="129"/>
        <v>#VALUE!</v>
      </c>
      <c r="Q588" s="5" t="s">
        <v>696</v>
      </c>
      <c r="R588" s="5" t="s">
        <v>428</v>
      </c>
      <c r="S588" s="5" t="str">
        <f>VLOOKUP(A588,[3]Sheet1!$A$1:$C$191,3,0)</f>
        <v>Dec.23</v>
      </c>
      <c r="T588" s="6" cm="1">
        <f t="array" ref="T588">IF(R588&lt;&gt;"Churn","",
 _xlfn.LET(
   _xlpm.rng,Y588:BF588,
   _xlpm.pos,MAX(IF((_xlpm.rng&lt;&gt;0)*(_xlpm.rng&lt;&gt;""),COLUMN(_xlpm.rng)-COLUMN(Y588)+1)),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119.16666666666667</v>
      </c>
      <c r="U588" s="6" cm="1">
        <f t="array" ref="U588">IF(R588="Churn",
   MAX(IF((Y588:BF588&lt;&gt;"")*(Y588:BF588&lt;&gt;0), COLUMN(Y588:BF588)-COLUMN(Y588)+1))
   -MATCH(1, --((Y588:BF588&lt;&gt;"")*(Y588:BF588&lt;&gt;0)), 0)
   +1,
"")</f>
        <v>2</v>
      </c>
      <c r="V588" s="6" t="str" cm="1">
        <f t="array" ref="V588">IFERROR(
    IF(
        MATCH(2,1/((Y588:BF588&lt;&gt;0)*(Y588:BF588&lt;&gt;"")))-MATCH(1,INDEX((Y588:BF588&lt;&gt;0)*(Y588:BF588&lt;&gt;""),0),0)+1 &lt;= 12,
        "No",
        "Yes"
    ),
    "No"
)</f>
        <v>No</v>
      </c>
      <c r="W588" s="6" t="str" cm="1">
        <f t="array" ref="W588">IFERROR(
    IF(
        MATCH(2,1/((Y588:BF588&lt;&gt;0)*(Y588:BF588&lt;&gt;"")))-MATCH(1,INDEX((Y588:BF588&lt;&gt;0)*(Y588:BF588&lt;&gt;""),0),0)+1 &lt;= 24,
        "No",
        "Yes"
    ),
    "No"
)</f>
        <v>No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119.16666666666667</v>
      </c>
      <c r="AJ588" s="8">
        <v>-119.16666666666667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H588" s="8">
        <f t="shared" si="122"/>
        <v>0</v>
      </c>
      <c r="BI588" s="8">
        <f t="shared" si="123"/>
        <v>0</v>
      </c>
      <c r="BJ588" s="8">
        <f t="shared" si="124"/>
        <v>0</v>
      </c>
    </row>
    <row r="589" spans="1:62" x14ac:dyDescent="0.25">
      <c r="A589" s="9" t="s">
        <v>616</v>
      </c>
      <c r="B589" s="9" t="s">
        <v>644</v>
      </c>
      <c r="C589" s="10">
        <f>VLOOKUP(A589,'[2]Revenue_Engine_2025 Oct.25'!$C$14:G$3937,5,0)</f>
        <v>45231</v>
      </c>
      <c r="D589" s="6" cm="1">
        <f t="array" ref="D589">_xlfn.LET(
  _xlpm.aralık, Y589:BF589,
  _xlpm.ilk, MATCH(TRUE, _xlpm.aralık&lt;&gt;0, 0),
  _xlpm.son, MIN(_xlpm.ilk+2, COLUMNS(_xlpm.aralık)),
  MAX(INDEX(_xlpm.aralık, _xlpm.ilk):INDEX(_xlpm.aralık, _xlpm.son))
)</f>
        <v>150</v>
      </c>
      <c r="E589" s="6">
        <f t="shared" si="117"/>
        <v>0</v>
      </c>
      <c r="F589" s="6">
        <f t="shared" si="118"/>
        <v>0</v>
      </c>
      <c r="G589" s="6">
        <f t="shared" si="125"/>
        <v>0</v>
      </c>
      <c r="H589" s="7">
        <f t="shared" si="119"/>
        <v>-1</v>
      </c>
      <c r="I589" s="7">
        <f t="shared" si="120"/>
        <v>-1</v>
      </c>
      <c r="J589" s="7" t="e">
        <f t="shared" si="121"/>
        <v>#DIV/0!</v>
      </c>
      <c r="K589" s="7">
        <f t="shared" si="126"/>
        <v>0</v>
      </c>
      <c r="L589" s="5" t="s">
        <v>417</v>
      </c>
      <c r="M589" s="7" t="str">
        <f>IF(R589="",(VLOOKUP(A589,[1]Export!$B$2:$H$680,7,0)),"CHURN")</f>
        <v>CHURN</v>
      </c>
      <c r="N589" s="5" t="e">
        <f t="shared" si="127"/>
        <v>#VALUE!</v>
      </c>
      <c r="O589" s="5" t="e">
        <f t="shared" si="128"/>
        <v>#VALUE!</v>
      </c>
      <c r="P589" s="5" t="e">
        <f t="shared" si="129"/>
        <v>#VALUE!</v>
      </c>
      <c r="Q589" s="5" t="s">
        <v>696</v>
      </c>
      <c r="R589" s="5" t="s">
        <v>428</v>
      </c>
      <c r="S589" s="5" t="str">
        <f>VLOOKUP(A589,[3]Sheet1!$A$1:$C$191,3,0)</f>
        <v>Dec.23</v>
      </c>
      <c r="T589" s="6" cm="1">
        <f t="array" ref="T589">IF(R589&lt;&gt;"Churn","",
 _xlfn.LET(
   _xlpm.rng,Y589:BF589,
   _xlpm.pos,MAX(IF((_xlpm.rng&lt;&gt;0)*(_xlpm.rng&lt;&gt;""),COLUMN(_xlpm.rng)-COLUMN(Y589)+1)),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150</v>
      </c>
      <c r="U589" s="6" cm="1">
        <f t="array" ref="U589">IF(R589="Churn",
   MAX(IF((Y589:BF589&lt;&gt;"")*(Y589:BF589&lt;&gt;0), COLUMN(Y589:BF589)-COLUMN(Y589)+1))
   -MATCH(1, --((Y589:BF589&lt;&gt;"")*(Y589:BF589&lt;&gt;0)), 0)
   +1,
"")</f>
        <v>2</v>
      </c>
      <c r="V589" s="6" t="str" cm="1">
        <f t="array" ref="V589">IFERROR(
    IF(
        MATCH(2,1/((Y589:BF589&lt;&gt;0)*(Y589:BF589&lt;&gt;"")))-MATCH(1,INDEX((Y589:BF589&lt;&gt;0)*(Y589:BF589&lt;&gt;""),0),0)+1 &lt;= 12,
        "No",
        "Yes"
    ),
    "No"
)</f>
        <v>No</v>
      </c>
      <c r="W589" s="6" t="str" cm="1">
        <f t="array" ref="W589">IFERROR(
    IF(
        MATCH(2,1/((Y589:BF589&lt;&gt;0)*(Y589:BF589&lt;&gt;"")))-MATCH(1,INDEX((Y589:BF589&lt;&gt;0)*(Y589:BF589&lt;&gt;""),0),0)+1 &lt;= 24,
        "No",
        "Yes"
    ),
    "No"
)</f>
        <v>No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150</v>
      </c>
      <c r="AJ589" s="8">
        <v>-150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H589" s="8">
        <f t="shared" si="122"/>
        <v>0</v>
      </c>
      <c r="BI589" s="8">
        <f t="shared" si="123"/>
        <v>0</v>
      </c>
      <c r="BJ589" s="8">
        <f t="shared" si="124"/>
        <v>0</v>
      </c>
    </row>
    <row r="590" spans="1:62" x14ac:dyDescent="0.25">
      <c r="A590" s="9" t="s">
        <v>617</v>
      </c>
      <c r="B590" s="9" t="s">
        <v>644</v>
      </c>
      <c r="C590" s="10">
        <f>VLOOKUP(A590,'[2]Revenue_Engine_2025 Oct.25'!$C$14:G$3937,5,0)</f>
        <v>45260</v>
      </c>
      <c r="D590" s="6" cm="1">
        <f t="array" ref="D590">_xlfn.LET(
  _xlpm.aralık, Y590:BF590,
  _xlpm.ilk, MATCH(TRUE, _xlpm.aralık&lt;&gt;0, 0),
  _xlpm.son, MIN(_xlpm.ilk+2, COLUMNS(_xlpm.aralık)),
  MAX(INDEX(_xlpm.aralık, _xlpm.ilk):INDEX(_xlpm.aralık, _xlpm.son))
)</f>
        <v>103.2</v>
      </c>
      <c r="E590" s="6">
        <f t="shared" si="117"/>
        <v>0</v>
      </c>
      <c r="F590" s="6">
        <f t="shared" si="118"/>
        <v>0</v>
      </c>
      <c r="G590" s="6">
        <f t="shared" si="125"/>
        <v>0</v>
      </c>
      <c r="H590" s="7">
        <f t="shared" si="119"/>
        <v>-1</v>
      </c>
      <c r="I590" s="7">
        <f t="shared" si="120"/>
        <v>-1</v>
      </c>
      <c r="J590" s="7" t="e">
        <f t="shared" si="121"/>
        <v>#DIV/0!</v>
      </c>
      <c r="K590" s="7">
        <f t="shared" si="126"/>
        <v>0</v>
      </c>
      <c r="L590" s="5" t="s">
        <v>694</v>
      </c>
      <c r="M590" s="7" t="str">
        <f>IF(R590="",(VLOOKUP(A590,[1]Export!$B$2:$H$680,7,0)),"CHURN")</f>
        <v>CHURN</v>
      </c>
      <c r="N590" s="5" t="e">
        <f t="shared" si="127"/>
        <v>#VALUE!</v>
      </c>
      <c r="O590" s="5" t="e">
        <f t="shared" si="128"/>
        <v>#VALUE!</v>
      </c>
      <c r="P590" s="5" t="e">
        <f t="shared" si="129"/>
        <v>#VALUE!</v>
      </c>
      <c r="Q590" s="5" t="s">
        <v>696</v>
      </c>
      <c r="R590" s="5" t="s">
        <v>428</v>
      </c>
      <c r="S590" s="5" t="str">
        <f>VLOOKUP(A590,[3]Sheet1!$A$1:$C$191,3,0)</f>
        <v>Nov.24</v>
      </c>
      <c r="T590" s="6" cm="1">
        <f t="array" ref="T590">IF(R590&lt;&gt;"Churn","",
 _xlfn.LET(
   _xlpm.rng,Y590:BF590,
   _xlpm.pos,MAX(IF((_xlpm.rng&lt;&gt;0)*(_xlpm.rng&lt;&gt;""),COLUMN(_xlpm.rng)-COLUMN(Y590)+1)),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</v>
      </c>
      <c r="U590" s="6" cm="1">
        <f t="array" ref="U590">IF(R590="Churn",
   MAX(IF((Y590:BF590&lt;&gt;"")*(Y590:BF590&lt;&gt;0), COLUMN(Y590:BF590)-COLUMN(Y590)+1))
   -MATCH(1, --((Y590:BF590&lt;&gt;"")*(Y590:BF590&lt;&gt;0)), 0)
   +1,
"")</f>
        <v>12</v>
      </c>
      <c r="V590" s="6" t="str" cm="1">
        <f t="array" ref="V590">IFERROR(
    IF(
        MATCH(2,1/((Y590:BF590&lt;&gt;0)*(Y590:BF590&lt;&gt;"")))-MATCH(1,INDEX((Y590:BF590&lt;&gt;0)*(Y590:BF590&lt;&gt;""),0),0)+1 &lt;= 12,
        "No",
        "Yes"
    ),
    "No"
)</f>
        <v>No</v>
      </c>
      <c r="W590" s="6" t="str" cm="1">
        <f t="array" ref="W590">IFERROR(
    IF(
        MATCH(2,1/((Y590:BF590&lt;&gt;0)*(Y590:BF590&lt;&gt;"")))-MATCH(1,INDEX((Y590:BF590&lt;&gt;0)*(Y590:BF590&lt;&gt;""),0),0)+1 &lt;= 24,
        "No",
        "Yes"
    ),
    "No"
)</f>
        <v>No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103.2</v>
      </c>
      <c r="AJ590" s="8">
        <v>103.2</v>
      </c>
      <c r="AK590" s="8">
        <v>103.2</v>
      </c>
      <c r="AL590" s="8">
        <v>103.2</v>
      </c>
      <c r="AM590" s="8">
        <v>103.2</v>
      </c>
      <c r="AN590" s="8">
        <v>103.2</v>
      </c>
      <c r="AO590" s="8">
        <v>103.2</v>
      </c>
      <c r="AP590" s="8">
        <v>103.2</v>
      </c>
      <c r="AQ590" s="8">
        <v>103.2</v>
      </c>
      <c r="AR590" s="8">
        <v>103.2</v>
      </c>
      <c r="AS590" s="8">
        <v>103.2</v>
      </c>
      <c r="AT590" s="8">
        <v>103.2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H590" s="8">
        <f t="shared" si="122"/>
        <v>206.4</v>
      </c>
      <c r="BI590" s="8">
        <f t="shared" si="123"/>
        <v>1032.0000000000002</v>
      </c>
      <c r="BJ590" s="8">
        <f t="shared" si="124"/>
        <v>0</v>
      </c>
    </row>
    <row r="591" spans="1:62" x14ac:dyDescent="0.25">
      <c r="A591" s="9" t="s">
        <v>252</v>
      </c>
      <c r="B591" s="9" t="s">
        <v>644</v>
      </c>
      <c r="C591" s="10">
        <f>VLOOKUP(A591,'[2]Revenue_Engine_2025 Oct.25'!$C$14:G$3937,5,0)</f>
        <v>45261</v>
      </c>
      <c r="D591" s="6" cm="1">
        <f t="array" ref="D591">_xlfn.LET(
  _xlpm.aralık, Y591:BF591,
  _xlpm.ilk, MATCH(TRUE, _xlpm.aralık&lt;&gt;0, 0),
  _xlpm.son, MIN(_xlpm.ilk+2, COLUMNS(_xlpm.aralık)),
  MAX(INDEX(_xlpm.aralık, _xlpm.ilk):INDEX(_xlpm.aralık, _xlpm.son))
)</f>
        <v>165</v>
      </c>
      <c r="E591" s="6">
        <f t="shared" si="117"/>
        <v>175</v>
      </c>
      <c r="F591" s="6">
        <f t="shared" si="118"/>
        <v>0</v>
      </c>
      <c r="G591" s="6">
        <f t="shared" si="125"/>
        <v>0</v>
      </c>
      <c r="H591" s="7">
        <f t="shared" si="119"/>
        <v>6.0606060606060608E-2</v>
      </c>
      <c r="I591" s="7">
        <f t="shared" si="120"/>
        <v>-1</v>
      </c>
      <c r="J591" s="7">
        <f t="shared" si="121"/>
        <v>-1</v>
      </c>
      <c r="K591" s="7">
        <f t="shared" si="126"/>
        <v>6.0606060606060608E-2</v>
      </c>
      <c r="L591" s="5" t="s">
        <v>418</v>
      </c>
      <c r="M591" s="7" t="str">
        <f>IF(R591="",(VLOOKUP(A591,[1]Export!$B$2:$H$680,7,0)),"CHURN")</f>
        <v>CHURN</v>
      </c>
      <c r="N591" s="5" t="e">
        <f t="shared" si="127"/>
        <v>#VALUE!</v>
      </c>
      <c r="O591" s="5" t="e">
        <f t="shared" si="128"/>
        <v>#VALUE!</v>
      </c>
      <c r="P591" s="5" t="e">
        <f t="shared" si="129"/>
        <v>#VALUE!</v>
      </c>
      <c r="Q591" s="5" t="s">
        <v>696</v>
      </c>
      <c r="R591" s="5" t="s">
        <v>428</v>
      </c>
      <c r="S591" s="5" t="str">
        <f>VLOOKUP(A591,[3]Sheet1!$A$1:$C$191,3,0)</f>
        <v>Feb.25</v>
      </c>
      <c r="T591" s="6" cm="1">
        <f t="array" ref="T591">IF(R591&lt;&gt;"Churn","",
 _xlfn.LET(
   _xlpm.rng,Y591:BF591,
   _xlpm.pos,MAX(IF((_xlpm.rng&lt;&gt;0)*(_xlpm.rng&lt;&gt;""),COLUMN(_xlpm.rng)-COLUMN(Y591)+1)),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</v>
      </c>
      <c r="U591" s="6" cm="1">
        <f t="array" ref="U591">IF(R591="Churn",
   MAX(IF((Y591:BF591&lt;&gt;"")*(Y591:BF591&lt;&gt;0), COLUMN(Y591:BF591)-COLUMN(Y591)+1))
   -MATCH(1, --((Y591:BF591&lt;&gt;"")*(Y591:BF591&lt;&gt;0)), 0)
   +1,
"")</f>
        <v>14</v>
      </c>
      <c r="V591" s="6" t="str" cm="1">
        <f t="array" ref="V591">IFERROR(
    IF(
        MATCH(2,1/((Y591:BF591&lt;&gt;0)*(Y591:BF591&lt;&gt;"")))-MATCH(1,INDEX((Y591:BF591&lt;&gt;0)*(Y591:BF591&lt;&gt;""),0),0)+1 &lt;= 12,
        "No",
        "Yes"
    ),
    "No"
)</f>
        <v>Yes</v>
      </c>
      <c r="W591" s="6" t="str" cm="1">
        <f t="array" ref="W591">IFERROR(
    IF(
        MATCH(2,1/((Y591:BF591&lt;&gt;0)*(Y591:BF591&lt;&gt;"")))-MATCH(1,INDEX((Y591:BF591&lt;&gt;0)*(Y591:BF591&lt;&gt;""),0),0)+1 &lt;= 24,
        "No",
        "Yes"
    ),
    "No"
)</f>
        <v>No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165</v>
      </c>
      <c r="AK591" s="8">
        <v>165</v>
      </c>
      <c r="AL591" s="8">
        <v>165</v>
      </c>
      <c r="AM591" s="8">
        <v>175</v>
      </c>
      <c r="AN591" s="8">
        <v>175</v>
      </c>
      <c r="AO591" s="8">
        <v>175</v>
      </c>
      <c r="AP591" s="8">
        <v>175</v>
      </c>
      <c r="AQ591" s="8">
        <v>175</v>
      </c>
      <c r="AR591" s="8">
        <v>175</v>
      </c>
      <c r="AS591" s="8">
        <v>175</v>
      </c>
      <c r="AT591" s="8">
        <v>175</v>
      </c>
      <c r="AU591" s="8">
        <v>175</v>
      </c>
      <c r="AV591" s="8">
        <v>175</v>
      </c>
      <c r="AW591" s="8">
        <v>175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H591" s="8">
        <f t="shared" si="122"/>
        <v>165</v>
      </c>
      <c r="BI591" s="8">
        <f t="shared" si="123"/>
        <v>2080</v>
      </c>
      <c r="BJ591" s="8">
        <f t="shared" si="124"/>
        <v>175</v>
      </c>
    </row>
    <row r="592" spans="1:62" x14ac:dyDescent="0.25">
      <c r="A592" s="9" t="s">
        <v>618</v>
      </c>
      <c r="B592" s="9" t="s">
        <v>644</v>
      </c>
      <c r="C592" s="10">
        <f>VLOOKUP(A592,'[2]Revenue_Engine_2025 Oct.25'!$C$14:G$3937,5,0)</f>
        <v>45638</v>
      </c>
      <c r="D592" s="6" cm="1">
        <f t="array" ref="D592">_xlfn.LET(
  _xlpm.aralık, Y592:BF592,
  _xlpm.ilk, MATCH(TRUE, _xlpm.aralık&lt;&gt;0, 0),
  _xlpm.son, MIN(_xlpm.ilk+2, COLUMNS(_xlpm.aralık)),
  MAX(INDEX(_xlpm.aralık, _xlpm.ilk):INDEX(_xlpm.aralık, _xlpm.son))
)</f>
        <v>175</v>
      </c>
      <c r="E592" s="6">
        <f t="shared" si="117"/>
        <v>0</v>
      </c>
      <c r="F592" s="6">
        <f t="shared" si="118"/>
        <v>0</v>
      </c>
      <c r="G592" s="6">
        <f t="shared" si="125"/>
        <v>0</v>
      </c>
      <c r="H592" s="7">
        <f t="shared" si="119"/>
        <v>-1</v>
      </c>
      <c r="I592" s="7">
        <f t="shared" si="120"/>
        <v>-1</v>
      </c>
      <c r="J592" s="7" t="e">
        <f t="shared" si="121"/>
        <v>#DIV/0!</v>
      </c>
      <c r="K592" s="7">
        <f t="shared" si="126"/>
        <v>0</v>
      </c>
      <c r="L592" s="5" t="s">
        <v>421</v>
      </c>
      <c r="M592" s="7" t="str">
        <f>IF(R592="",(VLOOKUP(A592,[1]Export!$B$2:$H$680,7,0)),"CHURN")</f>
        <v>CHURN</v>
      </c>
      <c r="N592" s="5" t="e">
        <f t="shared" si="127"/>
        <v>#VALUE!</v>
      </c>
      <c r="O592" s="5" t="e">
        <f t="shared" si="128"/>
        <v>#VALUE!</v>
      </c>
      <c r="P592" s="5" t="e">
        <f t="shared" si="129"/>
        <v>#VALUE!</v>
      </c>
      <c r="Q592" s="5" t="s">
        <v>696</v>
      </c>
      <c r="R592" s="5" t="s">
        <v>428</v>
      </c>
      <c r="S592" s="5" t="str">
        <f>VLOOKUP(A592,[3]Sheet1!$A$1:$C$191,3,0)</f>
        <v>Feb.25</v>
      </c>
      <c r="T592" s="6" cm="1">
        <f t="array" ref="T592">IF(R592&lt;&gt;"Churn","",
 _xlfn.LET(
   _xlpm.rng,Y592:BF592,
   _xlpm.pos,MAX(IF((_xlpm.rng&lt;&gt;0)*(_xlpm.rng&lt;&gt;""),COLUMN(_xlpm.rng)-COLUMN(Y592)+1)),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</v>
      </c>
      <c r="U592" s="6" cm="1">
        <f t="array" ref="U592">IF(R592="Churn",
   MAX(IF((Y592:BF592&lt;&gt;"")*(Y592:BF592&lt;&gt;0), COLUMN(Y592:BF592)-COLUMN(Y592)+1))
   -MATCH(1, --((Y592:BF592&lt;&gt;"")*(Y592:BF592&lt;&gt;0)), 0)
   +1,
"")</f>
        <v>14</v>
      </c>
      <c r="V592" s="6" t="str" cm="1">
        <f t="array" ref="V592">IFERROR(
    IF(
        MATCH(2,1/((Y592:BF592&lt;&gt;0)*(Y592:BF592&lt;&gt;"")))-MATCH(1,INDEX((Y592:BF592&lt;&gt;0)*(Y592:BF592&lt;&gt;""),0),0)+1 &lt;= 12,
        "No",
        "Yes"
    ),
    "No"
)</f>
        <v>Yes</v>
      </c>
      <c r="W592" s="6" t="str" cm="1">
        <f t="array" ref="W592">IFERROR(
    IF(
        MATCH(2,1/((Y592:BF592&lt;&gt;0)*(Y592:BF592&lt;&gt;"")))-MATCH(1,INDEX((Y592:BF592&lt;&gt;0)*(Y592:BF592&lt;&gt;""),0),0)+1 &lt;= 24,
        "No",
        "Yes"
    ),
    "No"
)</f>
        <v>No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175</v>
      </c>
      <c r="AK592" s="8">
        <v>175</v>
      </c>
      <c r="AL592" s="8">
        <v>175</v>
      </c>
      <c r="AM592" s="8">
        <v>175</v>
      </c>
      <c r="AN592" s="8">
        <v>175</v>
      </c>
      <c r="AO592" s="8">
        <v>175</v>
      </c>
      <c r="AP592" s="8">
        <v>175</v>
      </c>
      <c r="AQ592" s="8">
        <v>175</v>
      </c>
      <c r="AR592" s="8">
        <v>175</v>
      </c>
      <c r="AS592" s="8">
        <v>175</v>
      </c>
      <c r="AT592" s="8">
        <v>175</v>
      </c>
      <c r="AU592" s="8">
        <v>175</v>
      </c>
      <c r="AV592" s="8">
        <v>175</v>
      </c>
      <c r="AW592" s="8">
        <v>175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H592" s="8">
        <f t="shared" si="122"/>
        <v>175</v>
      </c>
      <c r="BI592" s="8">
        <f t="shared" si="123"/>
        <v>2100</v>
      </c>
      <c r="BJ592" s="8">
        <f t="shared" si="124"/>
        <v>175</v>
      </c>
    </row>
    <row r="593" spans="1:62" x14ac:dyDescent="0.25">
      <c r="A593" s="9" t="s">
        <v>619</v>
      </c>
      <c r="B593" s="9" t="s">
        <v>644</v>
      </c>
      <c r="C593" s="10">
        <f>VLOOKUP(A593,'[2]Revenue_Engine_2025 Oct.25'!$C$14:G$3937,5,0)</f>
        <v>45299</v>
      </c>
      <c r="D593" s="6" cm="1">
        <f t="array" ref="D593">_xlfn.LET(
  _xlpm.aralık, Y593:BF593,
  _xlpm.ilk, MATCH(TRUE, _xlpm.aralık&lt;&gt;0, 0),
  _xlpm.son, MIN(_xlpm.ilk+2, COLUMNS(_xlpm.aralık)),
  MAX(INDEX(_xlpm.aralık, _xlpm.ilk):INDEX(_xlpm.aralık, _xlpm.son))
)</f>
        <v>570.00000016666672</v>
      </c>
      <c r="E593" s="6">
        <f t="shared" si="117"/>
        <v>0</v>
      </c>
      <c r="F593" s="6">
        <f t="shared" si="118"/>
        <v>0</v>
      </c>
      <c r="G593" s="6">
        <f t="shared" si="125"/>
        <v>0</v>
      </c>
      <c r="H593" s="7">
        <f t="shared" si="119"/>
        <v>-1</v>
      </c>
      <c r="I593" s="7">
        <f t="shared" si="120"/>
        <v>-1</v>
      </c>
      <c r="J593" s="7" t="e">
        <f t="shared" si="121"/>
        <v>#DIV/0!</v>
      </c>
      <c r="K593" s="7">
        <f t="shared" si="126"/>
        <v>0</v>
      </c>
      <c r="L593" s="5" t="s">
        <v>417</v>
      </c>
      <c r="M593" s="7" t="str">
        <f>IF(R593="",(VLOOKUP(A593,[1]Export!$B$2:$H$680,7,0)),"CHURN")</f>
        <v>CHURN</v>
      </c>
      <c r="N593" s="5" t="e">
        <f t="shared" si="127"/>
        <v>#VALUE!</v>
      </c>
      <c r="O593" s="5" t="e">
        <f t="shared" si="128"/>
        <v>#VALUE!</v>
      </c>
      <c r="P593" s="5" t="e">
        <f t="shared" si="129"/>
        <v>#VALUE!</v>
      </c>
      <c r="Q593" s="5" t="s">
        <v>696</v>
      </c>
      <c r="R593" s="5" t="s">
        <v>428</v>
      </c>
      <c r="S593" s="5" t="str">
        <f>VLOOKUP(A593,[3]Sheet1!$A$1:$C$191,3,0)</f>
        <v>Jan.25</v>
      </c>
      <c r="T593" s="6" cm="1">
        <f t="array" ref="T593">IF(R593&lt;&gt;"Churn","",
 _xlfn.LET(
   _xlpm.rng,Y593:BF593,
   _xlpm.pos,MAX(IF((_xlpm.rng&lt;&gt;0)*(_xlpm.rng&lt;&gt;""),COLUMN(_xlpm.rng)-COLUMN(Y593)+1)),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570.00000016666672</v>
      </c>
      <c r="U593" s="6" cm="1">
        <f t="array" ref="U593">IF(R593="Churn",
   MAX(IF((Y593:BF593&lt;&gt;"")*(Y593:BF593&lt;&gt;0), COLUMN(Y593:BF593)-COLUMN(Y593)+1))
   -MATCH(1, --((Y593:BF593&lt;&gt;"")*(Y593:BF593&lt;&gt;0)), 0)
   +1,
"")</f>
        <v>13</v>
      </c>
      <c r="V593" s="6" t="str" cm="1">
        <f t="array" ref="V593">IFERROR(
    IF(
        MATCH(2,1/((Y593:BF593&lt;&gt;0)*(Y593:BF593&lt;&gt;"")))-MATCH(1,INDEX((Y593:BF593&lt;&gt;0)*(Y593:BF593&lt;&gt;""),0),0)+1 &lt;= 12,
        "No",
        "Yes"
    ),
    "No"
)</f>
        <v>Yes</v>
      </c>
      <c r="W593" s="6" t="str" cm="1">
        <f t="array" ref="W593">IFERROR(
    IF(
        MATCH(2,1/((Y593:BF593&lt;&gt;0)*(Y593:BF593&lt;&gt;"")))-MATCH(1,INDEX((Y593:BF593&lt;&gt;0)*(Y593:BF593&lt;&gt;""),0),0)+1 &lt;= 24,
        "No",
        "Yes"
    ),
    "No"
)</f>
        <v>No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570</v>
      </c>
      <c r="AK593" s="8">
        <v>570.00000016666672</v>
      </c>
      <c r="AL593" s="8">
        <v>570.00000016666672</v>
      </c>
      <c r="AM593" s="8">
        <v>570.00000016666672</v>
      </c>
      <c r="AN593" s="8">
        <v>570.00000016666672</v>
      </c>
      <c r="AO593" s="8">
        <v>570.00000016666672</v>
      </c>
      <c r="AP593" s="8">
        <v>570.00000016666672</v>
      </c>
      <c r="AQ593" s="8">
        <v>570.00000016666672</v>
      </c>
      <c r="AR593" s="8">
        <v>570.00000016666672</v>
      </c>
      <c r="AS593" s="8">
        <v>570.00000016666672</v>
      </c>
      <c r="AT593" s="8">
        <v>570.00000016666672</v>
      </c>
      <c r="AU593" s="8">
        <v>570.00000016666672</v>
      </c>
      <c r="AV593" s="8">
        <v>570.00000016666672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H593" s="8">
        <f t="shared" si="122"/>
        <v>570</v>
      </c>
      <c r="BI593" s="8">
        <f t="shared" si="123"/>
        <v>6840.0000020000007</v>
      </c>
      <c r="BJ593" s="8">
        <f t="shared" si="124"/>
        <v>0</v>
      </c>
    </row>
    <row r="594" spans="1:62" x14ac:dyDescent="0.25">
      <c r="A594" s="9" t="s">
        <v>620</v>
      </c>
      <c r="B594" s="9" t="s">
        <v>644</v>
      </c>
      <c r="C594" s="10">
        <f>VLOOKUP(A594,'[2]Revenue_Engine_2025 Oct.25'!$C$14:G$3937,5,0)</f>
        <v>45289</v>
      </c>
      <c r="D594" s="6" cm="1">
        <f t="array" ref="D594">_xlfn.LET(
  _xlpm.aralık, Y594:BF594,
  _xlpm.ilk, MATCH(TRUE, _xlpm.aralık&lt;&gt;0, 0),
  _xlpm.son, MIN(_xlpm.ilk+2, COLUMNS(_xlpm.aralık)),
  MAX(INDEX(_xlpm.aralık, _xlpm.ilk):INDEX(_xlpm.aralık, _xlpm.son))
)</f>
        <v>155</v>
      </c>
      <c r="E594" s="6">
        <f t="shared" si="117"/>
        <v>0</v>
      </c>
      <c r="F594" s="6">
        <f t="shared" si="118"/>
        <v>0</v>
      </c>
      <c r="G594" s="6">
        <f t="shared" si="125"/>
        <v>0</v>
      </c>
      <c r="H594" s="7">
        <f t="shared" si="119"/>
        <v>-1</v>
      </c>
      <c r="I594" s="7">
        <f t="shared" si="120"/>
        <v>-1</v>
      </c>
      <c r="J594" s="7" t="e">
        <f t="shared" si="121"/>
        <v>#DIV/0!</v>
      </c>
      <c r="K594" s="7">
        <f t="shared" si="126"/>
        <v>-1.0670967741948662E-5</v>
      </c>
      <c r="L594" s="5" t="s">
        <v>418</v>
      </c>
      <c r="M594" s="7" t="str">
        <f>IF(R594="",(VLOOKUP(A594,[1]Export!$B$2:$H$680,7,0)),"CHURN")</f>
        <v>CHURN</v>
      </c>
      <c r="N594" s="5" t="e">
        <f t="shared" si="127"/>
        <v>#VALUE!</v>
      </c>
      <c r="O594" s="5" t="e">
        <f t="shared" si="128"/>
        <v>#VALUE!</v>
      </c>
      <c r="P594" s="5" t="e">
        <f t="shared" si="129"/>
        <v>#VALUE!</v>
      </c>
      <c r="Q594" s="5" t="s">
        <v>696</v>
      </c>
      <c r="R594" s="5" t="s">
        <v>428</v>
      </c>
      <c r="S594" s="5" t="str">
        <f>VLOOKUP(A594,[3]Sheet1!$A$1:$C$191,3,0)</f>
        <v>Dec.24</v>
      </c>
      <c r="T594" s="6" cm="1">
        <f t="array" ref="T594">IF(R594&lt;&gt;"Churn","",
 _xlfn.LET(
   _xlpm.rng,Y594:BF594,
   _xlpm.pos,MAX(IF((_xlpm.rng&lt;&gt;0)*(_xlpm.rng&lt;&gt;""),COLUMN(_xlpm.rng)-COLUMN(Y594)+1)),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154.998346</v>
      </c>
      <c r="U594" s="6" cm="1">
        <f t="array" ref="U594">IF(R594="Churn",
   MAX(IF((Y594:BF594&lt;&gt;"")*(Y594:BF594&lt;&gt;0), COLUMN(Y594:BF594)-COLUMN(Y594)+1))
   -MATCH(1, --((Y594:BF594&lt;&gt;"")*(Y594:BF594&lt;&gt;0)), 0)
   +1,
"")</f>
        <v>12</v>
      </c>
      <c r="V594" s="6" t="str" cm="1">
        <f t="array" ref="V594">IFERROR(
    IF(
        MATCH(2,1/((Y594:BF594&lt;&gt;0)*(Y594:BF594&lt;&gt;"")))-MATCH(1,INDEX((Y594:BF594&lt;&gt;0)*(Y594:BF594&lt;&gt;""),0),0)+1 &lt;= 12,
        "No",
        "Yes"
    ),
    "No"
)</f>
        <v>No</v>
      </c>
      <c r="W594" s="6" t="str" cm="1">
        <f t="array" ref="W594">IFERROR(
    IF(
        MATCH(2,1/((Y594:BF594&lt;&gt;0)*(Y594:BF594&lt;&gt;"")))-MATCH(1,INDEX((Y594:BF594&lt;&gt;0)*(Y594:BF594&lt;&gt;""),0),0)+1 &lt;= 24,
        "No",
        "Yes"
    ),
    "No"
)</f>
        <v>No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155</v>
      </c>
      <c r="AK594" s="8">
        <v>154.998346</v>
      </c>
      <c r="AL594" s="8">
        <v>154.998346</v>
      </c>
      <c r="AM594" s="8">
        <v>154.998346</v>
      </c>
      <c r="AN594" s="8">
        <v>154.998346</v>
      </c>
      <c r="AO594" s="8">
        <v>154.998346</v>
      </c>
      <c r="AP594" s="8">
        <v>154.998346</v>
      </c>
      <c r="AQ594" s="8">
        <v>154.998346</v>
      </c>
      <c r="AR594" s="8">
        <v>154.998346</v>
      </c>
      <c r="AS594" s="8">
        <v>154.998346</v>
      </c>
      <c r="AT594" s="8">
        <v>154.998346</v>
      </c>
      <c r="AU594" s="8">
        <v>154.998346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H594" s="8">
        <f t="shared" si="122"/>
        <v>155</v>
      </c>
      <c r="BI594" s="8">
        <f t="shared" si="123"/>
        <v>1704.9818060000002</v>
      </c>
      <c r="BJ594" s="8">
        <f t="shared" si="124"/>
        <v>0</v>
      </c>
    </row>
    <row r="595" spans="1:62" x14ac:dyDescent="0.25">
      <c r="A595" s="9" t="s">
        <v>267</v>
      </c>
      <c r="B595" s="9" t="s">
        <v>644</v>
      </c>
      <c r="C595" s="10">
        <f>VLOOKUP(A595,'[2]Revenue_Engine_2025 Oct.25'!$C$14:G$3937,5,0)</f>
        <v>45295</v>
      </c>
      <c r="D595" s="6" cm="1">
        <f t="array" ref="D595">_xlfn.LET(
  _xlpm.aralık, Y595:BF595,
  _xlpm.ilk, MATCH(TRUE, _xlpm.aralık&lt;&gt;0, 0),
  _xlpm.son, MIN(_xlpm.ilk+2, COLUMNS(_xlpm.aralık)),
  MAX(INDEX(_xlpm.aralık, _xlpm.ilk):INDEX(_xlpm.aralık, _xlpm.son))
)</f>
        <v>208</v>
      </c>
      <c r="E595" s="6">
        <f t="shared" si="117"/>
        <v>208</v>
      </c>
      <c r="F595" s="6">
        <f t="shared" si="118"/>
        <v>0</v>
      </c>
      <c r="G595" s="6">
        <f t="shared" si="125"/>
        <v>0</v>
      </c>
      <c r="H595" s="7">
        <f t="shared" si="119"/>
        <v>0</v>
      </c>
      <c r="I595" s="7">
        <f t="shared" si="120"/>
        <v>-1</v>
      </c>
      <c r="J595" s="7">
        <f t="shared" si="121"/>
        <v>-1</v>
      </c>
      <c r="K595" s="7">
        <f t="shared" si="126"/>
        <v>0</v>
      </c>
      <c r="L595" s="5" t="s">
        <v>419</v>
      </c>
      <c r="M595" s="7" t="str">
        <f>IF(R595="",(VLOOKUP(A595,[1]Export!$B$2:$H$680,7,0)),"CHURN")</f>
        <v>CHURN</v>
      </c>
      <c r="N595" s="5" t="e">
        <f t="shared" si="127"/>
        <v>#VALUE!</v>
      </c>
      <c r="O595" s="5" t="e">
        <f t="shared" si="128"/>
        <v>#VALUE!</v>
      </c>
      <c r="P595" s="5" t="e">
        <f t="shared" si="129"/>
        <v>#VALUE!</v>
      </c>
      <c r="Q595" s="5" t="s">
        <v>696</v>
      </c>
      <c r="R595" s="5" t="s">
        <v>428</v>
      </c>
      <c r="S595" s="5" t="str">
        <f>VLOOKUP(A595,[3]Sheet1!$A$1:$C$191,3,0)</f>
        <v>Feb.25</v>
      </c>
      <c r="T595" s="6" cm="1">
        <f t="array" ref="T595">IF(R595&lt;&gt;"Churn","",
 _xlfn.LET(
   _xlpm.rng,Y595:BF595,
   _xlpm.pos,MAX(IF((_xlpm.rng&lt;&gt;0)*(_xlpm.rng&lt;&gt;""),COLUMN(_xlpm.rng)-COLUMN(Y595)+1)),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208</v>
      </c>
      <c r="U595" s="6" cm="1">
        <f t="array" ref="U595">IF(R595="Churn",
   MAX(IF((Y595:BF595&lt;&gt;"")*(Y595:BF595&lt;&gt;0), COLUMN(Y595:BF595)-COLUMN(Y595)+1))
   -MATCH(1, --((Y595:BF595&lt;&gt;"")*(Y595:BF595&lt;&gt;0)), 0)
   +1,
"")</f>
        <v>13</v>
      </c>
      <c r="V595" s="6" t="str" cm="1">
        <f t="array" ref="V595">IFERROR(
    IF(
        MATCH(2,1/((Y595:BF595&lt;&gt;0)*(Y595:BF595&lt;&gt;"")))-MATCH(1,INDEX((Y595:BF595&lt;&gt;0)*(Y595:BF595&lt;&gt;""),0),0)+1 &lt;= 12,
        "No",
        "Yes"
    ),
    "No"
)</f>
        <v>Yes</v>
      </c>
      <c r="W595" s="6" t="str" cm="1">
        <f t="array" ref="W595">IFERROR(
    IF(
        MATCH(2,1/((Y595:BF595&lt;&gt;0)*(Y595:BF595&lt;&gt;"")))-MATCH(1,INDEX((Y595:BF595&lt;&gt;0)*(Y595:BF595&lt;&gt;""),0),0)+1 &lt;= 24,
        "No",
        "Yes"
    ),
    "No"
)</f>
        <v>No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187.5</v>
      </c>
      <c r="AL595" s="8">
        <v>208</v>
      </c>
      <c r="AM595" s="8">
        <v>208</v>
      </c>
      <c r="AN595" s="8">
        <v>208</v>
      </c>
      <c r="AO595" s="8">
        <v>208</v>
      </c>
      <c r="AP595" s="8">
        <v>208</v>
      </c>
      <c r="AQ595" s="8">
        <v>208</v>
      </c>
      <c r="AR595" s="8">
        <v>208</v>
      </c>
      <c r="AS595" s="8">
        <v>208</v>
      </c>
      <c r="AT595" s="8">
        <v>208</v>
      </c>
      <c r="AU595" s="8">
        <v>208</v>
      </c>
      <c r="AV595" s="8">
        <v>208</v>
      </c>
      <c r="AW595" s="8">
        <v>208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H595" s="8">
        <f t="shared" si="122"/>
        <v>0</v>
      </c>
      <c r="BI595" s="8">
        <f t="shared" si="123"/>
        <v>2475.5</v>
      </c>
      <c r="BJ595" s="8">
        <f t="shared" si="124"/>
        <v>208</v>
      </c>
    </row>
    <row r="596" spans="1:62" x14ac:dyDescent="0.25">
      <c r="A596" s="9" t="s">
        <v>621</v>
      </c>
      <c r="B596" s="9" t="s">
        <v>644</v>
      </c>
      <c r="C596" s="10">
        <v>45839</v>
      </c>
      <c r="D596" s="6" cm="1">
        <f t="array" ref="D596">_xlfn.LET(
  _xlpm.aralık, Y596:BF596,
  _xlpm.ilk, MATCH(TRUE, _xlpm.aralık&lt;&gt;0, 0),
  _xlpm.son, MIN(_xlpm.ilk+2, COLUMNS(_xlpm.aralık)),
  MAX(INDEX(_xlpm.aralık, _xlpm.ilk):INDEX(_xlpm.aralık, _xlpm.son))
)</f>
        <v>925</v>
      </c>
      <c r="E596" s="6">
        <f t="shared" si="117"/>
        <v>0</v>
      </c>
      <c r="F596" s="6">
        <f t="shared" si="118"/>
        <v>0</v>
      </c>
      <c r="G596" s="6">
        <f t="shared" si="125"/>
        <v>0</v>
      </c>
      <c r="H596" s="7">
        <f t="shared" si="119"/>
        <v>-1</v>
      </c>
      <c r="I596" s="7">
        <f t="shared" si="120"/>
        <v>-1</v>
      </c>
      <c r="J596" s="7" t="e">
        <f t="shared" si="121"/>
        <v>#DIV/0!</v>
      </c>
      <c r="K596" s="7">
        <f t="shared" si="126"/>
        <v>0</v>
      </c>
      <c r="L596" s="5" t="s">
        <v>413</v>
      </c>
      <c r="M596" s="7" t="str">
        <f>IF(R596="",(VLOOKUP(A596,[1]Export!$B$2:$H$680,7,0)),"CHURN")</f>
        <v>CHURN</v>
      </c>
      <c r="N596" s="5" t="e">
        <f t="shared" si="127"/>
        <v>#VALUE!</v>
      </c>
      <c r="O596" s="5" t="e">
        <f t="shared" si="128"/>
        <v>#VALUE!</v>
      </c>
      <c r="P596" s="5" t="e">
        <f t="shared" si="129"/>
        <v>#VALUE!</v>
      </c>
      <c r="Q596" s="5" t="s">
        <v>696</v>
      </c>
      <c r="R596" s="5" t="s">
        <v>428</v>
      </c>
      <c r="S596" s="5" t="str">
        <f>VLOOKUP(A596,[3]Sheet1!$A$1:$C$191,3,0)</f>
        <v>Mar.24</v>
      </c>
      <c r="T596" s="6" cm="1">
        <f t="array" ref="T596">IF(R596&lt;&gt;"Churn","",
 _xlfn.LET(
   _xlpm.rng,Y596:BF596,
   _xlpm.pos,MAX(IF((_xlpm.rng&lt;&gt;0)*(_xlpm.rng&lt;&gt;""),COLUMN(_xlpm.rng)-COLUMN(Y596)+1)),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925</v>
      </c>
      <c r="U596" s="6" cm="1">
        <f t="array" ref="U596">IF(R596="Churn",
   MAX(IF((Y596:BF596&lt;&gt;"")*(Y596:BF596&lt;&gt;0), COLUMN(Y596:BF596)-COLUMN(Y596)+1))
   -MATCH(1, --((Y596:BF596&lt;&gt;"")*(Y596:BF596&lt;&gt;0)), 0)
   +1,
"")</f>
        <v>3</v>
      </c>
      <c r="V596" s="6" t="str" cm="1">
        <f t="array" ref="V596">IFERROR(
    IF(
        MATCH(2,1/((Y596:BF596&lt;&gt;0)*(Y596:BF596&lt;&gt;"")))-MATCH(1,INDEX((Y596:BF596&lt;&gt;0)*(Y596:BF596&lt;&gt;""),0),0)+1 &lt;= 12,
        "No",
        "Yes"
    ),
    "No"
)</f>
        <v>No</v>
      </c>
      <c r="W596" s="6" t="str" cm="1">
        <f t="array" ref="W596">IFERROR(
    IF(
        MATCH(2,1/((Y596:BF596&lt;&gt;0)*(Y596:BF596&lt;&gt;"")))-MATCH(1,INDEX((Y596:BF596&lt;&gt;0)*(Y596:BF596&lt;&gt;""),0),0)+1 &lt;= 24,
        "No",
        "Yes"
    ),
    "No"
)</f>
        <v>No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925</v>
      </c>
      <c r="AL596" s="8">
        <v>0</v>
      </c>
      <c r="AM596" s="8">
        <v>-925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0</v>
      </c>
      <c r="BH596" s="8">
        <f t="shared" si="122"/>
        <v>0</v>
      </c>
      <c r="BI596" s="8">
        <f t="shared" si="123"/>
        <v>0</v>
      </c>
      <c r="BJ596" s="8">
        <f t="shared" si="124"/>
        <v>0</v>
      </c>
    </row>
    <row r="597" spans="1:62" x14ac:dyDescent="0.25">
      <c r="A597" s="9" t="s">
        <v>622</v>
      </c>
      <c r="B597" s="9" t="s">
        <v>644</v>
      </c>
      <c r="C597" s="10">
        <f>VLOOKUP(A597,'[2]Revenue_Engine_2025 Oct.25'!$C$14:G$3937,5,0)</f>
        <v>45344</v>
      </c>
      <c r="D597" s="6" cm="1">
        <f t="array" ref="D597">_xlfn.LET(
  _xlpm.aralık, Y597:BF597,
  _xlpm.ilk, MATCH(TRUE, _xlpm.aralık&lt;&gt;0, 0),
  _xlpm.son, MIN(_xlpm.ilk+2, COLUMNS(_xlpm.aralık)),
  MAX(INDEX(_xlpm.aralık, _xlpm.ilk):INDEX(_xlpm.aralık, _xlpm.son))
)</f>
        <v>86.000835333333342</v>
      </c>
      <c r="E597" s="6">
        <f t="shared" si="117"/>
        <v>0</v>
      </c>
      <c r="F597" s="6">
        <f t="shared" si="118"/>
        <v>0</v>
      </c>
      <c r="G597" s="6">
        <f t="shared" si="125"/>
        <v>0</v>
      </c>
      <c r="H597" s="7">
        <f t="shared" si="119"/>
        <v>-1</v>
      </c>
      <c r="I597" s="7">
        <f t="shared" si="120"/>
        <v>-1</v>
      </c>
      <c r="J597" s="7" t="e">
        <f t="shared" si="121"/>
        <v>#DIV/0!</v>
      </c>
      <c r="K597" s="7">
        <f t="shared" si="126"/>
        <v>0</v>
      </c>
      <c r="L597" s="5" t="s">
        <v>694</v>
      </c>
      <c r="M597" s="7" t="str">
        <f>IF(R597="",(VLOOKUP(A597,[1]Export!$B$2:$H$680,7,0)),"CHURN")</f>
        <v>CHURN</v>
      </c>
      <c r="N597" s="5" t="e">
        <f t="shared" si="127"/>
        <v>#VALUE!</v>
      </c>
      <c r="O597" s="5" t="e">
        <f t="shared" si="128"/>
        <v>#VALUE!</v>
      </c>
      <c r="P597" s="5" t="e">
        <f t="shared" si="129"/>
        <v>#VALUE!</v>
      </c>
      <c r="Q597" s="5" t="s">
        <v>696</v>
      </c>
      <c r="R597" s="5" t="s">
        <v>428</v>
      </c>
      <c r="S597" s="5" t="str">
        <f>VLOOKUP(A597,[3]Sheet1!$A$1:$C$191,3,0)</f>
        <v>Feb.25</v>
      </c>
      <c r="T597" s="6" cm="1">
        <f t="array" ref="T597">IF(R597&lt;&gt;"Churn","",
 _xlfn.LET(
   _xlpm.rng,Y597:BF597,
   _xlpm.pos,MAX(IF((_xlpm.rng&lt;&gt;0)*(_xlpm.rng&lt;&gt;""),COLUMN(_xlpm.rng)-COLUMN(Y597)+1)),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86.000835333333342</v>
      </c>
      <c r="U597" s="6" cm="1">
        <f t="array" ref="U597">IF(R597="Churn",
   MAX(IF((Y597:BF597&lt;&gt;"")*(Y597:BF597&lt;&gt;0), COLUMN(Y597:BF597)-COLUMN(Y597)+1))
   -MATCH(1, --((Y597:BF597&lt;&gt;"")*(Y597:BF597&lt;&gt;0)), 0)
   +1,
"")</f>
        <v>12</v>
      </c>
      <c r="V597" s="6" t="str" cm="1">
        <f t="array" ref="V597">IFERROR(
    IF(
        MATCH(2,1/((Y597:BF597&lt;&gt;0)*(Y597:BF597&lt;&gt;"")))-MATCH(1,INDEX((Y597:BF597&lt;&gt;0)*(Y597:BF597&lt;&gt;""),0),0)+1 &lt;= 12,
        "No",
        "Yes"
    ),
    "No"
)</f>
        <v>No</v>
      </c>
      <c r="W597" s="6" t="str" cm="1">
        <f t="array" ref="W597">IFERROR(
    IF(
        MATCH(2,1/((Y597:BF597&lt;&gt;0)*(Y597:BF597&lt;&gt;"")))-MATCH(1,INDEX((Y597:BF597&lt;&gt;0)*(Y597:BF597&lt;&gt;""),0),0)+1 &lt;= 24,
        "No",
        "Yes"
    ),
    "No"
)</f>
        <v>No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86.000835333333342</v>
      </c>
      <c r="AM597" s="8">
        <v>86.000835333333342</v>
      </c>
      <c r="AN597" s="8">
        <v>86.000835333333342</v>
      </c>
      <c r="AO597" s="8">
        <v>86.000835333333342</v>
      </c>
      <c r="AP597" s="8">
        <v>86.000835333333342</v>
      </c>
      <c r="AQ597" s="8">
        <v>86.000835333333342</v>
      </c>
      <c r="AR597" s="8">
        <v>86.000835333333342</v>
      </c>
      <c r="AS597" s="8">
        <v>86.000835333333342</v>
      </c>
      <c r="AT597" s="8">
        <v>86.000835333333342</v>
      </c>
      <c r="AU597" s="8">
        <v>86.000835333333342</v>
      </c>
      <c r="AV597" s="8">
        <v>86.000835333333342</v>
      </c>
      <c r="AW597" s="8">
        <v>86.000835333333342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H597" s="8">
        <f t="shared" si="122"/>
        <v>0</v>
      </c>
      <c r="BI597" s="8">
        <f t="shared" si="123"/>
        <v>946.009188666667</v>
      </c>
      <c r="BJ597" s="8">
        <f t="shared" si="124"/>
        <v>86.000835333333342</v>
      </c>
    </row>
    <row r="598" spans="1:62" x14ac:dyDescent="0.25">
      <c r="A598" s="9" t="s">
        <v>623</v>
      </c>
      <c r="B598" s="9" t="s">
        <v>644</v>
      </c>
      <c r="C598" s="10">
        <f>VLOOKUP(A598,'[2]Revenue_Engine_2025 Oct.25'!$C$14:G$3937,5,0)</f>
        <v>45384</v>
      </c>
      <c r="D598" s="6" cm="1">
        <f t="array" ref="D598">_xlfn.LET(
  _xlpm.aralık, Y598:BF598,
  _xlpm.ilk, MATCH(TRUE, _xlpm.aralık&lt;&gt;0, 0),
  _xlpm.son, MIN(_xlpm.ilk+2, COLUMNS(_xlpm.aralık)),
  MAX(INDEX(_xlpm.aralık, _xlpm.ilk):INDEX(_xlpm.aralık, _xlpm.son))
)</f>
        <v>175.01293400000003</v>
      </c>
      <c r="E598" s="6">
        <f t="shared" si="117"/>
        <v>0</v>
      </c>
      <c r="F598" s="6">
        <f t="shared" si="118"/>
        <v>0</v>
      </c>
      <c r="G598" s="6">
        <f t="shared" si="125"/>
        <v>0</v>
      </c>
      <c r="H598" s="7">
        <f t="shared" si="119"/>
        <v>-1</v>
      </c>
      <c r="I598" s="7">
        <f t="shared" si="120"/>
        <v>-1</v>
      </c>
      <c r="J598" s="7" t="e">
        <f t="shared" si="121"/>
        <v>#DIV/0!</v>
      </c>
      <c r="K598" s="7">
        <f t="shared" si="126"/>
        <v>0</v>
      </c>
      <c r="L598" s="5" t="s">
        <v>420</v>
      </c>
      <c r="M598" s="7" t="str">
        <f>IF(R598="",(VLOOKUP(A598,[1]Export!$B$2:$H$680,7,0)),"CHURN")</f>
        <v>CHURN</v>
      </c>
      <c r="N598" s="5" t="e">
        <f t="shared" si="127"/>
        <v>#VALUE!</v>
      </c>
      <c r="O598" s="5" t="e">
        <f t="shared" si="128"/>
        <v>#VALUE!</v>
      </c>
      <c r="P598" s="5" t="e">
        <f t="shared" si="129"/>
        <v>#VALUE!</v>
      </c>
      <c r="Q598" s="5" t="s">
        <v>696</v>
      </c>
      <c r="R598" s="5" t="s">
        <v>428</v>
      </c>
      <c r="S598" s="5" t="str">
        <f>VLOOKUP(A598,[3]Sheet1!$A$1:$C$191,3,0)</f>
        <v>Aug.24</v>
      </c>
      <c r="T598" s="6" cm="1">
        <f t="array" ref="T598">IF(R598&lt;&gt;"Churn","",
 _xlfn.LET(
   _xlpm.rng,Y598:BF598,
   _xlpm.pos,MAX(IF((_xlpm.rng&lt;&gt;0)*(_xlpm.rng&lt;&gt;""),COLUMN(_xlpm.rng)-COLUMN(Y598)+1)),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175.01293400000003</v>
      </c>
      <c r="U598" s="6" cm="1">
        <f t="array" ref="U598">IF(R598="Churn",
   MAX(IF((Y598:BF598&lt;&gt;"")*(Y598:BF598&lt;&gt;0), COLUMN(Y598:BF598)-COLUMN(Y598)+1))
   -MATCH(1, --((Y598:BF598&lt;&gt;"")*(Y598:BF598&lt;&gt;0)), 0)
   +1,
"")</f>
        <v>4</v>
      </c>
      <c r="V598" s="6" t="str" cm="1">
        <f t="array" ref="V598">IFERROR(
    IF(
        MATCH(2,1/((Y598:BF598&lt;&gt;0)*(Y598:BF598&lt;&gt;"")))-MATCH(1,INDEX((Y598:BF598&lt;&gt;0)*(Y598:BF598&lt;&gt;""),0),0)+1 &lt;= 12,
        "No",
        "Yes"
    ),
    "No"
)</f>
        <v>No</v>
      </c>
      <c r="W598" s="6" t="str" cm="1">
        <f t="array" ref="W598">IFERROR(
    IF(
        MATCH(2,1/((Y598:BF598&lt;&gt;0)*(Y598:BF598&lt;&gt;"")))-MATCH(1,INDEX((Y598:BF598&lt;&gt;0)*(Y598:BF598&lt;&gt;""),0),0)+1 &lt;= 24,
        "No",
        "Yes"
    ),
    "No"
)</f>
        <v>No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175</v>
      </c>
      <c r="AO598" s="8">
        <v>175.01293400000003</v>
      </c>
      <c r="AP598" s="8">
        <v>175.01293400000003</v>
      </c>
      <c r="AQ598" s="8">
        <v>175.01293400000003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H598" s="8">
        <f t="shared" si="122"/>
        <v>0</v>
      </c>
      <c r="BI598" s="8">
        <f t="shared" si="123"/>
        <v>700.03880200000003</v>
      </c>
      <c r="BJ598" s="8">
        <f t="shared" si="124"/>
        <v>0</v>
      </c>
    </row>
    <row r="599" spans="1:62" x14ac:dyDescent="0.25">
      <c r="A599" s="9" t="s">
        <v>624</v>
      </c>
      <c r="B599" s="9" t="s">
        <v>644</v>
      </c>
      <c r="C599" s="10">
        <f>VLOOKUP(A599,'[2]Revenue_Engine_2025 Oct.25'!$C$14:G$3937,5,0)</f>
        <v>45411</v>
      </c>
      <c r="D599" s="6" cm="1">
        <f t="array" ref="D599">_xlfn.LET(
  _xlpm.aralık, Y599:BF599,
  _xlpm.ilk, MATCH(TRUE, _xlpm.aralık&lt;&gt;0, 0),
  _xlpm.son, MIN(_xlpm.ilk+2, COLUMNS(_xlpm.aralık)),
  MAX(INDEX(_xlpm.aralık, _xlpm.ilk):INDEX(_xlpm.aralık, _xlpm.son))
)</f>
        <v>155.01231000000001</v>
      </c>
      <c r="E599" s="6">
        <f t="shared" si="117"/>
        <v>0</v>
      </c>
      <c r="F599" s="6">
        <f t="shared" si="118"/>
        <v>0</v>
      </c>
      <c r="G599" s="6">
        <f t="shared" si="125"/>
        <v>0</v>
      </c>
      <c r="H599" s="7">
        <f t="shared" si="119"/>
        <v>-1</v>
      </c>
      <c r="I599" s="7">
        <f t="shared" si="120"/>
        <v>-1</v>
      </c>
      <c r="J599" s="7" t="e">
        <f t="shared" si="121"/>
        <v>#DIV/0!</v>
      </c>
      <c r="K599" s="7">
        <f t="shared" si="126"/>
        <v>0</v>
      </c>
      <c r="L599" s="5" t="s">
        <v>418</v>
      </c>
      <c r="M599" s="7" t="str">
        <f>IF(R599="",(VLOOKUP(A599,[1]Export!$B$2:$H$680,7,0)),"CHURN")</f>
        <v>CHURN</v>
      </c>
      <c r="N599" s="5" t="e">
        <f t="shared" si="127"/>
        <v>#VALUE!</v>
      </c>
      <c r="O599" s="5" t="e">
        <f t="shared" si="128"/>
        <v>#VALUE!</v>
      </c>
      <c r="P599" s="5" t="e">
        <f t="shared" si="129"/>
        <v>#VALUE!</v>
      </c>
      <c r="Q599" s="5" t="s">
        <v>696</v>
      </c>
      <c r="R599" s="5" t="s">
        <v>428</v>
      </c>
      <c r="S599" s="5" t="str">
        <f>VLOOKUP(A599,[3]Sheet1!$A$1:$C$191,3,0)</f>
        <v>Aug.24</v>
      </c>
      <c r="T599" s="6" cm="1">
        <f t="array" ref="T599">IF(R599&lt;&gt;"Churn","",
 _xlfn.LET(
   _xlpm.rng,Y599:BF599,
   _xlpm.pos,MAX(IF((_xlpm.rng&lt;&gt;0)*(_xlpm.rng&lt;&gt;""),COLUMN(_xlpm.rng)-COLUMN(Y599)+1)),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155.01231000000001</v>
      </c>
      <c r="U599" s="6" cm="1">
        <f t="array" ref="U599">IF(R599="Churn",
   MAX(IF((Y599:BF599&lt;&gt;"")*(Y599:BF599&lt;&gt;0), COLUMN(Y599:BF599)-COLUMN(Y599)+1))
   -MATCH(1, --((Y599:BF599&lt;&gt;"")*(Y599:BF599&lt;&gt;0)), 0)
   +1,
"")</f>
        <v>4</v>
      </c>
      <c r="V599" s="6" t="str" cm="1">
        <f t="array" ref="V599">IFERROR(
    IF(
        MATCH(2,1/((Y599:BF599&lt;&gt;0)*(Y599:BF599&lt;&gt;"")))-MATCH(1,INDEX((Y599:BF599&lt;&gt;0)*(Y599:BF599&lt;&gt;""),0),0)+1 &lt;= 12,
        "No",
        "Yes"
    ),
    "No"
)</f>
        <v>No</v>
      </c>
      <c r="W599" s="6" t="str" cm="1">
        <f t="array" ref="W599">IFERROR(
    IF(
        MATCH(2,1/((Y599:BF599&lt;&gt;0)*(Y599:BF599&lt;&gt;"")))-MATCH(1,INDEX((Y599:BF599&lt;&gt;0)*(Y599:BF599&lt;&gt;""),0),0)+1 &lt;= 24,
        "No",
        "Yes"
    ),
    "No"
)</f>
        <v>No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155.01231000000001</v>
      </c>
      <c r="AO599" s="8">
        <v>155.01231000000001</v>
      </c>
      <c r="AP599" s="8">
        <v>155.01231000000001</v>
      </c>
      <c r="AQ599" s="8">
        <v>155.01231000000001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H599" s="8">
        <f t="shared" si="122"/>
        <v>0</v>
      </c>
      <c r="BI599" s="8">
        <f t="shared" si="123"/>
        <v>620.04924000000005</v>
      </c>
      <c r="BJ599" s="8">
        <f t="shared" si="124"/>
        <v>0</v>
      </c>
    </row>
    <row r="600" spans="1:62" x14ac:dyDescent="0.25">
      <c r="A600" s="9" t="s">
        <v>625</v>
      </c>
      <c r="B600" s="9" t="s">
        <v>644</v>
      </c>
      <c r="C600" s="10">
        <f>VLOOKUP(A600,'[2]Revenue_Engine_2025 Oct.25'!$C$14:G$3937,5,0)</f>
        <v>45412</v>
      </c>
      <c r="D600" s="6" cm="1">
        <f t="array" ref="D600">_xlfn.LET(
  _xlpm.aralık, Y600:BF600,
  _xlpm.ilk, MATCH(TRUE, _xlpm.aralık&lt;&gt;0, 0),
  _xlpm.son, MIN(_xlpm.ilk+2, COLUMNS(_xlpm.aralık)),
  MAX(INDEX(_xlpm.aralık, _xlpm.ilk):INDEX(_xlpm.aralık, _xlpm.son))
)</f>
        <v>148.01231000000001</v>
      </c>
      <c r="E600" s="6">
        <f t="shared" si="117"/>
        <v>0</v>
      </c>
      <c r="F600" s="6">
        <f t="shared" si="118"/>
        <v>0</v>
      </c>
      <c r="G600" s="6">
        <f t="shared" si="125"/>
        <v>0</v>
      </c>
      <c r="H600" s="7">
        <f t="shared" si="119"/>
        <v>-1</v>
      </c>
      <c r="I600" s="7">
        <f t="shared" si="120"/>
        <v>-1</v>
      </c>
      <c r="J600" s="7" t="e">
        <f t="shared" si="121"/>
        <v>#DIV/0!</v>
      </c>
      <c r="K600" s="7">
        <f t="shared" si="126"/>
        <v>0</v>
      </c>
      <c r="L600" s="5" t="s">
        <v>418</v>
      </c>
      <c r="M600" s="7" t="str">
        <f>IF(R600="",(VLOOKUP(A600,[1]Export!$B$2:$H$680,7,0)),"CHURN")</f>
        <v>CHURN</v>
      </c>
      <c r="N600" s="5" t="e">
        <f t="shared" si="127"/>
        <v>#VALUE!</v>
      </c>
      <c r="O600" s="5" t="e">
        <f t="shared" si="128"/>
        <v>#VALUE!</v>
      </c>
      <c r="P600" s="5" t="e">
        <f t="shared" si="129"/>
        <v>#VALUE!</v>
      </c>
      <c r="Q600" s="5" t="s">
        <v>696</v>
      </c>
      <c r="R600" s="5" t="s">
        <v>428</v>
      </c>
      <c r="S600" s="5" t="str">
        <f>VLOOKUP(A600,[3]Sheet1!$A$1:$C$191,3,0)</f>
        <v>Aug.24</v>
      </c>
      <c r="T600" s="6" cm="1">
        <f t="array" ref="T600">IF(R600&lt;&gt;"Churn","",
 _xlfn.LET(
   _xlpm.rng,Y600:BF600,
   _xlpm.pos,MAX(IF((_xlpm.rng&lt;&gt;0)*(_xlpm.rng&lt;&gt;""),COLUMN(_xlpm.rng)-COLUMN(Y600)+1)),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148.01231000000001</v>
      </c>
      <c r="U600" s="6" cm="1">
        <f t="array" ref="U600">IF(R600="Churn",
   MAX(IF((Y600:BF600&lt;&gt;"")*(Y600:BF600&lt;&gt;0), COLUMN(Y600:BF600)-COLUMN(Y600)+1))
   -MATCH(1, --((Y600:BF600&lt;&gt;"")*(Y600:BF600&lt;&gt;0)), 0)
   +1,
"")</f>
        <v>4</v>
      </c>
      <c r="V600" s="6" t="str" cm="1">
        <f t="array" ref="V600">IFERROR(
    IF(
        MATCH(2,1/((Y600:BF600&lt;&gt;0)*(Y600:BF600&lt;&gt;"")))-MATCH(1,INDEX((Y600:BF600&lt;&gt;0)*(Y600:BF600&lt;&gt;""),0),0)+1 &lt;= 12,
        "No",
        "Yes"
    ),
    "No"
)</f>
        <v>No</v>
      </c>
      <c r="W600" s="6" t="str" cm="1">
        <f t="array" ref="W600">IFERROR(
    IF(
        MATCH(2,1/((Y600:BF600&lt;&gt;0)*(Y600:BF600&lt;&gt;"")))-MATCH(1,INDEX((Y600:BF600&lt;&gt;0)*(Y600:BF600&lt;&gt;""),0),0)+1 &lt;= 24,
        "No",
        "Yes"
    ),
    "No"
)</f>
        <v>No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148.01231000000001</v>
      </c>
      <c r="AO600" s="8">
        <v>148.01231000000001</v>
      </c>
      <c r="AP600" s="8">
        <v>148.01231000000001</v>
      </c>
      <c r="AQ600" s="8">
        <v>148.01231000000001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H600" s="8">
        <f t="shared" si="122"/>
        <v>0</v>
      </c>
      <c r="BI600" s="8">
        <f t="shared" si="123"/>
        <v>592.04924000000005</v>
      </c>
      <c r="BJ600" s="8">
        <f t="shared" si="124"/>
        <v>0</v>
      </c>
    </row>
    <row r="601" spans="1:62" x14ac:dyDescent="0.25">
      <c r="A601" s="9" t="s">
        <v>626</v>
      </c>
      <c r="B601" s="9" t="s">
        <v>644</v>
      </c>
      <c r="C601" s="10">
        <f>VLOOKUP(A601,'[2]Revenue_Engine_2025 Oct.25'!$C$14:G$3937,5,0)</f>
        <v>45498</v>
      </c>
      <c r="D601" s="6" cm="1">
        <f t="array" ref="D601">_xlfn.LET(
  _xlpm.aralık, Y601:BF601,
  _xlpm.ilk, MATCH(TRUE, _xlpm.aralık&lt;&gt;0, 0),
  _xlpm.son, MIN(_xlpm.ilk+2, COLUMNS(_xlpm.aralık)),
  MAX(INDEX(_xlpm.aralık, _xlpm.ilk):INDEX(_xlpm.aralık, _xlpm.son))
)</f>
        <v>148.99000099999998</v>
      </c>
      <c r="E601" s="6">
        <f t="shared" si="117"/>
        <v>0</v>
      </c>
      <c r="F601" s="6">
        <f t="shared" si="118"/>
        <v>0</v>
      </c>
      <c r="G601" s="6">
        <f t="shared" si="125"/>
        <v>0</v>
      </c>
      <c r="H601" s="7">
        <f t="shared" si="119"/>
        <v>-1</v>
      </c>
      <c r="I601" s="7">
        <f t="shared" si="120"/>
        <v>-1</v>
      </c>
      <c r="J601" s="7" t="e">
        <f t="shared" si="121"/>
        <v>#DIV/0!</v>
      </c>
      <c r="K601" s="7">
        <f t="shared" si="126"/>
        <v>0</v>
      </c>
      <c r="L601" s="5" t="s">
        <v>694</v>
      </c>
      <c r="M601" s="7" t="str">
        <f>IF(R601="",(VLOOKUP(A601,[1]Export!$B$2:$H$680,7,0)),"CHURN")</f>
        <v>CHURN</v>
      </c>
      <c r="N601" s="5" t="e">
        <f t="shared" si="127"/>
        <v>#VALUE!</v>
      </c>
      <c r="O601" s="5" t="e">
        <f t="shared" si="128"/>
        <v>#VALUE!</v>
      </c>
      <c r="P601" s="5" t="e">
        <f t="shared" si="129"/>
        <v>#VALUE!</v>
      </c>
      <c r="Q601" s="5" t="s">
        <v>696</v>
      </c>
      <c r="R601" s="5" t="s">
        <v>428</v>
      </c>
      <c r="S601" s="5" t="str">
        <f>VLOOKUP(A601,[3]Sheet1!$A$1:$C$191,3,0)</f>
        <v>Sep.24</v>
      </c>
      <c r="T601" s="6" cm="1">
        <f t="array" ref="T601">IF(R601&lt;&gt;"Churn","",
 _xlfn.LET(
   _xlpm.rng,Y601:BF601,
   _xlpm.pos,MAX(IF((_xlpm.rng&lt;&gt;0)*(_xlpm.rng&lt;&gt;""),COLUMN(_xlpm.rng)-COLUMN(Y601)+1)),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148.99000099999998</v>
      </c>
      <c r="U601" s="6" cm="1">
        <f t="array" ref="U601">IF(R601="Churn",
   MAX(IF((Y601:BF601&lt;&gt;"")*(Y601:BF601&lt;&gt;0), COLUMN(Y601:BF601)-COLUMN(Y601)+1))
   -MATCH(1, --((Y601:BF601&lt;&gt;"")*(Y601:BF601&lt;&gt;0)), 0)
   +1,
"")</f>
        <v>2</v>
      </c>
      <c r="V601" s="6" t="str" cm="1">
        <f t="array" ref="V601">IFERROR(
    IF(
        MATCH(2,1/((Y601:BF601&lt;&gt;0)*(Y601:BF601&lt;&gt;"")))-MATCH(1,INDEX((Y601:BF601&lt;&gt;0)*(Y601:BF601&lt;&gt;""),0),0)+1 &lt;= 12,
        "No",
        "Yes"
    ),
    "No"
)</f>
        <v>No</v>
      </c>
      <c r="W601" s="6" t="str" cm="1">
        <f t="array" ref="W601">IFERROR(
    IF(
        MATCH(2,1/((Y601:BF601&lt;&gt;0)*(Y601:BF601&lt;&gt;"")))-MATCH(1,INDEX((Y601:BF601&lt;&gt;0)*(Y601:BF601&lt;&gt;""),0),0)+1 &lt;= 24,
        "No",
        "Yes"
    ),
    "No"
)</f>
        <v>No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148.99000099999998</v>
      </c>
      <c r="AR601" s="8">
        <v>148.99000099999998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H601" s="8">
        <f t="shared" si="122"/>
        <v>0</v>
      </c>
      <c r="BI601" s="8">
        <f t="shared" si="123"/>
        <v>297.98000199999996</v>
      </c>
      <c r="BJ601" s="8">
        <f t="shared" si="124"/>
        <v>0</v>
      </c>
    </row>
    <row r="602" spans="1:62" x14ac:dyDescent="0.25">
      <c r="A602" s="9" t="s">
        <v>627</v>
      </c>
      <c r="B602" s="9" t="s">
        <v>644</v>
      </c>
      <c r="C602" s="10">
        <f>VLOOKUP(A602,'[2]Revenue_Engine_2025 Oct.25'!$C$14:G$3937,5,0)</f>
        <v>45483</v>
      </c>
      <c r="D602" s="6" cm="1">
        <f t="array" ref="D602">_xlfn.LET(
  _xlpm.aralık, Y602:BF602,
  _xlpm.ilk, MATCH(TRUE, _xlpm.aralık&lt;&gt;0, 0),
  _xlpm.son, MIN(_xlpm.ilk+2, COLUMNS(_xlpm.aralık)),
  MAX(INDEX(_xlpm.aralık, _xlpm.ilk):INDEX(_xlpm.aralık, _xlpm.son))
)</f>
        <v>75.02000000000001</v>
      </c>
      <c r="E602" s="6">
        <f t="shared" si="117"/>
        <v>0</v>
      </c>
      <c r="F602" s="6">
        <f t="shared" si="118"/>
        <v>0</v>
      </c>
      <c r="G602" s="6">
        <f t="shared" si="125"/>
        <v>0</v>
      </c>
      <c r="H602" s="7">
        <f t="shared" si="119"/>
        <v>-1</v>
      </c>
      <c r="I602" s="7">
        <f t="shared" si="120"/>
        <v>-1</v>
      </c>
      <c r="J602" s="7" t="e">
        <f t="shared" si="121"/>
        <v>#DIV/0!</v>
      </c>
      <c r="K602" s="7">
        <f t="shared" si="126"/>
        <v>0</v>
      </c>
      <c r="L602" s="5" t="s">
        <v>694</v>
      </c>
      <c r="M602" s="7" t="str">
        <f>IF(R602="",(VLOOKUP(A602,[1]Export!$B$2:$H$680,7,0)),"CHURN")</f>
        <v>CHURN</v>
      </c>
      <c r="N602" s="5" t="e">
        <f t="shared" si="127"/>
        <v>#VALUE!</v>
      </c>
      <c r="O602" s="5" t="e">
        <f t="shared" si="128"/>
        <v>#VALUE!</v>
      </c>
      <c r="P602" s="5" t="e">
        <f t="shared" si="129"/>
        <v>#VALUE!</v>
      </c>
      <c r="Q602" s="5" t="s">
        <v>696</v>
      </c>
      <c r="R602" s="5" t="s">
        <v>428</v>
      </c>
      <c r="S602" s="5" t="str">
        <f>VLOOKUP(A602,[3]Sheet1!$A$1:$C$191,3,0)</f>
        <v>Sep.24</v>
      </c>
      <c r="T602" s="6" cm="1">
        <f t="array" ref="T602">IF(R602&lt;&gt;"Churn","",
 _xlfn.LET(
   _xlpm.rng,Y602:BF602,
   _xlpm.pos,MAX(IF((_xlpm.rng&lt;&gt;0)*(_xlpm.rng&lt;&gt;""),COLUMN(_xlpm.rng)-COLUMN(Y602)+1)),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75.02000000000001</v>
      </c>
      <c r="U602" s="6" cm="1">
        <f t="array" ref="U602">IF(R602="Churn",
   MAX(IF((Y602:BF602&lt;&gt;"")*(Y602:BF602&lt;&gt;0), COLUMN(Y602:BF602)-COLUMN(Y602)+1))
   -MATCH(1, --((Y602:BF602&lt;&gt;"")*(Y602:BF602&lt;&gt;0)), 0)
   +1,
"")</f>
        <v>2</v>
      </c>
      <c r="V602" s="6" t="str" cm="1">
        <f t="array" ref="V602">IFERROR(
    IF(
        MATCH(2,1/((Y602:BF602&lt;&gt;0)*(Y602:BF602&lt;&gt;"")))-MATCH(1,INDEX((Y602:BF602&lt;&gt;0)*(Y602:BF602&lt;&gt;""),0),0)+1 &lt;= 12,
        "No",
        "Yes"
    ),
    "No"
)</f>
        <v>No</v>
      </c>
      <c r="W602" s="6" t="str" cm="1">
        <f t="array" ref="W602">IFERROR(
    IF(
        MATCH(2,1/((Y602:BF602&lt;&gt;0)*(Y602:BF602&lt;&gt;"")))-MATCH(1,INDEX((Y602:BF602&lt;&gt;0)*(Y602:BF602&lt;&gt;""),0),0)+1 &lt;= 24,
        "No",
        "Yes"
    ),
    "No"
)</f>
        <v>No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75.02000000000001</v>
      </c>
      <c r="AR602" s="8">
        <v>75.02000000000001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H602" s="8">
        <f t="shared" si="122"/>
        <v>0</v>
      </c>
      <c r="BI602" s="8">
        <f t="shared" si="123"/>
        <v>150.04000000000002</v>
      </c>
      <c r="BJ602" s="8">
        <f t="shared" si="124"/>
        <v>0</v>
      </c>
    </row>
    <row r="603" spans="1:62" x14ac:dyDescent="0.25">
      <c r="A603" s="9" t="s">
        <v>628</v>
      </c>
      <c r="B603" s="9" t="s">
        <v>644</v>
      </c>
      <c r="C603" s="10">
        <f>VLOOKUP(A603,'[2]Revenue_Engine_2025 Oct.25'!$C$14:G$3937,5,0)</f>
        <v>45478</v>
      </c>
      <c r="D603" s="6" cm="1">
        <f t="array" ref="D603">_xlfn.LET(
  _xlpm.aralık, Y603:BF603,
  _xlpm.ilk, MATCH(TRUE, _xlpm.aralık&lt;&gt;0, 0),
  _xlpm.son, MIN(_xlpm.ilk+2, COLUMNS(_xlpm.aralık)),
  MAX(INDEX(_xlpm.aralık, _xlpm.ilk):INDEX(_xlpm.aralık, _xlpm.son))
)</f>
        <v>499.999999</v>
      </c>
      <c r="E603" s="6">
        <f t="shared" si="117"/>
        <v>0</v>
      </c>
      <c r="F603" s="6">
        <f t="shared" si="118"/>
        <v>0</v>
      </c>
      <c r="G603" s="6">
        <f t="shared" si="125"/>
        <v>0</v>
      </c>
      <c r="H603" s="7">
        <f t="shared" si="119"/>
        <v>-1</v>
      </c>
      <c r="I603" s="7">
        <f t="shared" si="120"/>
        <v>-1</v>
      </c>
      <c r="J603" s="7" t="e">
        <f t="shared" si="121"/>
        <v>#DIV/0!</v>
      </c>
      <c r="K603" s="7">
        <f t="shared" si="126"/>
        <v>0</v>
      </c>
      <c r="L603" s="5" t="s">
        <v>412</v>
      </c>
      <c r="M603" s="7" t="str">
        <f>IF(R603="",(VLOOKUP(A603,[1]Export!$B$2:$H$680,7,0)),"CHURN")</f>
        <v>CHURN</v>
      </c>
      <c r="N603" s="5" t="e">
        <f t="shared" si="127"/>
        <v>#VALUE!</v>
      </c>
      <c r="O603" s="5" t="e">
        <f t="shared" si="128"/>
        <v>#VALUE!</v>
      </c>
      <c r="P603" s="5" t="e">
        <f t="shared" si="129"/>
        <v>#VALUE!</v>
      </c>
      <c r="Q603" s="5" t="s">
        <v>696</v>
      </c>
      <c r="R603" s="5" t="s">
        <v>428</v>
      </c>
      <c r="S603" s="5" t="str">
        <f>VLOOKUP(A603,[3]Sheet1!$A$1:$C$191,3,0)</f>
        <v>Sep.24</v>
      </c>
      <c r="T603" s="6" cm="1">
        <f t="array" ref="T603">IF(R603&lt;&gt;"Churn","",
 _xlfn.LET(
   _xlpm.rng,Y603:BF603,
   _xlpm.pos,MAX(IF((_xlpm.rng&lt;&gt;0)*(_xlpm.rng&lt;&gt;""),COLUMN(_xlpm.rng)-COLUMN(Y603)+1)),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499.999999</v>
      </c>
      <c r="U603" s="6" cm="1">
        <f t="array" ref="U603">IF(R603="Churn",
   MAX(IF((Y603:BF603&lt;&gt;"")*(Y603:BF603&lt;&gt;0), COLUMN(Y603:BF603)-COLUMN(Y603)+1))
   -MATCH(1, --((Y603:BF603&lt;&gt;"")*(Y603:BF603&lt;&gt;0)), 0)
   +1,
"")</f>
        <v>2</v>
      </c>
      <c r="V603" s="6" t="str" cm="1">
        <f t="array" ref="V603">IFERROR(
    IF(
        MATCH(2,1/((Y603:BF603&lt;&gt;0)*(Y603:BF603&lt;&gt;"")))-MATCH(1,INDEX((Y603:BF603&lt;&gt;0)*(Y603:BF603&lt;&gt;""),0),0)+1 &lt;= 12,
        "No",
        "Yes"
    ),
    "No"
)</f>
        <v>No</v>
      </c>
      <c r="W603" s="6" t="str" cm="1">
        <f t="array" ref="W603">IFERROR(
    IF(
        MATCH(2,1/((Y603:BF603&lt;&gt;0)*(Y603:BF603&lt;&gt;"")))-MATCH(1,INDEX((Y603:BF603&lt;&gt;0)*(Y603:BF603&lt;&gt;""),0),0)+1 &lt;= 24,
        "No",
        "Yes"
    ),
    "No"
)</f>
        <v>No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499.999999</v>
      </c>
      <c r="AR603" s="8">
        <v>499.999999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</v>
      </c>
      <c r="BH603" s="8">
        <f t="shared" si="122"/>
        <v>0</v>
      </c>
      <c r="BI603" s="8">
        <f t="shared" si="123"/>
        <v>999.99999800000001</v>
      </c>
      <c r="BJ603" s="8">
        <f t="shared" si="124"/>
        <v>0</v>
      </c>
    </row>
    <row r="604" spans="1:62" x14ac:dyDescent="0.25">
      <c r="A604" s="9" t="s">
        <v>629</v>
      </c>
      <c r="B604" s="9" t="s">
        <v>644</v>
      </c>
      <c r="C604" s="10">
        <f>VLOOKUP(A604,'[2]Revenue_Engine_2025 Oct.25'!$C$14:G$3937,5,0)</f>
        <v>45504</v>
      </c>
      <c r="D604" s="6" cm="1">
        <f t="array" ref="D604">_xlfn.LET(
  _xlpm.aralık, Y604:BF604,
  _xlpm.ilk, MATCH(TRUE, _xlpm.aralık&lt;&gt;0, 0),
  _xlpm.son, MIN(_xlpm.ilk+2, COLUMNS(_xlpm.aralık)),
  MAX(INDEX(_xlpm.aralık, _xlpm.ilk):INDEX(_xlpm.aralık, _xlpm.son))
)</f>
        <v>252</v>
      </c>
      <c r="E604" s="6">
        <f t="shared" si="117"/>
        <v>0</v>
      </c>
      <c r="F604" s="6">
        <f t="shared" si="118"/>
        <v>0</v>
      </c>
      <c r="G604" s="6">
        <f t="shared" si="125"/>
        <v>0</v>
      </c>
      <c r="H604" s="7">
        <f t="shared" si="119"/>
        <v>-1</v>
      </c>
      <c r="I604" s="7">
        <f t="shared" si="120"/>
        <v>-1</v>
      </c>
      <c r="J604" s="7" t="e">
        <f t="shared" si="121"/>
        <v>#DIV/0!</v>
      </c>
      <c r="K604" s="7">
        <f t="shared" si="126"/>
        <v>0</v>
      </c>
      <c r="L604" s="5" t="s">
        <v>421</v>
      </c>
      <c r="M604" s="7" t="str">
        <f>IF(R604="",(VLOOKUP(A604,[1]Export!$B$2:$H$680,7,0)),"CHURN")</f>
        <v>CHURN</v>
      </c>
      <c r="N604" s="5" t="e">
        <f t="shared" si="127"/>
        <v>#VALUE!</v>
      </c>
      <c r="O604" s="5" t="e">
        <f t="shared" si="128"/>
        <v>#VALUE!</v>
      </c>
      <c r="P604" s="5" t="e">
        <f t="shared" si="129"/>
        <v>#VALUE!</v>
      </c>
      <c r="Q604" s="5" t="s">
        <v>696</v>
      </c>
      <c r="R604" s="5" t="s">
        <v>428</v>
      </c>
      <c r="S604" s="5" t="str">
        <f>VLOOKUP(A604,[3]Sheet1!$A$1:$C$191,3,0)</f>
        <v>Nov.24</v>
      </c>
      <c r="T604" s="6" cm="1">
        <f t="array" ref="T604">IF(R604&lt;&gt;"Churn","",
 _xlfn.LET(
   _xlpm.rng,Y604:BF604,
   _xlpm.pos,MAX(IF((_xlpm.rng&lt;&gt;0)*(_xlpm.rng&lt;&gt;""),COLUMN(_xlpm.rng)-COLUMN(Y604)+1)),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252</v>
      </c>
      <c r="U604" s="6" cm="1">
        <f t="array" ref="U604">IF(R604="Churn",
   MAX(IF((Y604:BF604&lt;&gt;"")*(Y604:BF604&lt;&gt;0), COLUMN(Y604:BF604)-COLUMN(Y604)+1))
   -MATCH(1, --((Y604:BF604&lt;&gt;"")*(Y604:BF604&lt;&gt;0)), 0)
   +1,
"")</f>
        <v>4</v>
      </c>
      <c r="V604" s="6" t="str" cm="1">
        <f t="array" ref="V604">IFERROR(
    IF(
        MATCH(2,1/((Y604:BF604&lt;&gt;0)*(Y604:BF604&lt;&gt;"")))-MATCH(1,INDEX((Y604:BF604&lt;&gt;0)*(Y604:BF604&lt;&gt;""),0),0)+1 &lt;= 12,
        "No",
        "Yes"
    ),
    "No"
)</f>
        <v>No</v>
      </c>
      <c r="W604" s="6" t="str" cm="1">
        <f t="array" ref="W604">IFERROR(
    IF(
        MATCH(2,1/((Y604:BF604&lt;&gt;0)*(Y604:BF604&lt;&gt;"")))-MATCH(1,INDEX((Y604:BF604&lt;&gt;0)*(Y604:BF604&lt;&gt;""),0),0)+1 &lt;= 24,
        "No",
        "Yes"
    ),
    "No"
)</f>
        <v>No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252</v>
      </c>
      <c r="AR604" s="8">
        <v>252</v>
      </c>
      <c r="AS604" s="8">
        <v>252</v>
      </c>
      <c r="AT604" s="8">
        <v>251.98668300000003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0</v>
      </c>
      <c r="BH604" s="8">
        <f t="shared" si="122"/>
        <v>0</v>
      </c>
      <c r="BI604" s="8">
        <f t="shared" si="123"/>
        <v>1007.9866830000001</v>
      </c>
      <c r="BJ604" s="8">
        <f t="shared" si="124"/>
        <v>0</v>
      </c>
    </row>
    <row r="605" spans="1:62" x14ac:dyDescent="0.25">
      <c r="A605" s="9" t="s">
        <v>630</v>
      </c>
      <c r="B605" s="9" t="s">
        <v>644</v>
      </c>
      <c r="C605" s="10">
        <f>VLOOKUP(A605,'[2]Revenue_Engine_2025 Oct.25'!$C$14:G$3937,5,0)</f>
        <v>45565</v>
      </c>
      <c r="D605" s="6" cm="1">
        <f t="array" ref="D605">_xlfn.LET(
  _xlpm.aralık, Y605:BF605,
  _xlpm.ilk, MATCH(TRUE, _xlpm.aralık&lt;&gt;0, 0),
  _xlpm.son, MIN(_xlpm.ilk+2, COLUMNS(_xlpm.aralık)),
  MAX(INDEX(_xlpm.aralık, _xlpm.ilk):INDEX(_xlpm.aralık, _xlpm.son))
)</f>
        <v>175.00000000000003</v>
      </c>
      <c r="E605" s="6">
        <f t="shared" si="117"/>
        <v>0</v>
      </c>
      <c r="F605" s="6">
        <f t="shared" si="118"/>
        <v>0</v>
      </c>
      <c r="G605" s="6">
        <f t="shared" si="125"/>
        <v>0</v>
      </c>
      <c r="H605" s="7">
        <f t="shared" si="119"/>
        <v>-1</v>
      </c>
      <c r="I605" s="7">
        <f t="shared" si="120"/>
        <v>-1</v>
      </c>
      <c r="J605" s="7" t="e">
        <f t="shared" si="121"/>
        <v>#DIV/0!</v>
      </c>
      <c r="K605" s="7">
        <f t="shared" si="126"/>
        <v>0</v>
      </c>
      <c r="L605" s="5" t="s">
        <v>412</v>
      </c>
      <c r="M605" s="7" t="str">
        <f>IF(R605="",(VLOOKUP(A605,[1]Export!$B$2:$H$680,7,0)),"CHURN")</f>
        <v>CHURN</v>
      </c>
      <c r="N605" s="5" t="e">
        <f t="shared" si="127"/>
        <v>#VALUE!</v>
      </c>
      <c r="O605" s="5" t="e">
        <f t="shared" si="128"/>
        <v>#VALUE!</v>
      </c>
      <c r="P605" s="5" t="e">
        <f t="shared" si="129"/>
        <v>#VALUE!</v>
      </c>
      <c r="Q605" s="5" t="s">
        <v>696</v>
      </c>
      <c r="R605" s="5" t="s">
        <v>428</v>
      </c>
      <c r="S605" s="5" t="str">
        <f>VLOOKUP(A605,[3]Sheet1!$A$1:$C$191,3,0)</f>
        <v>Dec.24</v>
      </c>
      <c r="T605" s="6" cm="1">
        <f t="array" ref="T605">IF(R605&lt;&gt;"Churn","",
 _xlfn.LET(
   _xlpm.rng,Y605:BF605,
   _xlpm.pos,MAX(IF((_xlpm.rng&lt;&gt;0)*(_xlpm.rng&lt;&gt;""),COLUMN(_xlpm.rng)-COLUMN(Y605)+1)),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175.00000000000003</v>
      </c>
      <c r="U605" s="6" cm="1">
        <f t="array" ref="U605">IF(R605="Churn",
   MAX(IF((Y605:BF605&lt;&gt;"")*(Y605:BF605&lt;&gt;0), COLUMN(Y605:BF605)-COLUMN(Y605)+1))
   -MATCH(1, --((Y605:BF605&lt;&gt;"")*(Y605:BF605&lt;&gt;0)), 0)
   +1,
"")</f>
        <v>3</v>
      </c>
      <c r="V605" s="6" t="str" cm="1">
        <f t="array" ref="V605">IFERROR(
    IF(
        MATCH(2,1/((Y605:BF605&lt;&gt;0)*(Y605:BF605&lt;&gt;"")))-MATCH(1,INDEX((Y605:BF605&lt;&gt;0)*(Y605:BF605&lt;&gt;""),0),0)+1 &lt;= 12,
        "No",
        "Yes"
    ),
    "No"
)</f>
        <v>No</v>
      </c>
      <c r="W605" s="6" t="str" cm="1">
        <f t="array" ref="W605">IFERROR(
    IF(
        MATCH(2,1/((Y605:BF605&lt;&gt;0)*(Y605:BF605&lt;&gt;"")))-MATCH(1,INDEX((Y605:BF605&lt;&gt;0)*(Y605:BF605&lt;&gt;""),0),0)+1 &lt;= 24,
        "No",
        "Yes"
    ),
    "No"
)</f>
        <v>No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175.00000000000003</v>
      </c>
      <c r="AT605" s="8">
        <v>175.00000000000003</v>
      </c>
      <c r="AU605" s="8">
        <v>175.00000000000003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H605" s="8">
        <f t="shared" si="122"/>
        <v>0</v>
      </c>
      <c r="BI605" s="8">
        <f t="shared" si="123"/>
        <v>525.00000000000011</v>
      </c>
      <c r="BJ605" s="8">
        <f t="shared" si="124"/>
        <v>0</v>
      </c>
    </row>
    <row r="606" spans="1:62" x14ac:dyDescent="0.25">
      <c r="A606" s="9" t="s">
        <v>314</v>
      </c>
      <c r="B606" s="9" t="s">
        <v>644</v>
      </c>
      <c r="C606" s="10">
        <v>44927</v>
      </c>
      <c r="D606" s="6" cm="1">
        <f t="array" ref="D606">_xlfn.LET(
  _xlpm.aralık, Y606:BF606,
  _xlpm.ilk, MATCH(TRUE, _xlpm.aralık&lt;&gt;0, 0),
  _xlpm.son, MIN(_xlpm.ilk+2, COLUMNS(_xlpm.aralık)),
  MAX(INDEX(_xlpm.aralık, _xlpm.ilk):INDEX(_xlpm.aralık, _xlpm.son))
)</f>
        <v>750</v>
      </c>
      <c r="E606" s="6">
        <f t="shared" si="117"/>
        <v>750</v>
      </c>
      <c r="F606" s="6">
        <f t="shared" si="118"/>
        <v>0</v>
      </c>
      <c r="G606" s="6">
        <f t="shared" si="125"/>
        <v>0</v>
      </c>
      <c r="H606" s="7">
        <f t="shared" si="119"/>
        <v>0</v>
      </c>
      <c r="I606" s="7">
        <f t="shared" si="120"/>
        <v>-1</v>
      </c>
      <c r="J606" s="7">
        <f t="shared" si="121"/>
        <v>-1</v>
      </c>
      <c r="K606" s="7">
        <f t="shared" si="126"/>
        <v>0</v>
      </c>
      <c r="L606" s="5" t="s">
        <v>418</v>
      </c>
      <c r="M606" s="7" t="str">
        <f>IF(R606="",(VLOOKUP(A606,[1]Export!$B$2:$H$680,7,0)),"CHURN")</f>
        <v>CHURN</v>
      </c>
      <c r="N606" s="5" t="e">
        <f t="shared" si="127"/>
        <v>#VALUE!</v>
      </c>
      <c r="O606" s="5" t="e">
        <f t="shared" si="128"/>
        <v>#VALUE!</v>
      </c>
      <c r="P606" s="5" t="e">
        <f t="shared" si="129"/>
        <v>#VALUE!</v>
      </c>
      <c r="Q606" s="5" t="s">
        <v>696</v>
      </c>
      <c r="R606" s="5" t="s">
        <v>428</v>
      </c>
      <c r="S606" s="5" t="str">
        <f>VLOOKUP(A606,[3]Sheet1!$A$1:$C$191,3,0)</f>
        <v>Jun.24</v>
      </c>
      <c r="T606" s="6" cm="1">
        <f t="array" ref="T606">IF(R606&lt;&gt;"Churn","",
 _xlfn.LET(
   _xlpm.rng,Y606:BF606,
   _xlpm.pos,MAX(IF((_xlpm.rng&lt;&gt;0)*(_xlpm.rng&lt;&gt;""),COLUMN(_xlpm.rng)-COLUMN(Y606)+1)),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750</v>
      </c>
      <c r="U606" s="6" cm="1">
        <f t="array" ref="U606">IF(R606="Churn",
   MAX(IF((Y606:BF606&lt;&gt;"")*(Y606:BF606&lt;&gt;0), COLUMN(Y606:BF606)-COLUMN(Y606)+1))
   -MATCH(1, --((Y606:BF606&lt;&gt;"")*(Y606:BF606&lt;&gt;0)), 0)
   +1,
"")</f>
        <v>17</v>
      </c>
      <c r="V606" s="6" t="str" cm="1">
        <f t="array" ref="V606">IFERROR(
    IF(
        MATCH(2,1/((Y606:BF606&lt;&gt;0)*(Y606:BF606&lt;&gt;"")))-MATCH(1,INDEX((Y606:BF606&lt;&gt;0)*(Y606:BF606&lt;&gt;""),0),0)+1 &lt;= 12,
        "No",
        "Yes"
    ),
    "No"
)</f>
        <v>Yes</v>
      </c>
      <c r="W606" s="6" t="str" cm="1">
        <f t="array" ref="W606">IFERROR(
    IF(
        MATCH(2,1/((Y606:BF606&lt;&gt;0)*(Y606:BF606&lt;&gt;"")))-MATCH(1,INDEX((Y606:BF606&lt;&gt;0)*(Y606:BF606&lt;&gt;""),0),0)+1 &lt;= 24,
        "No",
        "Yes"
    ),
    "No"
)</f>
        <v>No</v>
      </c>
      <c r="Y606" s="8">
        <v>750</v>
      </c>
      <c r="Z606" s="8">
        <v>750</v>
      </c>
      <c r="AA606" s="8">
        <v>750</v>
      </c>
      <c r="AB606" s="8">
        <v>750</v>
      </c>
      <c r="AC606" s="8">
        <v>750</v>
      </c>
      <c r="AD606" s="8">
        <v>750</v>
      </c>
      <c r="AE606" s="8">
        <v>750</v>
      </c>
      <c r="AF606" s="8">
        <v>750</v>
      </c>
      <c r="AG606" s="8">
        <v>750</v>
      </c>
      <c r="AH606" s="8">
        <v>750</v>
      </c>
      <c r="AI606" s="8">
        <v>750</v>
      </c>
      <c r="AJ606" s="8">
        <v>750</v>
      </c>
      <c r="AK606" s="8">
        <v>750</v>
      </c>
      <c r="AL606" s="8">
        <v>750</v>
      </c>
      <c r="AM606" s="8">
        <v>750</v>
      </c>
      <c r="AN606" s="8">
        <v>750</v>
      </c>
      <c r="AO606" s="8">
        <v>750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H606" s="8">
        <f t="shared" si="122"/>
        <v>9000</v>
      </c>
      <c r="BI606" s="8">
        <f t="shared" si="123"/>
        <v>3750</v>
      </c>
      <c r="BJ606" s="8">
        <f t="shared" si="124"/>
        <v>0</v>
      </c>
    </row>
    <row r="607" spans="1:62" x14ac:dyDescent="0.25">
      <c r="A607" s="9" t="s">
        <v>318</v>
      </c>
      <c r="B607" s="9" t="s">
        <v>644</v>
      </c>
      <c r="C607" s="10">
        <v>44927</v>
      </c>
      <c r="D607" s="6" cm="1">
        <f t="array" ref="D607">_xlfn.LET(
  _xlpm.aralık, Y607:BF607,
  _xlpm.ilk, MATCH(TRUE, _xlpm.aralık&lt;&gt;0, 0),
  _xlpm.son, MIN(_xlpm.ilk+2, COLUMNS(_xlpm.aralık)),
  MAX(INDEX(_xlpm.aralık, _xlpm.ilk):INDEX(_xlpm.aralık, _xlpm.son))
)</f>
        <v>740</v>
      </c>
      <c r="E607" s="6">
        <f t="shared" si="117"/>
        <v>799.19589599999995</v>
      </c>
      <c r="F607" s="6">
        <f t="shared" si="118"/>
        <v>0</v>
      </c>
      <c r="G607" s="6">
        <f t="shared" si="125"/>
        <v>0</v>
      </c>
      <c r="H607" s="7">
        <f t="shared" si="119"/>
        <v>7.999445405405399E-2</v>
      </c>
      <c r="I607" s="7">
        <f t="shared" si="120"/>
        <v>-1</v>
      </c>
      <c r="J607" s="7">
        <f t="shared" si="121"/>
        <v>-1</v>
      </c>
      <c r="K607" s="7">
        <f t="shared" si="126"/>
        <v>7.999445405405399E-2</v>
      </c>
      <c r="L607" s="5" t="s">
        <v>419</v>
      </c>
      <c r="M607" s="7" t="str">
        <f>IF(R607="",(VLOOKUP(A607,[1]Export!$B$2:$H$680,7,0)),"CHURN")</f>
        <v>CHURN</v>
      </c>
      <c r="N607" s="5" t="e">
        <f t="shared" si="127"/>
        <v>#VALUE!</v>
      </c>
      <c r="O607" s="5" t="e">
        <f t="shared" si="128"/>
        <v>#VALUE!</v>
      </c>
      <c r="P607" s="5" t="e">
        <f t="shared" si="129"/>
        <v>#VALUE!</v>
      </c>
      <c r="Q607" s="5" t="s">
        <v>696</v>
      </c>
      <c r="R607" s="5" t="s">
        <v>428</v>
      </c>
      <c r="S607" s="5" t="str">
        <f>VLOOKUP(A607,[3]Sheet1!$A$1:$C$191,3,0)</f>
        <v>Apr.24</v>
      </c>
      <c r="T607" s="6" cm="1">
        <f t="array" ref="T607">IF(R607&lt;&gt;"Churn","",
 _xlfn.LET(
   _xlpm.rng,Y607:BF607,
   _xlpm.pos,MAX(IF((_xlpm.rng&lt;&gt;0)*(_xlpm.rng&lt;&gt;""),COLUMN(_xlpm.rng)-COLUMN(Y607)+1)),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799.19589599999995</v>
      </c>
      <c r="U607" s="6" cm="1">
        <f t="array" ref="U607">IF(R607="Churn",
   MAX(IF((Y607:BF607&lt;&gt;"")*(Y607:BF607&lt;&gt;0), COLUMN(Y607:BF607)-COLUMN(Y607)+1))
   -MATCH(1, --((Y607:BF607&lt;&gt;"")*(Y607:BF607&lt;&gt;0)), 0)
   +1,
"")</f>
        <v>15</v>
      </c>
      <c r="V607" s="6" t="str" cm="1">
        <f t="array" ref="V607">IFERROR(
    IF(
        MATCH(2,1/((Y607:BF607&lt;&gt;0)*(Y607:BF607&lt;&gt;"")))-MATCH(1,INDEX((Y607:BF607&lt;&gt;0)*(Y607:BF607&lt;&gt;""),0),0)+1 &lt;= 12,
        "No",
        "Yes"
    ),
    "No"
)</f>
        <v>Yes</v>
      </c>
      <c r="W607" s="6" t="str" cm="1">
        <f t="array" ref="W607">IFERROR(
    IF(
        MATCH(2,1/((Y607:BF607&lt;&gt;0)*(Y607:BF607&lt;&gt;"")))-MATCH(1,INDEX((Y607:BF607&lt;&gt;0)*(Y607:BF607&lt;&gt;""),0),0)+1 &lt;= 24,
        "No",
        "Yes"
    ),
    "No"
)</f>
        <v>No</v>
      </c>
      <c r="Y607" s="8">
        <v>740</v>
      </c>
      <c r="Z607" s="8">
        <v>740</v>
      </c>
      <c r="AA607" s="8">
        <v>740</v>
      </c>
      <c r="AB607" s="8">
        <v>740</v>
      </c>
      <c r="AC607" s="8">
        <v>739.99620000000004</v>
      </c>
      <c r="AD607" s="8">
        <v>739.99620000000004</v>
      </c>
      <c r="AE607" s="8">
        <v>739.99620000000004</v>
      </c>
      <c r="AF607" s="8">
        <v>739.99620000000004</v>
      </c>
      <c r="AG607" s="8">
        <v>799.19589599999995</v>
      </c>
      <c r="AH607" s="8">
        <v>799.19589599999995</v>
      </c>
      <c r="AI607" s="8">
        <v>799.19589599999995</v>
      </c>
      <c r="AJ607" s="8">
        <v>799.19589599999995</v>
      </c>
      <c r="AK607" s="8">
        <v>799.19589599999995</v>
      </c>
      <c r="AL607" s="8">
        <v>799.19589599999995</v>
      </c>
      <c r="AM607" s="8">
        <v>799.19589599999995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H607" s="8">
        <f t="shared" si="122"/>
        <v>9116.7683839999991</v>
      </c>
      <c r="BI607" s="8">
        <f t="shared" si="123"/>
        <v>2397.5876879999996</v>
      </c>
      <c r="BJ607" s="8">
        <f t="shared" si="124"/>
        <v>0</v>
      </c>
    </row>
    <row r="608" spans="1:62" x14ac:dyDescent="0.25">
      <c r="A608" s="9" t="s">
        <v>631</v>
      </c>
      <c r="B608" s="9" t="s">
        <v>644</v>
      </c>
      <c r="C608" s="10">
        <f>VLOOKUP(A608,'[2]Revenue_Engine_2025 Oct.25'!$C$14:G$3937,5,0)</f>
        <v>45199</v>
      </c>
      <c r="D608" s="6" cm="1">
        <f t="array" ref="D608">_xlfn.LET(
  _xlpm.aralık, Y608:BF608,
  _xlpm.ilk, MATCH(TRUE, _xlpm.aralık&lt;&gt;0, 0),
  _xlpm.son, MIN(_xlpm.ilk+2, COLUMNS(_xlpm.aralık)),
  MAX(INDEX(_xlpm.aralık, _xlpm.ilk):INDEX(_xlpm.aralık, _xlpm.son))
)</f>
        <v>875</v>
      </c>
      <c r="E608" s="6">
        <f t="shared" si="117"/>
        <v>0</v>
      </c>
      <c r="F608" s="6">
        <f t="shared" si="118"/>
        <v>0</v>
      </c>
      <c r="G608" s="6">
        <f t="shared" si="125"/>
        <v>0</v>
      </c>
      <c r="H608" s="7">
        <f t="shared" si="119"/>
        <v>-1</v>
      </c>
      <c r="I608" s="7">
        <f t="shared" si="120"/>
        <v>-1</v>
      </c>
      <c r="J608" s="7" t="e">
        <f t="shared" si="121"/>
        <v>#DIV/0!</v>
      </c>
      <c r="K608" s="7">
        <f t="shared" si="126"/>
        <v>0</v>
      </c>
      <c r="L608" s="5" t="s">
        <v>418</v>
      </c>
      <c r="M608" s="7" t="str">
        <f>IF(R608="",(VLOOKUP(A608,[1]Export!$B$2:$H$680,7,0)),"CHURN")</f>
        <v>CHURN</v>
      </c>
      <c r="N608" s="5" t="e">
        <f t="shared" si="127"/>
        <v>#VALUE!</v>
      </c>
      <c r="O608" s="5" t="e">
        <f t="shared" si="128"/>
        <v>#VALUE!</v>
      </c>
      <c r="P608" s="5" t="e">
        <f t="shared" si="129"/>
        <v>#VALUE!</v>
      </c>
      <c r="Q608" s="5" t="s">
        <v>696</v>
      </c>
      <c r="R608" s="5" t="s">
        <v>428</v>
      </c>
      <c r="S608" s="5" t="str">
        <f>VLOOKUP(A608,[3]Sheet1!$A$1:$C$191,3,0)</f>
        <v>Jul.24</v>
      </c>
      <c r="T608" s="6" cm="1">
        <f t="array" ref="T608">IF(R608&lt;&gt;"Churn","",
 _xlfn.LET(
   _xlpm.rng,Y608:BF608,
   _xlpm.pos,MAX(IF((_xlpm.rng&lt;&gt;0)*(_xlpm.rng&lt;&gt;""),COLUMN(_xlpm.rng)-COLUMN(Y608)+1)),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875</v>
      </c>
      <c r="U608" s="6" cm="1">
        <f t="array" ref="U608">IF(R608="Churn",
   MAX(IF((Y608:BF608&lt;&gt;"")*(Y608:BF608&lt;&gt;0), COLUMN(Y608:BF608)-COLUMN(Y608)+1))
   -MATCH(1, --((Y608:BF608&lt;&gt;"")*(Y608:BF608&lt;&gt;0)), 0)
   +1,
"")</f>
        <v>10</v>
      </c>
      <c r="V608" s="6" t="str" cm="1">
        <f t="array" ref="V608">IFERROR(
    IF(
        MATCH(2,1/((Y608:BF608&lt;&gt;0)*(Y608:BF608&lt;&gt;"")))-MATCH(1,INDEX((Y608:BF608&lt;&gt;0)*(Y608:BF608&lt;&gt;""),0),0)+1 &lt;= 12,
        "No",
        "Yes"
    ),
    "No"
)</f>
        <v>No</v>
      </c>
      <c r="W608" s="6" t="str" cm="1">
        <f t="array" ref="W608">IFERROR(
    IF(
        MATCH(2,1/((Y608:BF608&lt;&gt;0)*(Y608:BF608&lt;&gt;"")))-MATCH(1,INDEX((Y608:BF608&lt;&gt;0)*(Y608:BF608&lt;&gt;""),0),0)+1 &lt;= 24,
        "No",
        "Yes"
    ),
    "No"
)</f>
        <v>No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875</v>
      </c>
      <c r="AH608" s="8">
        <v>875</v>
      </c>
      <c r="AI608" s="8">
        <v>875</v>
      </c>
      <c r="AJ608" s="8">
        <v>875</v>
      </c>
      <c r="AK608" s="8">
        <v>875</v>
      </c>
      <c r="AL608" s="8">
        <v>875</v>
      </c>
      <c r="AM608" s="8">
        <v>875</v>
      </c>
      <c r="AN608" s="8">
        <v>875</v>
      </c>
      <c r="AO608" s="8">
        <v>875</v>
      </c>
      <c r="AP608" s="8">
        <v>875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H608" s="8">
        <f t="shared" si="122"/>
        <v>3500</v>
      </c>
      <c r="BI608" s="8">
        <f t="shared" si="123"/>
        <v>5250</v>
      </c>
      <c r="BJ608" s="8">
        <f t="shared" si="124"/>
        <v>0</v>
      </c>
    </row>
    <row r="609" spans="1:62" x14ac:dyDescent="0.25">
      <c r="A609" s="9" t="s">
        <v>329</v>
      </c>
      <c r="B609" s="9" t="s">
        <v>644</v>
      </c>
      <c r="C609" s="10">
        <v>44927</v>
      </c>
      <c r="D609" s="6" cm="1">
        <f t="array" ref="D609">_xlfn.LET(
  _xlpm.aralık, Y609:BF609,
  _xlpm.ilk, MATCH(TRUE, _xlpm.aralık&lt;&gt;0, 0),
  _xlpm.son, MIN(_xlpm.ilk+2, COLUMNS(_xlpm.aralık)),
  MAX(INDEX(_xlpm.aralık, _xlpm.ilk):INDEX(_xlpm.aralık, _xlpm.son))
)</f>
        <v>967.67</v>
      </c>
      <c r="E609" s="6">
        <f t="shared" si="117"/>
        <v>987.04319999999996</v>
      </c>
      <c r="F609" s="6">
        <f t="shared" si="118"/>
        <v>0</v>
      </c>
      <c r="G609" s="6">
        <f t="shared" si="125"/>
        <v>0</v>
      </c>
      <c r="H609" s="7">
        <f t="shared" si="119"/>
        <v>2.0020461520973056E-2</v>
      </c>
      <c r="I609" s="7">
        <f t="shared" si="120"/>
        <v>-1</v>
      </c>
      <c r="J609" s="7">
        <f t="shared" si="121"/>
        <v>-1</v>
      </c>
      <c r="K609" s="7">
        <f t="shared" si="126"/>
        <v>2.0020411917285975E-2</v>
      </c>
      <c r="L609" s="5" t="s">
        <v>418</v>
      </c>
      <c r="M609" s="7" t="str">
        <f>IF(R609="",(VLOOKUP(A609,[1]Export!$B$2:$H$680,7,0)),"CHURN")</f>
        <v>CHURN</v>
      </c>
      <c r="N609" s="5" t="e">
        <f t="shared" si="127"/>
        <v>#VALUE!</v>
      </c>
      <c r="O609" s="5" t="e">
        <f t="shared" si="128"/>
        <v>#VALUE!</v>
      </c>
      <c r="P609" s="5" t="e">
        <f t="shared" si="129"/>
        <v>#VALUE!</v>
      </c>
      <c r="Q609" s="5" t="s">
        <v>696</v>
      </c>
      <c r="R609" s="5" t="s">
        <v>428</v>
      </c>
      <c r="S609" s="5" t="str">
        <f>VLOOKUP(A609,[3]Sheet1!$A$1:$C$191,3,0)</f>
        <v>Jul.24</v>
      </c>
      <c r="T609" s="6" cm="1">
        <f t="array" ref="T609">IF(R609&lt;&gt;"Churn","",
 _xlfn.LET(
   _xlpm.rng,Y609:BF609,
   _xlpm.pos,MAX(IF((_xlpm.rng&lt;&gt;0)*(_xlpm.rng&lt;&gt;""),COLUMN(_xlpm.rng)-COLUMN(Y609)+1)),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987.04315200000008</v>
      </c>
      <c r="U609" s="6" cm="1">
        <f t="array" ref="U609">IF(R609="Churn",
   MAX(IF((Y609:BF609&lt;&gt;"")*(Y609:BF609&lt;&gt;0), COLUMN(Y609:BF609)-COLUMN(Y609)+1))
   -MATCH(1, --((Y609:BF609&lt;&gt;"")*(Y609:BF609&lt;&gt;0)), 0)
   +1,
"")</f>
        <v>18</v>
      </c>
      <c r="V609" s="6" t="str" cm="1">
        <f t="array" ref="V609">IFERROR(
    IF(
        MATCH(2,1/((Y609:BF609&lt;&gt;0)*(Y609:BF609&lt;&gt;"")))-MATCH(1,INDEX((Y609:BF609&lt;&gt;0)*(Y609:BF609&lt;&gt;""),0),0)+1 &lt;= 12,
        "No",
        "Yes"
    ),
    "No"
)</f>
        <v>Yes</v>
      </c>
      <c r="W609" s="6" t="str" cm="1">
        <f t="array" ref="W609">IFERROR(
    IF(
        MATCH(2,1/((Y609:BF609&lt;&gt;0)*(Y609:BF609&lt;&gt;"")))-MATCH(1,INDEX((Y609:BF609&lt;&gt;0)*(Y609:BF609&lt;&gt;""),0),0)+1 &lt;= 24,
        "No",
        "Yes"
    ),
    "No"
)</f>
        <v>No</v>
      </c>
      <c r="Y609" s="8">
        <v>967.67</v>
      </c>
      <c r="Z609" s="8">
        <v>967.67</v>
      </c>
      <c r="AA609" s="8">
        <v>967.67</v>
      </c>
      <c r="AB609" s="8">
        <v>967.67</v>
      </c>
      <c r="AC609" s="8">
        <v>967.66719999999998</v>
      </c>
      <c r="AD609" s="8">
        <v>967.66719999999998</v>
      </c>
      <c r="AE609" s="8">
        <v>967.66719999999998</v>
      </c>
      <c r="AF609" s="8">
        <v>967.66719999999998</v>
      </c>
      <c r="AG609" s="8">
        <v>974.35520000000008</v>
      </c>
      <c r="AH609" s="8">
        <v>974.35520000000008</v>
      </c>
      <c r="AI609" s="8">
        <v>981.04319999999996</v>
      </c>
      <c r="AJ609" s="8">
        <v>981.04319999999996</v>
      </c>
      <c r="AK609" s="8">
        <v>987.04319999999996</v>
      </c>
      <c r="AL609" s="8">
        <v>987.04315200000008</v>
      </c>
      <c r="AM609" s="8">
        <v>987.04315200000008</v>
      </c>
      <c r="AN609" s="8">
        <v>987.04315200000008</v>
      </c>
      <c r="AO609" s="8">
        <v>987.04315200000008</v>
      </c>
      <c r="AP609" s="8">
        <v>987.04315200000008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H609" s="8">
        <f t="shared" si="122"/>
        <v>11652.1456</v>
      </c>
      <c r="BI609" s="8">
        <f t="shared" si="123"/>
        <v>5922.2589600000001</v>
      </c>
      <c r="BJ609" s="8">
        <f t="shared" si="124"/>
        <v>0</v>
      </c>
    </row>
    <row r="610" spans="1:62" x14ac:dyDescent="0.25">
      <c r="A610" s="9" t="s">
        <v>337</v>
      </c>
      <c r="B610" s="9" t="s">
        <v>644</v>
      </c>
      <c r="C610" s="10">
        <v>44927</v>
      </c>
      <c r="D610" s="6" cm="1">
        <f t="array" ref="D610">_xlfn.LET(
  _xlpm.aralık, Y610:BF610,
  _xlpm.ilk, MATCH(TRUE, _xlpm.aralık&lt;&gt;0, 0),
  _xlpm.son, MIN(_xlpm.ilk+2, COLUMNS(_xlpm.aralık)),
  MAX(INDEX(_xlpm.aralık, _xlpm.ilk):INDEX(_xlpm.aralık, _xlpm.son))
)</f>
        <v>130.26073791335037</v>
      </c>
      <c r="E610" s="6">
        <f t="shared" si="117"/>
        <v>125.90465664584926</v>
      </c>
      <c r="F610" s="6">
        <f t="shared" si="118"/>
        <v>0</v>
      </c>
      <c r="G610" s="6">
        <f t="shared" si="125"/>
        <v>0</v>
      </c>
      <c r="H610" s="7">
        <f t="shared" si="119"/>
        <v>-3.3441245130967877E-2</v>
      </c>
      <c r="I610" s="7">
        <f t="shared" si="120"/>
        <v>-1</v>
      </c>
      <c r="J610" s="7">
        <f t="shared" si="121"/>
        <v>-1</v>
      </c>
      <c r="K610" s="7">
        <f t="shared" si="126"/>
        <v>1.417165373008533E-2</v>
      </c>
      <c r="L610" s="5" t="s">
        <v>412</v>
      </c>
      <c r="M610" s="7" t="str">
        <f>IF(R610="",(VLOOKUP(A610,[1]Export!$B$2:$H$680,7,0)),"CHURN")</f>
        <v>CHURN</v>
      </c>
      <c r="N610" s="5" t="e">
        <f t="shared" si="127"/>
        <v>#VALUE!</v>
      </c>
      <c r="O610" s="5" t="e">
        <f t="shared" si="128"/>
        <v>#VALUE!</v>
      </c>
      <c r="P610" s="5" t="e">
        <f t="shared" si="129"/>
        <v>#VALUE!</v>
      </c>
      <c r="Q610" s="5" t="s">
        <v>696</v>
      </c>
      <c r="R610" s="5" t="s">
        <v>428</v>
      </c>
      <c r="S610" s="5" t="str">
        <f>VLOOKUP(A610,[3]Sheet1!$A$1:$C$191,3,0)</f>
        <v>Feb.24</v>
      </c>
      <c r="T610" s="6" cm="1">
        <f t="array" ref="T610">IF(R610&lt;&gt;"Churn","",
 _xlfn.LET(
   _xlpm.rng,Y610:BF610,
   _xlpm.pos,MAX(IF((_xlpm.rng&lt;&gt;0)*(_xlpm.rng&lt;&gt;""),COLUMN(_xlpm.rng)-COLUMN(Y610)+1)),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132.10674798568377</v>
      </c>
      <c r="U610" s="6" cm="1">
        <f t="array" ref="U610">IF(R610="Churn",
   MAX(IF((Y610:BF610&lt;&gt;"")*(Y610:BF610&lt;&gt;0), COLUMN(Y610:BF610)-COLUMN(Y610)+1))
   -MATCH(1, --((Y610:BF610&lt;&gt;"")*(Y610:BF610&lt;&gt;0)), 0)
   +1,
"")</f>
        <v>13</v>
      </c>
      <c r="V610" s="6" t="str" cm="1">
        <f t="array" ref="V610">IFERROR(
    IF(
        MATCH(2,1/((Y610:BF610&lt;&gt;0)*(Y610:BF610&lt;&gt;"")))-MATCH(1,INDEX((Y610:BF610&lt;&gt;0)*(Y610:BF610&lt;&gt;""),0),0)+1 &lt;= 12,
        "No",
        "Yes"
    ),
    "No"
)</f>
        <v>Yes</v>
      </c>
      <c r="W610" s="6" t="str" cm="1">
        <f t="array" ref="W610">IFERROR(
    IF(
        MATCH(2,1/((Y610:BF610&lt;&gt;0)*(Y610:BF610&lt;&gt;"")))-MATCH(1,INDEX((Y610:BF610&lt;&gt;0)*(Y610:BF610&lt;&gt;""),0),0)+1 &lt;= 24,
        "No",
        "Yes"
    ),
    "No"
)</f>
        <v>No</v>
      </c>
      <c r="Y610" s="8">
        <v>130.26073791335037</v>
      </c>
      <c r="Z610" s="8">
        <v>129.80816736348328</v>
      </c>
      <c r="AA610" s="8">
        <v>128.85393211025621</v>
      </c>
      <c r="AB610" s="8">
        <v>126.56466091028223</v>
      </c>
      <c r="AC610" s="8">
        <v>124.16510833773728</v>
      </c>
      <c r="AD610" s="8">
        <v>104.41822501794809</v>
      </c>
      <c r="AE610" s="8">
        <v>92.537805196723355</v>
      </c>
      <c r="AF610" s="8">
        <v>90.787053722370629</v>
      </c>
      <c r="AG610" s="8">
        <v>140.1669679613056</v>
      </c>
      <c r="AH610" s="8">
        <v>135.84652078012581</v>
      </c>
      <c r="AI610" s="8">
        <v>132.10674798568377</v>
      </c>
      <c r="AJ610" s="8">
        <v>130.04838823776578</v>
      </c>
      <c r="AK610" s="8">
        <v>125.90465664584926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H610" s="8">
        <f t="shared" si="122"/>
        <v>1465.5643155370324</v>
      </c>
      <c r="BI610" s="8">
        <f t="shared" si="123"/>
        <v>125.90465664584926</v>
      </c>
      <c r="BJ610" s="8">
        <f t="shared" si="124"/>
        <v>0</v>
      </c>
    </row>
    <row r="611" spans="1:62" x14ac:dyDescent="0.25">
      <c r="A611" s="9" t="s">
        <v>632</v>
      </c>
      <c r="B611" s="9" t="s">
        <v>644</v>
      </c>
      <c r="C611" s="10">
        <f>VLOOKUP(A611,'[2]Revenue_Engine_2025 Oct.25'!$C$14:G$3937,5,0)</f>
        <v>45155</v>
      </c>
      <c r="D611" s="6" cm="1">
        <f t="array" ref="D611">_xlfn.LET(
  _xlpm.aralık, Y611:BF611,
  _xlpm.ilk, MATCH(TRUE, _xlpm.aralık&lt;&gt;0, 0),
  _xlpm.son, MIN(_xlpm.ilk+2, COLUMNS(_xlpm.aralık)),
  MAX(INDEX(_xlpm.aralık, _xlpm.ilk):INDEX(_xlpm.aralık, _xlpm.son))
)</f>
        <v>102.79879641860933</v>
      </c>
      <c r="E611" s="6">
        <f t="shared" si="117"/>
        <v>0</v>
      </c>
      <c r="F611" s="6">
        <f t="shared" si="118"/>
        <v>0</v>
      </c>
      <c r="G611" s="6">
        <f t="shared" si="125"/>
        <v>0</v>
      </c>
      <c r="H611" s="7">
        <f t="shared" si="119"/>
        <v>-1</v>
      </c>
      <c r="I611" s="7">
        <f t="shared" si="120"/>
        <v>-1</v>
      </c>
      <c r="J611" s="7" t="e">
        <f t="shared" si="121"/>
        <v>#DIV/0!</v>
      </c>
      <c r="K611" s="7">
        <f t="shared" si="126"/>
        <v>0</v>
      </c>
      <c r="L611" s="5" t="s">
        <v>694</v>
      </c>
      <c r="M611" s="7" t="str">
        <f>IF(R611="",(VLOOKUP(A611,[1]Export!$B$2:$H$680,7,0)),"CHURN")</f>
        <v>CHURN</v>
      </c>
      <c r="N611" s="5" t="e">
        <f t="shared" si="127"/>
        <v>#VALUE!</v>
      </c>
      <c r="O611" s="5" t="e">
        <f t="shared" si="128"/>
        <v>#VALUE!</v>
      </c>
      <c r="P611" s="5" t="e">
        <f t="shared" si="129"/>
        <v>#VALUE!</v>
      </c>
      <c r="Q611" s="5" t="s">
        <v>696</v>
      </c>
      <c r="R611" s="5" t="s">
        <v>428</v>
      </c>
      <c r="S611" s="5" t="str">
        <f>VLOOKUP(A611,[3]Sheet1!$A$1:$C$191,3,0)</f>
        <v>Aug.24</v>
      </c>
      <c r="T611" s="6" cm="1">
        <f t="array" ref="T611">IF(R611&lt;&gt;"Churn","",
 _xlfn.LET(
   _xlpm.rng,Y611:BF611,
   _xlpm.pos,MAX(IF((_xlpm.rng&lt;&gt;0)*(_xlpm.rng&lt;&gt;""),COLUMN(_xlpm.rng)-COLUMN(Y611)+1)),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102.79879641860933</v>
      </c>
      <c r="U611" s="6" cm="1">
        <f t="array" ref="U611">IF(R611="Churn",
   MAX(IF((Y611:BF611&lt;&gt;"")*(Y611:BF611&lt;&gt;0), COLUMN(Y611:BF611)-COLUMN(Y611)+1))
   -MATCH(1, --((Y611:BF611&lt;&gt;"")*(Y611:BF611&lt;&gt;0)), 0)
   +1,
"")</f>
        <v>12</v>
      </c>
      <c r="V611" s="6" t="str" cm="1">
        <f t="array" ref="V611">IFERROR(
    IF(
        MATCH(2,1/((Y611:BF611&lt;&gt;0)*(Y611:BF611&lt;&gt;"")))-MATCH(1,INDEX((Y611:BF611&lt;&gt;0)*(Y611:BF611&lt;&gt;""),0),0)+1 &lt;= 12,
        "No",
        "Yes"
    ),
    "No"
)</f>
        <v>No</v>
      </c>
      <c r="W611" s="6" t="str" cm="1">
        <f t="array" ref="W611">IFERROR(
    IF(
        MATCH(2,1/((Y611:BF611&lt;&gt;0)*(Y611:BF611&lt;&gt;"")))-MATCH(1,INDEX((Y611:BF611&lt;&gt;0)*(Y611:BF611&lt;&gt;""),0),0)+1 &lt;= 24,
        "No",
        "Yes"
    ),
    "No"
)</f>
        <v>No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99.869462206584103</v>
      </c>
      <c r="AG611" s="8">
        <v>99.776782123762189</v>
      </c>
      <c r="AH611" s="8">
        <v>102.79879641860933</v>
      </c>
      <c r="AI611" s="8">
        <v>102.79879641860933</v>
      </c>
      <c r="AJ611" s="8">
        <v>102.79879641860933</v>
      </c>
      <c r="AK611" s="8">
        <v>102.79879641860933</v>
      </c>
      <c r="AL611" s="8">
        <v>102.79879641860933</v>
      </c>
      <c r="AM611" s="8">
        <v>102.79879641860933</v>
      </c>
      <c r="AN611" s="8">
        <v>102.79879641860933</v>
      </c>
      <c r="AO611" s="8">
        <v>102.79879641860933</v>
      </c>
      <c r="AP611" s="8">
        <v>102.79879641860933</v>
      </c>
      <c r="AQ611" s="8">
        <v>102.79879641860933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H611" s="8">
        <f t="shared" si="122"/>
        <v>508.04263358617425</v>
      </c>
      <c r="BI611" s="8">
        <f t="shared" si="123"/>
        <v>719.59157493026521</v>
      </c>
      <c r="BJ611" s="8">
        <f t="shared" si="124"/>
        <v>0</v>
      </c>
    </row>
    <row r="612" spans="1:62" x14ac:dyDescent="0.25">
      <c r="A612" s="9" t="s">
        <v>633</v>
      </c>
      <c r="B612" s="9" t="s">
        <v>644</v>
      </c>
      <c r="C612" s="10">
        <v>44927</v>
      </c>
      <c r="D612" s="6" cm="1">
        <f t="array" ref="D612">_xlfn.LET(
  _xlpm.aralık, Y612:BF612,
  _xlpm.ilk, MATCH(TRUE, _xlpm.aralık&lt;&gt;0, 0),
  _xlpm.son, MIN(_xlpm.ilk+2, COLUMNS(_xlpm.aralık)),
  MAX(INDEX(_xlpm.aralık, _xlpm.ilk):INDEX(_xlpm.aralık, _xlpm.son))
)</f>
        <v>104.5</v>
      </c>
      <c r="E612" s="6">
        <f t="shared" si="117"/>
        <v>0</v>
      </c>
      <c r="F612" s="6">
        <f t="shared" si="118"/>
        <v>0</v>
      </c>
      <c r="G612" s="6">
        <f t="shared" si="125"/>
        <v>0</v>
      </c>
      <c r="H612" s="7">
        <f t="shared" si="119"/>
        <v>-1</v>
      </c>
      <c r="I612" s="7">
        <f t="shared" si="120"/>
        <v>-1</v>
      </c>
      <c r="J612" s="7" t="e">
        <f t="shared" si="121"/>
        <v>#DIV/0!</v>
      </c>
      <c r="K612" s="7">
        <f t="shared" si="126"/>
        <v>8.1442583732057289E-2</v>
      </c>
      <c r="L612" s="5" t="s">
        <v>417</v>
      </c>
      <c r="M612" s="7" t="str">
        <f>IF(R612="",(VLOOKUP(A612,[1]Export!$B$2:$H$680,7,0)),"CHURN")</f>
        <v>CHURN</v>
      </c>
      <c r="N612" s="5" t="e">
        <f t="shared" si="127"/>
        <v>#VALUE!</v>
      </c>
      <c r="O612" s="5" t="e">
        <f t="shared" si="128"/>
        <v>#VALUE!</v>
      </c>
      <c r="P612" s="5" t="e">
        <f t="shared" si="129"/>
        <v>#VALUE!</v>
      </c>
      <c r="Q612" s="5" t="s">
        <v>696</v>
      </c>
      <c r="R612" s="5" t="s">
        <v>428</v>
      </c>
      <c r="S612" s="5" t="str">
        <f>VLOOKUP(A612,[3]Sheet1!$A$1:$C$191,3,0)</f>
        <v>Jan.24</v>
      </c>
      <c r="T612" s="6" cm="1">
        <f t="array" ref="T612">IF(R612&lt;&gt;"Churn","",
 _xlfn.LET(
   _xlpm.rng,Y612:BF612,
   _xlpm.pos,MAX(IF((_xlpm.rng&lt;&gt;0)*(_xlpm.rng&lt;&gt;""),COLUMN(_xlpm.rng)-COLUMN(Y612)+1)),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113.01074999999999</v>
      </c>
      <c r="U612" s="6" cm="1">
        <f t="array" ref="U612">IF(R612="Churn",
   MAX(IF((Y612:BF612&lt;&gt;"")*(Y612:BF612&lt;&gt;0), COLUMN(Y612:BF612)-COLUMN(Y612)+1))
   -MATCH(1, --((Y612:BF612&lt;&gt;"")*(Y612:BF612&lt;&gt;0)), 0)
   +1,
"")</f>
        <v>12</v>
      </c>
      <c r="V612" s="6" t="str" cm="1">
        <f t="array" ref="V612">IFERROR(
    IF(
        MATCH(2,1/((Y612:BF612&lt;&gt;0)*(Y612:BF612&lt;&gt;"")))-MATCH(1,INDEX((Y612:BF612&lt;&gt;0)*(Y612:BF612&lt;&gt;""),0),0)+1 &lt;= 12,
        "No",
        "Yes"
    ),
    "No"
)</f>
        <v>No</v>
      </c>
      <c r="W612" s="6" t="str" cm="1">
        <f t="array" ref="W612">IFERROR(
    IF(
        MATCH(2,1/((Y612:BF612&lt;&gt;0)*(Y612:BF612&lt;&gt;"")))-MATCH(1,INDEX((Y612:BF612&lt;&gt;0)*(Y612:BF612&lt;&gt;""),0),0)+1 &lt;= 24,
        "No",
        "Yes"
    ),
    "No"
)</f>
        <v>No</v>
      </c>
      <c r="Y612" s="8">
        <v>104.5</v>
      </c>
      <c r="Z612" s="8">
        <v>104.5</v>
      </c>
      <c r="AA612" s="8">
        <v>104.5</v>
      </c>
      <c r="AB612" s="8">
        <v>104.5</v>
      </c>
      <c r="AC612" s="8">
        <v>104.5</v>
      </c>
      <c r="AD612" s="8">
        <v>103.5832875</v>
      </c>
      <c r="AE612" s="8">
        <v>103.5832875</v>
      </c>
      <c r="AF612" s="8">
        <v>103.5832875</v>
      </c>
      <c r="AG612" s="8">
        <v>113.01074999999999</v>
      </c>
      <c r="AH612" s="8">
        <v>113.01074999999999</v>
      </c>
      <c r="AI612" s="8">
        <v>113.01074999999999</v>
      </c>
      <c r="AJ612" s="8">
        <v>113.01074999999999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H612" s="8">
        <f t="shared" si="122"/>
        <v>1285.2928624999997</v>
      </c>
      <c r="BI612" s="8">
        <f t="shared" si="123"/>
        <v>0</v>
      </c>
      <c r="BJ612" s="8">
        <f t="shared" si="124"/>
        <v>0</v>
      </c>
    </row>
    <row r="613" spans="1:62" x14ac:dyDescent="0.25">
      <c r="A613" s="9" t="s">
        <v>352</v>
      </c>
      <c r="B613" s="9" t="s">
        <v>644</v>
      </c>
      <c r="C613" s="10">
        <v>44927</v>
      </c>
      <c r="D613" s="6" cm="1">
        <f t="array" ref="D613">_xlfn.LET(
  _xlpm.aralık, Y613:BF613,
  _xlpm.ilk, MATCH(TRUE, _xlpm.aralık&lt;&gt;0, 0),
  _xlpm.son, MIN(_xlpm.ilk+2, COLUMNS(_xlpm.aralık)),
  MAX(INDEX(_xlpm.aralık, _xlpm.ilk):INDEX(_xlpm.aralık, _xlpm.son))
)</f>
        <v>103.58333333333333</v>
      </c>
      <c r="E613" s="6">
        <f t="shared" si="117"/>
        <v>84.4444444444444</v>
      </c>
      <c r="F613" s="6">
        <f t="shared" si="118"/>
        <v>0</v>
      </c>
      <c r="G613" s="6">
        <f t="shared" si="125"/>
        <v>0</v>
      </c>
      <c r="H613" s="7">
        <f t="shared" si="119"/>
        <v>-0.18476803432555683</v>
      </c>
      <c r="I613" s="7">
        <f t="shared" si="120"/>
        <v>-1</v>
      </c>
      <c r="J613" s="7">
        <f t="shared" si="121"/>
        <v>-1</v>
      </c>
      <c r="K613" s="7">
        <f t="shared" si="126"/>
        <v>-0.38857602574416727</v>
      </c>
      <c r="L613" s="5" t="s">
        <v>414</v>
      </c>
      <c r="M613" s="7" t="str">
        <f>IF(R613="",(VLOOKUP(A613,[1]Export!$B$2:$H$680,7,0)),"CHURN")</f>
        <v>CHURN</v>
      </c>
      <c r="N613" s="5" t="e">
        <f t="shared" si="127"/>
        <v>#VALUE!</v>
      </c>
      <c r="O613" s="5" t="e">
        <f t="shared" si="128"/>
        <v>#VALUE!</v>
      </c>
      <c r="P613" s="5" t="e">
        <f t="shared" si="129"/>
        <v>#VALUE!</v>
      </c>
      <c r="Q613" s="5" t="s">
        <v>696</v>
      </c>
      <c r="R613" s="5" t="s">
        <v>428</v>
      </c>
      <c r="S613" s="5" t="str">
        <f>VLOOKUP(A613,[3]Sheet1!$A$1:$C$191,3,0)</f>
        <v>Dec.24</v>
      </c>
      <c r="T613" s="6" cm="1">
        <f t="array" ref="T613">IF(R613&lt;&gt;"Churn","",
 _xlfn.LET(
   _xlpm.rng,Y613:BF613,
   _xlpm.pos,MAX(IF((_xlpm.rng&lt;&gt;0)*(_xlpm.rng&lt;&gt;""),COLUMN(_xlpm.rng)-COLUMN(Y613)+1)),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63.333333333333336</v>
      </c>
      <c r="U613" s="6" cm="1">
        <f t="array" ref="U613">IF(R613="Churn",
   MAX(IF((Y613:BF613&lt;&gt;"")*(Y613:BF613&lt;&gt;0), COLUMN(Y613:BF613)-COLUMN(Y613)+1))
   -MATCH(1, --((Y613:BF613&lt;&gt;"")*(Y613:BF613&lt;&gt;0)), 0)
   +1,
"")</f>
        <v>23</v>
      </c>
      <c r="V613" s="6" t="str" cm="1">
        <f t="array" ref="V613">IFERROR(
    IF(
        MATCH(2,1/((Y613:BF613&lt;&gt;0)*(Y613:BF613&lt;&gt;"")))-MATCH(1,INDEX((Y613:BF613&lt;&gt;0)*(Y613:BF613&lt;&gt;""),0),0)+1 &lt;= 12,
        "No",
        "Yes"
    ),
    "No"
)</f>
        <v>Yes</v>
      </c>
      <c r="W613" s="6" t="str" cm="1">
        <f t="array" ref="W613">IFERROR(
    IF(
        MATCH(2,1/((Y613:BF613&lt;&gt;0)*(Y613:BF613&lt;&gt;"")))-MATCH(1,INDEX((Y613:BF613&lt;&gt;0)*(Y613:BF613&lt;&gt;""),0),0)+1 &lt;= 24,
        "No",
        "Yes"
    ),
    "No"
)</f>
        <v>No</v>
      </c>
      <c r="Y613" s="8">
        <v>103.58333333333333</v>
      </c>
      <c r="Z613" s="8">
        <v>103.58333333333333</v>
      </c>
      <c r="AA613" s="8">
        <v>103.58333333333333</v>
      </c>
      <c r="AB613" s="8">
        <v>112.58333333333333</v>
      </c>
      <c r="AC613" s="8">
        <v>112.58332999999999</v>
      </c>
      <c r="AD613" s="8">
        <v>112.58332999999999</v>
      </c>
      <c r="AE613" s="8">
        <v>112.58332999999999</v>
      </c>
      <c r="AF613" s="8">
        <v>67.583329999999989</v>
      </c>
      <c r="AG613" s="8">
        <v>103.58332999999999</v>
      </c>
      <c r="AH613" s="8">
        <v>103.58332999999999</v>
      </c>
      <c r="AI613" s="8">
        <v>103.58332999999999</v>
      </c>
      <c r="AJ613" s="8">
        <v>103.58332999999999</v>
      </c>
      <c r="AK613" s="8">
        <v>84.4444444444444</v>
      </c>
      <c r="AL613" s="8">
        <v>84.444444444444443</v>
      </c>
      <c r="AM613" s="8">
        <v>63.333333333333336</v>
      </c>
      <c r="AN613" s="8">
        <v>63.333333333333336</v>
      </c>
      <c r="AO613" s="8">
        <v>63.333333333333336</v>
      </c>
      <c r="AP613" s="8">
        <v>63.333333333333336</v>
      </c>
      <c r="AQ613" s="8">
        <v>63.333333333333336</v>
      </c>
      <c r="AR613" s="8">
        <v>63.333333333333336</v>
      </c>
      <c r="AS613" s="8">
        <v>63.333333333333336</v>
      </c>
      <c r="AT613" s="8">
        <v>63.333333333333336</v>
      </c>
      <c r="AU613" s="8">
        <v>63.333333333333336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H613" s="8">
        <f t="shared" si="122"/>
        <v>1242.9999733333329</v>
      </c>
      <c r="BI613" s="8">
        <f t="shared" si="123"/>
        <v>738.88888888888891</v>
      </c>
      <c r="BJ613" s="8">
        <f t="shared" si="124"/>
        <v>0</v>
      </c>
    </row>
    <row r="614" spans="1:62" x14ac:dyDescent="0.25">
      <c r="A614" s="9" t="s">
        <v>353</v>
      </c>
      <c r="B614" s="9" t="s">
        <v>644</v>
      </c>
      <c r="C614" s="10">
        <v>44927</v>
      </c>
      <c r="D614" s="6" cm="1">
        <f t="array" ref="D614">_xlfn.LET(
  _xlpm.aralık, Y614:BF614,
  _xlpm.ilk, MATCH(TRUE, _xlpm.aralık&lt;&gt;0, 0),
  _xlpm.son, MIN(_xlpm.ilk+2, COLUMNS(_xlpm.aralık)),
  MAX(INDEX(_xlpm.aralık, _xlpm.ilk):INDEX(_xlpm.aralık, _xlpm.son))
)</f>
        <v>91.666666666666671</v>
      </c>
      <c r="E614" s="6">
        <f t="shared" si="117"/>
        <v>149.60666666666665</v>
      </c>
      <c r="F614" s="6">
        <f t="shared" si="118"/>
        <v>0</v>
      </c>
      <c r="G614" s="6">
        <f t="shared" si="125"/>
        <v>0</v>
      </c>
      <c r="H614" s="7">
        <f t="shared" si="119"/>
        <v>0.63207272727272701</v>
      </c>
      <c r="I614" s="7">
        <f t="shared" si="120"/>
        <v>-1</v>
      </c>
      <c r="J614" s="7">
        <f t="shared" si="121"/>
        <v>-1</v>
      </c>
      <c r="K614" s="7">
        <f t="shared" si="126"/>
        <v>0.63207272727272701</v>
      </c>
      <c r="L614" s="5" t="s">
        <v>416</v>
      </c>
      <c r="M614" s="7" t="str">
        <f>IF(R614="",(VLOOKUP(A614,[1]Export!$B$2:$H$680,7,0)),"CHURN")</f>
        <v>CHURN</v>
      </c>
      <c r="N614" s="5" t="e">
        <f t="shared" si="127"/>
        <v>#VALUE!</v>
      </c>
      <c r="O614" s="5" t="e">
        <f t="shared" si="128"/>
        <v>#VALUE!</v>
      </c>
      <c r="P614" s="5" t="e">
        <f t="shared" si="129"/>
        <v>#VALUE!</v>
      </c>
      <c r="Q614" s="5" t="s">
        <v>696</v>
      </c>
      <c r="R614" s="5" t="s">
        <v>428</v>
      </c>
      <c r="S614" s="5" t="str">
        <f>VLOOKUP(A614,[3]Sheet1!$A$1:$C$191,3,0)</f>
        <v>Dec.24</v>
      </c>
      <c r="T614" s="6" cm="1">
        <f t="array" ref="T614">IF(R614&lt;&gt;"Churn","",
 _xlfn.LET(
   _xlpm.rng,Y614:BF614,
   _xlpm.pos,MAX(IF((_xlpm.rng&lt;&gt;0)*(_xlpm.rng&lt;&gt;""),COLUMN(_xlpm.rng)-COLUMN(Y614)+1)),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149.60666666666665</v>
      </c>
      <c r="U614" s="6" cm="1">
        <f t="array" ref="U614">IF(R614="Churn",
   MAX(IF((Y614:BF614&lt;&gt;"")*(Y614:BF614&lt;&gt;0), COLUMN(Y614:BF614)-COLUMN(Y614)+1))
   -MATCH(1, --((Y614:BF614&lt;&gt;"")*(Y614:BF614&lt;&gt;0)), 0)
   +1,
"")</f>
        <v>23</v>
      </c>
      <c r="V614" s="6" t="str" cm="1">
        <f t="array" ref="V614">IFERROR(
    IF(
        MATCH(2,1/((Y614:BF614&lt;&gt;0)*(Y614:BF614&lt;&gt;"")))-MATCH(1,INDEX((Y614:BF614&lt;&gt;0)*(Y614:BF614&lt;&gt;""),0),0)+1 &lt;= 12,
        "No",
        "Yes"
    ),
    "No"
)</f>
        <v>Yes</v>
      </c>
      <c r="W614" s="6" t="str" cm="1">
        <f t="array" ref="W614">IFERROR(
    IF(
        MATCH(2,1/((Y614:BF614&lt;&gt;0)*(Y614:BF614&lt;&gt;"")))-MATCH(1,INDEX((Y614:BF614&lt;&gt;0)*(Y614:BF614&lt;&gt;""),0),0)+1 &lt;= 24,
        "No",
        "Yes"
    ),
    "No"
)</f>
        <v>No</v>
      </c>
      <c r="Y614" s="8">
        <v>91.666666666666671</v>
      </c>
      <c r="Z614" s="8">
        <v>91.666666666666671</v>
      </c>
      <c r="AA614" s="8">
        <v>91.666666666666671</v>
      </c>
      <c r="AB614" s="8">
        <v>91.666666666666671</v>
      </c>
      <c r="AC614" s="8">
        <v>100.66666666666666</v>
      </c>
      <c r="AD614" s="8">
        <v>100.66666666666666</v>
      </c>
      <c r="AE614" s="8">
        <v>100.66666666666666</v>
      </c>
      <c r="AF614" s="8">
        <v>149.60666666666665</v>
      </c>
      <c r="AG614" s="8">
        <v>149.60666666666665</v>
      </c>
      <c r="AH614" s="8">
        <v>149.60666666666665</v>
      </c>
      <c r="AI614" s="8">
        <v>149.60666666666665</v>
      </c>
      <c r="AJ614" s="8">
        <v>149.60666666666665</v>
      </c>
      <c r="AK614" s="8">
        <v>149.60666666666665</v>
      </c>
      <c r="AL614" s="8">
        <v>149.60666666666665</v>
      </c>
      <c r="AM614" s="8">
        <v>149.60666666666665</v>
      </c>
      <c r="AN614" s="8">
        <v>149.60666666666665</v>
      </c>
      <c r="AO614" s="8">
        <v>149.60666666666665</v>
      </c>
      <c r="AP614" s="8">
        <v>149.60666666666665</v>
      </c>
      <c r="AQ614" s="8">
        <v>149.60666666666665</v>
      </c>
      <c r="AR614" s="8">
        <v>149.60666666666665</v>
      </c>
      <c r="AS614" s="8">
        <v>149.60666666666665</v>
      </c>
      <c r="AT614" s="8">
        <v>149.60666666666665</v>
      </c>
      <c r="AU614" s="8">
        <v>149.60666666666665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H614" s="8">
        <f t="shared" si="122"/>
        <v>1416.6999999999998</v>
      </c>
      <c r="BI614" s="8">
        <f t="shared" si="123"/>
        <v>1645.6733333333329</v>
      </c>
      <c r="BJ614" s="8">
        <f t="shared" si="124"/>
        <v>0</v>
      </c>
    </row>
    <row r="615" spans="1:62" x14ac:dyDescent="0.25">
      <c r="A615" s="9" t="s">
        <v>634</v>
      </c>
      <c r="B615" s="9" t="s">
        <v>644</v>
      </c>
      <c r="C615" s="10">
        <f>VLOOKUP(A615,'[2]Revenue_Engine_2025 Oct.25'!$C$14:G$3937,5,0)</f>
        <v>44927</v>
      </c>
      <c r="D615" s="6" cm="1">
        <f t="array" ref="D615">_xlfn.LET(
  _xlpm.aralık, Y615:BF615,
  _xlpm.ilk, MATCH(TRUE, _xlpm.aralık&lt;&gt;0, 0),
  _xlpm.son, MIN(_xlpm.ilk+2, COLUMNS(_xlpm.aralık)),
  MAX(INDEX(_xlpm.aralık, _xlpm.ilk):INDEX(_xlpm.aralık, _xlpm.son))
)</f>
        <v>330</v>
      </c>
      <c r="E615" s="6">
        <f t="shared" si="117"/>
        <v>0</v>
      </c>
      <c r="F615" s="6">
        <f t="shared" si="118"/>
        <v>0</v>
      </c>
      <c r="G615" s="6">
        <f t="shared" si="125"/>
        <v>0</v>
      </c>
      <c r="H615" s="7">
        <f t="shared" si="119"/>
        <v>-1</v>
      </c>
      <c r="I615" s="7">
        <f t="shared" si="120"/>
        <v>-1</v>
      </c>
      <c r="J615" s="7" t="e">
        <f t="shared" si="121"/>
        <v>#DIV/0!</v>
      </c>
      <c r="K615" s="7">
        <f t="shared" si="126"/>
        <v>0</v>
      </c>
      <c r="L615" s="5" t="s">
        <v>412</v>
      </c>
      <c r="M615" s="7" t="str">
        <f>IF(R615="",(VLOOKUP(A615,[1]Export!$B$2:$H$680,7,0)),"CHURN")</f>
        <v>CHURN</v>
      </c>
      <c r="N615" s="5" t="e">
        <f t="shared" si="127"/>
        <v>#VALUE!</v>
      </c>
      <c r="O615" s="5" t="e">
        <f t="shared" si="128"/>
        <v>#VALUE!</v>
      </c>
      <c r="P615" s="5" t="e">
        <f t="shared" si="129"/>
        <v>#VALUE!</v>
      </c>
      <c r="Q615" s="5" t="s">
        <v>696</v>
      </c>
      <c r="R615" s="5" t="s">
        <v>428</v>
      </c>
      <c r="S615" s="5" t="str">
        <f>VLOOKUP(A615,[3]Sheet1!$A$1:$C$191,3,0)</f>
        <v>Jul.23</v>
      </c>
      <c r="T615" s="6" cm="1">
        <f t="array" ref="T615">IF(R615&lt;&gt;"Churn","",
 _xlfn.LET(
   _xlpm.rng,Y615:BF615,
   _xlpm.pos,MAX(IF((_xlpm.rng&lt;&gt;0)*(_xlpm.rng&lt;&gt;""),COLUMN(_xlpm.rng)-COLUMN(Y615)+1)),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330</v>
      </c>
      <c r="U615" s="6" cm="1">
        <f t="array" ref="U615">IF(R615="Churn",
   MAX(IF((Y615:BF615&lt;&gt;"")*(Y615:BF615&lt;&gt;0), COLUMN(Y615:BF615)-COLUMN(Y615)+1))
   -MATCH(1, --((Y615:BF615&lt;&gt;"")*(Y615:BF615&lt;&gt;0)), 0)
   +1,
"")</f>
        <v>5</v>
      </c>
      <c r="V615" s="6" t="str" cm="1">
        <f t="array" ref="V615">IFERROR(
    IF(
        MATCH(2,1/((Y615:BF615&lt;&gt;0)*(Y615:BF615&lt;&gt;"")))-MATCH(1,INDEX((Y615:BF615&lt;&gt;0)*(Y615:BF615&lt;&gt;""),0),0)+1 &lt;= 12,
        "No",
        "Yes"
    ),
    "No"
)</f>
        <v>No</v>
      </c>
      <c r="W615" s="6" t="str" cm="1">
        <f t="array" ref="W615">IFERROR(
    IF(
        MATCH(2,1/((Y615:BF615&lt;&gt;0)*(Y615:BF615&lt;&gt;"")))-MATCH(1,INDEX((Y615:BF615&lt;&gt;0)*(Y615:BF615&lt;&gt;""),0),0)+1 &lt;= 24,
        "No",
        "Yes"
    ),
    "No"
)</f>
        <v>No</v>
      </c>
      <c r="Y615" s="8">
        <v>0</v>
      </c>
      <c r="Z615" s="8">
        <v>330</v>
      </c>
      <c r="AA615" s="8">
        <v>330</v>
      </c>
      <c r="AB615" s="8">
        <v>330</v>
      </c>
      <c r="AC615" s="8">
        <v>330</v>
      </c>
      <c r="AD615" s="8">
        <v>330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0</v>
      </c>
      <c r="BE615" s="8">
        <v>0</v>
      </c>
      <c r="BF615" s="8">
        <v>0</v>
      </c>
      <c r="BH615" s="8">
        <f t="shared" si="122"/>
        <v>1650</v>
      </c>
      <c r="BI615" s="8">
        <f t="shared" si="123"/>
        <v>0</v>
      </c>
      <c r="BJ615" s="8">
        <f t="shared" si="124"/>
        <v>0</v>
      </c>
    </row>
    <row r="616" spans="1:62" x14ac:dyDescent="0.25">
      <c r="A616" s="9" t="s">
        <v>366</v>
      </c>
      <c r="B616" s="9" t="s">
        <v>644</v>
      </c>
      <c r="C616" s="10">
        <f>VLOOKUP(A616,'[2]Revenue_Engine_2025 Oct.25'!$C$14:G$3937,5,0)</f>
        <v>45041</v>
      </c>
      <c r="D616" s="6" cm="1">
        <f t="array" ref="D616">_xlfn.LET(
  _xlpm.aralık, Y616:BF616,
  _xlpm.ilk, MATCH(TRUE, _xlpm.aralık&lt;&gt;0, 0),
  _xlpm.son, MIN(_xlpm.ilk+2, COLUMNS(_xlpm.aralık)),
  MAX(INDEX(_xlpm.aralık, _xlpm.ilk):INDEX(_xlpm.aralık, _xlpm.son))
)</f>
        <v>146.66</v>
      </c>
      <c r="E616" s="6">
        <f t="shared" si="117"/>
        <v>30</v>
      </c>
      <c r="F616" s="6">
        <f t="shared" si="118"/>
        <v>0</v>
      </c>
      <c r="G616" s="6">
        <f t="shared" si="125"/>
        <v>0</v>
      </c>
      <c r="H616" s="7">
        <f t="shared" si="119"/>
        <v>-0.79544524751125045</v>
      </c>
      <c r="I616" s="7">
        <f t="shared" si="120"/>
        <v>-1</v>
      </c>
      <c r="J616" s="7">
        <f t="shared" si="121"/>
        <v>-1</v>
      </c>
      <c r="K616" s="7">
        <f t="shared" si="126"/>
        <v>-0.79544524751125045</v>
      </c>
      <c r="L616" s="5" t="s">
        <v>417</v>
      </c>
      <c r="M616" s="7" t="str">
        <f>IF(R616="",(VLOOKUP(A616,[1]Export!$B$2:$H$680,7,0)),"CHURN")</f>
        <v>CHURN</v>
      </c>
      <c r="N616" s="5" t="e">
        <f t="shared" si="127"/>
        <v>#VALUE!</v>
      </c>
      <c r="O616" s="5" t="e">
        <f t="shared" si="128"/>
        <v>#VALUE!</v>
      </c>
      <c r="P616" s="5" t="e">
        <f t="shared" si="129"/>
        <v>#VALUE!</v>
      </c>
      <c r="Q616" s="5" t="s">
        <v>696</v>
      </c>
      <c r="R616" s="5" t="s">
        <v>428</v>
      </c>
      <c r="S616" s="5" t="str">
        <f>VLOOKUP(A616,[3]Sheet1!$A$1:$C$191,3,0)</f>
        <v>Nov.24</v>
      </c>
      <c r="T616" s="6" cm="1">
        <f t="array" ref="T616">IF(R616&lt;&gt;"Churn","",
 _xlfn.LET(
   _xlpm.rng,Y616:BF616,
   _xlpm.pos,MAX(IF((_xlpm.rng&lt;&gt;0)*(_xlpm.rng&lt;&gt;""),COLUMN(_xlpm.rng)-COLUMN(Y616)+1)),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30</v>
      </c>
      <c r="U616" s="6" cm="1">
        <f t="array" ref="U616">IF(R616="Churn",
   MAX(IF((Y616:BF616&lt;&gt;"")*(Y616:BF616&lt;&gt;0), COLUMN(Y616:BF616)-COLUMN(Y616)+1))
   -MATCH(1, --((Y616:BF616&lt;&gt;"")*(Y616:BF616&lt;&gt;0)), 0)
   +1,
"")</f>
        <v>19</v>
      </c>
      <c r="V616" s="6" t="str" cm="1">
        <f t="array" ref="V616">IFERROR(
    IF(
        MATCH(2,1/((Y616:BF616&lt;&gt;0)*(Y616:BF616&lt;&gt;"")))-MATCH(1,INDEX((Y616:BF616&lt;&gt;0)*(Y616:BF616&lt;&gt;""),0),0)+1 &lt;= 12,
        "No",
        "Yes"
    ),
    "No"
)</f>
        <v>Yes</v>
      </c>
      <c r="W616" s="6" t="str" cm="1">
        <f t="array" ref="W616">IFERROR(
    IF(
        MATCH(2,1/((Y616:BF616&lt;&gt;0)*(Y616:BF616&lt;&gt;"")))-MATCH(1,INDEX((Y616:BF616&lt;&gt;0)*(Y616:BF616&lt;&gt;""),0),0)+1 &lt;= 24,
        "No",
        "Yes"
    ),
    "No"
)</f>
        <v>No</v>
      </c>
      <c r="Y616" s="8">
        <v>0</v>
      </c>
      <c r="Z616" s="8">
        <v>0</v>
      </c>
      <c r="AA616" s="8">
        <v>0</v>
      </c>
      <c r="AB616" s="8">
        <v>146.66</v>
      </c>
      <c r="AC616" s="8">
        <v>146.66</v>
      </c>
      <c r="AD616" s="8">
        <v>146.66</v>
      </c>
      <c r="AE616" s="8">
        <v>146.66</v>
      </c>
      <c r="AF616" s="8">
        <v>146.66</v>
      </c>
      <c r="AG616" s="8">
        <v>146.66</v>
      </c>
      <c r="AH616" s="8">
        <v>146.66</v>
      </c>
      <c r="AI616" s="8">
        <v>176.66</v>
      </c>
      <c r="AJ616" s="8">
        <v>176.66</v>
      </c>
      <c r="AK616" s="8">
        <v>176.66</v>
      </c>
      <c r="AL616" s="8">
        <v>176.66</v>
      </c>
      <c r="AM616" s="8">
        <v>176.66</v>
      </c>
      <c r="AN616" s="8">
        <v>30</v>
      </c>
      <c r="AO616" s="8">
        <v>30</v>
      </c>
      <c r="AP616" s="8">
        <v>30</v>
      </c>
      <c r="AQ616" s="8">
        <v>30</v>
      </c>
      <c r="AR616" s="8">
        <v>30</v>
      </c>
      <c r="AS616" s="8">
        <v>30</v>
      </c>
      <c r="AT616" s="8">
        <v>30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H616" s="8">
        <f t="shared" si="122"/>
        <v>1379.94</v>
      </c>
      <c r="BI616" s="8">
        <f t="shared" si="123"/>
        <v>739.98</v>
      </c>
      <c r="BJ616" s="8">
        <f t="shared" si="124"/>
        <v>0</v>
      </c>
    </row>
    <row r="617" spans="1:62" x14ac:dyDescent="0.25">
      <c r="A617" s="9" t="s">
        <v>385</v>
      </c>
      <c r="B617" s="9" t="s">
        <v>644</v>
      </c>
      <c r="C617" s="10">
        <f>VLOOKUP(A617,'[2]Revenue_Engine_2025 Oct.25'!$C$14:G$3937,5,0)</f>
        <v>45051</v>
      </c>
      <c r="D617" s="6" cm="1">
        <f t="array" ref="D617">_xlfn.LET(
  _xlpm.aralık, Y617:BF617,
  _xlpm.ilk, MATCH(TRUE, _xlpm.aralık&lt;&gt;0, 0),
  _xlpm.son, MIN(_xlpm.ilk+2, COLUMNS(_xlpm.aralık)),
  MAX(INDEX(_xlpm.aralık, _xlpm.ilk):INDEX(_xlpm.aralık, _xlpm.son))
)</f>
        <v>165.01955599999999</v>
      </c>
      <c r="E617" s="6">
        <f t="shared" si="117"/>
        <v>175.01955600000002</v>
      </c>
      <c r="F617" s="6">
        <f t="shared" si="118"/>
        <v>0</v>
      </c>
      <c r="G617" s="6">
        <f t="shared" si="125"/>
        <v>0</v>
      </c>
      <c r="H617" s="7">
        <f t="shared" si="119"/>
        <v>6.0598878353545133E-2</v>
      </c>
      <c r="I617" s="7">
        <f t="shared" si="120"/>
        <v>-1</v>
      </c>
      <c r="J617" s="7">
        <f t="shared" si="121"/>
        <v>-1</v>
      </c>
      <c r="K617" s="7">
        <f t="shared" si="126"/>
        <v>6.0598878353545133E-2</v>
      </c>
      <c r="L617" s="5" t="s">
        <v>414</v>
      </c>
      <c r="M617" s="7" t="str">
        <f>IF(R617="",(VLOOKUP(A617,[1]Export!$B$2:$H$680,7,0)),"CHURN")</f>
        <v>CHURN</v>
      </c>
      <c r="N617" s="5" t="e">
        <f t="shared" si="127"/>
        <v>#VALUE!</v>
      </c>
      <c r="O617" s="5" t="e">
        <f t="shared" si="128"/>
        <v>#VALUE!</v>
      </c>
      <c r="P617" s="5" t="e">
        <f t="shared" si="129"/>
        <v>#VALUE!</v>
      </c>
      <c r="Q617" s="5" t="s">
        <v>696</v>
      </c>
      <c r="R617" s="5" t="s">
        <v>428</v>
      </c>
      <c r="S617" s="5" t="str">
        <f>VLOOKUP(A617,[3]Sheet1!$A$1:$C$191,3,0)</f>
        <v>Oct.24</v>
      </c>
      <c r="T617" s="6" cm="1">
        <f t="array" ref="T617">IF(R617&lt;&gt;"Churn","",
 _xlfn.LET(
   _xlpm.rng,Y617:BF617,
   _xlpm.pos,MAX(IF((_xlpm.rng&lt;&gt;0)*(_xlpm.rng&lt;&gt;""),COLUMN(_xlpm.rng)-COLUMN(Y617)+1)),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175.01955600000002</v>
      </c>
      <c r="U617" s="6" cm="1">
        <f t="array" ref="U617">IF(R617="Churn",
   MAX(IF((Y617:BF617&lt;&gt;"")*(Y617:BF617&lt;&gt;0), COLUMN(Y617:BF617)-COLUMN(Y617)+1))
   -MATCH(1, --((Y617:BF617&lt;&gt;"")*(Y617:BF617&lt;&gt;0)), 0)
   +1,
"")</f>
        <v>17</v>
      </c>
      <c r="V617" s="6" t="str" cm="1">
        <f t="array" ref="V617">IFERROR(
    IF(
        MATCH(2,1/((Y617:BF617&lt;&gt;0)*(Y617:BF617&lt;&gt;"")))-MATCH(1,INDEX((Y617:BF617&lt;&gt;0)*(Y617:BF617&lt;&gt;""),0),0)+1 &lt;= 12,
        "No",
        "Yes"
    ),
    "No"
)</f>
        <v>Yes</v>
      </c>
      <c r="W617" s="6" t="str" cm="1">
        <f t="array" ref="W617">IFERROR(
    IF(
        MATCH(2,1/((Y617:BF617&lt;&gt;0)*(Y617:BF617&lt;&gt;"")))-MATCH(1,INDEX((Y617:BF617&lt;&gt;0)*(Y617:BF617&lt;&gt;""),0),0)+1 &lt;= 24,
        "No",
        "Yes"
    ),
    "No"
)</f>
        <v>No</v>
      </c>
      <c r="Y617" s="8">
        <v>0</v>
      </c>
      <c r="Z617" s="8">
        <v>0</v>
      </c>
      <c r="AA617" s="8">
        <v>0</v>
      </c>
      <c r="AB617" s="8">
        <v>0</v>
      </c>
      <c r="AC617" s="8">
        <v>165.01955599999999</v>
      </c>
      <c r="AD617" s="8">
        <v>165.01955599999999</v>
      </c>
      <c r="AE617" s="8">
        <v>165.01955599999999</v>
      </c>
      <c r="AF617" s="8">
        <v>165.01955599999999</v>
      </c>
      <c r="AG617" s="8">
        <v>165.01955599999999</v>
      </c>
      <c r="AH617" s="8">
        <v>165.01955599999999</v>
      </c>
      <c r="AI617" s="8">
        <v>165.01955599999999</v>
      </c>
      <c r="AJ617" s="8">
        <v>165.01955599999999</v>
      </c>
      <c r="AK617" s="8">
        <v>165.01955599999999</v>
      </c>
      <c r="AL617" s="8">
        <v>165.01955599999999</v>
      </c>
      <c r="AM617" s="8">
        <v>175.01955600000002</v>
      </c>
      <c r="AN617" s="8">
        <v>175.01955600000002</v>
      </c>
      <c r="AO617" s="8">
        <v>175.01955600000002</v>
      </c>
      <c r="AP617" s="8">
        <v>175.01955600000002</v>
      </c>
      <c r="AQ617" s="8">
        <v>175.01955600000002</v>
      </c>
      <c r="AR617" s="8">
        <v>175.01955600000002</v>
      </c>
      <c r="AS617" s="8">
        <v>175.01955600000002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H617" s="8">
        <f t="shared" si="122"/>
        <v>1320.156448</v>
      </c>
      <c r="BI617" s="8">
        <f t="shared" si="123"/>
        <v>1555.1760039999999</v>
      </c>
      <c r="BJ617" s="8">
        <f t="shared" si="124"/>
        <v>0</v>
      </c>
    </row>
    <row r="618" spans="1:62" x14ac:dyDescent="0.25">
      <c r="A618" s="9" t="s">
        <v>635</v>
      </c>
      <c r="B618" s="9" t="s">
        <v>644</v>
      </c>
      <c r="C618" s="10">
        <f>VLOOKUP(A618,'[2]Revenue_Engine_2025 Oct.25'!$C$14:G$3937,5,0)</f>
        <v>44927</v>
      </c>
      <c r="D618" s="6" cm="1">
        <f t="array" ref="D618">_xlfn.LET(
  _xlpm.aralık, Y618:BF618,
  _xlpm.ilk, MATCH(TRUE, _xlpm.aralık&lt;&gt;0, 0),
  _xlpm.son, MIN(_xlpm.ilk+2, COLUMNS(_xlpm.aralık)),
  MAX(INDEX(_xlpm.aralık, _xlpm.ilk):INDEX(_xlpm.aralık, _xlpm.son))
)</f>
        <v>113</v>
      </c>
      <c r="E618" s="6">
        <f t="shared" si="117"/>
        <v>0</v>
      </c>
      <c r="F618" s="6">
        <f t="shared" si="118"/>
        <v>0</v>
      </c>
      <c r="G618" s="6">
        <f t="shared" si="125"/>
        <v>0</v>
      </c>
      <c r="H618" s="7">
        <f t="shared" si="119"/>
        <v>-1</v>
      </c>
      <c r="I618" s="7">
        <f t="shared" si="120"/>
        <v>-1</v>
      </c>
      <c r="J618" s="7" t="e">
        <f t="shared" si="121"/>
        <v>#DIV/0!</v>
      </c>
      <c r="K618" s="7">
        <f t="shared" si="126"/>
        <v>7.9646017699115043E-2</v>
      </c>
      <c r="L618" s="5" t="s">
        <v>412</v>
      </c>
      <c r="M618" s="7" t="str">
        <f>IF(R618="",(VLOOKUP(A618,[1]Export!$B$2:$H$680,7,0)),"CHURN")</f>
        <v>CHURN</v>
      </c>
      <c r="N618" s="5" t="e">
        <f t="shared" si="127"/>
        <v>#VALUE!</v>
      </c>
      <c r="O618" s="5" t="e">
        <f t="shared" si="128"/>
        <v>#VALUE!</v>
      </c>
      <c r="P618" s="5" t="e">
        <f t="shared" si="129"/>
        <v>#VALUE!</v>
      </c>
      <c r="Q618" s="5" t="s">
        <v>696</v>
      </c>
      <c r="R618" s="5" t="s">
        <v>428</v>
      </c>
      <c r="S618" s="5" t="str">
        <f>VLOOKUP(A618,[3]Sheet1!$A$1:$C$191,3,0)</f>
        <v>Jan.24</v>
      </c>
      <c r="T618" s="6" cm="1">
        <f t="array" ref="T618">IF(R618&lt;&gt;"Churn","",
 _xlfn.LET(
   _xlpm.rng,Y618:BF618,
   _xlpm.pos,MAX(IF((_xlpm.rng&lt;&gt;0)*(_xlpm.rng&lt;&gt;""),COLUMN(_xlpm.rng)-COLUMN(Y618)+1)),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122</v>
      </c>
      <c r="U618" s="6" cm="1">
        <f t="array" ref="U618">IF(R618="Churn",
   MAX(IF((Y618:BF618&lt;&gt;"")*(Y618:BF618&lt;&gt;0), COLUMN(Y618:BF618)-COLUMN(Y618)+1))
   -MATCH(1, --((Y618:BF618&lt;&gt;"")*(Y618:BF618&lt;&gt;0)), 0)
   +1,
"")</f>
        <v>12</v>
      </c>
      <c r="V618" s="6" t="str" cm="1">
        <f t="array" ref="V618">IFERROR(
    IF(
        MATCH(2,1/((Y618:BF618&lt;&gt;0)*(Y618:BF618&lt;&gt;"")))-MATCH(1,INDEX((Y618:BF618&lt;&gt;0)*(Y618:BF618&lt;&gt;""),0),0)+1 &lt;= 12,
        "No",
        "Yes"
    ),
    "No"
)</f>
        <v>No</v>
      </c>
      <c r="W618" s="6" t="str" cm="1">
        <f t="array" ref="W618">IFERROR(
    IF(
        MATCH(2,1/((Y618:BF618&lt;&gt;0)*(Y618:BF618&lt;&gt;"")))-MATCH(1,INDEX((Y618:BF618&lt;&gt;0)*(Y618:BF618&lt;&gt;""),0),0)+1 &lt;= 24,
        "No",
        "Yes"
    ),
    "No"
)</f>
        <v>No</v>
      </c>
      <c r="Y618" s="8">
        <v>113</v>
      </c>
      <c r="Z618" s="8">
        <v>113</v>
      </c>
      <c r="AA618" s="8">
        <v>113</v>
      </c>
      <c r="AB618" s="8">
        <v>113</v>
      </c>
      <c r="AC618" s="8">
        <v>122</v>
      </c>
      <c r="AD618" s="8">
        <v>122</v>
      </c>
      <c r="AE618" s="8">
        <v>122</v>
      </c>
      <c r="AF618" s="8">
        <v>122</v>
      </c>
      <c r="AG618" s="8">
        <v>122</v>
      </c>
      <c r="AH618" s="8">
        <v>122</v>
      </c>
      <c r="AI618" s="8">
        <v>122</v>
      </c>
      <c r="AJ618" s="8">
        <v>122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H618" s="8">
        <f t="shared" si="122"/>
        <v>1428</v>
      </c>
      <c r="BI618" s="8">
        <f t="shared" si="123"/>
        <v>0</v>
      </c>
      <c r="BJ618" s="8">
        <f t="shared" si="124"/>
        <v>0</v>
      </c>
    </row>
    <row r="619" spans="1:62" x14ac:dyDescent="0.25">
      <c r="A619" s="9" t="s">
        <v>636</v>
      </c>
      <c r="B619" s="9" t="s">
        <v>644</v>
      </c>
      <c r="C619" s="10">
        <f>VLOOKUP(A619,'[2]Revenue_Engine_2025 Oct.25'!$C$14:G$3937,5,0)</f>
        <v>44953</v>
      </c>
      <c r="D619" s="6" cm="1">
        <f t="array" ref="D619">_xlfn.LET(
  _xlpm.aralık, Y619:BF619,
  _xlpm.ilk, MATCH(TRUE, _xlpm.aralık&lt;&gt;0, 0),
  _xlpm.son, MIN(_xlpm.ilk+2, COLUMNS(_xlpm.aralık)),
  MAX(INDEX(_xlpm.aralık, _xlpm.ilk):INDEX(_xlpm.aralık, _xlpm.son))
)</f>
        <v>109</v>
      </c>
      <c r="E619" s="6">
        <f t="shared" si="117"/>
        <v>0</v>
      </c>
      <c r="F619" s="6">
        <f t="shared" si="118"/>
        <v>0</v>
      </c>
      <c r="G619" s="6">
        <f t="shared" si="125"/>
        <v>0</v>
      </c>
      <c r="H619" s="7">
        <f t="shared" si="119"/>
        <v>-1</v>
      </c>
      <c r="I619" s="7">
        <f t="shared" si="120"/>
        <v>-1</v>
      </c>
      <c r="J619" s="7" t="e">
        <f t="shared" si="121"/>
        <v>#DIV/0!</v>
      </c>
      <c r="K619" s="7">
        <f t="shared" si="126"/>
        <v>0.16969724770642189</v>
      </c>
      <c r="L619" s="5" t="s">
        <v>414</v>
      </c>
      <c r="M619" s="7" t="str">
        <f>IF(R619="",(VLOOKUP(A619,[1]Export!$B$2:$H$680,7,0)),"CHURN")</f>
        <v>CHURN</v>
      </c>
      <c r="N619" s="5" t="e">
        <f t="shared" si="127"/>
        <v>#VALUE!</v>
      </c>
      <c r="O619" s="5" t="e">
        <f t="shared" si="128"/>
        <v>#VALUE!</v>
      </c>
      <c r="P619" s="5" t="e">
        <f t="shared" si="129"/>
        <v>#VALUE!</v>
      </c>
      <c r="Q619" s="5" t="s">
        <v>696</v>
      </c>
      <c r="R619" s="5" t="s">
        <v>428</v>
      </c>
      <c r="S619" s="5" t="str">
        <f>VLOOKUP(A619,[3]Sheet1!$A$1:$C$191,3,0)</f>
        <v>Oct.23</v>
      </c>
      <c r="T619" s="6" cm="1">
        <f t="array" ref="T619">IF(R619&lt;&gt;"Churn","",
 _xlfn.LET(
   _xlpm.rng,Y619:BF619,
   _xlpm.pos,MAX(IF((_xlpm.rng&lt;&gt;0)*(_xlpm.rng&lt;&gt;""),COLUMN(_xlpm.rng)-COLUMN(Y619)+1)),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127.49699999999999</v>
      </c>
      <c r="U619" s="6" cm="1">
        <f t="array" ref="U619">IF(R619="Churn",
   MAX(IF((Y619:BF619&lt;&gt;"")*(Y619:BF619&lt;&gt;0), COLUMN(Y619:BF619)-COLUMN(Y619)+1))
   -MATCH(1, --((Y619:BF619&lt;&gt;"")*(Y619:BF619&lt;&gt;0)), 0)
   +1,
"")</f>
        <v>9</v>
      </c>
      <c r="V619" s="6" t="str" cm="1">
        <f t="array" ref="V619">IFERROR(
    IF(
        MATCH(2,1/((Y619:BF619&lt;&gt;0)*(Y619:BF619&lt;&gt;"")))-MATCH(1,INDEX((Y619:BF619&lt;&gt;0)*(Y619:BF619&lt;&gt;""),0),0)+1 &lt;= 12,
        "No",
        "Yes"
    ),
    "No"
)</f>
        <v>No</v>
      </c>
      <c r="W619" s="6" t="str" cm="1">
        <f t="array" ref="W619">IFERROR(
    IF(
        MATCH(2,1/((Y619:BF619&lt;&gt;0)*(Y619:BF619&lt;&gt;"")))-MATCH(1,INDEX((Y619:BF619&lt;&gt;0)*(Y619:BF619&lt;&gt;""),0),0)+1 &lt;= 24,
        "No",
        "Yes"
    ),
    "No"
)</f>
        <v>No</v>
      </c>
      <c r="Y619" s="8">
        <v>0</v>
      </c>
      <c r="Z619" s="8">
        <v>100</v>
      </c>
      <c r="AA619" s="8">
        <v>100</v>
      </c>
      <c r="AB619" s="8">
        <v>109</v>
      </c>
      <c r="AC619" s="8">
        <v>108.99699999999999</v>
      </c>
      <c r="AD619" s="8">
        <v>108.99699999999999</v>
      </c>
      <c r="AE619" s="8">
        <v>108.99699999999999</v>
      </c>
      <c r="AF619" s="8">
        <v>108.99699999999999</v>
      </c>
      <c r="AG619" s="8">
        <v>127.49699999999999</v>
      </c>
      <c r="AH619" s="8">
        <v>-872.48499999999979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H619" s="8">
        <f t="shared" si="122"/>
        <v>0</v>
      </c>
      <c r="BI619" s="8">
        <f t="shared" si="123"/>
        <v>0</v>
      </c>
      <c r="BJ619" s="8">
        <f t="shared" si="124"/>
        <v>0</v>
      </c>
    </row>
    <row r="620" spans="1:62" x14ac:dyDescent="0.25">
      <c r="A620" s="9" t="s">
        <v>394</v>
      </c>
      <c r="B620" s="9" t="s">
        <v>644</v>
      </c>
      <c r="C620" s="10">
        <f>VLOOKUP(A620,'[2]Revenue_Engine_2025 Oct.25'!$C$14:G$3937,5,0)</f>
        <v>44937</v>
      </c>
      <c r="D620" s="6" cm="1">
        <f t="array" ref="D620">_xlfn.LET(
  _xlpm.aralık, Y620:BF620,
  _xlpm.ilk, MATCH(TRUE, _xlpm.aralık&lt;&gt;0, 0),
  _xlpm.son, MIN(_xlpm.ilk+2, COLUMNS(_xlpm.aralık)),
  MAX(INDEX(_xlpm.aralık, _xlpm.ilk):INDEX(_xlpm.aralık, _xlpm.son))
)</f>
        <v>225</v>
      </c>
      <c r="E620" s="6">
        <f t="shared" si="117"/>
        <v>225</v>
      </c>
      <c r="F620" s="6">
        <f t="shared" si="118"/>
        <v>0</v>
      </c>
      <c r="G620" s="6">
        <f t="shared" si="125"/>
        <v>0</v>
      </c>
      <c r="H620" s="7">
        <f t="shared" si="119"/>
        <v>0</v>
      </c>
      <c r="I620" s="7">
        <f t="shared" si="120"/>
        <v>-1</v>
      </c>
      <c r="J620" s="7">
        <f t="shared" si="121"/>
        <v>-1</v>
      </c>
      <c r="K620" s="7">
        <f t="shared" si="126"/>
        <v>0</v>
      </c>
      <c r="L620" s="5" t="s">
        <v>419</v>
      </c>
      <c r="M620" s="7" t="str">
        <f>IF(R620="",(VLOOKUP(A620,[1]Export!$B$2:$H$680,7,0)),"CHURN")</f>
        <v>CHURN</v>
      </c>
      <c r="N620" s="5" t="e">
        <f t="shared" si="127"/>
        <v>#VALUE!</v>
      </c>
      <c r="O620" s="5" t="e">
        <f t="shared" si="128"/>
        <v>#VALUE!</v>
      </c>
      <c r="P620" s="5" t="e">
        <f t="shared" si="129"/>
        <v>#VALUE!</v>
      </c>
      <c r="Q620" s="5" t="s">
        <v>696</v>
      </c>
      <c r="R620" s="5" t="s">
        <v>428</v>
      </c>
      <c r="S620" s="5" t="str">
        <f>VLOOKUP(A620,[3]Sheet1!$A$1:$C$191,3,0)</f>
        <v>Apr.24</v>
      </c>
      <c r="T620" s="6" cm="1">
        <f t="array" ref="T620">IF(R620&lt;&gt;"Churn","",
 _xlfn.LET(
   _xlpm.rng,Y620:BF620,
   _xlpm.pos,MAX(IF((_xlpm.rng&lt;&gt;0)*(_xlpm.rng&lt;&gt;""),COLUMN(_xlpm.rng)-COLUMN(Y620)+1)),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225</v>
      </c>
      <c r="U620" s="6" cm="1">
        <f t="array" ref="U620">IF(R620="Churn",
   MAX(IF((Y620:BF620&lt;&gt;"")*(Y620:BF620&lt;&gt;0), COLUMN(Y620:BF620)-COLUMN(Y620)+1))
   -MATCH(1, --((Y620:BF620&lt;&gt;"")*(Y620:BF620&lt;&gt;0)), 0)
   +1,
"")</f>
        <v>15</v>
      </c>
      <c r="V620" s="6" t="str" cm="1">
        <f t="array" ref="V620">IFERROR(
    IF(
        MATCH(2,1/((Y620:BF620&lt;&gt;0)*(Y620:BF620&lt;&gt;"")))-MATCH(1,INDEX((Y620:BF620&lt;&gt;0)*(Y620:BF620&lt;&gt;""),0),0)+1 &lt;= 12,
        "No",
        "Yes"
    ),
    "No"
)</f>
        <v>Yes</v>
      </c>
      <c r="W620" s="6" t="str" cm="1">
        <f t="array" ref="W620">IFERROR(
    IF(
        MATCH(2,1/((Y620:BF620&lt;&gt;0)*(Y620:BF620&lt;&gt;"")))-MATCH(1,INDEX((Y620:BF620&lt;&gt;0)*(Y620:BF620&lt;&gt;""),0),0)+1 &lt;= 24,
        "No",
        "Yes"
    ),
    "No"
)</f>
        <v>No</v>
      </c>
      <c r="Y620" s="8">
        <v>225</v>
      </c>
      <c r="Z620" s="8">
        <v>225</v>
      </c>
      <c r="AA620" s="8">
        <v>225</v>
      </c>
      <c r="AB620" s="8">
        <v>225</v>
      </c>
      <c r="AC620" s="8">
        <v>225</v>
      </c>
      <c r="AD620" s="8">
        <v>225</v>
      </c>
      <c r="AE620" s="8">
        <v>225</v>
      </c>
      <c r="AF620" s="8">
        <v>225</v>
      </c>
      <c r="AG620" s="8">
        <v>225</v>
      </c>
      <c r="AH620" s="8">
        <v>225</v>
      </c>
      <c r="AI620" s="8">
        <v>225</v>
      </c>
      <c r="AJ620" s="8">
        <v>225</v>
      </c>
      <c r="AK620" s="8">
        <v>225</v>
      </c>
      <c r="AL620" s="8">
        <v>225</v>
      </c>
      <c r="AM620" s="8">
        <v>225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H620" s="8">
        <f t="shared" si="122"/>
        <v>2700</v>
      </c>
      <c r="BI620" s="8">
        <f t="shared" si="123"/>
        <v>675</v>
      </c>
      <c r="BJ620" s="8">
        <f t="shared" si="124"/>
        <v>0</v>
      </c>
    </row>
    <row r="621" spans="1:62" x14ac:dyDescent="0.25">
      <c r="A621" s="9" t="s">
        <v>637</v>
      </c>
      <c r="B621" s="9" t="s">
        <v>644</v>
      </c>
      <c r="C621" s="10">
        <f>VLOOKUP(A621,'[2]Revenue_Engine_2025 Oct.25'!$C$14:G$3937,5,0)</f>
        <v>45108</v>
      </c>
      <c r="D621" s="6" cm="1">
        <f t="array" ref="D621">_xlfn.LET(
  _xlpm.aralık, Y621:BF621,
  _xlpm.ilk, MATCH(TRUE, _xlpm.aralık&lt;&gt;0, 0),
  _xlpm.son, MIN(_xlpm.ilk+2, COLUMNS(_xlpm.aralık)),
  MAX(INDEX(_xlpm.aralık, _xlpm.ilk):INDEX(_xlpm.aralık, _xlpm.son))
)</f>
        <v>86</v>
      </c>
      <c r="E621" s="6">
        <f t="shared" si="117"/>
        <v>0</v>
      </c>
      <c r="F621" s="6">
        <f t="shared" si="118"/>
        <v>0</v>
      </c>
      <c r="G621" s="6">
        <f t="shared" si="125"/>
        <v>0</v>
      </c>
      <c r="H621" s="7">
        <f t="shared" si="119"/>
        <v>-1</v>
      </c>
      <c r="I621" s="7">
        <f t="shared" si="120"/>
        <v>-1</v>
      </c>
      <c r="J621" s="7" t="e">
        <f t="shared" si="121"/>
        <v>#DIV/0!</v>
      </c>
      <c r="K621" s="7">
        <f t="shared" si="126"/>
        <v>0</v>
      </c>
      <c r="L621" s="5" t="s">
        <v>694</v>
      </c>
      <c r="M621" s="7" t="str">
        <f>IF(R621="",(VLOOKUP(A621,[1]Export!$B$2:$H$680,7,0)),"CHURN")</f>
        <v>CHURN</v>
      </c>
      <c r="N621" s="5" t="e">
        <f t="shared" si="127"/>
        <v>#VALUE!</v>
      </c>
      <c r="O621" s="5" t="e">
        <f t="shared" si="128"/>
        <v>#VALUE!</v>
      </c>
      <c r="P621" s="5" t="e">
        <f t="shared" si="129"/>
        <v>#VALUE!</v>
      </c>
      <c r="Q621" s="5" t="s">
        <v>696</v>
      </c>
      <c r="R621" s="5" t="s">
        <v>428</v>
      </c>
      <c r="S621" s="5" t="str">
        <f>VLOOKUP(A621,[3]Sheet1!$A$1:$C$191,3,0)</f>
        <v>Jul.24</v>
      </c>
      <c r="T621" s="6" cm="1">
        <f t="array" ref="T621">IF(R621&lt;&gt;"Churn","",
 _xlfn.LET(
   _xlpm.rng,Y621:BF621,
   _xlpm.pos,MAX(IF((_xlpm.rng&lt;&gt;0)*(_xlpm.rng&lt;&gt;""),COLUMN(_xlpm.rng)-COLUMN(Y621)+1)),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</v>
      </c>
      <c r="U621" s="6" cm="1">
        <f t="array" ref="U621">IF(R621="Churn",
   MAX(IF((Y621:BF621&lt;&gt;"")*(Y621:BF621&lt;&gt;0), COLUMN(Y621:BF621)-COLUMN(Y621)+1))
   -MATCH(1, --((Y621:BF621&lt;&gt;"")*(Y621:BF621&lt;&gt;0)), 0)
   +1,
"")</f>
        <v>13</v>
      </c>
      <c r="V621" s="6" t="str" cm="1">
        <f t="array" ref="V621">IFERROR(
    IF(
        MATCH(2,1/((Y621:BF621&lt;&gt;0)*(Y621:BF621&lt;&gt;"")))-MATCH(1,INDEX((Y621:BF621&lt;&gt;0)*(Y621:BF621&lt;&gt;""),0),0)+1 &lt;= 12,
        "No",
        "Yes"
    ),
    "No"
)</f>
        <v>Yes</v>
      </c>
      <c r="W621" s="6" t="str" cm="1">
        <f t="array" ref="W621">IFERROR(
    IF(
        MATCH(2,1/((Y621:BF621&lt;&gt;0)*(Y621:BF621&lt;&gt;"")))-MATCH(1,INDEX((Y621:BF621&lt;&gt;0)*(Y621:BF621&lt;&gt;""),0),0)+1 &lt;= 24,
        "No",
        "Yes"
    ),
    "No"
)</f>
        <v>No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86</v>
      </c>
      <c r="AE621" s="8">
        <v>86</v>
      </c>
      <c r="AF621" s="8">
        <v>86</v>
      </c>
      <c r="AG621" s="8">
        <v>86</v>
      </c>
      <c r="AH621" s="8">
        <v>86</v>
      </c>
      <c r="AI621" s="8">
        <v>86</v>
      </c>
      <c r="AJ621" s="8">
        <v>86</v>
      </c>
      <c r="AK621" s="8">
        <v>86</v>
      </c>
      <c r="AL621" s="8">
        <v>86</v>
      </c>
      <c r="AM621" s="8">
        <v>86</v>
      </c>
      <c r="AN621" s="8">
        <v>86</v>
      </c>
      <c r="AO621" s="8">
        <v>86</v>
      </c>
      <c r="AP621" s="8">
        <v>86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H621" s="8">
        <f t="shared" si="122"/>
        <v>602</v>
      </c>
      <c r="BI621" s="8">
        <f t="shared" si="123"/>
        <v>516</v>
      </c>
      <c r="BJ621" s="8">
        <f t="shared" si="124"/>
        <v>0</v>
      </c>
    </row>
    <row r="622" spans="1:62" x14ac:dyDescent="0.25">
      <c r="A622" s="9" t="s">
        <v>402</v>
      </c>
      <c r="B622" s="9" t="s">
        <v>644</v>
      </c>
      <c r="C622" s="10">
        <f>VLOOKUP(A622,'[2]Revenue_Engine_2025 Oct.25'!$C$14:G$3937,5,0)</f>
        <v>45090</v>
      </c>
      <c r="D622" s="6" cm="1">
        <f t="array" ref="D622">_xlfn.LET(
  _xlpm.aralık, Y622:BF622,
  _xlpm.ilk, MATCH(TRUE, _xlpm.aralık&lt;&gt;0, 0),
  _xlpm.son, MIN(_xlpm.ilk+2, COLUMNS(_xlpm.aralık)),
  MAX(INDEX(_xlpm.aralık, _xlpm.ilk):INDEX(_xlpm.aralık, _xlpm.son))
)</f>
        <v>699.66</v>
      </c>
      <c r="E622" s="6">
        <f t="shared" si="117"/>
        <v>103.2</v>
      </c>
      <c r="F622" s="6">
        <f t="shared" si="118"/>
        <v>0</v>
      </c>
      <c r="G622" s="6">
        <f t="shared" si="125"/>
        <v>0</v>
      </c>
      <c r="H622" s="7">
        <f t="shared" si="119"/>
        <v>-0.85249978561015338</v>
      </c>
      <c r="I622" s="7">
        <f t="shared" si="120"/>
        <v>-1</v>
      </c>
      <c r="J622" s="7">
        <f t="shared" si="121"/>
        <v>-1</v>
      </c>
      <c r="K622" s="7">
        <f t="shared" si="126"/>
        <v>-0.85249978561015338</v>
      </c>
      <c r="L622" s="5" t="s">
        <v>694</v>
      </c>
      <c r="M622" s="7" t="str">
        <f>IF(R622="",(VLOOKUP(A622,[1]Export!$B$2:$H$680,7,0)),"CHURN")</f>
        <v>CHURN</v>
      </c>
      <c r="N622" s="5" t="e">
        <f t="shared" si="127"/>
        <v>#VALUE!</v>
      </c>
      <c r="O622" s="5" t="e">
        <f t="shared" si="128"/>
        <v>#VALUE!</v>
      </c>
      <c r="P622" s="5" t="e">
        <f t="shared" si="129"/>
        <v>#VALUE!</v>
      </c>
      <c r="Q622" s="5" t="s">
        <v>696</v>
      </c>
      <c r="R622" s="5" t="s">
        <v>428</v>
      </c>
      <c r="S622" s="5" t="str">
        <f>VLOOKUP(A622,[3]Sheet1!$A$1:$C$191,3,0)</f>
        <v>Jan.25</v>
      </c>
      <c r="T622" s="6" cm="1">
        <f t="array" ref="T622">IF(R622&lt;&gt;"Churn","",
 _xlfn.LET(
   _xlpm.rng,Y622:BF622,
   _xlpm.pos,MAX(IF((_xlpm.rng&lt;&gt;0)*(_xlpm.rng&lt;&gt;""),COLUMN(_xlpm.rng)-COLUMN(Y622)+1)),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</v>
      </c>
      <c r="U622" s="6" cm="1">
        <f t="array" ref="U622">IF(R622="Churn",
   MAX(IF((Y622:BF622&lt;&gt;"")*(Y622:BF622&lt;&gt;0), COLUMN(Y622:BF622)-COLUMN(Y622)+1))
   -MATCH(1, --((Y622:BF622&lt;&gt;"")*(Y622:BF622&lt;&gt;0)), 0)
   +1,
"")</f>
        <v>19</v>
      </c>
      <c r="V622" s="6" t="str" cm="1">
        <f t="array" ref="V622">IFERROR(
    IF(
        MATCH(2,1/((Y622:BF622&lt;&gt;0)*(Y622:BF622&lt;&gt;"")))-MATCH(1,INDEX((Y622:BF622&lt;&gt;0)*(Y622:BF622&lt;&gt;""),0),0)+1 &lt;= 12,
        "No",
        "Yes"
    ),
    "No"
)</f>
        <v>Yes</v>
      </c>
      <c r="W622" s="6" t="str" cm="1">
        <f t="array" ref="W622">IFERROR(
    IF(
        MATCH(2,1/((Y622:BF622&lt;&gt;0)*(Y622:BF622&lt;&gt;"")))-MATCH(1,INDEX((Y622:BF622&lt;&gt;0)*(Y622:BF622&lt;&gt;""),0),0)+1 &lt;= 24,
        "No",
        "Yes"
    ),
    "No"
)</f>
        <v>No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699.66</v>
      </c>
      <c r="AE622" s="8">
        <v>699.66</v>
      </c>
      <c r="AF622" s="8">
        <v>-1225.6666666666667</v>
      </c>
      <c r="AG622" s="8">
        <v>58.333333333333336</v>
      </c>
      <c r="AH622" s="8">
        <v>58.333333333333336</v>
      </c>
      <c r="AI622" s="8">
        <v>58.333333333333336</v>
      </c>
      <c r="AJ622" s="8">
        <v>58.333333333333336</v>
      </c>
      <c r="AK622" s="8">
        <v>58.333333333333336</v>
      </c>
      <c r="AL622" s="8">
        <v>58.333333333333336</v>
      </c>
      <c r="AM622" s="8">
        <v>58.333333333333336</v>
      </c>
      <c r="AN622" s="8">
        <v>58.333333333333336</v>
      </c>
      <c r="AO622" s="8">
        <v>161.53333333333333</v>
      </c>
      <c r="AP622" s="8">
        <v>103.2</v>
      </c>
      <c r="AQ622" s="8">
        <v>103.2</v>
      </c>
      <c r="AR622" s="8">
        <v>103.2</v>
      </c>
      <c r="AS622" s="8">
        <v>103.2</v>
      </c>
      <c r="AT622" s="8">
        <v>103.2</v>
      </c>
      <c r="AU622" s="8">
        <v>103.2</v>
      </c>
      <c r="AV622" s="8">
        <v>103.2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H622" s="8">
        <f t="shared" si="122"/>
        <v>406.98666666666651</v>
      </c>
      <c r="BI622" s="8">
        <f t="shared" si="123"/>
        <v>1117.2666666666669</v>
      </c>
      <c r="BJ622" s="8">
        <f t="shared" si="124"/>
        <v>0</v>
      </c>
    </row>
    <row r="623" spans="1:62" x14ac:dyDescent="0.25">
      <c r="A623" s="9" t="s">
        <v>404</v>
      </c>
      <c r="B623" s="9" t="s">
        <v>644</v>
      </c>
      <c r="C623" s="10">
        <f>VLOOKUP(A623,'[2]Revenue_Engine_2025 Oct.25'!$C$14:G$3937,5,0)</f>
        <v>45217</v>
      </c>
      <c r="D623" s="6" cm="1">
        <f t="array" ref="D623">_xlfn.LET(
  _xlpm.aralık, Y623:BF623,
  _xlpm.ilk, MATCH(TRUE, _xlpm.aralık&lt;&gt;0, 0),
  _xlpm.son, MIN(_xlpm.ilk+2, COLUMNS(_xlpm.aralık)),
  MAX(INDEX(_xlpm.aralık, _xlpm.ilk):INDEX(_xlpm.aralık, _xlpm.son))
)</f>
        <v>86</v>
      </c>
      <c r="E623" s="6">
        <f t="shared" si="117"/>
        <v>86</v>
      </c>
      <c r="F623" s="6">
        <f t="shared" si="118"/>
        <v>0</v>
      </c>
      <c r="G623" s="6">
        <f t="shared" si="125"/>
        <v>0</v>
      </c>
      <c r="H623" s="7">
        <f t="shared" si="119"/>
        <v>0</v>
      </c>
      <c r="I623" s="7">
        <f t="shared" si="120"/>
        <v>-1</v>
      </c>
      <c r="J623" s="7">
        <f t="shared" si="121"/>
        <v>-1</v>
      </c>
      <c r="K623" s="7">
        <f t="shared" si="126"/>
        <v>0</v>
      </c>
      <c r="L623" s="5" t="s">
        <v>694</v>
      </c>
      <c r="M623" s="7" t="str">
        <f>IF(R623="",(VLOOKUP(A623,[1]Export!$B$2:$H$680,7,0)),"CHURN")</f>
        <v>CHURN</v>
      </c>
      <c r="N623" s="5" t="e">
        <f t="shared" si="127"/>
        <v>#VALUE!</v>
      </c>
      <c r="O623" s="5" t="e">
        <f t="shared" si="128"/>
        <v>#VALUE!</v>
      </c>
      <c r="P623" s="5" t="e">
        <f t="shared" si="129"/>
        <v>#VALUE!</v>
      </c>
      <c r="Q623" s="5" t="s">
        <v>696</v>
      </c>
      <c r="R623" s="5" t="s">
        <v>428</v>
      </c>
      <c r="S623" s="5" t="str">
        <f>VLOOKUP(A623,[3]Sheet1!$A$1:$C$191,3,0)</f>
        <v>Nov.24</v>
      </c>
      <c r="T623" s="6" cm="1">
        <f t="array" ref="T623">IF(R623&lt;&gt;"Churn","",
 _xlfn.LET(
   _xlpm.rng,Y623:BF623,
   _xlpm.pos,MAX(IF((_xlpm.rng&lt;&gt;0)*(_xlpm.rng&lt;&gt;""),COLUMN(_xlpm.rng)-COLUMN(Y623)+1)),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86</v>
      </c>
      <c r="U623" s="6" cm="1">
        <f t="array" ref="U623">IF(R623="Churn",
   MAX(IF((Y623:BF623&lt;&gt;"")*(Y623:BF623&lt;&gt;0), COLUMN(Y623:BF623)-COLUMN(Y623)+1))
   -MATCH(1, --((Y623:BF623&lt;&gt;"")*(Y623:BF623&lt;&gt;0)), 0)
   +1,
"")</f>
        <v>13</v>
      </c>
      <c r="V623" s="6" t="str" cm="1">
        <f t="array" ref="V623">IFERROR(
    IF(
        MATCH(2,1/((Y623:BF623&lt;&gt;0)*(Y623:BF623&lt;&gt;"")))-MATCH(1,INDEX((Y623:BF623&lt;&gt;0)*(Y623:BF623&lt;&gt;""),0),0)+1 &lt;= 12,
        "No",
        "Yes"
    ),
    "No"
)</f>
        <v>Yes</v>
      </c>
      <c r="W623" s="6" t="str" cm="1">
        <f t="array" ref="W623">IFERROR(
    IF(
        MATCH(2,1/((Y623:BF623&lt;&gt;0)*(Y623:BF623&lt;&gt;"")))-MATCH(1,INDEX((Y623:BF623&lt;&gt;0)*(Y623:BF623&lt;&gt;""),0),0)+1 &lt;= 24,
        "No",
        "Yes"
    ),
    "No"
)</f>
        <v>No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86</v>
      </c>
      <c r="AI623" s="8">
        <v>86</v>
      </c>
      <c r="AJ623" s="8">
        <v>86</v>
      </c>
      <c r="AK623" s="8">
        <v>86</v>
      </c>
      <c r="AL623" s="8">
        <v>86</v>
      </c>
      <c r="AM623" s="8">
        <v>86</v>
      </c>
      <c r="AN623" s="8">
        <v>86</v>
      </c>
      <c r="AO623" s="8">
        <v>86</v>
      </c>
      <c r="AP623" s="8">
        <v>86</v>
      </c>
      <c r="AQ623" s="8">
        <v>86</v>
      </c>
      <c r="AR623" s="8">
        <v>86</v>
      </c>
      <c r="AS623" s="8">
        <v>86</v>
      </c>
      <c r="AT623" s="8">
        <v>86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H623" s="8">
        <f t="shared" si="122"/>
        <v>258</v>
      </c>
      <c r="BI623" s="8">
        <f t="shared" si="123"/>
        <v>860</v>
      </c>
      <c r="BJ623" s="8">
        <f t="shared" si="124"/>
        <v>0</v>
      </c>
    </row>
    <row r="624" spans="1:62" x14ac:dyDescent="0.25">
      <c r="A624" s="9" t="s">
        <v>638</v>
      </c>
      <c r="B624" s="9" t="s">
        <v>644</v>
      </c>
      <c r="C624" s="10">
        <f>VLOOKUP(A624,'[2]Revenue_Engine_2025 Oct.25'!$C$14:G$3937,5,0)</f>
        <v>45322</v>
      </c>
      <c r="D624" s="6" cm="1">
        <f t="array" ref="D624">_xlfn.LET(
  _xlpm.aralık, Y624:BF624,
  _xlpm.ilk, MATCH(TRUE, _xlpm.aralık&lt;&gt;0, 0),
  _xlpm.son, MIN(_xlpm.ilk+2, COLUMNS(_xlpm.aralık)),
  MAX(INDEX(_xlpm.aralık, _xlpm.ilk):INDEX(_xlpm.aralık, _xlpm.son))
)</f>
        <v>103.20000008333332</v>
      </c>
      <c r="E624" s="6">
        <f t="shared" si="117"/>
        <v>0</v>
      </c>
      <c r="F624" s="6">
        <f t="shared" si="118"/>
        <v>0</v>
      </c>
      <c r="G624" s="6">
        <f t="shared" si="125"/>
        <v>0</v>
      </c>
      <c r="H624" s="7">
        <f t="shared" si="119"/>
        <v>-1</v>
      </c>
      <c r="I624" s="7">
        <f t="shared" si="120"/>
        <v>-1</v>
      </c>
      <c r="J624" s="7" t="e">
        <f t="shared" si="121"/>
        <v>#DIV/0!</v>
      </c>
      <c r="K624" s="7">
        <f t="shared" si="126"/>
        <v>0</v>
      </c>
      <c r="L624" s="5" t="s">
        <v>694</v>
      </c>
      <c r="M624" s="7" t="str">
        <f>IF(R624="",(VLOOKUP(A624,[1]Export!$B$2:$H$680,7,0)),"CHURN")</f>
        <v>CHURN</v>
      </c>
      <c r="N624" s="5" t="e">
        <f t="shared" si="127"/>
        <v>#VALUE!</v>
      </c>
      <c r="O624" s="5" t="e">
        <f t="shared" si="128"/>
        <v>#VALUE!</v>
      </c>
      <c r="P624" s="5" t="e">
        <f t="shared" si="129"/>
        <v>#VALUE!</v>
      </c>
      <c r="Q624" s="5" t="s">
        <v>696</v>
      </c>
      <c r="R624" s="5" t="s">
        <v>428</v>
      </c>
      <c r="S624" s="5" t="str">
        <f>VLOOKUP(A624,[3]Sheet1!$A$1:$C$191,3,0)</f>
        <v>Jan.25</v>
      </c>
      <c r="T624" s="6" cm="1">
        <f t="array" ref="T624">IF(R624&lt;&gt;"Churn","",
 _xlfn.LET(
   _xlpm.rng,Y624:BF624,
   _xlpm.pos,MAX(IF((_xlpm.rng&lt;&gt;0)*(_xlpm.rng&lt;&gt;""),COLUMN(_xlpm.rng)-COLUMN(Y624)+1)),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103.20000008333332</v>
      </c>
      <c r="U624" s="6" cm="1">
        <f t="array" ref="U624">IF(R624="Churn",
   MAX(IF((Y624:BF624&lt;&gt;"")*(Y624:BF624&lt;&gt;0), COLUMN(Y624:BF624)-COLUMN(Y624)+1))
   -MATCH(1, --((Y624:BF624&lt;&gt;"")*(Y624:BF624&lt;&gt;0)), 0)
   +1,
"")</f>
        <v>12</v>
      </c>
      <c r="V624" s="6" t="str" cm="1">
        <f t="array" ref="V624">IFERROR(
    IF(
        MATCH(2,1/((Y624:BF624&lt;&gt;0)*(Y624:BF624&lt;&gt;"")))-MATCH(1,INDEX((Y624:BF624&lt;&gt;0)*(Y624:BF624&lt;&gt;""),0),0)+1 &lt;= 12,
        "No",
        "Yes"
    ),
    "No"
)</f>
        <v>No</v>
      </c>
      <c r="W624" s="6" t="str" cm="1">
        <f t="array" ref="W624">IFERROR(
    IF(
        MATCH(2,1/((Y624:BF624&lt;&gt;0)*(Y624:BF624&lt;&gt;"")))-MATCH(1,INDEX((Y624:BF624&lt;&gt;0)*(Y624:BF624&lt;&gt;""),0),0)+1 &lt;= 24,
        "No",
        "Yes"
    ),
    "No"
)</f>
        <v>No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103.20000008333332</v>
      </c>
      <c r="AL624" s="8">
        <v>103.20000008333332</v>
      </c>
      <c r="AM624" s="8">
        <v>103.20000008333332</v>
      </c>
      <c r="AN624" s="8">
        <v>103.20000008333332</v>
      </c>
      <c r="AO624" s="8">
        <v>103.20000008333332</v>
      </c>
      <c r="AP624" s="8">
        <v>103.20000008333332</v>
      </c>
      <c r="AQ624" s="8">
        <v>103.20000008333332</v>
      </c>
      <c r="AR624" s="8">
        <v>103.20000008333332</v>
      </c>
      <c r="AS624" s="8">
        <v>103.20000008333332</v>
      </c>
      <c r="AT624" s="8">
        <v>103.20000008333332</v>
      </c>
      <c r="AU624" s="8">
        <v>103.20000008333332</v>
      </c>
      <c r="AV624" s="8">
        <v>103.20000008333332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H624" s="8">
        <f t="shared" si="122"/>
        <v>0</v>
      </c>
      <c r="BI624" s="8">
        <f t="shared" si="123"/>
        <v>1238.400001</v>
      </c>
      <c r="BJ624" s="8">
        <f t="shared" si="124"/>
        <v>0</v>
      </c>
    </row>
    <row r="625" spans="1:62" x14ac:dyDescent="0.25">
      <c r="A625" s="9" t="s">
        <v>639</v>
      </c>
      <c r="B625" s="9" t="s">
        <v>644</v>
      </c>
      <c r="C625" s="10">
        <f>VLOOKUP(A625,'[2]Revenue_Engine_2025 Oct.25'!$C$14:G$3937,5,0)</f>
        <v>45194</v>
      </c>
      <c r="D625" s="6" cm="1">
        <f t="array" ref="D625">_xlfn.LET(
  _xlpm.aralık, Y625:BF625,
  _xlpm.ilk, MATCH(TRUE, _xlpm.aralık&lt;&gt;0, 0),
  _xlpm.son, MIN(_xlpm.ilk+2, COLUMNS(_xlpm.aralık)),
  MAX(INDEX(_xlpm.aralık, _xlpm.ilk):INDEX(_xlpm.aralık, _xlpm.son))
)</f>
        <v>119.16666666666667</v>
      </c>
      <c r="E625" s="6">
        <f t="shared" si="117"/>
        <v>0</v>
      </c>
      <c r="F625" s="6">
        <f t="shared" si="118"/>
        <v>0</v>
      </c>
      <c r="G625" s="6">
        <f t="shared" si="125"/>
        <v>0</v>
      </c>
      <c r="H625" s="7">
        <f t="shared" si="119"/>
        <v>-1</v>
      </c>
      <c r="I625" s="7">
        <f t="shared" si="120"/>
        <v>-1</v>
      </c>
      <c r="J625" s="7" t="e">
        <f t="shared" si="121"/>
        <v>#DIV/0!</v>
      </c>
      <c r="K625" s="7">
        <f t="shared" si="126"/>
        <v>0</v>
      </c>
      <c r="L625" s="5" t="s">
        <v>694</v>
      </c>
      <c r="M625" s="7" t="str">
        <f>IF(R625="",(VLOOKUP(A625,[1]Export!$B$2:$H$680,7,0)),"CHURN")</f>
        <v>CHURN</v>
      </c>
      <c r="N625" s="5" t="e">
        <f t="shared" si="127"/>
        <v>#VALUE!</v>
      </c>
      <c r="O625" s="5" t="e">
        <f t="shared" si="128"/>
        <v>#VALUE!</v>
      </c>
      <c r="P625" s="5" t="e">
        <f t="shared" si="129"/>
        <v>#VALUE!</v>
      </c>
      <c r="Q625" s="5" t="s">
        <v>696</v>
      </c>
      <c r="R625" s="5" t="s">
        <v>428</v>
      </c>
      <c r="S625" s="5" t="str">
        <f>VLOOKUP(A625,[3]Sheet1!$A$1:$C$191,3,0)</f>
        <v>Sep.24</v>
      </c>
      <c r="T625" s="6" cm="1">
        <f t="array" ref="T625">IF(R625&lt;&gt;"Churn","",
 _xlfn.LET(
   _xlpm.rng,Y625:BF625,
   _xlpm.pos,MAX(IF((_xlpm.rng&lt;&gt;0)*(_xlpm.rng&lt;&gt;""),COLUMN(_xlpm.rng)-COLUMN(Y625)+1)),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119.16666666666667</v>
      </c>
      <c r="U625" s="6" cm="1">
        <f t="array" ref="U625">IF(R625="Churn",
   MAX(IF((Y625:BF625&lt;&gt;"")*(Y625:BF625&lt;&gt;0), COLUMN(Y625:BF625)-COLUMN(Y625)+1))
   -MATCH(1, --((Y625:BF625&lt;&gt;"")*(Y625:BF625&lt;&gt;0)), 0)
   +1,
"")</f>
        <v>12</v>
      </c>
      <c r="V625" s="6" t="str" cm="1">
        <f t="array" ref="V625">IFERROR(
    IF(
        MATCH(2,1/((Y625:BF625&lt;&gt;0)*(Y625:BF625&lt;&gt;"")))-MATCH(1,INDEX((Y625:BF625&lt;&gt;0)*(Y625:BF625&lt;&gt;""),0),0)+1 &lt;= 12,
        "No",
        "Yes"
    ),
    "No"
)</f>
        <v>No</v>
      </c>
      <c r="W625" s="6" t="str" cm="1">
        <f t="array" ref="W625">IFERROR(
    IF(
        MATCH(2,1/((Y625:BF625&lt;&gt;0)*(Y625:BF625&lt;&gt;"")))-MATCH(1,INDEX((Y625:BF625&lt;&gt;0)*(Y625:BF625&lt;&gt;""),0),0)+1 &lt;= 24,
        "No",
        "Yes"
    ),
    "No"
)</f>
        <v>No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119.16666666666667</v>
      </c>
      <c r="AH625" s="8">
        <v>119.16666666666667</v>
      </c>
      <c r="AI625" s="8">
        <v>119.16666666666667</v>
      </c>
      <c r="AJ625" s="8">
        <v>119.16666666666667</v>
      </c>
      <c r="AK625" s="8">
        <v>119.16666666666667</v>
      </c>
      <c r="AL625" s="8">
        <v>119.16666666666667</v>
      </c>
      <c r="AM625" s="8">
        <v>119.16666666666667</v>
      </c>
      <c r="AN625" s="8">
        <v>119.16666666666667</v>
      </c>
      <c r="AO625" s="8">
        <v>119.16666666666667</v>
      </c>
      <c r="AP625" s="8">
        <v>119.16666666666667</v>
      </c>
      <c r="AQ625" s="8">
        <v>119.16666666666667</v>
      </c>
      <c r="AR625" s="8">
        <v>119.16666666666667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H625" s="8">
        <f t="shared" si="122"/>
        <v>476.66666666666669</v>
      </c>
      <c r="BI625" s="8">
        <f t="shared" si="123"/>
        <v>953.33333333333326</v>
      </c>
      <c r="BJ625" s="8">
        <f t="shared" si="124"/>
        <v>0</v>
      </c>
    </row>
    <row r="626" spans="1:62" x14ac:dyDescent="0.25">
      <c r="A626" s="9" t="s">
        <v>640</v>
      </c>
      <c r="B626" s="9" t="s">
        <v>644</v>
      </c>
      <c r="C626" s="10">
        <f>VLOOKUP(A626,'[2]Revenue_Engine_2025 Oct.25'!$C$14:G$3937,5,0)</f>
        <v>45199</v>
      </c>
      <c r="D626" s="6" cm="1">
        <f t="array" ref="D626">_xlfn.LET(
  _xlpm.aralık, Y626:BF626,
  _xlpm.ilk, MATCH(TRUE, _xlpm.aralık&lt;&gt;0, 0),
  _xlpm.son, MIN(_xlpm.ilk+2, COLUMNS(_xlpm.aralık)),
  MAX(INDEX(_xlpm.aralık, _xlpm.ilk):INDEX(_xlpm.aralık, _xlpm.son))
)</f>
        <v>119.16666666666667</v>
      </c>
      <c r="E626" s="6">
        <f t="shared" si="117"/>
        <v>0</v>
      </c>
      <c r="F626" s="6">
        <f t="shared" si="118"/>
        <v>0</v>
      </c>
      <c r="G626" s="6">
        <f t="shared" si="125"/>
        <v>0</v>
      </c>
      <c r="H626" s="7">
        <f t="shared" si="119"/>
        <v>-1</v>
      </c>
      <c r="I626" s="7">
        <f t="shared" si="120"/>
        <v>-1</v>
      </c>
      <c r="J626" s="7" t="e">
        <f t="shared" si="121"/>
        <v>#DIV/0!</v>
      </c>
      <c r="K626" s="7">
        <f t="shared" si="126"/>
        <v>0</v>
      </c>
      <c r="L626" s="5" t="s">
        <v>694</v>
      </c>
      <c r="M626" s="7" t="str">
        <f>IF(R626="",(VLOOKUP(A626,[1]Export!$B$2:$H$680,7,0)),"CHURN")</f>
        <v>CHURN</v>
      </c>
      <c r="N626" s="5" t="e">
        <f t="shared" si="127"/>
        <v>#VALUE!</v>
      </c>
      <c r="O626" s="5" t="e">
        <f t="shared" si="128"/>
        <v>#VALUE!</v>
      </c>
      <c r="P626" s="5" t="e">
        <f t="shared" si="129"/>
        <v>#VALUE!</v>
      </c>
      <c r="Q626" s="5" t="s">
        <v>696</v>
      </c>
      <c r="R626" s="5" t="s">
        <v>428</v>
      </c>
      <c r="S626" s="5" t="str">
        <f>VLOOKUP(A626,[3]Sheet1!$A$1:$C$191,3,0)</f>
        <v>Sep.24</v>
      </c>
      <c r="T626" s="6" cm="1">
        <f t="array" ref="T626">IF(R626&lt;&gt;"Churn","",
 _xlfn.LET(
   _xlpm.rng,Y626:BF626,
   _xlpm.pos,MAX(IF((_xlpm.rng&lt;&gt;0)*(_xlpm.rng&lt;&gt;""),COLUMN(_xlpm.rng)-COLUMN(Y626)+1)),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119.16666666666667</v>
      </c>
      <c r="U626" s="6" cm="1">
        <f t="array" ref="U626">IF(R626="Churn",
   MAX(IF((Y626:BF626&lt;&gt;"")*(Y626:BF626&lt;&gt;0), COLUMN(Y626:BF626)-COLUMN(Y626)+1))
   -MATCH(1, --((Y626:BF626&lt;&gt;"")*(Y626:BF626&lt;&gt;0)), 0)
   +1,
"")</f>
        <v>12</v>
      </c>
      <c r="V626" s="6" t="str" cm="1">
        <f t="array" ref="V626">IFERROR(
    IF(
        MATCH(2,1/((Y626:BF626&lt;&gt;0)*(Y626:BF626&lt;&gt;"")))-MATCH(1,INDEX((Y626:BF626&lt;&gt;0)*(Y626:BF626&lt;&gt;""),0),0)+1 &lt;= 12,
        "No",
        "Yes"
    ),
    "No"
)</f>
        <v>No</v>
      </c>
      <c r="W626" s="6" t="str" cm="1">
        <f t="array" ref="W626">IFERROR(
    IF(
        MATCH(2,1/((Y626:BF626&lt;&gt;0)*(Y626:BF626&lt;&gt;"")))-MATCH(1,INDEX((Y626:BF626&lt;&gt;0)*(Y626:BF626&lt;&gt;""),0),0)+1 &lt;= 24,
        "No",
        "Yes"
    ),
    "No"
)</f>
        <v>No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119.16666666666667</v>
      </c>
      <c r="AH626" s="8">
        <v>119.16666666666667</v>
      </c>
      <c r="AI626" s="8">
        <v>119.16666666666667</v>
      </c>
      <c r="AJ626" s="8">
        <v>119.16666666666667</v>
      </c>
      <c r="AK626" s="8">
        <v>119.16666666666667</v>
      </c>
      <c r="AL626" s="8">
        <v>119.16666666666667</v>
      </c>
      <c r="AM626" s="8">
        <v>119.16666666666667</v>
      </c>
      <c r="AN626" s="8">
        <v>119.16666666666667</v>
      </c>
      <c r="AO626" s="8">
        <v>119.16666666666667</v>
      </c>
      <c r="AP626" s="8">
        <v>119.16666666666667</v>
      </c>
      <c r="AQ626" s="8">
        <v>119.16666666666667</v>
      </c>
      <c r="AR626" s="8">
        <v>119.16666666666667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H626" s="8">
        <f t="shared" si="122"/>
        <v>476.66666666666669</v>
      </c>
      <c r="BI626" s="8">
        <f t="shared" si="123"/>
        <v>953.33333333333326</v>
      </c>
      <c r="BJ626" s="8">
        <f t="shared" si="124"/>
        <v>0</v>
      </c>
    </row>
    <row r="627" spans="1:62" x14ac:dyDescent="0.25">
      <c r="A627" s="9" t="s">
        <v>641</v>
      </c>
      <c r="B627" s="9" t="s">
        <v>644</v>
      </c>
      <c r="C627" s="10">
        <f>VLOOKUP(A627,'[2]Revenue_Engine_2025 Oct.25'!$C$14:G$3937,5,0)</f>
        <v>45199</v>
      </c>
      <c r="D627" s="6" cm="1">
        <f t="array" ref="D627">_xlfn.LET(
  _xlpm.aralık, Y627:BF627,
  _xlpm.ilk, MATCH(TRUE, _xlpm.aralık&lt;&gt;0, 0),
  _xlpm.son, MIN(_xlpm.ilk+2, COLUMNS(_xlpm.aralık)),
  MAX(INDEX(_xlpm.aralık, _xlpm.ilk):INDEX(_xlpm.aralık, _xlpm.son))
)</f>
        <v>119.16666666666667</v>
      </c>
      <c r="E627" s="6">
        <f t="shared" si="117"/>
        <v>0</v>
      </c>
      <c r="F627" s="6">
        <f t="shared" si="118"/>
        <v>0</v>
      </c>
      <c r="G627" s="6">
        <f t="shared" si="125"/>
        <v>0</v>
      </c>
      <c r="H627" s="7">
        <f t="shared" si="119"/>
        <v>-1</v>
      </c>
      <c r="I627" s="7">
        <f t="shared" si="120"/>
        <v>-1</v>
      </c>
      <c r="J627" s="7" t="e">
        <f t="shared" si="121"/>
        <v>#DIV/0!</v>
      </c>
      <c r="K627" s="7">
        <f t="shared" si="126"/>
        <v>0</v>
      </c>
      <c r="L627" s="5" t="s">
        <v>694</v>
      </c>
      <c r="M627" s="7" t="str">
        <f>IF(R627="",(VLOOKUP(A627,[1]Export!$B$2:$H$680,7,0)),"CHURN")</f>
        <v>CHURN</v>
      </c>
      <c r="N627" s="5" t="e">
        <f t="shared" si="127"/>
        <v>#VALUE!</v>
      </c>
      <c r="O627" s="5" t="e">
        <f t="shared" si="128"/>
        <v>#VALUE!</v>
      </c>
      <c r="P627" s="5" t="e">
        <f t="shared" si="129"/>
        <v>#VALUE!</v>
      </c>
      <c r="Q627" s="5" t="s">
        <v>696</v>
      </c>
      <c r="R627" s="5" t="s">
        <v>428</v>
      </c>
      <c r="S627" s="5" t="str">
        <f>VLOOKUP(A627,[3]Sheet1!$A$1:$C$191,3,0)</f>
        <v>Sep.24</v>
      </c>
      <c r="T627" s="6" cm="1">
        <f t="array" ref="T627">IF(R627&lt;&gt;"Churn","",
 _xlfn.LET(
   _xlpm.rng,Y627:BF627,
   _xlpm.pos,MAX(IF((_xlpm.rng&lt;&gt;0)*(_xlpm.rng&lt;&gt;""),COLUMN(_xlpm.rng)-COLUMN(Y627)+1)),
   IF(_xlpm.pos=0,"",
      IF(_xlpm.pos=1,
         INDEX(_xlpm.rng,1,1),
         IF(_xlpm.pos=2,
            MAX(INDEX(_xlpm.rng,1,1),INDEX(_xlpm.rng,1,2)),
            MAX(
              INDEX(_xlpm.rng,1,_xlpm.pos),
              INDEX(_xlpm.rng,1,_xlpm.pos-1),
              INDEX(_xlpm.rng,1,_xlpm.pos-2)
            )
         )
      )
   )
 )
)</f>
        <v>119.16666666666667</v>
      </c>
      <c r="U627" s="6" cm="1">
        <f t="array" ref="U627">IF(R627="Churn",
   MAX(IF((Y627:BF627&lt;&gt;"")*(Y627:BF627&lt;&gt;0), COLUMN(Y627:BF627)-COLUMN(Y627)+1))
   -MATCH(1, --((Y627:BF627&lt;&gt;"")*(Y627:BF627&lt;&gt;0)), 0)
   +1,
"")</f>
        <v>12</v>
      </c>
      <c r="V627" s="6" t="str" cm="1">
        <f t="array" ref="V627">IFERROR(
    IF(
        MATCH(2,1/((Y627:BF627&lt;&gt;0)*(Y627:BF627&lt;&gt;"")))-MATCH(1,INDEX((Y627:BF627&lt;&gt;0)*(Y627:BF627&lt;&gt;""),0),0)+1 &lt;= 12,
        "No",
        "Yes"
    ),
    "No"
)</f>
        <v>No</v>
      </c>
      <c r="W627" s="6" t="str" cm="1">
        <f t="array" ref="W627">IFERROR(
    IF(
        MATCH(2,1/((Y627:BF627&lt;&gt;0)*(Y627:BF627&lt;&gt;"")))-MATCH(1,INDEX((Y627:BF627&lt;&gt;0)*(Y627:BF627&lt;&gt;""),0),0)+1 &lt;= 24,
        "No",
        "Yes"
    ),
    "No"
)</f>
        <v>No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119.16666666666667</v>
      </c>
      <c r="AH627" s="8">
        <v>119.16666666666667</v>
      </c>
      <c r="AI627" s="8">
        <v>119.16666666666667</v>
      </c>
      <c r="AJ627" s="8">
        <v>119.16666666666667</v>
      </c>
      <c r="AK627" s="8">
        <v>119.16666666666667</v>
      </c>
      <c r="AL627" s="8">
        <v>119.16666666666667</v>
      </c>
      <c r="AM627" s="8">
        <v>119.16666666666667</v>
      </c>
      <c r="AN627" s="8">
        <v>119.16666666666667</v>
      </c>
      <c r="AO627" s="8">
        <v>119.16666666666667</v>
      </c>
      <c r="AP627" s="8">
        <v>119.16666666666667</v>
      </c>
      <c r="AQ627" s="8">
        <v>119.16666666666667</v>
      </c>
      <c r="AR627" s="8">
        <v>119.16666666666667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H627" s="8">
        <f t="shared" si="122"/>
        <v>476.66666666666669</v>
      </c>
      <c r="BI627" s="8">
        <f t="shared" si="123"/>
        <v>953.33333333333326</v>
      </c>
      <c r="BJ627" s="8">
        <f t="shared" si="124"/>
        <v>0</v>
      </c>
    </row>
    <row r="628" spans="1:62" x14ac:dyDescent="0.25"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H628" s="8"/>
      <c r="BI628" s="8"/>
      <c r="BJ628" s="8"/>
    </row>
    <row r="629" spans="1:62" x14ac:dyDescent="0.25">
      <c r="BF629" s="8"/>
    </row>
  </sheetData>
  <autoFilter ref="A1:BM627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Emircan Aslanhan</dc:creator>
  <cp:lastModifiedBy>EMİRCAN ASLANHAN</cp:lastModifiedBy>
  <dcterms:created xsi:type="dcterms:W3CDTF">2015-06-05T18:17:20Z</dcterms:created>
  <dcterms:modified xsi:type="dcterms:W3CDTF">2025-11-17T21:00:32Z</dcterms:modified>
</cp:coreProperties>
</file>